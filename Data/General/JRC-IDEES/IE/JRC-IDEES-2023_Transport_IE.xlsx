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IE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52" i="6" l="1"/>
  <c r="X52" i="6"/>
  <c r="Y218" i="7"/>
  <c r="X218" i="7"/>
  <c r="Y211" i="7"/>
  <c r="X211" i="7"/>
  <c r="Y205" i="7"/>
  <c r="X205" i="7"/>
  <c r="Y32" i="8"/>
  <c r="X32" i="8"/>
  <c r="X87" i="8"/>
  <c r="X86" i="8"/>
  <c r="X84" i="8"/>
  <c r="Y12" i="3"/>
  <c r="X12" i="3"/>
  <c r="X17" i="9"/>
  <c r="X51" i="3" s="1"/>
  <c r="Y29" i="9"/>
  <c r="Y49" i="9"/>
  <c r="Y40" i="3"/>
  <c r="X25" i="9"/>
  <c r="X5" i="9"/>
  <c r="Y57" i="10"/>
  <c r="X68" i="10"/>
  <c r="X15" i="10"/>
  <c r="Y32" i="10"/>
  <c r="X54" i="10"/>
  <c r="Y53" i="10"/>
  <c r="X53" i="10"/>
  <c r="Y41" i="10"/>
  <c r="Y70" i="3"/>
  <c r="X28" i="10"/>
  <c r="Y24" i="10"/>
  <c r="X24" i="10"/>
  <c r="Y58" i="11"/>
  <c r="X102" i="11"/>
  <c r="Y67" i="11"/>
  <c r="X101" i="11"/>
  <c r="X25" i="3"/>
  <c r="Y24" i="3"/>
  <c r="Y23" i="3"/>
  <c r="X16" i="3"/>
  <c r="X15" i="3"/>
  <c r="Y14" i="3"/>
  <c r="Y25" i="12"/>
  <c r="Y75" i="12" s="1"/>
  <c r="X4" i="12"/>
  <c r="X46" i="3"/>
  <c r="Y45" i="3"/>
  <c r="X45" i="3"/>
  <c r="X48" i="13"/>
  <c r="Y76" i="3"/>
  <c r="X76" i="3"/>
  <c r="Y24" i="13"/>
  <c r="Y23" i="13"/>
  <c r="Y7" i="15"/>
  <c r="X28" i="3"/>
  <c r="Y27" i="3"/>
  <c r="X27" i="3"/>
  <c r="Y15" i="17"/>
  <c r="X88" i="3"/>
  <c r="Y14" i="17"/>
  <c r="X14" i="17"/>
  <c r="X31" i="3"/>
  <c r="Y3" i="18"/>
  <c r="Y17" i="18" s="1"/>
  <c r="X10" i="19"/>
  <c r="Y4" i="19"/>
  <c r="Y90" i="3"/>
  <c r="X90" i="3"/>
  <c r="Y85" i="3"/>
  <c r="X85" i="3"/>
  <c r="X83" i="3"/>
  <c r="Y75" i="3"/>
  <c r="X75" i="3"/>
  <c r="Y54" i="3"/>
  <c r="X54" i="3"/>
  <c r="Y53" i="3"/>
  <c r="Y44" i="3"/>
  <c r="X44" i="3"/>
  <c r="Y42" i="3"/>
  <c r="Y31" i="3"/>
  <c r="Y30" i="3"/>
  <c r="Y25" i="3"/>
  <c r="X24" i="3"/>
  <c r="Y10" i="3"/>
  <c r="Y41" i="12" l="1"/>
  <c r="X8" i="11"/>
  <c r="X113" i="11" s="1"/>
  <c r="Y44" i="12"/>
  <c r="X35" i="12"/>
  <c r="X53" i="3"/>
  <c r="X55" i="3"/>
  <c r="X207" i="3" s="1"/>
  <c r="X5" i="13"/>
  <c r="Y69" i="11"/>
  <c r="Y55" i="3"/>
  <c r="Y207" i="3" s="1"/>
  <c r="X90" i="8"/>
  <c r="X27" i="9"/>
  <c r="X29" i="9"/>
  <c r="Y57" i="8"/>
  <c r="Y79" i="8" s="1"/>
  <c r="Y15" i="14"/>
  <c r="Y27" i="14" s="1"/>
  <c r="X91" i="8"/>
  <c r="Y91" i="8"/>
  <c r="Y18" i="11"/>
  <c r="Y120" i="11" s="1"/>
  <c r="X31" i="9"/>
  <c r="Y53" i="9"/>
  <c r="X84" i="3"/>
  <c r="X82" i="3" s="1"/>
  <c r="Y44" i="11"/>
  <c r="X28" i="8"/>
  <c r="X26" i="8" s="1"/>
  <c r="X41" i="12"/>
  <c r="X88" i="8"/>
  <c r="Y43" i="9"/>
  <c r="X19" i="12"/>
  <c r="X69" i="12" s="1"/>
  <c r="X3" i="20"/>
  <c r="X23" i="20" s="1"/>
  <c r="Y7" i="18"/>
  <c r="Y21" i="18" s="1"/>
  <c r="Y39" i="12"/>
  <c r="X227" i="3"/>
  <c r="X240" i="3"/>
  <c r="X98" i="11"/>
  <c r="X43" i="8"/>
  <c r="X88" i="11"/>
  <c r="Y88" i="11"/>
  <c r="Y25" i="9"/>
  <c r="Y31" i="9"/>
  <c r="Y42" i="9"/>
  <c r="Y48" i="11"/>
  <c r="X15" i="14"/>
  <c r="X27" i="14" s="1"/>
  <c r="X72" i="3"/>
  <c r="X164" i="3" s="1"/>
  <c r="X25" i="12"/>
  <c r="X75" i="12" s="1"/>
  <c r="Y103" i="11"/>
  <c r="X31" i="10"/>
  <c r="X54" i="11"/>
  <c r="Y31" i="10"/>
  <c r="X49" i="9"/>
  <c r="Y98" i="11"/>
  <c r="Y92" i="11"/>
  <c r="X32" i="10"/>
  <c r="X95" i="8"/>
  <c r="X43" i="10"/>
  <c r="X65" i="10"/>
  <c r="X53" i="8"/>
  <c r="X75" i="8" s="1"/>
  <c r="X47" i="13"/>
  <c r="X77" i="11"/>
  <c r="Y68" i="10"/>
  <c r="Y53" i="8"/>
  <c r="Y75" i="8" s="1"/>
  <c r="Y88" i="8"/>
  <c r="Y3" i="15"/>
  <c r="Y19" i="15" s="1"/>
  <c r="Y13" i="14"/>
  <c r="Y19" i="14" s="1"/>
  <c r="Y99" i="11"/>
  <c r="X87" i="3"/>
  <c r="X239" i="3" s="1"/>
  <c r="X38" i="13"/>
  <c r="X78" i="11"/>
  <c r="X67" i="8"/>
  <c r="X87" i="11"/>
  <c r="Y14" i="14"/>
  <c r="Y26" i="14" s="1"/>
  <c r="Y77" i="11"/>
  <c r="Y88" i="3"/>
  <c r="Y28" i="13"/>
  <c r="X99" i="8"/>
  <c r="Y23" i="12"/>
  <c r="Y73" i="12" s="1"/>
  <c r="Y89" i="11"/>
  <c r="Y19" i="12"/>
  <c r="Y69" i="12" s="1"/>
  <c r="Y45" i="13"/>
  <c r="X79" i="11"/>
  <c r="Y5" i="9"/>
  <c r="Y4" i="9" s="1"/>
  <c r="Y55" i="8"/>
  <c r="Y77" i="8" s="1"/>
  <c r="Y67" i="8"/>
  <c r="X99" i="11"/>
  <c r="Y16" i="3"/>
  <c r="Y228" i="3" s="1"/>
  <c r="X40" i="3"/>
  <c r="X91" i="3"/>
  <c r="X243" i="3" s="1"/>
  <c r="Y39" i="13"/>
  <c r="Y79" i="11"/>
  <c r="X4" i="9"/>
  <c r="X57" i="8"/>
  <c r="X79" i="8" s="1"/>
  <c r="X7" i="15"/>
  <c r="X21" i="15" s="1"/>
  <c r="X13" i="14"/>
  <c r="X19" i="14" s="1"/>
  <c r="Y15" i="3"/>
  <c r="X23" i="3"/>
  <c r="X235" i="3" s="1"/>
  <c r="X14" i="20"/>
  <c r="Y15" i="18"/>
  <c r="Y29" i="13"/>
  <c r="X18" i="11"/>
  <c r="X120" i="11" s="1"/>
  <c r="X237" i="3"/>
  <c r="Y194" i="3"/>
  <c r="Y196" i="3"/>
  <c r="Y206" i="3"/>
  <c r="Y65" i="10"/>
  <c r="X46" i="10"/>
  <c r="X36" i="9"/>
  <c r="X47" i="9"/>
  <c r="X10" i="8"/>
  <c r="X21" i="3" s="1"/>
  <c r="X203" i="3" s="1"/>
  <c r="Y43" i="8"/>
  <c r="X35" i="10"/>
  <c r="X50" i="10"/>
  <c r="X38" i="9"/>
  <c r="X39" i="8"/>
  <c r="X37" i="8" s="1"/>
  <c r="X51" i="8"/>
  <c r="X73" i="8" s="1"/>
  <c r="Y43" i="10"/>
  <c r="X70" i="3"/>
  <c r="X162" i="3" s="1"/>
  <c r="Y35" i="10"/>
  <c r="Y36" i="9"/>
  <c r="Y38" i="9"/>
  <c r="X6" i="8"/>
  <c r="X11" i="3" s="1"/>
  <c r="Y39" i="8"/>
  <c r="Y37" i="8" s="1"/>
  <c r="Y39" i="10"/>
  <c r="Y54" i="10"/>
  <c r="X40" i="9"/>
  <c r="X51" i="9"/>
  <c r="Y90" i="8"/>
  <c r="X55" i="8"/>
  <c r="X77" i="8" s="1"/>
  <c r="X42" i="3"/>
  <c r="X194" i="3" s="1"/>
  <c r="Y72" i="3"/>
  <c r="Y164" i="3" s="1"/>
  <c r="X61" i="10"/>
  <c r="Y40" i="9"/>
  <c r="Y51" i="9"/>
  <c r="X10" i="3"/>
  <c r="X42" i="10"/>
  <c r="X64" i="10"/>
  <c r="X13" i="9"/>
  <c r="X11" i="9" s="1"/>
  <c r="X42" i="9"/>
  <c r="X53" i="9"/>
  <c r="Y99" i="8"/>
  <c r="Y86" i="8"/>
  <c r="X10" i="16"/>
  <c r="X58" i="3" s="1"/>
  <c r="X210" i="3" s="1"/>
  <c r="X18" i="17"/>
  <c r="Y4" i="16"/>
  <c r="Y24" i="16" s="1"/>
  <c r="X4" i="16"/>
  <c r="X20" i="16" s="1"/>
  <c r="X4" i="19"/>
  <c r="X20" i="19" s="1"/>
  <c r="Y10" i="19"/>
  <c r="Y25" i="19" s="1"/>
  <c r="X15" i="20"/>
  <c r="Y14" i="20"/>
  <c r="X14" i="3"/>
  <c r="X196" i="3" s="1"/>
  <c r="X206" i="3"/>
  <c r="Y74" i="3"/>
  <c r="Y73" i="3" s="1"/>
  <c r="Y6" i="13"/>
  <c r="Y25" i="13"/>
  <c r="X44" i="13"/>
  <c r="Y45" i="12"/>
  <c r="X31" i="12"/>
  <c r="Y14" i="11"/>
  <c r="Y116" i="11" s="1"/>
  <c r="Y24" i="11"/>
  <c r="Y102" i="11"/>
  <c r="X44" i="11"/>
  <c r="Y97" i="11"/>
  <c r="X28" i="13"/>
  <c r="Y44" i="13"/>
  <c r="Y31" i="12"/>
  <c r="Y33" i="13"/>
  <c r="Y21" i="12"/>
  <c r="Y71" i="12" s="1"/>
  <c r="Y40" i="12"/>
  <c r="Y78" i="11"/>
  <c r="Y46" i="3"/>
  <c r="Y198" i="3" s="1"/>
  <c r="X34" i="13"/>
  <c r="Y4" i="12"/>
  <c r="Y72" i="11"/>
  <c r="Y34" i="13"/>
  <c r="X93" i="11"/>
  <c r="X21" i="12"/>
  <c r="X71" i="12" s="1"/>
  <c r="X28" i="11"/>
  <c r="X68" i="11"/>
  <c r="X73" i="11"/>
  <c r="X24" i="13"/>
  <c r="Y35" i="13"/>
  <c r="X89" i="11"/>
  <c r="Y35" i="12"/>
  <c r="Y68" i="11"/>
  <c r="Y73" i="11"/>
  <c r="Y29" i="12"/>
  <c r="X14" i="11"/>
  <c r="X119" i="11" s="1"/>
  <c r="X92" i="11"/>
  <c r="X48" i="11"/>
  <c r="Y47" i="13"/>
  <c r="Y27" i="13"/>
  <c r="Y83" i="3"/>
  <c r="Y235" i="3" s="1"/>
  <c r="Y10" i="13"/>
  <c r="Y37" i="13"/>
  <c r="X41" i="3"/>
  <c r="X228" i="3"/>
  <c r="X44" i="10"/>
  <c r="X55" i="10"/>
  <c r="X81" i="3"/>
  <c r="Y20" i="19"/>
  <c r="Y60" i="3"/>
  <c r="Y24" i="19"/>
  <c r="Y18" i="17"/>
  <c r="Y87" i="3"/>
  <c r="Y239" i="3" s="1"/>
  <c r="Y3" i="17"/>
  <c r="Y23" i="17" s="1"/>
  <c r="Y23" i="15"/>
  <c r="Y21" i="15"/>
  <c r="Y162" i="3"/>
  <c r="X43" i="13"/>
  <c r="X33" i="13"/>
  <c r="X23" i="13"/>
  <c r="X6" i="13"/>
  <c r="X4" i="13"/>
  <c r="X74" i="3"/>
  <c r="X25" i="19"/>
  <c r="X21" i="19"/>
  <c r="X61" i="3"/>
  <c r="X3" i="18"/>
  <c r="X18" i="18" s="1"/>
  <c r="X30" i="3"/>
  <c r="X14" i="18"/>
  <c r="X18" i="20"/>
  <c r="X14" i="14"/>
  <c r="X20" i="14" s="1"/>
  <c r="X4" i="14"/>
  <c r="X43" i="3"/>
  <c r="X198" i="3"/>
  <c r="Y91" i="3"/>
  <c r="Y243" i="3" s="1"/>
  <c r="Y19" i="20"/>
  <c r="Y3" i="20"/>
  <c r="Y23" i="20" s="1"/>
  <c r="Y15" i="20"/>
  <c r="Y28" i="11"/>
  <c r="Y101" i="11"/>
  <c r="X4" i="10"/>
  <c r="X23" i="10"/>
  <c r="X7" i="18"/>
  <c r="Y28" i="3"/>
  <c r="Y84" i="3"/>
  <c r="Y192" i="3"/>
  <c r="Y237" i="3"/>
  <c r="Y242" i="3"/>
  <c r="Y19" i="18"/>
  <c r="X19" i="17"/>
  <c r="X11" i="17"/>
  <c r="X15" i="17"/>
  <c r="Y10" i="16"/>
  <c r="Y43" i="13"/>
  <c r="X4" i="11"/>
  <c r="X107" i="11" s="1"/>
  <c r="X91" i="11"/>
  <c r="X81" i="11"/>
  <c r="X24" i="11"/>
  <c r="X97" i="11"/>
  <c r="X58" i="11"/>
  <c r="X69" i="11"/>
  <c r="Y4" i="10"/>
  <c r="Y50" i="10"/>
  <c r="Y61" i="10"/>
  <c r="X15" i="18"/>
  <c r="X14" i="15"/>
  <c r="Y38" i="13"/>
  <c r="Y48" i="13"/>
  <c r="Y91" i="11"/>
  <c r="Y8" i="11"/>
  <c r="Y113" i="11" s="1"/>
  <c r="X52" i="9"/>
  <c r="Y29" i="3"/>
  <c r="Y123" i="3" s="1"/>
  <c r="Y222" i="3"/>
  <c r="Y10" i="20"/>
  <c r="Y14" i="15"/>
  <c r="Y5" i="13"/>
  <c r="X49" i="13"/>
  <c r="X29" i="13"/>
  <c r="X39" i="13"/>
  <c r="X43" i="12"/>
  <c r="X23" i="12"/>
  <c r="X73" i="12" s="1"/>
  <c r="X10" i="12"/>
  <c r="X45" i="12"/>
  <c r="X103" i="11"/>
  <c r="X38" i="11"/>
  <c r="X71" i="11"/>
  <c r="X82" i="11"/>
  <c r="X26" i="3"/>
  <c r="Y205" i="3"/>
  <c r="Y18" i="20"/>
  <c r="Y14" i="18"/>
  <c r="Y15" i="15"/>
  <c r="X45" i="13"/>
  <c r="X35" i="13"/>
  <c r="X25" i="13"/>
  <c r="Y43" i="12"/>
  <c r="Y38" i="11"/>
  <c r="Y71" i="11"/>
  <c r="Y82" i="11"/>
  <c r="Y87" i="8"/>
  <c r="Y17" i="8"/>
  <c r="Y34" i="10"/>
  <c r="Y15" i="10"/>
  <c r="Y45" i="10"/>
  <c r="Y22" i="3"/>
  <c r="X3" i="17"/>
  <c r="X23" i="17" s="1"/>
  <c r="Y19" i="17"/>
  <c r="Y4" i="14"/>
  <c r="Y4" i="13"/>
  <c r="X39" i="12"/>
  <c r="X6" i="12"/>
  <c r="X29" i="12"/>
  <c r="X34" i="12"/>
  <c r="X24" i="12"/>
  <c r="X74" i="12" s="1"/>
  <c r="X33" i="12"/>
  <c r="X44" i="12"/>
  <c r="X67" i="11"/>
  <c r="X30" i="10"/>
  <c r="X52" i="10"/>
  <c r="X197" i="3"/>
  <c r="Y22" i="15"/>
  <c r="Y33" i="12"/>
  <c r="Y28" i="10"/>
  <c r="Y56" i="10"/>
  <c r="X50" i="9"/>
  <c r="X39" i="9"/>
  <c r="X28" i="9"/>
  <c r="X41" i="10"/>
  <c r="X19" i="20"/>
  <c r="X11" i="20"/>
  <c r="Y18" i="18"/>
  <c r="X3" i="15"/>
  <c r="X23" i="15"/>
  <c r="X15" i="15"/>
  <c r="X37" i="13"/>
  <c r="X27" i="13"/>
  <c r="X10" i="13"/>
  <c r="X30" i="12"/>
  <c r="X20" i="12"/>
  <c r="X70" i="12" s="1"/>
  <c r="X5" i="12"/>
  <c r="X40" i="12"/>
  <c r="X11" i="10"/>
  <c r="X9" i="10" s="1"/>
  <c r="X34" i="10"/>
  <c r="X45" i="10"/>
  <c r="X56" i="10"/>
  <c r="Y28" i="9"/>
  <c r="Y39" i="9"/>
  <c r="Y13" i="9"/>
  <c r="Y50" i="9"/>
  <c r="Y30" i="12"/>
  <c r="Y20" i="12"/>
  <c r="Y70" i="12" s="1"/>
  <c r="Y5" i="12"/>
  <c r="Y34" i="12"/>
  <c r="Y24" i="12"/>
  <c r="Y74" i="12" s="1"/>
  <c r="Y87" i="11"/>
  <c r="Y4" i="11"/>
  <c r="Y81" i="11"/>
  <c r="Y30" i="10"/>
  <c r="Y11" i="10"/>
  <c r="Y32" i="9"/>
  <c r="Y54" i="8"/>
  <c r="Y76" i="8" s="1"/>
  <c r="Y98" i="8"/>
  <c r="Y58" i="8"/>
  <c r="Y80" i="8" s="1"/>
  <c r="Y102" i="8"/>
  <c r="Y101" i="8"/>
  <c r="Y49" i="13"/>
  <c r="Y93" i="11"/>
  <c r="X34" i="11"/>
  <c r="X72" i="11"/>
  <c r="Y54" i="11"/>
  <c r="Y53" i="11" s="1"/>
  <c r="X83" i="11"/>
  <c r="Y17" i="9"/>
  <c r="Y27" i="9"/>
  <c r="Y6" i="12"/>
  <c r="Y10" i="12"/>
  <c r="Y83" i="11"/>
  <c r="Y34" i="11"/>
  <c r="X39" i="10"/>
  <c r="Y52" i="10"/>
  <c r="Y6" i="8"/>
  <c r="Y10" i="8"/>
  <c r="Y84" i="8"/>
  <c r="Y21" i="8"/>
  <c r="Y124" i="8" s="1"/>
  <c r="Y95" i="8"/>
  <c r="Y54" i="9"/>
  <c r="X54" i="9"/>
  <c r="X43" i="9"/>
  <c r="X32" i="9"/>
  <c r="Y97" i="8"/>
  <c r="Y28" i="8"/>
  <c r="Y63" i="8" s="1"/>
  <c r="X98" i="8"/>
  <c r="X54" i="8"/>
  <c r="X76" i="8" s="1"/>
  <c r="X102" i="8"/>
  <c r="X58" i="8"/>
  <c r="X80" i="8" s="1"/>
  <c r="Y42" i="10"/>
  <c r="Y46" i="10"/>
  <c r="Y64" i="10"/>
  <c r="Y51" i="8"/>
  <c r="Y73" i="8" s="1"/>
  <c r="X57" i="10"/>
  <c r="Y47" i="9"/>
  <c r="X17" i="8"/>
  <c r="X21" i="8"/>
  <c r="X123" i="8" s="1"/>
  <c r="X97" i="8"/>
  <c r="X101" i="8"/>
  <c r="X233" i="3" l="1"/>
  <c r="Y52" i="3"/>
  <c r="Y204" i="3" s="1"/>
  <c r="Y3" i="19"/>
  <c r="Y28" i="19" s="1"/>
  <c r="X25" i="14"/>
  <c r="X113" i="8"/>
  <c r="Y11" i="20"/>
  <c r="Y3" i="16"/>
  <c r="Y23" i="16" s="1"/>
  <c r="Y96" i="11"/>
  <c r="X89" i="3"/>
  <c r="X181" i="3" s="1"/>
  <c r="X111" i="8"/>
  <c r="X41" i="9"/>
  <c r="Y10" i="17"/>
  <c r="Y20" i="16"/>
  <c r="X112" i="8"/>
  <c r="Y17" i="15"/>
  <c r="Y57" i="3"/>
  <c r="Y209" i="3" s="1"/>
  <c r="Y13" i="3"/>
  <c r="Y225" i="3" s="1"/>
  <c r="X100" i="8"/>
  <c r="X112" i="11"/>
  <c r="X52" i="3"/>
  <c r="X3" i="16"/>
  <c r="X28" i="16" s="1"/>
  <c r="Y36" i="8"/>
  <c r="X90" i="11"/>
  <c r="Y20" i="14"/>
  <c r="X118" i="11"/>
  <c r="X22" i="15"/>
  <c r="X236" i="3"/>
  <c r="X24" i="19"/>
  <c r="X76" i="11"/>
  <c r="X63" i="8"/>
  <c r="Y122" i="11"/>
  <c r="X13" i="11"/>
  <c r="X48" i="9"/>
  <c r="X116" i="11"/>
  <c r="Y121" i="11"/>
  <c r="X3" i="19"/>
  <c r="X29" i="19" s="1"/>
  <c r="Y123" i="11"/>
  <c r="X86" i="3"/>
  <c r="X238" i="3" s="1"/>
  <c r="X10" i="20"/>
  <c r="X60" i="3"/>
  <c r="X59" i="3" s="1"/>
  <c r="X153" i="3" s="1"/>
  <c r="Y21" i="14"/>
  <c r="X19" i="13"/>
  <c r="Y3" i="12"/>
  <c r="Y47" i="12" s="1"/>
  <c r="X111" i="11"/>
  <c r="X110" i="11"/>
  <c r="X43" i="11"/>
  <c r="X22" i="3"/>
  <c r="X234" i="3" s="1"/>
  <c r="Y197" i="3"/>
  <c r="X80" i="11"/>
  <c r="Y227" i="3"/>
  <c r="X117" i="11"/>
  <c r="X192" i="3"/>
  <c r="X96" i="8"/>
  <c r="X4" i="8"/>
  <c r="X108" i="8" s="1"/>
  <c r="X61" i="8"/>
  <c r="X25" i="8"/>
  <c r="Y13" i="18"/>
  <c r="Y25" i="14"/>
  <c r="X21" i="20"/>
  <c r="Y22" i="13"/>
  <c r="X22" i="17"/>
  <c r="X122" i="11"/>
  <c r="X13" i="20"/>
  <c r="Y22" i="18"/>
  <c r="X22" i="20"/>
  <c r="Y13" i="15"/>
  <c r="X205" i="3"/>
  <c r="Y18" i="15"/>
  <c r="Y43" i="11"/>
  <c r="X22" i="10"/>
  <c r="X36" i="8"/>
  <c r="Y80" i="11"/>
  <c r="Y23" i="18"/>
  <c r="X224" i="3"/>
  <c r="Y111" i="11"/>
  <c r="Y42" i="13"/>
  <c r="Y12" i="14"/>
  <c r="Y18" i="14" s="1"/>
  <c r="X13" i="3"/>
  <c r="X195" i="3" s="1"/>
  <c r="X37" i="9"/>
  <c r="X3" i="12"/>
  <c r="X49" i="12" s="1"/>
  <c r="Y23" i="10"/>
  <c r="Y22" i="10"/>
  <c r="Y117" i="11"/>
  <c r="X121" i="11"/>
  <c r="Y119" i="11"/>
  <c r="X29" i="16"/>
  <c r="Y118" i="11"/>
  <c r="X53" i="11"/>
  <c r="Y76" i="11"/>
  <c r="X21" i="16"/>
  <c r="X10" i="17"/>
  <c r="X123" i="11"/>
  <c r="Y112" i="11"/>
  <c r="X21" i="14"/>
  <c r="Y13" i="11"/>
  <c r="X25" i="16"/>
  <c r="X57" i="3"/>
  <c r="X209" i="3" s="1"/>
  <c r="Y32" i="13"/>
  <c r="X24" i="16"/>
  <c r="X17" i="20"/>
  <c r="Y43" i="3"/>
  <c r="X9" i="3"/>
  <c r="X222" i="3"/>
  <c r="Y226" i="3"/>
  <c r="Y123" i="8"/>
  <c r="Y224" i="3"/>
  <c r="Y21" i="19"/>
  <c r="Y61" i="3"/>
  <c r="Y213" i="3" s="1"/>
  <c r="X70" i="11"/>
  <c r="X100" i="11"/>
  <c r="Y19" i="13"/>
  <c r="X85" i="8"/>
  <c r="X15" i="8"/>
  <c r="X24" i="9" s="1"/>
  <c r="X49" i="10"/>
  <c r="X8" i="10"/>
  <c r="X60" i="10" s="1"/>
  <c r="Y44" i="10"/>
  <c r="Y55" i="10"/>
  <c r="Y33" i="10"/>
  <c r="Y81" i="3"/>
  <c r="X110" i="8"/>
  <c r="X17" i="17"/>
  <c r="X13" i="17"/>
  <c r="X21" i="17"/>
  <c r="X29" i="3"/>
  <c r="X122" i="3" s="1"/>
  <c r="X242" i="3"/>
  <c r="Y89" i="3"/>
  <c r="Y183" i="3" s="1"/>
  <c r="Y122" i="8"/>
  <c r="Y89" i="8"/>
  <c r="X13" i="15"/>
  <c r="X19" i="15"/>
  <c r="X17" i="15"/>
  <c r="Y85" i="8"/>
  <c r="Y15" i="8"/>
  <c r="Y118" i="8" s="1"/>
  <c r="Y240" i="3"/>
  <c r="Y122" i="3"/>
  <c r="Y32" i="12"/>
  <c r="Y22" i="12"/>
  <c r="Y72" i="12" s="1"/>
  <c r="Y42" i="12"/>
  <c r="Y41" i="9"/>
  <c r="Y30" i="9"/>
  <c r="Y52" i="9"/>
  <c r="Y51" i="3"/>
  <c r="X18" i="15"/>
  <c r="Y70" i="11"/>
  <c r="X12" i="14"/>
  <c r="X18" i="14" s="1"/>
  <c r="X18" i="13"/>
  <c r="X3" i="13"/>
  <c r="X52" i="13" s="1"/>
  <c r="X26" i="14"/>
  <c r="X66" i="11"/>
  <c r="X26" i="13"/>
  <c r="X46" i="13"/>
  <c r="X36" i="13"/>
  <c r="Y66" i="11"/>
  <c r="Y40" i="10"/>
  <c r="Y51" i="10"/>
  <c r="Y29" i="10"/>
  <c r="Y71" i="3"/>
  <c r="X30" i="9"/>
  <c r="X106" i="11"/>
  <c r="X108" i="11"/>
  <c r="X86" i="11"/>
  <c r="X109" i="11"/>
  <c r="Y236" i="3"/>
  <c r="Y100" i="11"/>
  <c r="Y23" i="11"/>
  <c r="X213" i="3"/>
  <c r="X73" i="3"/>
  <c r="X226" i="3"/>
  <c r="X13" i="18"/>
  <c r="X17" i="18"/>
  <c r="X19" i="18"/>
  <c r="Y23" i="19"/>
  <c r="Y19" i="19"/>
  <c r="Y112" i="8"/>
  <c r="Y100" i="8"/>
  <c r="Y56" i="8"/>
  <c r="Y78" i="8" s="1"/>
  <c r="Y111" i="8"/>
  <c r="Y21" i="3"/>
  <c r="Y28" i="12"/>
  <c r="Y18" i="12"/>
  <c r="Y68" i="12" s="1"/>
  <c r="Y38" i="12"/>
  <c r="Y113" i="8"/>
  <c r="Y106" i="11"/>
  <c r="Y107" i="11"/>
  <c r="Y109" i="11"/>
  <c r="Y86" i="11"/>
  <c r="Y48" i="9"/>
  <c r="Y26" i="9"/>
  <c r="Y37" i="9"/>
  <c r="Y41" i="3"/>
  <c r="Y11" i="9"/>
  <c r="X40" i="10"/>
  <c r="X71" i="3"/>
  <c r="X51" i="10"/>
  <c r="X29" i="10"/>
  <c r="X52" i="8"/>
  <c r="Y9" i="10"/>
  <c r="Y108" i="11"/>
  <c r="X38" i="12"/>
  <c r="X28" i="12"/>
  <c r="X18" i="12"/>
  <c r="X68" i="12" s="1"/>
  <c r="Y26" i="3"/>
  <c r="X42" i="13"/>
  <c r="X32" i="13"/>
  <c r="X22" i="13"/>
  <c r="Y212" i="3"/>
  <c r="X89" i="8"/>
  <c r="X122" i="8"/>
  <c r="X124" i="8"/>
  <c r="Y96" i="8"/>
  <c r="Y52" i="8"/>
  <c r="Y74" i="8" s="1"/>
  <c r="Y4" i="8"/>
  <c r="Y107" i="8" s="1"/>
  <c r="Y11" i="3"/>
  <c r="X26" i="9"/>
  <c r="Y36" i="13"/>
  <c r="Y26" i="13"/>
  <c r="Y46" i="13"/>
  <c r="Y18" i="13"/>
  <c r="Y3" i="13"/>
  <c r="Y56" i="13" s="1"/>
  <c r="X32" i="12"/>
  <c r="X22" i="12"/>
  <c r="X72" i="12" s="1"/>
  <c r="X42" i="12"/>
  <c r="Y121" i="3"/>
  <c r="X96" i="11"/>
  <c r="X23" i="11"/>
  <c r="Y21" i="16"/>
  <c r="Y11" i="17"/>
  <c r="Y29" i="16"/>
  <c r="Y25" i="16"/>
  <c r="Y58" i="3"/>
  <c r="Y21" i="20"/>
  <c r="Y13" i="20"/>
  <c r="Y17" i="20"/>
  <c r="Y9" i="20"/>
  <c r="Y22" i="20"/>
  <c r="Y13" i="17"/>
  <c r="Y21" i="17"/>
  <c r="Y17" i="17"/>
  <c r="Y9" i="17"/>
  <c r="X33" i="10"/>
  <c r="X193" i="3"/>
  <c r="X39" i="3"/>
  <c r="Y82" i="3"/>
  <c r="Y234" i="3" s="1"/>
  <c r="Y26" i="8"/>
  <c r="X56" i="8"/>
  <c r="X78" i="8" s="1"/>
  <c r="Y110" i="11"/>
  <c r="Y90" i="11"/>
  <c r="X21" i="18"/>
  <c r="X22" i="18"/>
  <c r="Y86" i="3"/>
  <c r="X46" i="9"/>
  <c r="X10" i="9"/>
  <c r="X57" i="9" s="1"/>
  <c r="Y22" i="17"/>
  <c r="X23" i="18"/>
  <c r="X183" i="3" l="1"/>
  <c r="X182" i="3"/>
  <c r="Y27" i="19"/>
  <c r="Y48" i="12"/>
  <c r="X204" i="3"/>
  <c r="Y54" i="12"/>
  <c r="Y50" i="12"/>
  <c r="Y53" i="12"/>
  <c r="Y29" i="19"/>
  <c r="Y17" i="12"/>
  <c r="Y67" i="12" s="1"/>
  <c r="X95" i="11"/>
  <c r="Y27" i="16"/>
  <c r="Y28" i="16"/>
  <c r="Y19" i="16"/>
  <c r="Y56" i="3"/>
  <c r="Y208" i="3" s="1"/>
  <c r="X212" i="3"/>
  <c r="Y195" i="3"/>
  <c r="X9" i="17"/>
  <c r="X35" i="9"/>
  <c r="X23" i="16"/>
  <c r="X74" i="8"/>
  <c r="X19" i="16"/>
  <c r="X27" i="16"/>
  <c r="X19" i="19"/>
  <c r="Y52" i="12"/>
  <c r="X27" i="19"/>
  <c r="Y49" i="12"/>
  <c r="X23" i="19"/>
  <c r="X9" i="20"/>
  <c r="Y55" i="12"/>
  <c r="Y51" i="12"/>
  <c r="X51" i="12"/>
  <c r="X106" i="8"/>
  <c r="X94" i="8"/>
  <c r="X109" i="8"/>
  <c r="X38" i="10"/>
  <c r="X107" i="8"/>
  <c r="X28" i="19"/>
  <c r="X105" i="8"/>
  <c r="Y24" i="14"/>
  <c r="X56" i="3"/>
  <c r="X208" i="3" s="1"/>
  <c r="X62" i="10"/>
  <c r="X225" i="3"/>
  <c r="Y95" i="11"/>
  <c r="Y37" i="12"/>
  <c r="X53" i="12"/>
  <c r="X50" i="12"/>
  <c r="X54" i="12"/>
  <c r="X52" i="12"/>
  <c r="X55" i="12"/>
  <c r="X17" i="12"/>
  <c r="X67" i="12" s="1"/>
  <c r="X118" i="8"/>
  <c r="X48" i="12"/>
  <c r="X47" i="12"/>
  <c r="Y59" i="3"/>
  <c r="Y152" i="3" s="1"/>
  <c r="X50" i="8"/>
  <c r="X72" i="8" s="1"/>
  <c r="X27" i="10"/>
  <c r="X56" i="13"/>
  <c r="Y75" i="11"/>
  <c r="Y238" i="3"/>
  <c r="Y203" i="3"/>
  <c r="Y55" i="13"/>
  <c r="Y41" i="13"/>
  <c r="Y51" i="13"/>
  <c r="Y59" i="13"/>
  <c r="Y57" i="13"/>
  <c r="Y21" i="13"/>
  <c r="Y54" i="13"/>
  <c r="Y52" i="13"/>
  <c r="Y58" i="13"/>
  <c r="Y53" i="13"/>
  <c r="X37" i="12"/>
  <c r="X24" i="14"/>
  <c r="X69" i="3"/>
  <c r="X223" i="3"/>
  <c r="X59" i="10"/>
  <c r="X48" i="10"/>
  <c r="X63" i="10"/>
  <c r="X67" i="10"/>
  <c r="X66" i="10"/>
  <c r="X75" i="11"/>
  <c r="Y241" i="3"/>
  <c r="Y117" i="8"/>
  <c r="Y116" i="8"/>
  <c r="Y83" i="8"/>
  <c r="Y14" i="8"/>
  <c r="Y121" i="8"/>
  <c r="Y119" i="8"/>
  <c r="Y120" i="8"/>
  <c r="Y69" i="3"/>
  <c r="X14" i="8"/>
  <c r="X82" i="8" s="1"/>
  <c r="X83" i="8"/>
  <c r="X116" i="8"/>
  <c r="X120" i="8"/>
  <c r="X121" i="8"/>
  <c r="X117" i="8"/>
  <c r="X119" i="8"/>
  <c r="Y223" i="3"/>
  <c r="Y9" i="3"/>
  <c r="X191" i="3"/>
  <c r="X211" i="3"/>
  <c r="X151" i="3"/>
  <c r="X60" i="9"/>
  <c r="X64" i="9"/>
  <c r="X56" i="9"/>
  <c r="X62" i="9"/>
  <c r="X45" i="9"/>
  <c r="X58" i="9"/>
  <c r="X61" i="9"/>
  <c r="X63" i="9"/>
  <c r="X59" i="9"/>
  <c r="X65" i="9"/>
  <c r="X152" i="3"/>
  <c r="Y109" i="8"/>
  <c r="Y94" i="8"/>
  <c r="Y108" i="8"/>
  <c r="Y50" i="8"/>
  <c r="Y105" i="8"/>
  <c r="Y110" i="8"/>
  <c r="Y106" i="8"/>
  <c r="Y10" i="9"/>
  <c r="Y46" i="9"/>
  <c r="Y24" i="9"/>
  <c r="Y35" i="9"/>
  <c r="X41" i="13"/>
  <c r="X51" i="13"/>
  <c r="X21" i="13"/>
  <c r="X58" i="13"/>
  <c r="X59" i="13"/>
  <c r="X54" i="13"/>
  <c r="X55" i="13"/>
  <c r="X57" i="13"/>
  <c r="X53" i="13"/>
  <c r="Y49" i="10"/>
  <c r="Y38" i="10"/>
  <c r="Y8" i="10"/>
  <c r="Y27" i="10"/>
  <c r="Y39" i="3"/>
  <c r="Y193" i="3"/>
  <c r="Y233" i="3"/>
  <c r="Y181" i="3"/>
  <c r="Y182" i="3"/>
  <c r="Y61" i="8"/>
  <c r="Y25" i="8"/>
  <c r="Y210" i="3"/>
  <c r="X241" i="3"/>
  <c r="X121" i="3"/>
  <c r="X123" i="3"/>
  <c r="Y153" i="3" l="1"/>
  <c r="Y151" i="3"/>
  <c r="Y72" i="8"/>
  <c r="Y211" i="3"/>
  <c r="X23" i="9"/>
  <c r="Y191" i="3"/>
  <c r="Y221" i="3"/>
  <c r="Y82" i="8"/>
  <c r="X26" i="10"/>
  <c r="X221" i="3"/>
  <c r="Y26" i="10"/>
  <c r="Y59" i="10"/>
  <c r="Y48" i="10"/>
  <c r="Y67" i="10"/>
  <c r="Y63" i="10"/>
  <c r="Y66" i="10"/>
  <c r="Y62" i="10"/>
  <c r="Y23" i="9"/>
  <c r="Y45" i="9"/>
  <c r="Y56" i="9"/>
  <c r="Y60" i="9"/>
  <c r="Y58" i="9"/>
  <c r="Y64" i="9"/>
  <c r="Y62" i="9"/>
  <c r="Y65" i="9"/>
  <c r="Y61" i="9"/>
  <c r="Y59" i="9"/>
  <c r="Y63" i="9"/>
  <c r="Y60" i="10"/>
  <c r="Y57" i="9"/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E3" i="20"/>
  <c r="E22" i="20" s="1"/>
  <c r="C90" i="3"/>
  <c r="B90" i="3"/>
  <c r="M15" i="20"/>
  <c r="G15" i="20"/>
  <c r="E15" i="20"/>
  <c r="W14" i="18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Q14" i="18"/>
  <c r="P18" i="20"/>
  <c r="N30" i="3"/>
  <c r="M30" i="3"/>
  <c r="K30" i="3"/>
  <c r="J30" i="3"/>
  <c r="I30" i="3"/>
  <c r="H30" i="3"/>
  <c r="G30" i="3"/>
  <c r="C30" i="3"/>
  <c r="B30" i="3"/>
  <c r="C18" i="20"/>
  <c r="B25" i="1"/>
  <c r="B26" i="1"/>
  <c r="B24" i="1"/>
  <c r="S242" i="3" l="1"/>
  <c r="C242" i="3"/>
  <c r="O14" i="18"/>
  <c r="I15" i="18"/>
  <c r="E3" i="18"/>
  <c r="E19" i="18" s="1"/>
  <c r="I7" i="18"/>
  <c r="I23" i="18" s="1"/>
  <c r="U3" i="18"/>
  <c r="U17" i="18" s="1"/>
  <c r="I23" i="13"/>
  <c r="C29" i="13"/>
  <c r="F3" i="18"/>
  <c r="F17" i="18" s="1"/>
  <c r="V3" i="18"/>
  <c r="V19" i="18" s="1"/>
  <c r="R7" i="18"/>
  <c r="R21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2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42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11" i="20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N29" i="3"/>
  <c r="A117" i="3"/>
  <c r="A147" i="3"/>
  <c r="A54" i="3"/>
  <c r="A176" i="3"/>
  <c r="A55" i="3"/>
  <c r="A177" i="3"/>
  <c r="A84" i="3"/>
  <c r="A206" i="3"/>
  <c r="A85" i="3"/>
  <c r="A146" i="3"/>
  <c r="A116" i="3"/>
  <c r="E17" i="18"/>
  <c r="I21" i="18"/>
  <c r="N3" i="18"/>
  <c r="N17" i="18" s="1"/>
  <c r="U14" i="18"/>
  <c r="E21" i="20"/>
  <c r="P14" i="18"/>
  <c r="J14" i="20"/>
  <c r="O3" i="20"/>
  <c r="O23" i="20" s="1"/>
  <c r="O3" i="18"/>
  <c r="O18" i="18" s="1"/>
  <c r="N3" i="20"/>
  <c r="F20" i="19"/>
  <c r="Q14" i="20"/>
  <c r="Q3" i="20"/>
  <c r="Q22" i="20" s="1"/>
  <c r="C19" i="20"/>
  <c r="E14" i="18"/>
  <c r="M14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B4" i="19"/>
  <c r="B60" i="3" s="1"/>
  <c r="J4" i="19"/>
  <c r="J60" i="3" s="1"/>
  <c r="J212" i="3" s="1"/>
  <c r="R4" i="19"/>
  <c r="R60" i="3" s="1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P7" i="18"/>
  <c r="P21" i="18" s="1"/>
  <c r="H14" i="18"/>
  <c r="B15" i="18"/>
  <c r="R15" i="18"/>
  <c r="D10" i="19"/>
  <c r="L10" i="19"/>
  <c r="T10" i="19"/>
  <c r="R14" i="20"/>
  <c r="M19" i="20"/>
  <c r="K15" i="20"/>
  <c r="K3" i="20"/>
  <c r="K22" i="20" s="1"/>
  <c r="Q3" i="18"/>
  <c r="Q18" i="18" s="1"/>
  <c r="C3" i="18"/>
  <c r="C19" i="18" s="1"/>
  <c r="U18" i="18"/>
  <c r="Q7" i="18"/>
  <c r="Q21" i="18" s="1"/>
  <c r="I14" i="18"/>
  <c r="C15" i="18"/>
  <c r="S15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B7" i="18"/>
  <c r="B22" i="18" s="1"/>
  <c r="J7" i="18"/>
  <c r="J21" i="18" s="1"/>
  <c r="D14" i="20"/>
  <c r="L14" i="20"/>
  <c r="T14" i="20"/>
  <c r="F15" i="20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U15" i="18"/>
  <c r="H14" i="20"/>
  <c r="H3" i="20"/>
  <c r="H22" i="20" s="1"/>
  <c r="P14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D18" i="20"/>
  <c r="L18" i="20"/>
  <c r="T18" i="20"/>
  <c r="F19" i="20"/>
  <c r="N19" i="20"/>
  <c r="V19" i="20"/>
  <c r="E18" i="20"/>
  <c r="M18" i="20"/>
  <c r="U18" i="20"/>
  <c r="G19" i="20"/>
  <c r="O19" i="20"/>
  <c r="W19" i="20"/>
  <c r="E23" i="20"/>
  <c r="R3" i="20"/>
  <c r="E17" i="20" l="1"/>
  <c r="E18" i="18"/>
  <c r="N13" i="20"/>
  <c r="F22" i="20"/>
  <c r="W23" i="20"/>
  <c r="R25" i="19"/>
  <c r="M22" i="20"/>
  <c r="E13" i="18"/>
  <c r="E23" i="18"/>
  <c r="Q21" i="19"/>
  <c r="L10" i="20"/>
  <c r="Q25" i="19"/>
  <c r="E22" i="18"/>
  <c r="E13" i="20"/>
  <c r="L20" i="19"/>
  <c r="M23" i="20"/>
  <c r="J11" i="20"/>
  <c r="H20" i="19"/>
  <c r="W24" i="19"/>
  <c r="P10" i="20"/>
  <c r="G18" i="18"/>
  <c r="I22" i="18"/>
  <c r="F24" i="19"/>
  <c r="R21" i="19"/>
  <c r="H25" i="19"/>
  <c r="K23" i="18"/>
  <c r="U19" i="18"/>
  <c r="F18" i="18"/>
  <c r="Q10" i="20"/>
  <c r="G25" i="19"/>
  <c r="D21" i="20"/>
  <c r="O11" i="20"/>
  <c r="N20" i="19"/>
  <c r="U24" i="19"/>
  <c r="Q24" i="19"/>
  <c r="G23" i="20"/>
  <c r="O21" i="19"/>
  <c r="P24" i="19"/>
  <c r="N23" i="18"/>
  <c r="T23" i="18"/>
  <c r="R23" i="18"/>
  <c r="W17" i="20"/>
  <c r="R22" i="18"/>
  <c r="N24" i="19"/>
  <c r="N10" i="20"/>
  <c r="W10" i="20"/>
  <c r="T22" i="18"/>
  <c r="K20" i="19"/>
  <c r="T20" i="19"/>
  <c r="H3" i="19"/>
  <c r="H29" i="19" s="1"/>
  <c r="M24" i="19"/>
  <c r="R212" i="3"/>
  <c r="L23" i="18"/>
  <c r="F19" i="18"/>
  <c r="N22" i="18"/>
  <c r="Q11" i="20"/>
  <c r="F89" i="3"/>
  <c r="F181" i="3" s="1"/>
  <c r="U29" i="3"/>
  <c r="U123" i="3" s="1"/>
  <c r="M23" i="18"/>
  <c r="S23" i="18"/>
  <c r="S22" i="18"/>
  <c r="N241" i="3"/>
  <c r="D23" i="20"/>
  <c r="I213" i="3"/>
  <c r="M22" i="18"/>
  <c r="G24" i="19"/>
  <c r="L21" i="20"/>
  <c r="W3" i="19"/>
  <c r="W28" i="19" s="1"/>
  <c r="S10" i="20"/>
  <c r="R29" i="3"/>
  <c r="R123" i="3" s="1"/>
  <c r="J21" i="19"/>
  <c r="T24" i="19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1" i="3" s="1"/>
  <c r="M3" i="19"/>
  <c r="M23" i="19" s="1"/>
  <c r="G21" i="20"/>
  <c r="Q29" i="3"/>
  <c r="Q123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N122" i="3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C123" i="3"/>
  <c r="C241" i="3"/>
  <c r="B183" i="3"/>
  <c r="H123" i="3"/>
  <c r="C122" i="3"/>
  <c r="C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I182" i="3"/>
  <c r="C183" i="3"/>
  <c r="J182" i="3"/>
  <c r="M123" i="3"/>
  <c r="M121" i="3"/>
  <c r="O123" i="3"/>
  <c r="E123" i="3"/>
  <c r="W123" i="3"/>
  <c r="G123" i="3"/>
  <c r="B123" i="3"/>
  <c r="W122" i="3"/>
  <c r="M122" i="3"/>
  <c r="N123" i="3"/>
  <c r="N121" i="3"/>
  <c r="E122" i="3"/>
  <c r="O122" i="3"/>
  <c r="P23" i="20"/>
  <c r="D17" i="20"/>
  <c r="J22" i="18"/>
  <c r="P19" i="18"/>
  <c r="O21" i="20"/>
  <c r="O22" i="20"/>
  <c r="J23" i="18"/>
  <c r="B19" i="18"/>
  <c r="V13" i="20"/>
  <c r="T17" i="20"/>
  <c r="L18" i="18"/>
  <c r="E23" i="19"/>
  <c r="J17" i="18"/>
  <c r="J13" i="18"/>
  <c r="C25" i="19"/>
  <c r="C21" i="19"/>
  <c r="C3" i="19"/>
  <c r="C9" i="20" s="1"/>
  <c r="J19" i="18"/>
  <c r="T11" i="20"/>
  <c r="W22" i="18"/>
  <c r="L3" i="19"/>
  <c r="L29" i="19" s="1"/>
  <c r="F21" i="19"/>
  <c r="F11" i="20"/>
  <c r="F25" i="19"/>
  <c r="W23" i="18"/>
  <c r="K21" i="20"/>
  <c r="K17" i="20"/>
  <c r="K13" i="20"/>
  <c r="T25" i="19"/>
  <c r="T21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5" i="19"/>
  <c r="J24" i="19"/>
  <c r="J20" i="19"/>
  <c r="J3" i="19"/>
  <c r="J9" i="20" s="1"/>
  <c r="J10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E21" i="19"/>
  <c r="E25" i="19"/>
  <c r="U11" i="20"/>
  <c r="B24" i="19"/>
  <c r="B20" i="19"/>
  <c r="B3" i="19"/>
  <c r="B9" i="20" s="1"/>
  <c r="G13" i="20"/>
  <c r="B10" i="20"/>
  <c r="Q23" i="18"/>
  <c r="O22" i="18"/>
  <c r="G22" i="18"/>
  <c r="F3" i="19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N27" i="19" l="1"/>
  <c r="U121" i="3"/>
  <c r="F183" i="3"/>
  <c r="U122" i="3"/>
  <c r="F182" i="3"/>
  <c r="E27" i="19"/>
  <c r="Q9" i="20"/>
  <c r="N9" i="20"/>
  <c r="M28" i="19"/>
  <c r="M29" i="19"/>
  <c r="M9" i="20"/>
  <c r="W9" i="20"/>
  <c r="N29" i="19"/>
  <c r="N19" i="19"/>
  <c r="W29" i="19"/>
  <c r="M19" i="19"/>
  <c r="M27" i="19"/>
  <c r="Q23" i="19"/>
  <c r="H27" i="19"/>
  <c r="H19" i="19"/>
  <c r="H23" i="19"/>
  <c r="H28" i="19"/>
  <c r="G27" i="19"/>
  <c r="P9" i="20"/>
  <c r="H9" i="20"/>
  <c r="G28" i="19"/>
  <c r="W27" i="19"/>
  <c r="P27" i="19"/>
  <c r="W19" i="19"/>
  <c r="W23" i="19"/>
  <c r="R241" i="3"/>
  <c r="R121" i="3"/>
  <c r="R122" i="3"/>
  <c r="F241" i="3"/>
  <c r="Q122" i="3"/>
  <c r="L121" i="3"/>
  <c r="P121" i="3"/>
  <c r="Q121" i="3"/>
  <c r="T123" i="3"/>
  <c r="P122" i="3"/>
  <c r="Q241" i="3"/>
  <c r="U182" i="3"/>
  <c r="T241" i="3"/>
  <c r="K183" i="3"/>
  <c r="E28" i="19"/>
  <c r="M182" i="3"/>
  <c r="F152" i="3"/>
  <c r="D123" i="3"/>
  <c r="F153" i="3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Q15" i="17" l="1"/>
  <c r="I15" i="17"/>
  <c r="G14" i="17" l="1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 s="1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52" i="6"/>
  <c r="W88" i="3"/>
  <c r="W87" i="3"/>
  <c r="W85" i="3"/>
  <c r="W84" i="3"/>
  <c r="W83" i="3"/>
  <c r="W76" i="3"/>
  <c r="W75" i="3"/>
  <c r="W74" i="3"/>
  <c r="W72" i="3"/>
  <c r="W164" i="3" s="1"/>
  <c r="W70" i="3"/>
  <c r="W162" i="3" s="1"/>
  <c r="W55" i="3"/>
  <c r="W54" i="3"/>
  <c r="W53" i="3"/>
  <c r="W46" i="3"/>
  <c r="W45" i="3"/>
  <c r="W44" i="3"/>
  <c r="W42" i="3"/>
  <c r="W40" i="3"/>
  <c r="W28" i="3"/>
  <c r="W27" i="3"/>
  <c r="W25" i="3"/>
  <c r="W24" i="3"/>
  <c r="W23" i="3"/>
  <c r="W16" i="3"/>
  <c r="W15" i="3"/>
  <c r="W14" i="3"/>
  <c r="W12" i="3"/>
  <c r="W10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4" i="13"/>
  <c r="W15" i="14"/>
  <c r="W14" i="14"/>
  <c r="W20" i="14" s="1"/>
  <c r="W4" i="14"/>
  <c r="W14" i="15"/>
  <c r="W10" i="16"/>
  <c r="W58" i="3" s="1"/>
  <c r="W4" i="16"/>
  <c r="W57" i="3" s="1"/>
  <c r="W19" i="17"/>
  <c r="W37" i="9" l="1"/>
  <c r="W11" i="3"/>
  <c r="W9" i="3" s="1"/>
  <c r="W22" i="13"/>
  <c r="W80" i="11"/>
  <c r="W53" i="11"/>
  <c r="W70" i="11"/>
  <c r="W100" i="11"/>
  <c r="W122" i="8"/>
  <c r="W33" i="10"/>
  <c r="W224" i="3"/>
  <c r="W240" i="3"/>
  <c r="W36" i="8"/>
  <c r="W43" i="11"/>
  <c r="W239" i="3"/>
  <c r="W226" i="3"/>
  <c r="W73" i="3"/>
  <c r="W82" i="3"/>
  <c r="W86" i="3"/>
  <c r="W235" i="3"/>
  <c r="W209" i="3"/>
  <c r="W210" i="3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10" i="8"/>
  <c r="W113" i="8" s="1"/>
  <c r="W52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W10" i="9" l="1"/>
  <c r="W58" i="9" s="1"/>
  <c r="W38" i="12"/>
  <c r="W42" i="13"/>
  <c r="W21" i="13"/>
  <c r="W23" i="17"/>
  <c r="W13" i="17"/>
  <c r="W118" i="8"/>
  <c r="W27" i="10"/>
  <c r="W234" i="3"/>
  <c r="W39" i="3"/>
  <c r="W191" i="3" s="1"/>
  <c r="W195" i="3"/>
  <c r="W238" i="3"/>
  <c r="W41" i="9"/>
  <c r="W24" i="9"/>
  <c r="W46" i="9"/>
  <c r="W69" i="3"/>
  <c r="W223" i="3"/>
  <c r="W60" i="9"/>
  <c r="W62" i="9"/>
  <c r="W193" i="3"/>
  <c r="W57" i="9"/>
  <c r="W120" i="8"/>
  <c r="W121" i="8"/>
  <c r="W119" i="8"/>
  <c r="W117" i="8"/>
  <c r="W112" i="8"/>
  <c r="W74" i="8"/>
  <c r="W50" i="8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61" i="8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K218" i="7"/>
  <c r="V52" i="6"/>
  <c r="U52" i="6"/>
  <c r="M52" i="6"/>
  <c r="E52" i="6"/>
  <c r="D52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W65" i="9" l="1"/>
  <c r="W59" i="9"/>
  <c r="W45" i="9"/>
  <c r="W61" i="9"/>
  <c r="W64" i="9"/>
  <c r="W63" i="9"/>
  <c r="W52" i="12"/>
  <c r="W23" i="9"/>
  <c r="W26" i="10"/>
  <c r="W18" i="14"/>
  <c r="W60" i="10"/>
  <c r="W65" i="10"/>
  <c r="W61" i="10"/>
  <c r="W63" i="10"/>
  <c r="W67" i="10"/>
  <c r="W221" i="3"/>
  <c r="W66" i="10"/>
  <c r="W72" i="8"/>
  <c r="W82" i="8"/>
  <c r="W41" i="13"/>
  <c r="W233" i="3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L52" i="6" l="1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G26" i="8" l="1"/>
  <c r="J36" i="8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P36" i="8" s="1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T5" i="9"/>
  <c r="D10" i="9"/>
  <c r="L10" i="9"/>
  <c r="F5" i="9"/>
  <c r="N5" i="9"/>
  <c r="V5" i="9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O14" i="8" l="1"/>
  <c r="O26" i="10" s="1"/>
  <c r="E36" i="8"/>
  <c r="O61" i="8"/>
  <c r="H61" i="8"/>
  <c r="E25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K3" i="16" s="1"/>
  <c r="G4" i="16"/>
  <c r="O3" i="16" l="1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T80" i="8" s="1"/>
  <c r="S58" i="8"/>
  <c r="S80" i="8" s="1"/>
  <c r="R58" i="8"/>
  <c r="R80" i="8" s="1"/>
  <c r="Q58" i="8"/>
  <c r="Q80" i="8" s="1"/>
  <c r="P58" i="8"/>
  <c r="P80" i="8" s="1"/>
  <c r="O58" i="8"/>
  <c r="O80" i="8" s="1"/>
  <c r="N58" i="8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Q57" i="8"/>
  <c r="Q79" i="8" s="1"/>
  <c r="P57" i="8"/>
  <c r="P79" i="8" s="1"/>
  <c r="O57" i="8"/>
  <c r="N57" i="8"/>
  <c r="N79" i="8" s="1"/>
  <c r="M57" i="8"/>
  <c r="M79" i="8" s="1"/>
  <c r="L57" i="8"/>
  <c r="L79" i="8" s="1"/>
  <c r="K57" i="8"/>
  <c r="V55" i="8"/>
  <c r="U55" i="8"/>
  <c r="U77" i="8" s="1"/>
  <c r="T55" i="8"/>
  <c r="T77" i="8" s="1"/>
  <c r="S55" i="8"/>
  <c r="R55" i="8"/>
  <c r="R77" i="8" s="1"/>
  <c r="Q55" i="8"/>
  <c r="Q77" i="8" s="1"/>
  <c r="P55" i="8"/>
  <c r="P77" i="8" s="1"/>
  <c r="O55" i="8"/>
  <c r="O77" i="8" s="1"/>
  <c r="N55" i="8"/>
  <c r="N77" i="8" s="1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R76" i="8" s="1"/>
  <c r="Q54" i="8"/>
  <c r="Q76" i="8" s="1"/>
  <c r="P54" i="8"/>
  <c r="P76" i="8" s="1"/>
  <c r="O54" i="8"/>
  <c r="O76" i="8" s="1"/>
  <c r="N54" i="8"/>
  <c r="N76" i="8" s="1"/>
  <c r="M54" i="8"/>
  <c r="M76" i="8" s="1"/>
  <c r="L54" i="8"/>
  <c r="L76" i="8" s="1"/>
  <c r="K54" i="8"/>
  <c r="K76" i="8" s="1"/>
  <c r="V53" i="8"/>
  <c r="V75" i="8" s="1"/>
  <c r="U53" i="8"/>
  <c r="U75" i="8" s="1"/>
  <c r="T53" i="8"/>
  <c r="T75" i="8" s="1"/>
  <c r="S53" i="8"/>
  <c r="S75" i="8" s="1"/>
  <c r="R53" i="8"/>
  <c r="R75" i="8" s="1"/>
  <c r="Q53" i="8"/>
  <c r="Q75" i="8" s="1"/>
  <c r="P53" i="8"/>
  <c r="P75" i="8" s="1"/>
  <c r="O53" i="8"/>
  <c r="O75" i="8" s="1"/>
  <c r="N53" i="8"/>
  <c r="N75" i="8" s="1"/>
  <c r="M53" i="8"/>
  <c r="M75" i="8" s="1"/>
  <c r="L53" i="8"/>
  <c r="L75" i="8" s="1"/>
  <c r="K53" i="8"/>
  <c r="K75" i="8" s="1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N80" i="8"/>
  <c r="R79" i="8"/>
  <c r="O79" i="8"/>
  <c r="K79" i="8"/>
  <c r="V77" i="8"/>
  <c r="S77" i="8"/>
  <c r="S76" i="8"/>
  <c r="R73" i="8"/>
  <c r="O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1" i="3" l="1"/>
  <c r="V81" i="3"/>
  <c r="U81" i="3"/>
  <c r="T81" i="3"/>
  <c r="S81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U51" i="3"/>
  <c r="T51" i="3"/>
  <c r="R51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V21" i="3"/>
  <c r="T21" i="3"/>
  <c r="S21" i="3"/>
  <c r="S233" i="3" s="1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S10" i="3"/>
  <c r="R10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11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A20" i="3"/>
  <c r="A19" i="3"/>
  <c r="A8" i="3"/>
  <c r="A7" i="3"/>
  <c r="A6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B11" i="1"/>
  <c r="B13" i="1"/>
  <c r="B7" i="1"/>
  <c r="B17" i="1"/>
  <c r="B21" i="1"/>
  <c r="B8" i="1"/>
  <c r="B16" i="1"/>
  <c r="B18" i="1"/>
  <c r="B6" i="1"/>
  <c r="B4" i="1"/>
  <c r="B9" i="1"/>
  <c r="B12" i="1"/>
  <c r="B20" i="1"/>
  <c r="B22" i="1"/>
  <c r="B15" i="1"/>
  <c r="A71" i="3" l="1"/>
  <c r="A42" i="3"/>
  <c r="A66" i="3"/>
  <c r="A67" i="3"/>
  <c r="A100" i="3"/>
  <c r="A49" i="3"/>
  <c r="A192" i="3"/>
  <c r="A134" i="3"/>
  <c r="G222" i="3"/>
  <c r="O222" i="3"/>
  <c r="T222" i="3"/>
  <c r="E224" i="3"/>
  <c r="M224" i="3"/>
  <c r="V233" i="3"/>
  <c r="V222" i="3"/>
  <c r="V224" i="3"/>
  <c r="B224" i="3"/>
  <c r="J224" i="3"/>
  <c r="A149" i="3"/>
  <c r="A120" i="3"/>
  <c r="T193" i="3"/>
  <c r="T203" i="3"/>
  <c r="R222" i="3"/>
  <c r="N222" i="3"/>
  <c r="S222" i="3"/>
  <c r="R224" i="3"/>
  <c r="F222" i="3"/>
  <c r="V192" i="3"/>
  <c r="V194" i="3"/>
  <c r="S223" i="3"/>
  <c r="V193" i="3"/>
  <c r="S203" i="3"/>
  <c r="T223" i="3"/>
  <c r="R192" i="3"/>
  <c r="R194" i="3"/>
  <c r="S192" i="3"/>
  <c r="S194" i="3"/>
  <c r="T192" i="3"/>
  <c r="T194" i="3"/>
  <c r="T233" i="3"/>
  <c r="U192" i="3"/>
  <c r="U194" i="3"/>
  <c r="U222" i="3"/>
  <c r="U224" i="3"/>
  <c r="D222" i="3"/>
  <c r="L222" i="3"/>
  <c r="D224" i="3"/>
  <c r="L224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39" i="3" s="1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A104" i="3"/>
  <c r="I222" i="3"/>
  <c r="Q222" i="3"/>
  <c r="G224" i="3"/>
  <c r="O224" i="3"/>
  <c r="A194" i="3"/>
  <c r="E222" i="3"/>
  <c r="M222" i="3"/>
  <c r="C224" i="3"/>
  <c r="K224" i="3"/>
  <c r="B222" i="3"/>
  <c r="J222" i="3"/>
  <c r="H224" i="3"/>
  <c r="P224" i="3"/>
  <c r="I192" i="3"/>
  <c r="Q192" i="3"/>
  <c r="E194" i="3"/>
  <c r="M194" i="3"/>
  <c r="H192" i="3"/>
  <c r="P192" i="3"/>
  <c r="D194" i="3"/>
  <c r="L194" i="3"/>
  <c r="A88" i="3"/>
  <c r="B192" i="3"/>
  <c r="J192" i="3"/>
  <c r="F194" i="3"/>
  <c r="N194" i="3"/>
  <c r="C192" i="3"/>
  <c r="K192" i="3"/>
  <c r="G194" i="3"/>
  <c r="O194" i="3"/>
  <c r="D192" i="3"/>
  <c r="L192" i="3"/>
  <c r="H194" i="3"/>
  <c r="P194" i="3"/>
  <c r="E192" i="3"/>
  <c r="M192" i="3"/>
  <c r="I194" i="3"/>
  <c r="Q194" i="3"/>
  <c r="F192" i="3"/>
  <c r="N192" i="3"/>
  <c r="B194" i="3"/>
  <c r="J194" i="3"/>
  <c r="T39" i="3"/>
  <c r="C222" i="3"/>
  <c r="K222" i="3"/>
  <c r="I224" i="3"/>
  <c r="Q224" i="3"/>
  <c r="G192" i="3"/>
  <c r="O192" i="3"/>
  <c r="C194" i="3"/>
  <c r="K194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V39" i="3"/>
  <c r="S9" i="3"/>
  <c r="R69" i="3"/>
  <c r="T9" i="3"/>
  <c r="S69" i="3"/>
  <c r="V9" i="3"/>
  <c r="R39" i="3"/>
  <c r="V82" i="8"/>
  <c r="A198" i="3"/>
  <c r="A228" i="3"/>
  <c r="A168" i="3"/>
  <c r="A189" i="3"/>
  <c r="A219" i="3"/>
  <c r="A141" i="3"/>
  <c r="A231" i="3"/>
  <c r="A171" i="3"/>
  <c r="A111" i="3"/>
  <c r="A37" i="3"/>
  <c r="A45" i="3"/>
  <c r="B69" i="3"/>
  <c r="A70" i="3"/>
  <c r="A79" i="3"/>
  <c r="A190" i="3"/>
  <c r="A220" i="3"/>
  <c r="A160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A132" i="3"/>
  <c r="A222" i="3"/>
  <c r="A162" i="3"/>
  <c r="A58" i="3"/>
  <c r="A72" i="3"/>
  <c r="A99" i="3"/>
  <c r="A107" i="3"/>
  <c r="A112" i="3"/>
  <c r="A159" i="3"/>
  <c r="A180" i="3"/>
  <c r="A108" i="3"/>
  <c r="A138" i="3"/>
  <c r="A36" i="3"/>
  <c r="A223" i="3"/>
  <c r="A193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A196" i="3"/>
  <c r="A226" i="3"/>
  <c r="A166" i="3"/>
  <c r="D39" i="3"/>
  <c r="A102" i="3"/>
  <c r="A150" i="3"/>
  <c r="A240" i="3"/>
  <c r="A210" i="3"/>
  <c r="L39" i="3"/>
  <c r="G69" i="3"/>
  <c r="A197" i="3"/>
  <c r="A227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H193" i="3" l="1"/>
  <c r="M223" i="3"/>
  <c r="I233" i="3"/>
  <c r="P233" i="3"/>
  <c r="J69" i="3"/>
  <c r="J221" i="3" s="1"/>
  <c r="M69" i="3"/>
  <c r="N69" i="3"/>
  <c r="D69" i="3"/>
  <c r="D221" i="3" s="1"/>
  <c r="P69" i="3"/>
  <c r="P221" i="3" s="1"/>
  <c r="Q69" i="3"/>
  <c r="Q221" i="3" s="1"/>
  <c r="E69" i="3"/>
  <c r="K69" i="3"/>
  <c r="I69" i="3"/>
  <c r="F69" i="3"/>
  <c r="H69" i="3"/>
  <c r="U223" i="3"/>
  <c r="L69" i="3"/>
  <c r="C69" i="3"/>
  <c r="V69" i="3"/>
  <c r="V221" i="3" s="1"/>
  <c r="O69" i="3"/>
  <c r="K39" i="3"/>
  <c r="O233" i="3"/>
  <c r="M39" i="3"/>
  <c r="U193" i="3"/>
  <c r="E39" i="3"/>
  <c r="V203" i="3"/>
  <c r="P39" i="3"/>
  <c r="P191" i="3" s="1"/>
  <c r="N39" i="3"/>
  <c r="F39" i="3"/>
  <c r="S193" i="3"/>
  <c r="E223" i="3"/>
  <c r="C223" i="3"/>
  <c r="C233" i="3"/>
  <c r="J233" i="3"/>
  <c r="K223" i="3"/>
  <c r="U39" i="3"/>
  <c r="N223" i="3"/>
  <c r="D233" i="3"/>
  <c r="E233" i="3"/>
  <c r="G233" i="3"/>
  <c r="U69" i="3"/>
  <c r="D223" i="3"/>
  <c r="P223" i="3"/>
  <c r="R9" i="3"/>
  <c r="R191" i="3" s="1"/>
  <c r="S39" i="3"/>
  <c r="M9" i="3"/>
  <c r="M221" i="3" s="1"/>
  <c r="F223" i="3"/>
  <c r="T191" i="3"/>
  <c r="V191" i="3"/>
  <c r="N233" i="3"/>
  <c r="M233" i="3"/>
  <c r="U203" i="3"/>
  <c r="N9" i="3"/>
  <c r="H233" i="3"/>
  <c r="R193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J223" i="3"/>
  <c r="F9" i="3"/>
  <c r="Q233" i="3"/>
  <c r="G203" i="3"/>
  <c r="Q223" i="3"/>
  <c r="M193" i="3"/>
  <c r="N193" i="3"/>
  <c r="H203" i="3"/>
  <c r="F193" i="3"/>
  <c r="O203" i="3"/>
  <c r="E203" i="3"/>
  <c r="E9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3" i="3"/>
  <c r="G9" i="3"/>
  <c r="G223" i="3"/>
  <c r="M203" i="3"/>
  <c r="D191" i="3"/>
  <c r="T221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K221" i="3" l="1"/>
  <c r="F221" i="3"/>
  <c r="H221" i="3"/>
  <c r="N221" i="3"/>
  <c r="E221" i="3"/>
  <c r="M191" i="3"/>
  <c r="O221" i="3"/>
  <c r="U221" i="3"/>
  <c r="I221" i="3"/>
  <c r="S191" i="3"/>
  <c r="U191" i="3"/>
  <c r="I191" i="3"/>
  <c r="N191" i="3"/>
  <c r="R221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18" i="15" s="1"/>
  <c r="H27" i="3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78" i="11"/>
  <c r="U14" i="11"/>
  <c r="U118" i="11" s="1"/>
  <c r="K78" i="11"/>
  <c r="T78" i="11"/>
  <c r="T14" i="11"/>
  <c r="I78" i="11"/>
  <c r="O13" i="3"/>
  <c r="V106" i="11"/>
  <c r="V86" i="11"/>
  <c r="V107" i="11"/>
  <c r="V109" i="11"/>
  <c r="O14" i="11"/>
  <c r="V72" i="11"/>
  <c r="Q72" i="11"/>
  <c r="O116" i="11" l="1"/>
  <c r="O76" i="11"/>
  <c r="O117" i="11"/>
  <c r="O118" i="11"/>
  <c r="S73" i="11"/>
  <c r="K13" i="3"/>
  <c r="H77" i="11"/>
  <c r="H15" i="3"/>
  <c r="H88" i="11"/>
  <c r="O79" i="11"/>
  <c r="O119" i="11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T118" i="11"/>
  <c r="M116" i="11"/>
  <c r="M76" i="11"/>
  <c r="M117" i="11"/>
  <c r="M119" i="11"/>
  <c r="N119" i="11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P72" i="11"/>
  <c r="I16" i="3" l="1"/>
  <c r="I89" i="11"/>
  <c r="I4" i="11"/>
  <c r="K18" i="14"/>
  <c r="L79" i="11"/>
  <c r="L14" i="11"/>
  <c r="H66" i="11"/>
  <c r="E67" i="11"/>
  <c r="K79" i="11"/>
  <c r="K14" i="11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G77" i="11"/>
  <c r="G69" i="11"/>
  <c r="G34" i="11"/>
  <c r="K116" i="11"/>
  <c r="K76" i="11"/>
  <c r="K117" i="11"/>
  <c r="K118" i="11"/>
  <c r="I109" i="11"/>
  <c r="I86" i="11"/>
  <c r="I106" i="11"/>
  <c r="I107" i="11"/>
  <c r="I108" i="11"/>
  <c r="J79" i="11"/>
  <c r="J14" i="1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I18" i="14"/>
  <c r="G66" i="11"/>
  <c r="O73" i="11"/>
  <c r="F69" i="11" l="1"/>
  <c r="F34" i="11"/>
  <c r="F66" i="11" s="1"/>
  <c r="F77" i="11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D14" i="3" l="1"/>
  <c r="D87" i="11"/>
  <c r="E69" i="11"/>
  <c r="E34" i="11"/>
  <c r="G15" i="14"/>
  <c r="G21" i="14" s="1"/>
  <c r="G4" i="14"/>
  <c r="G12" i="14" s="1"/>
  <c r="K72" i="11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B14" i="3" l="1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H73" i="11" l="1"/>
  <c r="F72" i="11"/>
  <c r="D16" i="3"/>
  <c r="D89" i="11"/>
  <c r="D4" i="11"/>
  <c r="B13" i="14"/>
  <c r="B19" i="14" s="1"/>
  <c r="B14" i="14"/>
  <c r="C78" i="11"/>
  <c r="B15" i="3"/>
  <c r="B88" i="11"/>
  <c r="E79" i="11"/>
  <c r="E14" i="11"/>
  <c r="D13" i="3" l="1"/>
  <c r="B69" i="11"/>
  <c r="B34" i="11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B72" i="11" l="1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B73" i="11"/>
  <c r="F97" i="11" l="1"/>
  <c r="B18" i="14"/>
  <c r="B79" i="11"/>
  <c r="B14" i="11"/>
  <c r="B99" i="11" l="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L123" i="11" s="1"/>
  <c r="K25" i="3"/>
  <c r="K93" i="11"/>
  <c r="K8" i="11"/>
  <c r="K113" i="11" s="1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I82" i="11"/>
  <c r="I18" i="11"/>
  <c r="I123" i="11" s="1"/>
  <c r="U82" i="11"/>
  <c r="U18" i="11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E123" i="11" l="1"/>
  <c r="K122" i="11"/>
  <c r="O111" i="11"/>
  <c r="O90" i="11"/>
  <c r="O110" i="11"/>
  <c r="O112" i="11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F22" i="3"/>
  <c r="R122" i="11"/>
  <c r="E113" i="11"/>
  <c r="D25" i="3"/>
  <c r="D93" i="11"/>
  <c r="D8" i="11"/>
  <c r="U122" i="11"/>
  <c r="M22" i="3"/>
  <c r="Q123" i="11"/>
  <c r="H122" i="11"/>
  <c r="M123" i="11"/>
  <c r="H123" i="11"/>
  <c r="V82" i="11"/>
  <c r="V18" i="11"/>
  <c r="V123" i="11" s="1"/>
  <c r="M122" i="11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E120" i="11"/>
  <c r="E80" i="11"/>
  <c r="E13" i="11"/>
  <c r="E121" i="11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T43" i="12" l="1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R75" i="11"/>
  <c r="N75" i="11"/>
  <c r="C83" i="11"/>
  <c r="C82" i="11"/>
  <c r="C18" i="11"/>
  <c r="C122" i="11" s="1"/>
  <c r="G75" i="11"/>
  <c r="H75" i="11"/>
  <c r="M53" i="3"/>
  <c r="M43" i="12"/>
  <c r="M23" i="12"/>
  <c r="M73" i="12" s="1"/>
  <c r="M33" i="12"/>
  <c r="E75" i="11"/>
  <c r="N53" i="3"/>
  <c r="N23" i="12"/>
  <c r="N73" i="12" s="1"/>
  <c r="N33" i="12"/>
  <c r="N43" i="12"/>
  <c r="D123" i="11"/>
  <c r="D80" i="11"/>
  <c r="D120" i="11"/>
  <c r="D13" i="11"/>
  <c r="D75" i="11" s="1"/>
  <c r="D121" i="11"/>
  <c r="S75" i="11"/>
  <c r="D113" i="11"/>
  <c r="D110" i="11"/>
  <c r="D90" i="11"/>
  <c r="D111" i="11"/>
  <c r="D112" i="11"/>
  <c r="F75" i="11"/>
  <c r="B24" i="3"/>
  <c r="B92" i="11"/>
  <c r="I75" i="11"/>
  <c r="L23" i="12"/>
  <c r="L73" i="12" s="1"/>
  <c r="L53" i="3"/>
  <c r="L33" i="12"/>
  <c r="L43" i="12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B112" i="11" l="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G83" i="3"/>
  <c r="G37" i="13"/>
  <c r="G47" i="13"/>
  <c r="L83" i="3"/>
  <c r="L47" i="13"/>
  <c r="L37" i="13"/>
  <c r="O53" i="3"/>
  <c r="O23" i="12"/>
  <c r="O73" i="12" s="1"/>
  <c r="O43" i="12"/>
  <c r="O33" i="12"/>
  <c r="L205" i="3"/>
  <c r="N205" i="3"/>
  <c r="V53" i="3"/>
  <c r="V43" i="12"/>
  <c r="V23" i="12"/>
  <c r="V73" i="12" s="1"/>
  <c r="V33" i="12"/>
  <c r="U205" i="3"/>
  <c r="V75" i="11"/>
  <c r="F83" i="3"/>
  <c r="F37" i="13"/>
  <c r="F47" i="1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H53" i="3"/>
  <c r="H33" i="12"/>
  <c r="H43" i="12"/>
  <c r="H23" i="12"/>
  <c r="H73" i="12" s="1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U235" i="3" l="1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N235" i="3"/>
  <c r="P53" i="3"/>
  <c r="P23" i="12"/>
  <c r="P73" i="12" s="1"/>
  <c r="P43" i="12"/>
  <c r="P33" i="12"/>
  <c r="I37" i="13" l="1"/>
  <c r="I83" i="3"/>
  <c r="I47" i="13"/>
  <c r="N84" i="3"/>
  <c r="N38" i="13"/>
  <c r="N48" i="13"/>
  <c r="N10" i="13"/>
  <c r="N26" i="13" s="1"/>
  <c r="T85" i="3"/>
  <c r="T49" i="13"/>
  <c r="T39" i="13"/>
  <c r="G196" i="3"/>
  <c r="V235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3" i="12" s="1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F234" i="3" s="1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O36" i="13"/>
  <c r="O46" i="13"/>
  <c r="N228" i="3"/>
  <c r="U195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L234" i="3"/>
  <c r="E197" i="3"/>
  <c r="E43" i="3"/>
  <c r="M34" i="13"/>
  <c r="M5" i="13"/>
  <c r="M44" i="13"/>
  <c r="M75" i="3"/>
  <c r="M6" i="13"/>
  <c r="M22" i="13" s="1"/>
  <c r="E22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195" i="3"/>
  <c r="G195" i="3"/>
  <c r="L195" i="3"/>
  <c r="Q30" i="12"/>
  <c r="Q40" i="12"/>
  <c r="Q45" i="3"/>
  <c r="Q26" i="14"/>
  <c r="Q20" i="12"/>
  <c r="Q70" i="12" s="1"/>
  <c r="F3" i="12"/>
  <c r="S205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V43" i="3"/>
  <c r="V195" i="3" s="1"/>
  <c r="V52" i="3"/>
  <c r="V204" i="3" s="1"/>
  <c r="N204" i="3"/>
  <c r="I5" i="12"/>
  <c r="P3" i="12"/>
  <c r="P49" i="12" s="1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V32" i="12"/>
  <c r="V22" i="12"/>
  <c r="V72" i="12" s="1"/>
  <c r="V42" i="12"/>
  <c r="R226" i="3"/>
  <c r="E3" i="12"/>
  <c r="R235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T228" i="3"/>
  <c r="T73" i="3"/>
  <c r="M19" i="13"/>
  <c r="M3" i="13"/>
  <c r="M21" i="13" s="1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O204" i="3"/>
  <c r="V198" i="3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D54" i="3"/>
  <c r="D24" i="12"/>
  <c r="D74" i="12" s="1"/>
  <c r="D44" i="12"/>
  <c r="D34" i="12"/>
  <c r="D10" i="12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J196" i="3"/>
  <c r="D18" i="12"/>
  <c r="D68" i="12" s="1"/>
  <c r="D38" i="12"/>
  <c r="D28" i="12"/>
  <c r="D24" i="14"/>
  <c r="P24" i="14"/>
  <c r="P28" i="12"/>
  <c r="P38" i="12"/>
  <c r="P18" i="12"/>
  <c r="P68" i="12" s="1"/>
  <c r="E195" i="3"/>
  <c r="Q55" i="3"/>
  <c r="Q45" i="12"/>
  <c r="Q35" i="12"/>
  <c r="Q25" i="12"/>
  <c r="Q75" i="12" s="1"/>
  <c r="T195" i="3"/>
  <c r="E28" i="12"/>
  <c r="E18" i="12"/>
  <c r="E68" i="12" s="1"/>
  <c r="E24" i="14"/>
  <c r="E38" i="12"/>
  <c r="V207" i="3"/>
  <c r="Q196" i="3"/>
  <c r="H207" i="3"/>
  <c r="H52" i="3"/>
  <c r="P206" i="3"/>
  <c r="O32" i="13"/>
  <c r="O42" i="13"/>
  <c r="I206" i="3"/>
  <c r="F101" i="11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52" i="13"/>
  <c r="M42" i="13"/>
  <c r="I3" i="12"/>
  <c r="I27" i="14"/>
  <c r="I41" i="12"/>
  <c r="I31" i="12"/>
  <c r="I21" i="12"/>
  <c r="I71" i="12" s="1"/>
  <c r="I46" i="3"/>
  <c r="I6" i="12"/>
  <c r="H225" i="3"/>
  <c r="E237" i="3"/>
  <c r="C196" i="3"/>
  <c r="H24" i="14"/>
  <c r="H38" i="12"/>
  <c r="H28" i="12"/>
  <c r="H18" i="12"/>
  <c r="H68" i="12" s="1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P197" i="3"/>
  <c r="F195" i="3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234" i="3"/>
  <c r="V225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234" i="3"/>
  <c r="F204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V48" i="12" l="1"/>
  <c r="P54" i="12"/>
  <c r="Q55" i="12"/>
  <c r="H52" i="12"/>
  <c r="D54" i="12"/>
  <c r="I51" i="12"/>
  <c r="E52" i="12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D234" i="3" s="1"/>
  <c r="P82" i="3"/>
  <c r="P234" i="3" s="1"/>
  <c r="I52" i="3"/>
  <c r="I204" i="3" s="1"/>
  <c r="Q43" i="3"/>
  <c r="Q195" i="3" s="1"/>
  <c r="I43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E234" i="3"/>
  <c r="M225" i="3"/>
  <c r="R55" i="3"/>
  <c r="R25" i="12"/>
  <c r="R75" i="12" s="1"/>
  <c r="R45" i="12"/>
  <c r="R35" i="12"/>
  <c r="E42" i="13"/>
  <c r="E32" i="13"/>
  <c r="E204" i="3"/>
  <c r="Q45" i="13"/>
  <c r="Q35" i="13"/>
  <c r="Q76" i="3"/>
  <c r="Q5" i="13"/>
  <c r="Q6" i="13"/>
  <c r="Q22" i="13" s="1"/>
  <c r="Q198" i="3"/>
  <c r="R197" i="3"/>
  <c r="C197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V19" i="13"/>
  <c r="V3" i="13"/>
  <c r="V21" i="13" s="1"/>
  <c r="R206" i="3"/>
  <c r="P228" i="3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J207" i="3"/>
  <c r="D206" i="3"/>
  <c r="D52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C21" i="12"/>
  <c r="C71" i="12" s="1"/>
  <c r="C27" i="14"/>
  <c r="C31" i="12"/>
  <c r="C41" i="12"/>
  <c r="C46" i="3"/>
  <c r="C6" i="12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R10" i="12"/>
  <c r="S26" i="14"/>
  <c r="S30" i="12"/>
  <c r="S40" i="12"/>
  <c r="S20" i="12"/>
  <c r="S70" i="12" s="1"/>
  <c r="S45" i="3"/>
  <c r="P73" i="3"/>
  <c r="I198" i="3"/>
  <c r="D195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B196" i="3"/>
  <c r="I207" i="3"/>
  <c r="S226" i="3"/>
  <c r="P237" i="3"/>
  <c r="H204" i="3"/>
  <c r="Q207" i="3"/>
  <c r="K236" i="3"/>
  <c r="J236" i="3"/>
  <c r="G225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234" i="3"/>
  <c r="R227" i="3"/>
  <c r="B20" i="12"/>
  <c r="B70" i="12" s="1"/>
  <c r="B40" i="12"/>
  <c r="B30" i="12"/>
  <c r="B45" i="3"/>
  <c r="B26" i="14"/>
  <c r="T225" i="3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I85" i="3"/>
  <c r="I39" i="13"/>
  <c r="I49" i="13"/>
  <c r="I10" i="13"/>
  <c r="I26" i="13" s="1"/>
  <c r="R5" i="12"/>
  <c r="J5" i="12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V52" i="12"/>
  <c r="D48" i="12"/>
  <c r="D37" i="12"/>
  <c r="D17" i="12"/>
  <c r="D67" i="12" s="1"/>
  <c r="D47" i="12"/>
  <c r="D53" i="12"/>
  <c r="D49" i="12"/>
  <c r="D50" i="12"/>
  <c r="S10" i="13"/>
  <c r="S26" i="13" s="1"/>
  <c r="C51" i="12" l="1"/>
  <c r="C82" i="3"/>
  <c r="C234" i="3" s="1"/>
  <c r="R73" i="3"/>
  <c r="K43" i="3"/>
  <c r="R52" i="3"/>
  <c r="R204" i="3" s="1"/>
  <c r="I195" i="3"/>
  <c r="B5" i="12"/>
  <c r="C55" i="12"/>
  <c r="S36" i="13"/>
  <c r="S46" i="13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Q228" i="3"/>
  <c r="Q73" i="3"/>
  <c r="C207" i="3"/>
  <c r="C52" i="3"/>
  <c r="K85" i="3"/>
  <c r="K39" i="13"/>
  <c r="K49" i="13"/>
  <c r="K10" i="13"/>
  <c r="K26" i="13" s="1"/>
  <c r="R3" i="12"/>
  <c r="S5" i="12"/>
  <c r="C198" i="3"/>
  <c r="C43" i="3"/>
  <c r="D204" i="3"/>
  <c r="K207" i="3"/>
  <c r="Q204" i="3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Q237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I59" i="13"/>
  <c r="C19" i="13"/>
  <c r="C3" i="13"/>
  <c r="B197" i="3"/>
  <c r="B236" i="3"/>
  <c r="C46" i="13"/>
  <c r="C36" i="13"/>
  <c r="P225" i="3"/>
  <c r="R22" i="12"/>
  <c r="R72" i="12" s="1"/>
  <c r="R42" i="12"/>
  <c r="R32" i="12"/>
  <c r="D19" i="13"/>
  <c r="D3" i="13"/>
  <c r="D21" i="13" s="1"/>
  <c r="R19" i="13"/>
  <c r="R3" i="13"/>
  <c r="J204" i="3"/>
  <c r="K228" i="3"/>
  <c r="K73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S42" i="12"/>
  <c r="S22" i="12"/>
  <c r="S72" i="12" s="1"/>
  <c r="S32" i="12"/>
  <c r="D228" i="3"/>
  <c r="D73" i="3"/>
  <c r="I225" i="3"/>
  <c r="K52" i="3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S236" i="3"/>
  <c r="J48" i="12" l="1"/>
  <c r="R52" i="12"/>
  <c r="C56" i="13"/>
  <c r="C21" i="13"/>
  <c r="R52" i="13"/>
  <c r="R21" i="13"/>
  <c r="S82" i="3"/>
  <c r="B73" i="3"/>
  <c r="B225" i="3" s="1"/>
  <c r="R225" i="3"/>
  <c r="S43" i="3"/>
  <c r="S195" i="3" s="1"/>
  <c r="S52" i="3"/>
  <c r="S204" i="3" s="1"/>
  <c r="K195" i="3"/>
  <c r="B3" i="12"/>
  <c r="B54" i="12" s="1"/>
  <c r="R56" i="13"/>
  <c r="B19" i="13"/>
  <c r="B3" i="13"/>
  <c r="B52" i="13" s="1"/>
  <c r="K204" i="3"/>
  <c r="B38" i="12"/>
  <c r="B28" i="12"/>
  <c r="B18" i="12"/>
  <c r="B68" i="12" s="1"/>
  <c r="B24" i="14"/>
  <c r="B207" i="3"/>
  <c r="J19" i="13"/>
  <c r="J3" i="13"/>
  <c r="S18" i="12"/>
  <c r="S68" i="12" s="1"/>
  <c r="S38" i="12"/>
  <c r="S28" i="12"/>
  <c r="S24" i="14"/>
  <c r="S32" i="13"/>
  <c r="S42" i="13"/>
  <c r="R195" i="3"/>
  <c r="B42" i="13"/>
  <c r="B32" i="13"/>
  <c r="S19" i="13"/>
  <c r="S3" i="13"/>
  <c r="K19" i="13"/>
  <c r="K3" i="13"/>
  <c r="K21" i="13" s="1"/>
  <c r="K225" i="3"/>
  <c r="D52" i="13"/>
  <c r="D41" i="13"/>
  <c r="D51" i="13"/>
  <c r="D53" i="13"/>
  <c r="D57" i="13"/>
  <c r="D54" i="13"/>
  <c r="D58" i="13"/>
  <c r="D59" i="13"/>
  <c r="D55" i="13"/>
  <c r="D56" i="13"/>
  <c r="J42" i="13"/>
  <c r="J32" i="13"/>
  <c r="H103" i="11"/>
  <c r="H102" i="11"/>
  <c r="Q234" i="3"/>
  <c r="B206" i="3"/>
  <c r="B52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S207" i="3"/>
  <c r="Q56" i="13"/>
  <c r="D225" i="3"/>
  <c r="C52" i="13"/>
  <c r="C41" i="13"/>
  <c r="C51" i="13"/>
  <c r="C53" i="13"/>
  <c r="C57" i="13"/>
  <c r="C58" i="13"/>
  <c r="C54" i="13"/>
  <c r="C59" i="13"/>
  <c r="C55" i="13"/>
  <c r="Q225" i="3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S237" i="3"/>
  <c r="C195" i="3"/>
  <c r="J234" i="3"/>
  <c r="S73" i="3"/>
  <c r="B39" i="13"/>
  <c r="B49" i="13"/>
  <c r="B85" i="3"/>
  <c r="B10" i="13"/>
  <c r="B26" i="13" s="1"/>
  <c r="B198" i="3"/>
  <c r="G43" i="11"/>
  <c r="G95" i="11" s="1"/>
  <c r="G100" i="11"/>
  <c r="B42" i="12"/>
  <c r="B32" i="12"/>
  <c r="B22" i="12"/>
  <c r="B72" i="12" s="1"/>
  <c r="R234" i="3"/>
  <c r="B228" i="3"/>
  <c r="K36" i="13"/>
  <c r="K46" i="13"/>
  <c r="C225" i="3"/>
  <c r="I234" i="3"/>
  <c r="J195" i="3"/>
  <c r="B43" i="3"/>
  <c r="B53" i="12" l="1"/>
  <c r="B17" i="12"/>
  <c r="B67" i="12" s="1"/>
  <c r="K56" i="1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B55" i="12"/>
  <c r="I103" i="11"/>
  <c r="B56" i="13"/>
  <c r="B51" i="13"/>
  <c r="B41" i="13"/>
  <c r="B53" i="13"/>
  <c r="B57" i="13"/>
  <c r="B58" i="13"/>
  <c r="B54" i="13"/>
  <c r="B55" i="13"/>
  <c r="B195" i="3"/>
  <c r="K51" i="13"/>
  <c r="K41" i="13"/>
  <c r="K57" i="13"/>
  <c r="K53" i="13"/>
  <c r="K54" i="13"/>
  <c r="K58" i="13"/>
  <c r="K55" i="13"/>
  <c r="K52" i="13"/>
  <c r="K59" i="13"/>
  <c r="I102" i="11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H58" i="11"/>
  <c r="H53" i="11" s="1"/>
  <c r="K101" i="11"/>
  <c r="B36" i="13"/>
  <c r="B46" i="13"/>
  <c r="S225" i="3"/>
  <c r="S48" i="12"/>
  <c r="B237" i="3"/>
  <c r="B82" i="3"/>
  <c r="K234" i="3"/>
  <c r="I48" i="11" l="1"/>
  <c r="I43" i="11" s="1"/>
  <c r="I95" i="11" s="1"/>
  <c r="L101" i="11"/>
  <c r="J103" i="11"/>
  <c r="B234" i="3"/>
  <c r="I58" i="11"/>
  <c r="I53" i="11" s="1"/>
  <c r="H43" i="11"/>
  <c r="H95" i="11" s="1"/>
  <c r="H100" i="11"/>
  <c r="J102" i="11"/>
  <c r="I100" i="11" l="1"/>
  <c r="J48" i="11"/>
  <c r="J100" i="11" s="1"/>
  <c r="K103" i="11"/>
  <c r="J58" i="11"/>
  <c r="J53" i="11" s="1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M43" i="11" s="1"/>
  <c r="M95" i="11" s="1"/>
  <c r="N103" i="11"/>
  <c r="P101" i="11"/>
  <c r="N102" i="11"/>
  <c r="M58" i="11"/>
  <c r="M53" i="11" s="1"/>
  <c r="M100" i="11" l="1"/>
  <c r="Q101" i="1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100" i="11" s="1"/>
  <c r="T58" i="11"/>
  <c r="T53" i="11" s="1"/>
  <c r="T43" i="11"/>
  <c r="T95" i="11" s="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  <c r="X10" i="5" l="1"/>
  <c r="X5" i="5"/>
  <c r="Y51" i="6"/>
  <c r="X51" i="6"/>
  <c r="X50" i="6"/>
  <c r="X5" i="6"/>
  <c r="Y5" i="6"/>
  <c r="Y5" i="5"/>
  <c r="X48" i="6"/>
  <c r="Y10" i="5"/>
  <c r="Y50" i="6"/>
  <c r="X10" i="6" l="1"/>
  <c r="Y10" i="6"/>
  <c r="Y4" i="6" s="1"/>
  <c r="X49" i="6"/>
  <c r="X4" i="6"/>
  <c r="Y49" i="6"/>
  <c r="Y48" i="6"/>
  <c r="W10" i="6" l="1"/>
  <c r="L10" i="6" l="1"/>
  <c r="M10" i="6"/>
  <c r="J10" i="6" l="1"/>
  <c r="N10" i="6"/>
  <c r="B10" i="6"/>
  <c r="K10" i="6"/>
  <c r="U10" i="6"/>
  <c r="C10" i="6"/>
  <c r="F10" i="6"/>
  <c r="I10" i="6"/>
  <c r="E10" i="6"/>
  <c r="H10" i="6"/>
  <c r="G10" i="6"/>
  <c r="Q10" i="6"/>
  <c r="T10" i="6"/>
  <c r="S10" i="6"/>
  <c r="R10" i="6"/>
  <c r="P10" i="6"/>
  <c r="O10" i="6"/>
  <c r="D10" i="6"/>
  <c r="V10" i="6"/>
  <c r="I49" i="6" l="1"/>
  <c r="I5" i="5"/>
  <c r="S49" i="6"/>
  <c r="I48" i="6"/>
  <c r="D49" i="6"/>
  <c r="L49" i="6"/>
  <c r="G51" i="6"/>
  <c r="O51" i="6"/>
  <c r="C10" i="5" l="1"/>
  <c r="D10" i="5"/>
  <c r="B10" i="5"/>
  <c r="I10" i="5"/>
  <c r="S10" i="5"/>
  <c r="S5" i="5"/>
  <c r="L5" i="5"/>
  <c r="D5" i="5"/>
  <c r="Q10" i="5"/>
  <c r="T5" i="5"/>
  <c r="N51" i="6"/>
  <c r="K10" i="5"/>
  <c r="J5" i="5"/>
  <c r="C5" i="5"/>
  <c r="O48" i="6"/>
  <c r="T10" i="5"/>
  <c r="L10" i="5"/>
  <c r="J49" i="6"/>
  <c r="W51" i="6"/>
  <c r="Q5" i="5"/>
  <c r="R10" i="5"/>
  <c r="B49" i="6"/>
  <c r="F51" i="6"/>
  <c r="J10" i="5"/>
  <c r="B5" i="5"/>
  <c r="K49" i="6"/>
  <c r="B48" i="6"/>
  <c r="U50" i="6"/>
  <c r="U5" i="6"/>
  <c r="D50" i="6"/>
  <c r="D5" i="6"/>
  <c r="J51" i="6"/>
  <c r="I5" i="6"/>
  <c r="I4" i="6" s="1"/>
  <c r="I50" i="6"/>
  <c r="I51" i="6"/>
  <c r="N10" i="5"/>
  <c r="F5" i="5"/>
  <c r="M49" i="6"/>
  <c r="W50" i="6"/>
  <c r="E10" i="5"/>
  <c r="Q48" i="6"/>
  <c r="C49" i="6"/>
  <c r="R49" i="6"/>
  <c r="G48" i="6"/>
  <c r="S5" i="6"/>
  <c r="S50" i="6"/>
  <c r="R50" i="6"/>
  <c r="S48" i="6"/>
  <c r="U51" i="6"/>
  <c r="B51" i="6"/>
  <c r="H5" i="5"/>
  <c r="T51" i="6"/>
  <c r="S51" i="6"/>
  <c r="H49" i="6"/>
  <c r="W49" i="6"/>
  <c r="L48" i="6"/>
  <c r="O10" i="5"/>
  <c r="V49" i="6"/>
  <c r="K48" i="6"/>
  <c r="H50" i="6"/>
  <c r="F10" i="5"/>
  <c r="P51" i="6"/>
  <c r="E49" i="6"/>
  <c r="U5" i="5"/>
  <c r="N5" i="6"/>
  <c r="N4" i="6" s="1"/>
  <c r="N50" i="6"/>
  <c r="T49" i="6"/>
  <c r="L51" i="6"/>
  <c r="V48" i="6"/>
  <c r="K51" i="6"/>
  <c r="U48" i="6"/>
  <c r="P10" i="5"/>
  <c r="G10" i="5"/>
  <c r="P48" i="6"/>
  <c r="M50" i="6"/>
  <c r="M5" i="6"/>
  <c r="W48" i="6"/>
  <c r="T50" i="6"/>
  <c r="K5" i="6"/>
  <c r="K50" i="6"/>
  <c r="O49" i="6"/>
  <c r="D48" i="6"/>
  <c r="N49" i="6"/>
  <c r="C48" i="6"/>
  <c r="H51" i="6"/>
  <c r="R48" i="6"/>
  <c r="U10" i="5"/>
  <c r="M5" i="5"/>
  <c r="E50" i="6"/>
  <c r="E5" i="6"/>
  <c r="K5" i="5"/>
  <c r="M51" i="6"/>
  <c r="L5" i="6"/>
  <c r="L50" i="6"/>
  <c r="D51" i="6"/>
  <c r="N48" i="6"/>
  <c r="C51" i="6"/>
  <c r="M48" i="6"/>
  <c r="H10" i="5"/>
  <c r="P5" i="5"/>
  <c r="Q50" i="6"/>
  <c r="W5" i="5"/>
  <c r="V5" i="5"/>
  <c r="O5" i="6"/>
  <c r="O4" i="6" s="1"/>
  <c r="O50" i="6"/>
  <c r="F5" i="6"/>
  <c r="F4" i="6" s="1"/>
  <c r="F50" i="6"/>
  <c r="V5" i="6"/>
  <c r="V50" i="6"/>
  <c r="H48" i="6"/>
  <c r="G5" i="5"/>
  <c r="E51" i="6"/>
  <c r="J5" i="6"/>
  <c r="J4" i="6" s="1"/>
  <c r="J50" i="6"/>
  <c r="R51" i="6"/>
  <c r="G49" i="6"/>
  <c r="V10" i="5"/>
  <c r="N5" i="5"/>
  <c r="U49" i="6"/>
  <c r="J48" i="6"/>
  <c r="M10" i="5"/>
  <c r="V51" i="6"/>
  <c r="R5" i="5"/>
  <c r="Q49" i="6"/>
  <c r="F48" i="6"/>
  <c r="C50" i="6"/>
  <c r="P49" i="6"/>
  <c r="E48" i="6"/>
  <c r="T48" i="6"/>
  <c r="W10" i="5"/>
  <c r="O5" i="5"/>
  <c r="Q51" i="6"/>
  <c r="F49" i="6"/>
  <c r="P50" i="6"/>
  <c r="G5" i="6"/>
  <c r="G4" i="6" s="1"/>
  <c r="G50" i="6"/>
  <c r="B5" i="6"/>
  <c r="B4" i="6" s="1"/>
  <c r="B50" i="6"/>
  <c r="E5" i="5"/>
  <c r="C5" i="6" l="1"/>
  <c r="C4" i="6" s="1"/>
  <c r="L4" i="6"/>
  <c r="T5" i="6"/>
  <c r="T4" i="6" s="1"/>
  <c r="E4" i="6"/>
  <c r="H5" i="6"/>
  <c r="H4" i="6" s="1"/>
  <c r="W5" i="6"/>
  <c r="W4" i="6" s="1"/>
  <c r="D4" i="6"/>
  <c r="P5" i="6"/>
  <c r="P4" i="6" s="1"/>
  <c r="R5" i="6"/>
  <c r="R4" i="6" s="1"/>
  <c r="U4" i="6"/>
  <c r="M4" i="6"/>
  <c r="V4" i="6"/>
  <c r="Q5" i="6"/>
  <c r="Q4" i="6" s="1"/>
  <c r="K4" i="6"/>
  <c r="S4" i="6"/>
  <c r="J11" i="7" l="1"/>
  <c r="K11" i="7" l="1"/>
  <c r="B38" i="7" l="1"/>
  <c r="H38" i="7" l="1"/>
  <c r="E38" i="7"/>
  <c r="D38" i="7"/>
  <c r="J38" i="7"/>
  <c r="F38" i="7"/>
  <c r="I38" i="7"/>
  <c r="C38" i="7"/>
  <c r="G38" i="7"/>
  <c r="I123" i="7" l="1"/>
  <c r="I204" i="7"/>
  <c r="I11" i="7"/>
  <c r="C123" i="7"/>
  <c r="C204" i="7"/>
  <c r="C11" i="7"/>
  <c r="G204" i="7"/>
  <c r="G123" i="7"/>
  <c r="G11" i="7"/>
  <c r="H123" i="7"/>
  <c r="H204" i="7"/>
  <c r="H11" i="7"/>
  <c r="B204" i="7"/>
  <c r="B11" i="7"/>
  <c r="B123" i="7"/>
  <c r="F11" i="7"/>
  <c r="F204" i="7"/>
  <c r="F123" i="7"/>
  <c r="D123" i="7"/>
  <c r="D204" i="7"/>
  <c r="D11" i="7"/>
  <c r="E204" i="7"/>
  <c r="E123" i="7"/>
  <c r="E11" i="7"/>
  <c r="K38" i="7"/>
  <c r="L11" i="7" l="1"/>
  <c r="L38" i="7"/>
  <c r="M11" i="7" l="1"/>
  <c r="N11" i="7" l="1"/>
  <c r="P32" i="7" l="1"/>
  <c r="M32" i="7"/>
  <c r="O32" i="7"/>
  <c r="Q32" i="7" l="1"/>
  <c r="N32" i="7"/>
  <c r="L32" i="7" l="1"/>
  <c r="R32" i="7"/>
  <c r="B32" i="7"/>
  <c r="S32" i="7"/>
  <c r="O5" i="7"/>
  <c r="K5" i="7" l="1"/>
  <c r="K32" i="7"/>
  <c r="M5" i="7"/>
  <c r="N5" i="7"/>
  <c r="P5" i="7"/>
  <c r="R5" i="7"/>
  <c r="L5" i="7"/>
  <c r="Q5" i="7"/>
  <c r="T32" i="7" l="1"/>
  <c r="T5" i="7" l="1"/>
  <c r="J5" i="7"/>
  <c r="S5" i="7"/>
  <c r="M38" i="7" l="1"/>
  <c r="N38" i="7" l="1"/>
  <c r="B44" i="7" l="1"/>
  <c r="B43" i="7"/>
  <c r="B51" i="7"/>
  <c r="B52" i="7"/>
  <c r="B45" i="7"/>
  <c r="B37" i="7"/>
  <c r="D32" i="7"/>
  <c r="B50" i="7"/>
  <c r="C32" i="7" l="1"/>
  <c r="F32" i="7"/>
  <c r="B41" i="7"/>
  <c r="E32" i="7"/>
  <c r="G32" i="7"/>
  <c r="H32" i="7"/>
  <c r="B36" i="7"/>
  <c r="B39" i="7"/>
  <c r="B49" i="7"/>
  <c r="B35" i="7"/>
  <c r="U32" i="7" l="1"/>
  <c r="B16" i="7"/>
  <c r="B18" i="7"/>
  <c r="B24" i="7"/>
  <c r="B114" i="4"/>
  <c r="B34" i="7"/>
  <c r="I32" i="7"/>
  <c r="B25" i="7"/>
  <c r="B23" i="7"/>
  <c r="B10" i="7"/>
  <c r="J32" i="7"/>
  <c r="V32" i="7"/>
  <c r="O38" i="7"/>
  <c r="O11" i="7" l="1"/>
  <c r="H5" i="7"/>
  <c r="C5" i="7"/>
  <c r="P11" i="7"/>
  <c r="B33" i="7"/>
  <c r="I5" i="7"/>
  <c r="B5" i="7"/>
  <c r="B124" i="7"/>
  <c r="B12" i="7"/>
  <c r="B8" i="7"/>
  <c r="F5" i="7"/>
  <c r="B128" i="4"/>
  <c r="B48" i="7"/>
  <c r="B14" i="7"/>
  <c r="D5" i="7"/>
  <c r="E5" i="7"/>
  <c r="U5" i="7"/>
  <c r="G5" i="7"/>
  <c r="C52" i="7"/>
  <c r="C39" i="7"/>
  <c r="C50" i="7"/>
  <c r="C37" i="7"/>
  <c r="C51" i="7"/>
  <c r="P38" i="7"/>
  <c r="C43" i="7"/>
  <c r="C45" i="7"/>
  <c r="C25" i="7" l="1"/>
  <c r="X32" i="7"/>
  <c r="C16" i="7"/>
  <c r="B42" i="7"/>
  <c r="B121" i="4"/>
  <c r="W32" i="7"/>
  <c r="C10" i="7"/>
  <c r="C41" i="7"/>
  <c r="C18" i="7"/>
  <c r="C23" i="7"/>
  <c r="B47" i="7"/>
  <c r="C24" i="7"/>
  <c r="V5" i="7"/>
  <c r="C124" i="7" l="1"/>
  <c r="C12" i="7"/>
  <c r="B40" i="7"/>
  <c r="B112" i="4"/>
  <c r="Y32" i="7"/>
  <c r="C14" i="7"/>
  <c r="X5" i="7"/>
  <c r="W5" i="7"/>
  <c r="D50" i="7"/>
  <c r="D39" i="7"/>
  <c r="D52" i="7"/>
  <c r="D37" i="7"/>
  <c r="D51" i="7"/>
  <c r="Q38" i="7"/>
  <c r="D43" i="7"/>
  <c r="D45" i="7"/>
  <c r="D23" i="7" l="1"/>
  <c r="D16" i="7"/>
  <c r="D18" i="7"/>
  <c r="Q11" i="7"/>
  <c r="D25" i="7"/>
  <c r="D10" i="7"/>
  <c r="B31" i="7"/>
  <c r="D24" i="7"/>
  <c r="D41" i="7"/>
  <c r="D12" i="7" l="1"/>
  <c r="D124" i="7"/>
  <c r="Y5" i="7"/>
  <c r="D14" i="7"/>
  <c r="E37" i="7"/>
  <c r="E39" i="7"/>
  <c r="E52" i="7"/>
  <c r="E51" i="7"/>
  <c r="E50" i="7"/>
  <c r="E45" i="7"/>
  <c r="E43" i="7"/>
  <c r="E12" i="7" l="1"/>
  <c r="E24" i="7"/>
  <c r="E18" i="7"/>
  <c r="E23" i="7"/>
  <c r="E16" i="7"/>
  <c r="E10" i="7"/>
  <c r="E25" i="7"/>
  <c r="R38" i="7"/>
  <c r="E41" i="7" l="1"/>
  <c r="R11" i="7"/>
  <c r="F37" i="7"/>
  <c r="F50" i="7"/>
  <c r="F51" i="7"/>
  <c r="F39" i="7"/>
  <c r="F52" i="7"/>
  <c r="F45" i="7"/>
  <c r="F43" i="7"/>
  <c r="F9" i="7" l="1"/>
  <c r="F18" i="7"/>
  <c r="F12" i="7"/>
  <c r="F23" i="7"/>
  <c r="F10" i="7"/>
  <c r="F24" i="7"/>
  <c r="E14" i="7"/>
  <c r="E9" i="7" l="1"/>
  <c r="F25" i="7"/>
  <c r="F41" i="7"/>
  <c r="F16" i="7"/>
  <c r="G39" i="7"/>
  <c r="G51" i="7"/>
  <c r="G37" i="7"/>
  <c r="G52" i="7"/>
  <c r="S38" i="7"/>
  <c r="G43" i="7"/>
  <c r="G45" i="7"/>
  <c r="D9" i="7" l="1"/>
  <c r="F8" i="7"/>
  <c r="F14" i="7"/>
  <c r="E8" i="7"/>
  <c r="G12" i="7"/>
  <c r="G24" i="7"/>
  <c r="G17" i="7"/>
  <c r="S11" i="7"/>
  <c r="G16" i="7"/>
  <c r="F17" i="7"/>
  <c r="G18" i="7"/>
  <c r="G10" i="7"/>
  <c r="G25" i="7"/>
  <c r="G50" i="7"/>
  <c r="G23" i="7" l="1"/>
  <c r="E17" i="7"/>
  <c r="E87" i="4"/>
  <c r="C9" i="7"/>
  <c r="G9" i="7"/>
  <c r="D8" i="7"/>
  <c r="H52" i="7"/>
  <c r="H37" i="7"/>
  <c r="H51" i="7"/>
  <c r="H39" i="7"/>
  <c r="H45" i="7"/>
  <c r="T38" i="7"/>
  <c r="C8" i="7" l="1"/>
  <c r="H12" i="7"/>
  <c r="G8" i="7"/>
  <c r="H18" i="7"/>
  <c r="H10" i="7"/>
  <c r="H25" i="7"/>
  <c r="F87" i="4"/>
  <c r="E60" i="4"/>
  <c r="E7" i="7"/>
  <c r="D87" i="4"/>
  <c r="F94" i="4"/>
  <c r="T11" i="7"/>
  <c r="B9" i="7"/>
  <c r="D17" i="7"/>
  <c r="G41" i="7"/>
  <c r="H17" i="7"/>
  <c r="H24" i="7"/>
  <c r="C36" i="7"/>
  <c r="H50" i="7"/>
  <c r="H43" i="7"/>
  <c r="C35" i="7"/>
  <c r="F85" i="4" l="1"/>
  <c r="J24" i="7"/>
  <c r="E6" i="7"/>
  <c r="E94" i="4"/>
  <c r="E85" i="4" s="1"/>
  <c r="F7" i="7"/>
  <c r="F60" i="4"/>
  <c r="B87" i="4"/>
  <c r="H9" i="7"/>
  <c r="J18" i="7"/>
  <c r="F15" i="7"/>
  <c r="F67" i="4"/>
  <c r="H23" i="7"/>
  <c r="G14" i="7"/>
  <c r="D7" i="7"/>
  <c r="D60" i="4"/>
  <c r="C87" i="4"/>
  <c r="C17" i="7"/>
  <c r="H16" i="7"/>
  <c r="I52" i="7"/>
  <c r="J51" i="7"/>
  <c r="I51" i="7"/>
  <c r="I39" i="7"/>
  <c r="D35" i="7"/>
  <c r="I45" i="7"/>
  <c r="H35" i="7"/>
  <c r="H8" i="7" l="1"/>
  <c r="D94" i="4"/>
  <c r="D85" i="4" s="1"/>
  <c r="B17" i="7"/>
  <c r="H41" i="7"/>
  <c r="I25" i="7"/>
  <c r="I12" i="7"/>
  <c r="B60" i="4"/>
  <c r="B7" i="7"/>
  <c r="G94" i="4"/>
  <c r="K18" i="7"/>
  <c r="I17" i="7"/>
  <c r="C7" i="7"/>
  <c r="C60" i="4"/>
  <c r="E15" i="7"/>
  <c r="E67" i="4"/>
  <c r="J16" i="7"/>
  <c r="F13" i="7"/>
  <c r="F6" i="7"/>
  <c r="F58" i="4"/>
  <c r="I24" i="7"/>
  <c r="C34" i="7"/>
  <c r="C114" i="4"/>
  <c r="G87" i="4"/>
  <c r="D6" i="7"/>
  <c r="C44" i="7"/>
  <c r="D36" i="7"/>
  <c r="I37" i="7"/>
  <c r="I50" i="7"/>
  <c r="J45" i="7"/>
  <c r="I43" i="7"/>
  <c r="C33" i="7" l="1"/>
  <c r="H94" i="4"/>
  <c r="H15" i="7"/>
  <c r="I18" i="7"/>
  <c r="C6" i="7"/>
  <c r="C94" i="4"/>
  <c r="C85" i="4" s="1"/>
  <c r="I23" i="7"/>
  <c r="B6" i="7"/>
  <c r="D15" i="7"/>
  <c r="D67" i="4"/>
  <c r="I16" i="7"/>
  <c r="F4" i="7"/>
  <c r="E13" i="7"/>
  <c r="E58" i="4"/>
  <c r="H87" i="4"/>
  <c r="G7" i="7"/>
  <c r="G60" i="4"/>
  <c r="H14" i="7"/>
  <c r="U11" i="7"/>
  <c r="I10" i="7"/>
  <c r="I9" i="7"/>
  <c r="K24" i="7"/>
  <c r="G85" i="4"/>
  <c r="G15" i="7"/>
  <c r="G67" i="4"/>
  <c r="D44" i="7"/>
  <c r="J39" i="7"/>
  <c r="K51" i="7"/>
  <c r="K45" i="7"/>
  <c r="J43" i="7"/>
  <c r="U38" i="7"/>
  <c r="L45" i="7"/>
  <c r="H67" i="4" l="1"/>
  <c r="E4" i="7"/>
  <c r="J17" i="7"/>
  <c r="I8" i="7"/>
  <c r="H13" i="7"/>
  <c r="D34" i="7"/>
  <c r="D114" i="4"/>
  <c r="D33" i="7" s="1"/>
  <c r="G6" i="7"/>
  <c r="G58" i="4"/>
  <c r="B94" i="4"/>
  <c r="B85" i="4" s="1"/>
  <c r="K16" i="7"/>
  <c r="J12" i="7"/>
  <c r="I41" i="7"/>
  <c r="G13" i="7"/>
  <c r="H85" i="4"/>
  <c r="M10" i="7"/>
  <c r="H7" i="7"/>
  <c r="H60" i="4"/>
  <c r="D13" i="7"/>
  <c r="D58" i="4"/>
  <c r="C15" i="7"/>
  <c r="C67" i="4"/>
  <c r="E36" i="7"/>
  <c r="J52" i="7"/>
  <c r="J37" i="7"/>
  <c r="M45" i="7"/>
  <c r="K43" i="7"/>
  <c r="V11" i="7" l="1"/>
  <c r="F22" i="7"/>
  <c r="B15" i="7"/>
  <c r="B67" i="4"/>
  <c r="C22" i="7"/>
  <c r="L18" i="7"/>
  <c r="H6" i="7"/>
  <c r="H58" i="4"/>
  <c r="G22" i="7"/>
  <c r="L24" i="7"/>
  <c r="G4" i="7"/>
  <c r="B22" i="7"/>
  <c r="H22" i="7"/>
  <c r="J10" i="7"/>
  <c r="E22" i="7"/>
  <c r="J9" i="7"/>
  <c r="C13" i="7"/>
  <c r="C58" i="4"/>
  <c r="D22" i="7"/>
  <c r="I14" i="7"/>
  <c r="C42" i="7"/>
  <c r="C121" i="4"/>
  <c r="I22" i="7"/>
  <c r="J25" i="7"/>
  <c r="D4" i="7"/>
  <c r="E44" i="7"/>
  <c r="K39" i="7"/>
  <c r="J50" i="7"/>
  <c r="V38" i="7"/>
  <c r="C49" i="7"/>
  <c r="E35" i="7"/>
  <c r="L43" i="7"/>
  <c r="L51" i="7"/>
  <c r="I87" i="4" l="1"/>
  <c r="M18" i="7"/>
  <c r="J23" i="7"/>
  <c r="G101" i="4"/>
  <c r="I94" i="4"/>
  <c r="K17" i="7"/>
  <c r="L16" i="7"/>
  <c r="C4" i="7"/>
  <c r="F101" i="4"/>
  <c r="J8" i="7"/>
  <c r="N10" i="7"/>
  <c r="C40" i="7"/>
  <c r="C112" i="4"/>
  <c r="B13" i="7"/>
  <c r="B58" i="4"/>
  <c r="C101" i="4"/>
  <c r="K12" i="7"/>
  <c r="H4" i="7"/>
  <c r="D101" i="4"/>
  <c r="B101" i="4"/>
  <c r="J41" i="7"/>
  <c r="E101" i="4"/>
  <c r="H101" i="4"/>
  <c r="I101" i="4"/>
  <c r="N45" i="7"/>
  <c r="F36" i="7"/>
  <c r="L39" i="7"/>
  <c r="K37" i="7"/>
  <c r="N51" i="7"/>
  <c r="M43" i="7"/>
  <c r="M51" i="7"/>
  <c r="O10" i="7" l="1"/>
  <c r="J14" i="7"/>
  <c r="C31" i="7"/>
  <c r="G21" i="7"/>
  <c r="G74" i="4"/>
  <c r="C48" i="7"/>
  <c r="C128" i="4"/>
  <c r="I21" i="7"/>
  <c r="I74" i="4"/>
  <c r="B74" i="4"/>
  <c r="B21" i="7"/>
  <c r="M16" i="7"/>
  <c r="R12" i="7"/>
  <c r="J22" i="7"/>
  <c r="O18" i="7"/>
  <c r="H21" i="7"/>
  <c r="H74" i="4"/>
  <c r="D74" i="4"/>
  <c r="D21" i="7"/>
  <c r="N24" i="7"/>
  <c r="C74" i="4"/>
  <c r="C21" i="7"/>
  <c r="D42" i="7"/>
  <c r="D121" i="4"/>
  <c r="M24" i="7"/>
  <c r="E74" i="4"/>
  <c r="E21" i="7"/>
  <c r="B4" i="7"/>
  <c r="I15" i="7"/>
  <c r="I67" i="4"/>
  <c r="I7" i="7"/>
  <c r="I60" i="4"/>
  <c r="I6" i="7" s="1"/>
  <c r="K10" i="7"/>
  <c r="L12" i="7"/>
  <c r="K9" i="7"/>
  <c r="F21" i="7"/>
  <c r="F74" i="4"/>
  <c r="I85" i="4"/>
  <c r="F44" i="7"/>
  <c r="L37" i="7"/>
  <c r="K50" i="7"/>
  <c r="K52" i="7"/>
  <c r="O51" i="7"/>
  <c r="O45" i="7"/>
  <c r="F35" i="7"/>
  <c r="D49" i="7"/>
  <c r="J87" i="4" l="1"/>
  <c r="O24" i="7"/>
  <c r="K8" i="7"/>
  <c r="K23" i="7"/>
  <c r="K41" i="7"/>
  <c r="I58" i="4"/>
  <c r="I13" i="7"/>
  <c r="B20" i="7"/>
  <c r="J94" i="4"/>
  <c r="J85" i="4" s="1"/>
  <c r="N18" i="7"/>
  <c r="D112" i="4"/>
  <c r="D40" i="7"/>
  <c r="I20" i="7"/>
  <c r="W11" i="7"/>
  <c r="L10" i="7"/>
  <c r="D20" i="7"/>
  <c r="J101" i="4"/>
  <c r="H20" i="7"/>
  <c r="C47" i="7"/>
  <c r="E34" i="7"/>
  <c r="E114" i="4"/>
  <c r="L17" i="7"/>
  <c r="C20" i="7"/>
  <c r="R10" i="7"/>
  <c r="F20" i="7"/>
  <c r="G20" i="7"/>
  <c r="K25" i="7"/>
  <c r="E20" i="7"/>
  <c r="M37" i="7"/>
  <c r="G36" i="7"/>
  <c r="P51" i="7"/>
  <c r="W38" i="7"/>
  <c r="K87" i="4" l="1"/>
  <c r="L8" i="7"/>
  <c r="N43" i="7"/>
  <c r="P10" i="7"/>
  <c r="E33" i="7"/>
  <c r="S12" i="7"/>
  <c r="D31" i="7"/>
  <c r="P24" i="7"/>
  <c r="K14" i="7"/>
  <c r="D48" i="7"/>
  <c r="D128" i="4"/>
  <c r="E42" i="7"/>
  <c r="E121" i="4"/>
  <c r="E40" i="7" s="1"/>
  <c r="M12" i="7"/>
  <c r="K22" i="7"/>
  <c r="I4" i="7"/>
  <c r="J74" i="4"/>
  <c r="J21" i="7"/>
  <c r="J15" i="7"/>
  <c r="J67" i="4"/>
  <c r="J60" i="4"/>
  <c r="J7" i="7"/>
  <c r="L9" i="7"/>
  <c r="G44" i="7"/>
  <c r="L52" i="7"/>
  <c r="L50" i="7"/>
  <c r="M39" i="7"/>
  <c r="E49" i="7"/>
  <c r="Q51" i="7"/>
  <c r="P45" i="7"/>
  <c r="G35" i="7"/>
  <c r="O43" i="7"/>
  <c r="Q24" i="7" l="1"/>
  <c r="X11" i="7"/>
  <c r="R25" i="7"/>
  <c r="L25" i="7"/>
  <c r="L41" i="7"/>
  <c r="L23" i="7"/>
  <c r="J20" i="7"/>
  <c r="D47" i="7"/>
  <c r="K94" i="4"/>
  <c r="K85" i="4" s="1"/>
  <c r="N16" i="7"/>
  <c r="S10" i="7"/>
  <c r="K101" i="4"/>
  <c r="M17" i="7"/>
  <c r="P18" i="7"/>
  <c r="T24" i="7"/>
  <c r="J6" i="7"/>
  <c r="J58" i="4"/>
  <c r="E112" i="4"/>
  <c r="K7" i="7"/>
  <c r="K60" i="4"/>
  <c r="F34" i="7"/>
  <c r="F114" i="4"/>
  <c r="Q25" i="7"/>
  <c r="J13" i="7"/>
  <c r="N37" i="7"/>
  <c r="H36" i="7"/>
  <c r="X38" i="7"/>
  <c r="Q10" i="7" l="1"/>
  <c r="T12" i="7"/>
  <c r="K6" i="7"/>
  <c r="L14" i="7"/>
  <c r="L94" i="4"/>
  <c r="L15" i="7"/>
  <c r="T10" i="7"/>
  <c r="E31" i="7"/>
  <c r="O16" i="7"/>
  <c r="J4" i="7"/>
  <c r="K15" i="7"/>
  <c r="K67" i="4"/>
  <c r="K13" i="7" s="1"/>
  <c r="L22" i="7"/>
  <c r="N12" i="7"/>
  <c r="K74" i="4"/>
  <c r="K21" i="7"/>
  <c r="F42" i="7"/>
  <c r="F121" i="4"/>
  <c r="F40" i="7" s="1"/>
  <c r="E48" i="7"/>
  <c r="E128" i="4"/>
  <c r="F33" i="7"/>
  <c r="H44" i="7"/>
  <c r="M50" i="7"/>
  <c r="O37" i="7"/>
  <c r="N39" i="7"/>
  <c r="F49" i="7"/>
  <c r="Q45" i="7"/>
  <c r="I35" i="7"/>
  <c r="K58" i="4" l="1"/>
  <c r="K4" i="7" s="1"/>
  <c r="F112" i="4"/>
  <c r="L67" i="4"/>
  <c r="L13" i="7" s="1"/>
  <c r="M9" i="7"/>
  <c r="F31" i="7"/>
  <c r="L101" i="4"/>
  <c r="G34" i="7"/>
  <c r="G114" i="4"/>
  <c r="E47" i="7"/>
  <c r="H114" i="4"/>
  <c r="H34" i="7"/>
  <c r="S25" i="7"/>
  <c r="L87" i="4"/>
  <c r="L85" i="4" s="1"/>
  <c r="U24" i="7"/>
  <c r="N17" i="7"/>
  <c r="Q18" i="7"/>
  <c r="R24" i="7"/>
  <c r="M23" i="7"/>
  <c r="K20" i="7"/>
  <c r="I36" i="7"/>
  <c r="M52" i="7"/>
  <c r="Y38" i="7"/>
  <c r="R51" i="7"/>
  <c r="P43" i="7"/>
  <c r="M8" i="7" l="1"/>
  <c r="R23" i="7"/>
  <c r="U12" i="7"/>
  <c r="F128" i="4"/>
  <c r="F48" i="7"/>
  <c r="Y11" i="7"/>
  <c r="U10" i="7"/>
  <c r="L74" i="4"/>
  <c r="L21" i="7"/>
  <c r="M25" i="7"/>
  <c r="H33" i="7"/>
  <c r="M41" i="7"/>
  <c r="T25" i="7"/>
  <c r="G42" i="7"/>
  <c r="G121" i="4"/>
  <c r="G40" i="7" s="1"/>
  <c r="O12" i="7"/>
  <c r="P16" i="7"/>
  <c r="L60" i="4"/>
  <c r="L7" i="7"/>
  <c r="G33" i="7"/>
  <c r="P37" i="7"/>
  <c r="N52" i="7"/>
  <c r="O39" i="7"/>
  <c r="I44" i="7"/>
  <c r="S51" i="7"/>
  <c r="J35" i="7"/>
  <c r="G49" i="7"/>
  <c r="T51" i="7"/>
  <c r="R45" i="7"/>
  <c r="G112" i="4" l="1"/>
  <c r="N25" i="7"/>
  <c r="V24" i="7"/>
  <c r="M87" i="4"/>
  <c r="O17" i="7"/>
  <c r="L6" i="7"/>
  <c r="L58" i="4"/>
  <c r="F47" i="7"/>
  <c r="N9" i="7"/>
  <c r="W12" i="7"/>
  <c r="N23" i="7"/>
  <c r="L20" i="7"/>
  <c r="I34" i="7"/>
  <c r="I114" i="4"/>
  <c r="R18" i="7"/>
  <c r="V25" i="7"/>
  <c r="M22" i="7"/>
  <c r="R22" i="7"/>
  <c r="G31" i="7"/>
  <c r="M94" i="4"/>
  <c r="M15" i="7"/>
  <c r="S24" i="7"/>
  <c r="M14" i="7"/>
  <c r="P39" i="7"/>
  <c r="N50" i="7"/>
  <c r="J36" i="7"/>
  <c r="U51" i="7"/>
  <c r="S45" i="7"/>
  <c r="M67" i="4" l="1"/>
  <c r="M13" i="7" s="1"/>
  <c r="H42" i="7"/>
  <c r="H121" i="4"/>
  <c r="R101" i="4"/>
  <c r="S18" i="7"/>
  <c r="W24" i="7"/>
  <c r="V12" i="7"/>
  <c r="S23" i="7"/>
  <c r="P12" i="7"/>
  <c r="I33" i="7"/>
  <c r="M85" i="4"/>
  <c r="N22" i="7"/>
  <c r="M7" i="7"/>
  <c r="M60" i="4"/>
  <c r="S22" i="7"/>
  <c r="M101" i="4"/>
  <c r="G128" i="4"/>
  <c r="G48" i="7"/>
  <c r="N8" i="7"/>
  <c r="U25" i="7"/>
  <c r="L4" i="7"/>
  <c r="W25" i="7"/>
  <c r="V10" i="7"/>
  <c r="J44" i="7"/>
  <c r="Q37" i="7"/>
  <c r="Q43" i="7"/>
  <c r="H49" i="7"/>
  <c r="K35" i="7"/>
  <c r="O9" i="7" l="1"/>
  <c r="O23" i="7"/>
  <c r="P17" i="7"/>
  <c r="J114" i="4"/>
  <c r="J34" i="7"/>
  <c r="Q16" i="7"/>
  <c r="N41" i="7"/>
  <c r="N87" i="4"/>
  <c r="M6" i="7"/>
  <c r="M58" i="4"/>
  <c r="R21" i="7"/>
  <c r="R74" i="4"/>
  <c r="N101" i="4"/>
  <c r="G47" i="7"/>
  <c r="H40" i="7"/>
  <c r="H112" i="4"/>
  <c r="M74" i="4"/>
  <c r="M21" i="7"/>
  <c r="V51" i="7"/>
  <c r="Q39" i="7"/>
  <c r="O52" i="7"/>
  <c r="K36" i="7"/>
  <c r="O50" i="7"/>
  <c r="T45" i="7"/>
  <c r="S101" i="4" l="1"/>
  <c r="M20" i="7"/>
  <c r="J33" i="7"/>
  <c r="U18" i="7"/>
  <c r="H31" i="7"/>
  <c r="X12" i="7"/>
  <c r="N15" i="7"/>
  <c r="N94" i="4"/>
  <c r="N85" i="4" s="1"/>
  <c r="O8" i="7"/>
  <c r="W10" i="7"/>
  <c r="X24" i="7"/>
  <c r="O25" i="7"/>
  <c r="R20" i="7"/>
  <c r="V18" i="7"/>
  <c r="M4" i="7"/>
  <c r="N14" i="7"/>
  <c r="H128" i="4"/>
  <c r="H48" i="7"/>
  <c r="T23" i="7"/>
  <c r="I42" i="7"/>
  <c r="I121" i="4"/>
  <c r="Q12" i="7"/>
  <c r="N74" i="4"/>
  <c r="N21" i="7"/>
  <c r="T18" i="7"/>
  <c r="N60" i="4"/>
  <c r="N7" i="7"/>
  <c r="R37" i="7"/>
  <c r="K44" i="7"/>
  <c r="R39" i="7"/>
  <c r="L35" i="7"/>
  <c r="I49" i="7"/>
  <c r="U45" i="7"/>
  <c r="N67" i="4" l="1"/>
  <c r="N13" i="7" s="1"/>
  <c r="T22" i="7"/>
  <c r="Q17" i="7"/>
  <c r="U23" i="7"/>
  <c r="K114" i="4"/>
  <c r="K34" i="7"/>
  <c r="O87" i="4"/>
  <c r="W18" i="7"/>
  <c r="Q176" i="4"/>
  <c r="N6" i="7"/>
  <c r="N58" i="4"/>
  <c r="I40" i="7"/>
  <c r="I112" i="4"/>
  <c r="O41" i="7"/>
  <c r="O22" i="7"/>
  <c r="P23" i="7"/>
  <c r="X25" i="7"/>
  <c r="Y12" i="7"/>
  <c r="N20" i="7"/>
  <c r="H47" i="7"/>
  <c r="S74" i="4"/>
  <c r="S21" i="7"/>
  <c r="P50" i="7"/>
  <c r="L36" i="7"/>
  <c r="R43" i="7"/>
  <c r="R16" i="7" l="1"/>
  <c r="K33" i="7"/>
  <c r="O14" i="7"/>
  <c r="X18" i="7"/>
  <c r="P25" i="7"/>
  <c r="T101" i="4"/>
  <c r="I31" i="7"/>
  <c r="I48" i="7"/>
  <c r="I128" i="4"/>
  <c r="S20" i="7"/>
  <c r="O101" i="4"/>
  <c r="N4" i="7"/>
  <c r="O7" i="7"/>
  <c r="O60" i="4"/>
  <c r="O6" i="7" s="1"/>
  <c r="J42" i="7"/>
  <c r="J121" i="4"/>
  <c r="Y24" i="7"/>
  <c r="S37" i="7"/>
  <c r="L44" i="7"/>
  <c r="W51" i="7"/>
  <c r="P52" i="7"/>
  <c r="Q52" i="7"/>
  <c r="S39" i="7"/>
  <c r="J49" i="7"/>
  <c r="M35" i="7"/>
  <c r="V45" i="7"/>
  <c r="R17" i="7" l="1"/>
  <c r="O21" i="7"/>
  <c r="O74" i="4"/>
  <c r="V23" i="7"/>
  <c r="X10" i="7"/>
  <c r="J40" i="7"/>
  <c r="J112" i="4"/>
  <c r="T74" i="4"/>
  <c r="T21" i="7"/>
  <c r="L34" i="7"/>
  <c r="L114" i="4"/>
  <c r="O94" i="4"/>
  <c r="O85" i="4" s="1"/>
  <c r="Y18" i="7"/>
  <c r="P22" i="7"/>
  <c r="I47" i="7"/>
  <c r="Y25" i="7"/>
  <c r="M36" i="7"/>
  <c r="T39" i="7"/>
  <c r="Q50" i="7"/>
  <c r="R52" i="7"/>
  <c r="O15" i="7" l="1"/>
  <c r="O67" i="4"/>
  <c r="L33" i="7"/>
  <c r="Q23" i="7"/>
  <c r="P41" i="7"/>
  <c r="P101" i="4"/>
  <c r="W23" i="7"/>
  <c r="T20" i="7"/>
  <c r="O20" i="7"/>
  <c r="Y10" i="7"/>
  <c r="J31" i="7"/>
  <c r="J128" i="4"/>
  <c r="J48" i="7"/>
  <c r="K42" i="7"/>
  <c r="K121" i="4"/>
  <c r="R50" i="7"/>
  <c r="S52" i="7"/>
  <c r="X51" i="7"/>
  <c r="M44" i="7"/>
  <c r="T37" i="7"/>
  <c r="N35" i="7"/>
  <c r="W45" i="7"/>
  <c r="K49" i="7"/>
  <c r="S43" i="7"/>
  <c r="J47" i="7" l="1"/>
  <c r="Q22" i="7"/>
  <c r="P14" i="7"/>
  <c r="S16" i="7"/>
  <c r="P21" i="7"/>
  <c r="P74" i="4"/>
  <c r="M114" i="4"/>
  <c r="M33" i="7" s="1"/>
  <c r="M34" i="7"/>
  <c r="K40" i="7"/>
  <c r="K112" i="4"/>
  <c r="O58" i="4"/>
  <c r="O13" i="7"/>
  <c r="S17" i="7"/>
  <c r="U39" i="7"/>
  <c r="N36" i="7"/>
  <c r="X45" i="7"/>
  <c r="K31" i="7" l="1"/>
  <c r="Q41" i="7"/>
  <c r="L42" i="7"/>
  <c r="L121" i="4"/>
  <c r="P20" i="7"/>
  <c r="P94" i="4"/>
  <c r="K48" i="7"/>
  <c r="K128" i="4"/>
  <c r="Q101" i="4"/>
  <c r="X23" i="7"/>
  <c r="O4" i="7"/>
  <c r="U37" i="7"/>
  <c r="T52" i="7"/>
  <c r="Y51" i="7"/>
  <c r="S50" i="7"/>
  <c r="N44" i="7"/>
  <c r="L49" i="7"/>
  <c r="T17" i="7" l="1"/>
  <c r="Q21" i="7"/>
  <c r="Q74" i="4"/>
  <c r="L40" i="7"/>
  <c r="L112" i="4"/>
  <c r="K47" i="7"/>
  <c r="N34" i="7"/>
  <c r="N114" i="4"/>
  <c r="Q14" i="7"/>
  <c r="P15" i="7"/>
  <c r="P67" i="4"/>
  <c r="U52" i="7"/>
  <c r="O36" i="7"/>
  <c r="V39" i="7"/>
  <c r="T43" i="7"/>
  <c r="Y45" i="7"/>
  <c r="L48" i="7" l="1"/>
  <c r="L128" i="4"/>
  <c r="Y23" i="7"/>
  <c r="P13" i="7"/>
  <c r="L31" i="7"/>
  <c r="M42" i="7"/>
  <c r="M121" i="4"/>
  <c r="T16" i="7"/>
  <c r="Q20" i="7"/>
  <c r="U17" i="7"/>
  <c r="N33" i="7"/>
  <c r="R41" i="7"/>
  <c r="Q94" i="4"/>
  <c r="T50" i="7"/>
  <c r="O44" i="7"/>
  <c r="V37" i="7"/>
  <c r="M49" i="7"/>
  <c r="R14" i="7" l="1"/>
  <c r="X22" i="7"/>
  <c r="M112" i="4"/>
  <c r="M40" i="7"/>
  <c r="Q15" i="7"/>
  <c r="Q67" i="4"/>
  <c r="Q13" i="7" s="1"/>
  <c r="L47" i="7"/>
  <c r="V52" i="7"/>
  <c r="U50" i="7"/>
  <c r="W39" i="7"/>
  <c r="W37" i="7"/>
  <c r="U43" i="7"/>
  <c r="M48" i="7" l="1"/>
  <c r="M128" i="4"/>
  <c r="M31" i="7"/>
  <c r="R94" i="4"/>
  <c r="V17" i="7"/>
  <c r="U16" i="7"/>
  <c r="S41" i="7"/>
  <c r="X101" i="4"/>
  <c r="N42" i="7"/>
  <c r="N121" i="4"/>
  <c r="W52" i="7"/>
  <c r="P36" i="7"/>
  <c r="P44" i="7"/>
  <c r="N49" i="7"/>
  <c r="P9" i="7" l="1"/>
  <c r="Y22" i="7"/>
  <c r="N40" i="7"/>
  <c r="N112" i="4"/>
  <c r="S14" i="7"/>
  <c r="X74" i="4"/>
  <c r="X21" i="7"/>
  <c r="R15" i="7"/>
  <c r="R67" i="4"/>
  <c r="M47" i="7"/>
  <c r="Y101" i="4"/>
  <c r="X39" i="7"/>
  <c r="V50" i="7"/>
  <c r="X37" i="7"/>
  <c r="P35" i="7"/>
  <c r="W17" i="7" l="1"/>
  <c r="N48" i="7"/>
  <c r="N128" i="4"/>
  <c r="T41" i="7"/>
  <c r="R13" i="7"/>
  <c r="N31" i="7"/>
  <c r="S94" i="4"/>
  <c r="P8" i="7"/>
  <c r="Y21" i="7"/>
  <c r="Y74" i="4"/>
  <c r="X20" i="7"/>
  <c r="O42" i="7"/>
  <c r="O121" i="4"/>
  <c r="Q44" i="7"/>
  <c r="X52" i="7"/>
  <c r="O49" i="7"/>
  <c r="V43" i="7"/>
  <c r="O35" i="7"/>
  <c r="T14" i="7" l="1"/>
  <c r="O40" i="7"/>
  <c r="S15" i="7"/>
  <c r="S67" i="4"/>
  <c r="N47" i="7"/>
  <c r="U9" i="7"/>
  <c r="V16" i="7"/>
  <c r="Y20" i="7"/>
  <c r="P87" i="4"/>
  <c r="P85" i="4" s="1"/>
  <c r="Y39" i="7"/>
  <c r="Y37" i="7"/>
  <c r="R44" i="7"/>
  <c r="W50" i="7"/>
  <c r="U8" i="7" l="1"/>
  <c r="S13" i="7"/>
  <c r="U22" i="7"/>
  <c r="Q9" i="7"/>
  <c r="T94" i="4"/>
  <c r="P42" i="7"/>
  <c r="P121" i="4"/>
  <c r="P40" i="7" s="1"/>
  <c r="P34" i="7"/>
  <c r="P114" i="4"/>
  <c r="O48" i="7"/>
  <c r="O128" i="4"/>
  <c r="P7" i="7"/>
  <c r="P60" i="4"/>
  <c r="Y52" i="7"/>
  <c r="Q36" i="7"/>
  <c r="X50" i="7"/>
  <c r="P49" i="7"/>
  <c r="W43" i="7"/>
  <c r="O114" i="4" l="1"/>
  <c r="O34" i="7"/>
  <c r="U41" i="7"/>
  <c r="W16" i="7"/>
  <c r="P33" i="7"/>
  <c r="P112" i="4"/>
  <c r="U101" i="4"/>
  <c r="U87" i="4"/>
  <c r="X17" i="7"/>
  <c r="P6" i="7"/>
  <c r="P58" i="4"/>
  <c r="Q8" i="7"/>
  <c r="V9" i="7"/>
  <c r="T15" i="7"/>
  <c r="T67" i="4"/>
  <c r="O47" i="7"/>
  <c r="S44" i="7"/>
  <c r="Q35" i="7"/>
  <c r="T13" i="7" l="1"/>
  <c r="P4" i="7"/>
  <c r="P31" i="7"/>
  <c r="P128" i="4"/>
  <c r="P48" i="7"/>
  <c r="U14" i="7"/>
  <c r="U94" i="4"/>
  <c r="U85" i="4" s="1"/>
  <c r="U15" i="7"/>
  <c r="U7" i="7"/>
  <c r="U60" i="4"/>
  <c r="R9" i="7"/>
  <c r="Q42" i="7"/>
  <c r="Q121" i="4"/>
  <c r="Q40" i="7" s="1"/>
  <c r="V22" i="7"/>
  <c r="U21" i="7"/>
  <c r="U74" i="4"/>
  <c r="Q87" i="4"/>
  <c r="Q85" i="4" s="1"/>
  <c r="V8" i="7"/>
  <c r="O33" i="7"/>
  <c r="O112" i="4"/>
  <c r="Y50" i="7"/>
  <c r="R36" i="7"/>
  <c r="Q49" i="7"/>
  <c r="U20" i="7" l="1"/>
  <c r="O31" i="7"/>
  <c r="U6" i="7"/>
  <c r="P47" i="7"/>
  <c r="V87" i="4"/>
  <c r="W9" i="7"/>
  <c r="Q34" i="7"/>
  <c r="Q114" i="4"/>
  <c r="U67" i="4"/>
  <c r="U58" i="4" s="1"/>
  <c r="R8" i="7"/>
  <c r="Q7" i="7"/>
  <c r="Q60" i="4"/>
  <c r="T44" i="7"/>
  <c r="S36" i="7"/>
  <c r="R35" i="7"/>
  <c r="X43" i="7"/>
  <c r="Q128" i="4" l="1"/>
  <c r="Q48" i="7"/>
  <c r="W22" i="7"/>
  <c r="R42" i="7"/>
  <c r="R121" i="4"/>
  <c r="R40" i="7" s="1"/>
  <c r="X16" i="7"/>
  <c r="Q33" i="7"/>
  <c r="Q112" i="4"/>
  <c r="U4" i="7"/>
  <c r="W8" i="7"/>
  <c r="V101" i="4"/>
  <c r="Q6" i="7"/>
  <c r="Q58" i="4"/>
  <c r="R87" i="4"/>
  <c r="R85" i="4" s="1"/>
  <c r="S9" i="7"/>
  <c r="V60" i="4"/>
  <c r="V7" i="7"/>
  <c r="V41" i="7"/>
  <c r="Y17" i="7"/>
  <c r="U13" i="7"/>
  <c r="R49" i="7"/>
  <c r="S35" i="7"/>
  <c r="W87" i="4" l="1"/>
  <c r="V14" i="7"/>
  <c r="V21" i="7"/>
  <c r="V74" i="4"/>
  <c r="X9" i="7"/>
  <c r="S8" i="7"/>
  <c r="R7" i="7"/>
  <c r="R60" i="4"/>
  <c r="Q4" i="7"/>
  <c r="W101" i="4"/>
  <c r="V6" i="7"/>
  <c r="Q31" i="7"/>
  <c r="Q47" i="7"/>
  <c r="U44" i="7"/>
  <c r="S42" i="7" l="1"/>
  <c r="S121" i="4"/>
  <c r="S40" i="7" s="1"/>
  <c r="R128" i="4"/>
  <c r="R48" i="7"/>
  <c r="R6" i="7"/>
  <c r="R58" i="4"/>
  <c r="V20" i="7"/>
  <c r="V94" i="4"/>
  <c r="V85" i="4" s="1"/>
  <c r="W41" i="7"/>
  <c r="R114" i="4"/>
  <c r="R34" i="7"/>
  <c r="W21" i="7"/>
  <c r="W74" i="4"/>
  <c r="S87" i="4"/>
  <c r="S85" i="4" s="1"/>
  <c r="W7" i="7"/>
  <c r="W60" i="4"/>
  <c r="S49" i="7"/>
  <c r="Y43" i="7"/>
  <c r="R4" i="7" l="1"/>
  <c r="Y9" i="7"/>
  <c r="W14" i="7"/>
  <c r="R33" i="7"/>
  <c r="R112" i="4"/>
  <c r="X8" i="7"/>
  <c r="S7" i="7"/>
  <c r="S60" i="4"/>
  <c r="X87" i="4"/>
  <c r="V15" i="7"/>
  <c r="V67" i="4"/>
  <c r="R47" i="7"/>
  <c r="Y16" i="7"/>
  <c r="W20" i="7"/>
  <c r="T9" i="7"/>
  <c r="W6" i="7"/>
  <c r="V44" i="7"/>
  <c r="T36" i="7"/>
  <c r="R31" i="7" l="1"/>
  <c r="X7" i="7"/>
  <c r="X60" i="4"/>
  <c r="X6" i="7" s="1"/>
  <c r="T42" i="7"/>
  <c r="T121" i="4"/>
  <c r="T40" i="7" s="1"/>
  <c r="S6" i="7"/>
  <c r="S58" i="4"/>
  <c r="S128" i="4"/>
  <c r="S48" i="7"/>
  <c r="Y8" i="7"/>
  <c r="T8" i="7"/>
  <c r="S114" i="4"/>
  <c r="S34" i="7"/>
  <c r="V13" i="7"/>
  <c r="V58" i="4"/>
  <c r="W94" i="4"/>
  <c r="W85" i="4" s="1"/>
  <c r="U36" i="7"/>
  <c r="T35" i="7"/>
  <c r="T49" i="7"/>
  <c r="S33" i="7" l="1"/>
  <c r="S112" i="4"/>
  <c r="W15" i="7"/>
  <c r="W67" i="4"/>
  <c r="Y87" i="4"/>
  <c r="T34" i="7"/>
  <c r="T114" i="4"/>
  <c r="V4" i="7"/>
  <c r="T87" i="4"/>
  <c r="T85" i="4" s="1"/>
  <c r="X41" i="7"/>
  <c r="S47" i="7"/>
  <c r="S4" i="7"/>
  <c r="W44" i="7"/>
  <c r="U35" i="7"/>
  <c r="T33" i="7" l="1"/>
  <c r="T112" i="4"/>
  <c r="T60" i="4"/>
  <c r="T7" i="7"/>
  <c r="U42" i="7"/>
  <c r="U121" i="4"/>
  <c r="U40" i="7" s="1"/>
  <c r="Y60" i="4"/>
  <c r="Y7" i="7"/>
  <c r="T48" i="7"/>
  <c r="T128" i="4"/>
  <c r="W13" i="7"/>
  <c r="W58" i="4"/>
  <c r="X94" i="4"/>
  <c r="X85" i="4" s="1"/>
  <c r="X15" i="7"/>
  <c r="X14" i="7"/>
  <c r="S31" i="7"/>
  <c r="Y41" i="7"/>
  <c r="V36" i="7"/>
  <c r="U49" i="7"/>
  <c r="X67" i="4" l="1"/>
  <c r="W4" i="7"/>
  <c r="T47" i="7"/>
  <c r="X58" i="4"/>
  <c r="X13" i="7"/>
  <c r="T6" i="7"/>
  <c r="T58" i="4"/>
  <c r="U34" i="7"/>
  <c r="U114" i="4"/>
  <c r="T31" i="7"/>
  <c r="Y6" i="7"/>
  <c r="W36" i="7"/>
  <c r="X44" i="7"/>
  <c r="V35" i="7"/>
  <c r="V42" i="7" l="1"/>
  <c r="V121" i="4"/>
  <c r="X4" i="7"/>
  <c r="U33" i="7"/>
  <c r="U112" i="4"/>
  <c r="Y94" i="4"/>
  <c r="Y85" i="4" s="1"/>
  <c r="T4" i="7"/>
  <c r="U128" i="4"/>
  <c r="U48" i="7"/>
  <c r="X36" i="7"/>
  <c r="V49" i="7"/>
  <c r="V34" i="7" l="1"/>
  <c r="V114" i="4"/>
  <c r="V33" i="7" s="1"/>
  <c r="U31" i="7"/>
  <c r="U47" i="7"/>
  <c r="V112" i="4"/>
  <c r="V40" i="7"/>
  <c r="Y14" i="7"/>
  <c r="Y67" i="4"/>
  <c r="Y15" i="7"/>
  <c r="Y44" i="7"/>
  <c r="W35" i="7"/>
  <c r="V31" i="7" l="1"/>
  <c r="W42" i="7"/>
  <c r="W121" i="4"/>
  <c r="W40" i="7" s="1"/>
  <c r="Y13" i="7"/>
  <c r="Y58" i="4"/>
  <c r="V128" i="4"/>
  <c r="V48" i="7"/>
  <c r="Y36" i="7"/>
  <c r="W49" i="7"/>
  <c r="V47" i="7" l="1"/>
  <c r="Y4" i="7"/>
  <c r="W114" i="4"/>
  <c r="W34" i="7"/>
  <c r="X35" i="7"/>
  <c r="X42" i="7" l="1"/>
  <c r="X121" i="4"/>
  <c r="X40" i="7" s="1"/>
  <c r="W48" i="7"/>
  <c r="W128" i="4"/>
  <c r="W33" i="7"/>
  <c r="W112" i="4"/>
  <c r="X49" i="7"/>
  <c r="W31" i="7" l="1"/>
  <c r="W47" i="7"/>
  <c r="X34" i="7"/>
  <c r="X114" i="4"/>
  <c r="Y35" i="7"/>
  <c r="X33" i="7" l="1"/>
  <c r="X112" i="4"/>
  <c r="X128" i="4"/>
  <c r="X48" i="7"/>
  <c r="Y121" i="4"/>
  <c r="Y40" i="7" s="1"/>
  <c r="Y42" i="7"/>
  <c r="Y49" i="7"/>
  <c r="Y114" i="4" l="1"/>
  <c r="Y34" i="7"/>
  <c r="Y69" i="7"/>
  <c r="X47" i="7"/>
  <c r="X31" i="7"/>
  <c r="Y48" i="7" l="1"/>
  <c r="Y128" i="4"/>
  <c r="Y62" i="7"/>
  <c r="Y60" i="7" s="1"/>
  <c r="Y33" i="7"/>
  <c r="Y112" i="4"/>
  <c r="Y76" i="7" l="1"/>
  <c r="Y31" i="7"/>
  <c r="Y47" i="7"/>
  <c r="B169" i="4" l="1"/>
  <c r="E169" i="4"/>
  <c r="L169" i="4"/>
  <c r="J169" i="4"/>
  <c r="M169" i="4"/>
  <c r="N169" i="4"/>
  <c r="F169" i="4"/>
  <c r="I169" i="4"/>
  <c r="C169" i="4"/>
  <c r="D169" i="4"/>
  <c r="Q169" i="4"/>
  <c r="O169" i="4"/>
  <c r="G169" i="4"/>
  <c r="H169" i="4"/>
  <c r="K169" i="4"/>
  <c r="P169" i="4"/>
  <c r="R169" i="4" l="1"/>
  <c r="S169" i="4" l="1"/>
  <c r="T169" i="4" l="1"/>
  <c r="U169" i="4" l="1"/>
  <c r="W169" i="4" l="1"/>
  <c r="V169" i="4"/>
  <c r="X169" i="4" l="1"/>
  <c r="Q178" i="4" l="1"/>
  <c r="P178" i="4" l="1"/>
  <c r="P182" i="4"/>
  <c r="Q182" i="4"/>
  <c r="O178" i="4" l="1"/>
  <c r="V27" i="4" l="1"/>
  <c r="W27" i="4"/>
  <c r="R182" i="4" l="1"/>
  <c r="X27" i="4"/>
  <c r="S182" i="4" l="1"/>
  <c r="Y27" i="4"/>
  <c r="W53" i="4" l="1"/>
  <c r="V53" i="4"/>
  <c r="W28" i="4"/>
  <c r="V28" i="4"/>
  <c r="W26" i="4" l="1"/>
  <c r="V26" i="4"/>
  <c r="X53" i="4"/>
  <c r="Y53" i="4"/>
  <c r="Q14" i="4"/>
  <c r="X28" i="4"/>
  <c r="Y28" i="4"/>
  <c r="X26" i="4" l="1"/>
  <c r="Y26" i="4"/>
  <c r="W163" i="4"/>
  <c r="W20" i="3"/>
  <c r="Q205" i="4"/>
  <c r="V163" i="4"/>
  <c r="V20" i="3"/>
  <c r="Q18" i="4"/>
  <c r="Q209" i="4" l="1"/>
  <c r="X163" i="4"/>
  <c r="X20" i="3"/>
  <c r="Y163" i="4"/>
  <c r="Y20" i="3"/>
  <c r="V28" i="7"/>
  <c r="V192" i="4"/>
  <c r="V219" i="4"/>
  <c r="W28" i="7" l="1"/>
  <c r="W192" i="4"/>
  <c r="W219" i="4"/>
  <c r="Y28" i="7" l="1"/>
  <c r="Y192" i="4"/>
  <c r="Y219" i="4"/>
  <c r="X28" i="7"/>
  <c r="X192" i="4"/>
  <c r="X219" i="4"/>
  <c r="P129" i="5" l="1"/>
  <c r="P75" i="5"/>
  <c r="P130" i="7" s="1"/>
  <c r="N178" i="4" l="1"/>
  <c r="P123" i="6"/>
  <c r="P150" i="6"/>
  <c r="P69" i="6"/>
  <c r="M178" i="4" l="1"/>
  <c r="L178" i="4" l="1"/>
  <c r="M27" i="4"/>
  <c r="Q27" i="4"/>
  <c r="N27" i="4"/>
  <c r="L27" i="4"/>
  <c r="P27" i="4"/>
  <c r="O27" i="4"/>
  <c r="K27" i="4" l="1"/>
  <c r="O53" i="4" l="1"/>
  <c r="N53" i="4"/>
  <c r="M28" i="4"/>
  <c r="M53" i="4"/>
  <c r="Q53" i="4"/>
  <c r="P53" i="4"/>
  <c r="Q28" i="4"/>
  <c r="J27" i="4"/>
  <c r="P28" i="4"/>
  <c r="N28" i="4"/>
  <c r="O28" i="4"/>
  <c r="N26" i="4" l="1"/>
  <c r="P26" i="4"/>
  <c r="Q26" i="4"/>
  <c r="O26" i="4"/>
  <c r="M26" i="4"/>
  <c r="L53" i="4"/>
  <c r="L28" i="4"/>
  <c r="I27" i="4"/>
  <c r="L26" i="4" l="1"/>
  <c r="Q163" i="4"/>
  <c r="Q20" i="3"/>
  <c r="P176" i="4"/>
  <c r="N163" i="4"/>
  <c r="N20" i="3"/>
  <c r="O163" i="4"/>
  <c r="O20" i="3"/>
  <c r="K53" i="4"/>
  <c r="P163" i="4"/>
  <c r="P20" i="3"/>
  <c r="K178" i="4"/>
  <c r="M163" i="4"/>
  <c r="M20" i="3"/>
  <c r="K28" i="4"/>
  <c r="H27" i="4"/>
  <c r="K26" i="4" l="1"/>
  <c r="J178" i="4"/>
  <c r="L163" i="4"/>
  <c r="L20" i="3"/>
  <c r="J53" i="4"/>
  <c r="O176" i="4"/>
  <c r="J28" i="4"/>
  <c r="G27" i="4"/>
  <c r="J26" i="4" l="1"/>
  <c r="M28" i="7"/>
  <c r="M192" i="4"/>
  <c r="M219" i="4"/>
  <c r="I178" i="4"/>
  <c r="O28" i="7"/>
  <c r="O192" i="4"/>
  <c r="O219" i="4"/>
  <c r="Q28" i="7"/>
  <c r="Q192" i="4"/>
  <c r="Q219" i="4"/>
  <c r="I53" i="4"/>
  <c r="N28" i="7"/>
  <c r="N192" i="4"/>
  <c r="N219" i="4"/>
  <c r="K163" i="4"/>
  <c r="K20" i="3"/>
  <c r="P28" i="7"/>
  <c r="P192" i="4"/>
  <c r="P219" i="4"/>
  <c r="N176" i="4"/>
  <c r="Q180" i="4"/>
  <c r="I28" i="4"/>
  <c r="I26" i="4" l="1"/>
  <c r="Q175" i="4"/>
  <c r="H178" i="4"/>
  <c r="J163" i="4"/>
  <c r="J20" i="3"/>
  <c r="H53" i="4"/>
  <c r="M176" i="4"/>
  <c r="L28" i="7"/>
  <c r="L192" i="4"/>
  <c r="L219" i="4"/>
  <c r="Q16" i="4"/>
  <c r="H28" i="4"/>
  <c r="H26" i="4" l="1"/>
  <c r="K28" i="7"/>
  <c r="K192" i="4"/>
  <c r="K219" i="4"/>
  <c r="G53" i="4"/>
  <c r="I163" i="4"/>
  <c r="I20" i="3"/>
  <c r="G178" i="4"/>
  <c r="L176" i="4"/>
  <c r="Q207" i="4"/>
  <c r="G28" i="4"/>
  <c r="G26" i="4" l="1"/>
  <c r="J28" i="7"/>
  <c r="J192" i="4"/>
  <c r="J219" i="4"/>
  <c r="K176" i="4"/>
  <c r="F178" i="4"/>
  <c r="H163" i="4"/>
  <c r="H20" i="3"/>
  <c r="I28" i="7" l="1"/>
  <c r="I192" i="4"/>
  <c r="I219" i="4"/>
  <c r="G163" i="4"/>
  <c r="G20" i="3"/>
  <c r="E178" i="4"/>
  <c r="T182" i="4"/>
  <c r="J176" i="4"/>
  <c r="Y182" i="4" l="1"/>
  <c r="D178" i="4"/>
  <c r="U182" i="4"/>
  <c r="H28" i="7"/>
  <c r="H192" i="4"/>
  <c r="H219" i="4"/>
  <c r="X182" i="4"/>
  <c r="I176" i="4"/>
  <c r="W182" i="4"/>
  <c r="V182" i="4"/>
  <c r="G28" i="7" l="1"/>
  <c r="G192" i="4"/>
  <c r="G219" i="4"/>
  <c r="H176" i="4"/>
  <c r="B178" i="4"/>
  <c r="C178" i="4"/>
  <c r="Q69" i="5" l="1"/>
  <c r="Q124" i="7" s="1"/>
  <c r="Q123" i="5"/>
  <c r="G176" i="4"/>
  <c r="Q117" i="6" l="1"/>
  <c r="Q144" i="6"/>
  <c r="Q63" i="6"/>
  <c r="P123" i="5"/>
  <c r="P69" i="5"/>
  <c r="P124" i="7" s="1"/>
  <c r="F176" i="4"/>
  <c r="P117" i="6" l="1"/>
  <c r="P144" i="6"/>
  <c r="P63" i="6"/>
  <c r="Q75" i="5"/>
  <c r="Q130" i="7" s="1"/>
  <c r="Q129" i="5"/>
  <c r="Q102" i="5"/>
  <c r="E176" i="4"/>
  <c r="N181" i="4"/>
  <c r="Q123" i="6" l="1"/>
  <c r="Q150" i="6"/>
  <c r="Q69" i="6"/>
  <c r="Q96" i="6"/>
  <c r="D12" i="4"/>
  <c r="D63" i="6"/>
  <c r="D257" i="4"/>
  <c r="D176" i="4"/>
  <c r="P175" i="4"/>
  <c r="G69" i="5"/>
  <c r="G124" i="7" s="1"/>
  <c r="G123" i="5"/>
  <c r="C12" i="4" l="1"/>
  <c r="C257" i="4"/>
  <c r="C176" i="4"/>
  <c r="C63" i="6"/>
  <c r="D90" i="6"/>
  <c r="D96" i="5"/>
  <c r="D230" i="4"/>
  <c r="D203" i="4"/>
  <c r="B257" i="4"/>
  <c r="B12" i="4"/>
  <c r="B176" i="4"/>
  <c r="B63" i="6"/>
  <c r="F123" i="5"/>
  <c r="F69" i="5"/>
  <c r="F124" i="7" s="1"/>
  <c r="G117" i="6"/>
  <c r="G144" i="6"/>
  <c r="G63" i="6"/>
  <c r="E69" i="5" l="1"/>
  <c r="E124" i="7" s="1"/>
  <c r="E123" i="5"/>
  <c r="B203" i="4"/>
  <c r="B90" i="6"/>
  <c r="B96" i="5"/>
  <c r="B230" i="4"/>
  <c r="F117" i="6"/>
  <c r="F144" i="6"/>
  <c r="F63" i="6"/>
  <c r="C90" i="6"/>
  <c r="C96" i="5"/>
  <c r="C230" i="4"/>
  <c r="C203" i="4"/>
  <c r="D123" i="5" l="1"/>
  <c r="D69" i="5"/>
  <c r="D150" i="5"/>
  <c r="Q189" i="4"/>
  <c r="E117" i="6"/>
  <c r="E144" i="6"/>
  <c r="E63" i="6"/>
  <c r="Q185" i="4"/>
  <c r="P189" i="4" l="1"/>
  <c r="Q186" i="4"/>
  <c r="D117" i="6"/>
  <c r="D144" i="6"/>
  <c r="O181" i="4"/>
  <c r="C123" i="5"/>
  <c r="C150" i="5"/>
  <c r="C69" i="5"/>
  <c r="Q174" i="4"/>
  <c r="P185" i="4"/>
  <c r="B150" i="5"/>
  <c r="B123" i="5"/>
  <c r="B69" i="5"/>
  <c r="Q21" i="4"/>
  <c r="Q25" i="4"/>
  <c r="B117" i="6" l="1"/>
  <c r="B144" i="6"/>
  <c r="O189" i="4"/>
  <c r="O185" i="4"/>
  <c r="Q216" i="4"/>
  <c r="C117" i="6"/>
  <c r="C144" i="6"/>
  <c r="P186" i="4"/>
  <c r="Q212" i="4"/>
  <c r="P21" i="4"/>
  <c r="Q22" i="4"/>
  <c r="P25" i="4"/>
  <c r="N189" i="4" l="1"/>
  <c r="P174" i="4"/>
  <c r="O186" i="4"/>
  <c r="N185" i="4"/>
  <c r="Q181" i="4"/>
  <c r="P216" i="4"/>
  <c r="Q213" i="4"/>
  <c r="P212" i="4"/>
  <c r="O21" i="4"/>
  <c r="P22" i="4"/>
  <c r="O25" i="4"/>
  <c r="Q179" i="4" l="1"/>
  <c r="Q40" i="4"/>
  <c r="P213" i="4"/>
  <c r="O212" i="4"/>
  <c r="M185" i="4"/>
  <c r="O174" i="4"/>
  <c r="O216" i="4"/>
  <c r="O22" i="4"/>
  <c r="Q4" i="5"/>
  <c r="Q47" i="6" s="1"/>
  <c r="N25" i="4"/>
  <c r="N21" i="4"/>
  <c r="Q17" i="4"/>
  <c r="Q73" i="5" l="1"/>
  <c r="Q128" i="7" s="1"/>
  <c r="Q127" i="5"/>
  <c r="Q100" i="5"/>
  <c r="L174" i="4"/>
  <c r="L185" i="4"/>
  <c r="N216" i="4"/>
  <c r="Q177" i="4"/>
  <c r="N212" i="4"/>
  <c r="O213" i="4"/>
  <c r="N174" i="4"/>
  <c r="Q136" i="5"/>
  <c r="Q82" i="5"/>
  <c r="Q137" i="7" s="1"/>
  <c r="Q109" i="5"/>
  <c r="Q208" i="4"/>
  <c r="M21" i="4"/>
  <c r="Q15" i="4"/>
  <c r="Q206" i="4" l="1"/>
  <c r="Q13" i="4"/>
  <c r="M212" i="4"/>
  <c r="K185" i="4"/>
  <c r="Q130" i="6"/>
  <c r="Q157" i="6"/>
  <c r="Q76" i="6"/>
  <c r="Q103" i="6"/>
  <c r="M174" i="4"/>
  <c r="P181" i="4"/>
  <c r="P4" i="5"/>
  <c r="P47" i="6" s="1"/>
  <c r="P136" i="5"/>
  <c r="P82" i="5"/>
  <c r="P137" i="7" s="1"/>
  <c r="P109" i="5"/>
  <c r="Q121" i="6"/>
  <c r="Q67" i="6"/>
  <c r="Q209" i="7" s="1"/>
  <c r="Q94" i="6"/>
  <c r="L21" i="4"/>
  <c r="J185" i="4" l="1"/>
  <c r="O82" i="5"/>
  <c r="O137" i="7" s="1"/>
  <c r="O136" i="5"/>
  <c r="O109" i="5"/>
  <c r="L212" i="4"/>
  <c r="Q204" i="4"/>
  <c r="Q150" i="4"/>
  <c r="Q8" i="3"/>
  <c r="P130" i="6"/>
  <c r="P157" i="6"/>
  <c r="P76" i="6"/>
  <c r="P103" i="6"/>
  <c r="K21" i="4"/>
  <c r="G12" i="4"/>
  <c r="G203" i="4" l="1"/>
  <c r="G90" i="6"/>
  <c r="G96" i="5"/>
  <c r="I185" i="4"/>
  <c r="N82" i="5"/>
  <c r="N137" i="7" s="1"/>
  <c r="N136" i="5"/>
  <c r="N109" i="5"/>
  <c r="H123" i="5"/>
  <c r="H69" i="5"/>
  <c r="H124" i="7" s="1"/>
  <c r="O157" i="6"/>
  <c r="O130" i="6"/>
  <c r="O76" i="6"/>
  <c r="O103" i="6"/>
  <c r="K212" i="4"/>
  <c r="I123" i="5"/>
  <c r="I69" i="5"/>
  <c r="I124" i="7" s="1"/>
  <c r="J21" i="4"/>
  <c r="F12" i="4"/>
  <c r="J212" i="4" l="1"/>
  <c r="N130" i="6"/>
  <c r="N157" i="6"/>
  <c r="N76" i="6"/>
  <c r="N103" i="6"/>
  <c r="H117" i="6"/>
  <c r="H144" i="6"/>
  <c r="H63" i="6"/>
  <c r="I117" i="6"/>
  <c r="I144" i="6"/>
  <c r="I63" i="6"/>
  <c r="H185" i="4"/>
  <c r="F203" i="4"/>
  <c r="F90" i="6"/>
  <c r="F96" i="5"/>
  <c r="I21" i="4"/>
  <c r="E12" i="4"/>
  <c r="I212" i="4" l="1"/>
  <c r="G185" i="4"/>
  <c r="E96" i="5"/>
  <c r="E90" i="6"/>
  <c r="E203" i="4"/>
  <c r="H21" i="4"/>
  <c r="F185" i="4" l="1"/>
  <c r="H212" i="4"/>
  <c r="G21" i="4"/>
  <c r="E185" i="4" l="1"/>
  <c r="G212" i="4"/>
  <c r="F21" i="4"/>
  <c r="D185" i="4" l="1"/>
  <c r="F212" i="4"/>
  <c r="E21" i="4"/>
  <c r="E212" i="4" l="1"/>
  <c r="R178" i="4"/>
  <c r="B185" i="4"/>
  <c r="C185" i="4"/>
  <c r="D21" i="4"/>
  <c r="R180" i="4" l="1"/>
  <c r="D212" i="4"/>
  <c r="R14" i="4"/>
  <c r="R205" i="4" l="1"/>
  <c r="R75" i="5"/>
  <c r="R130" i="7" s="1"/>
  <c r="R129" i="5"/>
  <c r="C21" i="4"/>
  <c r="B21" i="4"/>
  <c r="R18" i="4"/>
  <c r="R16" i="4"/>
  <c r="R207" i="4" l="1"/>
  <c r="B212" i="4"/>
  <c r="R123" i="6"/>
  <c r="R150" i="6"/>
  <c r="R69" i="6"/>
  <c r="R102" i="5"/>
  <c r="R96" i="6"/>
  <c r="R209" i="4"/>
  <c r="C212" i="4"/>
  <c r="I12" i="4" l="1"/>
  <c r="H12" i="4"/>
  <c r="I203" i="4" l="1"/>
  <c r="I96" i="5"/>
  <c r="I90" i="6"/>
  <c r="H203" i="4"/>
  <c r="H90" i="6"/>
  <c r="H96" i="5"/>
  <c r="R174" i="4" l="1"/>
  <c r="R176" i="4" l="1"/>
  <c r="R175" i="4" l="1"/>
  <c r="M5" i="4" l="1"/>
  <c r="K5" i="4"/>
  <c r="L5" i="4"/>
  <c r="M196" i="4" l="1"/>
  <c r="M6" i="3"/>
  <c r="K196" i="4"/>
  <c r="K6" i="3"/>
  <c r="L196" i="4"/>
  <c r="L6" i="3"/>
  <c r="N5" i="4"/>
  <c r="J5" i="4"/>
  <c r="J196" i="4" l="1"/>
  <c r="J6" i="3"/>
  <c r="N196" i="4"/>
  <c r="N6" i="3"/>
  <c r="I5" i="4"/>
  <c r="O5" i="4"/>
  <c r="I196" i="4" l="1"/>
  <c r="I6" i="3"/>
  <c r="O196" i="4"/>
  <c r="O6" i="3"/>
  <c r="P5" i="4"/>
  <c r="H5" i="4"/>
  <c r="R123" i="5" l="1"/>
  <c r="R69" i="5"/>
  <c r="R124" i="7" s="1"/>
  <c r="P196" i="4"/>
  <c r="P6" i="3"/>
  <c r="H196" i="4"/>
  <c r="H6" i="3"/>
  <c r="Q5" i="4"/>
  <c r="G5" i="4"/>
  <c r="G196" i="4" l="1"/>
  <c r="G6" i="3"/>
  <c r="Q196" i="4"/>
  <c r="Q6" i="3"/>
  <c r="R117" i="6"/>
  <c r="R144" i="6"/>
  <c r="R63" i="6"/>
  <c r="F5" i="4"/>
  <c r="F196" i="4" l="1"/>
  <c r="F6" i="3"/>
  <c r="E5" i="4"/>
  <c r="E196" i="4" l="1"/>
  <c r="E6" i="3"/>
  <c r="D5" i="4"/>
  <c r="D196" i="4" l="1"/>
  <c r="D6" i="3"/>
  <c r="C5" i="4"/>
  <c r="C196" i="4" l="1"/>
  <c r="C6" i="3"/>
  <c r="B5" i="4"/>
  <c r="B196" i="4" l="1"/>
  <c r="B6" i="3"/>
  <c r="S129" i="5"/>
  <c r="S75" i="5"/>
  <c r="S130" i="7" s="1"/>
  <c r="S180" i="4" l="1"/>
  <c r="S123" i="6"/>
  <c r="S150" i="6"/>
  <c r="S69" i="6"/>
  <c r="R5" i="4"/>
  <c r="S5" i="4"/>
  <c r="W5" i="4"/>
  <c r="X5" i="4"/>
  <c r="R196" i="4" l="1"/>
  <c r="R6" i="3"/>
  <c r="S178" i="4"/>
  <c r="W6" i="3"/>
  <c r="W196" i="4"/>
  <c r="S196" i="4"/>
  <c r="S6" i="3"/>
  <c r="X6" i="3"/>
  <c r="X196" i="4"/>
  <c r="S16" i="4"/>
  <c r="S207" i="4" l="1"/>
  <c r="S14" i="4"/>
  <c r="S205" i="4" l="1"/>
  <c r="S18" i="4"/>
  <c r="R27" i="4"/>
  <c r="U27" i="4"/>
  <c r="T27" i="4"/>
  <c r="S209" i="4" l="1"/>
  <c r="S102" i="5"/>
  <c r="S96" i="6"/>
  <c r="T53" i="4" l="1"/>
  <c r="R53" i="4"/>
  <c r="U53" i="4"/>
  <c r="R28" i="4"/>
  <c r="T28" i="4"/>
  <c r="U28" i="4"/>
  <c r="R26" i="4" l="1"/>
  <c r="U26" i="4"/>
  <c r="T26" i="4"/>
  <c r="T163" i="4" l="1"/>
  <c r="T20" i="3"/>
  <c r="S174" i="4"/>
  <c r="R163" i="4"/>
  <c r="R20" i="3"/>
  <c r="U163" i="4"/>
  <c r="U20" i="3"/>
  <c r="T28" i="7" l="1"/>
  <c r="T192" i="4"/>
  <c r="T219" i="4"/>
  <c r="U28" i="7"/>
  <c r="U192" i="4"/>
  <c r="U219" i="4"/>
  <c r="S176" i="4"/>
  <c r="R28" i="7" l="1"/>
  <c r="R192" i="4"/>
  <c r="R219" i="4"/>
  <c r="S175" i="4" l="1"/>
  <c r="T129" i="5" l="1"/>
  <c r="T75" i="5"/>
  <c r="T130" i="7" s="1"/>
  <c r="T180" i="4" l="1"/>
  <c r="T123" i="6"/>
  <c r="T150" i="6"/>
  <c r="T69" i="6"/>
  <c r="T178" i="4"/>
  <c r="T14" i="4" l="1"/>
  <c r="T16" i="4"/>
  <c r="T205" i="4" l="1"/>
  <c r="T207" i="4"/>
  <c r="T18" i="4"/>
  <c r="S69" i="5" l="1"/>
  <c r="S124" i="7" s="1"/>
  <c r="S123" i="5"/>
  <c r="T174" i="4"/>
  <c r="T209" i="4"/>
  <c r="T96" i="6"/>
  <c r="T102" i="5"/>
  <c r="S117" i="6" l="1"/>
  <c r="S144" i="6"/>
  <c r="S63" i="6"/>
  <c r="T176" i="4" l="1"/>
  <c r="P180" i="4" l="1"/>
  <c r="P179" i="4" l="1"/>
  <c r="P40" i="4"/>
  <c r="P14" i="4"/>
  <c r="P16" i="4"/>
  <c r="P177" i="4" l="1"/>
  <c r="P207" i="4"/>
  <c r="P205" i="4"/>
  <c r="P18" i="4"/>
  <c r="P17" i="4"/>
  <c r="P15" i="4"/>
  <c r="P13" i="4" l="1"/>
  <c r="P204" i="4"/>
  <c r="P150" i="4"/>
  <c r="P8" i="3"/>
  <c r="O180" i="4"/>
  <c r="P208" i="4"/>
  <c r="P206" i="4"/>
  <c r="P102" i="5"/>
  <c r="P209" i="4"/>
  <c r="P96" i="6"/>
  <c r="O179" i="4" l="1"/>
  <c r="O40" i="4"/>
  <c r="N180" i="4"/>
  <c r="O182" i="4"/>
  <c r="P127" i="5"/>
  <c r="P73" i="5"/>
  <c r="P128" i="7" s="1"/>
  <c r="P100" i="5"/>
  <c r="O14" i="4"/>
  <c r="O16" i="4"/>
  <c r="M180" i="4" l="1"/>
  <c r="O205" i="4"/>
  <c r="P121" i="6"/>
  <c r="P67" i="6"/>
  <c r="P209" i="7" s="1"/>
  <c r="P94" i="6"/>
  <c r="O177" i="4"/>
  <c r="M181" i="4"/>
  <c r="N182" i="4"/>
  <c r="O207" i="4"/>
  <c r="N16" i="4"/>
  <c r="N14" i="4"/>
  <c r="O15" i="4"/>
  <c r="O17" i="4"/>
  <c r="O18" i="4"/>
  <c r="O206" i="4" l="1"/>
  <c r="L180" i="4"/>
  <c r="O209" i="4"/>
  <c r="M182" i="4"/>
  <c r="L181" i="4"/>
  <c r="O208" i="4"/>
  <c r="O13" i="4"/>
  <c r="N179" i="4"/>
  <c r="N40" i="4"/>
  <c r="M179" i="4"/>
  <c r="M40" i="4"/>
  <c r="M177" i="4" s="1"/>
  <c r="N205" i="4"/>
  <c r="N207" i="4"/>
  <c r="M17" i="4"/>
  <c r="M14" i="4"/>
  <c r="N17" i="4"/>
  <c r="M16" i="4"/>
  <c r="N18" i="4"/>
  <c r="N15" i="4"/>
  <c r="N206" i="4" l="1"/>
  <c r="N13" i="4"/>
  <c r="N177" i="4"/>
  <c r="N208" i="4"/>
  <c r="M207" i="4"/>
  <c r="M205" i="4"/>
  <c r="N209" i="4"/>
  <c r="L182" i="4"/>
  <c r="M208" i="4"/>
  <c r="K181" i="4"/>
  <c r="L179" i="4"/>
  <c r="L40" i="4"/>
  <c r="K180" i="4"/>
  <c r="O127" i="5"/>
  <c r="O73" i="5"/>
  <c r="O128" i="7" s="1"/>
  <c r="O100" i="5"/>
  <c r="O204" i="4"/>
  <c r="O150" i="4"/>
  <c r="O8" i="3"/>
  <c r="L17" i="4"/>
  <c r="L14" i="4"/>
  <c r="M15" i="4"/>
  <c r="M18" i="4"/>
  <c r="L16" i="4"/>
  <c r="M13" i="4" l="1"/>
  <c r="O121" i="6"/>
  <c r="O67" i="6"/>
  <c r="O209" i="7" s="1"/>
  <c r="O94" i="6"/>
  <c r="M206" i="4"/>
  <c r="L205" i="4"/>
  <c r="J180" i="4"/>
  <c r="L177" i="4"/>
  <c r="M204" i="4"/>
  <c r="M150" i="4"/>
  <c r="M8" i="3"/>
  <c r="J181" i="4"/>
  <c r="N204" i="4"/>
  <c r="N150" i="4"/>
  <c r="N8" i="3"/>
  <c r="K182" i="4"/>
  <c r="L207" i="4"/>
  <c r="L208" i="4"/>
  <c r="M209" i="4"/>
  <c r="K17" i="4"/>
  <c r="L18" i="4"/>
  <c r="L15" i="4"/>
  <c r="K16" i="4"/>
  <c r="K14" i="4"/>
  <c r="L13" i="4" l="1"/>
  <c r="L150" i="4"/>
  <c r="L204" i="4"/>
  <c r="L8" i="3"/>
  <c r="K205" i="4"/>
  <c r="I181" i="4"/>
  <c r="L209" i="4"/>
  <c r="J179" i="4"/>
  <c r="J40" i="4"/>
  <c r="K179" i="4"/>
  <c r="K40" i="4"/>
  <c r="J182" i="4"/>
  <c r="K207" i="4"/>
  <c r="K208" i="4"/>
  <c r="O129" i="5"/>
  <c r="O75" i="5"/>
  <c r="O130" i="7" s="1"/>
  <c r="O102" i="5"/>
  <c r="L206" i="4"/>
  <c r="I180" i="4"/>
  <c r="K15" i="4"/>
  <c r="T5" i="4"/>
  <c r="J16" i="4"/>
  <c r="J14" i="4"/>
  <c r="J17" i="4"/>
  <c r="K18" i="4"/>
  <c r="K206" i="4" l="1"/>
  <c r="K13" i="4"/>
  <c r="J205" i="4"/>
  <c r="H181" i="4"/>
  <c r="O123" i="6"/>
  <c r="O150" i="6"/>
  <c r="O69" i="6"/>
  <c r="O96" i="6"/>
  <c r="T175" i="4"/>
  <c r="J207" i="4"/>
  <c r="K177" i="4"/>
  <c r="N129" i="5"/>
  <c r="N75" i="5"/>
  <c r="N130" i="7" s="1"/>
  <c r="N102" i="5"/>
  <c r="I182" i="4"/>
  <c r="I179" i="4"/>
  <c r="I40" i="4"/>
  <c r="J208" i="4"/>
  <c r="H180" i="4"/>
  <c r="J177" i="4"/>
  <c r="K209" i="4"/>
  <c r="T196" i="4"/>
  <c r="T6" i="3"/>
  <c r="I17" i="4"/>
  <c r="I16" i="4"/>
  <c r="U5" i="4"/>
  <c r="I14" i="4"/>
  <c r="J18" i="4"/>
  <c r="G181" i="4" l="1"/>
  <c r="U178" i="4"/>
  <c r="I208" i="4"/>
  <c r="I205" i="4"/>
  <c r="J209" i="4"/>
  <c r="H182" i="4"/>
  <c r="I177" i="4"/>
  <c r="U180" i="4"/>
  <c r="K204" i="4"/>
  <c r="K150" i="4"/>
  <c r="K8" i="3"/>
  <c r="G180" i="4"/>
  <c r="N123" i="6"/>
  <c r="N150" i="6"/>
  <c r="N69" i="6"/>
  <c r="N96" i="6"/>
  <c r="U196" i="4"/>
  <c r="U6" i="3"/>
  <c r="I207" i="4"/>
  <c r="M75" i="5"/>
  <c r="M130" i="7" s="1"/>
  <c r="M129" i="5"/>
  <c r="M102" i="5"/>
  <c r="U129" i="5"/>
  <c r="U75" i="5"/>
  <c r="U130" i="7" s="1"/>
  <c r="H179" i="4"/>
  <c r="H40" i="4"/>
  <c r="I18" i="4"/>
  <c r="H17" i="4"/>
  <c r="H16" i="4"/>
  <c r="I15" i="4"/>
  <c r="J15" i="4"/>
  <c r="V5" i="4"/>
  <c r="H14" i="4"/>
  <c r="I13" i="4" l="1"/>
  <c r="I150" i="4"/>
  <c r="I204" i="4"/>
  <c r="I8" i="3"/>
  <c r="G182" i="4"/>
  <c r="U150" i="6"/>
  <c r="U123" i="6"/>
  <c r="U69" i="6"/>
  <c r="H205" i="4"/>
  <c r="V196" i="4"/>
  <c r="V6" i="3"/>
  <c r="F180" i="4"/>
  <c r="I206" i="4"/>
  <c r="H208" i="4"/>
  <c r="H207" i="4"/>
  <c r="H177" i="4"/>
  <c r="M123" i="6"/>
  <c r="M150" i="6"/>
  <c r="M69" i="6"/>
  <c r="M96" i="6"/>
  <c r="F181" i="4"/>
  <c r="J206" i="4"/>
  <c r="J13" i="4"/>
  <c r="I209" i="4"/>
  <c r="L129" i="5"/>
  <c r="L75" i="5"/>
  <c r="L130" i="7" s="1"/>
  <c r="L102" i="5"/>
  <c r="G17" i="4"/>
  <c r="G16" i="4"/>
  <c r="G14" i="4"/>
  <c r="H18" i="4"/>
  <c r="G208" i="4" l="1"/>
  <c r="L150" i="6"/>
  <c r="L123" i="6"/>
  <c r="L69" i="6"/>
  <c r="L96" i="6"/>
  <c r="K75" i="5"/>
  <c r="K130" i="7" s="1"/>
  <c r="K129" i="5"/>
  <c r="K102" i="5"/>
  <c r="G205" i="4"/>
  <c r="F182" i="4"/>
  <c r="J150" i="4"/>
  <c r="J204" i="4"/>
  <c r="J8" i="3"/>
  <c r="E181" i="4"/>
  <c r="G207" i="4"/>
  <c r="E180" i="4"/>
  <c r="G179" i="4"/>
  <c r="G40" i="4"/>
  <c r="H209" i="4"/>
  <c r="F179" i="4"/>
  <c r="F40" i="4"/>
  <c r="H15" i="4"/>
  <c r="U18" i="4"/>
  <c r="F17" i="4"/>
  <c r="F16" i="4"/>
  <c r="G18" i="4"/>
  <c r="U14" i="4"/>
  <c r="F14" i="4"/>
  <c r="K150" i="6" l="1"/>
  <c r="K123" i="6"/>
  <c r="K69" i="6"/>
  <c r="K96" i="6"/>
  <c r="E182" i="4"/>
  <c r="F207" i="4"/>
  <c r="U209" i="4"/>
  <c r="U96" i="6"/>
  <c r="U102" i="5"/>
  <c r="F177" i="4"/>
  <c r="J75" i="5"/>
  <c r="J130" i="7" s="1"/>
  <c r="J129" i="5"/>
  <c r="J102" i="5"/>
  <c r="F205" i="4"/>
  <c r="G209" i="4"/>
  <c r="G177" i="4"/>
  <c r="U205" i="4"/>
  <c r="F208" i="4"/>
  <c r="D181" i="4"/>
  <c r="D180" i="4"/>
  <c r="H206" i="4"/>
  <c r="H13" i="4"/>
  <c r="E14" i="4"/>
  <c r="E17" i="4"/>
  <c r="F15" i="4"/>
  <c r="F18" i="4"/>
  <c r="G15" i="4"/>
  <c r="E16" i="4"/>
  <c r="U16" i="4"/>
  <c r="U207" i="4" l="1"/>
  <c r="C181" i="4"/>
  <c r="F209" i="4"/>
  <c r="H204" i="4"/>
  <c r="H150" i="4"/>
  <c r="H8" i="3"/>
  <c r="F206" i="4"/>
  <c r="F13" i="4"/>
  <c r="I75" i="5"/>
  <c r="I130" i="7" s="1"/>
  <c r="I129" i="5"/>
  <c r="I102" i="5"/>
  <c r="D182" i="4"/>
  <c r="G206" i="4"/>
  <c r="G13" i="4"/>
  <c r="D179" i="4"/>
  <c r="D40" i="4"/>
  <c r="E179" i="4"/>
  <c r="E40" i="4"/>
  <c r="J150" i="6"/>
  <c r="J123" i="6"/>
  <c r="J69" i="6"/>
  <c r="J96" i="6"/>
  <c r="E205" i="4"/>
  <c r="E207" i="4"/>
  <c r="E208" i="4"/>
  <c r="C180" i="4"/>
  <c r="D16" i="4"/>
  <c r="D17" i="4"/>
  <c r="D14" i="4"/>
  <c r="E18" i="4"/>
  <c r="B180" i="4" l="1"/>
  <c r="E177" i="4"/>
  <c r="C182" i="4"/>
  <c r="H129" i="5"/>
  <c r="H75" i="5"/>
  <c r="H130" i="7" s="1"/>
  <c r="H102" i="5"/>
  <c r="D207" i="4"/>
  <c r="G150" i="4"/>
  <c r="G204" i="4"/>
  <c r="G8" i="3"/>
  <c r="I123" i="6"/>
  <c r="I150" i="6"/>
  <c r="I69" i="6"/>
  <c r="I96" i="6"/>
  <c r="D177" i="4"/>
  <c r="T123" i="5"/>
  <c r="T69" i="5"/>
  <c r="T124" i="7" s="1"/>
  <c r="D205" i="4"/>
  <c r="D208" i="4"/>
  <c r="E209" i="4"/>
  <c r="B182" i="4"/>
  <c r="F204" i="4"/>
  <c r="F150" i="4"/>
  <c r="F8" i="3"/>
  <c r="D15" i="4"/>
  <c r="C17" i="4"/>
  <c r="C14" i="4"/>
  <c r="E15" i="4"/>
  <c r="C16" i="4"/>
  <c r="D18" i="4"/>
  <c r="C179" i="4" l="1"/>
  <c r="C40" i="4"/>
  <c r="T144" i="6"/>
  <c r="T117" i="6"/>
  <c r="T63" i="6"/>
  <c r="D206" i="4"/>
  <c r="D13" i="4"/>
  <c r="C208" i="4"/>
  <c r="C207" i="4"/>
  <c r="G129" i="5"/>
  <c r="G75" i="5"/>
  <c r="G130" i="7" s="1"/>
  <c r="G102" i="5"/>
  <c r="E206" i="4"/>
  <c r="E13" i="4"/>
  <c r="D209" i="4"/>
  <c r="C205" i="4"/>
  <c r="H123" i="6"/>
  <c r="H150" i="6"/>
  <c r="H69" i="6"/>
  <c r="H96" i="6"/>
  <c r="Q187" i="4"/>
  <c r="C18" i="4"/>
  <c r="B18" i="4"/>
  <c r="B16" i="4"/>
  <c r="B14" i="4"/>
  <c r="C15" i="4"/>
  <c r="C206" i="4" l="1"/>
  <c r="C13" i="4"/>
  <c r="R186" i="4"/>
  <c r="D150" i="4"/>
  <c r="D204" i="4"/>
  <c r="D8" i="3"/>
  <c r="C177" i="4"/>
  <c r="P187" i="4"/>
  <c r="C209" i="4"/>
  <c r="B207" i="4"/>
  <c r="E150" i="4"/>
  <c r="E204" i="4"/>
  <c r="E8" i="3"/>
  <c r="F75" i="5"/>
  <c r="F130" i="7" s="1"/>
  <c r="F129" i="5"/>
  <c r="F102" i="5"/>
  <c r="B205" i="4"/>
  <c r="B209" i="4"/>
  <c r="G150" i="6"/>
  <c r="G123" i="6"/>
  <c r="G69" i="6"/>
  <c r="G96" i="6"/>
  <c r="S27" i="4"/>
  <c r="Q23" i="4"/>
  <c r="S187" i="4" l="1"/>
  <c r="F123" i="6"/>
  <c r="F150" i="6"/>
  <c r="F69" i="6"/>
  <c r="F96" i="6"/>
  <c r="S186" i="4"/>
  <c r="E129" i="5"/>
  <c r="E75" i="5"/>
  <c r="E130" i="7" s="1"/>
  <c r="E102" i="5"/>
  <c r="O187" i="4"/>
  <c r="R185" i="4"/>
  <c r="C150" i="4"/>
  <c r="C204" i="4"/>
  <c r="C8" i="3"/>
  <c r="Q214" i="4"/>
  <c r="S185" i="4"/>
  <c r="R187" i="4"/>
  <c r="R21" i="4"/>
  <c r="R22" i="4"/>
  <c r="R23" i="4"/>
  <c r="P23" i="4"/>
  <c r="R212" i="4" l="1"/>
  <c r="B73" i="5"/>
  <c r="B128" i="7" s="1"/>
  <c r="B127" i="5"/>
  <c r="B100" i="5"/>
  <c r="Q188" i="4"/>
  <c r="Q47" i="4"/>
  <c r="R214" i="4"/>
  <c r="E150" i="6"/>
  <c r="E123" i="6"/>
  <c r="E69" i="6"/>
  <c r="E96" i="6"/>
  <c r="D75" i="5"/>
  <c r="D130" i="7" s="1"/>
  <c r="D129" i="5"/>
  <c r="D102" i="5"/>
  <c r="R189" i="4"/>
  <c r="P214" i="4"/>
  <c r="R213" i="4"/>
  <c r="S21" i="4"/>
  <c r="S23" i="4"/>
  <c r="S22" i="4"/>
  <c r="O23" i="4"/>
  <c r="Q173" i="4" l="1"/>
  <c r="S212" i="4"/>
  <c r="D123" i="6"/>
  <c r="D150" i="6"/>
  <c r="D69" i="6"/>
  <c r="D96" i="6"/>
  <c r="R188" i="4"/>
  <c r="R47" i="4"/>
  <c r="S189" i="4"/>
  <c r="S213" i="4"/>
  <c r="T187" i="4"/>
  <c r="O214" i="4"/>
  <c r="C75" i="5"/>
  <c r="C130" i="7" s="1"/>
  <c r="C129" i="5"/>
  <c r="C102" i="5"/>
  <c r="T186" i="4"/>
  <c r="Q134" i="5"/>
  <c r="Q80" i="5"/>
  <c r="Q135" i="7" s="1"/>
  <c r="Q107" i="5"/>
  <c r="S214" i="4"/>
  <c r="Q46" i="4"/>
  <c r="Q184" i="4"/>
  <c r="S53" i="4"/>
  <c r="B129" i="5"/>
  <c r="B75" i="5"/>
  <c r="B130" i="7" s="1"/>
  <c r="B102" i="5"/>
  <c r="P188" i="4"/>
  <c r="P47" i="4"/>
  <c r="T185" i="4"/>
  <c r="B121" i="6"/>
  <c r="B67" i="6"/>
  <c r="B209" i="7" s="1"/>
  <c r="B94" i="6"/>
  <c r="S28" i="4"/>
  <c r="Q24" i="4"/>
  <c r="R25" i="4"/>
  <c r="S26" i="4" l="1"/>
  <c r="U187" i="4"/>
  <c r="C123" i="6"/>
  <c r="C150" i="6"/>
  <c r="C69" i="6"/>
  <c r="C96" i="6"/>
  <c r="B123" i="6"/>
  <c r="B150" i="6"/>
  <c r="B69" i="6"/>
  <c r="B96" i="6"/>
  <c r="R216" i="4"/>
  <c r="O188" i="4"/>
  <c r="O47" i="4"/>
  <c r="Q128" i="6"/>
  <c r="Q74" i="6"/>
  <c r="Q216" i="7" s="1"/>
  <c r="Q101" i="6"/>
  <c r="N188" i="4"/>
  <c r="Q171" i="4"/>
  <c r="P80" i="5"/>
  <c r="P135" i="7" s="1"/>
  <c r="P134" i="5"/>
  <c r="P107" i="5"/>
  <c r="R46" i="4"/>
  <c r="R265" i="4" s="1"/>
  <c r="R184" i="4"/>
  <c r="T189" i="4"/>
  <c r="U186" i="4"/>
  <c r="P184" i="4"/>
  <c r="P46" i="4"/>
  <c r="Q215" i="4"/>
  <c r="Q20" i="4"/>
  <c r="Q265" i="4"/>
  <c r="Q264" i="4"/>
  <c r="Q272" i="4"/>
  <c r="Q273" i="4"/>
  <c r="Q271" i="4"/>
  <c r="Q270" i="4"/>
  <c r="Q266" i="4"/>
  <c r="Q267" i="4"/>
  <c r="Q268" i="4"/>
  <c r="Q269" i="4"/>
  <c r="U185" i="4"/>
  <c r="M189" i="4"/>
  <c r="R24" i="4"/>
  <c r="T23" i="4"/>
  <c r="S25" i="4"/>
  <c r="T22" i="4"/>
  <c r="Q33" i="4"/>
  <c r="T21" i="4"/>
  <c r="P24" i="4"/>
  <c r="Q170" i="4" l="1"/>
  <c r="Q31" i="4"/>
  <c r="P215" i="4"/>
  <c r="P20" i="4"/>
  <c r="N187" i="4"/>
  <c r="U189" i="4"/>
  <c r="M187" i="4"/>
  <c r="N186" i="4"/>
  <c r="N47" i="4"/>
  <c r="T214" i="4"/>
  <c r="P173" i="4"/>
  <c r="Q172" i="4"/>
  <c r="Q253" i="4"/>
  <c r="R215" i="4"/>
  <c r="R20" i="4"/>
  <c r="P128" i="6"/>
  <c r="P74" i="6"/>
  <c r="P216" i="7" s="1"/>
  <c r="P101" i="6"/>
  <c r="P265" i="4"/>
  <c r="P264" i="4"/>
  <c r="P272" i="4"/>
  <c r="P273" i="4"/>
  <c r="P271" i="4"/>
  <c r="P270" i="4"/>
  <c r="P266" i="4"/>
  <c r="P267" i="4"/>
  <c r="P268" i="4"/>
  <c r="P269" i="4"/>
  <c r="T212" i="4"/>
  <c r="S163" i="4"/>
  <c r="S20" i="3"/>
  <c r="S188" i="4"/>
  <c r="S47" i="4"/>
  <c r="T213" i="4"/>
  <c r="Q211" i="4"/>
  <c r="Q157" i="4"/>
  <c r="Q19" i="4"/>
  <c r="Q238" i="4"/>
  <c r="Q19" i="3"/>
  <c r="O46" i="4"/>
  <c r="O184" i="4"/>
  <c r="S216" i="4"/>
  <c r="R264" i="4"/>
  <c r="R272" i="4"/>
  <c r="R273" i="4"/>
  <c r="R271" i="4"/>
  <c r="R267" i="4"/>
  <c r="R266" i="4"/>
  <c r="R268" i="4"/>
  <c r="R270" i="4"/>
  <c r="R269" i="4"/>
  <c r="O134" i="5"/>
  <c r="O80" i="5"/>
  <c r="O135" i="7" s="1"/>
  <c r="O107" i="5"/>
  <c r="U22" i="4"/>
  <c r="U23" i="4"/>
  <c r="M25" i="4"/>
  <c r="T25" i="4"/>
  <c r="N24" i="4"/>
  <c r="U21" i="4"/>
  <c r="O24" i="4"/>
  <c r="R181" i="4" l="1"/>
  <c r="O215" i="4"/>
  <c r="O20" i="4"/>
  <c r="U213" i="4"/>
  <c r="R19" i="4"/>
  <c r="R157" i="4"/>
  <c r="R211" i="4"/>
  <c r="R19" i="3"/>
  <c r="M188" i="4"/>
  <c r="T188" i="4"/>
  <c r="T47" i="4"/>
  <c r="T216" i="4"/>
  <c r="O265" i="4"/>
  <c r="O264" i="4"/>
  <c r="O272" i="4"/>
  <c r="O273" i="4"/>
  <c r="O271" i="4"/>
  <c r="O270" i="4"/>
  <c r="O266" i="4"/>
  <c r="O267" i="4"/>
  <c r="O268" i="4"/>
  <c r="O269" i="4"/>
  <c r="O128" i="6"/>
  <c r="O74" i="6"/>
  <c r="O216" i="7" s="1"/>
  <c r="O101" i="6"/>
  <c r="Q18" i="3"/>
  <c r="Q258" i="4"/>
  <c r="Q249" i="4"/>
  <c r="Q30" i="4"/>
  <c r="Q257" i="4"/>
  <c r="Q168" i="4"/>
  <c r="Q250" i="4"/>
  <c r="Q259" i="4"/>
  <c r="Q263" i="4"/>
  <c r="Q261" i="4"/>
  <c r="Q256" i="4"/>
  <c r="Q255" i="4"/>
  <c r="Q262" i="4"/>
  <c r="Q260" i="4"/>
  <c r="Q254" i="4"/>
  <c r="Q252" i="4"/>
  <c r="P171" i="4"/>
  <c r="Q120" i="5"/>
  <c r="Q66" i="5"/>
  <c r="Q121" i="7" s="1"/>
  <c r="N46" i="4"/>
  <c r="N265" i="4" s="1"/>
  <c r="N184" i="4"/>
  <c r="Q251" i="4"/>
  <c r="U212" i="4"/>
  <c r="L186" i="4"/>
  <c r="N215" i="4"/>
  <c r="M216" i="4"/>
  <c r="Q244" i="4"/>
  <c r="Q237" i="4"/>
  <c r="Q156" i="4"/>
  <c r="Q245" i="4"/>
  <c r="Q246" i="4"/>
  <c r="Q243" i="4"/>
  <c r="Q239" i="4"/>
  <c r="Q240" i="4"/>
  <c r="Q241" i="4"/>
  <c r="Q242" i="4"/>
  <c r="L188" i="4"/>
  <c r="M186" i="4"/>
  <c r="M47" i="4"/>
  <c r="U214" i="4"/>
  <c r="S46" i="4"/>
  <c r="S265" i="4" s="1"/>
  <c r="S184" i="4"/>
  <c r="P157" i="4"/>
  <c r="P19" i="4"/>
  <c r="P238" i="4" s="1"/>
  <c r="P211" i="4"/>
  <c r="P19" i="3"/>
  <c r="N23" i="4"/>
  <c r="U25" i="4"/>
  <c r="M24" i="4"/>
  <c r="N22" i="4"/>
  <c r="S24" i="4"/>
  <c r="R4" i="5"/>
  <c r="R47" i="6" s="1"/>
  <c r="M215" i="4" l="1"/>
  <c r="L187" i="4"/>
  <c r="M184" i="4"/>
  <c r="M46" i="4"/>
  <c r="M265" i="4"/>
  <c r="P18" i="3"/>
  <c r="R244" i="4"/>
  <c r="R237" i="4"/>
  <c r="R156" i="4"/>
  <c r="R245" i="4"/>
  <c r="R246" i="4"/>
  <c r="R239" i="4"/>
  <c r="R241" i="4"/>
  <c r="R240" i="4"/>
  <c r="R243" i="4"/>
  <c r="R242" i="4"/>
  <c r="R173" i="4"/>
  <c r="O173" i="4"/>
  <c r="S173" i="4"/>
  <c r="U216" i="4"/>
  <c r="S28" i="7"/>
  <c r="S192" i="4"/>
  <c r="S219" i="4"/>
  <c r="R136" i="5"/>
  <c r="R82" i="5"/>
  <c r="R137" i="7" s="1"/>
  <c r="R109" i="5"/>
  <c r="S215" i="4"/>
  <c r="S20" i="4"/>
  <c r="N213" i="4"/>
  <c r="N20" i="4"/>
  <c r="S264" i="4"/>
  <c r="S272" i="4"/>
  <c r="S267" i="4"/>
  <c r="S268" i="4"/>
  <c r="S266" i="4"/>
  <c r="S273" i="4"/>
  <c r="S270" i="4"/>
  <c r="S271" i="4"/>
  <c r="S269" i="4"/>
  <c r="R18" i="3"/>
  <c r="R171" i="4"/>
  <c r="N214" i="4"/>
  <c r="P81" i="5"/>
  <c r="P136" i="7" s="1"/>
  <c r="P135" i="5"/>
  <c r="P108" i="5"/>
  <c r="Q81" i="5"/>
  <c r="Q136" i="7" s="1"/>
  <c r="Q135" i="5"/>
  <c r="Q108" i="5"/>
  <c r="R238" i="4"/>
  <c r="P242" i="4"/>
  <c r="P156" i="4"/>
  <c r="P237" i="4"/>
  <c r="P245" i="4"/>
  <c r="P246" i="4"/>
  <c r="P244" i="4"/>
  <c r="P243" i="4"/>
  <c r="P239" i="4"/>
  <c r="P240" i="4"/>
  <c r="P241" i="4"/>
  <c r="O175" i="4"/>
  <c r="T184" i="4"/>
  <c r="T46" i="4"/>
  <c r="T265" i="4" s="1"/>
  <c r="O211" i="4"/>
  <c r="O19" i="4"/>
  <c r="O238" i="4" s="1"/>
  <c r="O157" i="4"/>
  <c r="O19" i="3"/>
  <c r="N264" i="4"/>
  <c r="N272" i="4"/>
  <c r="N273" i="4"/>
  <c r="N271" i="4"/>
  <c r="N266" i="4"/>
  <c r="N270" i="4"/>
  <c r="N269" i="4"/>
  <c r="N267" i="4"/>
  <c r="N268" i="4"/>
  <c r="Q17" i="3"/>
  <c r="Q114" i="6"/>
  <c r="Q60" i="6"/>
  <c r="Q202" i="7" s="1"/>
  <c r="M23" i="4"/>
  <c r="Q10" i="4"/>
  <c r="L24" i="4"/>
  <c r="Q12" i="4"/>
  <c r="Q11" i="4"/>
  <c r="Q9" i="4"/>
  <c r="T24" i="4"/>
  <c r="M22" i="4"/>
  <c r="S4" i="5"/>
  <c r="S47" i="6" s="1"/>
  <c r="N173" i="4" l="1"/>
  <c r="M213" i="4"/>
  <c r="M20" i="4"/>
  <c r="K186" i="4"/>
  <c r="Q201" i="4"/>
  <c r="Q119" i="3"/>
  <c r="Q120" i="3"/>
  <c r="Q109" i="3"/>
  <c r="Q115" i="3"/>
  <c r="Q114" i="3"/>
  <c r="Q113" i="3"/>
  <c r="Q117" i="3"/>
  <c r="Q116" i="3"/>
  <c r="Q118" i="3"/>
  <c r="Q112" i="3"/>
  <c r="Q111" i="3"/>
  <c r="O18" i="3"/>
  <c r="P129" i="6"/>
  <c r="P75" i="6"/>
  <c r="P217" i="7" s="1"/>
  <c r="P102" i="6"/>
  <c r="S19" i="4"/>
  <c r="S157" i="4"/>
  <c r="S211" i="4"/>
  <c r="S19" i="3"/>
  <c r="P17" i="3"/>
  <c r="P110" i="3" s="1"/>
  <c r="Q202" i="4"/>
  <c r="N211" i="4"/>
  <c r="N19" i="4"/>
  <c r="N238" i="4" s="1"/>
  <c r="N157" i="4"/>
  <c r="N19" i="3"/>
  <c r="P66" i="5"/>
  <c r="P121" i="7" s="1"/>
  <c r="P120" i="5"/>
  <c r="J188" i="4"/>
  <c r="T215" i="4"/>
  <c r="T20" i="4"/>
  <c r="N175" i="4"/>
  <c r="K187" i="4"/>
  <c r="O171" i="4"/>
  <c r="M214" i="4"/>
  <c r="O237" i="4"/>
  <c r="O156" i="4"/>
  <c r="O245" i="4"/>
  <c r="O246" i="4"/>
  <c r="O244" i="4"/>
  <c r="O239" i="4"/>
  <c r="O243" i="4"/>
  <c r="O240" i="4"/>
  <c r="O241" i="4"/>
  <c r="O242" i="4"/>
  <c r="S171" i="4"/>
  <c r="Q96" i="5"/>
  <c r="Q203" i="4"/>
  <c r="Q90" i="6"/>
  <c r="R130" i="6"/>
  <c r="R157" i="6"/>
  <c r="R76" i="6"/>
  <c r="R103" i="6"/>
  <c r="R17" i="3"/>
  <c r="R110" i="3" s="1"/>
  <c r="L189" i="4"/>
  <c r="L215" i="4"/>
  <c r="K188" i="4"/>
  <c r="R179" i="4"/>
  <c r="R40" i="4"/>
  <c r="Q129" i="6"/>
  <c r="Q75" i="6"/>
  <c r="Q217" i="7" s="1"/>
  <c r="Q102" i="6"/>
  <c r="L47" i="4"/>
  <c r="P172" i="4"/>
  <c r="P33" i="4"/>
  <c r="M271" i="4"/>
  <c r="M264" i="4"/>
  <c r="M272" i="4"/>
  <c r="M273" i="4"/>
  <c r="M266" i="4"/>
  <c r="M270" i="4"/>
  <c r="M268" i="4"/>
  <c r="M269" i="4"/>
  <c r="M267" i="4"/>
  <c r="Q200" i="4"/>
  <c r="Q93" i="5"/>
  <c r="Q87" i="6"/>
  <c r="Q110" i="3"/>
  <c r="T264" i="4"/>
  <c r="T272" i="4"/>
  <c r="T273" i="4"/>
  <c r="T271" i="4"/>
  <c r="T268" i="4"/>
  <c r="T267" i="4"/>
  <c r="T266" i="4"/>
  <c r="T270" i="4"/>
  <c r="T269" i="4"/>
  <c r="O81" i="5"/>
  <c r="O136" i="7" s="1"/>
  <c r="O135" i="5"/>
  <c r="O108" i="5"/>
  <c r="S82" i="5"/>
  <c r="S137" i="7" s="1"/>
  <c r="S136" i="5"/>
  <c r="S109" i="5"/>
  <c r="O11" i="4"/>
  <c r="R17" i="4"/>
  <c r="L23" i="4"/>
  <c r="L22" i="4"/>
  <c r="K24" i="4"/>
  <c r="T4" i="5"/>
  <c r="T47" i="6" s="1"/>
  <c r="Q7" i="4"/>
  <c r="K47" i="4"/>
  <c r="K215" i="4" l="1"/>
  <c r="K184" i="4"/>
  <c r="K46" i="4"/>
  <c r="K265" i="4" s="1"/>
  <c r="J187" i="4"/>
  <c r="M175" i="4"/>
  <c r="O202" i="4"/>
  <c r="L46" i="4"/>
  <c r="L265" i="4" s="1"/>
  <c r="L184" i="4"/>
  <c r="N18" i="3"/>
  <c r="O17" i="3"/>
  <c r="O110" i="3" s="1"/>
  <c r="Q198" i="4"/>
  <c r="J186" i="4"/>
  <c r="S246" i="4"/>
  <c r="S237" i="4"/>
  <c r="S156" i="4"/>
  <c r="S245" i="4"/>
  <c r="S241" i="4"/>
  <c r="S239" i="4"/>
  <c r="S240" i="4"/>
  <c r="S244" i="4"/>
  <c r="S243" i="4"/>
  <c r="S242" i="4"/>
  <c r="S130" i="6"/>
  <c r="S157" i="6"/>
  <c r="S76" i="6"/>
  <c r="S103" i="6"/>
  <c r="N80" i="5"/>
  <c r="N135" i="7" s="1"/>
  <c r="N134" i="5"/>
  <c r="N107" i="5"/>
  <c r="Q74" i="5"/>
  <c r="Q129" i="7" s="1"/>
  <c r="Q128" i="5"/>
  <c r="Q101" i="5"/>
  <c r="P113" i="3"/>
  <c r="P119" i="3"/>
  <c r="P114" i="3"/>
  <c r="P120" i="3"/>
  <c r="P115" i="3"/>
  <c r="P116" i="3"/>
  <c r="P109" i="3"/>
  <c r="P118" i="3"/>
  <c r="P117" i="3"/>
  <c r="P112" i="3"/>
  <c r="P111" i="3"/>
  <c r="S172" i="4"/>
  <c r="L213" i="4"/>
  <c r="M136" i="5"/>
  <c r="M82" i="5"/>
  <c r="M137" i="7" s="1"/>
  <c r="M109" i="5"/>
  <c r="P170" i="4"/>
  <c r="P31" i="4"/>
  <c r="N244" i="4"/>
  <c r="N156" i="4"/>
  <c r="N237" i="4"/>
  <c r="N245" i="4"/>
  <c r="N246" i="4"/>
  <c r="N243" i="4"/>
  <c r="N239" i="4"/>
  <c r="N242" i="4"/>
  <c r="N240" i="4"/>
  <c r="N241" i="4"/>
  <c r="S18" i="3"/>
  <c r="N171" i="4"/>
  <c r="M173" i="4"/>
  <c r="L214" i="4"/>
  <c r="S33" i="4"/>
  <c r="O121" i="5"/>
  <c r="O67" i="5"/>
  <c r="O122" i="7" s="1"/>
  <c r="S238" i="4"/>
  <c r="I188" i="4"/>
  <c r="R208" i="4"/>
  <c r="R115" i="3"/>
  <c r="R114" i="3"/>
  <c r="R113" i="3"/>
  <c r="R120" i="3"/>
  <c r="R116" i="3"/>
  <c r="R117" i="3"/>
  <c r="R118" i="3"/>
  <c r="R119" i="3"/>
  <c r="R109" i="3"/>
  <c r="R112" i="3"/>
  <c r="R111" i="3"/>
  <c r="R172" i="4"/>
  <c r="R33" i="4"/>
  <c r="R177" i="4"/>
  <c r="P114" i="6"/>
  <c r="P60" i="6"/>
  <c r="P202" i="7" s="1"/>
  <c r="T136" i="5"/>
  <c r="T82" i="5"/>
  <c r="T137" i="7" s="1"/>
  <c r="T109" i="5"/>
  <c r="M211" i="4"/>
  <c r="M157" i="4"/>
  <c r="M19" i="4"/>
  <c r="M238" i="4" s="1"/>
  <c r="M19" i="3"/>
  <c r="K189" i="4"/>
  <c r="O129" i="6"/>
  <c r="O75" i="6"/>
  <c r="O217" i="7" s="1"/>
  <c r="O102" i="6"/>
  <c r="T19" i="4"/>
  <c r="T157" i="4"/>
  <c r="T211" i="4"/>
  <c r="T19" i="3"/>
  <c r="Q8" i="4"/>
  <c r="N11" i="4"/>
  <c r="J24" i="4"/>
  <c r="N33" i="4"/>
  <c r="R15" i="4"/>
  <c r="L25" i="4"/>
  <c r="L20" i="4" s="1"/>
  <c r="K22" i="4"/>
  <c r="N31" i="4" l="1"/>
  <c r="N170" i="4"/>
  <c r="N251" i="4"/>
  <c r="T238" i="4"/>
  <c r="T237" i="4"/>
  <c r="T156" i="4"/>
  <c r="T245" i="4"/>
  <c r="T246" i="4"/>
  <c r="T244" i="4"/>
  <c r="T239" i="4"/>
  <c r="T240" i="4"/>
  <c r="T241" i="4"/>
  <c r="T243" i="4"/>
  <c r="T242" i="4"/>
  <c r="Q67" i="5"/>
  <c r="Q122" i="7" s="1"/>
  <c r="Q121" i="5"/>
  <c r="Q94" i="5"/>
  <c r="O172" i="4"/>
  <c r="O33" i="4"/>
  <c r="T130" i="6"/>
  <c r="T157" i="6"/>
  <c r="T76" i="6"/>
  <c r="T103" i="6"/>
  <c r="N128" i="6"/>
  <c r="N74" i="6"/>
  <c r="N216" i="7" s="1"/>
  <c r="N101" i="6"/>
  <c r="H188" i="4"/>
  <c r="P30" i="4"/>
  <c r="P249" i="4"/>
  <c r="P168" i="4"/>
  <c r="P250" i="4"/>
  <c r="P263" i="4"/>
  <c r="P259" i="4"/>
  <c r="P257" i="4"/>
  <c r="P256" i="4"/>
  <c r="P255" i="4"/>
  <c r="P262" i="4"/>
  <c r="P261" i="4"/>
  <c r="P260" i="4"/>
  <c r="P258" i="4"/>
  <c r="P254" i="4"/>
  <c r="P252" i="4"/>
  <c r="P253" i="4"/>
  <c r="L211" i="4"/>
  <c r="L19" i="4"/>
  <c r="L157" i="4"/>
  <c r="L19" i="3"/>
  <c r="P128" i="5"/>
  <c r="P74" i="5"/>
  <c r="P129" i="7" s="1"/>
  <c r="P101" i="5"/>
  <c r="P251" i="4"/>
  <c r="K271" i="4"/>
  <c r="K264" i="4"/>
  <c r="K272" i="4"/>
  <c r="K273" i="4"/>
  <c r="K266" i="4"/>
  <c r="K268" i="4"/>
  <c r="K267" i="4"/>
  <c r="K269" i="4"/>
  <c r="L175" i="4"/>
  <c r="N172" i="4"/>
  <c r="N253" i="4"/>
  <c r="T173" i="4"/>
  <c r="R206" i="4"/>
  <c r="R13" i="4"/>
  <c r="M18" i="3"/>
  <c r="Q199" i="4"/>
  <c r="S170" i="4"/>
  <c r="P121" i="5"/>
  <c r="P67" i="5"/>
  <c r="P122" i="7" s="1"/>
  <c r="O120" i="3"/>
  <c r="O115" i="3"/>
  <c r="O119" i="3"/>
  <c r="O116" i="3"/>
  <c r="O117" i="3"/>
  <c r="O113" i="3"/>
  <c r="O114" i="3"/>
  <c r="O109" i="3"/>
  <c r="O118" i="3"/>
  <c r="O112" i="3"/>
  <c r="O111" i="3"/>
  <c r="L173" i="4"/>
  <c r="J215" i="4"/>
  <c r="T18" i="3"/>
  <c r="O115" i="6"/>
  <c r="O61" i="6"/>
  <c r="O203" i="7" s="1"/>
  <c r="R170" i="4"/>
  <c r="R31" i="4"/>
  <c r="R251" i="4" s="1"/>
  <c r="M128" i="6"/>
  <c r="M74" i="6"/>
  <c r="M216" i="7" s="1"/>
  <c r="M101" i="6"/>
  <c r="M171" i="4"/>
  <c r="M244" i="4"/>
  <c r="M156" i="4"/>
  <c r="M237" i="4"/>
  <c r="M245" i="4"/>
  <c r="M246" i="4"/>
  <c r="M239" i="4"/>
  <c r="M243" i="4"/>
  <c r="M242" i="4"/>
  <c r="M240" i="4"/>
  <c r="M241" i="4"/>
  <c r="O66" i="5"/>
  <c r="O121" i="7" s="1"/>
  <c r="O120" i="5"/>
  <c r="Q6" i="4"/>
  <c r="J189" i="4"/>
  <c r="K213" i="4"/>
  <c r="K270" i="4"/>
  <c r="N135" i="5"/>
  <c r="N81" i="5"/>
  <c r="N136" i="7" s="1"/>
  <c r="N108" i="5"/>
  <c r="Q122" i="6"/>
  <c r="Q68" i="6"/>
  <c r="Q210" i="7" s="1"/>
  <c r="Q95" i="6"/>
  <c r="S17" i="3"/>
  <c r="J47" i="4"/>
  <c r="I186" i="4"/>
  <c r="L216" i="4"/>
  <c r="L243" i="4"/>
  <c r="I187" i="4"/>
  <c r="N202" i="4"/>
  <c r="M157" i="6"/>
  <c r="M130" i="6"/>
  <c r="M76" i="6"/>
  <c r="M103" i="6"/>
  <c r="O74" i="5"/>
  <c r="O129" i="7" s="1"/>
  <c r="O128" i="5"/>
  <c r="O101" i="5"/>
  <c r="U136" i="5"/>
  <c r="U82" i="5"/>
  <c r="U137" i="7" s="1"/>
  <c r="U109" i="5"/>
  <c r="N17" i="3"/>
  <c r="N110" i="3" s="1"/>
  <c r="L264" i="4"/>
  <c r="L272" i="4"/>
  <c r="L273" i="4"/>
  <c r="L271" i="4"/>
  <c r="L266" i="4"/>
  <c r="L267" i="4"/>
  <c r="L269" i="4"/>
  <c r="L268" i="4"/>
  <c r="L270" i="4"/>
  <c r="M80" i="5"/>
  <c r="M135" i="7" s="1"/>
  <c r="M134" i="5"/>
  <c r="M107" i="5"/>
  <c r="R11" i="4"/>
  <c r="P9" i="4"/>
  <c r="K23" i="4"/>
  <c r="R9" i="4"/>
  <c r="P12" i="4"/>
  <c r="P11" i="4"/>
  <c r="I24" i="4"/>
  <c r="R12" i="4"/>
  <c r="P10" i="4"/>
  <c r="R10" i="4"/>
  <c r="K25" i="4"/>
  <c r="M11" i="4"/>
  <c r="J22" i="4"/>
  <c r="I47" i="4"/>
  <c r="I46" i="4" l="1"/>
  <c r="I184" i="4"/>
  <c r="I265" i="4"/>
  <c r="M172" i="4"/>
  <c r="T171" i="4"/>
  <c r="K174" i="4"/>
  <c r="P203" i="4"/>
  <c r="P90" i="6"/>
  <c r="P96" i="5"/>
  <c r="S118" i="3"/>
  <c r="S114" i="3"/>
  <c r="S109" i="3"/>
  <c r="S120" i="3"/>
  <c r="S113" i="3"/>
  <c r="S115" i="3"/>
  <c r="S116" i="3"/>
  <c r="S117" i="3"/>
  <c r="S119" i="3"/>
  <c r="S112" i="3"/>
  <c r="S111" i="3"/>
  <c r="M33" i="4"/>
  <c r="M17" i="3"/>
  <c r="M110" i="3" s="1"/>
  <c r="L81" i="5"/>
  <c r="L136" i="7" s="1"/>
  <c r="L135" i="5"/>
  <c r="L108" i="5"/>
  <c r="I215" i="4"/>
  <c r="U130" i="6"/>
  <c r="U157" i="6"/>
  <c r="U76" i="6"/>
  <c r="U103" i="6"/>
  <c r="L156" i="4"/>
  <c r="L237" i="4"/>
  <c r="L245" i="4"/>
  <c r="L246" i="4"/>
  <c r="L244" i="4"/>
  <c r="L239" i="4"/>
  <c r="L242" i="4"/>
  <c r="L241" i="4"/>
  <c r="L240" i="4"/>
  <c r="S181" i="4"/>
  <c r="H187" i="4"/>
  <c r="R203" i="4"/>
  <c r="R90" i="6"/>
  <c r="R96" i="5"/>
  <c r="N114" i="3"/>
  <c r="N117" i="3"/>
  <c r="N109" i="3"/>
  <c r="N120" i="3"/>
  <c r="N119" i="3"/>
  <c r="N116" i="3"/>
  <c r="N118" i="3"/>
  <c r="N115" i="3"/>
  <c r="N113" i="3"/>
  <c r="N112" i="3"/>
  <c r="N111" i="3"/>
  <c r="U188" i="4"/>
  <c r="U47" i="4"/>
  <c r="L171" i="4"/>
  <c r="P202" i="4"/>
  <c r="P115" i="6"/>
  <c r="P61" i="6"/>
  <c r="P203" i="7" s="1"/>
  <c r="O122" i="6"/>
  <c r="O68" i="6"/>
  <c r="O210" i="7" s="1"/>
  <c r="O95" i="6"/>
  <c r="M135" i="5"/>
  <c r="M81" i="5"/>
  <c r="M136" i="7" s="1"/>
  <c r="M108" i="5"/>
  <c r="H186" i="4"/>
  <c r="K107" i="5"/>
  <c r="M202" i="4"/>
  <c r="R200" i="4"/>
  <c r="Q115" i="6"/>
  <c r="Q61" i="6"/>
  <c r="Q203" i="7" s="1"/>
  <c r="Q88" i="6"/>
  <c r="L134" i="5"/>
  <c r="L80" i="5"/>
  <c r="L135" i="7" s="1"/>
  <c r="L107" i="5"/>
  <c r="N129" i="6"/>
  <c r="N75" i="6"/>
  <c r="N217" i="7" s="1"/>
  <c r="N102" i="6"/>
  <c r="N121" i="5"/>
  <c r="N67" i="5"/>
  <c r="N122" i="7" s="1"/>
  <c r="K216" i="4"/>
  <c r="K214" i="4"/>
  <c r="O114" i="6"/>
  <c r="O60" i="6"/>
  <c r="O202" i="7" s="1"/>
  <c r="R150" i="4"/>
  <c r="R204" i="4"/>
  <c r="R8" i="3"/>
  <c r="O170" i="4"/>
  <c r="O31" i="4"/>
  <c r="O251" i="4" s="1"/>
  <c r="I189" i="4"/>
  <c r="I270" i="4"/>
  <c r="K173" i="4"/>
  <c r="K175" i="4"/>
  <c r="R201" i="4"/>
  <c r="P200" i="4"/>
  <c r="P87" i="6"/>
  <c r="P93" i="5"/>
  <c r="J184" i="4"/>
  <c r="J46" i="4"/>
  <c r="J265" i="4" s="1"/>
  <c r="R73" i="5"/>
  <c r="R128" i="7" s="1"/>
  <c r="R127" i="5"/>
  <c r="R100" i="5"/>
  <c r="L18" i="3"/>
  <c r="J213" i="4"/>
  <c r="P201" i="4"/>
  <c r="P88" i="6"/>
  <c r="P94" i="5"/>
  <c r="R202" i="4"/>
  <c r="S110" i="3"/>
  <c r="K20" i="4"/>
  <c r="Q143" i="4"/>
  <c r="Q197" i="4"/>
  <c r="Q7" i="3"/>
  <c r="Q4" i="4"/>
  <c r="P122" i="6"/>
  <c r="P68" i="6"/>
  <c r="P210" i="7" s="1"/>
  <c r="P95" i="6"/>
  <c r="R249" i="4"/>
  <c r="R30" i="4"/>
  <c r="R168" i="4"/>
  <c r="R250" i="4"/>
  <c r="R263" i="4"/>
  <c r="R259" i="4"/>
  <c r="R261" i="4"/>
  <c r="R255" i="4"/>
  <c r="R257" i="4"/>
  <c r="R256" i="4"/>
  <c r="R262" i="4"/>
  <c r="R252" i="4"/>
  <c r="R254" i="4"/>
  <c r="R260" i="4"/>
  <c r="R253" i="4"/>
  <c r="R258" i="4"/>
  <c r="T17" i="3"/>
  <c r="T110" i="3" s="1"/>
  <c r="L238" i="4"/>
  <c r="N252" i="4"/>
  <c r="N30" i="4"/>
  <c r="N249" i="4"/>
  <c r="N168" i="4"/>
  <c r="N250" i="4"/>
  <c r="N259" i="4"/>
  <c r="N257" i="4"/>
  <c r="N262" i="4"/>
  <c r="N255" i="4"/>
  <c r="N261" i="4"/>
  <c r="N263" i="4"/>
  <c r="N260" i="4"/>
  <c r="N258" i="4"/>
  <c r="N256" i="4"/>
  <c r="N254" i="4"/>
  <c r="J25" i="4"/>
  <c r="J23" i="4"/>
  <c r="P7" i="4"/>
  <c r="H24" i="4"/>
  <c r="L11" i="4"/>
  <c r="I22" i="4"/>
  <c r="H47" i="4"/>
  <c r="L33" i="4"/>
  <c r="J20" i="4" l="1"/>
  <c r="J19" i="4"/>
  <c r="J157" i="4"/>
  <c r="J211" i="4"/>
  <c r="J238" i="4"/>
  <c r="J19" i="3"/>
  <c r="L170" i="4"/>
  <c r="L31" i="4"/>
  <c r="L253" i="4" s="1"/>
  <c r="H184" i="4"/>
  <c r="H46" i="4"/>
  <c r="H265" i="4" s="1"/>
  <c r="K171" i="4"/>
  <c r="G186" i="4"/>
  <c r="G187" i="4"/>
  <c r="R121" i="6"/>
  <c r="R67" i="6"/>
  <c r="R209" i="7" s="1"/>
  <c r="R94" i="6"/>
  <c r="L128" i="6"/>
  <c r="L74" i="6"/>
  <c r="L216" i="7" s="1"/>
  <c r="L101" i="6"/>
  <c r="L202" i="4"/>
  <c r="H189" i="4"/>
  <c r="T181" i="4"/>
  <c r="L17" i="3"/>
  <c r="L110" i="3" s="1"/>
  <c r="O30" i="4"/>
  <c r="O168" i="4"/>
  <c r="O249" i="4"/>
  <c r="O250" i="4"/>
  <c r="O259" i="4"/>
  <c r="O257" i="4"/>
  <c r="O262" i="4"/>
  <c r="O255" i="4"/>
  <c r="O261" i="4"/>
  <c r="O260" i="4"/>
  <c r="O263" i="4"/>
  <c r="O258" i="4"/>
  <c r="O254" i="4"/>
  <c r="O256" i="4"/>
  <c r="O252" i="4"/>
  <c r="O253" i="4"/>
  <c r="M129" i="6"/>
  <c r="M75" i="6"/>
  <c r="M217" i="7" s="1"/>
  <c r="M102" i="6"/>
  <c r="I213" i="4"/>
  <c r="S179" i="4"/>
  <c r="S40" i="4"/>
  <c r="U184" i="4"/>
  <c r="U46" i="4"/>
  <c r="M121" i="5"/>
  <c r="M67" i="5"/>
  <c r="M122" i="7" s="1"/>
  <c r="M114" i="3"/>
  <c r="M120" i="3"/>
  <c r="M117" i="3"/>
  <c r="M119" i="3"/>
  <c r="M118" i="3"/>
  <c r="M113" i="3"/>
  <c r="M109" i="3"/>
  <c r="M115" i="3"/>
  <c r="M116" i="3"/>
  <c r="M112" i="3"/>
  <c r="M111" i="3"/>
  <c r="Q110" i="6"/>
  <c r="Q66" i="3"/>
  <c r="Q56" i="6"/>
  <c r="Q198" i="7" s="1"/>
  <c r="Q83" i="6"/>
  <c r="H215" i="4"/>
  <c r="K157" i="4"/>
  <c r="K211" i="4"/>
  <c r="K19" i="4"/>
  <c r="K19" i="3"/>
  <c r="J81" i="5"/>
  <c r="J136" i="7" s="1"/>
  <c r="J135" i="5"/>
  <c r="J108" i="5"/>
  <c r="Q62" i="5"/>
  <c r="Q117" i="7" s="1"/>
  <c r="Q116" i="5"/>
  <c r="Q36" i="3"/>
  <c r="Q89" i="5"/>
  <c r="P198" i="4"/>
  <c r="Q141" i="4"/>
  <c r="Q195" i="4"/>
  <c r="Q222" i="4"/>
  <c r="Q232" i="4"/>
  <c r="Q236" i="4"/>
  <c r="Q234" i="4"/>
  <c r="Q235" i="4"/>
  <c r="Q233" i="4"/>
  <c r="Q231" i="4"/>
  <c r="Q223" i="4"/>
  <c r="Q229" i="4"/>
  <c r="Q228" i="4"/>
  <c r="Q230" i="4"/>
  <c r="Q227" i="4"/>
  <c r="Q225" i="4"/>
  <c r="Q226" i="4"/>
  <c r="K134" i="5"/>
  <c r="K80" i="5"/>
  <c r="K135" i="7" s="1"/>
  <c r="N127" i="5"/>
  <c r="N73" i="5"/>
  <c r="N128" i="7" s="1"/>
  <c r="N100" i="5"/>
  <c r="M170" i="4"/>
  <c r="M31" i="4"/>
  <c r="M251" i="4" s="1"/>
  <c r="T116" i="3"/>
  <c r="T114" i="3"/>
  <c r="T113" i="3"/>
  <c r="T117" i="3"/>
  <c r="T118" i="3"/>
  <c r="T119" i="3"/>
  <c r="T109" i="3"/>
  <c r="T115" i="3"/>
  <c r="T120" i="3"/>
  <c r="T112" i="3"/>
  <c r="T111" i="3"/>
  <c r="Q5" i="3"/>
  <c r="L129" i="6"/>
  <c r="L75" i="6"/>
  <c r="L217" i="7" s="1"/>
  <c r="L102" i="6"/>
  <c r="N115" i="6"/>
  <c r="N61" i="6"/>
  <c r="N203" i="7" s="1"/>
  <c r="N128" i="5"/>
  <c r="N74" i="5"/>
  <c r="N129" i="7" s="1"/>
  <c r="N101" i="5"/>
  <c r="L172" i="4"/>
  <c r="G188" i="4"/>
  <c r="J214" i="4"/>
  <c r="J107" i="5"/>
  <c r="J241" i="4"/>
  <c r="J216" i="4"/>
  <c r="J243" i="4"/>
  <c r="Q224" i="4"/>
  <c r="L121" i="5"/>
  <c r="L67" i="5"/>
  <c r="L122" i="7" s="1"/>
  <c r="Q125" i="5"/>
  <c r="Q71" i="5"/>
  <c r="Q126" i="7" s="1"/>
  <c r="Q98" i="5"/>
  <c r="J264" i="4"/>
  <c r="J272" i="4"/>
  <c r="J273" i="4"/>
  <c r="J271" i="4"/>
  <c r="J266" i="4"/>
  <c r="J269" i="4"/>
  <c r="J267" i="4"/>
  <c r="J268" i="4"/>
  <c r="J270" i="4"/>
  <c r="Q132" i="5"/>
  <c r="Q78" i="5"/>
  <c r="Q133" i="7" s="1"/>
  <c r="Q105" i="5"/>
  <c r="S127" i="5"/>
  <c r="S73" i="5"/>
  <c r="S128" i="7" s="1"/>
  <c r="S100" i="5"/>
  <c r="I264" i="4"/>
  <c r="I272" i="4"/>
  <c r="I273" i="4"/>
  <c r="I271" i="4"/>
  <c r="I266" i="4"/>
  <c r="I269" i="4"/>
  <c r="I267" i="4"/>
  <c r="I268" i="4"/>
  <c r="O12" i="4"/>
  <c r="I23" i="4"/>
  <c r="S17" i="4"/>
  <c r="S9" i="4"/>
  <c r="N9" i="4"/>
  <c r="K10" i="4"/>
  <c r="O10" i="4"/>
  <c r="G24" i="4"/>
  <c r="I25" i="4"/>
  <c r="O9" i="4"/>
  <c r="K11" i="4"/>
  <c r="S12" i="4"/>
  <c r="N12" i="4"/>
  <c r="S10" i="4"/>
  <c r="N10" i="4"/>
  <c r="S11" i="4"/>
  <c r="R8" i="4"/>
  <c r="R7" i="4"/>
  <c r="U24" i="4"/>
  <c r="P8" i="4"/>
  <c r="H22" i="4"/>
  <c r="O4" i="5"/>
  <c r="O47" i="6" s="1"/>
  <c r="H270" i="4" l="1"/>
  <c r="G215" i="4"/>
  <c r="H213" i="4"/>
  <c r="R198" i="4"/>
  <c r="R6" i="4"/>
  <c r="K202" i="4"/>
  <c r="S208" i="4"/>
  <c r="T172" i="4"/>
  <c r="T33" i="4"/>
  <c r="M128" i="5"/>
  <c r="M74" i="5"/>
  <c r="M129" i="7" s="1"/>
  <c r="M101" i="5"/>
  <c r="K243" i="4"/>
  <c r="K156" i="4"/>
  <c r="K237" i="4"/>
  <c r="K245" i="4"/>
  <c r="K246" i="4"/>
  <c r="K244" i="4"/>
  <c r="K239" i="4"/>
  <c r="K242" i="4"/>
  <c r="K240" i="4"/>
  <c r="K241" i="4"/>
  <c r="N120" i="5"/>
  <c r="N66" i="5"/>
  <c r="N121" i="7" s="1"/>
  <c r="S121" i="6"/>
  <c r="S67" i="6"/>
  <c r="S209" i="7" s="1"/>
  <c r="S94" i="6"/>
  <c r="K128" i="6"/>
  <c r="K74" i="6"/>
  <c r="K216" i="7" s="1"/>
  <c r="K101" i="6"/>
  <c r="F188" i="4"/>
  <c r="U215" i="4"/>
  <c r="U20" i="4"/>
  <c r="O200" i="4"/>
  <c r="O87" i="6"/>
  <c r="O93" i="5"/>
  <c r="O201" i="4"/>
  <c r="O88" i="6"/>
  <c r="O94" i="5"/>
  <c r="I214" i="4"/>
  <c r="N122" i="6"/>
  <c r="N68" i="6"/>
  <c r="N210" i="7" s="1"/>
  <c r="N95" i="6"/>
  <c r="P71" i="5"/>
  <c r="P126" i="7" s="1"/>
  <c r="P125" i="5"/>
  <c r="P98" i="5"/>
  <c r="H271" i="4"/>
  <c r="H264" i="4"/>
  <c r="H272" i="4"/>
  <c r="H273" i="4"/>
  <c r="H266" i="4"/>
  <c r="H269" i="4"/>
  <c r="H268" i="4"/>
  <c r="H267" i="4"/>
  <c r="G189" i="4"/>
  <c r="J173" i="4"/>
  <c r="F186" i="4"/>
  <c r="N87" i="6"/>
  <c r="T179" i="4"/>
  <c r="T40" i="4"/>
  <c r="R199" i="4"/>
  <c r="K201" i="4"/>
  <c r="O203" i="4"/>
  <c r="O96" i="5"/>
  <c r="K81" i="5"/>
  <c r="K136" i="7" s="1"/>
  <c r="K135" i="5"/>
  <c r="K108" i="5"/>
  <c r="S80" i="5"/>
  <c r="S135" i="7" s="1"/>
  <c r="S134" i="5"/>
  <c r="S107" i="5"/>
  <c r="I20" i="4"/>
  <c r="G47" i="4"/>
  <c r="J174" i="4"/>
  <c r="F187" i="4"/>
  <c r="N94" i="5"/>
  <c r="N201" i="4"/>
  <c r="N88" i="6"/>
  <c r="N93" i="5"/>
  <c r="N200" i="4"/>
  <c r="Q188" i="3"/>
  <c r="Q218" i="3"/>
  <c r="L136" i="5"/>
  <c r="L82" i="5"/>
  <c r="L137" i="7" s="1"/>
  <c r="L109" i="5"/>
  <c r="L249" i="4"/>
  <c r="L168" i="4"/>
  <c r="L250" i="4"/>
  <c r="L259" i="4"/>
  <c r="L257" i="4"/>
  <c r="L255" i="4"/>
  <c r="L262" i="4"/>
  <c r="L261" i="4"/>
  <c r="L260" i="4"/>
  <c r="L263" i="4"/>
  <c r="L258" i="4"/>
  <c r="L254" i="4"/>
  <c r="L256" i="4"/>
  <c r="L30" i="4"/>
  <c r="L252" i="4"/>
  <c r="R80" i="5"/>
  <c r="R135" i="7" s="1"/>
  <c r="R134" i="5"/>
  <c r="R107" i="5"/>
  <c r="J80" i="5"/>
  <c r="J135" i="7" s="1"/>
  <c r="J134" i="5"/>
  <c r="K18" i="3"/>
  <c r="O69" i="5"/>
  <c r="O124" i="7" s="1"/>
  <c r="O123" i="5"/>
  <c r="L251" i="4"/>
  <c r="P199" i="4"/>
  <c r="J175" i="4"/>
  <c r="S202" i="4"/>
  <c r="S201" i="4"/>
  <c r="I216" i="4"/>
  <c r="Q4" i="3"/>
  <c r="Q97" i="3" s="1"/>
  <c r="M258" i="4"/>
  <c r="M30" i="4"/>
  <c r="M168" i="4"/>
  <c r="M249" i="4"/>
  <c r="M250" i="4"/>
  <c r="M259" i="4"/>
  <c r="M257" i="4"/>
  <c r="M255" i="4"/>
  <c r="M262" i="4"/>
  <c r="M261" i="4"/>
  <c r="M260" i="4"/>
  <c r="M263" i="4"/>
  <c r="M256" i="4"/>
  <c r="M254" i="4"/>
  <c r="M252" i="4"/>
  <c r="M253" i="4"/>
  <c r="P6" i="4"/>
  <c r="K238" i="4"/>
  <c r="S177" i="4"/>
  <c r="S31" i="4"/>
  <c r="S258" i="4" s="1"/>
  <c r="L74" i="5"/>
  <c r="L129" i="7" s="1"/>
  <c r="L128" i="5"/>
  <c r="L101" i="5"/>
  <c r="J244" i="4"/>
  <c r="J156" i="4"/>
  <c r="J237" i="4"/>
  <c r="J245" i="4"/>
  <c r="J246" i="4"/>
  <c r="J239" i="4"/>
  <c r="J242" i="4"/>
  <c r="J240" i="4"/>
  <c r="I107" i="5"/>
  <c r="S93" i="5"/>
  <c r="N203" i="4"/>
  <c r="S200" i="4"/>
  <c r="N121" i="6"/>
  <c r="N67" i="6"/>
  <c r="N209" i="7" s="1"/>
  <c r="N94" i="6"/>
  <c r="I135" i="5"/>
  <c r="I81" i="5"/>
  <c r="I136" i="7" s="1"/>
  <c r="I108" i="5"/>
  <c r="M73" i="5"/>
  <c r="M128" i="7" s="1"/>
  <c r="M127" i="5"/>
  <c r="M100" i="5"/>
  <c r="P62" i="5"/>
  <c r="P117" i="7" s="1"/>
  <c r="P116" i="5"/>
  <c r="P36" i="3"/>
  <c r="P89" i="5"/>
  <c r="U265" i="4"/>
  <c r="U264" i="4"/>
  <c r="U272" i="4"/>
  <c r="U273" i="4"/>
  <c r="U271" i="4"/>
  <c r="U267" i="4"/>
  <c r="U268" i="4"/>
  <c r="U266" i="4"/>
  <c r="U270" i="4"/>
  <c r="U269" i="4"/>
  <c r="P78" i="5"/>
  <c r="P133" i="7" s="1"/>
  <c r="P132" i="5"/>
  <c r="P105" i="5"/>
  <c r="L120" i="3"/>
  <c r="L114" i="3"/>
  <c r="L118" i="3"/>
  <c r="L115" i="3"/>
  <c r="L116" i="3"/>
  <c r="L113" i="3"/>
  <c r="L117" i="3"/>
  <c r="L119" i="3"/>
  <c r="L109" i="3"/>
  <c r="L112" i="3"/>
  <c r="L111" i="3"/>
  <c r="L115" i="6"/>
  <c r="L61" i="6"/>
  <c r="L203" i="7" s="1"/>
  <c r="S96" i="5"/>
  <c r="S90" i="6"/>
  <c r="S203" i="4"/>
  <c r="M115" i="6"/>
  <c r="M61" i="6"/>
  <c r="M203" i="7" s="1"/>
  <c r="O68" i="5"/>
  <c r="O123" i="7" s="1"/>
  <c r="O122" i="5"/>
  <c r="O95" i="5"/>
  <c r="N122" i="5"/>
  <c r="N68" i="5"/>
  <c r="N123" i="7" s="1"/>
  <c r="N95" i="5"/>
  <c r="J18" i="3"/>
  <c r="H23" i="4"/>
  <c r="T17" i="4"/>
  <c r="H25" i="4"/>
  <c r="G22" i="4"/>
  <c r="N7" i="4"/>
  <c r="O7" i="4"/>
  <c r="S7" i="4"/>
  <c r="F47" i="4"/>
  <c r="N4" i="5"/>
  <c r="N47" i="6" s="1"/>
  <c r="S15" i="4"/>
  <c r="F24" i="4"/>
  <c r="F215" i="4" l="1"/>
  <c r="F184" i="4"/>
  <c r="S206" i="4"/>
  <c r="S13" i="4"/>
  <c r="T208" i="4"/>
  <c r="S198" i="4"/>
  <c r="E188" i="4"/>
  <c r="O198" i="4"/>
  <c r="E187" i="4"/>
  <c r="H214" i="4"/>
  <c r="M66" i="5"/>
  <c r="M121" i="7" s="1"/>
  <c r="M120" i="5"/>
  <c r="P188" i="3"/>
  <c r="Q105" i="3"/>
  <c r="Q102" i="3"/>
  <c r="Q101" i="3"/>
  <c r="Q103" i="3"/>
  <c r="Q104" i="3"/>
  <c r="Q96" i="3"/>
  <c r="Q108" i="3"/>
  <c r="Q106" i="3"/>
  <c r="Q107" i="3"/>
  <c r="Q100" i="3"/>
  <c r="Q98" i="3"/>
  <c r="Q99" i="3"/>
  <c r="J128" i="6"/>
  <c r="J74" i="6"/>
  <c r="J216" i="7" s="1"/>
  <c r="J101" i="6"/>
  <c r="O117" i="6"/>
  <c r="O144" i="6"/>
  <c r="O63" i="6"/>
  <c r="L127" i="5"/>
  <c r="L73" i="5"/>
  <c r="L128" i="7" s="1"/>
  <c r="L100" i="5"/>
  <c r="T170" i="4"/>
  <c r="T31" i="4"/>
  <c r="T258" i="4" s="1"/>
  <c r="S128" i="6"/>
  <c r="S74" i="6"/>
  <c r="S216" i="7" s="1"/>
  <c r="S101" i="6"/>
  <c r="I175" i="4"/>
  <c r="I11" i="4"/>
  <c r="I62" i="6"/>
  <c r="I256" i="4"/>
  <c r="I173" i="4"/>
  <c r="E186" i="4"/>
  <c r="I174" i="4"/>
  <c r="G213" i="4"/>
  <c r="N69" i="5"/>
  <c r="N124" i="7" s="1"/>
  <c r="N123" i="5"/>
  <c r="O116" i="6"/>
  <c r="O62" i="6"/>
  <c r="O204" i="7" s="1"/>
  <c r="O89" i="6"/>
  <c r="T177" i="4"/>
  <c r="R128" i="6"/>
  <c r="R74" i="6"/>
  <c r="R216" i="7" s="1"/>
  <c r="R101" i="6"/>
  <c r="J129" i="6"/>
  <c r="J75" i="6"/>
  <c r="J217" i="7" s="1"/>
  <c r="J102" i="6"/>
  <c r="Q126" i="6"/>
  <c r="Q72" i="6"/>
  <c r="Q214" i="7" s="1"/>
  <c r="Q99" i="6"/>
  <c r="P110" i="6"/>
  <c r="P66" i="3"/>
  <c r="P56" i="6"/>
  <c r="P198" i="7" s="1"/>
  <c r="P83" i="6"/>
  <c r="N116" i="6"/>
  <c r="N62" i="6"/>
  <c r="N204" i="7" s="1"/>
  <c r="N89" i="6"/>
  <c r="S120" i="5"/>
  <c r="S66" i="5"/>
  <c r="S121" i="7" s="1"/>
  <c r="K129" i="6"/>
  <c r="K75" i="6"/>
  <c r="K217" i="7" s="1"/>
  <c r="K102" i="6"/>
  <c r="M122" i="5"/>
  <c r="M68" i="5"/>
  <c r="M123" i="7" s="1"/>
  <c r="M95" i="5"/>
  <c r="G184" i="4"/>
  <c r="G46" i="4"/>
  <c r="M122" i="6"/>
  <c r="M68" i="6"/>
  <c r="M210" i="7" s="1"/>
  <c r="M95" i="6"/>
  <c r="R120" i="5"/>
  <c r="R66" i="5"/>
  <c r="R121" i="7" s="1"/>
  <c r="R93" i="5"/>
  <c r="N198" i="4"/>
  <c r="H216" i="4"/>
  <c r="L130" i="6"/>
  <c r="L157" i="6"/>
  <c r="L76" i="6"/>
  <c r="L103" i="6"/>
  <c r="I211" i="4"/>
  <c r="I157" i="4"/>
  <c r="I19" i="4"/>
  <c r="I19" i="3"/>
  <c r="H20" i="4"/>
  <c r="F189" i="4"/>
  <c r="J171" i="4"/>
  <c r="K82" i="5"/>
  <c r="K137" i="7" s="1"/>
  <c r="K136" i="5"/>
  <c r="K109" i="5"/>
  <c r="I134" i="5"/>
  <c r="I80" i="5"/>
  <c r="I135" i="7" s="1"/>
  <c r="K17" i="3"/>
  <c r="K110" i="3" s="1"/>
  <c r="U211" i="4"/>
  <c r="U157" i="4"/>
  <c r="U19" i="4"/>
  <c r="U19" i="3"/>
  <c r="J17" i="3"/>
  <c r="J110" i="3" s="1"/>
  <c r="M121" i="6"/>
  <c r="M67" i="6"/>
  <c r="M209" i="7" s="1"/>
  <c r="M94" i="6"/>
  <c r="L122" i="6"/>
  <c r="L68" i="6"/>
  <c r="L210" i="7" s="1"/>
  <c r="L95" i="6"/>
  <c r="P143" i="4"/>
  <c r="P197" i="4"/>
  <c r="P7" i="3"/>
  <c r="P4" i="4"/>
  <c r="N96" i="5"/>
  <c r="S249" i="4"/>
  <c r="S168" i="4"/>
  <c r="S30" i="4"/>
  <c r="S250" i="4"/>
  <c r="S263" i="4"/>
  <c r="S261" i="4"/>
  <c r="S259" i="4"/>
  <c r="S255" i="4"/>
  <c r="S257" i="4"/>
  <c r="S256" i="4"/>
  <c r="S254" i="4"/>
  <c r="S252" i="4"/>
  <c r="S253" i="4"/>
  <c r="S251" i="4"/>
  <c r="S262" i="4"/>
  <c r="S260" i="4"/>
  <c r="K172" i="4"/>
  <c r="K33" i="4"/>
  <c r="O90" i="6"/>
  <c r="N114" i="6"/>
  <c r="N60" i="6"/>
  <c r="N202" i="7" s="1"/>
  <c r="R197" i="4"/>
  <c r="R143" i="4"/>
  <c r="R7" i="3"/>
  <c r="R4" i="4"/>
  <c r="M9" i="4"/>
  <c r="O8" i="4"/>
  <c r="O6" i="4" s="1"/>
  <c r="M10" i="4"/>
  <c r="E24" i="4"/>
  <c r="J10" i="4"/>
  <c r="J11" i="4"/>
  <c r="N8" i="4"/>
  <c r="N6" i="4" s="1"/>
  <c r="G23" i="4"/>
  <c r="M12" i="4"/>
  <c r="S8" i="4"/>
  <c r="S6" i="4" s="1"/>
  <c r="G25" i="4"/>
  <c r="T15" i="4"/>
  <c r="M4" i="5"/>
  <c r="M47" i="6" s="1"/>
  <c r="F22" i="4"/>
  <c r="E47" i="4"/>
  <c r="J33" i="4"/>
  <c r="G20" i="4" l="1"/>
  <c r="S4" i="4"/>
  <c r="S224" i="4" s="1"/>
  <c r="S143" i="4"/>
  <c r="S197" i="4"/>
  <c r="S7" i="3"/>
  <c r="O143" i="4"/>
  <c r="O197" i="4"/>
  <c r="O7" i="3"/>
  <c r="O4" i="4"/>
  <c r="E184" i="4"/>
  <c r="J170" i="4"/>
  <c r="J31" i="4"/>
  <c r="G211" i="4"/>
  <c r="G19" i="4"/>
  <c r="G241" i="4" s="1"/>
  <c r="G157" i="4"/>
  <c r="G19" i="3"/>
  <c r="N143" i="4"/>
  <c r="N197" i="4"/>
  <c r="N7" i="3"/>
  <c r="N4" i="4"/>
  <c r="N226" i="4" s="1"/>
  <c r="E215" i="4"/>
  <c r="C188" i="4"/>
  <c r="M123" i="5"/>
  <c r="M69" i="5"/>
  <c r="M124" i="7" s="1"/>
  <c r="U244" i="4"/>
  <c r="U156" i="4"/>
  <c r="U237" i="4"/>
  <c r="U245" i="4"/>
  <c r="U246" i="4"/>
  <c r="U241" i="4"/>
  <c r="U240" i="4"/>
  <c r="U239" i="4"/>
  <c r="U243" i="4"/>
  <c r="U242" i="4"/>
  <c r="I244" i="4"/>
  <c r="I237" i="4"/>
  <c r="I156" i="4"/>
  <c r="I245" i="4"/>
  <c r="I246" i="4"/>
  <c r="I239" i="4"/>
  <c r="I242" i="4"/>
  <c r="I240" i="4"/>
  <c r="I243" i="4"/>
  <c r="I241" i="4"/>
  <c r="L121" i="6"/>
  <c r="L67" i="6"/>
  <c r="L209" i="7" s="1"/>
  <c r="L94" i="6"/>
  <c r="P122" i="5"/>
  <c r="P68" i="5"/>
  <c r="P123" i="7" s="1"/>
  <c r="P95" i="5"/>
  <c r="R71" i="5"/>
  <c r="R126" i="7" s="1"/>
  <c r="R125" i="5"/>
  <c r="R98" i="5"/>
  <c r="K157" i="6"/>
  <c r="K130" i="6"/>
  <c r="K76" i="6"/>
  <c r="K103" i="6"/>
  <c r="L120" i="5"/>
  <c r="L66" i="5"/>
  <c r="L121" i="7" s="1"/>
  <c r="M203" i="4"/>
  <c r="M96" i="5"/>
  <c r="J201" i="4"/>
  <c r="M87" i="6"/>
  <c r="M200" i="4"/>
  <c r="M93" i="5"/>
  <c r="I128" i="6"/>
  <c r="I74" i="6"/>
  <c r="I216" i="7" s="1"/>
  <c r="I101" i="6"/>
  <c r="M114" i="6"/>
  <c r="M60" i="6"/>
  <c r="M202" i="7" s="1"/>
  <c r="I129" i="6"/>
  <c r="I75" i="6"/>
  <c r="I217" i="7" s="1"/>
  <c r="I102" i="6"/>
  <c r="S110" i="6"/>
  <c r="S66" i="3"/>
  <c r="S56" i="6"/>
  <c r="S198" i="7" s="1"/>
  <c r="S83" i="6"/>
  <c r="P141" i="4"/>
  <c r="P195" i="4"/>
  <c r="P222" i="4"/>
  <c r="P223" i="4"/>
  <c r="P232" i="4"/>
  <c r="P234" i="4"/>
  <c r="P233" i="4"/>
  <c r="P231" i="4"/>
  <c r="P235" i="4"/>
  <c r="P236" i="4"/>
  <c r="P230" i="4"/>
  <c r="P229" i="4"/>
  <c r="P227" i="4"/>
  <c r="P228" i="4"/>
  <c r="P225" i="4"/>
  <c r="P226" i="4"/>
  <c r="J119" i="3"/>
  <c r="J113" i="3"/>
  <c r="J116" i="3"/>
  <c r="J117" i="3"/>
  <c r="J118" i="3"/>
  <c r="J120" i="3"/>
  <c r="J114" i="3"/>
  <c r="J109" i="3"/>
  <c r="J115" i="3"/>
  <c r="J112" i="3"/>
  <c r="J111" i="3"/>
  <c r="N144" i="6"/>
  <c r="N117" i="6"/>
  <c r="N63" i="6"/>
  <c r="N90" i="6"/>
  <c r="G271" i="4"/>
  <c r="G264" i="4"/>
  <c r="G272" i="4"/>
  <c r="G273" i="4"/>
  <c r="G266" i="4"/>
  <c r="G269" i="4"/>
  <c r="G268" i="4"/>
  <c r="G267" i="4"/>
  <c r="G270" i="4"/>
  <c r="R132" i="5"/>
  <c r="R78" i="5"/>
  <c r="R133" i="7" s="1"/>
  <c r="R105" i="5"/>
  <c r="G214" i="4"/>
  <c r="R222" i="4"/>
  <c r="R141" i="4"/>
  <c r="R195" i="4"/>
  <c r="R232" i="4"/>
  <c r="R234" i="4"/>
  <c r="R236" i="4"/>
  <c r="R223" i="4"/>
  <c r="R235" i="4"/>
  <c r="R233" i="4"/>
  <c r="R230" i="4"/>
  <c r="R228" i="4"/>
  <c r="R229" i="4"/>
  <c r="R227" i="4"/>
  <c r="R231" i="4"/>
  <c r="R225" i="4"/>
  <c r="R226" i="4"/>
  <c r="P5" i="3"/>
  <c r="J82" i="5"/>
  <c r="J137" i="7" s="1"/>
  <c r="J136" i="5"/>
  <c r="J109" i="5"/>
  <c r="S204" i="4"/>
  <c r="S150" i="4"/>
  <c r="S231" i="4"/>
  <c r="S8" i="3"/>
  <c r="Q119" i="6"/>
  <c r="Q65" i="6"/>
  <c r="Q207" i="7" s="1"/>
  <c r="Q92" i="6"/>
  <c r="D186" i="4"/>
  <c r="P126" i="6"/>
  <c r="P72" i="6"/>
  <c r="P214" i="7" s="1"/>
  <c r="P99" i="6"/>
  <c r="N199" i="4"/>
  <c r="R5" i="3"/>
  <c r="P224" i="4"/>
  <c r="H135" i="5"/>
  <c r="H81" i="5"/>
  <c r="H136" i="7" s="1"/>
  <c r="H108" i="5"/>
  <c r="M116" i="6"/>
  <c r="M62" i="6"/>
  <c r="M204" i="7" s="1"/>
  <c r="M89" i="6"/>
  <c r="G265" i="4"/>
  <c r="R116" i="5"/>
  <c r="R62" i="5"/>
  <c r="R117" i="7" s="1"/>
  <c r="R36" i="3"/>
  <c r="R89" i="5"/>
  <c r="K127" i="5"/>
  <c r="K73" i="5"/>
  <c r="K128" i="7" s="1"/>
  <c r="K100" i="5"/>
  <c r="H256" i="4"/>
  <c r="H11" i="4"/>
  <c r="H175" i="4"/>
  <c r="H62" i="6"/>
  <c r="D187" i="4"/>
  <c r="F213" i="4"/>
  <c r="I171" i="4"/>
  <c r="M94" i="5"/>
  <c r="M88" i="6"/>
  <c r="M201" i="4"/>
  <c r="R224" i="4"/>
  <c r="H157" i="4"/>
  <c r="H19" i="4"/>
  <c r="H238" i="4" s="1"/>
  <c r="H211" i="4"/>
  <c r="H19" i="3"/>
  <c r="L122" i="5"/>
  <c r="L68" i="5"/>
  <c r="L123" i="7" s="1"/>
  <c r="L95" i="5"/>
  <c r="J172" i="4"/>
  <c r="J253" i="4"/>
  <c r="E189" i="4"/>
  <c r="H174" i="4"/>
  <c r="T206" i="4"/>
  <c r="T13" i="4"/>
  <c r="G216" i="4"/>
  <c r="G243" i="4"/>
  <c r="J202" i="4"/>
  <c r="K170" i="4"/>
  <c r="K31" i="4"/>
  <c r="S78" i="5"/>
  <c r="S133" i="7" s="1"/>
  <c r="S132" i="5"/>
  <c r="S105" i="5"/>
  <c r="S62" i="5"/>
  <c r="S117" i="7" s="1"/>
  <c r="S116" i="5"/>
  <c r="S36" i="3"/>
  <c r="S89" i="5"/>
  <c r="K121" i="5"/>
  <c r="K67" i="5"/>
  <c r="K122" i="7" s="1"/>
  <c r="K94" i="5"/>
  <c r="S125" i="5"/>
  <c r="S71" i="5"/>
  <c r="S126" i="7" s="1"/>
  <c r="S98" i="5"/>
  <c r="U18" i="3"/>
  <c r="S114" i="6"/>
  <c r="S60" i="6"/>
  <c r="S202" i="7" s="1"/>
  <c r="S87" i="6"/>
  <c r="H134" i="5"/>
  <c r="H80" i="5"/>
  <c r="H135" i="7" s="1"/>
  <c r="I18" i="3"/>
  <c r="I229" i="4"/>
  <c r="I89" i="6"/>
  <c r="I95" i="5"/>
  <c r="I202" i="4"/>
  <c r="T251" i="4"/>
  <c r="T249" i="4"/>
  <c r="T30" i="4"/>
  <c r="T168" i="4"/>
  <c r="T250" i="4"/>
  <c r="T263" i="4"/>
  <c r="T261" i="4"/>
  <c r="T259" i="4"/>
  <c r="T255" i="4"/>
  <c r="T257" i="4"/>
  <c r="T256" i="4"/>
  <c r="T254" i="4"/>
  <c r="T252" i="4"/>
  <c r="T262" i="4"/>
  <c r="T260" i="4"/>
  <c r="T253" i="4"/>
  <c r="H107" i="5"/>
  <c r="D188" i="4"/>
  <c r="H173" i="4"/>
  <c r="S199" i="4"/>
  <c r="S226" i="4"/>
  <c r="O199" i="4"/>
  <c r="O226" i="4"/>
  <c r="U238" i="4"/>
  <c r="K120" i="3"/>
  <c r="K115" i="3"/>
  <c r="K114" i="3"/>
  <c r="K119" i="3"/>
  <c r="K116" i="3"/>
  <c r="K113" i="3"/>
  <c r="K117" i="3"/>
  <c r="K109" i="3"/>
  <c r="K118" i="3"/>
  <c r="K112" i="3"/>
  <c r="K111" i="3"/>
  <c r="I238" i="4"/>
  <c r="R81" i="5"/>
  <c r="R136" i="7" s="1"/>
  <c r="R135" i="5"/>
  <c r="R108" i="5"/>
  <c r="P218" i="3"/>
  <c r="R114" i="6"/>
  <c r="R60" i="6"/>
  <c r="R202" i="7" s="1"/>
  <c r="R87" i="6"/>
  <c r="F25" i="4"/>
  <c r="L9" i="4"/>
  <c r="T10" i="4"/>
  <c r="L12" i="4"/>
  <c r="T12" i="4"/>
  <c r="T9" i="4"/>
  <c r="L10" i="4"/>
  <c r="I10" i="4"/>
  <c r="T11" i="4"/>
  <c r="F23" i="4"/>
  <c r="D24" i="4"/>
  <c r="E22" i="4"/>
  <c r="M7" i="4"/>
  <c r="F20" i="4" l="1"/>
  <c r="F157" i="4"/>
  <c r="F211" i="4"/>
  <c r="F19" i="3"/>
  <c r="D215" i="4"/>
  <c r="I172" i="4"/>
  <c r="T202" i="4"/>
  <c r="S188" i="3"/>
  <c r="H129" i="6"/>
  <c r="H75" i="6"/>
  <c r="H217" i="7" s="1"/>
  <c r="H102" i="6"/>
  <c r="I136" i="5"/>
  <c r="I82" i="5"/>
  <c r="I137" i="7" s="1"/>
  <c r="I109" i="5"/>
  <c r="Q122" i="5"/>
  <c r="Q68" i="5"/>
  <c r="Q123" i="7" s="1"/>
  <c r="Q95" i="5"/>
  <c r="K115" i="6"/>
  <c r="K61" i="6"/>
  <c r="K203" i="7" s="1"/>
  <c r="K88" i="6"/>
  <c r="S5" i="3"/>
  <c r="P119" i="6"/>
  <c r="P65" i="6"/>
  <c r="P207" i="7" s="1"/>
  <c r="P92" i="6"/>
  <c r="R110" i="6"/>
  <c r="R66" i="3"/>
  <c r="R56" i="6"/>
  <c r="R198" i="7" s="1"/>
  <c r="R83" i="6"/>
  <c r="G174" i="4"/>
  <c r="T96" i="5"/>
  <c r="T203" i="4"/>
  <c r="T90" i="6"/>
  <c r="L69" i="5"/>
  <c r="L124" i="7" s="1"/>
  <c r="L123" i="5"/>
  <c r="R67" i="5"/>
  <c r="R122" i="7" s="1"/>
  <c r="R121" i="5"/>
  <c r="R94" i="5"/>
  <c r="J262" i="4"/>
  <c r="J168" i="4"/>
  <c r="J249" i="4"/>
  <c r="J30" i="4"/>
  <c r="J250" i="4"/>
  <c r="J259" i="4"/>
  <c r="J257" i="4"/>
  <c r="J261" i="4"/>
  <c r="J260" i="4"/>
  <c r="J263" i="4"/>
  <c r="J258" i="4"/>
  <c r="J255" i="4"/>
  <c r="J254" i="4"/>
  <c r="J256" i="4"/>
  <c r="J252" i="4"/>
  <c r="O232" i="4"/>
  <c r="O141" i="4"/>
  <c r="O195" i="4"/>
  <c r="O222" i="4"/>
  <c r="O223" i="4"/>
  <c r="O234" i="4"/>
  <c r="O233" i="4"/>
  <c r="O236" i="4"/>
  <c r="O235" i="4"/>
  <c r="O231" i="4"/>
  <c r="O229" i="4"/>
  <c r="O230" i="4"/>
  <c r="O228" i="4"/>
  <c r="O227" i="4"/>
  <c r="O225" i="4"/>
  <c r="D189" i="4"/>
  <c r="I201" i="4"/>
  <c r="L200" i="4"/>
  <c r="L93" i="5"/>
  <c r="L87" i="6"/>
  <c r="K251" i="4"/>
  <c r="K249" i="4"/>
  <c r="K30" i="4"/>
  <c r="K168" i="4"/>
  <c r="K250" i="4"/>
  <c r="K259" i="4"/>
  <c r="K257" i="4"/>
  <c r="K261" i="4"/>
  <c r="K262" i="4"/>
  <c r="K263" i="4"/>
  <c r="K260" i="4"/>
  <c r="K258" i="4"/>
  <c r="K256" i="4"/>
  <c r="K255" i="4"/>
  <c r="K254" i="4"/>
  <c r="K252" i="4"/>
  <c r="K253" i="4"/>
  <c r="H18" i="3"/>
  <c r="V129" i="5"/>
  <c r="V75" i="5"/>
  <c r="V130" i="7" s="1"/>
  <c r="J73" i="5"/>
  <c r="J128" i="7" s="1"/>
  <c r="J127" i="5"/>
  <c r="J100" i="5"/>
  <c r="M117" i="6"/>
  <c r="M144" i="6"/>
  <c r="M63" i="6"/>
  <c r="S218" i="3"/>
  <c r="G18" i="3"/>
  <c r="O5" i="3"/>
  <c r="C186" i="4"/>
  <c r="E213" i="4"/>
  <c r="L201" i="4"/>
  <c r="L94" i="5"/>
  <c r="L88" i="6"/>
  <c r="I17" i="3"/>
  <c r="I110" i="3" s="1"/>
  <c r="G80" i="5"/>
  <c r="G135" i="7" s="1"/>
  <c r="G134" i="5"/>
  <c r="K68" i="5"/>
  <c r="K123" i="7" s="1"/>
  <c r="K122" i="5"/>
  <c r="K95" i="5"/>
  <c r="K74" i="5"/>
  <c r="K129" i="7" s="1"/>
  <c r="K128" i="5"/>
  <c r="K101" i="5"/>
  <c r="J130" i="6"/>
  <c r="J157" i="6"/>
  <c r="J76" i="6"/>
  <c r="J103" i="6"/>
  <c r="N141" i="4"/>
  <c r="N195" i="4"/>
  <c r="N222" i="4"/>
  <c r="N223" i="4"/>
  <c r="N232" i="4"/>
  <c r="N234" i="4"/>
  <c r="N235" i="4"/>
  <c r="N233" i="4"/>
  <c r="N236" i="4"/>
  <c r="N231" i="4"/>
  <c r="N229" i="4"/>
  <c r="N227" i="4"/>
  <c r="N230" i="4"/>
  <c r="N228" i="4"/>
  <c r="N225" i="4"/>
  <c r="J251" i="4"/>
  <c r="O224" i="4"/>
  <c r="B186" i="4"/>
  <c r="G173" i="4"/>
  <c r="T200" i="4"/>
  <c r="G107" i="5"/>
  <c r="O116" i="5"/>
  <c r="O62" i="5"/>
  <c r="O117" i="7" s="1"/>
  <c r="O36" i="3"/>
  <c r="O89" i="5"/>
  <c r="N5" i="3"/>
  <c r="G240" i="4"/>
  <c r="G156" i="4"/>
  <c r="G237" i="4"/>
  <c r="G245" i="4"/>
  <c r="G246" i="4"/>
  <c r="G244" i="4"/>
  <c r="G239" i="4"/>
  <c r="G242" i="4"/>
  <c r="M198" i="4"/>
  <c r="G11" i="4"/>
  <c r="G175" i="4"/>
  <c r="G256" i="4"/>
  <c r="G62" i="6"/>
  <c r="L4" i="5"/>
  <c r="L47" i="6" s="1"/>
  <c r="L203" i="4"/>
  <c r="L96" i="5"/>
  <c r="R129" i="6"/>
  <c r="R75" i="6"/>
  <c r="R217" i="7" s="1"/>
  <c r="R102" i="6"/>
  <c r="U17" i="3"/>
  <c r="U110" i="3" s="1"/>
  <c r="T150" i="4"/>
  <c r="T204" i="4"/>
  <c r="T8" i="3"/>
  <c r="H242" i="4"/>
  <c r="H237" i="4"/>
  <c r="H156" i="4"/>
  <c r="H245" i="4"/>
  <c r="H246" i="4"/>
  <c r="H244" i="4"/>
  <c r="H239" i="4"/>
  <c r="H240" i="4"/>
  <c r="H241" i="4"/>
  <c r="H243" i="4"/>
  <c r="H89" i="6"/>
  <c r="H95" i="5"/>
  <c r="H229" i="4"/>
  <c r="H202" i="4"/>
  <c r="R188" i="3"/>
  <c r="K120" i="5"/>
  <c r="K66" i="5"/>
  <c r="K121" i="7" s="1"/>
  <c r="P4" i="3"/>
  <c r="P97" i="3" s="1"/>
  <c r="P116" i="6"/>
  <c r="P62" i="6"/>
  <c r="P204" i="7" s="1"/>
  <c r="P89" i="6"/>
  <c r="L114" i="6"/>
  <c r="L60" i="6"/>
  <c r="L202" i="7" s="1"/>
  <c r="C187" i="4"/>
  <c r="H171" i="4"/>
  <c r="F216" i="4"/>
  <c r="L116" i="6"/>
  <c r="L62" i="6"/>
  <c r="L204" i="7" s="1"/>
  <c r="L89" i="6"/>
  <c r="K121" i="6"/>
  <c r="K67" i="6"/>
  <c r="K209" i="7" s="1"/>
  <c r="K94" i="6"/>
  <c r="I33" i="4"/>
  <c r="R4" i="3"/>
  <c r="R97" i="3" s="1"/>
  <c r="D47" i="4"/>
  <c r="O132" i="5"/>
  <c r="O78" i="5"/>
  <c r="O133" i="7" s="1"/>
  <c r="O105" i="5"/>
  <c r="O125" i="5"/>
  <c r="O71" i="5"/>
  <c r="O126" i="7" s="1"/>
  <c r="O98" i="5"/>
  <c r="N224" i="4"/>
  <c r="G238" i="4"/>
  <c r="S141" i="4"/>
  <c r="S195" i="4"/>
  <c r="S222" i="4"/>
  <c r="S223" i="4"/>
  <c r="S234" i="4"/>
  <c r="S232" i="4"/>
  <c r="S236" i="4"/>
  <c r="S235" i="4"/>
  <c r="S229" i="4"/>
  <c r="S230" i="4"/>
  <c r="S227" i="4"/>
  <c r="S228" i="4"/>
  <c r="S225" i="4"/>
  <c r="S233" i="4"/>
  <c r="F214" i="4"/>
  <c r="F107" i="5"/>
  <c r="T201" i="4"/>
  <c r="H128" i="6"/>
  <c r="H74" i="6"/>
  <c r="H216" i="7" s="1"/>
  <c r="H101" i="6"/>
  <c r="M90" i="6"/>
  <c r="T7" i="4"/>
  <c r="C24" i="4"/>
  <c r="L7" i="4"/>
  <c r="E25" i="4"/>
  <c r="K9" i="4"/>
  <c r="K12" i="4"/>
  <c r="E23" i="4"/>
  <c r="H10" i="4"/>
  <c r="M8" i="4"/>
  <c r="M6" i="4" s="1"/>
  <c r="K4" i="5"/>
  <c r="K47" i="6" s="1"/>
  <c r="D22" i="4"/>
  <c r="M4" i="4" l="1"/>
  <c r="M143" i="4"/>
  <c r="M197" i="4"/>
  <c r="M224" i="4"/>
  <c r="M7" i="3"/>
  <c r="B188" i="4"/>
  <c r="L198" i="4"/>
  <c r="G128" i="6"/>
  <c r="G74" i="6"/>
  <c r="G216" i="7" s="1"/>
  <c r="G101" i="6"/>
  <c r="T80" i="5"/>
  <c r="T135" i="7" s="1"/>
  <c r="T134" i="5"/>
  <c r="T107" i="5"/>
  <c r="J121" i="6"/>
  <c r="J67" i="6"/>
  <c r="J209" i="7" s="1"/>
  <c r="J94" i="6"/>
  <c r="O4" i="3"/>
  <c r="O97" i="3" s="1"/>
  <c r="M62" i="5"/>
  <c r="M117" i="7" s="1"/>
  <c r="M116" i="5"/>
  <c r="M36" i="3"/>
  <c r="M89" i="5"/>
  <c r="S4" i="3"/>
  <c r="S97" i="3" s="1"/>
  <c r="F174" i="4"/>
  <c r="H201" i="4"/>
  <c r="K96" i="5"/>
  <c r="K203" i="4"/>
  <c r="N125" i="5"/>
  <c r="N71" i="5"/>
  <c r="N126" i="7" s="1"/>
  <c r="N98" i="5"/>
  <c r="M78" i="5"/>
  <c r="M133" i="7" s="1"/>
  <c r="M132" i="5"/>
  <c r="M105" i="5"/>
  <c r="K123" i="5"/>
  <c r="K69" i="5"/>
  <c r="K124" i="7" s="1"/>
  <c r="F134" i="5"/>
  <c r="F80" i="5"/>
  <c r="F135" i="7" s="1"/>
  <c r="C189" i="4"/>
  <c r="F173" i="4"/>
  <c r="K93" i="5"/>
  <c r="K200" i="4"/>
  <c r="K87" i="6"/>
  <c r="O188" i="3"/>
  <c r="Q116" i="6"/>
  <c r="Q62" i="6"/>
  <c r="Q204" i="7" s="1"/>
  <c r="Q89" i="6"/>
  <c r="K122" i="6"/>
  <c r="K68" i="6"/>
  <c r="K210" i="7" s="1"/>
  <c r="K95" i="6"/>
  <c r="E216" i="4"/>
  <c r="D184" i="4"/>
  <c r="T127" i="5"/>
  <c r="T73" i="5"/>
  <c r="T128" i="7" s="1"/>
  <c r="T100" i="5"/>
  <c r="I66" i="5"/>
  <c r="I121" i="7" s="1"/>
  <c r="I120" i="5"/>
  <c r="C47" i="4"/>
  <c r="D213" i="4"/>
  <c r="S126" i="6"/>
  <c r="S72" i="6"/>
  <c r="S214" i="7" s="1"/>
  <c r="S99" i="6"/>
  <c r="R126" i="6"/>
  <c r="R72" i="6"/>
  <c r="R214" i="7" s="1"/>
  <c r="R99" i="6"/>
  <c r="H136" i="5"/>
  <c r="H82" i="5"/>
  <c r="H137" i="7" s="1"/>
  <c r="H109" i="5"/>
  <c r="G202" i="4"/>
  <c r="G89" i="6"/>
  <c r="G95" i="5"/>
  <c r="G229" i="4"/>
  <c r="M125" i="5"/>
  <c r="M71" i="5"/>
  <c r="M126" i="7" s="1"/>
  <c r="M98" i="5"/>
  <c r="N62" i="5"/>
  <c r="N117" i="7" s="1"/>
  <c r="N116" i="5"/>
  <c r="N36" i="3"/>
  <c r="N89" i="5"/>
  <c r="I130" i="6"/>
  <c r="I157" i="6"/>
  <c r="I76" i="6"/>
  <c r="I103" i="6"/>
  <c r="L117" i="6"/>
  <c r="L144" i="6"/>
  <c r="L63" i="6"/>
  <c r="I73" i="5"/>
  <c r="I128" i="7" s="1"/>
  <c r="I127" i="5"/>
  <c r="I100" i="5"/>
  <c r="H17" i="3"/>
  <c r="H110" i="3" s="1"/>
  <c r="N132" i="5"/>
  <c r="N78" i="5"/>
  <c r="N133" i="7" s="1"/>
  <c r="N105" i="5"/>
  <c r="B187" i="4"/>
  <c r="F11" i="4"/>
  <c r="F175" i="4"/>
  <c r="F256" i="4"/>
  <c r="F62" i="6"/>
  <c r="M199" i="4"/>
  <c r="M226" i="4"/>
  <c r="E107" i="5"/>
  <c r="E214" i="4"/>
  <c r="C215" i="4"/>
  <c r="K116" i="6"/>
  <c r="K62" i="6"/>
  <c r="K204" i="7" s="1"/>
  <c r="K89" i="6"/>
  <c r="R103" i="3"/>
  <c r="R101" i="3"/>
  <c r="R96" i="3"/>
  <c r="R104" i="3"/>
  <c r="R106" i="3"/>
  <c r="R107" i="3"/>
  <c r="R105" i="3"/>
  <c r="R102" i="3"/>
  <c r="R108" i="3"/>
  <c r="R98" i="3"/>
  <c r="R100" i="3"/>
  <c r="R99" i="3"/>
  <c r="K114" i="6"/>
  <c r="K60" i="6"/>
  <c r="K202" i="7" s="1"/>
  <c r="G135" i="5"/>
  <c r="G81" i="5"/>
  <c r="G136" i="7" s="1"/>
  <c r="G108" i="5"/>
  <c r="G17" i="3"/>
  <c r="G110" i="3" s="1"/>
  <c r="O110" i="6"/>
  <c r="O66" i="3"/>
  <c r="O56" i="6"/>
  <c r="O198" i="7" s="1"/>
  <c r="O83" i="6"/>
  <c r="V180" i="4"/>
  <c r="P105" i="3"/>
  <c r="P104" i="3"/>
  <c r="P101" i="3"/>
  <c r="P106" i="3"/>
  <c r="P96" i="3"/>
  <c r="P107" i="3"/>
  <c r="P103" i="3"/>
  <c r="P102" i="3"/>
  <c r="P108" i="3"/>
  <c r="P98" i="3"/>
  <c r="P100" i="3"/>
  <c r="P99" i="3"/>
  <c r="U109" i="3"/>
  <c r="U117" i="3"/>
  <c r="U120" i="3"/>
  <c r="U115" i="3"/>
  <c r="U119" i="3"/>
  <c r="U114" i="3"/>
  <c r="U118" i="3"/>
  <c r="U113" i="3"/>
  <c r="U116" i="3"/>
  <c r="U112" i="3"/>
  <c r="U111" i="3"/>
  <c r="L90" i="6"/>
  <c r="N4" i="3"/>
  <c r="N97" i="3" s="1"/>
  <c r="B47" i="4"/>
  <c r="I114" i="3"/>
  <c r="I119" i="3"/>
  <c r="I115" i="3"/>
  <c r="I109" i="3"/>
  <c r="I118" i="3"/>
  <c r="I116" i="3"/>
  <c r="I113" i="3"/>
  <c r="I120" i="3"/>
  <c r="I117" i="3"/>
  <c r="I112" i="3"/>
  <c r="I111" i="3"/>
  <c r="E20" i="4"/>
  <c r="B189" i="4"/>
  <c r="R119" i="6"/>
  <c r="R65" i="6"/>
  <c r="R207" i="7" s="1"/>
  <c r="R92" i="6"/>
  <c r="G171" i="4"/>
  <c r="T198" i="4"/>
  <c r="R115" i="6"/>
  <c r="R61" i="6"/>
  <c r="R203" i="7" s="1"/>
  <c r="R88" i="6"/>
  <c r="I170" i="4"/>
  <c r="I31" i="4"/>
  <c r="I251" i="4" s="1"/>
  <c r="V123" i="6"/>
  <c r="V150" i="6"/>
  <c r="V69" i="6"/>
  <c r="J120" i="5"/>
  <c r="J66" i="5"/>
  <c r="J121" i="7" s="1"/>
  <c r="J121" i="5"/>
  <c r="J67" i="5"/>
  <c r="J122" i="7" s="1"/>
  <c r="J94" i="5"/>
  <c r="R218" i="3"/>
  <c r="D23" i="4"/>
  <c r="D25" i="4"/>
  <c r="G10" i="4"/>
  <c r="K7" i="4"/>
  <c r="I4" i="5"/>
  <c r="I47" i="6" s="1"/>
  <c r="B22" i="4"/>
  <c r="L8" i="4"/>
  <c r="T8" i="4"/>
  <c r="C22" i="4"/>
  <c r="N110" i="6" l="1"/>
  <c r="N66" i="3"/>
  <c r="N56" i="6"/>
  <c r="N198" i="7" s="1"/>
  <c r="N83" i="6"/>
  <c r="O119" i="6"/>
  <c r="O65" i="6"/>
  <c r="O207" i="7" s="1"/>
  <c r="O92" i="6"/>
  <c r="E174" i="4"/>
  <c r="U174" i="4"/>
  <c r="T199" i="4"/>
  <c r="L199" i="4"/>
  <c r="R68" i="5"/>
  <c r="R123" i="7" s="1"/>
  <c r="R122" i="5"/>
  <c r="R95" i="5"/>
  <c r="F202" i="4"/>
  <c r="F89" i="6"/>
  <c r="F229" i="4"/>
  <c r="F95" i="5"/>
  <c r="S128" i="5"/>
  <c r="S74" i="5"/>
  <c r="S129" i="7" s="1"/>
  <c r="S101" i="5"/>
  <c r="S135" i="5"/>
  <c r="S81" i="5"/>
  <c r="S136" i="7" s="1"/>
  <c r="S108" i="5"/>
  <c r="P64" i="5"/>
  <c r="P119" i="7" s="1"/>
  <c r="P118" i="5"/>
  <c r="P91" i="5"/>
  <c r="G129" i="6"/>
  <c r="G75" i="6"/>
  <c r="G217" i="7" s="1"/>
  <c r="G102" i="6"/>
  <c r="S119" i="6"/>
  <c r="S65" i="6"/>
  <c r="S207" i="7" s="1"/>
  <c r="S92" i="6"/>
  <c r="U173" i="4"/>
  <c r="E11" i="4"/>
  <c r="E175" i="4"/>
  <c r="E62" i="6"/>
  <c r="E256" i="4"/>
  <c r="D214" i="4"/>
  <c r="B184" i="4"/>
  <c r="G109" i="3"/>
  <c r="G117" i="3"/>
  <c r="G118" i="3"/>
  <c r="G115" i="3"/>
  <c r="G114" i="3"/>
  <c r="G113" i="3"/>
  <c r="G116" i="3"/>
  <c r="G119" i="3"/>
  <c r="G120" i="3"/>
  <c r="G112" i="3"/>
  <c r="G111" i="3"/>
  <c r="H172" i="4"/>
  <c r="H33" i="4"/>
  <c r="N188" i="3"/>
  <c r="J122" i="5"/>
  <c r="J68" i="5"/>
  <c r="J123" i="7" s="1"/>
  <c r="J95" i="5"/>
  <c r="M5" i="3"/>
  <c r="E173" i="4"/>
  <c r="F171" i="4"/>
  <c r="J128" i="5"/>
  <c r="J74" i="5"/>
  <c r="J129" i="7" s="1"/>
  <c r="J101" i="5"/>
  <c r="D20" i="4"/>
  <c r="O105" i="3"/>
  <c r="O108" i="3"/>
  <c r="O107" i="3"/>
  <c r="O104" i="3"/>
  <c r="O106" i="3"/>
  <c r="O96" i="3"/>
  <c r="O101" i="3"/>
  <c r="O103" i="3"/>
  <c r="O102" i="3"/>
  <c r="O98" i="3"/>
  <c r="O100" i="3"/>
  <c r="O99" i="3"/>
  <c r="C213" i="4"/>
  <c r="P112" i="6"/>
  <c r="P58" i="6"/>
  <c r="P200" i="7" s="1"/>
  <c r="P85" i="6"/>
  <c r="G172" i="4"/>
  <c r="I168" i="4"/>
  <c r="I30" i="4"/>
  <c r="I249" i="4"/>
  <c r="I250" i="4"/>
  <c r="I259" i="4"/>
  <c r="I257" i="4"/>
  <c r="I261" i="4"/>
  <c r="I262" i="4"/>
  <c r="I260" i="4"/>
  <c r="I263" i="4"/>
  <c r="I258" i="4"/>
  <c r="I255" i="4"/>
  <c r="I254" i="4"/>
  <c r="I252" i="4"/>
  <c r="I253" i="4"/>
  <c r="K117" i="6"/>
  <c r="K144" i="6"/>
  <c r="K63" i="6"/>
  <c r="H118" i="3"/>
  <c r="H114" i="3"/>
  <c r="H115" i="3"/>
  <c r="H120" i="3"/>
  <c r="H109" i="3"/>
  <c r="H119" i="3"/>
  <c r="H117" i="3"/>
  <c r="H116" i="3"/>
  <c r="H113" i="3"/>
  <c r="H112" i="3"/>
  <c r="H111" i="3"/>
  <c r="J115" i="6"/>
  <c r="J61" i="6"/>
  <c r="J203" i="7" s="1"/>
  <c r="J88" i="6"/>
  <c r="T121" i="6"/>
  <c r="T67" i="6"/>
  <c r="T209" i="7" s="1"/>
  <c r="T94" i="6"/>
  <c r="T128" i="6"/>
  <c r="T74" i="6"/>
  <c r="T216" i="7" s="1"/>
  <c r="T101" i="6"/>
  <c r="O126" i="6"/>
  <c r="O72" i="6"/>
  <c r="O214" i="7" s="1"/>
  <c r="O99" i="6"/>
  <c r="M110" i="6"/>
  <c r="M66" i="3"/>
  <c r="M56" i="6"/>
  <c r="M198" i="7" s="1"/>
  <c r="M83" i="6"/>
  <c r="B213" i="4"/>
  <c r="E211" i="4"/>
  <c r="E157" i="4"/>
  <c r="E19" i="3"/>
  <c r="T120" i="5"/>
  <c r="T66" i="5"/>
  <c r="T121" i="7" s="1"/>
  <c r="T93" i="5"/>
  <c r="I67" i="5"/>
  <c r="I122" i="7" s="1"/>
  <c r="I121" i="5"/>
  <c r="I94" i="5"/>
  <c r="C184" i="4"/>
  <c r="R128" i="5"/>
  <c r="R74" i="5"/>
  <c r="R129" i="7" s="1"/>
  <c r="R101" i="5"/>
  <c r="I121" i="6"/>
  <c r="I67" i="6"/>
  <c r="I209" i="7" s="1"/>
  <c r="I94" i="6"/>
  <c r="Q112" i="6"/>
  <c r="Q58" i="6"/>
  <c r="Q200" i="7" s="1"/>
  <c r="Q85" i="6"/>
  <c r="U175" i="4"/>
  <c r="G33" i="4"/>
  <c r="N105" i="3"/>
  <c r="N103" i="3"/>
  <c r="N108" i="3"/>
  <c r="N104" i="3"/>
  <c r="N106" i="3"/>
  <c r="N96" i="3"/>
  <c r="N107" i="3"/>
  <c r="N102" i="3"/>
  <c r="N101" i="3"/>
  <c r="N98" i="3"/>
  <c r="N100" i="3"/>
  <c r="N99" i="3"/>
  <c r="J114" i="6"/>
  <c r="J60" i="6"/>
  <c r="J202" i="7" s="1"/>
  <c r="K90" i="6"/>
  <c r="F81" i="5"/>
  <c r="F136" i="7" s="1"/>
  <c r="F135" i="5"/>
  <c r="F108" i="5"/>
  <c r="D216" i="4"/>
  <c r="T6" i="4"/>
  <c r="G82" i="5"/>
  <c r="G137" i="7" s="1"/>
  <c r="G136" i="5"/>
  <c r="G109" i="5"/>
  <c r="M188" i="3"/>
  <c r="L6" i="4"/>
  <c r="H157" i="6"/>
  <c r="H130" i="6"/>
  <c r="H76" i="6"/>
  <c r="H103" i="6"/>
  <c r="K198" i="4"/>
  <c r="G201" i="4"/>
  <c r="Q64" i="5"/>
  <c r="Q119" i="7" s="1"/>
  <c r="Q118" i="5"/>
  <c r="Q91" i="5"/>
  <c r="O218" i="3"/>
  <c r="F128" i="6"/>
  <c r="F74" i="6"/>
  <c r="F216" i="7" s="1"/>
  <c r="F101" i="6"/>
  <c r="E80" i="5"/>
  <c r="E135" i="7" s="1"/>
  <c r="E134" i="5"/>
  <c r="S103" i="3"/>
  <c r="S105" i="3"/>
  <c r="S101" i="3"/>
  <c r="S108" i="3"/>
  <c r="S107" i="3"/>
  <c r="S96" i="3"/>
  <c r="S102" i="3"/>
  <c r="S106" i="3"/>
  <c r="S104" i="3"/>
  <c r="S98" i="3"/>
  <c r="S100" i="3"/>
  <c r="S99" i="3"/>
  <c r="M231" i="4"/>
  <c r="M195" i="4"/>
  <c r="M222" i="4"/>
  <c r="M141" i="4"/>
  <c r="M223" i="4"/>
  <c r="M235" i="4"/>
  <c r="M234" i="4"/>
  <c r="M232" i="4"/>
  <c r="M236" i="4"/>
  <c r="M233" i="4"/>
  <c r="M229" i="4"/>
  <c r="M228" i="4"/>
  <c r="M230" i="4"/>
  <c r="M227" i="4"/>
  <c r="M225" i="4"/>
  <c r="J12" i="4"/>
  <c r="C23" i="4"/>
  <c r="B23" i="4"/>
  <c r="J9" i="4"/>
  <c r="B25" i="4"/>
  <c r="B24" i="4"/>
  <c r="F10" i="4"/>
  <c r="H9" i="4"/>
  <c r="C25" i="4"/>
  <c r="I9" i="4"/>
  <c r="J4" i="5"/>
  <c r="J47" i="6" s="1"/>
  <c r="F33" i="4"/>
  <c r="K8" i="4"/>
  <c r="H4" i="5"/>
  <c r="H47" i="6" s="1"/>
  <c r="B20" i="4" l="1"/>
  <c r="F170" i="4"/>
  <c r="F31" i="4"/>
  <c r="B211" i="4"/>
  <c r="B157" i="4"/>
  <c r="B19" i="3"/>
  <c r="K199" i="4"/>
  <c r="V174" i="4"/>
  <c r="L110" i="6"/>
  <c r="L66" i="3"/>
  <c r="L56" i="6"/>
  <c r="L198" i="7" s="1"/>
  <c r="L83" i="6"/>
  <c r="I200" i="4"/>
  <c r="I93" i="5"/>
  <c r="I87" i="6"/>
  <c r="B216" i="4"/>
  <c r="K6" i="4"/>
  <c r="G130" i="6"/>
  <c r="G157" i="6"/>
  <c r="G76" i="6"/>
  <c r="G103" i="6"/>
  <c r="T143" i="4"/>
  <c r="T197" i="4"/>
  <c r="T7" i="3"/>
  <c r="T4" i="4"/>
  <c r="J116" i="6"/>
  <c r="J62" i="6"/>
  <c r="J204" i="7" s="1"/>
  <c r="J89" i="6"/>
  <c r="R116" i="6"/>
  <c r="R62" i="6"/>
  <c r="R204" i="7" s="1"/>
  <c r="R89" i="6"/>
  <c r="H170" i="4"/>
  <c r="H31" i="4"/>
  <c r="H251" i="4" s="1"/>
  <c r="L78" i="5"/>
  <c r="L133" i="7" s="1"/>
  <c r="L132" i="5"/>
  <c r="L105" i="5"/>
  <c r="U171" i="4"/>
  <c r="M119" i="6"/>
  <c r="M65" i="6"/>
  <c r="M207" i="7" s="1"/>
  <c r="M92" i="6"/>
  <c r="J90" i="6"/>
  <c r="C216" i="4"/>
  <c r="J93" i="5"/>
  <c r="J200" i="4"/>
  <c r="J87" i="6"/>
  <c r="I115" i="6"/>
  <c r="I61" i="6"/>
  <c r="I203" i="7" s="1"/>
  <c r="I88" i="6"/>
  <c r="L116" i="5"/>
  <c r="L62" i="5"/>
  <c r="L117" i="7" s="1"/>
  <c r="L36" i="3"/>
  <c r="L89" i="5"/>
  <c r="M126" i="6"/>
  <c r="M72" i="6"/>
  <c r="M214" i="7" s="1"/>
  <c r="M99" i="6"/>
  <c r="D11" i="4"/>
  <c r="D175" i="4"/>
  <c r="D62" i="6"/>
  <c r="D256" i="4"/>
  <c r="H200" i="4"/>
  <c r="E128" i="6"/>
  <c r="E74" i="6"/>
  <c r="E216" i="7" s="1"/>
  <c r="E101" i="6"/>
  <c r="D80" i="5"/>
  <c r="D135" i="7" s="1"/>
  <c r="D134" i="5"/>
  <c r="S122" i="6"/>
  <c r="S68" i="6"/>
  <c r="S210" i="7" s="1"/>
  <c r="S95" i="6"/>
  <c r="D173" i="4"/>
  <c r="C214" i="4"/>
  <c r="L125" i="5"/>
  <c r="L71" i="5"/>
  <c r="L126" i="7" s="1"/>
  <c r="L98" i="5"/>
  <c r="T125" i="5"/>
  <c r="T71" i="5"/>
  <c r="T126" i="7" s="1"/>
  <c r="T98" i="5"/>
  <c r="E81" i="5"/>
  <c r="E136" i="7" s="1"/>
  <c r="E135" i="5"/>
  <c r="E108" i="5"/>
  <c r="R122" i="6"/>
  <c r="R68" i="6"/>
  <c r="R210" i="7" s="1"/>
  <c r="R95" i="6"/>
  <c r="F129" i="6"/>
  <c r="F75" i="6"/>
  <c r="F217" i="7" s="1"/>
  <c r="F102" i="6"/>
  <c r="D174" i="4"/>
  <c r="N126" i="6"/>
  <c r="N72" i="6"/>
  <c r="N214" i="7" s="1"/>
  <c r="N99" i="6"/>
  <c r="F201" i="4"/>
  <c r="I114" i="6"/>
  <c r="I60" i="6"/>
  <c r="I202" i="7" s="1"/>
  <c r="T116" i="5"/>
  <c r="T62" i="5"/>
  <c r="T117" i="7" s="1"/>
  <c r="T36" i="3"/>
  <c r="T89" i="5"/>
  <c r="H67" i="5"/>
  <c r="H122" i="7" s="1"/>
  <c r="H121" i="5"/>
  <c r="H94" i="5"/>
  <c r="M4" i="3"/>
  <c r="M97" i="3" s="1"/>
  <c r="U176" i="4"/>
  <c r="B215" i="4"/>
  <c r="B214" i="4"/>
  <c r="F82" i="5"/>
  <c r="F137" i="7" s="1"/>
  <c r="F136" i="5"/>
  <c r="F109" i="5"/>
  <c r="J122" i="6"/>
  <c r="J68" i="6"/>
  <c r="J210" i="7" s="1"/>
  <c r="J95" i="6"/>
  <c r="C20" i="4"/>
  <c r="T129" i="6"/>
  <c r="T75" i="6"/>
  <c r="T217" i="7" s="1"/>
  <c r="T102" i="6"/>
  <c r="F172" i="4"/>
  <c r="F253" i="4"/>
  <c r="B181" i="4"/>
  <c r="L143" i="4"/>
  <c r="L197" i="4"/>
  <c r="L7" i="3"/>
  <c r="L4" i="4"/>
  <c r="S129" i="6"/>
  <c r="S75" i="6"/>
  <c r="S217" i="7" s="1"/>
  <c r="S102" i="6"/>
  <c r="M218" i="3"/>
  <c r="D107" i="5"/>
  <c r="E95" i="5"/>
  <c r="E229" i="4"/>
  <c r="E89" i="6"/>
  <c r="E202" i="4"/>
  <c r="E171" i="4"/>
  <c r="N119" i="6"/>
  <c r="N65" i="6"/>
  <c r="N207" i="7" s="1"/>
  <c r="N92" i="6"/>
  <c r="J96" i="5"/>
  <c r="J203" i="4"/>
  <c r="T81" i="5"/>
  <c r="T136" i="7" s="1"/>
  <c r="T135" i="5"/>
  <c r="T108" i="5"/>
  <c r="T78" i="5"/>
  <c r="T133" i="7" s="1"/>
  <c r="T132" i="5"/>
  <c r="T105" i="5"/>
  <c r="J69" i="5"/>
  <c r="J124" i="7" s="1"/>
  <c r="J123" i="5"/>
  <c r="I128" i="5"/>
  <c r="I74" i="5"/>
  <c r="I129" i="7" s="1"/>
  <c r="I101" i="5"/>
  <c r="G170" i="4"/>
  <c r="G31" i="4"/>
  <c r="S122" i="5"/>
  <c r="S68" i="5"/>
  <c r="S123" i="7" s="1"/>
  <c r="S95" i="5"/>
  <c r="T114" i="6"/>
  <c r="T60" i="6"/>
  <c r="T202" i="7" s="1"/>
  <c r="T87" i="6"/>
  <c r="D135" i="5"/>
  <c r="D81" i="5"/>
  <c r="D136" i="7" s="1"/>
  <c r="D108" i="5"/>
  <c r="D211" i="4"/>
  <c r="D157" i="4"/>
  <c r="D19" i="3"/>
  <c r="N218" i="3"/>
  <c r="E10" i="4"/>
  <c r="G9" i="4"/>
  <c r="E33" i="4"/>
  <c r="J7" i="4"/>
  <c r="G4" i="5"/>
  <c r="G47" i="6" s="1"/>
  <c r="H7" i="4"/>
  <c r="I7" i="4"/>
  <c r="E31" i="4" l="1"/>
  <c r="E251" i="4" s="1"/>
  <c r="E170" i="4"/>
  <c r="G200" i="4"/>
  <c r="R118" i="5"/>
  <c r="R64" i="5"/>
  <c r="R119" i="7" s="1"/>
  <c r="R91" i="5"/>
  <c r="T188" i="3"/>
  <c r="D128" i="6"/>
  <c r="D74" i="6"/>
  <c r="D216" i="7" s="1"/>
  <c r="D101" i="6"/>
  <c r="B179" i="4"/>
  <c r="B40" i="4"/>
  <c r="K78" i="5"/>
  <c r="K133" i="7" s="1"/>
  <c r="K132" i="5"/>
  <c r="K105" i="5"/>
  <c r="M105" i="3"/>
  <c r="M102" i="3"/>
  <c r="M107" i="3"/>
  <c r="M104" i="3"/>
  <c r="M108" i="3"/>
  <c r="M101" i="3"/>
  <c r="M96" i="3"/>
  <c r="M103" i="3"/>
  <c r="M106" i="3"/>
  <c r="M98" i="3"/>
  <c r="M100" i="3"/>
  <c r="M99" i="3"/>
  <c r="L188" i="3"/>
  <c r="H74" i="5"/>
  <c r="H129" i="7" s="1"/>
  <c r="H128" i="5"/>
  <c r="H101" i="5"/>
  <c r="E129" i="6"/>
  <c r="E75" i="6"/>
  <c r="E217" i="7" s="1"/>
  <c r="E102" i="6"/>
  <c r="H122" i="5"/>
  <c r="H68" i="5"/>
  <c r="H149" i="5"/>
  <c r="T224" i="4"/>
  <c r="T141" i="4"/>
  <c r="T195" i="4"/>
  <c r="T222" i="4"/>
  <c r="T232" i="4"/>
  <c r="T234" i="4"/>
  <c r="T236" i="4"/>
  <c r="T223" i="4"/>
  <c r="T235" i="4"/>
  <c r="T233" i="4"/>
  <c r="T229" i="4"/>
  <c r="T230" i="4"/>
  <c r="T228" i="4"/>
  <c r="T227" i="4"/>
  <c r="T231" i="4"/>
  <c r="T225" i="4"/>
  <c r="T226" i="4"/>
  <c r="U172" i="4"/>
  <c r="J198" i="4"/>
  <c r="C211" i="4"/>
  <c r="C157" i="4"/>
  <c r="C19" i="3"/>
  <c r="T5" i="3"/>
  <c r="L218" i="3"/>
  <c r="F249" i="4"/>
  <c r="F168" i="4"/>
  <c r="F250" i="4"/>
  <c r="F259" i="4"/>
  <c r="F257" i="4"/>
  <c r="F261" i="4"/>
  <c r="F262" i="4"/>
  <c r="F263" i="4"/>
  <c r="F260" i="4"/>
  <c r="F258" i="4"/>
  <c r="F254" i="4"/>
  <c r="F255" i="4"/>
  <c r="F252" i="4"/>
  <c r="H198" i="4"/>
  <c r="R112" i="6"/>
  <c r="R58" i="6"/>
  <c r="R200" i="7" s="1"/>
  <c r="R85" i="6"/>
  <c r="E201" i="4"/>
  <c r="C80" i="5"/>
  <c r="C135" i="7" s="1"/>
  <c r="C134" i="5"/>
  <c r="C107" i="5"/>
  <c r="H115" i="6"/>
  <c r="H61" i="6"/>
  <c r="H203" i="7" s="1"/>
  <c r="H88" i="6"/>
  <c r="C173" i="4"/>
  <c r="I198" i="4"/>
  <c r="C174" i="4"/>
  <c r="D171" i="4"/>
  <c r="T110" i="6"/>
  <c r="T66" i="3"/>
  <c r="T56" i="6"/>
  <c r="T198" i="7" s="1"/>
  <c r="T83" i="6"/>
  <c r="L195" i="4"/>
  <c r="L141" i="4"/>
  <c r="L222" i="4"/>
  <c r="L223" i="4"/>
  <c r="L235" i="4"/>
  <c r="L232" i="4"/>
  <c r="L234" i="4"/>
  <c r="L231" i="4"/>
  <c r="L233" i="4"/>
  <c r="L236" i="4"/>
  <c r="L229" i="4"/>
  <c r="L230" i="4"/>
  <c r="L227" i="4"/>
  <c r="L228" i="4"/>
  <c r="L225" i="4"/>
  <c r="L226" i="4"/>
  <c r="K125" i="5"/>
  <c r="K71" i="5"/>
  <c r="K126" i="7" s="1"/>
  <c r="K98" i="5"/>
  <c r="C81" i="5"/>
  <c r="C136" i="7" s="1"/>
  <c r="C135" i="5"/>
  <c r="C108" i="5"/>
  <c r="K116" i="5"/>
  <c r="K62" i="5"/>
  <c r="K117" i="7" s="1"/>
  <c r="K36" i="3"/>
  <c r="K89" i="5"/>
  <c r="D202" i="4"/>
  <c r="D89" i="6"/>
  <c r="D95" i="5"/>
  <c r="D229" i="4"/>
  <c r="I122" i="6"/>
  <c r="I68" i="6"/>
  <c r="I210" i="7" s="1"/>
  <c r="I95" i="6"/>
  <c r="G67" i="5"/>
  <c r="G122" i="7" s="1"/>
  <c r="G121" i="5"/>
  <c r="G94" i="5"/>
  <c r="C62" i="6"/>
  <c r="C11" i="4"/>
  <c r="C175" i="4"/>
  <c r="C256" i="4"/>
  <c r="G251" i="4"/>
  <c r="G30" i="4"/>
  <c r="G249" i="4"/>
  <c r="G168" i="4"/>
  <c r="G250" i="4"/>
  <c r="G259" i="4"/>
  <c r="G257" i="4"/>
  <c r="G261" i="4"/>
  <c r="G262" i="4"/>
  <c r="G263" i="4"/>
  <c r="G260" i="4"/>
  <c r="G258" i="4"/>
  <c r="G255" i="4"/>
  <c r="G254" i="4"/>
  <c r="G252" i="4"/>
  <c r="G253" i="4"/>
  <c r="L5" i="3"/>
  <c r="F130" i="6"/>
  <c r="F157" i="6"/>
  <c r="F76" i="6"/>
  <c r="F103" i="6"/>
  <c r="I122" i="5"/>
  <c r="I149" i="5"/>
  <c r="I68" i="5"/>
  <c r="J144" i="6"/>
  <c r="J117" i="6"/>
  <c r="J63" i="6"/>
  <c r="K197" i="4"/>
  <c r="K143" i="4"/>
  <c r="K7" i="3"/>
  <c r="K4" i="4"/>
  <c r="K224" i="4" s="1"/>
  <c r="F251" i="4"/>
  <c r="E172" i="4"/>
  <c r="E253" i="4"/>
  <c r="L224" i="4"/>
  <c r="D129" i="6"/>
  <c r="D75" i="6"/>
  <c r="D217" i="7" s="1"/>
  <c r="D102" i="6"/>
  <c r="E136" i="5"/>
  <c r="E82" i="5"/>
  <c r="E137" i="7" s="1"/>
  <c r="E109" i="5"/>
  <c r="U33" i="4"/>
  <c r="S116" i="6"/>
  <c r="S62" i="6"/>
  <c r="S204" i="7" s="1"/>
  <c r="S89" i="6"/>
  <c r="H258" i="4"/>
  <c r="H168" i="4"/>
  <c r="H249" i="4"/>
  <c r="H30" i="4"/>
  <c r="H250" i="4"/>
  <c r="H259" i="4"/>
  <c r="H257" i="4"/>
  <c r="H262" i="4"/>
  <c r="H261" i="4"/>
  <c r="H263" i="4"/>
  <c r="H260" i="4"/>
  <c r="H255" i="4"/>
  <c r="H254" i="4"/>
  <c r="H252" i="4"/>
  <c r="H253" i="4"/>
  <c r="H8" i="4"/>
  <c r="H6" i="4" s="1"/>
  <c r="J8" i="4"/>
  <c r="J6" i="4" s="1"/>
  <c r="B17" i="4"/>
  <c r="G7" i="4"/>
  <c r="F9" i="4"/>
  <c r="I8" i="4"/>
  <c r="D10" i="4"/>
  <c r="F4" i="5"/>
  <c r="F47" i="6" s="1"/>
  <c r="H143" i="4" l="1"/>
  <c r="H197" i="4"/>
  <c r="H7" i="3"/>
  <c r="H4" i="4"/>
  <c r="J197" i="4"/>
  <c r="J143" i="4"/>
  <c r="J7" i="3"/>
  <c r="J4" i="4"/>
  <c r="J226" i="4" s="1"/>
  <c r="C171" i="4"/>
  <c r="I199" i="4"/>
  <c r="U170" i="4"/>
  <c r="K5" i="3"/>
  <c r="L4" i="3"/>
  <c r="G115" i="6"/>
  <c r="G61" i="6"/>
  <c r="G203" i="7" s="1"/>
  <c r="G88" i="6"/>
  <c r="T67" i="5"/>
  <c r="T122" i="7" s="1"/>
  <c r="T121" i="5"/>
  <c r="T94" i="5"/>
  <c r="O118" i="5"/>
  <c r="O64" i="5"/>
  <c r="O119" i="7" s="1"/>
  <c r="O91" i="5"/>
  <c r="O112" i="6"/>
  <c r="O58" i="6"/>
  <c r="O200" i="7" s="1"/>
  <c r="O85" i="6"/>
  <c r="V178" i="4"/>
  <c r="I6" i="4"/>
  <c r="B135" i="5"/>
  <c r="B81" i="5"/>
  <c r="B136" i="7" s="1"/>
  <c r="B108" i="5"/>
  <c r="H122" i="6"/>
  <c r="H68" i="6"/>
  <c r="H210" i="7" s="1"/>
  <c r="H95" i="6"/>
  <c r="T126" i="6"/>
  <c r="T72" i="6"/>
  <c r="T214" i="7" s="1"/>
  <c r="T99" i="6"/>
  <c r="L126" i="6"/>
  <c r="L72" i="6"/>
  <c r="L214" i="7" s="1"/>
  <c r="L99" i="6"/>
  <c r="D172" i="4"/>
  <c r="F200" i="4"/>
  <c r="H199" i="4"/>
  <c r="H226" i="4"/>
  <c r="V185" i="4"/>
  <c r="C128" i="6"/>
  <c r="C74" i="6"/>
  <c r="C216" i="7" s="1"/>
  <c r="C101" i="6"/>
  <c r="S112" i="6"/>
  <c r="S58" i="6"/>
  <c r="S200" i="7" s="1"/>
  <c r="S85" i="6"/>
  <c r="B11" i="4"/>
  <c r="B175" i="4"/>
  <c r="B62" i="6"/>
  <c r="B256" i="4"/>
  <c r="J125" i="5"/>
  <c r="J71" i="5"/>
  <c r="J126" i="7" s="1"/>
  <c r="J98" i="5"/>
  <c r="J62" i="5"/>
  <c r="J117" i="7" s="1"/>
  <c r="J116" i="5"/>
  <c r="J36" i="3"/>
  <c r="J89" i="5"/>
  <c r="T218" i="3"/>
  <c r="D33" i="4"/>
  <c r="I116" i="6"/>
  <c r="I143" i="6"/>
  <c r="D136" i="5"/>
  <c r="D82" i="5"/>
  <c r="D137" i="7" s="1"/>
  <c r="D109" i="5"/>
  <c r="B173" i="4"/>
  <c r="G198" i="4"/>
  <c r="B208" i="4"/>
  <c r="V189" i="4"/>
  <c r="C229" i="4"/>
  <c r="C202" i="4"/>
  <c r="C89" i="6"/>
  <c r="C95" i="5"/>
  <c r="G122" i="5"/>
  <c r="G68" i="5"/>
  <c r="G149" i="5"/>
  <c r="E130" i="6"/>
  <c r="E157" i="6"/>
  <c r="E76" i="6"/>
  <c r="E103" i="6"/>
  <c r="B177" i="4"/>
  <c r="V187" i="4"/>
  <c r="H127" i="5"/>
  <c r="H73" i="5"/>
  <c r="H128" i="7" s="1"/>
  <c r="H100" i="5"/>
  <c r="K188" i="3"/>
  <c r="S118" i="5"/>
  <c r="S64" i="5"/>
  <c r="S119" i="7" s="1"/>
  <c r="S91" i="5"/>
  <c r="S121" i="5"/>
  <c r="S67" i="5"/>
  <c r="S122" i="7" s="1"/>
  <c r="S94" i="5"/>
  <c r="K110" i="6"/>
  <c r="K66" i="3"/>
  <c r="K56" i="6"/>
  <c r="K198" i="7" s="1"/>
  <c r="K83" i="6"/>
  <c r="H143" i="6"/>
  <c r="H116" i="6"/>
  <c r="C129" i="6"/>
  <c r="C75" i="6"/>
  <c r="C217" i="7" s="1"/>
  <c r="C102" i="6"/>
  <c r="B80" i="5"/>
  <c r="B135" i="7" s="1"/>
  <c r="B134" i="5"/>
  <c r="B107" i="5"/>
  <c r="B129" i="6"/>
  <c r="B75" i="6"/>
  <c r="B217" i="7" s="1"/>
  <c r="B102" i="6"/>
  <c r="B174" i="4"/>
  <c r="D201" i="4"/>
  <c r="J199" i="4"/>
  <c r="K223" i="4"/>
  <c r="K141" i="4"/>
  <c r="K195" i="4"/>
  <c r="K222" i="4"/>
  <c r="K234" i="4"/>
  <c r="K235" i="4"/>
  <c r="K232" i="4"/>
  <c r="K233" i="4"/>
  <c r="K236" i="4"/>
  <c r="K231" i="4"/>
  <c r="K229" i="4"/>
  <c r="K228" i="4"/>
  <c r="K227" i="4"/>
  <c r="K230" i="4"/>
  <c r="K225" i="4"/>
  <c r="K226" i="4"/>
  <c r="T74" i="5"/>
  <c r="T129" i="7" s="1"/>
  <c r="T128" i="5"/>
  <c r="T101" i="5"/>
  <c r="J78" i="5"/>
  <c r="J133" i="7" s="1"/>
  <c r="J132" i="5"/>
  <c r="J105" i="5"/>
  <c r="T4" i="3"/>
  <c r="T97" i="3" s="1"/>
  <c r="G128" i="5"/>
  <c r="G74" i="5"/>
  <c r="G129" i="7" s="1"/>
  <c r="G101" i="5"/>
  <c r="E254" i="4"/>
  <c r="E249" i="4"/>
  <c r="E168" i="4"/>
  <c r="E250" i="4"/>
  <c r="E259" i="4"/>
  <c r="E257" i="4"/>
  <c r="E261" i="4"/>
  <c r="E262" i="4"/>
  <c r="E263" i="4"/>
  <c r="E260" i="4"/>
  <c r="E258" i="4"/>
  <c r="E255" i="4"/>
  <c r="E252" i="4"/>
  <c r="C10" i="4"/>
  <c r="G8" i="4"/>
  <c r="B15" i="4"/>
  <c r="E4" i="5"/>
  <c r="E47" i="6" s="1"/>
  <c r="F7" i="4"/>
  <c r="K119" i="6" l="1"/>
  <c r="K65" i="6"/>
  <c r="K207" i="7" s="1"/>
  <c r="K92" i="6"/>
  <c r="N112" i="6"/>
  <c r="N58" i="6"/>
  <c r="N200" i="7" s="1"/>
  <c r="N85" i="6"/>
  <c r="E121" i="5"/>
  <c r="E67" i="5"/>
  <c r="E122" i="7" s="1"/>
  <c r="E94" i="5"/>
  <c r="H120" i="5"/>
  <c r="H66" i="5"/>
  <c r="H121" i="7" s="1"/>
  <c r="H93" i="5"/>
  <c r="L101" i="3"/>
  <c r="L107" i="3"/>
  <c r="L105" i="3"/>
  <c r="L106" i="3"/>
  <c r="L102" i="3"/>
  <c r="L108" i="3"/>
  <c r="L104" i="3"/>
  <c r="L96" i="3"/>
  <c r="L103" i="3"/>
  <c r="L98" i="3"/>
  <c r="L100" i="3"/>
  <c r="L99" i="3"/>
  <c r="I116" i="5"/>
  <c r="I62" i="5"/>
  <c r="I117" i="7" s="1"/>
  <c r="I36" i="3"/>
  <c r="I89" i="5"/>
  <c r="M112" i="6"/>
  <c r="M58" i="6"/>
  <c r="M200" i="7" s="1"/>
  <c r="M85" i="6"/>
  <c r="I119" i="6"/>
  <c r="I65" i="6"/>
  <c r="I207" i="7" s="1"/>
  <c r="I92" i="6"/>
  <c r="B128" i="6"/>
  <c r="B74" i="6"/>
  <c r="B216" i="7" s="1"/>
  <c r="B101" i="6"/>
  <c r="I143" i="4"/>
  <c r="I197" i="4"/>
  <c r="I7" i="3"/>
  <c r="I4" i="4"/>
  <c r="J231" i="4"/>
  <c r="J141" i="4"/>
  <c r="J195" i="4"/>
  <c r="J222" i="4"/>
  <c r="J223" i="4"/>
  <c r="J232" i="4"/>
  <c r="J234" i="4"/>
  <c r="J235" i="4"/>
  <c r="J236" i="4"/>
  <c r="J233" i="4"/>
  <c r="J229" i="4"/>
  <c r="J228" i="4"/>
  <c r="J227" i="4"/>
  <c r="J230" i="4"/>
  <c r="J225" i="4"/>
  <c r="J110" i="6"/>
  <c r="J66" i="3"/>
  <c r="J56" i="6"/>
  <c r="J198" i="7" s="1"/>
  <c r="J83" i="6"/>
  <c r="L119" i="6"/>
  <c r="L65" i="6"/>
  <c r="L207" i="7" s="1"/>
  <c r="L92" i="6"/>
  <c r="C201" i="4"/>
  <c r="K218" i="3"/>
  <c r="D170" i="4"/>
  <c r="D31" i="4"/>
  <c r="B229" i="4"/>
  <c r="B202" i="4"/>
  <c r="B89" i="6"/>
  <c r="B95" i="5"/>
  <c r="K4" i="3"/>
  <c r="K97" i="3" s="1"/>
  <c r="N64" i="5"/>
  <c r="N119" i="7" s="1"/>
  <c r="N118" i="5"/>
  <c r="N91" i="5"/>
  <c r="J5" i="3"/>
  <c r="H224" i="4"/>
  <c r="H141" i="4"/>
  <c r="H195" i="4"/>
  <c r="H222" i="4"/>
  <c r="H230" i="4"/>
  <c r="H223" i="4"/>
  <c r="H232" i="4"/>
  <c r="H234" i="4"/>
  <c r="H235" i="4"/>
  <c r="H236" i="4"/>
  <c r="H233" i="4"/>
  <c r="H231" i="4"/>
  <c r="H228" i="4"/>
  <c r="H227" i="4"/>
  <c r="H225" i="4"/>
  <c r="B171" i="4"/>
  <c r="I126" i="6"/>
  <c r="I72" i="6"/>
  <c r="I214" i="7" s="1"/>
  <c r="I99" i="6"/>
  <c r="I71" i="5"/>
  <c r="I126" i="7" s="1"/>
  <c r="I125" i="5"/>
  <c r="I98" i="5"/>
  <c r="G127" i="5"/>
  <c r="G73" i="5"/>
  <c r="G128" i="7" s="1"/>
  <c r="G100" i="5"/>
  <c r="F121" i="5"/>
  <c r="F67" i="5"/>
  <c r="F122" i="7" s="1"/>
  <c r="F94" i="5"/>
  <c r="J224" i="4"/>
  <c r="H5" i="3"/>
  <c r="U181" i="4"/>
  <c r="T122" i="6"/>
  <c r="T68" i="6"/>
  <c r="T210" i="7" s="1"/>
  <c r="T95" i="6"/>
  <c r="C136" i="5"/>
  <c r="C82" i="5"/>
  <c r="C137" i="7" s="1"/>
  <c r="C109" i="5"/>
  <c r="F149" i="5"/>
  <c r="F68" i="5"/>
  <c r="F122" i="5"/>
  <c r="K126" i="6"/>
  <c r="K72" i="6"/>
  <c r="K214" i="7" s="1"/>
  <c r="K99" i="6"/>
  <c r="B82" i="5"/>
  <c r="B137" i="7" s="1"/>
  <c r="B136" i="5"/>
  <c r="B109" i="5"/>
  <c r="T115" i="6"/>
  <c r="T61" i="6"/>
  <c r="T203" i="7" s="1"/>
  <c r="T88" i="6"/>
  <c r="G116" i="6"/>
  <c r="G143" i="6"/>
  <c r="M64" i="5"/>
  <c r="M119" i="7" s="1"/>
  <c r="M118" i="5"/>
  <c r="M91" i="5"/>
  <c r="B206" i="4"/>
  <c r="B13" i="4"/>
  <c r="G199" i="4"/>
  <c r="T119" i="6"/>
  <c r="T65" i="6"/>
  <c r="T207" i="7" s="1"/>
  <c r="T92" i="6"/>
  <c r="S115" i="6"/>
  <c r="S61" i="6"/>
  <c r="S203" i="7" s="1"/>
  <c r="S88" i="6"/>
  <c r="D130" i="6"/>
  <c r="D157" i="6"/>
  <c r="D76" i="6"/>
  <c r="D103" i="6"/>
  <c r="H121" i="6"/>
  <c r="H67" i="6"/>
  <c r="H209" i="7" s="1"/>
  <c r="H94" i="6"/>
  <c r="F198" i="4"/>
  <c r="V186" i="4"/>
  <c r="T105" i="3"/>
  <c r="T102" i="3"/>
  <c r="T107" i="3"/>
  <c r="T103" i="3"/>
  <c r="T101" i="3"/>
  <c r="T96" i="3"/>
  <c r="T104" i="3"/>
  <c r="T106" i="3"/>
  <c r="T108" i="3"/>
  <c r="T98" i="3"/>
  <c r="T100" i="3"/>
  <c r="T99" i="3"/>
  <c r="I132" i="5"/>
  <c r="I78" i="5"/>
  <c r="I133" i="7" s="1"/>
  <c r="I105" i="5"/>
  <c r="G6" i="4"/>
  <c r="J188" i="3"/>
  <c r="L97" i="3"/>
  <c r="G122" i="6"/>
  <c r="G68" i="6"/>
  <c r="G210" i="7" s="1"/>
  <c r="G95" i="6"/>
  <c r="V14" i="4"/>
  <c r="V23" i="4"/>
  <c r="V25" i="4"/>
  <c r="V21" i="4"/>
  <c r="E9" i="4"/>
  <c r="B10" i="4"/>
  <c r="F8" i="4"/>
  <c r="F6" i="4" s="1"/>
  <c r="D4" i="5"/>
  <c r="D47" i="6" s="1"/>
  <c r="B33" i="4"/>
  <c r="B170" i="4" l="1"/>
  <c r="B31" i="4"/>
  <c r="B253" i="4" s="1"/>
  <c r="F4" i="4"/>
  <c r="F143" i="4"/>
  <c r="F197" i="4"/>
  <c r="F7" i="3"/>
  <c r="V173" i="4"/>
  <c r="I231" i="4"/>
  <c r="I141" i="4"/>
  <c r="I195" i="4"/>
  <c r="I222" i="4"/>
  <c r="I230" i="4"/>
  <c r="I223" i="4"/>
  <c r="I232" i="4"/>
  <c r="I235" i="4"/>
  <c r="I234" i="4"/>
  <c r="I233" i="4"/>
  <c r="I236" i="4"/>
  <c r="I228" i="4"/>
  <c r="I227" i="4"/>
  <c r="I225" i="4"/>
  <c r="I226" i="4"/>
  <c r="F199" i="4"/>
  <c r="F226" i="4"/>
  <c r="E149" i="5"/>
  <c r="E68" i="5"/>
  <c r="E122" i="5"/>
  <c r="J218" i="3"/>
  <c r="I5" i="3"/>
  <c r="U179" i="4"/>
  <c r="U40" i="4"/>
  <c r="C172" i="4"/>
  <c r="C33" i="4"/>
  <c r="B130" i="6"/>
  <c r="B157" i="6"/>
  <c r="B76" i="6"/>
  <c r="B103" i="6"/>
  <c r="G120" i="5"/>
  <c r="G66" i="5"/>
  <c r="G121" i="7" s="1"/>
  <c r="G93" i="5"/>
  <c r="V212" i="4"/>
  <c r="E115" i="6"/>
  <c r="E61" i="6"/>
  <c r="E203" i="7" s="1"/>
  <c r="E88" i="6"/>
  <c r="I224" i="4"/>
  <c r="B201" i="4"/>
  <c r="V216" i="4"/>
  <c r="V214" i="4"/>
  <c r="H114" i="6"/>
  <c r="H60" i="6"/>
  <c r="H202" i="7" s="1"/>
  <c r="H87" i="6"/>
  <c r="T68" i="5"/>
  <c r="T123" i="7" s="1"/>
  <c r="T122" i="5"/>
  <c r="T95" i="5"/>
  <c r="K105" i="3"/>
  <c r="K101" i="3"/>
  <c r="K107" i="3"/>
  <c r="K108" i="3"/>
  <c r="K103" i="3"/>
  <c r="K102" i="3"/>
  <c r="K96" i="3"/>
  <c r="K106" i="3"/>
  <c r="K104" i="3"/>
  <c r="K98" i="3"/>
  <c r="K100" i="3"/>
  <c r="K99" i="3"/>
  <c r="F127" i="5"/>
  <c r="F73" i="5"/>
  <c r="F128" i="7" s="1"/>
  <c r="F100" i="5"/>
  <c r="I188" i="3"/>
  <c r="B172" i="4"/>
  <c r="J119" i="6"/>
  <c r="J65" i="6"/>
  <c r="J207" i="7" s="1"/>
  <c r="J92" i="6"/>
  <c r="V205" i="4"/>
  <c r="H4" i="3"/>
  <c r="D258" i="4"/>
  <c r="D249" i="4"/>
  <c r="D168" i="4"/>
  <c r="D250" i="4"/>
  <c r="D259" i="4"/>
  <c r="D261" i="4"/>
  <c r="D262" i="4"/>
  <c r="D260" i="4"/>
  <c r="D263" i="4"/>
  <c r="D254" i="4"/>
  <c r="D255" i="4"/>
  <c r="D252" i="4"/>
  <c r="D253" i="4"/>
  <c r="C130" i="6"/>
  <c r="C157" i="6"/>
  <c r="C76" i="6"/>
  <c r="C103" i="6"/>
  <c r="I110" i="6"/>
  <c r="I66" i="3"/>
  <c r="I56" i="6"/>
  <c r="I198" i="7" s="1"/>
  <c r="I83" i="6"/>
  <c r="G143" i="4"/>
  <c r="G197" i="4"/>
  <c r="G7" i="3"/>
  <c r="G4" i="4"/>
  <c r="G224" i="4" s="1"/>
  <c r="F128" i="5"/>
  <c r="F74" i="5"/>
  <c r="F129" i="7" s="1"/>
  <c r="F101" i="5"/>
  <c r="J4" i="3"/>
  <c r="J97" i="3"/>
  <c r="D251" i="4"/>
  <c r="F116" i="6"/>
  <c r="F143" i="6"/>
  <c r="J126" i="6"/>
  <c r="J72" i="6"/>
  <c r="J214" i="7" s="1"/>
  <c r="J99" i="6"/>
  <c r="E200" i="4"/>
  <c r="G121" i="6"/>
  <c r="G67" i="6"/>
  <c r="G209" i="7" s="1"/>
  <c r="G94" i="6"/>
  <c r="F115" i="6"/>
  <c r="F61" i="6"/>
  <c r="F203" i="7" s="1"/>
  <c r="F88" i="6"/>
  <c r="B204" i="4"/>
  <c r="B150" i="4"/>
  <c r="B8" i="3"/>
  <c r="E74" i="5"/>
  <c r="E129" i="7" s="1"/>
  <c r="E128" i="5"/>
  <c r="E101" i="5"/>
  <c r="E27" i="4"/>
  <c r="B27" i="4"/>
  <c r="V18" i="4"/>
  <c r="C27" i="4"/>
  <c r="V16" i="4"/>
  <c r="D27" i="4"/>
  <c r="V22" i="4"/>
  <c r="F27" i="4"/>
  <c r="U10" i="4"/>
  <c r="U17" i="4"/>
  <c r="D9" i="4"/>
  <c r="U11" i="4"/>
  <c r="U9" i="4"/>
  <c r="U12" i="4"/>
  <c r="C9" i="4"/>
  <c r="C4" i="5"/>
  <c r="C47" i="6" s="1"/>
  <c r="E7" i="4"/>
  <c r="U4" i="5"/>
  <c r="U47" i="6" s="1"/>
  <c r="E198" i="4" l="1"/>
  <c r="G110" i="6"/>
  <c r="G66" i="3"/>
  <c r="G56" i="6"/>
  <c r="G198" i="7" s="1"/>
  <c r="G83" i="6"/>
  <c r="G78" i="5"/>
  <c r="G133" i="7" s="1"/>
  <c r="G132" i="5"/>
  <c r="G105" i="5"/>
  <c r="H105" i="3"/>
  <c r="H104" i="3"/>
  <c r="H106" i="3"/>
  <c r="H103" i="3"/>
  <c r="H101" i="3"/>
  <c r="H96" i="3"/>
  <c r="H107" i="3"/>
  <c r="H108" i="3"/>
  <c r="H102" i="3"/>
  <c r="H98" i="3"/>
  <c r="H100" i="3"/>
  <c r="H99" i="3"/>
  <c r="G114" i="6"/>
  <c r="G60" i="6"/>
  <c r="G202" i="7" s="1"/>
  <c r="G87" i="6"/>
  <c r="F121" i="6"/>
  <c r="F67" i="6"/>
  <c r="F209" i="7" s="1"/>
  <c r="F94" i="6"/>
  <c r="T116" i="6"/>
  <c r="T62" i="6"/>
  <c r="T204" i="7" s="1"/>
  <c r="T89" i="6"/>
  <c r="U177" i="4"/>
  <c r="U31" i="4"/>
  <c r="G62" i="5"/>
  <c r="G117" i="7" s="1"/>
  <c r="G116" i="5"/>
  <c r="G36" i="3"/>
  <c r="G89" i="5"/>
  <c r="G126" i="6"/>
  <c r="G72" i="6"/>
  <c r="G214" i="7" s="1"/>
  <c r="G99" i="6"/>
  <c r="H126" i="6"/>
  <c r="H72" i="6"/>
  <c r="H214" i="7" s="1"/>
  <c r="H99" i="6"/>
  <c r="U123" i="5"/>
  <c r="U69" i="5"/>
  <c r="U124" i="7" s="1"/>
  <c r="G5" i="3"/>
  <c r="D68" i="5"/>
  <c r="D149" i="5"/>
  <c r="D122" i="5"/>
  <c r="D121" i="5"/>
  <c r="D67" i="5"/>
  <c r="D122" i="7" s="1"/>
  <c r="D94" i="5"/>
  <c r="F122" i="6"/>
  <c r="F68" i="6"/>
  <c r="F210" i="7" s="1"/>
  <c r="F95" i="6"/>
  <c r="U202" i="4"/>
  <c r="G125" i="5"/>
  <c r="G71" i="5"/>
  <c r="G126" i="7" s="1"/>
  <c r="G98" i="5"/>
  <c r="G119" i="6"/>
  <c r="G65" i="6"/>
  <c r="G207" i="7" s="1"/>
  <c r="G92" i="6"/>
  <c r="H119" i="6"/>
  <c r="H65" i="6"/>
  <c r="H207" i="7" s="1"/>
  <c r="H92" i="6"/>
  <c r="D200" i="4"/>
  <c r="E122" i="6"/>
  <c r="E68" i="6"/>
  <c r="E210" i="7" s="1"/>
  <c r="E95" i="6"/>
  <c r="H78" i="5"/>
  <c r="H133" i="7" s="1"/>
  <c r="H132" i="5"/>
  <c r="H105" i="5"/>
  <c r="F120" i="5"/>
  <c r="F66" i="5"/>
  <c r="F121" i="7" s="1"/>
  <c r="F93" i="5"/>
  <c r="H116" i="5"/>
  <c r="H62" i="5"/>
  <c r="H117" i="7" s="1"/>
  <c r="H36" i="3"/>
  <c r="H89" i="5"/>
  <c r="F231" i="4"/>
  <c r="F141" i="4"/>
  <c r="F195" i="4"/>
  <c r="F222" i="4"/>
  <c r="F230" i="4"/>
  <c r="F223" i="4"/>
  <c r="F234" i="4"/>
  <c r="F232" i="4"/>
  <c r="F235" i="4"/>
  <c r="F236" i="4"/>
  <c r="F233" i="4"/>
  <c r="F228" i="4"/>
  <c r="F227" i="4"/>
  <c r="F225" i="4"/>
  <c r="V207" i="4"/>
  <c r="G236" i="4"/>
  <c r="G222" i="4"/>
  <c r="G195" i="4"/>
  <c r="G141" i="4"/>
  <c r="G230" i="4"/>
  <c r="G223" i="4"/>
  <c r="G234" i="4"/>
  <c r="G235" i="4"/>
  <c r="G232" i="4"/>
  <c r="G233" i="4"/>
  <c r="G231" i="4"/>
  <c r="G228" i="4"/>
  <c r="G227" i="4"/>
  <c r="G225" i="4"/>
  <c r="G226" i="4"/>
  <c r="C200" i="4"/>
  <c r="V96" i="6"/>
  <c r="V102" i="5"/>
  <c r="V209" i="4"/>
  <c r="H125" i="5"/>
  <c r="H71" i="5"/>
  <c r="H126" i="7" s="1"/>
  <c r="H98" i="5"/>
  <c r="E116" i="6"/>
  <c r="E143" i="6"/>
  <c r="B258" i="4"/>
  <c r="B168" i="4"/>
  <c r="B249" i="4"/>
  <c r="B250" i="4"/>
  <c r="B259" i="4"/>
  <c r="B263" i="4"/>
  <c r="B261" i="4"/>
  <c r="B262" i="4"/>
  <c r="B260" i="4"/>
  <c r="B254" i="4"/>
  <c r="B255" i="4"/>
  <c r="B252" i="4"/>
  <c r="I4" i="3"/>
  <c r="I97" i="3" s="1"/>
  <c r="H110" i="6"/>
  <c r="H66" i="3"/>
  <c r="H56" i="6"/>
  <c r="H198" i="7" s="1"/>
  <c r="H83" i="6"/>
  <c r="U208" i="4"/>
  <c r="B120" i="5"/>
  <c r="B66" i="5"/>
  <c r="B121" i="7" s="1"/>
  <c r="F5" i="3"/>
  <c r="B251" i="4"/>
  <c r="U201" i="4"/>
  <c r="U90" i="6"/>
  <c r="U203" i="4"/>
  <c r="U96" i="5"/>
  <c r="J105" i="3"/>
  <c r="J101" i="3"/>
  <c r="J108" i="3"/>
  <c r="J104" i="3"/>
  <c r="J107" i="3"/>
  <c r="J96" i="3"/>
  <c r="J102" i="3"/>
  <c r="J103" i="3"/>
  <c r="J106" i="3"/>
  <c r="J98" i="3"/>
  <c r="J100" i="3"/>
  <c r="J99" i="3"/>
  <c r="C170" i="4"/>
  <c r="C31" i="4"/>
  <c r="F224" i="4"/>
  <c r="U200" i="4"/>
  <c r="V213" i="4"/>
  <c r="I218" i="3"/>
  <c r="H97" i="3"/>
  <c r="E127" i="5"/>
  <c r="E73" i="5"/>
  <c r="E128" i="7" s="1"/>
  <c r="E100" i="5"/>
  <c r="E8" i="4"/>
  <c r="B9" i="4"/>
  <c r="D7" i="4"/>
  <c r="U15" i="4"/>
  <c r="B4" i="5"/>
  <c r="B47" i="6" s="1"/>
  <c r="U7" i="4"/>
  <c r="C7" i="4"/>
  <c r="E121" i="6" l="1"/>
  <c r="E67" i="6"/>
  <c r="E209" i="7" s="1"/>
  <c r="E94" i="6"/>
  <c r="C251" i="4"/>
  <c r="C168" i="4"/>
  <c r="C249" i="4"/>
  <c r="C250" i="4"/>
  <c r="C259" i="4"/>
  <c r="C261" i="4"/>
  <c r="C262" i="4"/>
  <c r="C263" i="4"/>
  <c r="C260" i="4"/>
  <c r="C258" i="4"/>
  <c r="C254" i="4"/>
  <c r="C255" i="4"/>
  <c r="C252" i="4"/>
  <c r="C253" i="4"/>
  <c r="D74" i="5"/>
  <c r="D129" i="7" s="1"/>
  <c r="D128" i="5"/>
  <c r="D101" i="5"/>
  <c r="I105" i="3"/>
  <c r="I103" i="3"/>
  <c r="I106" i="3"/>
  <c r="I101" i="3"/>
  <c r="I108" i="3"/>
  <c r="I96" i="3"/>
  <c r="I102" i="3"/>
  <c r="I104" i="3"/>
  <c r="I107" i="3"/>
  <c r="I98" i="3"/>
  <c r="I100" i="3"/>
  <c r="I99" i="3"/>
  <c r="D116" i="6"/>
  <c r="D143" i="6"/>
  <c r="G4" i="3"/>
  <c r="G97" i="3" s="1"/>
  <c r="F119" i="6"/>
  <c r="F65" i="6"/>
  <c r="F207" i="7" s="1"/>
  <c r="F92" i="6"/>
  <c r="D198" i="4"/>
  <c r="B121" i="5"/>
  <c r="B67" i="5"/>
  <c r="B122" i="7" s="1"/>
  <c r="B94" i="5"/>
  <c r="U261" i="4"/>
  <c r="U249" i="4"/>
  <c r="U30" i="4"/>
  <c r="U168" i="4"/>
  <c r="U250" i="4"/>
  <c r="U263" i="4"/>
  <c r="U259" i="4"/>
  <c r="U254" i="4"/>
  <c r="U255" i="4"/>
  <c r="U256" i="4"/>
  <c r="U252" i="4"/>
  <c r="U257" i="4"/>
  <c r="U253" i="4"/>
  <c r="U251" i="4"/>
  <c r="U262" i="4"/>
  <c r="U260" i="4"/>
  <c r="G218" i="3"/>
  <c r="E66" i="5"/>
  <c r="E121" i="7" s="1"/>
  <c r="E120" i="5"/>
  <c r="E93" i="5"/>
  <c r="U198" i="4"/>
  <c r="U134" i="5"/>
  <c r="U80" i="5"/>
  <c r="U135" i="7" s="1"/>
  <c r="U107" i="5"/>
  <c r="C198" i="4"/>
  <c r="K112" i="6"/>
  <c r="K58" i="6"/>
  <c r="K200" i="7" s="1"/>
  <c r="K85" i="6"/>
  <c r="E199" i="4"/>
  <c r="T118" i="5"/>
  <c r="T64" i="5"/>
  <c r="T119" i="7" s="1"/>
  <c r="T91" i="5"/>
  <c r="F132" i="5"/>
  <c r="F78" i="5"/>
  <c r="F133" i="7" s="1"/>
  <c r="F105" i="5"/>
  <c r="U258" i="4"/>
  <c r="K118" i="5"/>
  <c r="K64" i="5"/>
  <c r="K119" i="7" s="1"/>
  <c r="K91" i="5"/>
  <c r="T112" i="6"/>
  <c r="T58" i="6"/>
  <c r="T200" i="7" s="1"/>
  <c r="T85" i="6"/>
  <c r="D115" i="6"/>
  <c r="D61" i="6"/>
  <c r="D203" i="7" s="1"/>
  <c r="D88" i="6"/>
  <c r="B200" i="4"/>
  <c r="B87" i="6"/>
  <c r="B93" i="5"/>
  <c r="F114" i="6"/>
  <c r="F60" i="6"/>
  <c r="F202" i="7" s="1"/>
  <c r="F87" i="6"/>
  <c r="F125" i="5"/>
  <c r="F71" i="5"/>
  <c r="F126" i="7" s="1"/>
  <c r="F98" i="5"/>
  <c r="F4" i="3"/>
  <c r="F97" i="3" s="1"/>
  <c r="G188" i="3"/>
  <c r="F126" i="6"/>
  <c r="F72" i="6"/>
  <c r="F214" i="7" s="1"/>
  <c r="F99" i="6"/>
  <c r="J112" i="6"/>
  <c r="J58" i="6"/>
  <c r="J200" i="7" s="1"/>
  <c r="J85" i="6"/>
  <c r="U206" i="4"/>
  <c r="U13" i="4"/>
  <c r="L112" i="6"/>
  <c r="L58" i="6"/>
  <c r="L200" i="7" s="1"/>
  <c r="L85" i="6"/>
  <c r="U117" i="6"/>
  <c r="U144" i="6"/>
  <c r="U63" i="6"/>
  <c r="D73" i="5"/>
  <c r="D128" i="7" s="1"/>
  <c r="D127" i="5"/>
  <c r="D100" i="5"/>
  <c r="F62" i="5"/>
  <c r="F117" i="7" s="1"/>
  <c r="F116" i="5"/>
  <c r="F36" i="3"/>
  <c r="F89" i="5"/>
  <c r="C122" i="5"/>
  <c r="C149" i="5"/>
  <c r="C68" i="5"/>
  <c r="B114" i="6"/>
  <c r="B60" i="6"/>
  <c r="B202" i="7" s="1"/>
  <c r="C121" i="5"/>
  <c r="C67" i="5"/>
  <c r="C122" i="7" s="1"/>
  <c r="C94" i="5"/>
  <c r="H218" i="3"/>
  <c r="L118" i="5"/>
  <c r="L64" i="5"/>
  <c r="L119" i="7" s="1"/>
  <c r="L91" i="5"/>
  <c r="J64" i="5"/>
  <c r="J119" i="7" s="1"/>
  <c r="J118" i="5"/>
  <c r="J91" i="5"/>
  <c r="H188" i="3"/>
  <c r="E6" i="4"/>
  <c r="U73" i="5"/>
  <c r="U128" i="7" s="1"/>
  <c r="U127" i="5"/>
  <c r="U100" i="5"/>
  <c r="D8" i="4"/>
  <c r="U8" i="4"/>
  <c r="U6" i="4" s="1"/>
  <c r="C8" i="4"/>
  <c r="C6" i="4" s="1"/>
  <c r="B7" i="4"/>
  <c r="C143" i="4" l="1"/>
  <c r="C197" i="4"/>
  <c r="C7" i="3"/>
  <c r="C4" i="4"/>
  <c r="C224" i="4" s="1"/>
  <c r="U197" i="4"/>
  <c r="U143" i="4"/>
  <c r="U7" i="3"/>
  <c r="U4" i="4"/>
  <c r="U224" i="4" s="1"/>
  <c r="D199" i="4"/>
  <c r="B115" i="6"/>
  <c r="B61" i="6"/>
  <c r="B203" i="7" s="1"/>
  <c r="B88" i="6"/>
  <c r="E78" i="5"/>
  <c r="E133" i="7" s="1"/>
  <c r="E132" i="5"/>
  <c r="E105" i="5"/>
  <c r="B122" i="5"/>
  <c r="B149" i="5"/>
  <c r="B68" i="5"/>
  <c r="D6" i="4"/>
  <c r="D122" i="6"/>
  <c r="D68" i="6"/>
  <c r="D210" i="7" s="1"/>
  <c r="D95" i="6"/>
  <c r="E62" i="5"/>
  <c r="E117" i="7" s="1"/>
  <c r="E116" i="5"/>
  <c r="E36" i="3"/>
  <c r="E89" i="5"/>
  <c r="B198" i="4"/>
  <c r="C115" i="6"/>
  <c r="C61" i="6"/>
  <c r="C203" i="7" s="1"/>
  <c r="C88" i="6"/>
  <c r="C53" i="4"/>
  <c r="B53" i="4"/>
  <c r="E53" i="4"/>
  <c r="B74" i="5"/>
  <c r="B129" i="7" s="1"/>
  <c r="B128" i="5"/>
  <c r="B101" i="5"/>
  <c r="E71" i="5"/>
  <c r="E126" i="7" s="1"/>
  <c r="E125" i="5"/>
  <c r="E98" i="5"/>
  <c r="E114" i="6"/>
  <c r="E60" i="6"/>
  <c r="E202" i="7" s="1"/>
  <c r="E87" i="6"/>
  <c r="U150" i="4"/>
  <c r="U204" i="4"/>
  <c r="U8" i="3"/>
  <c r="U66" i="5"/>
  <c r="U121" i="7" s="1"/>
  <c r="U120" i="5"/>
  <c r="U93" i="5"/>
  <c r="V136" i="5"/>
  <c r="V82" i="5"/>
  <c r="V137" i="7" s="1"/>
  <c r="V109" i="5"/>
  <c r="F188" i="3"/>
  <c r="C116" i="6"/>
  <c r="C143" i="6"/>
  <c r="F104" i="3"/>
  <c r="F103" i="3"/>
  <c r="F105" i="3"/>
  <c r="F102" i="3"/>
  <c r="F106" i="3"/>
  <c r="F96" i="3"/>
  <c r="F107" i="3"/>
  <c r="F108" i="3"/>
  <c r="F101" i="3"/>
  <c r="F98" i="3"/>
  <c r="F100" i="3"/>
  <c r="F99" i="3"/>
  <c r="I118" i="5"/>
  <c r="I64" i="5"/>
  <c r="I119" i="7" s="1"/>
  <c r="I91" i="5"/>
  <c r="G105" i="3"/>
  <c r="G103" i="3"/>
  <c r="G106" i="3"/>
  <c r="G102" i="3"/>
  <c r="G108" i="3"/>
  <c r="G104" i="3"/>
  <c r="G96" i="3"/>
  <c r="G101" i="3"/>
  <c r="G107" i="3"/>
  <c r="G98" i="3"/>
  <c r="G100" i="3"/>
  <c r="G99" i="3"/>
  <c r="F53" i="4"/>
  <c r="D53" i="4"/>
  <c r="E126" i="6"/>
  <c r="E72" i="6"/>
  <c r="E214" i="7" s="1"/>
  <c r="E99" i="6"/>
  <c r="F110" i="6"/>
  <c r="F66" i="3"/>
  <c r="F56" i="6"/>
  <c r="F198" i="7" s="1"/>
  <c r="F83" i="6"/>
  <c r="V181" i="4"/>
  <c r="D66" i="5"/>
  <c r="D121" i="7" s="1"/>
  <c r="D120" i="5"/>
  <c r="D93" i="5"/>
  <c r="C74" i="5"/>
  <c r="C129" i="7" s="1"/>
  <c r="C128" i="5"/>
  <c r="C101" i="5"/>
  <c r="D121" i="6"/>
  <c r="D67" i="6"/>
  <c r="D209" i="7" s="1"/>
  <c r="D94" i="6"/>
  <c r="E143" i="4"/>
  <c r="E197" i="4"/>
  <c r="E7" i="3"/>
  <c r="E4" i="4"/>
  <c r="E119" i="6"/>
  <c r="E65" i="6"/>
  <c r="E207" i="7" s="1"/>
  <c r="E92" i="6"/>
  <c r="I112" i="6"/>
  <c r="I58" i="6"/>
  <c r="I200" i="7" s="1"/>
  <c r="I85" i="6"/>
  <c r="C199" i="4"/>
  <c r="U199" i="4"/>
  <c r="C127" i="5"/>
  <c r="C73" i="5"/>
  <c r="C128" i="7" s="1"/>
  <c r="C100" i="5"/>
  <c r="U128" i="6"/>
  <c r="U74" i="6"/>
  <c r="U216" i="7" s="1"/>
  <c r="U101" i="6"/>
  <c r="U121" i="6"/>
  <c r="U67" i="6"/>
  <c r="U209" i="7" s="1"/>
  <c r="U94" i="6"/>
  <c r="B8" i="4"/>
  <c r="B6" i="4" s="1"/>
  <c r="B28" i="4"/>
  <c r="E28" i="4"/>
  <c r="F28" i="4"/>
  <c r="D28" i="4"/>
  <c r="C28" i="4"/>
  <c r="U231" i="4" l="1"/>
  <c r="U226" i="4"/>
  <c r="C226" i="4"/>
  <c r="C26" i="4"/>
  <c r="B197" i="4"/>
  <c r="B143" i="4"/>
  <c r="B7" i="3"/>
  <c r="B4" i="4"/>
  <c r="B226" i="4" s="1"/>
  <c r="F26" i="4"/>
  <c r="E26" i="4"/>
  <c r="B26" i="4"/>
  <c r="E141" i="4"/>
  <c r="E195" i="4"/>
  <c r="E222" i="4"/>
  <c r="E230" i="4"/>
  <c r="E223" i="4"/>
  <c r="E234" i="4"/>
  <c r="E232" i="4"/>
  <c r="E235" i="4"/>
  <c r="E236" i="4"/>
  <c r="E233" i="4"/>
  <c r="E231" i="4"/>
  <c r="E228" i="4"/>
  <c r="E227" i="4"/>
  <c r="E225" i="4"/>
  <c r="E226" i="4"/>
  <c r="C122" i="6"/>
  <c r="C68" i="6"/>
  <c r="C210" i="7" s="1"/>
  <c r="C95" i="6"/>
  <c r="D114" i="6"/>
  <c r="D60" i="6"/>
  <c r="D202" i="7" s="1"/>
  <c r="D87" i="6"/>
  <c r="D125" i="5"/>
  <c r="D71" i="5"/>
  <c r="D126" i="7" s="1"/>
  <c r="D98" i="5"/>
  <c r="U195" i="4"/>
  <c r="U222" i="4"/>
  <c r="U141" i="4"/>
  <c r="U223" i="4"/>
  <c r="U236" i="4"/>
  <c r="U232" i="4"/>
  <c r="U234" i="4"/>
  <c r="U228" i="4"/>
  <c r="U230" i="4"/>
  <c r="U227" i="4"/>
  <c r="U229" i="4"/>
  <c r="U235" i="4"/>
  <c r="U233" i="4"/>
  <c r="U225" i="4"/>
  <c r="C5" i="3"/>
  <c r="B46" i="4"/>
  <c r="E110" i="6"/>
  <c r="E66" i="3"/>
  <c r="E56" i="6"/>
  <c r="E198" i="7" s="1"/>
  <c r="E83" i="6"/>
  <c r="F46" i="4"/>
  <c r="C121" i="6"/>
  <c r="C67" i="6"/>
  <c r="C209" i="7" s="1"/>
  <c r="C94" i="6"/>
  <c r="V130" i="6"/>
  <c r="V157" i="6"/>
  <c r="V76" i="6"/>
  <c r="V103" i="6"/>
  <c r="E188" i="3"/>
  <c r="G118" i="5"/>
  <c r="G64" i="5"/>
  <c r="G119" i="7" s="1"/>
  <c r="G91" i="5"/>
  <c r="U5" i="3"/>
  <c r="U116" i="5"/>
  <c r="U62" i="5"/>
  <c r="U117" i="7" s="1"/>
  <c r="U36" i="3"/>
  <c r="U89" i="5"/>
  <c r="D126" i="6"/>
  <c r="D72" i="6"/>
  <c r="D214" i="7" s="1"/>
  <c r="D99" i="6"/>
  <c r="D119" i="6"/>
  <c r="D65" i="6"/>
  <c r="D207" i="7" s="1"/>
  <c r="D92" i="6"/>
  <c r="G112" i="6"/>
  <c r="G58" i="6"/>
  <c r="G200" i="7" s="1"/>
  <c r="G85" i="6"/>
  <c r="U114" i="6"/>
  <c r="U60" i="6"/>
  <c r="U202" i="7" s="1"/>
  <c r="U87" i="6"/>
  <c r="E224" i="4"/>
  <c r="F218" i="3"/>
  <c r="B116" i="6"/>
  <c r="B143" i="6"/>
  <c r="E46" i="4"/>
  <c r="E271" i="4" s="1"/>
  <c r="D110" i="6"/>
  <c r="D66" i="3"/>
  <c r="D56" i="6"/>
  <c r="D198" i="7" s="1"/>
  <c r="D83" i="6"/>
  <c r="V179" i="4"/>
  <c r="V40" i="4"/>
  <c r="D46" i="4"/>
  <c r="D26" i="4"/>
  <c r="B122" i="6"/>
  <c r="B68" i="6"/>
  <c r="B210" i="7" s="1"/>
  <c r="B95" i="6"/>
  <c r="D78" i="5"/>
  <c r="D133" i="7" s="1"/>
  <c r="D132" i="5"/>
  <c r="D105" i="5"/>
  <c r="C46" i="4"/>
  <c r="D143" i="4"/>
  <c r="D197" i="4"/>
  <c r="D7" i="3"/>
  <c r="D4" i="4"/>
  <c r="D224" i="4" s="1"/>
  <c r="E5" i="3"/>
  <c r="B199" i="4"/>
  <c r="C120" i="5"/>
  <c r="C66" i="5"/>
  <c r="C121" i="7" s="1"/>
  <c r="C93" i="5"/>
  <c r="U78" i="5"/>
  <c r="U133" i="7" s="1"/>
  <c r="U132" i="5"/>
  <c r="U105" i="5"/>
  <c r="U125" i="5"/>
  <c r="U71" i="5"/>
  <c r="U126" i="7" s="1"/>
  <c r="U98" i="5"/>
  <c r="D62" i="5"/>
  <c r="D117" i="7" s="1"/>
  <c r="D116" i="5"/>
  <c r="D36" i="3"/>
  <c r="D89" i="5"/>
  <c r="C231" i="4"/>
  <c r="C195" i="4"/>
  <c r="C222" i="4"/>
  <c r="C141" i="4"/>
  <c r="C223" i="4"/>
  <c r="C235" i="4"/>
  <c r="C232" i="4"/>
  <c r="C234" i="4"/>
  <c r="C233" i="4"/>
  <c r="C236" i="4"/>
  <c r="C228" i="4"/>
  <c r="C227" i="4"/>
  <c r="C225" i="4"/>
  <c r="V17" i="4"/>
  <c r="B264" i="4" l="1"/>
  <c r="B266" i="4"/>
  <c r="B267" i="4"/>
  <c r="B270" i="4"/>
  <c r="B268" i="4"/>
  <c r="B269" i="4"/>
  <c r="B265" i="4"/>
  <c r="B272" i="4"/>
  <c r="B30" i="4"/>
  <c r="B273" i="4"/>
  <c r="E4" i="3"/>
  <c r="E97" i="3" s="1"/>
  <c r="D264" i="4"/>
  <c r="D266" i="4"/>
  <c r="D267" i="4"/>
  <c r="D268" i="4"/>
  <c r="D269" i="4"/>
  <c r="D270" i="4"/>
  <c r="D265" i="4"/>
  <c r="D272" i="4"/>
  <c r="D30" i="4"/>
  <c r="D273" i="4"/>
  <c r="B271" i="4"/>
  <c r="D271" i="4"/>
  <c r="C114" i="6"/>
  <c r="C60" i="6"/>
  <c r="C202" i="7" s="1"/>
  <c r="C87" i="6"/>
  <c r="E265" i="4"/>
  <c r="E264" i="4"/>
  <c r="E266" i="4"/>
  <c r="E267" i="4"/>
  <c r="E269" i="4"/>
  <c r="E268" i="4"/>
  <c r="E270" i="4"/>
  <c r="E272" i="4"/>
  <c r="E30" i="4"/>
  <c r="E273" i="4"/>
  <c r="H64" i="5"/>
  <c r="H119" i="7" s="1"/>
  <c r="H118" i="5"/>
  <c r="H91" i="5"/>
  <c r="B231" i="4"/>
  <c r="B222" i="4"/>
  <c r="B141" i="4"/>
  <c r="B195" i="4"/>
  <c r="B223" i="4"/>
  <c r="B234" i="4"/>
  <c r="B236" i="4"/>
  <c r="B232" i="4"/>
  <c r="B235" i="4"/>
  <c r="B233" i="4"/>
  <c r="B228" i="4"/>
  <c r="B227" i="4"/>
  <c r="B225" i="4"/>
  <c r="C163" i="4"/>
  <c r="C20" i="3"/>
  <c r="C19" i="4"/>
  <c r="U110" i="6"/>
  <c r="U66" i="3"/>
  <c r="U56" i="6"/>
  <c r="U198" i="7" s="1"/>
  <c r="U83" i="6"/>
  <c r="D188" i="3"/>
  <c r="U4" i="3"/>
  <c r="B163" i="4"/>
  <c r="B20" i="3"/>
  <c r="B19" i="4"/>
  <c r="B244" i="4" s="1"/>
  <c r="B5" i="3"/>
  <c r="E218" i="3"/>
  <c r="B224" i="4"/>
  <c r="C271" i="4"/>
  <c r="C264" i="4"/>
  <c r="C266" i="4"/>
  <c r="C269" i="4"/>
  <c r="C268" i="4"/>
  <c r="C267" i="4"/>
  <c r="C270" i="4"/>
  <c r="C265" i="4"/>
  <c r="C272" i="4"/>
  <c r="C30" i="4"/>
  <c r="C273" i="4"/>
  <c r="E163" i="4"/>
  <c r="E20" i="3"/>
  <c r="E19" i="4"/>
  <c r="E244" i="4" s="1"/>
  <c r="C4" i="3"/>
  <c r="C97" i="3" s="1"/>
  <c r="F163" i="4"/>
  <c r="F20" i="3"/>
  <c r="F19" i="4"/>
  <c r="F244" i="4" s="1"/>
  <c r="U188" i="3"/>
  <c r="H112" i="6"/>
  <c r="H58" i="6"/>
  <c r="H200" i="7" s="1"/>
  <c r="H85" i="6"/>
  <c r="V208" i="4"/>
  <c r="D225" i="4"/>
  <c r="D222" i="4"/>
  <c r="D141" i="4"/>
  <c r="D195" i="4"/>
  <c r="D223" i="4"/>
  <c r="D235" i="4"/>
  <c r="D234" i="4"/>
  <c r="D232" i="4"/>
  <c r="D233" i="4"/>
  <c r="D236" i="4"/>
  <c r="D231" i="4"/>
  <c r="D228" i="4"/>
  <c r="D227" i="4"/>
  <c r="D226" i="4"/>
  <c r="D163" i="4"/>
  <c r="D20" i="3"/>
  <c r="D19" i="4"/>
  <c r="D218" i="3"/>
  <c r="F264" i="4"/>
  <c r="F266" i="4"/>
  <c r="F268" i="4"/>
  <c r="F269" i="4"/>
  <c r="F267" i="4"/>
  <c r="F270" i="4"/>
  <c r="F265" i="4"/>
  <c r="F30" i="4"/>
  <c r="F272" i="4"/>
  <c r="F273" i="4"/>
  <c r="D5" i="3"/>
  <c r="V177" i="4"/>
  <c r="F271" i="4"/>
  <c r="V15" i="4"/>
  <c r="B55" i="7"/>
  <c r="E118" i="5" l="1"/>
  <c r="E64" i="5"/>
  <c r="E119" i="7" s="1"/>
  <c r="E91" i="5"/>
  <c r="C132" i="5"/>
  <c r="C78" i="5"/>
  <c r="C133" i="7" s="1"/>
  <c r="C105" i="5"/>
  <c r="C241" i="4"/>
  <c r="C156" i="4"/>
  <c r="C237" i="4"/>
  <c r="C239" i="4"/>
  <c r="C242" i="4"/>
  <c r="C240" i="4"/>
  <c r="C243" i="4"/>
  <c r="C238" i="4"/>
  <c r="C245" i="4"/>
  <c r="C246" i="4"/>
  <c r="D243" i="4"/>
  <c r="D237" i="4"/>
  <c r="D156" i="4"/>
  <c r="D239" i="4"/>
  <c r="D242" i="4"/>
  <c r="D240" i="4"/>
  <c r="D241" i="4"/>
  <c r="D238" i="4"/>
  <c r="D245" i="4"/>
  <c r="D246" i="4"/>
  <c r="F64" i="5"/>
  <c r="F119" i="7" s="1"/>
  <c r="F118" i="5"/>
  <c r="F91" i="5"/>
  <c r="B4" i="3"/>
  <c r="B97" i="3" s="1"/>
  <c r="C18" i="3"/>
  <c r="E112" i="6"/>
  <c r="E58" i="6"/>
  <c r="E200" i="7" s="1"/>
  <c r="E85" i="6"/>
  <c r="F112" i="6"/>
  <c r="F58" i="6"/>
  <c r="F200" i="7" s="1"/>
  <c r="F85" i="6"/>
  <c r="V206" i="4"/>
  <c r="V13" i="4"/>
  <c r="C126" i="6"/>
  <c r="C72" i="6"/>
  <c r="C214" i="7" s="1"/>
  <c r="C99" i="6"/>
  <c r="U126" i="6"/>
  <c r="U72" i="6"/>
  <c r="U214" i="7" s="1"/>
  <c r="U99" i="6"/>
  <c r="D18" i="3"/>
  <c r="C244" i="4"/>
  <c r="E105" i="3"/>
  <c r="E101" i="3"/>
  <c r="E102" i="3"/>
  <c r="E96" i="3"/>
  <c r="E108" i="3"/>
  <c r="E104" i="3"/>
  <c r="E106" i="3"/>
  <c r="E107" i="3"/>
  <c r="E103" i="3"/>
  <c r="E98" i="3"/>
  <c r="E100" i="3"/>
  <c r="E99" i="3"/>
  <c r="V172" i="4"/>
  <c r="D4" i="3"/>
  <c r="D244" i="4"/>
  <c r="C116" i="5"/>
  <c r="C62" i="5"/>
  <c r="C117" i="7" s="1"/>
  <c r="C36" i="3"/>
  <c r="C89" i="5"/>
  <c r="C71" i="5"/>
  <c r="C126" i="7" s="1"/>
  <c r="C125" i="5"/>
  <c r="C98" i="5"/>
  <c r="U108" i="3"/>
  <c r="U107" i="3"/>
  <c r="U103" i="3"/>
  <c r="U106" i="3"/>
  <c r="U105" i="3"/>
  <c r="U104" i="3"/>
  <c r="U102" i="3"/>
  <c r="U101" i="3"/>
  <c r="U96" i="3"/>
  <c r="U98" i="3"/>
  <c r="U99" i="3"/>
  <c r="U100" i="3"/>
  <c r="C119" i="6"/>
  <c r="C65" i="6"/>
  <c r="C207" i="7" s="1"/>
  <c r="C92" i="6"/>
  <c r="F238" i="4"/>
  <c r="F237" i="4"/>
  <c r="F156" i="4"/>
  <c r="F239" i="4"/>
  <c r="F242" i="4"/>
  <c r="F240" i="4"/>
  <c r="F243" i="4"/>
  <c r="F241" i="4"/>
  <c r="F245" i="4"/>
  <c r="F246" i="4"/>
  <c r="C105" i="3"/>
  <c r="C96" i="3"/>
  <c r="C106" i="3"/>
  <c r="C107" i="3"/>
  <c r="C108" i="3"/>
  <c r="C102" i="3"/>
  <c r="C103" i="3"/>
  <c r="C104" i="3"/>
  <c r="C101" i="3"/>
  <c r="C98" i="3"/>
  <c r="C100" i="3"/>
  <c r="C99" i="3"/>
  <c r="E238" i="4"/>
  <c r="E156" i="4"/>
  <c r="E237" i="4"/>
  <c r="E239" i="4"/>
  <c r="E242" i="4"/>
  <c r="E240" i="4"/>
  <c r="E243" i="4"/>
  <c r="E241" i="4"/>
  <c r="E245" i="4"/>
  <c r="E246" i="4"/>
  <c r="B156" i="4"/>
  <c r="B237" i="4"/>
  <c r="B239" i="4"/>
  <c r="B240" i="4"/>
  <c r="B241" i="4"/>
  <c r="B238" i="4"/>
  <c r="B242" i="4"/>
  <c r="B243" i="4"/>
  <c r="B245" i="4"/>
  <c r="B246" i="4"/>
  <c r="U218" i="3"/>
  <c r="F18" i="3"/>
  <c r="E18" i="3"/>
  <c r="B18" i="3"/>
  <c r="U97" i="3"/>
  <c r="D105" i="3" l="1"/>
  <c r="D102" i="3"/>
  <c r="D106" i="3"/>
  <c r="D104" i="3"/>
  <c r="D107" i="3"/>
  <c r="D96" i="3"/>
  <c r="D108" i="3"/>
  <c r="D103" i="3"/>
  <c r="D101" i="3"/>
  <c r="D98" i="3"/>
  <c r="D100" i="3"/>
  <c r="D99" i="3"/>
  <c r="V80" i="5"/>
  <c r="V135" i="7" s="1"/>
  <c r="V134" i="5"/>
  <c r="V107" i="5"/>
  <c r="C17" i="3"/>
  <c r="C110" i="3" s="1"/>
  <c r="D112" i="6"/>
  <c r="D58" i="6"/>
  <c r="D200" i="7" s="1"/>
  <c r="D85" i="6"/>
  <c r="D64" i="5"/>
  <c r="D119" i="7" s="1"/>
  <c r="D118" i="5"/>
  <c r="D91" i="5"/>
  <c r="B28" i="7"/>
  <c r="B192" i="4"/>
  <c r="B219" i="4"/>
  <c r="C28" i="7"/>
  <c r="C192" i="4"/>
  <c r="C219" i="4"/>
  <c r="F28" i="7"/>
  <c r="F192" i="4"/>
  <c r="F219" i="4"/>
  <c r="B62" i="5"/>
  <c r="B117" i="7" s="1"/>
  <c r="B116" i="5"/>
  <c r="B36" i="3"/>
  <c r="B89" i="5"/>
  <c r="V127" i="5"/>
  <c r="V73" i="5"/>
  <c r="V128" i="7" s="1"/>
  <c r="V100" i="5"/>
  <c r="B126" i="6"/>
  <c r="B72" i="6"/>
  <c r="B214" i="7" s="1"/>
  <c r="B99" i="6"/>
  <c r="B132" i="5"/>
  <c r="B78" i="5"/>
  <c r="B133" i="7" s="1"/>
  <c r="B105" i="5"/>
  <c r="E17" i="3"/>
  <c r="B17" i="3"/>
  <c r="B110" i="3" s="1"/>
  <c r="F17" i="3"/>
  <c r="F110" i="3" s="1"/>
  <c r="C188" i="3"/>
  <c r="C110" i="6"/>
  <c r="C66" i="3"/>
  <c r="C56" i="6"/>
  <c r="C198" i="7" s="1"/>
  <c r="C83" i="6"/>
  <c r="D28" i="7"/>
  <c r="D192" i="4"/>
  <c r="D219" i="4"/>
  <c r="E28" i="7"/>
  <c r="E192" i="4"/>
  <c r="E219" i="4"/>
  <c r="V150" i="4"/>
  <c r="V204" i="4"/>
  <c r="V8" i="3"/>
  <c r="B105" i="3"/>
  <c r="B107" i="3"/>
  <c r="B108" i="3"/>
  <c r="B103" i="3"/>
  <c r="B102" i="3"/>
  <c r="B106" i="3"/>
  <c r="B104" i="3"/>
  <c r="B96" i="3"/>
  <c r="B101" i="3"/>
  <c r="B98" i="3"/>
  <c r="B100" i="3"/>
  <c r="B99" i="3"/>
  <c r="U135" i="5"/>
  <c r="U81" i="5"/>
  <c r="U136" i="7" s="1"/>
  <c r="U108" i="5"/>
  <c r="B125" i="5"/>
  <c r="B71" i="5"/>
  <c r="B126" i="7" s="1"/>
  <c r="B98" i="5"/>
  <c r="U119" i="6"/>
  <c r="U65" i="6"/>
  <c r="U207" i="7" s="1"/>
  <c r="U92" i="6"/>
  <c r="D97" i="3"/>
  <c r="D17" i="3"/>
  <c r="D110" i="3" s="1"/>
  <c r="E118" i="3" l="1"/>
  <c r="E117" i="3"/>
  <c r="E109" i="3"/>
  <c r="E114" i="3"/>
  <c r="E113" i="3"/>
  <c r="E120" i="3"/>
  <c r="E115" i="3"/>
  <c r="E116" i="3"/>
  <c r="E119" i="3"/>
  <c r="E111" i="3"/>
  <c r="E112" i="3"/>
  <c r="V121" i="6"/>
  <c r="V67" i="6"/>
  <c r="V209" i="7" s="1"/>
  <c r="V94" i="6"/>
  <c r="C218" i="3"/>
  <c r="B117" i="3"/>
  <c r="B119" i="3"/>
  <c r="B109" i="3"/>
  <c r="B114" i="3"/>
  <c r="B118" i="3"/>
  <c r="B115" i="3"/>
  <c r="B113" i="3"/>
  <c r="B120" i="3"/>
  <c r="B116" i="3"/>
  <c r="B111" i="3"/>
  <c r="B112" i="3"/>
  <c r="B188" i="3"/>
  <c r="D114" i="3"/>
  <c r="D115" i="3"/>
  <c r="D119" i="3"/>
  <c r="D118" i="3"/>
  <c r="D120" i="3"/>
  <c r="D116" i="3"/>
  <c r="D117" i="3"/>
  <c r="D109" i="3"/>
  <c r="D113" i="3"/>
  <c r="D111" i="3"/>
  <c r="D112" i="3"/>
  <c r="V128" i="6"/>
  <c r="V74" i="6"/>
  <c r="V216" i="7" s="1"/>
  <c r="V101" i="6"/>
  <c r="B110" i="6"/>
  <c r="B66" i="3"/>
  <c r="B56" i="6"/>
  <c r="B198" i="7" s="1"/>
  <c r="B83" i="6"/>
  <c r="B119" i="6"/>
  <c r="B65" i="6"/>
  <c r="B207" i="7" s="1"/>
  <c r="B92" i="6"/>
  <c r="C113" i="3"/>
  <c r="C117" i="3"/>
  <c r="C114" i="3"/>
  <c r="C109" i="3"/>
  <c r="C119" i="3"/>
  <c r="C115" i="3"/>
  <c r="C120" i="3"/>
  <c r="C118" i="3"/>
  <c r="C116" i="3"/>
  <c r="C111" i="3"/>
  <c r="C112" i="3"/>
  <c r="V120" i="5"/>
  <c r="V66" i="5"/>
  <c r="V121" i="7" s="1"/>
  <c r="F117" i="3"/>
  <c r="F116" i="3"/>
  <c r="F109" i="3"/>
  <c r="F113" i="3"/>
  <c r="F115" i="3"/>
  <c r="F119" i="3"/>
  <c r="F114" i="3"/>
  <c r="F120" i="3"/>
  <c r="F118" i="3"/>
  <c r="F111" i="3"/>
  <c r="F112" i="3"/>
  <c r="E110" i="3"/>
  <c r="U122" i="5"/>
  <c r="U68" i="5"/>
  <c r="U123" i="7" s="1"/>
  <c r="U95" i="5"/>
  <c r="U116" i="6" l="1"/>
  <c r="U62" i="6"/>
  <c r="U204" i="7" s="1"/>
  <c r="U89" i="6"/>
  <c r="U64" i="5"/>
  <c r="U119" i="7" s="1"/>
  <c r="U118" i="5"/>
  <c r="U91" i="5"/>
  <c r="C112" i="6"/>
  <c r="C58" i="6"/>
  <c r="C200" i="7" s="1"/>
  <c r="C85" i="6"/>
  <c r="V114" i="6"/>
  <c r="V60" i="6"/>
  <c r="V202" i="7" s="1"/>
  <c r="U129" i="6"/>
  <c r="U75" i="6"/>
  <c r="U217" i="7" s="1"/>
  <c r="U102" i="6"/>
  <c r="U112" i="6"/>
  <c r="U58" i="6"/>
  <c r="U200" i="7" s="1"/>
  <c r="U85" i="6"/>
  <c r="B218" i="3"/>
  <c r="C118" i="5"/>
  <c r="C64" i="5"/>
  <c r="C119" i="7" s="1"/>
  <c r="C91" i="5"/>
  <c r="C55" i="7" l="1"/>
  <c r="B79" i="5" l="1"/>
  <c r="B134" i="7" s="1"/>
  <c r="B133" i="5"/>
  <c r="B106" i="5"/>
  <c r="B43" i="5"/>
  <c r="B127" i="6"/>
  <c r="B73" i="6"/>
  <c r="B215" i="7" s="1"/>
  <c r="B100" i="6"/>
  <c r="B34" i="6"/>
  <c r="U67" i="5"/>
  <c r="U122" i="7" s="1"/>
  <c r="U121" i="5"/>
  <c r="U94" i="5"/>
  <c r="B112" i="6"/>
  <c r="B58" i="6"/>
  <c r="B200" i="7" s="1"/>
  <c r="B85" i="6"/>
  <c r="B118" i="5"/>
  <c r="B64" i="5"/>
  <c r="B119" i="7" s="1"/>
  <c r="B91" i="5"/>
  <c r="B72" i="5"/>
  <c r="B127" i="7" s="1"/>
  <c r="B126" i="5"/>
  <c r="B99" i="5"/>
  <c r="B33" i="5"/>
  <c r="B71" i="6" l="1"/>
  <c r="B213" i="7" s="1"/>
  <c r="B125" i="6"/>
  <c r="B79" i="3"/>
  <c r="B98" i="6"/>
  <c r="B77" i="5"/>
  <c r="B132" i="7" s="1"/>
  <c r="B131" i="5"/>
  <c r="B49" i="3"/>
  <c r="B104" i="5"/>
  <c r="U128" i="5"/>
  <c r="U74" i="5"/>
  <c r="U129" i="7" s="1"/>
  <c r="U101" i="5"/>
  <c r="B124" i="5"/>
  <c r="B70" i="5"/>
  <c r="B125" i="7" s="1"/>
  <c r="B38" i="3"/>
  <c r="B97" i="5"/>
  <c r="U115" i="6"/>
  <c r="U61" i="6"/>
  <c r="U203" i="7" s="1"/>
  <c r="U88" i="6"/>
  <c r="B201" i="3" l="1"/>
  <c r="B65" i="5"/>
  <c r="B120" i="7" s="1"/>
  <c r="B119" i="5"/>
  <c r="B92" i="5"/>
  <c r="B21" i="5"/>
  <c r="B113" i="6"/>
  <c r="B59" i="6"/>
  <c r="B201" i="7" s="1"/>
  <c r="B86" i="6"/>
  <c r="B20" i="6"/>
  <c r="B190" i="3"/>
  <c r="U122" i="6"/>
  <c r="U68" i="6"/>
  <c r="U210" i="7" s="1"/>
  <c r="U95" i="6"/>
  <c r="V188" i="4"/>
  <c r="V47" i="4"/>
  <c r="B139" i="5"/>
  <c r="B85" i="5"/>
  <c r="B140" i="7" s="1"/>
  <c r="B112" i="5"/>
  <c r="B120" i="6"/>
  <c r="B66" i="6"/>
  <c r="B208" i="7" s="1"/>
  <c r="B93" i="6"/>
  <c r="B27" i="6"/>
  <c r="B231" i="3"/>
  <c r="V10" i="4"/>
  <c r="V184" i="4" l="1"/>
  <c r="V46" i="4"/>
  <c r="V265" i="4"/>
  <c r="B63" i="5"/>
  <c r="B118" i="7" s="1"/>
  <c r="B117" i="5"/>
  <c r="B37" i="3"/>
  <c r="B90" i="5"/>
  <c r="B18" i="5"/>
  <c r="V201" i="4"/>
  <c r="B18" i="6"/>
  <c r="B111" i="6"/>
  <c r="B67" i="3"/>
  <c r="B57" i="6"/>
  <c r="B199" i="7" s="1"/>
  <c r="B84" i="6"/>
  <c r="B118" i="6"/>
  <c r="B68" i="3"/>
  <c r="B64" i="6"/>
  <c r="B206" i="7" s="1"/>
  <c r="B91" i="6"/>
  <c r="W75" i="5"/>
  <c r="W130" i="7" s="1"/>
  <c r="W129" i="5"/>
  <c r="V24" i="4"/>
  <c r="V176" i="4" l="1"/>
  <c r="V215" i="4"/>
  <c r="V20" i="4"/>
  <c r="B61" i="5"/>
  <c r="B88" i="5"/>
  <c r="V264" i="4"/>
  <c r="V272" i="4"/>
  <c r="V273" i="4"/>
  <c r="V271" i="4"/>
  <c r="V266" i="4"/>
  <c r="V270" i="4"/>
  <c r="V268" i="4"/>
  <c r="V267" i="4"/>
  <c r="V269" i="4"/>
  <c r="B220" i="3"/>
  <c r="B55" i="6"/>
  <c r="B82" i="6"/>
  <c r="B219" i="3"/>
  <c r="B65" i="3"/>
  <c r="B189" i="3"/>
  <c r="B35" i="3"/>
  <c r="W123" i="6"/>
  <c r="W150" i="6"/>
  <c r="W69" i="6"/>
  <c r="V175" i="4" l="1"/>
  <c r="B187" i="3"/>
  <c r="B34" i="3"/>
  <c r="B127" i="3" s="1"/>
  <c r="B64" i="3"/>
  <c r="B217" i="3"/>
  <c r="B133" i="6"/>
  <c r="B79" i="6"/>
  <c r="B221" i="7" s="1"/>
  <c r="B106" i="6"/>
  <c r="V211" i="4"/>
  <c r="V157" i="4"/>
  <c r="V19" i="4"/>
  <c r="V238" i="4" s="1"/>
  <c r="V19" i="3"/>
  <c r="D55" i="7"/>
  <c r="B157" i="3" l="1"/>
  <c r="V33" i="4"/>
  <c r="V171" i="4"/>
  <c r="B168" i="3"/>
  <c r="B163" i="3"/>
  <c r="B161" i="3"/>
  <c r="B166" i="3"/>
  <c r="B165" i="3"/>
  <c r="B156" i="3"/>
  <c r="B167" i="3"/>
  <c r="B216" i="3"/>
  <c r="B158" i="3"/>
  <c r="B160" i="3"/>
  <c r="B159" i="3"/>
  <c r="V18" i="3"/>
  <c r="B137" i="3"/>
  <c r="B138" i="3"/>
  <c r="B135" i="3"/>
  <c r="B126" i="3"/>
  <c r="B132" i="3"/>
  <c r="B133" i="3"/>
  <c r="B131" i="3"/>
  <c r="B134" i="3"/>
  <c r="B136" i="3"/>
  <c r="B186" i="3"/>
  <c r="B128" i="3"/>
  <c r="B130" i="3"/>
  <c r="B129" i="3"/>
  <c r="V237" i="4"/>
  <c r="V156" i="4"/>
  <c r="V245" i="4"/>
  <c r="V246" i="4"/>
  <c r="V244" i="4"/>
  <c r="V243" i="4"/>
  <c r="V239" i="4"/>
  <c r="V241" i="4"/>
  <c r="V240" i="4"/>
  <c r="V242" i="4"/>
  <c r="V135" i="5"/>
  <c r="V81" i="5"/>
  <c r="V136" i="7" s="1"/>
  <c r="V108" i="5"/>
  <c r="W185" i="4" l="1"/>
  <c r="W189" i="4"/>
  <c r="W187" i="4"/>
  <c r="V17" i="3"/>
  <c r="V110" i="3"/>
  <c r="V121" i="5"/>
  <c r="V67" i="5"/>
  <c r="V122" i="7" s="1"/>
  <c r="V94" i="5"/>
  <c r="B52" i="5"/>
  <c r="B84" i="5"/>
  <c r="B111" i="5"/>
  <c r="B40" i="6"/>
  <c r="B78" i="6"/>
  <c r="B105" i="6"/>
  <c r="V129" i="6"/>
  <c r="V75" i="6"/>
  <c r="V217" i="7" s="1"/>
  <c r="V102" i="6"/>
  <c r="W178" i="4"/>
  <c r="W180" i="4"/>
  <c r="V170" i="4"/>
  <c r="V31" i="4"/>
  <c r="B83" i="5" l="1"/>
  <c r="B50" i="3"/>
  <c r="B110" i="5"/>
  <c r="B42" i="5"/>
  <c r="V260" i="4"/>
  <c r="V30" i="4"/>
  <c r="V249" i="4"/>
  <c r="V168" i="4"/>
  <c r="V250" i="4"/>
  <c r="V263" i="4"/>
  <c r="V261" i="4"/>
  <c r="V255" i="4"/>
  <c r="V259" i="4"/>
  <c r="V254" i="4"/>
  <c r="V262" i="4"/>
  <c r="V258" i="4"/>
  <c r="V253" i="4"/>
  <c r="V257" i="4"/>
  <c r="V256" i="4"/>
  <c r="V252" i="4"/>
  <c r="V74" i="5"/>
  <c r="V129" i="7" s="1"/>
  <c r="V128" i="5"/>
  <c r="V101" i="5"/>
  <c r="V117" i="3"/>
  <c r="V119" i="3"/>
  <c r="V115" i="3"/>
  <c r="V120" i="3"/>
  <c r="V118" i="3"/>
  <c r="V109" i="3"/>
  <c r="V114" i="3"/>
  <c r="V116" i="3"/>
  <c r="V113" i="3"/>
  <c r="V112" i="3"/>
  <c r="V111" i="3"/>
  <c r="V115" i="6"/>
  <c r="V61" i="6"/>
  <c r="V203" i="7" s="1"/>
  <c r="V88" i="6"/>
  <c r="V251" i="4"/>
  <c r="B80" i="3"/>
  <c r="B77" i="6"/>
  <c r="B104" i="6"/>
  <c r="B33" i="6"/>
  <c r="W186" i="4"/>
  <c r="W25" i="4"/>
  <c r="W14" i="4"/>
  <c r="W23" i="4"/>
  <c r="W21" i="4"/>
  <c r="W214" i="4" l="1"/>
  <c r="W205" i="4"/>
  <c r="W216" i="4"/>
  <c r="B76" i="5"/>
  <c r="B103" i="5"/>
  <c r="B17" i="5"/>
  <c r="B232" i="3"/>
  <c r="B78" i="3"/>
  <c r="W212" i="4"/>
  <c r="B17" i="6"/>
  <c r="B151" i="6" s="1"/>
  <c r="B70" i="6"/>
  <c r="B97" i="6"/>
  <c r="V122" i="6"/>
  <c r="V68" i="6"/>
  <c r="V210" i="7" s="1"/>
  <c r="V95" i="6"/>
  <c r="B202" i="3"/>
  <c r="B48" i="3"/>
  <c r="W22" i="4"/>
  <c r="W18" i="4"/>
  <c r="V11" i="4"/>
  <c r="V12" i="4"/>
  <c r="V9" i="4"/>
  <c r="V96" i="5" l="1"/>
  <c r="V203" i="4"/>
  <c r="B144" i="5"/>
  <c r="B141" i="5"/>
  <c r="B60" i="5"/>
  <c r="B154" i="5"/>
  <c r="B156" i="5"/>
  <c r="B161" i="5"/>
  <c r="B162" i="5"/>
  <c r="B163" i="5"/>
  <c r="B147" i="5"/>
  <c r="B148" i="5"/>
  <c r="B155" i="5"/>
  <c r="B152" i="5"/>
  <c r="B159" i="5"/>
  <c r="B143" i="5"/>
  <c r="B153" i="5"/>
  <c r="B160" i="5"/>
  <c r="B145" i="5"/>
  <c r="B151" i="5"/>
  <c r="B158" i="5"/>
  <c r="B146" i="5"/>
  <c r="B166" i="5"/>
  <c r="B142" i="5"/>
  <c r="B165" i="5"/>
  <c r="B164" i="5"/>
  <c r="V202" i="4"/>
  <c r="W213" i="4"/>
  <c r="V87" i="6"/>
  <c r="V200" i="4"/>
  <c r="V93" i="5"/>
  <c r="W96" i="6"/>
  <c r="W209" i="4"/>
  <c r="W102" i="5"/>
  <c r="B157" i="5"/>
  <c r="B200" i="3"/>
  <c r="B47" i="3"/>
  <c r="B140" i="3" s="1"/>
  <c r="B135" i="6"/>
  <c r="B148" i="6"/>
  <c r="B156" i="6"/>
  <c r="B155" i="6"/>
  <c r="B141" i="6"/>
  <c r="B142" i="6"/>
  <c r="B149" i="6"/>
  <c r="B54" i="6"/>
  <c r="B153" i="6"/>
  <c r="B137" i="6"/>
  <c r="B146" i="6"/>
  <c r="B154" i="6"/>
  <c r="B139" i="6"/>
  <c r="B152" i="6"/>
  <c r="B140" i="6"/>
  <c r="B147" i="6"/>
  <c r="B145" i="6"/>
  <c r="B138" i="6"/>
  <c r="B136" i="6"/>
  <c r="B160" i="6"/>
  <c r="B159" i="6"/>
  <c r="B158" i="6"/>
  <c r="B77" i="3"/>
  <c r="B230" i="3"/>
  <c r="W16" i="4"/>
  <c r="V4" i="5"/>
  <c r="V47" i="6" s="1"/>
  <c r="V7" i="4"/>
  <c r="B169" i="3" l="1"/>
  <c r="B175" i="3"/>
  <c r="B173" i="3"/>
  <c r="B176" i="3"/>
  <c r="B177" i="3"/>
  <c r="B174" i="3"/>
  <c r="B180" i="3"/>
  <c r="B179" i="3"/>
  <c r="B178" i="3"/>
  <c r="B229" i="3"/>
  <c r="B171" i="3"/>
  <c r="B172" i="3"/>
  <c r="B144" i="3"/>
  <c r="B149" i="3"/>
  <c r="B143" i="3"/>
  <c r="B199" i="3"/>
  <c r="B150" i="3"/>
  <c r="B148" i="3"/>
  <c r="B139" i="3"/>
  <c r="B145" i="3"/>
  <c r="B147" i="3"/>
  <c r="B146" i="3"/>
  <c r="B141" i="3"/>
  <c r="B142" i="3"/>
  <c r="V198" i="4"/>
  <c r="W207" i="4"/>
  <c r="V123" i="5"/>
  <c r="V69" i="5"/>
  <c r="V124" i="7" s="1"/>
  <c r="B170" i="3"/>
  <c r="V8" i="4"/>
  <c r="V6" i="4" s="1"/>
  <c r="V143" i="4" l="1"/>
  <c r="V197" i="4"/>
  <c r="V7" i="3"/>
  <c r="V4" i="4"/>
  <c r="V199" i="4"/>
  <c r="V117" i="6"/>
  <c r="V144" i="6"/>
  <c r="V63" i="6"/>
  <c r="V90" i="6"/>
  <c r="W136" i="5"/>
  <c r="W82" i="5"/>
  <c r="W137" i="7" s="1"/>
  <c r="W109" i="5"/>
  <c r="V231" i="4" l="1"/>
  <c r="V141" i="4"/>
  <c r="V195" i="4"/>
  <c r="V222" i="4"/>
  <c r="V223" i="4"/>
  <c r="V232" i="4"/>
  <c r="V236" i="4"/>
  <c r="V234" i="4"/>
  <c r="V235" i="4"/>
  <c r="V233" i="4"/>
  <c r="V228" i="4"/>
  <c r="V229" i="4"/>
  <c r="V227" i="4"/>
  <c r="V230" i="4"/>
  <c r="V225" i="4"/>
  <c r="V5" i="3"/>
  <c r="V226" i="4"/>
  <c r="V224" i="4"/>
  <c r="W157" i="6"/>
  <c r="W130" i="6"/>
  <c r="W76" i="6"/>
  <c r="W103" i="6"/>
  <c r="E55" i="7"/>
  <c r="V119" i="6" l="1"/>
  <c r="V65" i="6"/>
  <c r="V207" i="7" s="1"/>
  <c r="V92" i="6"/>
  <c r="V110" i="6"/>
  <c r="V66" i="3"/>
  <c r="V56" i="6"/>
  <c r="V198" i="7" s="1"/>
  <c r="V83" i="6"/>
  <c r="V125" i="5"/>
  <c r="V71" i="5"/>
  <c r="V126" i="7" s="1"/>
  <c r="V98" i="5"/>
  <c r="V4" i="3"/>
  <c r="V97" i="3" s="1"/>
  <c r="V78" i="5"/>
  <c r="V133" i="7" s="1"/>
  <c r="V132" i="5"/>
  <c r="V105" i="5"/>
  <c r="V126" i="6"/>
  <c r="V72" i="6"/>
  <c r="V214" i="7" s="1"/>
  <c r="V99" i="6"/>
  <c r="V62" i="5"/>
  <c r="V117" i="7" s="1"/>
  <c r="V116" i="5"/>
  <c r="V36" i="3"/>
  <c r="V89" i="5"/>
  <c r="V102" i="3" l="1"/>
  <c r="V105" i="3"/>
  <c r="V106" i="3"/>
  <c r="V108" i="3"/>
  <c r="V104" i="3"/>
  <c r="V107" i="3"/>
  <c r="V96" i="3"/>
  <c r="V103" i="3"/>
  <c r="V101" i="3"/>
  <c r="V98" i="3"/>
  <c r="V100" i="3"/>
  <c r="V99" i="3"/>
  <c r="V188" i="3"/>
  <c r="V218" i="3"/>
  <c r="V122" i="5" l="1"/>
  <c r="V68" i="5"/>
  <c r="V123" i="7" s="1"/>
  <c r="V95" i="5"/>
  <c r="V116" i="6" l="1"/>
  <c r="V62" i="6"/>
  <c r="V204" i="7" s="1"/>
  <c r="V89" i="6"/>
  <c r="V112" i="6" l="1"/>
  <c r="V58" i="6"/>
  <c r="V200" i="7" s="1"/>
  <c r="V85" i="6"/>
  <c r="W173" i="4"/>
  <c r="V118" i="5"/>
  <c r="V64" i="5"/>
  <c r="V119" i="7" s="1"/>
  <c r="V91" i="5"/>
  <c r="W172" i="4"/>
  <c r="W174" i="4"/>
  <c r="F55" i="7" l="1"/>
  <c r="W181" i="4" l="1"/>
  <c r="W179" i="4" l="1"/>
  <c r="W40" i="4"/>
  <c r="W17" i="4"/>
  <c r="W208" i="4" l="1"/>
  <c r="W177" i="4"/>
  <c r="W10" i="4"/>
  <c r="W15" i="4"/>
  <c r="W206" i="4" l="1"/>
  <c r="W13" i="4"/>
  <c r="W201" i="4"/>
  <c r="W73" i="5"/>
  <c r="W128" i="7" s="1"/>
  <c r="W127" i="5"/>
  <c r="W100" i="5"/>
  <c r="W80" i="5"/>
  <c r="W135" i="7" s="1"/>
  <c r="W134" i="5"/>
  <c r="W107" i="5"/>
  <c r="W120" i="5" l="1"/>
  <c r="W66" i="5"/>
  <c r="W121" i="7" s="1"/>
  <c r="W204" i="4"/>
  <c r="W150" i="4"/>
  <c r="W8" i="3"/>
  <c r="W121" i="6"/>
  <c r="W67" i="6"/>
  <c r="W209" i="7" s="1"/>
  <c r="W94" i="6"/>
  <c r="W128" i="6"/>
  <c r="W74" i="6"/>
  <c r="W216" i="7" s="1"/>
  <c r="W101" i="6"/>
  <c r="W114" i="6" l="1"/>
  <c r="W60" i="6"/>
  <c r="W202" i="7" s="1"/>
  <c r="W188" i="4"/>
  <c r="W47" i="4"/>
  <c r="W184" i="4" l="1"/>
  <c r="W46" i="4"/>
  <c r="W265" i="4" s="1"/>
  <c r="W24" i="4"/>
  <c r="W215" i="4" l="1"/>
  <c r="W20" i="4"/>
  <c r="W264" i="4"/>
  <c r="W272" i="4"/>
  <c r="W273" i="4"/>
  <c r="W271" i="4"/>
  <c r="W266" i="4"/>
  <c r="W268" i="4"/>
  <c r="W270" i="4"/>
  <c r="W267" i="4"/>
  <c r="W269" i="4"/>
  <c r="W176" i="4"/>
  <c r="W19" i="4" l="1"/>
  <c r="W211" i="4"/>
  <c r="W157" i="4"/>
  <c r="W19" i="3"/>
  <c r="C107" i="4"/>
  <c r="C100" i="4" s="1"/>
  <c r="C84" i="4" s="1"/>
  <c r="D54" i="7"/>
  <c r="D134" i="4"/>
  <c r="W175" i="4"/>
  <c r="D107" i="4"/>
  <c r="D100" i="4" s="1"/>
  <c r="D84" i="4" s="1"/>
  <c r="X129" i="5"/>
  <c r="X75" i="5"/>
  <c r="X130" i="7" s="1"/>
  <c r="G55" i="7"/>
  <c r="W33" i="4" l="1"/>
  <c r="W171" i="4"/>
  <c r="C80" i="4"/>
  <c r="C27" i="7"/>
  <c r="C191" i="4"/>
  <c r="C218" i="4"/>
  <c r="W18" i="3"/>
  <c r="C54" i="7"/>
  <c r="C134" i="4"/>
  <c r="B134" i="4"/>
  <c r="B54" i="7"/>
  <c r="B107" i="4"/>
  <c r="B100" i="4" s="1"/>
  <c r="B84" i="4" s="1"/>
  <c r="X69" i="6"/>
  <c r="X123" i="6"/>
  <c r="X150" i="6"/>
  <c r="D53" i="7"/>
  <c r="D127" i="4"/>
  <c r="D80" i="4"/>
  <c r="D27" i="7"/>
  <c r="D191" i="4"/>
  <c r="D218" i="4"/>
  <c r="W238" i="4"/>
  <c r="W237" i="4"/>
  <c r="W156" i="4"/>
  <c r="W245" i="4"/>
  <c r="W246" i="4"/>
  <c r="W244" i="4"/>
  <c r="W239" i="4"/>
  <c r="W241" i="4"/>
  <c r="W243" i="4"/>
  <c r="W240" i="4"/>
  <c r="W242" i="4"/>
  <c r="C26" i="7" l="1"/>
  <c r="C73" i="4"/>
  <c r="C190" i="4"/>
  <c r="C217" i="4"/>
  <c r="B27" i="7"/>
  <c r="B80" i="4"/>
  <c r="B191" i="4"/>
  <c r="B218" i="4"/>
  <c r="B132" i="6"/>
  <c r="B138" i="5"/>
  <c r="D26" i="7"/>
  <c r="D73" i="4"/>
  <c r="D190" i="4"/>
  <c r="D217" i="4"/>
  <c r="D46" i="7"/>
  <c r="D111" i="4"/>
  <c r="D30" i="7" s="1"/>
  <c r="B53" i="7"/>
  <c r="B127" i="4"/>
  <c r="C53" i="7"/>
  <c r="C127" i="4"/>
  <c r="W170" i="4"/>
  <c r="W31" i="4"/>
  <c r="W251" i="4" s="1"/>
  <c r="W17" i="3"/>
  <c r="W110" i="3" s="1"/>
  <c r="W81" i="5"/>
  <c r="W136" i="7" s="1"/>
  <c r="W135" i="5"/>
  <c r="W108" i="5"/>
  <c r="W30" i="4" l="1"/>
  <c r="W249" i="4"/>
  <c r="W168" i="4"/>
  <c r="W250" i="4"/>
  <c r="W263" i="4"/>
  <c r="W259" i="4"/>
  <c r="W261" i="4"/>
  <c r="W254" i="4"/>
  <c r="W255" i="4"/>
  <c r="W253" i="4"/>
  <c r="W262" i="4"/>
  <c r="W260" i="4"/>
  <c r="W258" i="4"/>
  <c r="W257" i="4"/>
  <c r="W256" i="4"/>
  <c r="W252" i="4"/>
  <c r="C46" i="7"/>
  <c r="C111" i="4"/>
  <c r="C30" i="7" s="1"/>
  <c r="W109" i="3"/>
  <c r="W113" i="3"/>
  <c r="W118" i="3"/>
  <c r="W116" i="3"/>
  <c r="W114" i="3"/>
  <c r="W119" i="3"/>
  <c r="W117" i="3"/>
  <c r="W115" i="3"/>
  <c r="W120" i="3"/>
  <c r="W112" i="3"/>
  <c r="W111" i="3"/>
  <c r="W129" i="6"/>
  <c r="W75" i="6"/>
  <c r="W217" i="7" s="1"/>
  <c r="W102" i="6"/>
  <c r="D19" i="7"/>
  <c r="D57" i="4"/>
  <c r="D183" i="4"/>
  <c r="D210" i="4"/>
  <c r="C19" i="7"/>
  <c r="C57" i="4"/>
  <c r="C183" i="4"/>
  <c r="C210" i="4"/>
  <c r="B46" i="7"/>
  <c r="B111" i="4"/>
  <c r="B30" i="7" s="1"/>
  <c r="B26" i="7"/>
  <c r="B73" i="4"/>
  <c r="B190" i="4"/>
  <c r="B217" i="4"/>
  <c r="B137" i="5"/>
  <c r="B131" i="6"/>
  <c r="X180" i="4" l="1"/>
  <c r="B19" i="7"/>
  <c r="B57" i="4"/>
  <c r="B183" i="4"/>
  <c r="B210" i="4"/>
  <c r="D3" i="7"/>
  <c r="D167" i="4"/>
  <c r="W67" i="5"/>
  <c r="W122" i="7" s="1"/>
  <c r="W121" i="5"/>
  <c r="W94" i="5"/>
  <c r="E107" i="4"/>
  <c r="E100" i="4" s="1"/>
  <c r="E84" i="4" s="1"/>
  <c r="E54" i="7"/>
  <c r="E134" i="4"/>
  <c r="C3" i="7"/>
  <c r="C167" i="4"/>
  <c r="W9" i="4"/>
  <c r="W11" i="4"/>
  <c r="W12" i="4"/>
  <c r="B3" i="7" l="1"/>
  <c r="B167" i="4"/>
  <c r="W96" i="5"/>
  <c r="W203" i="4"/>
  <c r="W128" i="5"/>
  <c r="W74" i="5"/>
  <c r="W129" i="7" s="1"/>
  <c r="W101" i="5"/>
  <c r="W202" i="4"/>
  <c r="W87" i="6"/>
  <c r="W200" i="4"/>
  <c r="W93" i="5"/>
  <c r="E53" i="7"/>
  <c r="E127" i="4"/>
  <c r="W115" i="6"/>
  <c r="W61" i="6"/>
  <c r="W203" i="7" s="1"/>
  <c r="W88" i="6"/>
  <c r="E27" i="7"/>
  <c r="E80" i="4"/>
  <c r="E191" i="4"/>
  <c r="E218" i="4"/>
  <c r="W7" i="4"/>
  <c r="W4" i="5" l="1"/>
  <c r="W47" i="6" s="1"/>
  <c r="W123" i="5"/>
  <c r="W69" i="5"/>
  <c r="W124" i="7" s="1"/>
  <c r="W198" i="4"/>
  <c r="W122" i="6"/>
  <c r="W68" i="6"/>
  <c r="W210" i="7" s="1"/>
  <c r="W95" i="6"/>
  <c r="E26" i="7"/>
  <c r="E73" i="4"/>
  <c r="E190" i="4"/>
  <c r="E217" i="4"/>
  <c r="E46" i="7"/>
  <c r="E111" i="4"/>
  <c r="E30" i="7" s="1"/>
  <c r="F54" i="7"/>
  <c r="F134" i="4"/>
  <c r="F107" i="4"/>
  <c r="F100" i="4" s="1"/>
  <c r="F84" i="4" s="1"/>
  <c r="B139" i="7"/>
  <c r="B220" i="7"/>
  <c r="W8" i="4"/>
  <c r="W117" i="6" l="1"/>
  <c r="W144" i="6"/>
  <c r="W63" i="6"/>
  <c r="W90" i="6"/>
  <c r="W199" i="4"/>
  <c r="F80" i="4"/>
  <c r="F27" i="7"/>
  <c r="F191" i="4"/>
  <c r="F218" i="4"/>
  <c r="E19" i="7"/>
  <c r="E57" i="4"/>
  <c r="E183" i="4"/>
  <c r="E210" i="4"/>
  <c r="W6" i="4"/>
  <c r="F53" i="7"/>
  <c r="F127" i="4"/>
  <c r="B138" i="7"/>
  <c r="B219" i="7"/>
  <c r="E3" i="7" l="1"/>
  <c r="E167" i="4"/>
  <c r="F46" i="7"/>
  <c r="F111" i="4"/>
  <c r="F30" i="7" s="1"/>
  <c r="W197" i="4"/>
  <c r="W7" i="3"/>
  <c r="W143" i="4"/>
  <c r="W4" i="4"/>
  <c r="F26" i="7"/>
  <c r="F73" i="4"/>
  <c r="F190" i="4"/>
  <c r="F217" i="4"/>
  <c r="W119" i="6" l="1"/>
  <c r="W65" i="6"/>
  <c r="W207" i="7" s="1"/>
  <c r="W92" i="6"/>
  <c r="G107" i="4"/>
  <c r="G100" i="4" s="1"/>
  <c r="G84" i="4" s="1"/>
  <c r="W5" i="3"/>
  <c r="W126" i="6"/>
  <c r="W72" i="6"/>
  <c r="W214" i="7" s="1"/>
  <c r="W99" i="6"/>
  <c r="F19" i="7"/>
  <c r="F57" i="4"/>
  <c r="F183" i="4"/>
  <c r="F210" i="4"/>
  <c r="G54" i="7"/>
  <c r="G134" i="4"/>
  <c r="W125" i="5"/>
  <c r="W71" i="5"/>
  <c r="W126" i="7" s="1"/>
  <c r="W98" i="5"/>
  <c r="W224" i="4"/>
  <c r="W222" i="4"/>
  <c r="W195" i="4"/>
  <c r="W141" i="4"/>
  <c r="W223" i="4"/>
  <c r="W232" i="4"/>
  <c r="W236" i="4"/>
  <c r="W234" i="4"/>
  <c r="W235" i="4"/>
  <c r="W228" i="4"/>
  <c r="W233" i="4"/>
  <c r="W231" i="4"/>
  <c r="W230" i="4"/>
  <c r="W229" i="4"/>
  <c r="W227" i="4"/>
  <c r="W225" i="4"/>
  <c r="W226" i="4"/>
  <c r="W36" i="3"/>
  <c r="W116" i="5"/>
  <c r="W62" i="5"/>
  <c r="W117" i="7" s="1"/>
  <c r="W89" i="5"/>
  <c r="W132" i="5"/>
  <c r="W78" i="5"/>
  <c r="W133" i="7" s="1"/>
  <c r="W105" i="5"/>
  <c r="G53" i="7" l="1"/>
  <c r="G127" i="4"/>
  <c r="W188" i="3"/>
  <c r="W4" i="3"/>
  <c r="W97" i="3" s="1"/>
  <c r="W110" i="6"/>
  <c r="W66" i="3"/>
  <c r="W56" i="6"/>
  <c r="W198" i="7" s="1"/>
  <c r="W83" i="6"/>
  <c r="G27" i="7"/>
  <c r="G80" i="4"/>
  <c r="G191" i="4"/>
  <c r="G218" i="4"/>
  <c r="F3" i="7"/>
  <c r="F167" i="4"/>
  <c r="H55" i="7"/>
  <c r="W218" i="3" l="1"/>
  <c r="W122" i="5"/>
  <c r="W68" i="5"/>
  <c r="W123" i="7" s="1"/>
  <c r="W95" i="5"/>
  <c r="G46" i="7"/>
  <c r="G111" i="4"/>
  <c r="G30" i="7" s="1"/>
  <c r="G26" i="7"/>
  <c r="G73" i="4"/>
  <c r="G190" i="4"/>
  <c r="G217" i="4"/>
  <c r="W107" i="3"/>
  <c r="W102" i="3"/>
  <c r="W103" i="3"/>
  <c r="W105" i="3"/>
  <c r="W104" i="3"/>
  <c r="W108" i="3"/>
  <c r="W101" i="3"/>
  <c r="W106" i="3"/>
  <c r="W96" i="3"/>
  <c r="W98" i="3"/>
  <c r="W100" i="3"/>
  <c r="W99" i="3"/>
  <c r="H107" i="4" l="1"/>
  <c r="H100" i="4" s="1"/>
  <c r="H84" i="4" s="1"/>
  <c r="H134" i="4"/>
  <c r="H54" i="7"/>
  <c r="W112" i="6"/>
  <c r="W58" i="6"/>
  <c r="W200" i="7" s="1"/>
  <c r="W85" i="6"/>
  <c r="G19" i="7"/>
  <c r="G57" i="4"/>
  <c r="G183" i="4"/>
  <c r="G210" i="4"/>
  <c r="W116" i="6"/>
  <c r="W62" i="6"/>
  <c r="W204" i="7" s="1"/>
  <c r="W89" i="6"/>
  <c r="W64" i="5"/>
  <c r="W119" i="7" s="1"/>
  <c r="W118" i="5"/>
  <c r="W91" i="5"/>
  <c r="G3" i="7" l="1"/>
  <c r="G167" i="4"/>
  <c r="H27" i="7"/>
  <c r="H80" i="4"/>
  <c r="H191" i="4"/>
  <c r="H218" i="4"/>
  <c r="H53" i="7"/>
  <c r="H127" i="4"/>
  <c r="H26" i="7" l="1"/>
  <c r="H73" i="4"/>
  <c r="H190" i="4"/>
  <c r="H217" i="4"/>
  <c r="H46" i="7"/>
  <c r="H111" i="4"/>
  <c r="H30" i="7" s="1"/>
  <c r="H19" i="7" l="1"/>
  <c r="H57" i="4"/>
  <c r="H183" i="4"/>
  <c r="H210" i="4"/>
  <c r="I54" i="7"/>
  <c r="I107" i="4"/>
  <c r="I100" i="4" s="1"/>
  <c r="I84" i="4" s="1"/>
  <c r="C62" i="7"/>
  <c r="B62" i="7"/>
  <c r="X178" i="4"/>
  <c r="I27" i="7" l="1"/>
  <c r="I80" i="4"/>
  <c r="I191" i="4"/>
  <c r="I218" i="4"/>
  <c r="H3" i="7"/>
  <c r="H167" i="4"/>
  <c r="X14" i="4"/>
  <c r="C127" i="6" l="1"/>
  <c r="C73" i="6"/>
  <c r="C215" i="7" s="1"/>
  <c r="C100" i="6"/>
  <c r="C34" i="6"/>
  <c r="D62" i="7"/>
  <c r="I26" i="7"/>
  <c r="I73" i="4"/>
  <c r="I190" i="4"/>
  <c r="I217" i="4"/>
  <c r="X205" i="4"/>
  <c r="C126" i="5"/>
  <c r="C72" i="5"/>
  <c r="C127" i="7" s="1"/>
  <c r="C99" i="5"/>
  <c r="C33" i="5"/>
  <c r="C79" i="5"/>
  <c r="C134" i="7" s="1"/>
  <c r="C133" i="5"/>
  <c r="C106" i="5"/>
  <c r="C43" i="5"/>
  <c r="C120" i="6"/>
  <c r="C66" i="6"/>
  <c r="C208" i="7" s="1"/>
  <c r="C93" i="6"/>
  <c r="C27" i="6"/>
  <c r="B69" i="7"/>
  <c r="B60" i="7" s="1"/>
  <c r="X16" i="4"/>
  <c r="X18" i="4"/>
  <c r="C131" i="5" l="1"/>
  <c r="C77" i="5"/>
  <c r="C132" i="7" s="1"/>
  <c r="C49" i="3"/>
  <c r="C104" i="5"/>
  <c r="X207" i="4"/>
  <c r="C118" i="6"/>
  <c r="C68" i="3"/>
  <c r="C64" i="6"/>
  <c r="C206" i="7" s="1"/>
  <c r="C91" i="6"/>
  <c r="C125" i="6"/>
  <c r="C79" i="3"/>
  <c r="C71" i="6"/>
  <c r="C213" i="7" s="1"/>
  <c r="C98" i="6"/>
  <c r="X209" i="4"/>
  <c r="X102" i="5"/>
  <c r="X96" i="6"/>
  <c r="C124" i="5"/>
  <c r="C70" i="5"/>
  <c r="C125" i="7" s="1"/>
  <c r="C38" i="3"/>
  <c r="C97" i="5"/>
  <c r="I183" i="4"/>
  <c r="I19" i="7"/>
  <c r="I57" i="4"/>
  <c r="I210" i="4"/>
  <c r="E62" i="7"/>
  <c r="C69" i="7" l="1"/>
  <c r="C60" i="7" s="1"/>
  <c r="I3" i="7"/>
  <c r="I167" i="4"/>
  <c r="C85" i="5"/>
  <c r="C140" i="7" s="1"/>
  <c r="C139" i="5"/>
  <c r="C112" i="5"/>
  <c r="C119" i="5"/>
  <c r="C65" i="5"/>
  <c r="C120" i="7" s="1"/>
  <c r="C92" i="5"/>
  <c r="C21" i="5"/>
  <c r="C231" i="3"/>
  <c r="J107" i="4"/>
  <c r="J100" i="4" s="1"/>
  <c r="J84" i="4" s="1"/>
  <c r="J54" i="7"/>
  <c r="C113" i="6"/>
  <c r="C59" i="6"/>
  <c r="C201" i="7" s="1"/>
  <c r="C86" i="6"/>
  <c r="C20" i="6"/>
  <c r="C190" i="3"/>
  <c r="F62" i="7"/>
  <c r="C201" i="3"/>
  <c r="C220" i="3"/>
  <c r="C76" i="7"/>
  <c r="G62" i="7"/>
  <c r="B76" i="7"/>
  <c r="I62" i="7" l="1"/>
  <c r="E69" i="7"/>
  <c r="E60" i="7" s="1"/>
  <c r="X189" i="4"/>
  <c r="E76" i="7"/>
  <c r="C117" i="5"/>
  <c r="C63" i="5"/>
  <c r="C118" i="7" s="1"/>
  <c r="C37" i="3"/>
  <c r="C90" i="5"/>
  <c r="C18" i="5"/>
  <c r="X188" i="4"/>
  <c r="D69" i="7"/>
  <c r="D60" i="7" s="1"/>
  <c r="D76" i="7"/>
  <c r="C111" i="6"/>
  <c r="C67" i="3"/>
  <c r="C57" i="6"/>
  <c r="C199" i="7" s="1"/>
  <c r="C84" i="6"/>
  <c r="C18" i="6"/>
  <c r="J80" i="4"/>
  <c r="J27" i="7"/>
  <c r="J191" i="4"/>
  <c r="J218" i="4"/>
  <c r="X185" i="4"/>
  <c r="H62" i="7"/>
  <c r="X47" i="4" l="1"/>
  <c r="X46" i="4" s="1"/>
  <c r="X184" i="4"/>
  <c r="X187" i="4"/>
  <c r="F76" i="7"/>
  <c r="C55" i="6"/>
  <c r="C82" i="6"/>
  <c r="C61" i="5"/>
  <c r="C88" i="5"/>
  <c r="D120" i="6"/>
  <c r="D66" i="6"/>
  <c r="D208" i="7" s="1"/>
  <c r="D93" i="6"/>
  <c r="D27" i="6"/>
  <c r="D126" i="5"/>
  <c r="D72" i="5"/>
  <c r="D127" i="7" s="1"/>
  <c r="D99" i="5"/>
  <c r="D33" i="5"/>
  <c r="J62" i="7"/>
  <c r="X186" i="4"/>
  <c r="D127" i="6"/>
  <c r="D73" i="6"/>
  <c r="D215" i="7" s="1"/>
  <c r="D100" i="6"/>
  <c r="D34" i="6"/>
  <c r="C189" i="3"/>
  <c r="C35" i="3"/>
  <c r="F69" i="7"/>
  <c r="F60" i="7" s="1"/>
  <c r="J26" i="7"/>
  <c r="J73" i="4"/>
  <c r="J190" i="4"/>
  <c r="J217" i="4"/>
  <c r="C219" i="3"/>
  <c r="C65" i="3"/>
  <c r="G69" i="7"/>
  <c r="G60" i="7" s="1"/>
  <c r="D79" i="5"/>
  <c r="D134" i="7" s="1"/>
  <c r="D133" i="5"/>
  <c r="D106" i="5"/>
  <c r="D43" i="5"/>
  <c r="C133" i="6"/>
  <c r="C79" i="6"/>
  <c r="C221" i="7" s="1"/>
  <c r="C106" i="6"/>
  <c r="X25" i="4"/>
  <c r="X24" i="4"/>
  <c r="X21" i="4"/>
  <c r="X265" i="4" l="1"/>
  <c r="X268" i="4"/>
  <c r="D131" i="5"/>
  <c r="D77" i="5"/>
  <c r="D132" i="7" s="1"/>
  <c r="D49" i="3"/>
  <c r="D104" i="5"/>
  <c r="C187" i="3"/>
  <c r="C34" i="3"/>
  <c r="C127" i="3"/>
  <c r="D124" i="5"/>
  <c r="D70" i="5"/>
  <c r="D125" i="7" s="1"/>
  <c r="D38" i="3"/>
  <c r="D97" i="5"/>
  <c r="K54" i="7"/>
  <c r="X215" i="4"/>
  <c r="C64" i="3"/>
  <c r="C157" i="3" s="1"/>
  <c r="C217" i="3"/>
  <c r="X216" i="4"/>
  <c r="K62" i="7"/>
  <c r="K107" i="4"/>
  <c r="K100" i="4" s="1"/>
  <c r="K84" i="4" s="1"/>
  <c r="H69" i="7"/>
  <c r="H60" i="7" s="1"/>
  <c r="J19" i="7"/>
  <c r="J57" i="4"/>
  <c r="J183" i="4"/>
  <c r="J210" i="4"/>
  <c r="D125" i="6"/>
  <c r="D79" i="3"/>
  <c r="D71" i="6"/>
  <c r="D213" i="7" s="1"/>
  <c r="D98" i="6"/>
  <c r="D118" i="6"/>
  <c r="D68" i="3"/>
  <c r="D64" i="6"/>
  <c r="D206" i="7" s="1"/>
  <c r="D91" i="6"/>
  <c r="X212" i="4"/>
  <c r="X267" i="4"/>
  <c r="X264" i="4"/>
  <c r="X272" i="4"/>
  <c r="X273" i="4"/>
  <c r="X271" i="4"/>
  <c r="X266" i="4"/>
  <c r="X269" i="4"/>
  <c r="X270" i="4"/>
  <c r="X22" i="4"/>
  <c r="X23" i="4"/>
  <c r="G76" i="7"/>
  <c r="X20" i="4" l="1"/>
  <c r="X157" i="4" s="1"/>
  <c r="X19" i="3"/>
  <c r="X211" i="4"/>
  <c r="X19" i="4"/>
  <c r="X240" i="4" s="1"/>
  <c r="C84" i="5"/>
  <c r="C139" i="7" s="1"/>
  <c r="C52" i="5"/>
  <c r="C138" i="5"/>
  <c r="C111" i="5"/>
  <c r="C132" i="6"/>
  <c r="C40" i="6"/>
  <c r="C78" i="6"/>
  <c r="C220" i="7" s="1"/>
  <c r="C105" i="6"/>
  <c r="D220" i="3"/>
  <c r="C165" i="3"/>
  <c r="C163" i="3"/>
  <c r="C167" i="3"/>
  <c r="C161" i="3"/>
  <c r="C166" i="3"/>
  <c r="C156" i="3"/>
  <c r="C168" i="3"/>
  <c r="C216" i="3"/>
  <c r="C158" i="3"/>
  <c r="C160" i="3"/>
  <c r="C159" i="3"/>
  <c r="D190" i="3"/>
  <c r="D201" i="3"/>
  <c r="D113" i="6"/>
  <c r="D59" i="6"/>
  <c r="D201" i="7" s="1"/>
  <c r="D86" i="6"/>
  <c r="D20" i="6"/>
  <c r="X213" i="4"/>
  <c r="K80" i="4"/>
  <c r="K27" i="7"/>
  <c r="K191" i="4"/>
  <c r="K218" i="4"/>
  <c r="L62" i="7"/>
  <c r="D119" i="5"/>
  <c r="D65" i="5"/>
  <c r="D120" i="7" s="1"/>
  <c r="D92" i="5"/>
  <c r="D21" i="5"/>
  <c r="X174" i="4"/>
  <c r="J3" i="7"/>
  <c r="J167" i="4"/>
  <c r="H76" i="7"/>
  <c r="X172" i="4"/>
  <c r="D139" i="5"/>
  <c r="D85" i="5"/>
  <c r="D140" i="7" s="1"/>
  <c r="D112" i="5"/>
  <c r="D231" i="3"/>
  <c r="C133" i="3"/>
  <c r="C137" i="3"/>
  <c r="C134" i="3"/>
  <c r="C135" i="3"/>
  <c r="C186" i="3"/>
  <c r="C126" i="3"/>
  <c r="C131" i="3"/>
  <c r="C136" i="3"/>
  <c r="C132" i="3"/>
  <c r="C138" i="3"/>
  <c r="C128" i="3"/>
  <c r="C130" i="3"/>
  <c r="C129" i="3"/>
  <c r="I76" i="7"/>
  <c r="X214" i="4"/>
  <c r="I69" i="7"/>
  <c r="I60" i="7" s="1"/>
  <c r="X241" i="4" l="1"/>
  <c r="X238" i="4"/>
  <c r="J69" i="7"/>
  <c r="J60" i="7" s="1"/>
  <c r="C131" i="6"/>
  <c r="C80" i="3"/>
  <c r="C77" i="6"/>
  <c r="C219" i="7" s="1"/>
  <c r="C104" i="6"/>
  <c r="C33" i="6"/>
  <c r="X173" i="4"/>
  <c r="J76" i="7"/>
  <c r="D63" i="5"/>
  <c r="D118" i="7" s="1"/>
  <c r="D117" i="5"/>
  <c r="D37" i="3"/>
  <c r="D18" i="5"/>
  <c r="D90" i="5"/>
  <c r="I55" i="7"/>
  <c r="I134" i="4"/>
  <c r="X244" i="4"/>
  <c r="X237" i="4"/>
  <c r="X156" i="4"/>
  <c r="X245" i="4"/>
  <c r="X246" i="4"/>
  <c r="X243" i="4"/>
  <c r="X242" i="4"/>
  <c r="X239" i="4"/>
  <c r="M62" i="7"/>
  <c r="L107" i="4"/>
  <c r="L100" i="4" s="1"/>
  <c r="L84" i="4" s="1"/>
  <c r="L54" i="7"/>
  <c r="D111" i="6"/>
  <c r="D67" i="3"/>
  <c r="D57" i="6"/>
  <c r="D199" i="7" s="1"/>
  <c r="D84" i="6"/>
  <c r="D18" i="6"/>
  <c r="X18" i="3"/>
  <c r="X136" i="5"/>
  <c r="X82" i="5"/>
  <c r="X137" i="7" s="1"/>
  <c r="X109" i="5"/>
  <c r="K26" i="7"/>
  <c r="K73" i="4"/>
  <c r="K190" i="4"/>
  <c r="K217" i="4"/>
  <c r="C137" i="5"/>
  <c r="C83" i="5"/>
  <c r="C138" i="7" s="1"/>
  <c r="C50" i="3"/>
  <c r="C110" i="5"/>
  <c r="C42" i="5"/>
  <c r="N62" i="7" l="1"/>
  <c r="D219" i="3"/>
  <c r="D65" i="3"/>
  <c r="C232" i="3"/>
  <c r="C78" i="3"/>
  <c r="D61" i="5"/>
  <c r="D88" i="5"/>
  <c r="X17" i="3"/>
  <c r="X110" i="3" s="1"/>
  <c r="D189" i="3"/>
  <c r="D35" i="3"/>
  <c r="X157" i="6"/>
  <c r="X130" i="6"/>
  <c r="X76" i="6"/>
  <c r="X103" i="6"/>
  <c r="C76" i="5"/>
  <c r="C103" i="5"/>
  <c r="C17" i="5"/>
  <c r="K57" i="4"/>
  <c r="K19" i="7"/>
  <c r="K183" i="4"/>
  <c r="K210" i="4"/>
  <c r="D133" i="6"/>
  <c r="D79" i="6"/>
  <c r="D221" i="7" s="1"/>
  <c r="D106" i="6"/>
  <c r="D55" i="6"/>
  <c r="D82" i="6"/>
  <c r="L80" i="4"/>
  <c r="L27" i="7"/>
  <c r="L191" i="4"/>
  <c r="L218" i="4"/>
  <c r="C70" i="6"/>
  <c r="C97" i="6"/>
  <c r="C17" i="6"/>
  <c r="I53" i="7"/>
  <c r="I127" i="4"/>
  <c r="K76" i="7"/>
  <c r="K69" i="7"/>
  <c r="K60" i="7" s="1"/>
  <c r="C202" i="3"/>
  <c r="C48" i="3"/>
  <c r="C151" i="6" l="1"/>
  <c r="C135" i="6"/>
  <c r="C156" i="6"/>
  <c r="C155" i="6"/>
  <c r="C142" i="6"/>
  <c r="C149" i="6"/>
  <c r="C148" i="6"/>
  <c r="C141" i="6"/>
  <c r="C146" i="6"/>
  <c r="C54" i="6"/>
  <c r="C153" i="6"/>
  <c r="C137" i="6"/>
  <c r="C139" i="6"/>
  <c r="C154" i="6"/>
  <c r="C147" i="6"/>
  <c r="C152" i="6"/>
  <c r="C145" i="6"/>
  <c r="C140" i="6"/>
  <c r="C138" i="6"/>
  <c r="C160" i="6"/>
  <c r="C136" i="6"/>
  <c r="C159" i="6"/>
  <c r="C158" i="6"/>
  <c r="X120" i="3"/>
  <c r="X115" i="3"/>
  <c r="X118" i="3"/>
  <c r="X116" i="3"/>
  <c r="X114" i="3"/>
  <c r="X109" i="3"/>
  <c r="X119" i="3"/>
  <c r="X113" i="3"/>
  <c r="X117" i="3"/>
  <c r="X112" i="3"/>
  <c r="X111" i="3"/>
  <c r="D64" i="3"/>
  <c r="D217" i="3"/>
  <c r="O62" i="7"/>
  <c r="L76" i="7"/>
  <c r="L69" i="7"/>
  <c r="L60" i="7" s="1"/>
  <c r="C200" i="3"/>
  <c r="C47" i="3"/>
  <c r="C140" i="3"/>
  <c r="K3" i="7"/>
  <c r="K167" i="4"/>
  <c r="D187" i="3"/>
  <c r="D34" i="3"/>
  <c r="C77" i="3"/>
  <c r="C230" i="3"/>
  <c r="I46" i="7"/>
  <c r="I111" i="4"/>
  <c r="I30" i="7" s="1"/>
  <c r="C157" i="5"/>
  <c r="C141" i="5"/>
  <c r="C60" i="5"/>
  <c r="C156" i="5"/>
  <c r="C161" i="5"/>
  <c r="C162" i="5"/>
  <c r="C163" i="5"/>
  <c r="C148" i="5"/>
  <c r="C154" i="5"/>
  <c r="C155" i="5"/>
  <c r="C147" i="5"/>
  <c r="C143" i="5"/>
  <c r="C159" i="5"/>
  <c r="C152" i="5"/>
  <c r="C145" i="5"/>
  <c r="C160" i="5"/>
  <c r="C153" i="5"/>
  <c r="C158" i="5"/>
  <c r="C151" i="5"/>
  <c r="C146" i="5"/>
  <c r="C166" i="5"/>
  <c r="C144" i="5"/>
  <c r="C142" i="5"/>
  <c r="C165" i="5"/>
  <c r="C164" i="5"/>
  <c r="L190" i="4"/>
  <c r="L26" i="7"/>
  <c r="L73" i="4"/>
  <c r="L217" i="4"/>
  <c r="C170" i="3" l="1"/>
  <c r="D157" i="3"/>
  <c r="D132" i="3"/>
  <c r="D186" i="3"/>
  <c r="D134" i="3"/>
  <c r="D136" i="3"/>
  <c r="D135" i="3"/>
  <c r="D131" i="3"/>
  <c r="D137" i="3"/>
  <c r="D126" i="3"/>
  <c r="D138" i="3"/>
  <c r="D133" i="3"/>
  <c r="D128" i="3"/>
  <c r="D130" i="3"/>
  <c r="D129" i="3"/>
  <c r="L183" i="4"/>
  <c r="L19" i="7"/>
  <c r="L57" i="4"/>
  <c r="L210" i="4"/>
  <c r="M76" i="7"/>
  <c r="M69" i="7"/>
  <c r="M60" i="7" s="1"/>
  <c r="P62" i="7"/>
  <c r="D52" i="5"/>
  <c r="D138" i="5"/>
  <c r="D84" i="5"/>
  <c r="D139" i="7" s="1"/>
  <c r="D111" i="5"/>
  <c r="C146" i="3"/>
  <c r="C147" i="3"/>
  <c r="C199" i="3"/>
  <c r="C143" i="3"/>
  <c r="C144" i="3"/>
  <c r="C150" i="3"/>
  <c r="C149" i="3"/>
  <c r="C148" i="3"/>
  <c r="C139" i="3"/>
  <c r="C145" i="3"/>
  <c r="C141" i="3"/>
  <c r="C142" i="3"/>
  <c r="D165" i="3"/>
  <c r="D156" i="3"/>
  <c r="D167" i="3"/>
  <c r="D168" i="3"/>
  <c r="D163" i="3"/>
  <c r="D161" i="3"/>
  <c r="D166" i="3"/>
  <c r="D158" i="3"/>
  <c r="D216" i="3"/>
  <c r="D160" i="3"/>
  <c r="D159" i="3"/>
  <c r="D40" i="6"/>
  <c r="D132" i="6"/>
  <c r="D78" i="6"/>
  <c r="D220" i="7" s="1"/>
  <c r="D105" i="6"/>
  <c r="C169" i="3"/>
  <c r="C175" i="3"/>
  <c r="C176" i="3"/>
  <c r="C174" i="3"/>
  <c r="C173" i="3"/>
  <c r="C180" i="3"/>
  <c r="C179" i="3"/>
  <c r="C178" i="3"/>
  <c r="C177" i="3"/>
  <c r="C229" i="3"/>
  <c r="C171" i="3"/>
  <c r="C172" i="3"/>
  <c r="Y129" i="5"/>
  <c r="Y75" i="5"/>
  <c r="Y130" i="7" s="1"/>
  <c r="X176" i="4"/>
  <c r="D127" i="3"/>
  <c r="X10" i="4"/>
  <c r="X175" i="4" l="1"/>
  <c r="D80" i="3"/>
  <c r="D77" i="6"/>
  <c r="D219" i="7" s="1"/>
  <c r="D104" i="6"/>
  <c r="D131" i="6"/>
  <c r="D33" i="6"/>
  <c r="L167" i="4"/>
  <c r="L3" i="7"/>
  <c r="Q62" i="7"/>
  <c r="X201" i="4"/>
  <c r="M54" i="7"/>
  <c r="N69" i="7"/>
  <c r="N60" i="7" s="1"/>
  <c r="Y150" i="6"/>
  <c r="Y123" i="6"/>
  <c r="Y69" i="6"/>
  <c r="N76" i="7"/>
  <c r="X181" i="4"/>
  <c r="D137" i="5"/>
  <c r="D83" i="5"/>
  <c r="D138" i="7" s="1"/>
  <c r="D50" i="3"/>
  <c r="D110" i="5"/>
  <c r="D42" i="5"/>
  <c r="M107" i="4"/>
  <c r="M100" i="4" s="1"/>
  <c r="M84" i="4" s="1"/>
  <c r="E72" i="5" l="1"/>
  <c r="E127" i="7" s="1"/>
  <c r="E126" i="5"/>
  <c r="E99" i="5"/>
  <c r="E33" i="5"/>
  <c r="D76" i="5"/>
  <c r="D103" i="5"/>
  <c r="D17" i="5"/>
  <c r="D157" i="5" s="1"/>
  <c r="R62" i="7"/>
  <c r="M27" i="7"/>
  <c r="M80" i="4"/>
  <c r="M191" i="4"/>
  <c r="M218" i="4"/>
  <c r="D232" i="3"/>
  <c r="D78" i="3"/>
  <c r="E120" i="6"/>
  <c r="E66" i="6"/>
  <c r="E208" i="7" s="1"/>
  <c r="E93" i="6"/>
  <c r="E27" i="6"/>
  <c r="D202" i="3"/>
  <c r="D48" i="3"/>
  <c r="X171" i="4"/>
  <c r="X33" i="4"/>
  <c r="O69" i="7"/>
  <c r="O60" i="7" s="1"/>
  <c r="X179" i="4"/>
  <c r="X40" i="4"/>
  <c r="O76" i="7"/>
  <c r="E79" i="5"/>
  <c r="E134" i="7" s="1"/>
  <c r="E133" i="5"/>
  <c r="E106" i="5"/>
  <c r="E43" i="5"/>
  <c r="D70" i="6"/>
  <c r="D97" i="6"/>
  <c r="D17" i="6"/>
  <c r="E127" i="6"/>
  <c r="E73" i="6"/>
  <c r="E215" i="7" s="1"/>
  <c r="E100" i="6"/>
  <c r="E34" i="6"/>
  <c r="X17" i="4"/>
  <c r="E131" i="5" l="1"/>
  <c r="E77" i="5"/>
  <c r="E132" i="7" s="1"/>
  <c r="E49" i="3"/>
  <c r="E104" i="5"/>
  <c r="D200" i="3"/>
  <c r="D47" i="3"/>
  <c r="D140" i="3" s="1"/>
  <c r="X177" i="4"/>
  <c r="M26" i="7"/>
  <c r="M73" i="4"/>
  <c r="M190" i="4"/>
  <c r="M217" i="4"/>
  <c r="X127" i="5"/>
  <c r="X73" i="5"/>
  <c r="X128" i="7" s="1"/>
  <c r="X100" i="5"/>
  <c r="E70" i="5"/>
  <c r="E125" i="7" s="1"/>
  <c r="E124" i="5"/>
  <c r="E38" i="3"/>
  <c r="E97" i="5"/>
  <c r="P69" i="7"/>
  <c r="P60" i="7" s="1"/>
  <c r="X170" i="4"/>
  <c r="X31" i="4"/>
  <c r="X251" i="4" s="1"/>
  <c r="X208" i="4"/>
  <c r="E79" i="3"/>
  <c r="E125" i="6"/>
  <c r="E71" i="6"/>
  <c r="E213" i="7" s="1"/>
  <c r="E98" i="6"/>
  <c r="X134" i="5"/>
  <c r="X80" i="5"/>
  <c r="X135" i="7" s="1"/>
  <c r="X107" i="5"/>
  <c r="D77" i="3"/>
  <c r="D230" i="3"/>
  <c r="P76" i="7"/>
  <c r="S62" i="7"/>
  <c r="D151" i="6"/>
  <c r="D135" i="6"/>
  <c r="D155" i="6"/>
  <c r="D156" i="6"/>
  <c r="D142" i="6"/>
  <c r="D149" i="6"/>
  <c r="D148" i="6"/>
  <c r="D137" i="6"/>
  <c r="D141" i="6"/>
  <c r="D146" i="6"/>
  <c r="D153" i="6"/>
  <c r="D54" i="6"/>
  <c r="D139" i="6"/>
  <c r="D147" i="6"/>
  <c r="D154" i="6"/>
  <c r="D152" i="6"/>
  <c r="D145" i="6"/>
  <c r="D140" i="6"/>
  <c r="D138" i="6"/>
  <c r="D136" i="6"/>
  <c r="D160" i="6"/>
  <c r="D159" i="6"/>
  <c r="D158" i="6"/>
  <c r="E118" i="6"/>
  <c r="E68" i="3"/>
  <c r="E64" i="6"/>
  <c r="E206" i="7" s="1"/>
  <c r="E91" i="6"/>
  <c r="D142" i="5"/>
  <c r="D141" i="5"/>
  <c r="D60" i="5"/>
  <c r="D156" i="5"/>
  <c r="D161" i="5"/>
  <c r="D162" i="5"/>
  <c r="D163" i="5"/>
  <c r="D148" i="5"/>
  <c r="D155" i="5"/>
  <c r="D154" i="5"/>
  <c r="D147" i="5"/>
  <c r="D143" i="5"/>
  <c r="D159" i="5"/>
  <c r="D152" i="5"/>
  <c r="D145" i="5"/>
  <c r="D153" i="5"/>
  <c r="D160" i="5"/>
  <c r="D158" i="5"/>
  <c r="D151" i="5"/>
  <c r="D146" i="5"/>
  <c r="D166" i="5"/>
  <c r="D144" i="5"/>
  <c r="D165" i="5"/>
  <c r="D164" i="5"/>
  <c r="X15" i="4"/>
  <c r="D170" i="3" l="1"/>
  <c r="X258" i="4"/>
  <c r="X168" i="4"/>
  <c r="X30" i="4"/>
  <c r="X249" i="4"/>
  <c r="X250" i="4"/>
  <c r="X263" i="4"/>
  <c r="X261" i="4"/>
  <c r="X259" i="4"/>
  <c r="X253" i="4"/>
  <c r="X255" i="4"/>
  <c r="X254" i="4"/>
  <c r="X257" i="4"/>
  <c r="X262" i="4"/>
  <c r="X256" i="4"/>
  <c r="X252" i="4"/>
  <c r="X260" i="4"/>
  <c r="X128" i="6"/>
  <c r="X74" i="6"/>
  <c r="X216" i="7" s="1"/>
  <c r="X101" i="6"/>
  <c r="T62" i="7"/>
  <c r="X13" i="4"/>
  <c r="X206" i="4"/>
  <c r="E113" i="6"/>
  <c r="E59" i="6"/>
  <c r="E201" i="7" s="1"/>
  <c r="E86" i="6"/>
  <c r="E20" i="6"/>
  <c r="X120" i="5"/>
  <c r="X66" i="5"/>
  <c r="X121" i="7" s="1"/>
  <c r="N107" i="4"/>
  <c r="N100" i="4" s="1"/>
  <c r="N84" i="4" s="1"/>
  <c r="N54" i="7"/>
  <c r="E201" i="3"/>
  <c r="E119" i="5"/>
  <c r="E65" i="5"/>
  <c r="E120" i="7" s="1"/>
  <c r="E92" i="5"/>
  <c r="E21" i="5"/>
  <c r="D173" i="3"/>
  <c r="D179" i="3"/>
  <c r="D180" i="3"/>
  <c r="D178" i="3"/>
  <c r="D169" i="3"/>
  <c r="D175" i="3"/>
  <c r="D177" i="3"/>
  <c r="D174" i="3"/>
  <c r="D176" i="3"/>
  <c r="D229" i="3"/>
  <c r="D171" i="3"/>
  <c r="D172" i="3"/>
  <c r="E231" i="3"/>
  <c r="E190" i="3"/>
  <c r="Q76" i="7"/>
  <c r="E139" i="5"/>
  <c r="E85" i="5"/>
  <c r="E140" i="7" s="1"/>
  <c r="E112" i="5"/>
  <c r="X121" i="6"/>
  <c r="X67" i="6"/>
  <c r="X209" i="7" s="1"/>
  <c r="X94" i="6"/>
  <c r="M19" i="7"/>
  <c r="M57" i="4"/>
  <c r="M183" i="4"/>
  <c r="M210" i="4"/>
  <c r="D144" i="3"/>
  <c r="D150" i="3"/>
  <c r="D149" i="3"/>
  <c r="D146" i="3"/>
  <c r="D148" i="3"/>
  <c r="D139" i="3"/>
  <c r="D143" i="3"/>
  <c r="D145" i="3"/>
  <c r="D147" i="3"/>
  <c r="D199" i="3"/>
  <c r="D141" i="3"/>
  <c r="D142" i="3"/>
  <c r="Q69" i="7"/>
  <c r="Q60" i="7" s="1"/>
  <c r="E220" i="3"/>
  <c r="E63" i="5" l="1"/>
  <c r="E118" i="7" s="1"/>
  <c r="E117" i="5"/>
  <c r="E37" i="3"/>
  <c r="E18" i="5"/>
  <c r="E90" i="5"/>
  <c r="E111" i="6"/>
  <c r="E67" i="3"/>
  <c r="E57" i="6"/>
  <c r="E199" i="7" s="1"/>
  <c r="E84" i="6"/>
  <c r="E18" i="6"/>
  <c r="U62" i="7"/>
  <c r="X150" i="4"/>
  <c r="X204" i="4"/>
  <c r="X8" i="3"/>
  <c r="R69" i="7"/>
  <c r="R60" i="7" s="1"/>
  <c r="X114" i="6"/>
  <c r="X60" i="6"/>
  <c r="X202" i="7" s="1"/>
  <c r="M3" i="7"/>
  <c r="M167" i="4"/>
  <c r="N80" i="4"/>
  <c r="N27" i="7"/>
  <c r="N191" i="4"/>
  <c r="N218" i="4"/>
  <c r="Y180" i="4"/>
  <c r="R76" i="7"/>
  <c r="X11" i="4"/>
  <c r="X12" i="4"/>
  <c r="X9" i="4"/>
  <c r="X202" i="4" l="1"/>
  <c r="E133" i="6"/>
  <c r="E79" i="6"/>
  <c r="E221" i="7" s="1"/>
  <c r="E106" i="6"/>
  <c r="V62" i="7"/>
  <c r="X96" i="5"/>
  <c r="E61" i="5"/>
  <c r="E88" i="5"/>
  <c r="J55" i="7"/>
  <c r="J134" i="4"/>
  <c r="E55" i="6"/>
  <c r="E82" i="6"/>
  <c r="E189" i="3"/>
  <c r="E35" i="3"/>
  <c r="O107" i="4"/>
  <c r="O100" i="4" s="1"/>
  <c r="O84" i="4" s="1"/>
  <c r="S69" i="7"/>
  <c r="S60" i="7" s="1"/>
  <c r="X87" i="6"/>
  <c r="X200" i="4"/>
  <c r="X93" i="5"/>
  <c r="N26" i="7"/>
  <c r="N73" i="4"/>
  <c r="N190" i="4"/>
  <c r="N217" i="4"/>
  <c r="S76" i="7"/>
  <c r="O54" i="7"/>
  <c r="X203" i="4"/>
  <c r="E219" i="3"/>
  <c r="E65" i="3"/>
  <c r="X7" i="4"/>
  <c r="X4" i="5"/>
  <c r="X47" i="6" s="1"/>
  <c r="E64" i="3" l="1"/>
  <c r="E157" i="3"/>
  <c r="E217" i="3"/>
  <c r="N19" i="7"/>
  <c r="N57" i="4"/>
  <c r="N183" i="4"/>
  <c r="N210" i="4"/>
  <c r="X198" i="4"/>
  <c r="O27" i="7"/>
  <c r="O80" i="4"/>
  <c r="O191" i="4"/>
  <c r="O218" i="4"/>
  <c r="X123" i="5"/>
  <c r="X69" i="5"/>
  <c r="X124" i="7" s="1"/>
  <c r="W62" i="7"/>
  <c r="T69" i="7"/>
  <c r="T60" i="7" s="1"/>
  <c r="T76" i="7"/>
  <c r="E187" i="3"/>
  <c r="E34" i="3"/>
  <c r="E127" i="3" s="1"/>
  <c r="J53" i="7"/>
  <c r="J127" i="4"/>
  <c r="X8" i="4"/>
  <c r="X62" i="7"/>
  <c r="U69" i="7" l="1"/>
  <c r="U60" i="7" s="1"/>
  <c r="O26" i="7"/>
  <c r="O73" i="4"/>
  <c r="O190" i="4"/>
  <c r="O217" i="4"/>
  <c r="E40" i="6"/>
  <c r="E132" i="6"/>
  <c r="E78" i="6"/>
  <c r="E220" i="7" s="1"/>
  <c r="E105" i="6"/>
  <c r="N3" i="7"/>
  <c r="N167" i="4"/>
  <c r="X135" i="5"/>
  <c r="X81" i="5"/>
  <c r="X136" i="7" s="1"/>
  <c r="X108" i="5"/>
  <c r="U76" i="7"/>
  <c r="X199" i="4"/>
  <c r="J46" i="7"/>
  <c r="J111" i="4"/>
  <c r="J30" i="7" s="1"/>
  <c r="X6" i="4"/>
  <c r="X144" i="6"/>
  <c r="X117" i="6"/>
  <c r="X63" i="6"/>
  <c r="X90" i="6"/>
  <c r="E165" i="3"/>
  <c r="E156" i="3"/>
  <c r="E167" i="3"/>
  <c r="E168" i="3"/>
  <c r="E163" i="3"/>
  <c r="E161" i="3"/>
  <c r="E166" i="3"/>
  <c r="E158" i="3"/>
  <c r="E216" i="3"/>
  <c r="E160" i="3"/>
  <c r="E159" i="3"/>
  <c r="E135" i="3"/>
  <c r="E134" i="3"/>
  <c r="E133" i="3"/>
  <c r="E126" i="3"/>
  <c r="E131" i="3"/>
  <c r="E136" i="3"/>
  <c r="E137" i="3"/>
  <c r="E132" i="3"/>
  <c r="E138" i="3"/>
  <c r="E186" i="3"/>
  <c r="E128" i="3"/>
  <c r="E130" i="3"/>
  <c r="E129" i="3"/>
  <c r="E138" i="5"/>
  <c r="E84" i="5"/>
  <c r="E139" i="7" s="1"/>
  <c r="E52" i="5"/>
  <c r="E111" i="5"/>
  <c r="P107" i="4" l="1"/>
  <c r="P100" i="4" s="1"/>
  <c r="P84" i="4" s="1"/>
  <c r="V76" i="7"/>
  <c r="X143" i="4"/>
  <c r="X7" i="3"/>
  <c r="X197" i="4"/>
  <c r="X4" i="4"/>
  <c r="X126" i="6"/>
  <c r="X72" i="6"/>
  <c r="X214" i="7" s="1"/>
  <c r="X99" i="6"/>
  <c r="E137" i="5"/>
  <c r="E83" i="5"/>
  <c r="E138" i="7" s="1"/>
  <c r="E50" i="3"/>
  <c r="E110" i="5"/>
  <c r="E42" i="5"/>
  <c r="X119" i="6"/>
  <c r="X65" i="6"/>
  <c r="X207" i="7" s="1"/>
  <c r="X92" i="6"/>
  <c r="E33" i="6"/>
  <c r="E131" i="6"/>
  <c r="E80" i="3"/>
  <c r="E77" i="6"/>
  <c r="E219" i="7" s="1"/>
  <c r="E104" i="6"/>
  <c r="P54" i="7"/>
  <c r="V69" i="7"/>
  <c r="V60" i="7" s="1"/>
  <c r="X36" i="3"/>
  <c r="X116" i="5"/>
  <c r="X62" i="5"/>
  <c r="X117" i="7" s="1"/>
  <c r="X89" i="5"/>
  <c r="X71" i="5"/>
  <c r="X126" i="7" s="1"/>
  <c r="X125" i="5"/>
  <c r="X98" i="5"/>
  <c r="X78" i="5"/>
  <c r="X133" i="7" s="1"/>
  <c r="X132" i="5"/>
  <c r="X105" i="5"/>
  <c r="O19" i="7"/>
  <c r="O57" i="4"/>
  <c r="O183" i="4"/>
  <c r="O210" i="4"/>
  <c r="W76" i="7" l="1"/>
  <c r="E202" i="3"/>
  <c r="E48" i="3"/>
  <c r="X129" i="6"/>
  <c r="X75" i="6"/>
  <c r="X217" i="7" s="1"/>
  <c r="X102" i="6"/>
  <c r="W69" i="7"/>
  <c r="W60" i="7" s="1"/>
  <c r="X188" i="3"/>
  <c r="E232" i="3"/>
  <c r="E78" i="3"/>
  <c r="X224" i="4"/>
  <c r="X195" i="4"/>
  <c r="X222" i="4"/>
  <c r="X141" i="4"/>
  <c r="X223" i="4"/>
  <c r="X232" i="4"/>
  <c r="X234" i="4"/>
  <c r="X236" i="4"/>
  <c r="X228" i="4"/>
  <c r="X235" i="4"/>
  <c r="X233" i="4"/>
  <c r="X231" i="4"/>
  <c r="X227" i="4"/>
  <c r="X229" i="4"/>
  <c r="X230" i="4"/>
  <c r="X225" i="4"/>
  <c r="X226" i="4"/>
  <c r="O3" i="7"/>
  <c r="O167" i="4"/>
  <c r="X110" i="6"/>
  <c r="X66" i="3"/>
  <c r="X56" i="6"/>
  <c r="X198" i="7" s="1"/>
  <c r="X83" i="6"/>
  <c r="X5" i="3"/>
  <c r="E70" i="6"/>
  <c r="E97" i="6"/>
  <c r="E17" i="6"/>
  <c r="E151" i="6" s="1"/>
  <c r="E76" i="5"/>
  <c r="E103" i="5"/>
  <c r="E17" i="5"/>
  <c r="P27" i="7"/>
  <c r="P80" i="4"/>
  <c r="P191" i="4"/>
  <c r="P218" i="4"/>
  <c r="X69" i="7"/>
  <c r="X60" i="7" s="1"/>
  <c r="X76" i="7"/>
  <c r="Q107" i="4" l="1"/>
  <c r="Q100" i="4" s="1"/>
  <c r="Q84" i="4" s="1"/>
  <c r="P26" i="7"/>
  <c r="P73" i="4"/>
  <c r="P190" i="4"/>
  <c r="P217" i="4"/>
  <c r="E77" i="3"/>
  <c r="E230" i="3"/>
  <c r="E200" i="3"/>
  <c r="E47" i="3"/>
  <c r="E140" i="3" s="1"/>
  <c r="X4" i="3"/>
  <c r="E157" i="5"/>
  <c r="E141" i="5"/>
  <c r="E60" i="5"/>
  <c r="E150" i="5"/>
  <c r="E156" i="5"/>
  <c r="E161" i="5"/>
  <c r="E162" i="5"/>
  <c r="E163" i="5"/>
  <c r="E148" i="5"/>
  <c r="E155" i="5"/>
  <c r="E154" i="5"/>
  <c r="E147" i="5"/>
  <c r="E159" i="5"/>
  <c r="E143" i="5"/>
  <c r="E152" i="5"/>
  <c r="E145" i="5"/>
  <c r="E153" i="5"/>
  <c r="E160" i="5"/>
  <c r="E151" i="5"/>
  <c r="E158" i="5"/>
  <c r="E146" i="5"/>
  <c r="E166" i="5"/>
  <c r="E144" i="5"/>
  <c r="E142" i="5"/>
  <c r="E165" i="5"/>
  <c r="E164" i="5"/>
  <c r="F127" i="6"/>
  <c r="F73" i="6"/>
  <c r="F215" i="7" s="1"/>
  <c r="F100" i="6"/>
  <c r="F34" i="6"/>
  <c r="Q54" i="7"/>
  <c r="X218" i="3"/>
  <c r="F79" i="5"/>
  <c r="F134" i="7" s="1"/>
  <c r="F133" i="5"/>
  <c r="F106" i="5"/>
  <c r="F43" i="5"/>
  <c r="F120" i="6"/>
  <c r="F66" i="6"/>
  <c r="F208" i="7" s="1"/>
  <c r="F93" i="6"/>
  <c r="F27" i="6"/>
  <c r="E136" i="6"/>
  <c r="E135" i="6"/>
  <c r="E155" i="6"/>
  <c r="E156" i="6"/>
  <c r="E142" i="6"/>
  <c r="E149" i="6"/>
  <c r="E148" i="6"/>
  <c r="E141" i="6"/>
  <c r="E153" i="6"/>
  <c r="E146" i="6"/>
  <c r="E137" i="6"/>
  <c r="E54" i="6"/>
  <c r="E139" i="6"/>
  <c r="E147" i="6"/>
  <c r="E154" i="6"/>
  <c r="E152" i="6"/>
  <c r="E145" i="6"/>
  <c r="E140" i="6"/>
  <c r="E138" i="6"/>
  <c r="E160" i="6"/>
  <c r="E159" i="6"/>
  <c r="E158" i="6"/>
  <c r="F72" i="5"/>
  <c r="F127" i="7" s="1"/>
  <c r="F126" i="5"/>
  <c r="F99" i="5"/>
  <c r="F33" i="5"/>
  <c r="X68" i="5"/>
  <c r="X123" i="7" s="1"/>
  <c r="X122" i="5"/>
  <c r="X95" i="5"/>
  <c r="E170" i="3" l="1"/>
  <c r="X67" i="5"/>
  <c r="X122" i="7" s="1"/>
  <c r="X121" i="5"/>
  <c r="X94" i="5"/>
  <c r="X64" i="5"/>
  <c r="X119" i="7" s="1"/>
  <c r="X118" i="5"/>
  <c r="X91" i="5"/>
  <c r="P19" i="7"/>
  <c r="P57" i="4"/>
  <c r="P183" i="4"/>
  <c r="P210" i="4"/>
  <c r="E144" i="3"/>
  <c r="E150" i="3"/>
  <c r="E145" i="3"/>
  <c r="E149" i="3"/>
  <c r="E139" i="3"/>
  <c r="E146" i="3"/>
  <c r="E147" i="3"/>
  <c r="E199" i="3"/>
  <c r="E148" i="3"/>
  <c r="E143" i="3"/>
  <c r="E141" i="3"/>
  <c r="E142" i="3"/>
  <c r="F77" i="5"/>
  <c r="F132" i="7" s="1"/>
  <c r="F131" i="5"/>
  <c r="F49" i="3"/>
  <c r="F104" i="5"/>
  <c r="F125" i="6"/>
  <c r="F79" i="3"/>
  <c r="F71" i="6"/>
  <c r="F213" i="7" s="1"/>
  <c r="F98" i="6"/>
  <c r="Q27" i="7"/>
  <c r="Q80" i="4"/>
  <c r="Q191" i="4"/>
  <c r="Q218" i="4"/>
  <c r="X116" i="6"/>
  <c r="X62" i="6"/>
  <c r="X204" i="7" s="1"/>
  <c r="X89" i="6"/>
  <c r="F64" i="6"/>
  <c r="F206" i="7" s="1"/>
  <c r="F118" i="6"/>
  <c r="F68" i="3"/>
  <c r="F91" i="6"/>
  <c r="E169" i="3"/>
  <c r="E175" i="3"/>
  <c r="E173" i="3"/>
  <c r="E177" i="3"/>
  <c r="E176" i="3"/>
  <c r="E174" i="3"/>
  <c r="E180" i="3"/>
  <c r="E179" i="3"/>
  <c r="E178" i="3"/>
  <c r="E229" i="3"/>
  <c r="E171" i="3"/>
  <c r="E172" i="3"/>
  <c r="X112" i="6"/>
  <c r="X58" i="6"/>
  <c r="X200" i="7" s="1"/>
  <c r="X85" i="6"/>
  <c r="F70" i="5"/>
  <c r="F125" i="7" s="1"/>
  <c r="F124" i="5"/>
  <c r="F38" i="3"/>
  <c r="F97" i="5"/>
  <c r="X97" i="3"/>
  <c r="X102" i="3"/>
  <c r="X103" i="3"/>
  <c r="X108" i="3"/>
  <c r="X101" i="3"/>
  <c r="X106" i="3"/>
  <c r="X105" i="3"/>
  <c r="X107" i="3"/>
  <c r="X104" i="3"/>
  <c r="X96" i="3"/>
  <c r="X98" i="3"/>
  <c r="X100" i="3"/>
  <c r="X99" i="3"/>
  <c r="F85" i="5" l="1"/>
  <c r="F140" i="7" s="1"/>
  <c r="F139" i="5"/>
  <c r="F112" i="5"/>
  <c r="F220" i="3"/>
  <c r="F201" i="3"/>
  <c r="F113" i="6"/>
  <c r="F59" i="6"/>
  <c r="F201" i="7" s="1"/>
  <c r="F86" i="6"/>
  <c r="F20" i="6"/>
  <c r="F231" i="3"/>
  <c r="P3" i="7"/>
  <c r="P167" i="4"/>
  <c r="Q26" i="7"/>
  <c r="Q73" i="4"/>
  <c r="Q190" i="4"/>
  <c r="Q217" i="4"/>
  <c r="F65" i="5"/>
  <c r="F120" i="7" s="1"/>
  <c r="F119" i="5"/>
  <c r="F92" i="5"/>
  <c r="F21" i="5"/>
  <c r="X128" i="5"/>
  <c r="X74" i="5"/>
  <c r="X129" i="7" s="1"/>
  <c r="X101" i="5"/>
  <c r="X61" i="6"/>
  <c r="X203" i="7" s="1"/>
  <c r="X115" i="6"/>
  <c r="X88" i="6"/>
  <c r="F190" i="3"/>
  <c r="R107" i="4" l="1"/>
  <c r="R100" i="4" s="1"/>
  <c r="R84" i="4" s="1"/>
  <c r="X122" i="6"/>
  <c r="X68" i="6"/>
  <c r="X210" i="7" s="1"/>
  <c r="X95" i="6"/>
  <c r="Y178" i="4"/>
  <c r="F111" i="6"/>
  <c r="F67" i="3"/>
  <c r="F57" i="6"/>
  <c r="F199" i="7" s="1"/>
  <c r="F84" i="6"/>
  <c r="F18" i="6"/>
  <c r="Q19" i="7"/>
  <c r="Q57" i="4"/>
  <c r="Q183" i="4"/>
  <c r="Q210" i="4"/>
  <c r="F63" i="5"/>
  <c r="F118" i="7" s="1"/>
  <c r="F117" i="5"/>
  <c r="F37" i="3"/>
  <c r="F90" i="5"/>
  <c r="F18" i="5"/>
  <c r="R54" i="7"/>
  <c r="F219" i="3" l="1"/>
  <c r="F65" i="3"/>
  <c r="F61" i="5"/>
  <c r="F88" i="5"/>
  <c r="Q3" i="7"/>
  <c r="Q167" i="4"/>
  <c r="F189" i="3"/>
  <c r="F35" i="3"/>
  <c r="F133" i="6"/>
  <c r="F79" i="6"/>
  <c r="F221" i="7" s="1"/>
  <c r="F106" i="6"/>
  <c r="F55" i="6"/>
  <c r="F82" i="6"/>
  <c r="R27" i="7"/>
  <c r="R80" i="4"/>
  <c r="R191" i="4"/>
  <c r="R218" i="4"/>
  <c r="Y14" i="4"/>
  <c r="R26" i="7" l="1"/>
  <c r="R73" i="4"/>
  <c r="R190" i="4"/>
  <c r="R217" i="4"/>
  <c r="Y205" i="4"/>
  <c r="F34" i="3"/>
  <c r="F127" i="3" s="1"/>
  <c r="F187" i="3"/>
  <c r="F64" i="3"/>
  <c r="F157" i="3" s="1"/>
  <c r="F217" i="3"/>
  <c r="Y16" i="4"/>
  <c r="Y18" i="4"/>
  <c r="F52" i="5" l="1"/>
  <c r="F84" i="5"/>
  <c r="F139" i="7" s="1"/>
  <c r="F138" i="5"/>
  <c r="F111" i="5"/>
  <c r="G126" i="5"/>
  <c r="G72" i="5"/>
  <c r="G127" i="7" s="1"/>
  <c r="G99" i="5"/>
  <c r="G33" i="5"/>
  <c r="Y188" i="4"/>
  <c r="Y96" i="6"/>
  <c r="Y209" i="4"/>
  <c r="Y102" i="5"/>
  <c r="S54" i="7"/>
  <c r="Y207" i="4"/>
  <c r="F161" i="3"/>
  <c r="F166" i="3"/>
  <c r="F156" i="3"/>
  <c r="F168" i="3"/>
  <c r="F165" i="3"/>
  <c r="F167" i="3"/>
  <c r="F163" i="3"/>
  <c r="F216" i="3"/>
  <c r="F158" i="3"/>
  <c r="F160" i="3"/>
  <c r="F159" i="3"/>
  <c r="Y185" i="4"/>
  <c r="S107" i="4"/>
  <c r="S100" i="4" s="1"/>
  <c r="S84" i="4" s="1"/>
  <c r="F40" i="6"/>
  <c r="F132" i="6"/>
  <c r="F78" i="6"/>
  <c r="F220" i="7" s="1"/>
  <c r="F105" i="6"/>
  <c r="Y189" i="4"/>
  <c r="F135" i="3"/>
  <c r="F126" i="3"/>
  <c r="F131" i="3"/>
  <c r="F136" i="3"/>
  <c r="F132" i="3"/>
  <c r="F138" i="3"/>
  <c r="F186" i="3"/>
  <c r="F137" i="3"/>
  <c r="F134" i="3"/>
  <c r="F133" i="3"/>
  <c r="F128" i="3"/>
  <c r="F130" i="3"/>
  <c r="F129" i="3"/>
  <c r="G79" i="5"/>
  <c r="G134" i="7" s="1"/>
  <c r="G133" i="5"/>
  <c r="G106" i="5"/>
  <c r="G43" i="5"/>
  <c r="R19" i="7"/>
  <c r="R57" i="4"/>
  <c r="R183" i="4"/>
  <c r="R210" i="4"/>
  <c r="Y47" i="4" l="1"/>
  <c r="Y46" i="4"/>
  <c r="Y184" i="4"/>
  <c r="Y265" i="4"/>
  <c r="G127" i="6"/>
  <c r="G73" i="6"/>
  <c r="G215" i="7" s="1"/>
  <c r="G100" i="6"/>
  <c r="G34" i="6"/>
  <c r="Y186" i="4"/>
  <c r="Y267" i="4"/>
  <c r="R3" i="7"/>
  <c r="R167" i="4"/>
  <c r="F131" i="6"/>
  <c r="F80" i="3"/>
  <c r="F77" i="6"/>
  <c r="F219" i="7" s="1"/>
  <c r="F104" i="6"/>
  <c r="F33" i="6"/>
  <c r="G124" i="5"/>
  <c r="G70" i="5"/>
  <c r="G125" i="7" s="1"/>
  <c r="G38" i="3"/>
  <c r="G97" i="5"/>
  <c r="Y187" i="4"/>
  <c r="Y268" i="4"/>
  <c r="S80" i="4"/>
  <c r="S27" i="7"/>
  <c r="S191" i="4"/>
  <c r="S218" i="4"/>
  <c r="F137" i="5"/>
  <c r="F83" i="5"/>
  <c r="F138" i="7" s="1"/>
  <c r="F50" i="3"/>
  <c r="F110" i="5"/>
  <c r="F42" i="5"/>
  <c r="G131" i="5"/>
  <c r="G77" i="5"/>
  <c r="G132" i="7" s="1"/>
  <c r="G49" i="3"/>
  <c r="G104" i="5"/>
  <c r="Y25" i="4"/>
  <c r="Y24" i="4"/>
  <c r="Y21" i="4"/>
  <c r="F70" i="6" l="1"/>
  <c r="F97" i="6"/>
  <c r="F17" i="6"/>
  <c r="G201" i="3"/>
  <c r="F202" i="3"/>
  <c r="F48" i="3"/>
  <c r="G139" i="5"/>
  <c r="G85" i="5"/>
  <c r="G140" i="7" s="1"/>
  <c r="G112" i="5"/>
  <c r="S26" i="7"/>
  <c r="S73" i="4"/>
  <c r="S190" i="4"/>
  <c r="S217" i="4"/>
  <c r="G190" i="3"/>
  <c r="G119" i="5"/>
  <c r="G65" i="5"/>
  <c r="G120" i="7" s="1"/>
  <c r="G92" i="5"/>
  <c r="G21" i="5"/>
  <c r="Y215" i="4"/>
  <c r="F232" i="3"/>
  <c r="F78" i="3"/>
  <c r="Y216" i="4"/>
  <c r="G120" i="6"/>
  <c r="G66" i="6"/>
  <c r="G208" i="7" s="1"/>
  <c r="G93" i="6"/>
  <c r="G27" i="6"/>
  <c r="K55" i="7"/>
  <c r="K134" i="4"/>
  <c r="G79" i="3"/>
  <c r="G125" i="6"/>
  <c r="G71" i="6"/>
  <c r="G213" i="7" s="1"/>
  <c r="G98" i="6"/>
  <c r="Y264" i="4"/>
  <c r="Y272" i="4"/>
  <c r="Y273" i="4"/>
  <c r="Y271" i="4"/>
  <c r="Y269" i="4"/>
  <c r="Y270" i="4"/>
  <c r="Y266" i="4"/>
  <c r="Y212" i="4"/>
  <c r="G113" i="6"/>
  <c r="G59" i="6"/>
  <c r="G201" i="7" s="1"/>
  <c r="G86" i="6"/>
  <c r="G20" i="6"/>
  <c r="F76" i="5"/>
  <c r="F103" i="5"/>
  <c r="F17" i="5"/>
  <c r="Y22" i="4"/>
  <c r="Y23" i="4"/>
  <c r="Y20" i="4" l="1"/>
  <c r="Y211" i="4" s="1"/>
  <c r="Y19" i="3"/>
  <c r="Y157" i="4"/>
  <c r="Y19" i="4"/>
  <c r="G111" i="6"/>
  <c r="G67" i="3"/>
  <c r="G57" i="6"/>
  <c r="G199" i="7" s="1"/>
  <c r="G84" i="6"/>
  <c r="G18" i="6"/>
  <c r="G231" i="3"/>
  <c r="F200" i="3"/>
  <c r="F47" i="3"/>
  <c r="F140" i="3" s="1"/>
  <c r="T107" i="4"/>
  <c r="T100" i="4" s="1"/>
  <c r="T84" i="4" s="1"/>
  <c r="F77" i="3"/>
  <c r="F230" i="3"/>
  <c r="G63" i="5"/>
  <c r="G118" i="7" s="1"/>
  <c r="G117" i="5"/>
  <c r="G37" i="3"/>
  <c r="G90" i="5"/>
  <c r="G18" i="5"/>
  <c r="F136" i="6"/>
  <c r="F135" i="6"/>
  <c r="F155" i="6"/>
  <c r="F156" i="6"/>
  <c r="F142" i="6"/>
  <c r="F148" i="6"/>
  <c r="F149" i="6"/>
  <c r="F146" i="6"/>
  <c r="F141" i="6"/>
  <c r="F153" i="6"/>
  <c r="F137" i="6"/>
  <c r="F54" i="6"/>
  <c r="F139" i="6"/>
  <c r="F154" i="6"/>
  <c r="F147" i="6"/>
  <c r="F152" i="6"/>
  <c r="F145" i="6"/>
  <c r="F140" i="6"/>
  <c r="F138" i="6"/>
  <c r="F160" i="6"/>
  <c r="F159" i="6"/>
  <c r="F158" i="6"/>
  <c r="F142" i="5"/>
  <c r="F60" i="5"/>
  <c r="F141" i="5"/>
  <c r="F150" i="5"/>
  <c r="F156" i="5"/>
  <c r="F161" i="5"/>
  <c r="F162" i="5"/>
  <c r="F163" i="5"/>
  <c r="F148" i="5"/>
  <c r="F155" i="5"/>
  <c r="F154" i="5"/>
  <c r="F147" i="5"/>
  <c r="F159" i="5"/>
  <c r="F152" i="5"/>
  <c r="F143" i="5"/>
  <c r="F145" i="5"/>
  <c r="F160" i="5"/>
  <c r="F153" i="5"/>
  <c r="F158" i="5"/>
  <c r="F151" i="5"/>
  <c r="F146" i="5"/>
  <c r="F166" i="5"/>
  <c r="F144" i="5"/>
  <c r="F165" i="5"/>
  <c r="F164" i="5"/>
  <c r="G68" i="3"/>
  <c r="G118" i="6"/>
  <c r="G64" i="6"/>
  <c r="G206" i="7" s="1"/>
  <c r="G91" i="6"/>
  <c r="S19" i="7"/>
  <c r="S57" i="4"/>
  <c r="S183" i="4"/>
  <c r="S210" i="4"/>
  <c r="T54" i="7"/>
  <c r="Y214" i="4"/>
  <c r="F157" i="5"/>
  <c r="F151" i="6"/>
  <c r="Y213" i="4"/>
  <c r="K53" i="7"/>
  <c r="K127" i="4"/>
  <c r="F170" i="3" l="1"/>
  <c r="S3" i="7"/>
  <c r="S167" i="4"/>
  <c r="G189" i="3"/>
  <c r="G35" i="3"/>
  <c r="Y156" i="4"/>
  <c r="Y237" i="4"/>
  <c r="Y245" i="4"/>
  <c r="Y246" i="4"/>
  <c r="Y244" i="4"/>
  <c r="Y242" i="4"/>
  <c r="Y239" i="4"/>
  <c r="Y243" i="4"/>
  <c r="F147" i="3"/>
  <c r="F144" i="3"/>
  <c r="F143" i="3"/>
  <c r="F150" i="3"/>
  <c r="F149" i="3"/>
  <c r="F199" i="3"/>
  <c r="F148" i="3"/>
  <c r="F139" i="3"/>
  <c r="F145" i="3"/>
  <c r="F146" i="3"/>
  <c r="F141" i="3"/>
  <c r="F142" i="3"/>
  <c r="G219" i="3"/>
  <c r="G65" i="3"/>
  <c r="Y238" i="4"/>
  <c r="Y136" i="5"/>
  <c r="Y82" i="5"/>
  <c r="Y137" i="7" s="1"/>
  <c r="Y109" i="5"/>
  <c r="Y18" i="3"/>
  <c r="K46" i="7"/>
  <c r="K111" i="4"/>
  <c r="K30" i="7" s="1"/>
  <c r="Y241" i="4"/>
  <c r="G220" i="3"/>
  <c r="G61" i="5"/>
  <c r="G88" i="5"/>
  <c r="F177" i="3"/>
  <c r="F169" i="3"/>
  <c r="F175" i="3"/>
  <c r="F176" i="3"/>
  <c r="F173" i="3"/>
  <c r="F174" i="3"/>
  <c r="F180" i="3"/>
  <c r="F179" i="3"/>
  <c r="F178" i="3"/>
  <c r="F229" i="3"/>
  <c r="F171" i="3"/>
  <c r="F172" i="3"/>
  <c r="Y240" i="4"/>
  <c r="T80" i="4"/>
  <c r="T27" i="7"/>
  <c r="T191" i="4"/>
  <c r="T218" i="4"/>
  <c r="G55" i="6"/>
  <c r="G82" i="6"/>
  <c r="Y17" i="3" l="1"/>
  <c r="G64" i="3"/>
  <c r="G217" i="3"/>
  <c r="T26" i="7"/>
  <c r="T73" i="4"/>
  <c r="T190" i="4"/>
  <c r="T217" i="4"/>
  <c r="G187" i="3"/>
  <c r="G34" i="3"/>
  <c r="G127" i="3" s="1"/>
  <c r="Y157" i="6"/>
  <c r="Y130" i="6"/>
  <c r="Y76" i="6"/>
  <c r="Y103" i="6"/>
  <c r="G133" i="6"/>
  <c r="G79" i="6"/>
  <c r="G221" i="7" s="1"/>
  <c r="G106" i="6"/>
  <c r="G157" i="3" l="1"/>
  <c r="T19" i="7"/>
  <c r="T57" i="4"/>
  <c r="T183" i="4"/>
  <c r="T210" i="4"/>
  <c r="Y120" i="3"/>
  <c r="Y114" i="3"/>
  <c r="Y117" i="3"/>
  <c r="Y115" i="3"/>
  <c r="Y109" i="3"/>
  <c r="Y113" i="3"/>
  <c r="Y116" i="3"/>
  <c r="Y118" i="3"/>
  <c r="Y119" i="3"/>
  <c r="Y112" i="3"/>
  <c r="Y111" i="3"/>
  <c r="U54" i="7"/>
  <c r="G135" i="3"/>
  <c r="G133" i="3"/>
  <c r="G126" i="3"/>
  <c r="G131" i="3"/>
  <c r="G136" i="3"/>
  <c r="G138" i="3"/>
  <c r="G186" i="3"/>
  <c r="G134" i="3"/>
  <c r="G137" i="3"/>
  <c r="G132" i="3"/>
  <c r="G128" i="3"/>
  <c r="G130" i="3"/>
  <c r="G129" i="3"/>
  <c r="G161" i="3"/>
  <c r="G165" i="3"/>
  <c r="G166" i="3"/>
  <c r="G156" i="3"/>
  <c r="G167" i="3"/>
  <c r="G163" i="3"/>
  <c r="G168" i="3"/>
  <c r="G158" i="3"/>
  <c r="G216" i="3"/>
  <c r="G159" i="3"/>
  <c r="G160" i="3"/>
  <c r="G132" i="6"/>
  <c r="G40" i="6"/>
  <c r="G78" i="6"/>
  <c r="G220" i="7" s="1"/>
  <c r="G105" i="6"/>
  <c r="Y110" i="3"/>
  <c r="U107" i="4"/>
  <c r="U100" i="4" s="1"/>
  <c r="U84" i="4" s="1"/>
  <c r="G52" i="5"/>
  <c r="G138" i="5"/>
  <c r="G84" i="5"/>
  <c r="G139" i="7" s="1"/>
  <c r="G111" i="5"/>
  <c r="G83" i="5" l="1"/>
  <c r="G138" i="7" s="1"/>
  <c r="G137" i="5"/>
  <c r="G50" i="3"/>
  <c r="G110" i="5"/>
  <c r="G42" i="5"/>
  <c r="U27" i="7"/>
  <c r="U80" i="4"/>
  <c r="U191" i="4"/>
  <c r="U218" i="4"/>
  <c r="G77" i="6"/>
  <c r="G219" i="7" s="1"/>
  <c r="G131" i="6"/>
  <c r="G80" i="3"/>
  <c r="G104" i="6"/>
  <c r="G33" i="6"/>
  <c r="T3" i="7"/>
  <c r="T167" i="4"/>
  <c r="G76" i="5" l="1"/>
  <c r="G103" i="5"/>
  <c r="G17" i="5"/>
  <c r="G232" i="3"/>
  <c r="G78" i="3"/>
  <c r="G202" i="3"/>
  <c r="G48" i="3"/>
  <c r="G70" i="6"/>
  <c r="G97" i="6"/>
  <c r="G17" i="6"/>
  <c r="G151" i="6" s="1"/>
  <c r="U26" i="7"/>
  <c r="U73" i="4"/>
  <c r="U190" i="4"/>
  <c r="U217" i="4"/>
  <c r="G77" i="3" l="1"/>
  <c r="G170" i="3"/>
  <c r="G230" i="3"/>
  <c r="U19" i="7"/>
  <c r="U57" i="4"/>
  <c r="U183" i="4"/>
  <c r="U210" i="4"/>
  <c r="V54" i="7"/>
  <c r="G200" i="3"/>
  <c r="G47" i="3"/>
  <c r="G140" i="3" s="1"/>
  <c r="G60" i="5"/>
  <c r="G141" i="5"/>
  <c r="G150" i="5"/>
  <c r="G156" i="5"/>
  <c r="G161" i="5"/>
  <c r="G162" i="5"/>
  <c r="G163" i="5"/>
  <c r="G148" i="5"/>
  <c r="G155" i="5"/>
  <c r="G154" i="5"/>
  <c r="G147" i="5"/>
  <c r="G159" i="5"/>
  <c r="G143" i="5"/>
  <c r="G152" i="5"/>
  <c r="G145" i="5"/>
  <c r="G153" i="5"/>
  <c r="G160" i="5"/>
  <c r="G151" i="5"/>
  <c r="G158" i="5"/>
  <c r="G166" i="5"/>
  <c r="G146" i="5"/>
  <c r="G144" i="5"/>
  <c r="G142" i="5"/>
  <c r="G165" i="5"/>
  <c r="G164" i="5"/>
  <c r="V107" i="4"/>
  <c r="V100" i="4" s="1"/>
  <c r="V84" i="4" s="1"/>
  <c r="G54" i="6"/>
  <c r="G135" i="6"/>
  <c r="G155" i="6"/>
  <c r="G156" i="6"/>
  <c r="G142" i="6"/>
  <c r="G149" i="6"/>
  <c r="G148" i="6"/>
  <c r="G153" i="6"/>
  <c r="G141" i="6"/>
  <c r="G137" i="6"/>
  <c r="G146" i="6"/>
  <c r="G139" i="6"/>
  <c r="G154" i="6"/>
  <c r="G147" i="6"/>
  <c r="G140" i="6"/>
  <c r="G152" i="6"/>
  <c r="G145" i="6"/>
  <c r="G138" i="6"/>
  <c r="G136" i="6"/>
  <c r="G160" i="6"/>
  <c r="G159" i="6"/>
  <c r="G158" i="6"/>
  <c r="G157" i="5"/>
  <c r="H72" i="5" l="1"/>
  <c r="H127" i="7" s="1"/>
  <c r="H126" i="5"/>
  <c r="H99" i="5"/>
  <c r="H33" i="5"/>
  <c r="V80" i="4"/>
  <c r="V27" i="7"/>
  <c r="V191" i="4"/>
  <c r="V218" i="4"/>
  <c r="U3" i="7"/>
  <c r="U167" i="4"/>
  <c r="H133" i="5"/>
  <c r="H79" i="5"/>
  <c r="H134" i="7" s="1"/>
  <c r="H106" i="5"/>
  <c r="H43" i="5"/>
  <c r="H127" i="6"/>
  <c r="H73" i="6"/>
  <c r="H215" i="7" s="1"/>
  <c r="H100" i="6"/>
  <c r="H34" i="6"/>
  <c r="G139" i="3"/>
  <c r="G145" i="3"/>
  <c r="G147" i="3"/>
  <c r="G143" i="3"/>
  <c r="G146" i="3"/>
  <c r="G150" i="3"/>
  <c r="G144" i="3"/>
  <c r="G149" i="3"/>
  <c r="G199" i="3"/>
  <c r="G148" i="3"/>
  <c r="G141" i="3"/>
  <c r="G142" i="3"/>
  <c r="G169" i="3"/>
  <c r="G175" i="3"/>
  <c r="G176" i="3"/>
  <c r="G173" i="3"/>
  <c r="G177" i="3"/>
  <c r="G174" i="3"/>
  <c r="G180" i="3"/>
  <c r="G179" i="3"/>
  <c r="G178" i="3"/>
  <c r="G229" i="3"/>
  <c r="G171" i="3"/>
  <c r="G172" i="3"/>
  <c r="W54" i="7" l="1"/>
  <c r="H113" i="6"/>
  <c r="H59" i="6"/>
  <c r="H201" i="7" s="1"/>
  <c r="H86" i="6"/>
  <c r="H20" i="6"/>
  <c r="H131" i="5"/>
  <c r="H77" i="5"/>
  <c r="H132" i="7" s="1"/>
  <c r="H49" i="3"/>
  <c r="H104" i="5"/>
  <c r="V73" i="4"/>
  <c r="V26" i="7"/>
  <c r="V190" i="4"/>
  <c r="V217" i="4"/>
  <c r="H70" i="5"/>
  <c r="H125" i="7" s="1"/>
  <c r="H124" i="5"/>
  <c r="H38" i="3"/>
  <c r="H97" i="5"/>
  <c r="W107" i="4"/>
  <c r="W100" i="4" s="1"/>
  <c r="W84" i="4" s="1"/>
  <c r="H71" i="6"/>
  <c r="H213" i="7" s="1"/>
  <c r="H125" i="6"/>
  <c r="H79" i="3"/>
  <c r="H98" i="6"/>
  <c r="H65" i="5"/>
  <c r="H120" i="7" s="1"/>
  <c r="H119" i="5"/>
  <c r="H92" i="5"/>
  <c r="H21" i="5"/>
  <c r="H85" i="5"/>
  <c r="H140" i="7" s="1"/>
  <c r="H139" i="5"/>
  <c r="H112" i="5"/>
  <c r="H57" i="6" l="1"/>
  <c r="H199" i="7" s="1"/>
  <c r="H111" i="6"/>
  <c r="H67" i="3"/>
  <c r="H84" i="6"/>
  <c r="H120" i="6"/>
  <c r="H66" i="6"/>
  <c r="H208" i="7" s="1"/>
  <c r="H93" i="6"/>
  <c r="H27" i="6"/>
  <c r="H201" i="3"/>
  <c r="H63" i="5"/>
  <c r="H118" i="7" s="1"/>
  <c r="H117" i="5"/>
  <c r="H37" i="3"/>
  <c r="H90" i="5"/>
  <c r="H18" i="5"/>
  <c r="W27" i="7"/>
  <c r="W80" i="4"/>
  <c r="W191" i="4"/>
  <c r="W218" i="4"/>
  <c r="H190" i="3"/>
  <c r="H231" i="3"/>
  <c r="V19" i="7"/>
  <c r="V57" i="4"/>
  <c r="V183" i="4"/>
  <c r="V210" i="4"/>
  <c r="H189" i="3" l="1"/>
  <c r="H35" i="3"/>
  <c r="H219" i="3"/>
  <c r="H118" i="6"/>
  <c r="H68" i="3"/>
  <c r="H65" i="3" s="1"/>
  <c r="H64" i="6"/>
  <c r="H206" i="7" s="1"/>
  <c r="H91" i="6"/>
  <c r="V3" i="7"/>
  <c r="V167" i="4"/>
  <c r="W26" i="7"/>
  <c r="W73" i="4"/>
  <c r="W190" i="4"/>
  <c r="W217" i="4"/>
  <c r="H133" i="6"/>
  <c r="H79" i="6"/>
  <c r="H221" i="7" s="1"/>
  <c r="H106" i="6"/>
  <c r="H61" i="5"/>
  <c r="H88" i="5"/>
  <c r="H18" i="6"/>
  <c r="H55" i="6" l="1"/>
  <c r="H82" i="6"/>
  <c r="H64" i="3"/>
  <c r="H160" i="3" s="1"/>
  <c r="H157" i="3"/>
  <c r="H217" i="3"/>
  <c r="X107" i="4"/>
  <c r="X100" i="4" s="1"/>
  <c r="X84" i="4" s="1"/>
  <c r="H187" i="3"/>
  <c r="H34" i="3"/>
  <c r="H127" i="3" s="1"/>
  <c r="X54" i="7"/>
  <c r="H220" i="3"/>
  <c r="W19" i="7"/>
  <c r="W57" i="4"/>
  <c r="W183" i="4"/>
  <c r="W210" i="4"/>
  <c r="H40" i="6" l="1"/>
  <c r="H132" i="6"/>
  <c r="H78" i="6"/>
  <c r="H220" i="7" s="1"/>
  <c r="H105" i="6"/>
  <c r="H52" i="5"/>
  <c r="H138" i="5"/>
  <c r="H84" i="5"/>
  <c r="H139" i="7" s="1"/>
  <c r="H111" i="5"/>
  <c r="H163" i="3"/>
  <c r="H161" i="3"/>
  <c r="H166" i="3"/>
  <c r="H156" i="3"/>
  <c r="H167" i="3"/>
  <c r="H168" i="3"/>
  <c r="H165" i="3"/>
  <c r="H216" i="3"/>
  <c r="H158" i="3"/>
  <c r="H159" i="3"/>
  <c r="L55" i="7"/>
  <c r="L134" i="4"/>
  <c r="H132" i="3"/>
  <c r="H136" i="3"/>
  <c r="H137" i="3"/>
  <c r="H134" i="3"/>
  <c r="H138" i="3"/>
  <c r="H131" i="3"/>
  <c r="H186" i="3"/>
  <c r="H133" i="3"/>
  <c r="H126" i="3"/>
  <c r="H135" i="3"/>
  <c r="H128" i="3"/>
  <c r="H130" i="3"/>
  <c r="H129" i="3"/>
  <c r="W3" i="7"/>
  <c r="W167" i="4"/>
  <c r="X80" i="4"/>
  <c r="X27" i="7"/>
  <c r="X191" i="4"/>
  <c r="X218" i="4"/>
  <c r="L53" i="7" l="1"/>
  <c r="L127" i="4"/>
  <c r="H42" i="5"/>
  <c r="H137" i="5"/>
  <c r="H83" i="5"/>
  <c r="H138" i="7" s="1"/>
  <c r="H50" i="3"/>
  <c r="H110" i="5"/>
  <c r="X26" i="7"/>
  <c r="X73" i="4"/>
  <c r="X190" i="4"/>
  <c r="X217" i="4"/>
  <c r="H131" i="6"/>
  <c r="H80" i="3"/>
  <c r="H77" i="6"/>
  <c r="H219" i="7" s="1"/>
  <c r="H104" i="6"/>
  <c r="H33" i="6"/>
  <c r="Y54" i="7" l="1"/>
  <c r="H76" i="5"/>
  <c r="H103" i="5"/>
  <c r="H17" i="5"/>
  <c r="X19" i="7"/>
  <c r="X57" i="4"/>
  <c r="X183" i="4"/>
  <c r="X210" i="4"/>
  <c r="L46" i="7"/>
  <c r="L111" i="4"/>
  <c r="L30" i="7" s="1"/>
  <c r="Y107" i="4"/>
  <c r="Y100" i="4" s="1"/>
  <c r="Y84" i="4" s="1"/>
  <c r="H70" i="6"/>
  <c r="H97" i="6"/>
  <c r="H17" i="6"/>
  <c r="H151" i="6" s="1"/>
  <c r="H202" i="3"/>
  <c r="H48" i="3"/>
  <c r="H232" i="3"/>
  <c r="H78" i="3"/>
  <c r="X3" i="7" l="1"/>
  <c r="X167" i="4"/>
  <c r="H77" i="3"/>
  <c r="H170" i="3"/>
  <c r="H230" i="3"/>
  <c r="H141" i="5"/>
  <c r="H60" i="5"/>
  <c r="H150" i="5"/>
  <c r="H156" i="5"/>
  <c r="H161" i="5"/>
  <c r="H162" i="5"/>
  <c r="H163" i="5"/>
  <c r="H148" i="5"/>
  <c r="H155" i="5"/>
  <c r="H154" i="5"/>
  <c r="H147" i="5"/>
  <c r="H143" i="5"/>
  <c r="H152" i="5"/>
  <c r="H159" i="5"/>
  <c r="H145" i="5"/>
  <c r="H153" i="5"/>
  <c r="H160" i="5"/>
  <c r="H151" i="5"/>
  <c r="H146" i="5"/>
  <c r="H158" i="5"/>
  <c r="H166" i="5"/>
  <c r="H144" i="5"/>
  <c r="H142" i="5"/>
  <c r="H165" i="5"/>
  <c r="H164" i="5"/>
  <c r="H157" i="5"/>
  <c r="H200" i="3"/>
  <c r="H47" i="3"/>
  <c r="H140" i="3" s="1"/>
  <c r="H135" i="6"/>
  <c r="H156" i="6"/>
  <c r="H155" i="6"/>
  <c r="H142" i="6"/>
  <c r="H149" i="6"/>
  <c r="H54" i="6"/>
  <c r="H148" i="6"/>
  <c r="H141" i="6"/>
  <c r="H146" i="6"/>
  <c r="H153" i="6"/>
  <c r="H137" i="6"/>
  <c r="H139" i="6"/>
  <c r="H154" i="6"/>
  <c r="H140" i="6"/>
  <c r="H152" i="6"/>
  <c r="H147" i="6"/>
  <c r="H138" i="6"/>
  <c r="H145" i="6"/>
  <c r="H160" i="6"/>
  <c r="H136" i="6"/>
  <c r="H159" i="6"/>
  <c r="H158" i="6"/>
  <c r="Y80" i="4"/>
  <c r="Y27" i="7"/>
  <c r="Y191" i="4"/>
  <c r="Y218" i="4"/>
  <c r="H174" i="3" l="1"/>
  <c r="H180" i="3"/>
  <c r="H179" i="3"/>
  <c r="H178" i="3"/>
  <c r="H169" i="3"/>
  <c r="H175" i="3"/>
  <c r="H177" i="3"/>
  <c r="H176" i="3"/>
  <c r="H173" i="3"/>
  <c r="H229" i="3"/>
  <c r="H171" i="3"/>
  <c r="H172" i="3"/>
  <c r="Y26" i="7"/>
  <c r="Y73" i="4"/>
  <c r="Y190" i="4"/>
  <c r="Y217" i="4"/>
  <c r="H144" i="3"/>
  <c r="H139" i="3"/>
  <c r="H145" i="3"/>
  <c r="H150" i="3"/>
  <c r="H199" i="3"/>
  <c r="H146" i="3"/>
  <c r="H147" i="3"/>
  <c r="H143" i="3"/>
  <c r="H149" i="3"/>
  <c r="H148" i="3"/>
  <c r="H141" i="3"/>
  <c r="H142" i="3"/>
  <c r="I133" i="5" l="1"/>
  <c r="I79" i="5"/>
  <c r="I134" i="7" s="1"/>
  <c r="I106" i="5"/>
  <c r="I43" i="5"/>
  <c r="I72" i="5"/>
  <c r="I127" i="7" s="1"/>
  <c r="I126" i="5"/>
  <c r="I99" i="5"/>
  <c r="I33" i="5"/>
  <c r="I127" i="6"/>
  <c r="I73" i="6"/>
  <c r="I215" i="7" s="1"/>
  <c r="I100" i="6"/>
  <c r="I34" i="6"/>
  <c r="Y19" i="7"/>
  <c r="Y57" i="4"/>
  <c r="Y3" i="7" s="1"/>
  <c r="Y183" i="4"/>
  <c r="Y210" i="4"/>
  <c r="I139" i="5" l="1"/>
  <c r="I85" i="5"/>
  <c r="I140" i="7" s="1"/>
  <c r="I112" i="5"/>
  <c r="I71" i="6"/>
  <c r="I213" i="7" s="1"/>
  <c r="I125" i="6"/>
  <c r="I79" i="3"/>
  <c r="I98" i="6"/>
  <c r="I77" i="5"/>
  <c r="I132" i="7" s="1"/>
  <c r="I131" i="5"/>
  <c r="I49" i="3"/>
  <c r="I104" i="5"/>
  <c r="I119" i="5"/>
  <c r="I65" i="5"/>
  <c r="I120" i="7" s="1"/>
  <c r="I92" i="5"/>
  <c r="I21" i="5"/>
  <c r="I124" i="5"/>
  <c r="I70" i="5"/>
  <c r="I125" i="7" s="1"/>
  <c r="I38" i="3"/>
  <c r="I97" i="5"/>
  <c r="I18" i="5" l="1"/>
  <c r="I117" i="5"/>
  <c r="I63" i="5"/>
  <c r="I118" i="7" s="1"/>
  <c r="I37" i="3"/>
  <c r="I90" i="5"/>
  <c r="I201" i="3"/>
  <c r="I190" i="3"/>
  <c r="I120" i="6"/>
  <c r="I66" i="6"/>
  <c r="I208" i="7" s="1"/>
  <c r="I93" i="6"/>
  <c r="I27" i="6"/>
  <c r="I231" i="3"/>
  <c r="I113" i="6" l="1"/>
  <c r="I59" i="6"/>
  <c r="I201" i="7" s="1"/>
  <c r="I86" i="6"/>
  <c r="I20" i="6"/>
  <c r="I64" i="6"/>
  <c r="I206" i="7" s="1"/>
  <c r="I118" i="6"/>
  <c r="I68" i="3"/>
  <c r="I91" i="6"/>
  <c r="I189" i="3"/>
  <c r="I35" i="3"/>
  <c r="I61" i="5"/>
  <c r="I88" i="5"/>
  <c r="I187" i="3" l="1"/>
  <c r="I34" i="3"/>
  <c r="I127" i="3"/>
  <c r="I111" i="6"/>
  <c r="I67" i="3"/>
  <c r="I57" i="6"/>
  <c r="I199" i="7" s="1"/>
  <c r="I84" i="6"/>
  <c r="I18" i="6"/>
  <c r="I220" i="3"/>
  <c r="I219" i="3" l="1"/>
  <c r="I65" i="3"/>
  <c r="I133" i="6"/>
  <c r="I79" i="6"/>
  <c r="I221" i="7" s="1"/>
  <c r="I106" i="6"/>
  <c r="I55" i="6"/>
  <c r="I82" i="6"/>
  <c r="I134" i="3"/>
  <c r="I131" i="3"/>
  <c r="I135" i="3"/>
  <c r="I186" i="3"/>
  <c r="I126" i="3"/>
  <c r="I133" i="3"/>
  <c r="I136" i="3"/>
  <c r="I137" i="3"/>
  <c r="I132" i="3"/>
  <c r="I138" i="3"/>
  <c r="I128" i="3"/>
  <c r="I130" i="3"/>
  <c r="I129" i="3"/>
  <c r="I52" i="5" l="1"/>
  <c r="I84" i="5"/>
  <c r="I139" i="7" s="1"/>
  <c r="I138" i="5"/>
  <c r="I111" i="5"/>
  <c r="I64" i="3"/>
  <c r="I217" i="3"/>
  <c r="I40" i="6"/>
  <c r="I132" i="6"/>
  <c r="I78" i="6"/>
  <c r="I220" i="7" s="1"/>
  <c r="I105" i="6"/>
  <c r="I157" i="3" l="1"/>
  <c r="I83" i="5"/>
  <c r="I138" i="7" s="1"/>
  <c r="I137" i="5"/>
  <c r="I50" i="3"/>
  <c r="I110" i="5"/>
  <c r="I42" i="5"/>
  <c r="I166" i="3"/>
  <c r="I156" i="3"/>
  <c r="I167" i="3"/>
  <c r="I168" i="3"/>
  <c r="I163" i="3"/>
  <c r="I161" i="3"/>
  <c r="I165" i="3"/>
  <c r="I158" i="3"/>
  <c r="I216" i="3"/>
  <c r="I160" i="3"/>
  <c r="I159" i="3"/>
  <c r="I77" i="6"/>
  <c r="I219" i="7" s="1"/>
  <c r="I131" i="6"/>
  <c r="I80" i="3"/>
  <c r="I104" i="6"/>
  <c r="I33" i="6"/>
  <c r="I232" i="3" l="1"/>
  <c r="I78" i="3"/>
  <c r="I17" i="5"/>
  <c r="I157" i="5"/>
  <c r="I76" i="5"/>
  <c r="I103" i="5"/>
  <c r="I202" i="3"/>
  <c r="I48" i="3"/>
  <c r="I70" i="6"/>
  <c r="I97" i="6"/>
  <c r="I17" i="6"/>
  <c r="I136" i="6" l="1"/>
  <c r="I135" i="6"/>
  <c r="I156" i="6"/>
  <c r="I155" i="6"/>
  <c r="I148" i="6"/>
  <c r="I141" i="6"/>
  <c r="I54" i="6"/>
  <c r="I142" i="6"/>
  <c r="I149" i="6"/>
  <c r="I146" i="6"/>
  <c r="I153" i="6"/>
  <c r="I137" i="6"/>
  <c r="I139" i="6"/>
  <c r="I154" i="6"/>
  <c r="I152" i="6"/>
  <c r="I147" i="6"/>
  <c r="I145" i="6"/>
  <c r="I140" i="6"/>
  <c r="I138" i="6"/>
  <c r="I160" i="6"/>
  <c r="I159" i="6"/>
  <c r="I158" i="6"/>
  <c r="I141" i="5"/>
  <c r="I60" i="5"/>
  <c r="I150" i="5"/>
  <c r="I156" i="5"/>
  <c r="I162" i="5"/>
  <c r="I161" i="5"/>
  <c r="I163" i="5"/>
  <c r="I154" i="5"/>
  <c r="I147" i="5"/>
  <c r="I148" i="5"/>
  <c r="I155" i="5"/>
  <c r="I143" i="5"/>
  <c r="I152" i="5"/>
  <c r="I159" i="5"/>
  <c r="I145" i="5"/>
  <c r="I160" i="5"/>
  <c r="I153" i="5"/>
  <c r="I166" i="5"/>
  <c r="I151" i="5"/>
  <c r="I158" i="5"/>
  <c r="I146" i="5"/>
  <c r="I144" i="5"/>
  <c r="I142" i="5"/>
  <c r="I165" i="5"/>
  <c r="I164" i="5"/>
  <c r="M55" i="7"/>
  <c r="M134" i="4"/>
  <c r="I151" i="6"/>
  <c r="J133" i="5"/>
  <c r="J79" i="5"/>
  <c r="J134" i="7" s="1"/>
  <c r="J106" i="5"/>
  <c r="J43" i="5"/>
  <c r="I77" i="3"/>
  <c r="I230" i="3"/>
  <c r="I200" i="3"/>
  <c r="I47" i="3"/>
  <c r="I140" i="3" s="1"/>
  <c r="J126" i="5"/>
  <c r="J72" i="5"/>
  <c r="J127" i="7" s="1"/>
  <c r="J99" i="5"/>
  <c r="J33" i="5"/>
  <c r="I170" i="3" l="1"/>
  <c r="J70" i="5"/>
  <c r="J125" i="7" s="1"/>
  <c r="J124" i="5"/>
  <c r="J38" i="3"/>
  <c r="J97" i="5"/>
  <c r="J113" i="6"/>
  <c r="J59" i="6"/>
  <c r="J201" i="7" s="1"/>
  <c r="J86" i="6"/>
  <c r="J20" i="6"/>
  <c r="M53" i="7"/>
  <c r="M127" i="4"/>
  <c r="J127" i="6"/>
  <c r="J73" i="6"/>
  <c r="J215" i="7" s="1"/>
  <c r="J100" i="6"/>
  <c r="J34" i="6"/>
  <c r="I174" i="3"/>
  <c r="I176" i="3"/>
  <c r="I177" i="3"/>
  <c r="I173" i="3"/>
  <c r="I179" i="3"/>
  <c r="I180" i="3"/>
  <c r="I178" i="3"/>
  <c r="I169" i="3"/>
  <c r="I175" i="3"/>
  <c r="I229" i="3"/>
  <c r="I171" i="3"/>
  <c r="I172" i="3"/>
  <c r="J77" i="5"/>
  <c r="J132" i="7" s="1"/>
  <c r="J131" i="5"/>
  <c r="J49" i="3"/>
  <c r="J104" i="5"/>
  <c r="I147" i="3"/>
  <c r="I199" i="3"/>
  <c r="I143" i="3"/>
  <c r="I145" i="3"/>
  <c r="I144" i="3"/>
  <c r="I139" i="3"/>
  <c r="I146" i="3"/>
  <c r="I148" i="3"/>
  <c r="I149" i="3"/>
  <c r="I150" i="3"/>
  <c r="I141" i="3"/>
  <c r="I142" i="3"/>
  <c r="J65" i="5"/>
  <c r="J120" i="7" s="1"/>
  <c r="J119" i="5"/>
  <c r="J92" i="5"/>
  <c r="J21" i="5"/>
  <c r="J85" i="5"/>
  <c r="J140" i="7" s="1"/>
  <c r="J139" i="5"/>
  <c r="J112" i="5"/>
  <c r="J63" i="5" l="1"/>
  <c r="J118" i="7" s="1"/>
  <c r="J117" i="5"/>
  <c r="J37" i="3"/>
  <c r="J90" i="5"/>
  <c r="J18" i="5"/>
  <c r="J111" i="6"/>
  <c r="J67" i="3"/>
  <c r="J57" i="6"/>
  <c r="J199" i="7" s="1"/>
  <c r="J84" i="6"/>
  <c r="J190" i="3"/>
  <c r="J201" i="3"/>
  <c r="M46" i="7"/>
  <c r="M111" i="4"/>
  <c r="M30" i="7" s="1"/>
  <c r="J71" i="6"/>
  <c r="J213" i="7" s="1"/>
  <c r="J125" i="6"/>
  <c r="J79" i="3"/>
  <c r="J98" i="6"/>
  <c r="J120" i="6"/>
  <c r="J66" i="6"/>
  <c r="J208" i="7" s="1"/>
  <c r="J93" i="6"/>
  <c r="J27" i="6"/>
  <c r="J231" i="3" l="1"/>
  <c r="J18" i="6"/>
  <c r="J118" i="6"/>
  <c r="J68" i="3"/>
  <c r="J65" i="3" s="1"/>
  <c r="J64" i="6"/>
  <c r="J206" i="7" s="1"/>
  <c r="J91" i="6"/>
  <c r="J189" i="3"/>
  <c r="J35" i="3"/>
  <c r="J61" i="5"/>
  <c r="J88" i="5"/>
  <c r="J219" i="3"/>
  <c r="J133" i="6"/>
  <c r="J79" i="6"/>
  <c r="J221" i="7" s="1"/>
  <c r="J106" i="6"/>
  <c r="J187" i="3" l="1"/>
  <c r="J34" i="3"/>
  <c r="J127" i="3" s="1"/>
  <c r="J55" i="6"/>
  <c r="J82" i="6"/>
  <c r="J64" i="3"/>
  <c r="J217" i="3"/>
  <c r="J220" i="3"/>
  <c r="J157" i="3" l="1"/>
  <c r="J135" i="3"/>
  <c r="J136" i="3"/>
  <c r="J138" i="3"/>
  <c r="J126" i="3"/>
  <c r="J131" i="3"/>
  <c r="J186" i="3"/>
  <c r="J133" i="3"/>
  <c r="J132" i="3"/>
  <c r="J134" i="3"/>
  <c r="J137" i="3"/>
  <c r="J128" i="3"/>
  <c r="J130" i="3"/>
  <c r="J129" i="3"/>
  <c r="J40" i="6"/>
  <c r="J132" i="6"/>
  <c r="J78" i="6"/>
  <c r="J220" i="7" s="1"/>
  <c r="J105" i="6"/>
  <c r="J166" i="3"/>
  <c r="J156" i="3"/>
  <c r="J167" i="3"/>
  <c r="J168" i="3"/>
  <c r="J163" i="3"/>
  <c r="J161" i="3"/>
  <c r="J165" i="3"/>
  <c r="J158" i="3"/>
  <c r="J216" i="3"/>
  <c r="J159" i="3"/>
  <c r="J160" i="3"/>
  <c r="J84" i="5"/>
  <c r="J139" i="7" s="1"/>
  <c r="J52" i="5"/>
  <c r="J138" i="5"/>
  <c r="J111" i="5"/>
  <c r="J131" i="6" l="1"/>
  <c r="J80" i="3"/>
  <c r="J77" i="6"/>
  <c r="J219" i="7" s="1"/>
  <c r="J104" i="6"/>
  <c r="J33" i="6"/>
  <c r="J137" i="5"/>
  <c r="J83" i="5"/>
  <c r="J138" i="7" s="1"/>
  <c r="J50" i="3"/>
  <c r="J110" i="5"/>
  <c r="J42" i="5"/>
  <c r="J202" i="3" l="1"/>
  <c r="J48" i="3"/>
  <c r="J232" i="3"/>
  <c r="J78" i="3"/>
  <c r="J70" i="6"/>
  <c r="J97" i="6"/>
  <c r="J17" i="6"/>
  <c r="J76" i="5"/>
  <c r="J103" i="5"/>
  <c r="J17" i="5"/>
  <c r="J157" i="5" s="1"/>
  <c r="J77" i="3" l="1"/>
  <c r="J230" i="3"/>
  <c r="J135" i="6"/>
  <c r="J156" i="6"/>
  <c r="J155" i="6"/>
  <c r="J148" i="6"/>
  <c r="J54" i="6"/>
  <c r="J142" i="6"/>
  <c r="J141" i="6"/>
  <c r="J143" i="6"/>
  <c r="J149" i="6"/>
  <c r="J137" i="6"/>
  <c r="J146" i="6"/>
  <c r="J153" i="6"/>
  <c r="J139" i="6"/>
  <c r="J140" i="6"/>
  <c r="J154" i="6"/>
  <c r="J138" i="6"/>
  <c r="J147" i="6"/>
  <c r="J152" i="6"/>
  <c r="J145" i="6"/>
  <c r="J160" i="6"/>
  <c r="J136" i="6"/>
  <c r="J159" i="6"/>
  <c r="J158" i="6"/>
  <c r="J151" i="6"/>
  <c r="J200" i="3"/>
  <c r="J47" i="3"/>
  <c r="J140" i="3" s="1"/>
  <c r="J164" i="5"/>
  <c r="J60" i="5"/>
  <c r="J141" i="5"/>
  <c r="J156" i="5"/>
  <c r="J162" i="5"/>
  <c r="J161" i="5"/>
  <c r="J163" i="5"/>
  <c r="J154" i="5"/>
  <c r="J147" i="5"/>
  <c r="J148" i="5"/>
  <c r="J149" i="5"/>
  <c r="J155" i="5"/>
  <c r="J150" i="5"/>
  <c r="J152" i="5"/>
  <c r="J159" i="5"/>
  <c r="J143" i="5"/>
  <c r="J145" i="5"/>
  <c r="J160" i="5"/>
  <c r="J153" i="5"/>
  <c r="J166" i="5"/>
  <c r="J158" i="5"/>
  <c r="J146" i="5"/>
  <c r="J151" i="5"/>
  <c r="J144" i="5"/>
  <c r="J142" i="5"/>
  <c r="J165" i="5"/>
  <c r="J170" i="3" l="1"/>
  <c r="J148" i="3"/>
  <c r="J147" i="3"/>
  <c r="J150" i="3"/>
  <c r="J139" i="3"/>
  <c r="J145" i="3"/>
  <c r="J144" i="3"/>
  <c r="J143" i="3"/>
  <c r="J199" i="3"/>
  <c r="J146" i="3"/>
  <c r="J149" i="3"/>
  <c r="J141" i="3"/>
  <c r="J142" i="3"/>
  <c r="J174" i="3"/>
  <c r="J179" i="3"/>
  <c r="J178" i="3"/>
  <c r="J169" i="3"/>
  <c r="J175" i="3"/>
  <c r="J176" i="3"/>
  <c r="J173" i="3"/>
  <c r="J177" i="3"/>
  <c r="J180" i="3"/>
  <c r="J229" i="3"/>
  <c r="J171" i="3"/>
  <c r="J172" i="3"/>
  <c r="K126" i="5" l="1"/>
  <c r="K72" i="5"/>
  <c r="K127" i="7" s="1"/>
  <c r="K99" i="5"/>
  <c r="K33" i="5"/>
  <c r="K133" i="5"/>
  <c r="K79" i="5"/>
  <c r="K134" i="7" s="1"/>
  <c r="K106" i="5"/>
  <c r="K43" i="5"/>
  <c r="K131" i="5" l="1"/>
  <c r="K77" i="5"/>
  <c r="K132" i="7" s="1"/>
  <c r="K49" i="3"/>
  <c r="K104" i="5"/>
  <c r="K127" i="6"/>
  <c r="K73" i="6"/>
  <c r="K215" i="7" s="1"/>
  <c r="K100" i="6"/>
  <c r="K34" i="6"/>
  <c r="K139" i="5"/>
  <c r="K85" i="5"/>
  <c r="K140" i="7" s="1"/>
  <c r="K112" i="5"/>
  <c r="K119" i="5"/>
  <c r="K65" i="5"/>
  <c r="K120" i="7" s="1"/>
  <c r="K92" i="5"/>
  <c r="K21" i="5"/>
  <c r="K70" i="5"/>
  <c r="K125" i="7" s="1"/>
  <c r="K124" i="5"/>
  <c r="K38" i="3"/>
  <c r="K97" i="5"/>
  <c r="K120" i="6" l="1"/>
  <c r="K66" i="6"/>
  <c r="K208" i="7" s="1"/>
  <c r="K93" i="6"/>
  <c r="K27" i="6"/>
  <c r="K18" i="5"/>
  <c r="K117" i="5"/>
  <c r="K63" i="5"/>
  <c r="K118" i="7" s="1"/>
  <c r="K37" i="3"/>
  <c r="K90" i="5"/>
  <c r="K125" i="6"/>
  <c r="K79" i="3"/>
  <c r="K71" i="6"/>
  <c r="K213" i="7" s="1"/>
  <c r="K98" i="6"/>
  <c r="K201" i="3"/>
  <c r="K190" i="3"/>
  <c r="K61" i="5" l="1"/>
  <c r="K88" i="5"/>
  <c r="K113" i="6"/>
  <c r="K59" i="6"/>
  <c r="K201" i="7" s="1"/>
  <c r="K86" i="6"/>
  <c r="K20" i="6"/>
  <c r="K118" i="6"/>
  <c r="K68" i="3"/>
  <c r="K64" i="6"/>
  <c r="K206" i="7" s="1"/>
  <c r="K91" i="6"/>
  <c r="N55" i="7"/>
  <c r="N134" i="4"/>
  <c r="K189" i="3"/>
  <c r="K35" i="3"/>
  <c r="K231" i="3"/>
  <c r="K220" i="3" l="1"/>
  <c r="K187" i="3"/>
  <c r="K34" i="3"/>
  <c r="K127" i="3" s="1"/>
  <c r="K111" i="6"/>
  <c r="K67" i="3"/>
  <c r="K57" i="6"/>
  <c r="K199" i="7" s="1"/>
  <c r="K84" i="6"/>
  <c r="K18" i="6"/>
  <c r="Y169" i="4"/>
  <c r="N53" i="7"/>
  <c r="N127" i="4"/>
  <c r="K219" i="3" l="1"/>
  <c r="K65" i="3"/>
  <c r="K133" i="6"/>
  <c r="K79" i="6"/>
  <c r="K221" i="7" s="1"/>
  <c r="K106" i="6"/>
  <c r="K186" i="3"/>
  <c r="K133" i="3"/>
  <c r="K135" i="3"/>
  <c r="K137" i="3"/>
  <c r="K126" i="3"/>
  <c r="K134" i="3"/>
  <c r="K131" i="3"/>
  <c r="K136" i="3"/>
  <c r="K138" i="3"/>
  <c r="K132" i="3"/>
  <c r="K128" i="3"/>
  <c r="K130" i="3"/>
  <c r="K129" i="3"/>
  <c r="K55" i="6"/>
  <c r="K82" i="6"/>
  <c r="N46" i="7"/>
  <c r="N111" i="4"/>
  <c r="N30" i="7" s="1"/>
  <c r="K64" i="3" l="1"/>
  <c r="K157" i="3"/>
  <c r="K217" i="3"/>
  <c r="K138" i="5" l="1"/>
  <c r="K52" i="5"/>
  <c r="K84" i="5"/>
  <c r="K139" i="7" s="1"/>
  <c r="K111" i="5"/>
  <c r="K132" i="6"/>
  <c r="K40" i="6"/>
  <c r="K78" i="6"/>
  <c r="K220" i="7" s="1"/>
  <c r="K105" i="6"/>
  <c r="K165" i="3"/>
  <c r="K163" i="3"/>
  <c r="K161" i="3"/>
  <c r="K166" i="3"/>
  <c r="K156" i="3"/>
  <c r="K167" i="3"/>
  <c r="K168" i="3"/>
  <c r="K158" i="3"/>
  <c r="K216" i="3"/>
  <c r="K160" i="3"/>
  <c r="K159" i="3"/>
  <c r="K42" i="5" l="1"/>
  <c r="K137" i="5"/>
  <c r="K83" i="5"/>
  <c r="K138" i="7" s="1"/>
  <c r="K50" i="3"/>
  <c r="K110" i="5"/>
  <c r="K131" i="6"/>
  <c r="K80" i="3"/>
  <c r="K77" i="6"/>
  <c r="K219" i="7" s="1"/>
  <c r="K104" i="6"/>
  <c r="K33" i="6"/>
  <c r="Y5" i="4"/>
  <c r="K70" i="6" l="1"/>
  <c r="K97" i="6"/>
  <c r="K17" i="6"/>
  <c r="K202" i="3"/>
  <c r="K48" i="3"/>
  <c r="L126" i="5"/>
  <c r="L72" i="5"/>
  <c r="L127" i="7" s="1"/>
  <c r="L99" i="5"/>
  <c r="L33" i="5"/>
  <c r="K232" i="3"/>
  <c r="K78" i="3"/>
  <c r="L127" i="6"/>
  <c r="L73" i="6"/>
  <c r="L215" i="7" s="1"/>
  <c r="L100" i="6"/>
  <c r="L34" i="6"/>
  <c r="Y6" i="3"/>
  <c r="Y196" i="4"/>
  <c r="L133" i="5"/>
  <c r="L79" i="5"/>
  <c r="L134" i="7" s="1"/>
  <c r="L106" i="5"/>
  <c r="L43" i="5"/>
  <c r="K76" i="5"/>
  <c r="K103" i="5"/>
  <c r="K17" i="5"/>
  <c r="Y174" i="4" l="1"/>
  <c r="L77" i="5"/>
  <c r="L132" i="7" s="1"/>
  <c r="L131" i="5"/>
  <c r="L49" i="3"/>
  <c r="L104" i="5"/>
  <c r="L124" i="5"/>
  <c r="L70" i="5"/>
  <c r="L125" i="7" s="1"/>
  <c r="L38" i="3"/>
  <c r="L97" i="5"/>
  <c r="Y175" i="4"/>
  <c r="K151" i="6"/>
  <c r="K135" i="6"/>
  <c r="K155" i="6"/>
  <c r="K156" i="6"/>
  <c r="K142" i="6"/>
  <c r="K148" i="6"/>
  <c r="K149" i="6"/>
  <c r="K143" i="6"/>
  <c r="K141" i="6"/>
  <c r="K54" i="6"/>
  <c r="K137" i="6"/>
  <c r="K153" i="6"/>
  <c r="K146" i="6"/>
  <c r="K139" i="6"/>
  <c r="K154" i="6"/>
  <c r="K147" i="6"/>
  <c r="K152" i="6"/>
  <c r="K145" i="6"/>
  <c r="K140" i="6"/>
  <c r="K138" i="6"/>
  <c r="K160" i="6"/>
  <c r="K136" i="6"/>
  <c r="K159" i="6"/>
  <c r="K158" i="6"/>
  <c r="K142" i="5"/>
  <c r="K141" i="5"/>
  <c r="K60" i="5"/>
  <c r="K156" i="5"/>
  <c r="K161" i="5"/>
  <c r="K162" i="5"/>
  <c r="K163" i="5"/>
  <c r="K148" i="5"/>
  <c r="K154" i="5"/>
  <c r="K155" i="5"/>
  <c r="K149" i="5"/>
  <c r="K147" i="5"/>
  <c r="K150" i="5"/>
  <c r="K143" i="5"/>
  <c r="K152" i="5"/>
  <c r="K159" i="5"/>
  <c r="K145" i="5"/>
  <c r="K153" i="5"/>
  <c r="K160" i="5"/>
  <c r="K151" i="5"/>
  <c r="K158" i="5"/>
  <c r="K146" i="5"/>
  <c r="K166" i="5"/>
  <c r="K144" i="5"/>
  <c r="K165" i="5"/>
  <c r="K164" i="5"/>
  <c r="K77" i="3"/>
  <c r="K230" i="3"/>
  <c r="K200" i="3"/>
  <c r="K47" i="3"/>
  <c r="K140" i="3" s="1"/>
  <c r="K157" i="5"/>
  <c r="L125" i="6"/>
  <c r="L79" i="3"/>
  <c r="L71" i="6"/>
  <c r="L213" i="7" s="1"/>
  <c r="L98" i="6"/>
  <c r="K170" i="3" l="1"/>
  <c r="L120" i="6"/>
  <c r="L66" i="6"/>
  <c r="L208" i="7" s="1"/>
  <c r="L93" i="6"/>
  <c r="L27" i="6"/>
  <c r="L65" i="5"/>
  <c r="L120" i="7" s="1"/>
  <c r="L119" i="5"/>
  <c r="L92" i="5"/>
  <c r="L21" i="5"/>
  <c r="L190" i="3"/>
  <c r="L231" i="3"/>
  <c r="Y172" i="4"/>
  <c r="L85" i="5"/>
  <c r="L140" i="7" s="1"/>
  <c r="L139" i="5"/>
  <c r="L112" i="5"/>
  <c r="Y173" i="4"/>
  <c r="L201" i="3"/>
  <c r="L113" i="6"/>
  <c r="L59" i="6"/>
  <c r="L201" i="7" s="1"/>
  <c r="L86" i="6"/>
  <c r="L20" i="6"/>
  <c r="K144" i="3"/>
  <c r="K199" i="3"/>
  <c r="K146" i="3"/>
  <c r="K150" i="3"/>
  <c r="K149" i="3"/>
  <c r="K145" i="3"/>
  <c r="K148" i="3"/>
  <c r="K147" i="3"/>
  <c r="K139" i="3"/>
  <c r="K143" i="3"/>
  <c r="K141" i="3"/>
  <c r="K142" i="3"/>
  <c r="K173" i="3"/>
  <c r="K174" i="3"/>
  <c r="K176" i="3"/>
  <c r="K180" i="3"/>
  <c r="K179" i="3"/>
  <c r="K178" i="3"/>
  <c r="K169" i="3"/>
  <c r="K175" i="3"/>
  <c r="K177" i="3"/>
  <c r="K229" i="3"/>
  <c r="K171" i="3"/>
  <c r="K172" i="3"/>
  <c r="L117" i="5" l="1"/>
  <c r="L63" i="5"/>
  <c r="L118" i="7" s="1"/>
  <c r="L37" i="3"/>
  <c r="L18" i="5"/>
  <c r="L90" i="5"/>
  <c r="L118" i="6"/>
  <c r="L68" i="3"/>
  <c r="L64" i="6"/>
  <c r="L206" i="7" s="1"/>
  <c r="L91" i="6"/>
  <c r="Y176" i="4"/>
  <c r="Y171" i="4"/>
  <c r="Y33" i="4"/>
  <c r="L111" i="6"/>
  <c r="L67" i="3"/>
  <c r="L57" i="6"/>
  <c r="L199" i="7" s="1"/>
  <c r="L18" i="6"/>
  <c r="L84" i="6"/>
  <c r="L220" i="3" l="1"/>
  <c r="L55" i="6"/>
  <c r="L82" i="6"/>
  <c r="L65" i="3"/>
  <c r="L219" i="3"/>
  <c r="L133" i="6"/>
  <c r="L79" i="6"/>
  <c r="L221" i="7" s="1"/>
  <c r="L106" i="6"/>
  <c r="L61" i="5"/>
  <c r="L88" i="5"/>
  <c r="Y170" i="4"/>
  <c r="L189" i="3"/>
  <c r="L35" i="3"/>
  <c r="L138" i="5" l="1"/>
  <c r="L84" i="5"/>
  <c r="L139" i="7" s="1"/>
  <c r="L52" i="5"/>
  <c r="L111" i="5"/>
  <c r="L40" i="6"/>
  <c r="L132" i="6"/>
  <c r="L78" i="6"/>
  <c r="L220" i="7" s="1"/>
  <c r="L105" i="6"/>
  <c r="L187" i="3"/>
  <c r="L34" i="3"/>
  <c r="L127" i="3" s="1"/>
  <c r="L64" i="3"/>
  <c r="L217" i="3"/>
  <c r="L157" i="3" l="1"/>
  <c r="L137" i="5"/>
  <c r="L83" i="5"/>
  <c r="L138" i="7" s="1"/>
  <c r="L50" i="3"/>
  <c r="L110" i="5"/>
  <c r="L42" i="5"/>
  <c r="L161" i="3"/>
  <c r="L166" i="3"/>
  <c r="L156" i="3"/>
  <c r="L167" i="3"/>
  <c r="L168" i="3"/>
  <c r="L163" i="3"/>
  <c r="L165" i="3"/>
  <c r="L158" i="3"/>
  <c r="L216" i="3"/>
  <c r="L159" i="3"/>
  <c r="L160" i="3"/>
  <c r="L131" i="6"/>
  <c r="L80" i="3"/>
  <c r="L77" i="6"/>
  <c r="L219" i="7" s="1"/>
  <c r="L104" i="6"/>
  <c r="L33" i="6"/>
  <c r="Y181" i="4"/>
  <c r="L133" i="3"/>
  <c r="L186" i="3"/>
  <c r="L131" i="3"/>
  <c r="L126" i="3"/>
  <c r="L134" i="3"/>
  <c r="L136" i="3"/>
  <c r="L132" i="3"/>
  <c r="L138" i="3"/>
  <c r="L135" i="3"/>
  <c r="L137" i="3"/>
  <c r="L128" i="3"/>
  <c r="L130" i="3"/>
  <c r="L129" i="3"/>
  <c r="Y9" i="4"/>
  <c r="Y12" i="4"/>
  <c r="Y4" i="5"/>
  <c r="Y47" i="6" s="1"/>
  <c r="Y10" i="4"/>
  <c r="Y11" i="4"/>
  <c r="Y202" i="4" l="1"/>
  <c r="L76" i="5"/>
  <c r="L103" i="5"/>
  <c r="L17" i="5"/>
  <c r="Y201" i="4"/>
  <c r="Y96" i="5"/>
  <c r="Y203" i="4"/>
  <c r="L202" i="3"/>
  <c r="L48" i="3"/>
  <c r="Y179" i="4"/>
  <c r="Y40" i="4"/>
  <c r="Y200" i="4"/>
  <c r="L70" i="6"/>
  <c r="L97" i="6"/>
  <c r="L17" i="6"/>
  <c r="L232" i="3"/>
  <c r="L78" i="3"/>
  <c r="Y123" i="5"/>
  <c r="Y69" i="5"/>
  <c r="Y124" i="7" s="1"/>
  <c r="Y7" i="4"/>
  <c r="Y17" i="4"/>
  <c r="Y208" i="4" l="1"/>
  <c r="Y177" i="4"/>
  <c r="Y31" i="4"/>
  <c r="Y258" i="4" s="1"/>
  <c r="L151" i="6"/>
  <c r="L135" i="6"/>
  <c r="L155" i="6"/>
  <c r="L156" i="6"/>
  <c r="L142" i="6"/>
  <c r="L149" i="6"/>
  <c r="L54" i="6"/>
  <c r="L148" i="6"/>
  <c r="L143" i="6"/>
  <c r="L141" i="6"/>
  <c r="L137" i="6"/>
  <c r="L153" i="6"/>
  <c r="L146" i="6"/>
  <c r="L139" i="6"/>
  <c r="L154" i="6"/>
  <c r="L152" i="6"/>
  <c r="L147" i="6"/>
  <c r="L140" i="6"/>
  <c r="L138" i="6"/>
  <c r="L145" i="6"/>
  <c r="L160" i="6"/>
  <c r="L136" i="6"/>
  <c r="L159" i="6"/>
  <c r="L158" i="6"/>
  <c r="L144" i="5"/>
  <c r="L141" i="5"/>
  <c r="L60" i="5"/>
  <c r="L156" i="5"/>
  <c r="L162" i="5"/>
  <c r="L161" i="5"/>
  <c r="L148" i="5"/>
  <c r="L155" i="5"/>
  <c r="L163" i="5"/>
  <c r="L154" i="5"/>
  <c r="L149" i="5"/>
  <c r="L147" i="5"/>
  <c r="L150" i="5"/>
  <c r="L152" i="5"/>
  <c r="L159" i="5"/>
  <c r="L143" i="5"/>
  <c r="L145" i="5"/>
  <c r="L153" i="5"/>
  <c r="L160" i="5"/>
  <c r="L158" i="5"/>
  <c r="L151" i="5"/>
  <c r="L166" i="5"/>
  <c r="L146" i="5"/>
  <c r="L142" i="5"/>
  <c r="L165" i="5"/>
  <c r="L164" i="5"/>
  <c r="Y198" i="4"/>
  <c r="L77" i="3"/>
  <c r="L230" i="3"/>
  <c r="L157" i="5"/>
  <c r="L200" i="3"/>
  <c r="L47" i="3"/>
  <c r="L140" i="3" s="1"/>
  <c r="Y15" i="4"/>
  <c r="Y8" i="4"/>
  <c r="L170" i="3" l="1"/>
  <c r="Y249" i="4"/>
  <c r="Y30" i="4"/>
  <c r="Y168" i="4"/>
  <c r="Y263" i="4"/>
  <c r="Y261" i="4"/>
  <c r="Y259" i="4"/>
  <c r="Y250" i="4"/>
  <c r="Y256" i="4"/>
  <c r="Y255" i="4"/>
  <c r="Y254" i="4"/>
  <c r="Y253" i="4"/>
  <c r="Y252" i="4"/>
  <c r="Y257" i="4"/>
  <c r="Y251" i="4"/>
  <c r="Y262" i="4"/>
  <c r="Y260" i="4"/>
  <c r="Y6" i="4"/>
  <c r="Y199" i="4"/>
  <c r="L144" i="3"/>
  <c r="L149" i="3"/>
  <c r="L150" i="3"/>
  <c r="L148" i="3"/>
  <c r="L139" i="3"/>
  <c r="L145" i="3"/>
  <c r="L146" i="3"/>
  <c r="L143" i="3"/>
  <c r="L147" i="3"/>
  <c r="L199" i="3"/>
  <c r="L141" i="3"/>
  <c r="L142" i="3"/>
  <c r="Y134" i="5"/>
  <c r="Y80" i="5"/>
  <c r="Y135" i="7" s="1"/>
  <c r="Y107" i="5"/>
  <c r="Y206" i="4"/>
  <c r="Y13" i="4"/>
  <c r="Y144" i="6"/>
  <c r="Y117" i="6"/>
  <c r="Y63" i="6"/>
  <c r="Y90" i="6"/>
  <c r="L177" i="3"/>
  <c r="L169" i="3"/>
  <c r="L175" i="3"/>
  <c r="L173" i="3"/>
  <c r="L176" i="3"/>
  <c r="L180" i="3"/>
  <c r="L179" i="3"/>
  <c r="L174" i="3"/>
  <c r="L178" i="3"/>
  <c r="L229" i="3"/>
  <c r="L171" i="3"/>
  <c r="L172" i="3"/>
  <c r="Y127" i="5"/>
  <c r="Y73" i="5"/>
  <c r="Y128" i="7" s="1"/>
  <c r="Y100" i="5"/>
  <c r="Y101" i="6" l="1"/>
  <c r="Y128" i="6"/>
  <c r="Y74" i="6"/>
  <c r="Y216" i="7" s="1"/>
  <c r="Y7" i="3"/>
  <c r="Y197" i="4"/>
  <c r="Y143" i="4"/>
  <c r="Y4" i="4"/>
  <c r="Y231" i="4" s="1"/>
  <c r="Y167" i="4"/>
  <c r="Y132" i="5"/>
  <c r="Y78" i="5"/>
  <c r="Y133" i="7" s="1"/>
  <c r="Y105" i="5"/>
  <c r="Y121" i="6"/>
  <c r="Y67" i="6"/>
  <c r="Y209" i="7" s="1"/>
  <c r="Y94" i="6"/>
  <c r="Y150" i="4"/>
  <c r="Y204" i="4"/>
  <c r="Y8" i="3"/>
  <c r="Y71" i="5"/>
  <c r="Y126" i="7" s="1"/>
  <c r="Y125" i="5"/>
  <c r="Y98" i="5"/>
  <c r="Y116" i="5"/>
  <c r="Y36" i="3"/>
  <c r="Y62" i="5"/>
  <c r="Y117" i="7" s="1"/>
  <c r="Y89" i="5"/>
  <c r="O55" i="7"/>
  <c r="O134" i="4"/>
  <c r="Y120" i="5"/>
  <c r="Y66" i="5"/>
  <c r="Y121" i="7" s="1"/>
  <c r="Y93" i="5"/>
  <c r="Y224" i="4" l="1"/>
  <c r="O53" i="7"/>
  <c r="O127" i="4"/>
  <c r="Y188" i="3"/>
  <c r="Y60" i="6"/>
  <c r="Y202" i="7" s="1"/>
  <c r="Y114" i="6"/>
  <c r="Y87" i="6"/>
  <c r="Y234" i="4"/>
  <c r="Y141" i="4"/>
  <c r="Y222" i="4"/>
  <c r="Y195" i="4"/>
  <c r="Y232" i="4"/>
  <c r="Y236" i="4"/>
  <c r="Y223" i="4"/>
  <c r="Y227" i="4"/>
  <c r="Y229" i="4"/>
  <c r="Y230" i="4"/>
  <c r="Y228" i="4"/>
  <c r="Y225" i="4"/>
  <c r="Y235" i="4"/>
  <c r="Y226" i="4"/>
  <c r="Y233" i="4"/>
  <c r="Y5" i="3"/>
  <c r="Y66" i="3" l="1"/>
  <c r="Y110" i="6"/>
  <c r="Y56" i="6"/>
  <c r="Y198" i="7" s="1"/>
  <c r="Y83" i="6"/>
  <c r="Y4" i="3"/>
  <c r="O46" i="7"/>
  <c r="O111" i="4"/>
  <c r="O30" i="7" s="1"/>
  <c r="Y218" i="3" l="1"/>
  <c r="Y126" i="6"/>
  <c r="Y72" i="6"/>
  <c r="Y214" i="7" s="1"/>
  <c r="Y99" i="6"/>
  <c r="Y97" i="3"/>
  <c r="Y96" i="3"/>
  <c r="Y105" i="3"/>
  <c r="Y104" i="3"/>
  <c r="Y103" i="3"/>
  <c r="Y108" i="3"/>
  <c r="Y106" i="3"/>
  <c r="Y101" i="3"/>
  <c r="Y102" i="3"/>
  <c r="Y107" i="3"/>
  <c r="Y98" i="3"/>
  <c r="Y99" i="3"/>
  <c r="Y100" i="3"/>
  <c r="M113" i="6" l="1"/>
  <c r="M59" i="6"/>
  <c r="M201" i="7" s="1"/>
  <c r="M86" i="6"/>
  <c r="M20" i="6"/>
  <c r="Y135" i="5"/>
  <c r="Y81" i="5"/>
  <c r="Y136" i="7" s="1"/>
  <c r="Y108" i="5"/>
  <c r="Y119" i="6"/>
  <c r="Y65" i="6"/>
  <c r="Y207" i="7" s="1"/>
  <c r="Y92" i="6"/>
  <c r="Y68" i="5"/>
  <c r="Y123" i="7" s="1"/>
  <c r="Y122" i="5"/>
  <c r="Y95" i="5"/>
  <c r="M72" i="5"/>
  <c r="M127" i="7" s="1"/>
  <c r="M126" i="5"/>
  <c r="M99" i="5"/>
  <c r="M33" i="5"/>
  <c r="M79" i="5"/>
  <c r="M134" i="7" s="1"/>
  <c r="M133" i="5"/>
  <c r="M106" i="5"/>
  <c r="M43" i="5"/>
  <c r="M124" i="5" l="1"/>
  <c r="M70" i="5"/>
  <c r="M125" i="7" s="1"/>
  <c r="M38" i="3"/>
  <c r="M97" i="5"/>
  <c r="M119" i="5"/>
  <c r="M65" i="5"/>
  <c r="M120" i="7" s="1"/>
  <c r="M92" i="5"/>
  <c r="M21" i="5"/>
  <c r="Y116" i="6"/>
  <c r="Y62" i="6"/>
  <c r="Y204" i="7" s="1"/>
  <c r="Y89" i="6"/>
  <c r="Y129" i="6"/>
  <c r="Y75" i="6"/>
  <c r="Y217" i="7" s="1"/>
  <c r="Y102" i="6"/>
  <c r="M139" i="5"/>
  <c r="M85" i="5"/>
  <c r="M140" i="7" s="1"/>
  <c r="M112" i="5"/>
  <c r="M77" i="5"/>
  <c r="M132" i="7" s="1"/>
  <c r="M131" i="5"/>
  <c r="M49" i="3"/>
  <c r="M104" i="5"/>
  <c r="Y121" i="5"/>
  <c r="Y67" i="5"/>
  <c r="Y122" i="7" s="1"/>
  <c r="Y94" i="5"/>
  <c r="M127" i="6"/>
  <c r="M73" i="6"/>
  <c r="M215" i="7" s="1"/>
  <c r="M100" i="6"/>
  <c r="M34" i="6"/>
  <c r="M57" i="6"/>
  <c r="M199" i="7" s="1"/>
  <c r="M111" i="6"/>
  <c r="M67" i="3"/>
  <c r="M84" i="6"/>
  <c r="M63" i="5" l="1"/>
  <c r="M118" i="7" s="1"/>
  <c r="M117" i="5"/>
  <c r="M37" i="3"/>
  <c r="M90" i="5"/>
  <c r="M18" i="5"/>
  <c r="M71" i="6"/>
  <c r="M213" i="7" s="1"/>
  <c r="M125" i="6"/>
  <c r="M79" i="3"/>
  <c r="M98" i="6"/>
  <c r="Y118" i="5"/>
  <c r="Y64" i="5"/>
  <c r="Y119" i="7" s="1"/>
  <c r="Y91" i="5"/>
  <c r="M201" i="3"/>
  <c r="M219" i="3"/>
  <c r="M120" i="6"/>
  <c r="M66" i="6"/>
  <c r="M208" i="7" s="1"/>
  <c r="M93" i="6"/>
  <c r="M27" i="6"/>
  <c r="Y115" i="6"/>
  <c r="Y61" i="6"/>
  <c r="Y203" i="7" s="1"/>
  <c r="Y88" i="6"/>
  <c r="M190" i="3"/>
  <c r="M231" i="3" l="1"/>
  <c r="M61" i="5"/>
  <c r="M88" i="5"/>
  <c r="Y58" i="6"/>
  <c r="Y200" i="7" s="1"/>
  <c r="Y112" i="6"/>
  <c r="Y85" i="6"/>
  <c r="M189" i="3"/>
  <c r="M35" i="3"/>
  <c r="M64" i="6"/>
  <c r="M206" i="7" s="1"/>
  <c r="M118" i="6"/>
  <c r="M68" i="3"/>
  <c r="M91" i="6"/>
  <c r="M18" i="6"/>
  <c r="Y128" i="5"/>
  <c r="Y74" i="5"/>
  <c r="Y129" i="7" s="1"/>
  <c r="Y101" i="5"/>
  <c r="M133" i="6" l="1"/>
  <c r="M79" i="6"/>
  <c r="M221" i="7" s="1"/>
  <c r="M106" i="6"/>
  <c r="M55" i="6"/>
  <c r="M82" i="6"/>
  <c r="M187" i="3"/>
  <c r="M34" i="3"/>
  <c r="M127" i="3" s="1"/>
  <c r="M220" i="3"/>
  <c r="M65" i="3"/>
  <c r="Y68" i="6"/>
  <c r="Y210" i="7" s="1"/>
  <c r="Y122" i="6"/>
  <c r="Y95" i="6"/>
  <c r="M64" i="3" l="1"/>
  <c r="M217" i="3"/>
  <c r="M132" i="6"/>
  <c r="M40" i="6"/>
  <c r="M78" i="6"/>
  <c r="M220" i="7" s="1"/>
  <c r="M105" i="6"/>
  <c r="M138" i="5"/>
  <c r="M52" i="5"/>
  <c r="M84" i="5"/>
  <c r="M139" i="7" s="1"/>
  <c r="M111" i="5"/>
  <c r="M133" i="3"/>
  <c r="M135" i="3"/>
  <c r="M186" i="3"/>
  <c r="M126" i="3"/>
  <c r="M131" i="3"/>
  <c r="M134" i="3"/>
  <c r="M136" i="3"/>
  <c r="M138" i="3"/>
  <c r="M137" i="3"/>
  <c r="M132" i="3"/>
  <c r="M128" i="3"/>
  <c r="M130" i="3"/>
  <c r="M129" i="3"/>
  <c r="M157" i="3" l="1"/>
  <c r="M137" i="5"/>
  <c r="M83" i="5"/>
  <c r="M138" i="7" s="1"/>
  <c r="M50" i="3"/>
  <c r="M110" i="5"/>
  <c r="M42" i="5"/>
  <c r="M131" i="6"/>
  <c r="M80" i="3"/>
  <c r="M77" i="6"/>
  <c r="M219" i="7" s="1"/>
  <c r="M104" i="6"/>
  <c r="M33" i="6"/>
  <c r="M163" i="3"/>
  <c r="M161" i="3"/>
  <c r="M166" i="3"/>
  <c r="M156" i="3"/>
  <c r="M168" i="3"/>
  <c r="M167" i="3"/>
  <c r="M165" i="3"/>
  <c r="M158" i="3"/>
  <c r="M216" i="3"/>
  <c r="M159" i="3"/>
  <c r="M160" i="3"/>
  <c r="M76" i="5" l="1"/>
  <c r="M103" i="5"/>
  <c r="M17" i="5"/>
  <c r="M70" i="6"/>
  <c r="M97" i="6"/>
  <c r="M17" i="6"/>
  <c r="M202" i="3"/>
  <c r="M48" i="3"/>
  <c r="M232" i="3"/>
  <c r="M78" i="3"/>
  <c r="M200" i="3" l="1"/>
  <c r="M47" i="3"/>
  <c r="M140" i="3" s="1"/>
  <c r="M142" i="5"/>
  <c r="M60" i="5"/>
  <c r="M141" i="5"/>
  <c r="M156" i="5"/>
  <c r="M163" i="5"/>
  <c r="M161" i="5"/>
  <c r="M162" i="5"/>
  <c r="M148" i="5"/>
  <c r="M154" i="5"/>
  <c r="M155" i="5"/>
  <c r="M149" i="5"/>
  <c r="M147" i="5"/>
  <c r="M150" i="5"/>
  <c r="M143" i="5"/>
  <c r="M152" i="5"/>
  <c r="M159" i="5"/>
  <c r="M145" i="5"/>
  <c r="M160" i="5"/>
  <c r="M153" i="5"/>
  <c r="M158" i="5"/>
  <c r="M146" i="5"/>
  <c r="M166" i="5"/>
  <c r="M151" i="5"/>
  <c r="M144" i="5"/>
  <c r="M165" i="5"/>
  <c r="M164" i="5"/>
  <c r="M157" i="5"/>
  <c r="M151" i="6"/>
  <c r="M135" i="6"/>
  <c r="M155" i="6"/>
  <c r="M156" i="6"/>
  <c r="M142" i="6"/>
  <c r="M148" i="6"/>
  <c r="M54" i="6"/>
  <c r="M149" i="6"/>
  <c r="M143" i="6"/>
  <c r="M141" i="6"/>
  <c r="M137" i="6"/>
  <c r="M146" i="6"/>
  <c r="M153" i="6"/>
  <c r="M139" i="6"/>
  <c r="M140" i="6"/>
  <c r="M154" i="6"/>
  <c r="M138" i="6"/>
  <c r="M147" i="6"/>
  <c r="M152" i="6"/>
  <c r="M145" i="6"/>
  <c r="M160" i="6"/>
  <c r="M136" i="6"/>
  <c r="M159" i="6"/>
  <c r="M158" i="6"/>
  <c r="M77" i="3"/>
  <c r="M230" i="3"/>
  <c r="M170" i="3" l="1"/>
  <c r="M147" i="3"/>
  <c r="M148" i="3"/>
  <c r="M139" i="3"/>
  <c r="M145" i="3"/>
  <c r="M146" i="3"/>
  <c r="M199" i="3"/>
  <c r="M144" i="3"/>
  <c r="M143" i="3"/>
  <c r="M150" i="3"/>
  <c r="M149" i="3"/>
  <c r="M141" i="3"/>
  <c r="M142" i="3"/>
  <c r="M174" i="3"/>
  <c r="M169" i="3"/>
  <c r="M175" i="3"/>
  <c r="M173" i="3"/>
  <c r="M176" i="3"/>
  <c r="M177" i="3"/>
  <c r="M179" i="3"/>
  <c r="M180" i="3"/>
  <c r="M178" i="3"/>
  <c r="M229" i="3"/>
  <c r="M171" i="3"/>
  <c r="M172" i="3"/>
  <c r="N72" i="5" l="1"/>
  <c r="N127" i="7" s="1"/>
  <c r="N126" i="5"/>
  <c r="N99" i="5"/>
  <c r="N33" i="5"/>
  <c r="N133" i="5"/>
  <c r="N79" i="5"/>
  <c r="N134" i="7" s="1"/>
  <c r="N106" i="5"/>
  <c r="N43" i="5"/>
  <c r="N77" i="5" l="1"/>
  <c r="N132" i="7" s="1"/>
  <c r="N131" i="5"/>
  <c r="N49" i="3"/>
  <c r="N104" i="5"/>
  <c r="N127" i="6"/>
  <c r="N73" i="6"/>
  <c r="N215" i="7" s="1"/>
  <c r="N100" i="6"/>
  <c r="N34" i="6"/>
  <c r="N70" i="5"/>
  <c r="N125" i="7" s="1"/>
  <c r="N124" i="5"/>
  <c r="N38" i="3"/>
  <c r="N97" i="5"/>
  <c r="N190" i="3" l="1"/>
  <c r="N201" i="3"/>
  <c r="N120" i="6"/>
  <c r="N66" i="6"/>
  <c r="N208" i="7" s="1"/>
  <c r="N93" i="6"/>
  <c r="N27" i="6"/>
  <c r="N125" i="6"/>
  <c r="N79" i="3"/>
  <c r="N71" i="6"/>
  <c r="N213" i="7" s="1"/>
  <c r="N98" i="6"/>
  <c r="N65" i="5"/>
  <c r="N120" i="7" s="1"/>
  <c r="N119" i="5"/>
  <c r="N92" i="5"/>
  <c r="N21" i="5"/>
  <c r="N85" i="5"/>
  <c r="N140" i="7" s="1"/>
  <c r="N139" i="5"/>
  <c r="N112" i="5"/>
  <c r="N63" i="5" l="1"/>
  <c r="N118" i="7" s="1"/>
  <c r="N117" i="5"/>
  <c r="N37" i="3"/>
  <c r="N90" i="5"/>
  <c r="N18" i="5"/>
  <c r="N64" i="6"/>
  <c r="N206" i="7" s="1"/>
  <c r="N118" i="6"/>
  <c r="N68" i="3"/>
  <c r="N91" i="6"/>
  <c r="N231" i="3"/>
  <c r="N113" i="6"/>
  <c r="N59" i="6"/>
  <c r="N201" i="7" s="1"/>
  <c r="N86" i="6"/>
  <c r="N20" i="6"/>
  <c r="P55" i="7"/>
  <c r="P134" i="4"/>
  <c r="N133" i="6" l="1"/>
  <c r="N79" i="6"/>
  <c r="N221" i="7" s="1"/>
  <c r="N106" i="6"/>
  <c r="N61" i="5"/>
  <c r="N88" i="5"/>
  <c r="N220" i="3"/>
  <c r="N111" i="6"/>
  <c r="N67" i="3"/>
  <c r="N57" i="6"/>
  <c r="N199" i="7" s="1"/>
  <c r="N84" i="6"/>
  <c r="N18" i="6"/>
  <c r="N189" i="3"/>
  <c r="N35" i="3"/>
  <c r="P53" i="7"/>
  <c r="P127" i="4"/>
  <c r="N55" i="6" l="1"/>
  <c r="N82" i="6"/>
  <c r="N40" i="6"/>
  <c r="N132" i="6"/>
  <c r="N78" i="6"/>
  <c r="N220" i="7" s="1"/>
  <c r="N105" i="6"/>
  <c r="P46" i="7"/>
  <c r="P111" i="4"/>
  <c r="P30" i="7" s="1"/>
  <c r="N219" i="3"/>
  <c r="N65" i="3"/>
  <c r="N187" i="3"/>
  <c r="N34" i="3"/>
  <c r="N127" i="3" s="1"/>
  <c r="N52" i="5"/>
  <c r="N138" i="5"/>
  <c r="N84" i="5"/>
  <c r="N139" i="7" s="1"/>
  <c r="N111" i="5"/>
  <c r="N135" i="3" l="1"/>
  <c r="N136" i="3"/>
  <c r="N132" i="3"/>
  <c r="N137" i="3"/>
  <c r="N138" i="3"/>
  <c r="N186" i="3"/>
  <c r="N134" i="3"/>
  <c r="N133" i="3"/>
  <c r="N126" i="3"/>
  <c r="N131" i="3"/>
  <c r="N128" i="3"/>
  <c r="N130" i="3"/>
  <c r="N129" i="3"/>
  <c r="N77" i="6"/>
  <c r="N219" i="7" s="1"/>
  <c r="N131" i="6"/>
  <c r="N80" i="3"/>
  <c r="N104" i="6"/>
  <c r="N33" i="6"/>
  <c r="N83" i="5"/>
  <c r="N138" i="7" s="1"/>
  <c r="N137" i="5"/>
  <c r="N50" i="3"/>
  <c r="N110" i="5"/>
  <c r="N42" i="5"/>
  <c r="N64" i="3"/>
  <c r="N217" i="3"/>
  <c r="N157" i="3" l="1"/>
  <c r="N202" i="3"/>
  <c r="N48" i="3"/>
  <c r="N70" i="6"/>
  <c r="N97" i="6"/>
  <c r="N17" i="6"/>
  <c r="N161" i="3"/>
  <c r="N166" i="3"/>
  <c r="N156" i="3"/>
  <c r="N167" i="3"/>
  <c r="N168" i="3"/>
  <c r="N163" i="3"/>
  <c r="N165" i="3"/>
  <c r="N216" i="3"/>
  <c r="N158" i="3"/>
  <c r="N160" i="3"/>
  <c r="N159" i="3"/>
  <c r="N17" i="5"/>
  <c r="N157" i="5" s="1"/>
  <c r="N76" i="5"/>
  <c r="N103" i="5"/>
  <c r="N232" i="3"/>
  <c r="N78" i="3"/>
  <c r="N77" i="3" l="1"/>
  <c r="N230" i="3"/>
  <c r="N136" i="6"/>
  <c r="N135" i="6"/>
  <c r="N155" i="6"/>
  <c r="N156" i="6"/>
  <c r="N142" i="6"/>
  <c r="N54" i="6"/>
  <c r="N149" i="6"/>
  <c r="N148" i="6"/>
  <c r="N143" i="6"/>
  <c r="N141" i="6"/>
  <c r="N137" i="6"/>
  <c r="N153" i="6"/>
  <c r="N146" i="6"/>
  <c r="N139" i="6"/>
  <c r="N154" i="6"/>
  <c r="N152" i="6"/>
  <c r="N147" i="6"/>
  <c r="N145" i="6"/>
  <c r="N140" i="6"/>
  <c r="N160" i="6"/>
  <c r="N138" i="6"/>
  <c r="N159" i="6"/>
  <c r="N158" i="6"/>
  <c r="N200" i="3"/>
  <c r="N47" i="3"/>
  <c r="N140" i="3" s="1"/>
  <c r="N151" i="6"/>
  <c r="N141" i="5"/>
  <c r="N60" i="5"/>
  <c r="N163" i="5"/>
  <c r="N156" i="5"/>
  <c r="N161" i="5"/>
  <c r="N162" i="5"/>
  <c r="N148" i="5"/>
  <c r="N154" i="5"/>
  <c r="N155" i="5"/>
  <c r="N147" i="5"/>
  <c r="N149" i="5"/>
  <c r="N150" i="5"/>
  <c r="N152" i="5"/>
  <c r="N159" i="5"/>
  <c r="N143" i="5"/>
  <c r="N145" i="5"/>
  <c r="N160" i="5"/>
  <c r="N153" i="5"/>
  <c r="N158" i="5"/>
  <c r="N151" i="5"/>
  <c r="N166" i="5"/>
  <c r="N146" i="5"/>
  <c r="N144" i="5"/>
  <c r="N142" i="5"/>
  <c r="N165" i="5"/>
  <c r="N164" i="5"/>
  <c r="N170" i="3" l="1"/>
  <c r="N147" i="3"/>
  <c r="N144" i="3"/>
  <c r="N143" i="3"/>
  <c r="N150" i="3"/>
  <c r="N149" i="3"/>
  <c r="N199" i="3"/>
  <c r="N148" i="3"/>
  <c r="N139" i="3"/>
  <c r="N145" i="3"/>
  <c r="N146" i="3"/>
  <c r="N141" i="3"/>
  <c r="N142" i="3"/>
  <c r="N180" i="3"/>
  <c r="N179" i="3"/>
  <c r="N178" i="3"/>
  <c r="N169" i="3"/>
  <c r="N175" i="3"/>
  <c r="N177" i="3"/>
  <c r="N176" i="3"/>
  <c r="N174" i="3"/>
  <c r="N173" i="3"/>
  <c r="N229" i="3"/>
  <c r="N171" i="3"/>
  <c r="N172" i="3"/>
  <c r="O127" i="6" l="1"/>
  <c r="O73" i="6"/>
  <c r="O215" i="7" s="1"/>
  <c r="O100" i="6"/>
  <c r="O34" i="6"/>
  <c r="O79" i="5"/>
  <c r="O134" i="7" s="1"/>
  <c r="O133" i="5"/>
  <c r="O106" i="5"/>
  <c r="O43" i="5"/>
  <c r="O126" i="5"/>
  <c r="O72" i="5"/>
  <c r="O127" i="7" s="1"/>
  <c r="O99" i="5"/>
  <c r="O33" i="5"/>
  <c r="O77" i="5" l="1"/>
  <c r="O132" i="7" s="1"/>
  <c r="O131" i="5"/>
  <c r="O49" i="3"/>
  <c r="O104" i="5"/>
  <c r="O125" i="6"/>
  <c r="O79" i="3"/>
  <c r="O71" i="6"/>
  <c r="O213" i="7" s="1"/>
  <c r="O98" i="6"/>
  <c r="O70" i="5"/>
  <c r="O125" i="7" s="1"/>
  <c r="O124" i="5"/>
  <c r="O38" i="3"/>
  <c r="O97" i="5"/>
  <c r="O201" i="3" l="1"/>
  <c r="O231" i="3"/>
  <c r="O119" i="5"/>
  <c r="O65" i="5"/>
  <c r="O120" i="7" s="1"/>
  <c r="O92" i="5"/>
  <c r="O21" i="5"/>
  <c r="O190" i="3"/>
  <c r="O85" i="5"/>
  <c r="O140" i="7" s="1"/>
  <c r="O139" i="5"/>
  <c r="O112" i="5"/>
  <c r="O120" i="6"/>
  <c r="O66" i="6"/>
  <c r="O208" i="7" s="1"/>
  <c r="O93" i="6"/>
  <c r="O27" i="6"/>
  <c r="O64" i="6" l="1"/>
  <c r="O206" i="7" s="1"/>
  <c r="O118" i="6"/>
  <c r="O68" i="3"/>
  <c r="O91" i="6"/>
  <c r="O63" i="5"/>
  <c r="O118" i="7" s="1"/>
  <c r="O117" i="5"/>
  <c r="O37" i="3"/>
  <c r="O90" i="5"/>
  <c r="O18" i="5"/>
  <c r="O113" i="6"/>
  <c r="O59" i="6"/>
  <c r="O201" i="7" s="1"/>
  <c r="O86" i="6"/>
  <c r="O20" i="6"/>
  <c r="O61" i="5" l="1"/>
  <c r="O88" i="5"/>
  <c r="O57" i="6"/>
  <c r="O199" i="7" s="1"/>
  <c r="O111" i="6"/>
  <c r="O67" i="3"/>
  <c r="O84" i="6"/>
  <c r="O18" i="6"/>
  <c r="O220" i="3"/>
  <c r="O189" i="3"/>
  <c r="O35" i="3"/>
  <c r="O133" i="6"/>
  <c r="O79" i="6"/>
  <c r="O221" i="7" s="1"/>
  <c r="O106" i="6"/>
  <c r="Q55" i="7" l="1"/>
  <c r="Q134" i="4"/>
  <c r="O219" i="3"/>
  <c r="O65" i="3"/>
  <c r="O187" i="3"/>
  <c r="O34" i="3"/>
  <c r="O127" i="3" s="1"/>
  <c r="O55" i="6"/>
  <c r="O82" i="6"/>
  <c r="O64" i="3" l="1"/>
  <c r="O157" i="3" s="1"/>
  <c r="O217" i="3"/>
  <c r="O52" i="5"/>
  <c r="O84" i="5"/>
  <c r="O139" i="7" s="1"/>
  <c r="O138" i="5"/>
  <c r="O111" i="5"/>
  <c r="Q53" i="7"/>
  <c r="Q127" i="4"/>
  <c r="O40" i="6"/>
  <c r="O132" i="6"/>
  <c r="O78" i="6"/>
  <c r="O220" i="7" s="1"/>
  <c r="O105" i="6"/>
  <c r="O126" i="3"/>
  <c r="O131" i="3"/>
  <c r="O186" i="3"/>
  <c r="O132" i="3"/>
  <c r="O136" i="3"/>
  <c r="O135" i="3"/>
  <c r="O138" i="3"/>
  <c r="O134" i="3"/>
  <c r="O137" i="3"/>
  <c r="O133" i="3"/>
  <c r="O128" i="3"/>
  <c r="O130" i="3"/>
  <c r="O129" i="3"/>
  <c r="O131" i="6" l="1"/>
  <c r="O80" i="3"/>
  <c r="O77" i="6"/>
  <c r="O219" i="7" s="1"/>
  <c r="O104" i="6"/>
  <c r="O33" i="6"/>
  <c r="O83" i="5"/>
  <c r="O138" i="7" s="1"/>
  <c r="O137" i="5"/>
  <c r="O50" i="3"/>
  <c r="O110" i="5"/>
  <c r="O42" i="5"/>
  <c r="Q46" i="7"/>
  <c r="Q111" i="4"/>
  <c r="Q30" i="7" s="1"/>
  <c r="O165" i="3"/>
  <c r="O156" i="3"/>
  <c r="O168" i="3"/>
  <c r="O167" i="3"/>
  <c r="O163" i="3"/>
  <c r="O161" i="3"/>
  <c r="O166" i="3"/>
  <c r="O158" i="3"/>
  <c r="O216" i="3"/>
  <c r="O160" i="3"/>
  <c r="O159" i="3"/>
  <c r="O70" i="6" l="1"/>
  <c r="O97" i="6"/>
  <c r="O17" i="6"/>
  <c r="O232" i="3"/>
  <c r="O78" i="3"/>
  <c r="O202" i="3"/>
  <c r="O48" i="3"/>
  <c r="O76" i="5"/>
  <c r="O103" i="5"/>
  <c r="O17" i="5"/>
  <c r="O77" i="3" l="1"/>
  <c r="O170" i="3"/>
  <c r="O230" i="3"/>
  <c r="O142" i="5"/>
  <c r="O141" i="5"/>
  <c r="O60" i="5"/>
  <c r="O163" i="5"/>
  <c r="O154" i="5"/>
  <c r="O156" i="5"/>
  <c r="O161" i="5"/>
  <c r="O162" i="5"/>
  <c r="O148" i="5"/>
  <c r="O155" i="5"/>
  <c r="O147" i="5"/>
  <c r="O149" i="5"/>
  <c r="O150" i="5"/>
  <c r="O159" i="5"/>
  <c r="O143" i="5"/>
  <c r="O152" i="5"/>
  <c r="O145" i="5"/>
  <c r="O153" i="5"/>
  <c r="O160" i="5"/>
  <c r="O151" i="5"/>
  <c r="O158" i="5"/>
  <c r="O146" i="5"/>
  <c r="O166" i="5"/>
  <c r="O144" i="5"/>
  <c r="O165" i="5"/>
  <c r="O164" i="5"/>
  <c r="O157" i="5"/>
  <c r="O136" i="6"/>
  <c r="O135" i="6"/>
  <c r="O148" i="6"/>
  <c r="O155" i="6"/>
  <c r="O156" i="6"/>
  <c r="O142" i="6"/>
  <c r="O149" i="6"/>
  <c r="O141" i="6"/>
  <c r="O54" i="6"/>
  <c r="O143" i="6"/>
  <c r="O137" i="6"/>
  <c r="O146" i="6"/>
  <c r="O153" i="6"/>
  <c r="O139" i="6"/>
  <c r="O154" i="6"/>
  <c r="O152" i="6"/>
  <c r="O147" i="6"/>
  <c r="O140" i="6"/>
  <c r="O145" i="6"/>
  <c r="O160" i="6"/>
  <c r="O138" i="6"/>
  <c r="O159" i="6"/>
  <c r="O158" i="6"/>
  <c r="O200" i="3"/>
  <c r="O47" i="3"/>
  <c r="O140" i="3" s="1"/>
  <c r="O151" i="6"/>
  <c r="O139" i="3" l="1"/>
  <c r="O145" i="3"/>
  <c r="O199" i="3"/>
  <c r="O146" i="3"/>
  <c r="O143" i="3"/>
  <c r="O147" i="3"/>
  <c r="O150" i="3"/>
  <c r="O149" i="3"/>
  <c r="O144" i="3"/>
  <c r="O148" i="3"/>
  <c r="O141" i="3"/>
  <c r="O142" i="3"/>
  <c r="O179" i="3"/>
  <c r="O178" i="3"/>
  <c r="O169" i="3"/>
  <c r="O175" i="3"/>
  <c r="O173" i="3"/>
  <c r="O176" i="3"/>
  <c r="O174" i="3"/>
  <c r="O177" i="3"/>
  <c r="O180" i="3"/>
  <c r="O229" i="3"/>
  <c r="O171" i="3"/>
  <c r="O172" i="3"/>
  <c r="P127" i="6" l="1"/>
  <c r="P73" i="6"/>
  <c r="P215" i="7" s="1"/>
  <c r="P100" i="6"/>
  <c r="P34" i="6"/>
  <c r="P133" i="5"/>
  <c r="P79" i="5"/>
  <c r="P134" i="7" s="1"/>
  <c r="P106" i="5"/>
  <c r="P43" i="5"/>
  <c r="P126" i="5"/>
  <c r="P72" i="5"/>
  <c r="P127" i="7" s="1"/>
  <c r="P99" i="5"/>
  <c r="P33" i="5"/>
  <c r="P125" i="6" l="1"/>
  <c r="P79" i="3"/>
  <c r="P71" i="6"/>
  <c r="P213" i="7" s="1"/>
  <c r="P98" i="6"/>
  <c r="P131" i="5"/>
  <c r="P77" i="5"/>
  <c r="P132" i="7" s="1"/>
  <c r="P49" i="3"/>
  <c r="P104" i="5"/>
  <c r="P70" i="5"/>
  <c r="P125" i="7" s="1"/>
  <c r="P124" i="5"/>
  <c r="P38" i="3"/>
  <c r="P97" i="5"/>
  <c r="P231" i="3" l="1"/>
  <c r="P190" i="3"/>
  <c r="P201" i="3"/>
  <c r="P139" i="5"/>
  <c r="P85" i="5"/>
  <c r="P140" i="7" s="1"/>
  <c r="P112" i="5"/>
  <c r="P113" i="6"/>
  <c r="P59" i="6"/>
  <c r="P201" i="7" s="1"/>
  <c r="P86" i="6"/>
  <c r="P20" i="6"/>
  <c r="P120" i="6"/>
  <c r="P66" i="6"/>
  <c r="P208" i="7" s="1"/>
  <c r="P93" i="6"/>
  <c r="P27" i="6"/>
  <c r="P119" i="5"/>
  <c r="P65" i="5"/>
  <c r="P120" i="7" s="1"/>
  <c r="P92" i="5"/>
  <c r="P21" i="5"/>
  <c r="P63" i="5" l="1"/>
  <c r="P118" i="7" s="1"/>
  <c r="P117" i="5"/>
  <c r="P37" i="3"/>
  <c r="P18" i="5"/>
  <c r="P90" i="5"/>
  <c r="P111" i="6"/>
  <c r="P67" i="3"/>
  <c r="P57" i="6"/>
  <c r="P199" i="7" s="1"/>
  <c r="P84" i="6"/>
  <c r="P18" i="6"/>
  <c r="P68" i="3"/>
  <c r="P118" i="6"/>
  <c r="P64" i="6"/>
  <c r="P206" i="7" s="1"/>
  <c r="P91" i="6"/>
  <c r="P133" i="6" l="1"/>
  <c r="P79" i="6"/>
  <c r="P221" i="7" s="1"/>
  <c r="P106" i="6"/>
  <c r="P55" i="6"/>
  <c r="P82" i="6"/>
  <c r="P61" i="5"/>
  <c r="P88" i="5"/>
  <c r="P189" i="3"/>
  <c r="P35" i="3"/>
  <c r="P220" i="3"/>
  <c r="P219" i="3"/>
  <c r="P65" i="3"/>
  <c r="P64" i="3" l="1"/>
  <c r="P157" i="3" s="1"/>
  <c r="P217" i="3"/>
  <c r="R55" i="7"/>
  <c r="R134" i="4"/>
  <c r="P187" i="3"/>
  <c r="P34" i="3"/>
  <c r="P127" i="3" s="1"/>
  <c r="P135" i="3" l="1"/>
  <c r="P134" i="3"/>
  <c r="P137" i="3"/>
  <c r="P138" i="3"/>
  <c r="P133" i="3"/>
  <c r="P186" i="3"/>
  <c r="P126" i="3"/>
  <c r="P131" i="3"/>
  <c r="P132" i="3"/>
  <c r="P136" i="3"/>
  <c r="P128" i="3"/>
  <c r="P130" i="3"/>
  <c r="P129" i="3"/>
  <c r="P52" i="5"/>
  <c r="P138" i="5"/>
  <c r="P84" i="5"/>
  <c r="P139" i="7" s="1"/>
  <c r="P111" i="5"/>
  <c r="R53" i="7"/>
  <c r="R127" i="4"/>
  <c r="P40" i="6"/>
  <c r="P132" i="6"/>
  <c r="P78" i="6"/>
  <c r="P220" i="7" s="1"/>
  <c r="P105" i="6"/>
  <c r="P163" i="3"/>
  <c r="P165" i="3"/>
  <c r="P161" i="3"/>
  <c r="P166" i="3"/>
  <c r="P156" i="3"/>
  <c r="P167" i="3"/>
  <c r="P168" i="3"/>
  <c r="P158" i="3"/>
  <c r="P216" i="3"/>
  <c r="P160" i="3"/>
  <c r="P159" i="3"/>
  <c r="R46" i="7" l="1"/>
  <c r="R111" i="4"/>
  <c r="R30" i="7" s="1"/>
  <c r="P137" i="5"/>
  <c r="P83" i="5"/>
  <c r="P138" i="7" s="1"/>
  <c r="P50" i="3"/>
  <c r="P110" i="5"/>
  <c r="P42" i="5"/>
  <c r="P77" i="6"/>
  <c r="P219" i="7" s="1"/>
  <c r="P131" i="6"/>
  <c r="P80" i="3"/>
  <c r="P104" i="6"/>
  <c r="P33" i="6"/>
  <c r="P232" i="3" l="1"/>
  <c r="P78" i="3"/>
  <c r="P70" i="6"/>
  <c r="P97" i="6"/>
  <c r="P17" i="6"/>
  <c r="P76" i="5"/>
  <c r="P103" i="5"/>
  <c r="P17" i="5"/>
  <c r="P202" i="3"/>
  <c r="P48" i="3"/>
  <c r="P200" i="3" l="1"/>
  <c r="P47" i="3"/>
  <c r="P140" i="3"/>
  <c r="P142" i="5"/>
  <c r="P60" i="5"/>
  <c r="P141" i="5"/>
  <c r="P156" i="5"/>
  <c r="P150" i="5"/>
  <c r="P163" i="5"/>
  <c r="P154" i="5"/>
  <c r="P161" i="5"/>
  <c r="P162" i="5"/>
  <c r="P147" i="5"/>
  <c r="P148" i="5"/>
  <c r="P155" i="5"/>
  <c r="P152" i="5"/>
  <c r="P143" i="5"/>
  <c r="P159" i="5"/>
  <c r="P149" i="5"/>
  <c r="P145" i="5"/>
  <c r="P153" i="5"/>
  <c r="P160" i="5"/>
  <c r="P158" i="5"/>
  <c r="P151" i="5"/>
  <c r="P146" i="5"/>
  <c r="P166" i="5"/>
  <c r="P144" i="5"/>
  <c r="P165" i="5"/>
  <c r="P164" i="5"/>
  <c r="P230" i="3"/>
  <c r="P77" i="3"/>
  <c r="P151" i="6"/>
  <c r="P135" i="6"/>
  <c r="P148" i="6"/>
  <c r="P155" i="6"/>
  <c r="P156" i="6"/>
  <c r="P141" i="6"/>
  <c r="P54" i="6"/>
  <c r="P149" i="6"/>
  <c r="P142" i="6"/>
  <c r="P137" i="6"/>
  <c r="P153" i="6"/>
  <c r="P146" i="6"/>
  <c r="P143" i="6"/>
  <c r="P139" i="6"/>
  <c r="P154" i="6"/>
  <c r="P152" i="6"/>
  <c r="P140" i="6"/>
  <c r="P147" i="6"/>
  <c r="P138" i="6"/>
  <c r="P145" i="6"/>
  <c r="P160" i="6"/>
  <c r="P136" i="6"/>
  <c r="P159" i="6"/>
  <c r="P158" i="6"/>
  <c r="P157" i="5"/>
  <c r="P170" i="3" l="1"/>
  <c r="P144" i="3"/>
  <c r="P139" i="3"/>
  <c r="P145" i="3"/>
  <c r="P147" i="3"/>
  <c r="P146" i="3"/>
  <c r="P149" i="3"/>
  <c r="P143" i="3"/>
  <c r="P150" i="3"/>
  <c r="P199" i="3"/>
  <c r="P148" i="3"/>
  <c r="P141" i="3"/>
  <c r="P142" i="3"/>
  <c r="P178" i="3"/>
  <c r="P169" i="3"/>
  <c r="P175" i="3"/>
  <c r="P176" i="3"/>
  <c r="P173" i="3"/>
  <c r="P177" i="3"/>
  <c r="P174" i="3"/>
  <c r="P180" i="3"/>
  <c r="P179" i="3"/>
  <c r="P229" i="3"/>
  <c r="P171" i="3"/>
  <c r="P172" i="3"/>
  <c r="Q126" i="5" l="1"/>
  <c r="Q72" i="5"/>
  <c r="Q127" i="7" s="1"/>
  <c r="Q99" i="5"/>
  <c r="Q33" i="5"/>
  <c r="Q133" i="5"/>
  <c r="Q79" i="5"/>
  <c r="Q134" i="7" s="1"/>
  <c r="Q106" i="5"/>
  <c r="Q43" i="5"/>
  <c r="Q77" i="5" l="1"/>
  <c r="Q132" i="7" s="1"/>
  <c r="Q131" i="5"/>
  <c r="Q49" i="3"/>
  <c r="Q104" i="5"/>
  <c r="Q70" i="5"/>
  <c r="Q125" i="7" s="1"/>
  <c r="Q124" i="5"/>
  <c r="Q38" i="3"/>
  <c r="Q97" i="5"/>
  <c r="Q127" i="6"/>
  <c r="Q73" i="6"/>
  <c r="Q215" i="7" s="1"/>
  <c r="Q100" i="6"/>
  <c r="Q34" i="6"/>
  <c r="Q139" i="5" l="1"/>
  <c r="Q85" i="5"/>
  <c r="Q140" i="7" s="1"/>
  <c r="Q112" i="5"/>
  <c r="Q201" i="3"/>
  <c r="Q190" i="3"/>
  <c r="Q71" i="6"/>
  <c r="Q213" i="7" s="1"/>
  <c r="Q125" i="6"/>
  <c r="Q79" i="3"/>
  <c r="Q98" i="6"/>
  <c r="Q120" i="6"/>
  <c r="Q66" i="6"/>
  <c r="Q208" i="7" s="1"/>
  <c r="Q93" i="6"/>
  <c r="Q27" i="6"/>
  <c r="Q113" i="6"/>
  <c r="Q59" i="6"/>
  <c r="Q201" i="7" s="1"/>
  <c r="Q86" i="6"/>
  <c r="Q20" i="6"/>
  <c r="Q119" i="5"/>
  <c r="Q65" i="5"/>
  <c r="Q120" i="7" s="1"/>
  <c r="Q92" i="5"/>
  <c r="Q21" i="5"/>
  <c r="Q63" i="5" l="1"/>
  <c r="Q118" i="7" s="1"/>
  <c r="Q117" i="5"/>
  <c r="Q37" i="3"/>
  <c r="Q90" i="5"/>
  <c r="Q18" i="5"/>
  <c r="Q231" i="3"/>
  <c r="Q118" i="6"/>
  <c r="Q68" i="3"/>
  <c r="Q64" i="6"/>
  <c r="Q206" i="7" s="1"/>
  <c r="Q91" i="6"/>
  <c r="Q18" i="6"/>
  <c r="Q111" i="6"/>
  <c r="Q67" i="3"/>
  <c r="Q57" i="6"/>
  <c r="Q199" i="7" s="1"/>
  <c r="Q84" i="6"/>
  <c r="Q219" i="3" l="1"/>
  <c r="Q65" i="3"/>
  <c r="Q220" i="3"/>
  <c r="Q189" i="3"/>
  <c r="Q35" i="3"/>
  <c r="Q61" i="5"/>
  <c r="Q88" i="5"/>
  <c r="Q55" i="6"/>
  <c r="Q82" i="6"/>
  <c r="Q64" i="3" l="1"/>
  <c r="Q217" i="3"/>
  <c r="Q187" i="3"/>
  <c r="Q34" i="3"/>
  <c r="Q133" i="6"/>
  <c r="Q79" i="6"/>
  <c r="Q221" i="7" s="1"/>
  <c r="Q106" i="6"/>
  <c r="Q157" i="3" l="1"/>
  <c r="Q40" i="6"/>
  <c r="Q132" i="6"/>
  <c r="Q78" i="6"/>
  <c r="Q220" i="7" s="1"/>
  <c r="Q105" i="6"/>
  <c r="Q165" i="3"/>
  <c r="Q168" i="3"/>
  <c r="Q163" i="3"/>
  <c r="Q161" i="3"/>
  <c r="Q166" i="3"/>
  <c r="Q156" i="3"/>
  <c r="Q167" i="3"/>
  <c r="Q158" i="3"/>
  <c r="Q216" i="3"/>
  <c r="Q159" i="3"/>
  <c r="Q160" i="3"/>
  <c r="Q134" i="3"/>
  <c r="Q133" i="3"/>
  <c r="Q137" i="3"/>
  <c r="Q138" i="3"/>
  <c r="Q186" i="3"/>
  <c r="Q135" i="3"/>
  <c r="Q126" i="3"/>
  <c r="Q131" i="3"/>
  <c r="Q132" i="3"/>
  <c r="Q136" i="3"/>
  <c r="Q128" i="3"/>
  <c r="Q130" i="3"/>
  <c r="Q129" i="3"/>
  <c r="Q52" i="5"/>
  <c r="Q84" i="5"/>
  <c r="Q139" i="7" s="1"/>
  <c r="Q138" i="5"/>
  <c r="Q111" i="5"/>
  <c r="Q127" i="3"/>
  <c r="Q83" i="5" l="1"/>
  <c r="Q138" i="7" s="1"/>
  <c r="Q137" i="5"/>
  <c r="Q50" i="3"/>
  <c r="Q110" i="5"/>
  <c r="Q42" i="5"/>
  <c r="Q77" i="6"/>
  <c r="Q219" i="7" s="1"/>
  <c r="Q131" i="6"/>
  <c r="Q80" i="3"/>
  <c r="Q104" i="6"/>
  <c r="Q33" i="6"/>
  <c r="Q232" i="3" l="1"/>
  <c r="Q78" i="3"/>
  <c r="Q202" i="3"/>
  <c r="Q48" i="3"/>
  <c r="S55" i="7"/>
  <c r="S134" i="4"/>
  <c r="Q17" i="5"/>
  <c r="Q76" i="5"/>
  <c r="Q103" i="5"/>
  <c r="Q70" i="6"/>
  <c r="Q97" i="6"/>
  <c r="Q17" i="6"/>
  <c r="Q157" i="5" l="1"/>
  <c r="Q141" i="5"/>
  <c r="Q60" i="5"/>
  <c r="Q150" i="5"/>
  <c r="Q156" i="5"/>
  <c r="Q154" i="5"/>
  <c r="Q163" i="5"/>
  <c r="Q161" i="5"/>
  <c r="Q147" i="5"/>
  <c r="Q162" i="5"/>
  <c r="Q155" i="5"/>
  <c r="Q148" i="5"/>
  <c r="Q143" i="5"/>
  <c r="Q152" i="5"/>
  <c r="Q159" i="5"/>
  <c r="Q149" i="5"/>
  <c r="Q145" i="5"/>
  <c r="Q160" i="5"/>
  <c r="Q153" i="5"/>
  <c r="Q151" i="5"/>
  <c r="Q158" i="5"/>
  <c r="Q166" i="5"/>
  <c r="Q146" i="5"/>
  <c r="Q144" i="5"/>
  <c r="Q142" i="5"/>
  <c r="Q165" i="5"/>
  <c r="Q164" i="5"/>
  <c r="Q200" i="3"/>
  <c r="Q47" i="3"/>
  <c r="Q140" i="3" s="1"/>
  <c r="Q54" i="6"/>
  <c r="Q135" i="6"/>
  <c r="Q148" i="6"/>
  <c r="Q155" i="6"/>
  <c r="Q141" i="6"/>
  <c r="Q156" i="6"/>
  <c r="Q149" i="6"/>
  <c r="Q142" i="6"/>
  <c r="Q137" i="6"/>
  <c r="Q153" i="6"/>
  <c r="Q146" i="6"/>
  <c r="Q143" i="6"/>
  <c r="Q139" i="6"/>
  <c r="Q154" i="6"/>
  <c r="Q147" i="6"/>
  <c r="Q152" i="6"/>
  <c r="Q140" i="6"/>
  <c r="Q145" i="6"/>
  <c r="Q138" i="6"/>
  <c r="Q136" i="6"/>
  <c r="Q160" i="6"/>
  <c r="Q159" i="6"/>
  <c r="Q158" i="6"/>
  <c r="Q77" i="3"/>
  <c r="Q230" i="3"/>
  <c r="S53" i="7"/>
  <c r="S127" i="4"/>
  <c r="Q151" i="6"/>
  <c r="Q170" i="3" l="1"/>
  <c r="S46" i="7"/>
  <c r="S111" i="4"/>
  <c r="S30" i="7" s="1"/>
  <c r="Q144" i="3"/>
  <c r="Q147" i="3"/>
  <c r="Q150" i="3"/>
  <c r="Q199" i="3"/>
  <c r="Q146" i="3"/>
  <c r="Q143" i="3"/>
  <c r="Q149" i="3"/>
  <c r="Q148" i="3"/>
  <c r="Q139" i="3"/>
  <c r="Q145" i="3"/>
  <c r="Q141" i="3"/>
  <c r="Q142" i="3"/>
  <c r="Q174" i="3"/>
  <c r="Q180" i="3"/>
  <c r="Q179" i="3"/>
  <c r="Q178" i="3"/>
  <c r="Q169" i="3"/>
  <c r="Q175" i="3"/>
  <c r="Q176" i="3"/>
  <c r="Q177" i="3"/>
  <c r="Q173" i="3"/>
  <c r="Q229" i="3"/>
  <c r="Q171" i="3"/>
  <c r="Q172" i="3"/>
  <c r="R133" i="5" l="1"/>
  <c r="R79" i="5"/>
  <c r="R134" i="7" s="1"/>
  <c r="R106" i="5"/>
  <c r="R43" i="5"/>
  <c r="R127" i="6" l="1"/>
  <c r="R73" i="6"/>
  <c r="R215" i="7" s="1"/>
  <c r="R100" i="6"/>
  <c r="R34" i="6"/>
  <c r="R131" i="5"/>
  <c r="R77" i="5"/>
  <c r="R132" i="7" s="1"/>
  <c r="R49" i="3"/>
  <c r="R104" i="5"/>
  <c r="R85" i="5"/>
  <c r="R140" i="7" s="1"/>
  <c r="R139" i="5"/>
  <c r="R112" i="5"/>
  <c r="R72" i="5"/>
  <c r="R127" i="7" s="1"/>
  <c r="R126" i="5"/>
  <c r="R99" i="5"/>
  <c r="R33" i="5"/>
  <c r="R70" i="5" l="1"/>
  <c r="R125" i="7" s="1"/>
  <c r="R38" i="3"/>
  <c r="R124" i="5"/>
  <c r="R97" i="5"/>
  <c r="R119" i="5"/>
  <c r="R65" i="5"/>
  <c r="R120" i="7" s="1"/>
  <c r="R92" i="5"/>
  <c r="R21" i="5"/>
  <c r="R120" i="6"/>
  <c r="R66" i="6"/>
  <c r="R208" i="7" s="1"/>
  <c r="R93" i="6"/>
  <c r="R27" i="6"/>
  <c r="R113" i="6"/>
  <c r="R59" i="6"/>
  <c r="R201" i="7" s="1"/>
  <c r="R86" i="6"/>
  <c r="R20" i="6"/>
  <c r="R71" i="6"/>
  <c r="R213" i="7" s="1"/>
  <c r="R125" i="6"/>
  <c r="R79" i="3"/>
  <c r="R98" i="6"/>
  <c r="R201" i="3"/>
  <c r="R64" i="6" l="1"/>
  <c r="R206" i="7" s="1"/>
  <c r="R118" i="6"/>
  <c r="R68" i="3"/>
  <c r="R91" i="6"/>
  <c r="R57" i="6"/>
  <c r="R199" i="7" s="1"/>
  <c r="R111" i="6"/>
  <c r="R67" i="3"/>
  <c r="R84" i="6"/>
  <c r="R18" i="6"/>
  <c r="R117" i="5"/>
  <c r="R63" i="5"/>
  <c r="R118" i="7" s="1"/>
  <c r="R37" i="3"/>
  <c r="R90" i="5"/>
  <c r="R18" i="5"/>
  <c r="R190" i="3"/>
  <c r="R231" i="3"/>
  <c r="R220" i="3" l="1"/>
  <c r="R55" i="6"/>
  <c r="R82" i="6"/>
  <c r="R61" i="5"/>
  <c r="R88" i="5"/>
  <c r="R219" i="3"/>
  <c r="R65" i="3"/>
  <c r="R189" i="3"/>
  <c r="R35" i="3"/>
  <c r="R52" i="5" l="1"/>
  <c r="R84" i="5"/>
  <c r="R139" i="7" s="1"/>
  <c r="R138" i="5"/>
  <c r="R111" i="5"/>
  <c r="R64" i="3"/>
  <c r="R217" i="3"/>
  <c r="R133" i="6"/>
  <c r="R79" i="6"/>
  <c r="R221" i="7" s="1"/>
  <c r="R106" i="6"/>
  <c r="R187" i="3"/>
  <c r="R34" i="3"/>
  <c r="R127" i="3" s="1"/>
  <c r="R157" i="3" l="1"/>
  <c r="R40" i="6"/>
  <c r="R132" i="6"/>
  <c r="R78" i="6"/>
  <c r="R220" i="7" s="1"/>
  <c r="R105" i="6"/>
  <c r="R126" i="3"/>
  <c r="R131" i="3"/>
  <c r="R135" i="3"/>
  <c r="R186" i="3"/>
  <c r="R136" i="3"/>
  <c r="R137" i="3"/>
  <c r="R132" i="3"/>
  <c r="R138" i="3"/>
  <c r="R133" i="3"/>
  <c r="R134" i="3"/>
  <c r="R128" i="3"/>
  <c r="R130" i="3"/>
  <c r="R129" i="3"/>
  <c r="R216" i="3"/>
  <c r="R163" i="3"/>
  <c r="R161" i="3"/>
  <c r="R166" i="3"/>
  <c r="R156" i="3"/>
  <c r="R167" i="3"/>
  <c r="R168" i="3"/>
  <c r="R165" i="3"/>
  <c r="R158" i="3"/>
  <c r="R160" i="3"/>
  <c r="R159" i="3"/>
  <c r="R137" i="5"/>
  <c r="R83" i="5"/>
  <c r="R138" i="7" s="1"/>
  <c r="R50" i="3"/>
  <c r="R110" i="5"/>
  <c r="R42" i="5"/>
  <c r="R76" i="5" l="1"/>
  <c r="R103" i="5"/>
  <c r="R17" i="5"/>
  <c r="R202" i="3"/>
  <c r="R48" i="3"/>
  <c r="R77" i="6"/>
  <c r="R219" i="7" s="1"/>
  <c r="R131" i="6"/>
  <c r="R80" i="3"/>
  <c r="R104" i="6"/>
  <c r="R33" i="6"/>
  <c r="R142" i="5" l="1"/>
  <c r="R141" i="5"/>
  <c r="R60" i="5"/>
  <c r="R156" i="5"/>
  <c r="R150" i="5"/>
  <c r="R163" i="5"/>
  <c r="R154" i="5"/>
  <c r="R161" i="5"/>
  <c r="R147" i="5"/>
  <c r="R152" i="5"/>
  <c r="R143" i="5"/>
  <c r="R159" i="5"/>
  <c r="R162" i="5"/>
  <c r="R148" i="5"/>
  <c r="R149" i="5"/>
  <c r="R155" i="5"/>
  <c r="R145" i="5"/>
  <c r="R160" i="5"/>
  <c r="R166" i="5"/>
  <c r="R158" i="5"/>
  <c r="R153" i="5"/>
  <c r="R146" i="5"/>
  <c r="R151" i="5"/>
  <c r="R144" i="5"/>
  <c r="R165" i="5"/>
  <c r="R164" i="5"/>
  <c r="R17" i="6"/>
  <c r="R151" i="6" s="1"/>
  <c r="R70" i="6"/>
  <c r="R97" i="6"/>
  <c r="R157" i="5"/>
  <c r="R232" i="3"/>
  <c r="R78" i="3"/>
  <c r="R200" i="3"/>
  <c r="R47" i="3"/>
  <c r="R136" i="6" l="1"/>
  <c r="R135" i="6"/>
  <c r="R54" i="6"/>
  <c r="R148" i="6"/>
  <c r="R155" i="6"/>
  <c r="R141" i="6"/>
  <c r="R156" i="6"/>
  <c r="R137" i="6"/>
  <c r="R146" i="6"/>
  <c r="R153" i="6"/>
  <c r="R142" i="6"/>
  <c r="R149" i="6"/>
  <c r="R143" i="6"/>
  <c r="R139" i="6"/>
  <c r="R154" i="6"/>
  <c r="R140" i="6"/>
  <c r="R147" i="6"/>
  <c r="R152" i="6"/>
  <c r="R138" i="6"/>
  <c r="R145" i="6"/>
  <c r="R160" i="6"/>
  <c r="R159" i="6"/>
  <c r="R158" i="6"/>
  <c r="R77" i="3"/>
  <c r="R230" i="3"/>
  <c r="R143" i="3"/>
  <c r="R145" i="3"/>
  <c r="R148" i="3"/>
  <c r="R144" i="3"/>
  <c r="R149" i="3"/>
  <c r="R139" i="3"/>
  <c r="R150" i="3"/>
  <c r="R199" i="3"/>
  <c r="R147" i="3"/>
  <c r="R146" i="3"/>
  <c r="R141" i="3"/>
  <c r="R142" i="3"/>
  <c r="R140" i="3"/>
  <c r="R174" i="3" l="1"/>
  <c r="R178" i="3"/>
  <c r="R169" i="3"/>
  <c r="R175" i="3"/>
  <c r="R176" i="3"/>
  <c r="R177" i="3"/>
  <c r="R173" i="3"/>
  <c r="R180" i="3"/>
  <c r="R179" i="3"/>
  <c r="R229" i="3"/>
  <c r="R171" i="3"/>
  <c r="R172" i="3"/>
  <c r="R170" i="3"/>
  <c r="T55" i="7" l="1"/>
  <c r="T134" i="4"/>
  <c r="T53" i="7" l="1"/>
  <c r="T127" i="4"/>
  <c r="T46" i="7" l="1"/>
  <c r="T111" i="4"/>
  <c r="T30" i="7" s="1"/>
  <c r="S126" i="5" l="1"/>
  <c r="S72" i="5"/>
  <c r="S127" i="7" s="1"/>
  <c r="S99" i="5"/>
  <c r="S33" i="5"/>
  <c r="S70" i="5" l="1"/>
  <c r="S125" i="7" s="1"/>
  <c r="S124" i="5"/>
  <c r="S38" i="3"/>
  <c r="S97" i="5"/>
  <c r="S127" i="6"/>
  <c r="S73" i="6"/>
  <c r="S215" i="7" s="1"/>
  <c r="S100" i="6"/>
  <c r="S34" i="6"/>
  <c r="S133" i="5"/>
  <c r="S79" i="5"/>
  <c r="S134" i="7" s="1"/>
  <c r="S106" i="5"/>
  <c r="S43" i="5"/>
  <c r="S190" i="3" l="1"/>
  <c r="S125" i="6"/>
  <c r="S79" i="3"/>
  <c r="S71" i="6"/>
  <c r="S213" i="7" s="1"/>
  <c r="S98" i="6"/>
  <c r="S131" i="5"/>
  <c r="S77" i="5"/>
  <c r="S132" i="7" s="1"/>
  <c r="S49" i="3"/>
  <c r="S104" i="5"/>
  <c r="S120" i="6"/>
  <c r="S66" i="6"/>
  <c r="S208" i="7" s="1"/>
  <c r="S93" i="6"/>
  <c r="S27" i="6"/>
  <c r="S201" i="3" l="1"/>
  <c r="S231" i="3"/>
  <c r="S85" i="5"/>
  <c r="S140" i="7" s="1"/>
  <c r="S139" i="5"/>
  <c r="S112" i="5"/>
  <c r="S118" i="6"/>
  <c r="S68" i="3"/>
  <c r="S64" i="6"/>
  <c r="S206" i="7" s="1"/>
  <c r="S91" i="6"/>
  <c r="S113" i="6"/>
  <c r="S59" i="6"/>
  <c r="S201" i="7" s="1"/>
  <c r="S86" i="6"/>
  <c r="S20" i="6"/>
  <c r="S65" i="5"/>
  <c r="S120" i="7" s="1"/>
  <c r="S119" i="5"/>
  <c r="S92" i="5"/>
  <c r="S21" i="5"/>
  <c r="S220" i="3" l="1"/>
  <c r="S18" i="6"/>
  <c r="S111" i="6"/>
  <c r="S67" i="3"/>
  <c r="S57" i="6"/>
  <c r="S199" i="7" s="1"/>
  <c r="S84" i="6"/>
  <c r="S63" i="5"/>
  <c r="S118" i="7" s="1"/>
  <c r="S117" i="5"/>
  <c r="S37" i="3"/>
  <c r="S90" i="5"/>
  <c r="S18" i="5"/>
  <c r="S61" i="5" l="1"/>
  <c r="S88" i="5"/>
  <c r="S189" i="3"/>
  <c r="S35" i="3"/>
  <c r="S65" i="3"/>
  <c r="S219" i="3"/>
  <c r="S55" i="6"/>
  <c r="S82" i="6"/>
  <c r="S133" i="6" l="1"/>
  <c r="S79" i="6"/>
  <c r="S221" i="7" s="1"/>
  <c r="S106" i="6"/>
  <c r="S64" i="3"/>
  <c r="S217" i="3"/>
  <c r="S187" i="3"/>
  <c r="S34" i="3"/>
  <c r="S127" i="3" s="1"/>
  <c r="S157" i="3" l="1"/>
  <c r="S138" i="3"/>
  <c r="S186" i="3"/>
  <c r="S135" i="3"/>
  <c r="S132" i="3"/>
  <c r="S137" i="3"/>
  <c r="S133" i="3"/>
  <c r="S136" i="3"/>
  <c r="S134" i="3"/>
  <c r="S131" i="3"/>
  <c r="S126" i="3"/>
  <c r="S128" i="3"/>
  <c r="S130" i="3"/>
  <c r="S129" i="3"/>
  <c r="S168" i="3"/>
  <c r="S163" i="3"/>
  <c r="S156" i="3"/>
  <c r="S161" i="3"/>
  <c r="S166" i="3"/>
  <c r="S165" i="3"/>
  <c r="S167" i="3"/>
  <c r="S158" i="3"/>
  <c r="S216" i="3"/>
  <c r="S160" i="3"/>
  <c r="S159" i="3"/>
  <c r="S52" i="5" l="1"/>
  <c r="S138" i="5"/>
  <c r="S84" i="5"/>
  <c r="S139" i="7" s="1"/>
  <c r="S111" i="5"/>
  <c r="S40" i="6"/>
  <c r="S132" i="6"/>
  <c r="S78" i="6"/>
  <c r="S220" i="7" s="1"/>
  <c r="S105" i="6"/>
  <c r="S131" i="6" l="1"/>
  <c r="S80" i="3"/>
  <c r="S77" i="6"/>
  <c r="S219" i="7" s="1"/>
  <c r="S104" i="6"/>
  <c r="S33" i="6"/>
  <c r="S137" i="5"/>
  <c r="S83" i="5"/>
  <c r="S138" i="7" s="1"/>
  <c r="S50" i="3"/>
  <c r="S110" i="5"/>
  <c r="S42" i="5"/>
  <c r="S17" i="6" l="1"/>
  <c r="S151" i="6"/>
  <c r="S70" i="6"/>
  <c r="S97" i="6"/>
  <c r="S76" i="5"/>
  <c r="S103" i="5"/>
  <c r="S17" i="5"/>
  <c r="S232" i="3"/>
  <c r="S78" i="3"/>
  <c r="S202" i="3"/>
  <c r="S48" i="3"/>
  <c r="S162" i="5" l="1"/>
  <c r="S141" i="5"/>
  <c r="S60" i="5"/>
  <c r="S156" i="5"/>
  <c r="S150" i="5"/>
  <c r="S163" i="5"/>
  <c r="S154" i="5"/>
  <c r="S161" i="5"/>
  <c r="S147" i="5"/>
  <c r="S152" i="5"/>
  <c r="S159" i="5"/>
  <c r="S143" i="5"/>
  <c r="S155" i="5"/>
  <c r="S149" i="5"/>
  <c r="S148" i="5"/>
  <c r="S145" i="5"/>
  <c r="S153" i="5"/>
  <c r="S151" i="5"/>
  <c r="S160" i="5"/>
  <c r="S158" i="5"/>
  <c r="S166" i="5"/>
  <c r="S146" i="5"/>
  <c r="S144" i="5"/>
  <c r="S142" i="5"/>
  <c r="S165" i="5"/>
  <c r="S164" i="5"/>
  <c r="S77" i="3"/>
  <c r="S230" i="3"/>
  <c r="S157" i="5"/>
  <c r="S200" i="3"/>
  <c r="S47" i="3"/>
  <c r="S140" i="3" s="1"/>
  <c r="S135" i="6"/>
  <c r="S148" i="6"/>
  <c r="S155" i="6"/>
  <c r="S54" i="6"/>
  <c r="S137" i="6"/>
  <c r="S141" i="6"/>
  <c r="S153" i="6"/>
  <c r="S146" i="6"/>
  <c r="S156" i="6"/>
  <c r="S149" i="6"/>
  <c r="S143" i="6"/>
  <c r="S139" i="6"/>
  <c r="S142" i="6"/>
  <c r="S154" i="6"/>
  <c r="S147" i="6"/>
  <c r="S152" i="6"/>
  <c r="S140" i="6"/>
  <c r="S145" i="6"/>
  <c r="S138" i="6"/>
  <c r="S136" i="6"/>
  <c r="S160" i="6"/>
  <c r="S159" i="6"/>
  <c r="S158" i="6"/>
  <c r="S170" i="3" l="1"/>
  <c r="S147" i="3"/>
  <c r="S144" i="3"/>
  <c r="S150" i="3"/>
  <c r="S199" i="3"/>
  <c r="S139" i="3"/>
  <c r="S148" i="3"/>
  <c r="S149" i="3"/>
  <c r="S146" i="3"/>
  <c r="S145" i="3"/>
  <c r="S143" i="3"/>
  <c r="S141" i="3"/>
  <c r="S142" i="3"/>
  <c r="S177" i="3"/>
  <c r="S176" i="3"/>
  <c r="S174" i="3"/>
  <c r="S173" i="3"/>
  <c r="S180" i="3"/>
  <c r="S179" i="3"/>
  <c r="S178" i="3"/>
  <c r="S169" i="3"/>
  <c r="S175" i="3"/>
  <c r="S229" i="3"/>
  <c r="S171" i="3"/>
  <c r="S172" i="3"/>
  <c r="U55" i="7" l="1"/>
  <c r="U134" i="4"/>
  <c r="U53" i="7" l="1"/>
  <c r="U127" i="4"/>
  <c r="U46" i="7" l="1"/>
  <c r="U111" i="4"/>
  <c r="U30" i="7" s="1"/>
  <c r="T133" i="5" l="1"/>
  <c r="T79" i="5"/>
  <c r="T134" i="7" s="1"/>
  <c r="T106" i="5"/>
  <c r="T43" i="5"/>
  <c r="T126" i="5"/>
  <c r="T72" i="5"/>
  <c r="T127" i="7" s="1"/>
  <c r="T99" i="5"/>
  <c r="T33" i="5"/>
  <c r="T70" i="5" l="1"/>
  <c r="T125" i="7" s="1"/>
  <c r="T124" i="5"/>
  <c r="T38" i="3"/>
  <c r="T97" i="5"/>
  <c r="T131" i="5"/>
  <c r="T77" i="5"/>
  <c r="T132" i="7" s="1"/>
  <c r="T49" i="3"/>
  <c r="T104" i="5"/>
  <c r="T120" i="6" l="1"/>
  <c r="T66" i="6"/>
  <c r="T208" i="7" s="1"/>
  <c r="T93" i="6"/>
  <c r="T27" i="6"/>
  <c r="T127" i="6"/>
  <c r="T73" i="6"/>
  <c r="T215" i="7" s="1"/>
  <c r="T100" i="6"/>
  <c r="T34" i="6"/>
  <c r="T201" i="3"/>
  <c r="T190" i="3"/>
  <c r="T119" i="5"/>
  <c r="T65" i="5"/>
  <c r="T120" i="7" s="1"/>
  <c r="T92" i="5"/>
  <c r="T21" i="5"/>
  <c r="T139" i="5"/>
  <c r="T85" i="5"/>
  <c r="T140" i="7" s="1"/>
  <c r="T112" i="5"/>
  <c r="T118" i="6" l="1"/>
  <c r="T68" i="3"/>
  <c r="T64" i="6"/>
  <c r="T206" i="7" s="1"/>
  <c r="T91" i="6"/>
  <c r="T125" i="6"/>
  <c r="T79" i="3"/>
  <c r="T71" i="6"/>
  <c r="T213" i="7" s="1"/>
  <c r="T98" i="6"/>
  <c r="T113" i="6"/>
  <c r="T59" i="6"/>
  <c r="T201" i="7" s="1"/>
  <c r="T86" i="6"/>
  <c r="T20" i="6"/>
  <c r="T63" i="5"/>
  <c r="T118" i="7" s="1"/>
  <c r="T117" i="5"/>
  <c r="T37" i="3"/>
  <c r="T90" i="5"/>
  <c r="T18" i="5"/>
  <c r="T61" i="5" l="1"/>
  <c r="T88" i="5"/>
  <c r="T189" i="3"/>
  <c r="T35" i="3"/>
  <c r="T220" i="3"/>
  <c r="T231" i="3"/>
  <c r="T111" i="6"/>
  <c r="T67" i="3"/>
  <c r="T57" i="6"/>
  <c r="T199" i="7" s="1"/>
  <c r="T84" i="6"/>
  <c r="T18" i="6"/>
  <c r="T133" i="6"/>
  <c r="T79" i="6"/>
  <c r="T221" i="7" s="1"/>
  <c r="T106" i="6"/>
  <c r="T55" i="6" l="1"/>
  <c r="T82" i="6"/>
  <c r="T187" i="3"/>
  <c r="T34" i="3"/>
  <c r="T127" i="3" s="1"/>
  <c r="T219" i="3"/>
  <c r="T65" i="3"/>
  <c r="T40" i="6" l="1"/>
  <c r="T132" i="6"/>
  <c r="T78" i="6"/>
  <c r="T220" i="7" s="1"/>
  <c r="T105" i="6"/>
  <c r="T84" i="5"/>
  <c r="T139" i="7" s="1"/>
  <c r="T52" i="5"/>
  <c r="T138" i="5"/>
  <c r="T111" i="5"/>
  <c r="T135" i="3"/>
  <c r="T133" i="3"/>
  <c r="T138" i="3"/>
  <c r="T186" i="3"/>
  <c r="T131" i="3"/>
  <c r="T126" i="3"/>
  <c r="T132" i="3"/>
  <c r="T136" i="3"/>
  <c r="T134" i="3"/>
  <c r="T137" i="3"/>
  <c r="T128" i="3"/>
  <c r="T130" i="3"/>
  <c r="T129" i="3"/>
  <c r="T64" i="3"/>
  <c r="T217" i="3"/>
  <c r="T165" i="3" l="1"/>
  <c r="T166" i="3"/>
  <c r="T156" i="3"/>
  <c r="T167" i="3"/>
  <c r="T168" i="3"/>
  <c r="T163" i="3"/>
  <c r="T161" i="3"/>
  <c r="T158" i="3"/>
  <c r="T216" i="3"/>
  <c r="T160" i="3"/>
  <c r="T159" i="3"/>
  <c r="T42" i="5"/>
  <c r="T137" i="5"/>
  <c r="T83" i="5"/>
  <c r="T138" i="7" s="1"/>
  <c r="T50" i="3"/>
  <c r="T110" i="5"/>
  <c r="T157" i="3"/>
  <c r="T131" i="6"/>
  <c r="T80" i="3"/>
  <c r="T77" i="6"/>
  <c r="T219" i="7" s="1"/>
  <c r="T104" i="6"/>
  <c r="T33" i="6"/>
  <c r="T76" i="5" l="1"/>
  <c r="T103" i="5"/>
  <c r="T17" i="5"/>
  <c r="T232" i="3"/>
  <c r="T78" i="3"/>
  <c r="T202" i="3"/>
  <c r="T48" i="3"/>
  <c r="T70" i="6"/>
  <c r="T97" i="6"/>
  <c r="T17" i="6"/>
  <c r="T200" i="3" l="1"/>
  <c r="T47" i="3"/>
  <c r="T140" i="3" s="1"/>
  <c r="T151" i="5"/>
  <c r="T141" i="5"/>
  <c r="T60" i="5"/>
  <c r="T156" i="5"/>
  <c r="T150" i="5"/>
  <c r="T163" i="5"/>
  <c r="T161" i="5"/>
  <c r="T154" i="5"/>
  <c r="T147" i="5"/>
  <c r="T159" i="5"/>
  <c r="T143" i="5"/>
  <c r="T162" i="5"/>
  <c r="T152" i="5"/>
  <c r="T155" i="5"/>
  <c r="T148" i="5"/>
  <c r="T149" i="5"/>
  <c r="T145" i="5"/>
  <c r="T153" i="5"/>
  <c r="T160" i="5"/>
  <c r="T158" i="5"/>
  <c r="T166" i="5"/>
  <c r="T146" i="5"/>
  <c r="T144" i="5"/>
  <c r="T142" i="5"/>
  <c r="T165" i="5"/>
  <c r="T164" i="5"/>
  <c r="T157" i="5"/>
  <c r="T77" i="3"/>
  <c r="T230" i="3"/>
  <c r="T151" i="6"/>
  <c r="T135" i="6"/>
  <c r="T54" i="6"/>
  <c r="T148" i="6"/>
  <c r="T155" i="6"/>
  <c r="T156" i="6"/>
  <c r="T141" i="6"/>
  <c r="T137" i="6"/>
  <c r="T153" i="6"/>
  <c r="T149" i="6"/>
  <c r="T146" i="6"/>
  <c r="T142" i="6"/>
  <c r="T143" i="6"/>
  <c r="T139" i="6"/>
  <c r="T147" i="6"/>
  <c r="T154" i="6"/>
  <c r="T152" i="6"/>
  <c r="T145" i="6"/>
  <c r="T140" i="6"/>
  <c r="T160" i="6"/>
  <c r="T138" i="6"/>
  <c r="T136" i="6"/>
  <c r="T159" i="6"/>
  <c r="T158" i="6"/>
  <c r="T170" i="3" l="1"/>
  <c r="T177" i="3"/>
  <c r="T173" i="3"/>
  <c r="T176" i="3"/>
  <c r="T179" i="3"/>
  <c r="T180" i="3"/>
  <c r="T178" i="3"/>
  <c r="T174" i="3"/>
  <c r="T169" i="3"/>
  <c r="T175" i="3"/>
  <c r="T229" i="3"/>
  <c r="T171" i="3"/>
  <c r="T172" i="3"/>
  <c r="T144" i="3"/>
  <c r="T150" i="3"/>
  <c r="T199" i="3"/>
  <c r="T149" i="3"/>
  <c r="T148" i="3"/>
  <c r="T139" i="3"/>
  <c r="T145" i="3"/>
  <c r="T146" i="3"/>
  <c r="T143" i="3"/>
  <c r="T147" i="3"/>
  <c r="T141" i="3"/>
  <c r="T142" i="3"/>
  <c r="V55" i="7" l="1"/>
  <c r="V134" i="4"/>
  <c r="V53" i="7" l="1"/>
  <c r="V127" i="4"/>
  <c r="V46" i="7" l="1"/>
  <c r="V111" i="4"/>
  <c r="V30" i="7" s="1"/>
  <c r="U127" i="6" l="1"/>
  <c r="U73" i="6"/>
  <c r="U215" i="7" s="1"/>
  <c r="U100" i="6"/>
  <c r="U34" i="6"/>
  <c r="U79" i="5"/>
  <c r="U134" i="7" s="1"/>
  <c r="U133" i="5"/>
  <c r="U106" i="5"/>
  <c r="U43" i="5"/>
  <c r="U72" i="5"/>
  <c r="U127" i="7" s="1"/>
  <c r="U126" i="5"/>
  <c r="U99" i="5"/>
  <c r="U33" i="5"/>
  <c r="U77" i="5" l="1"/>
  <c r="U132" i="7" s="1"/>
  <c r="U131" i="5"/>
  <c r="U49" i="3"/>
  <c r="U104" i="5"/>
  <c r="U139" i="5"/>
  <c r="U85" i="5"/>
  <c r="U140" i="7" s="1"/>
  <c r="U112" i="5"/>
  <c r="U70" i="5"/>
  <c r="U125" i="7" s="1"/>
  <c r="U124" i="5"/>
  <c r="U38" i="3"/>
  <c r="U97" i="5"/>
  <c r="U71" i="6"/>
  <c r="U213" i="7" s="1"/>
  <c r="U125" i="6"/>
  <c r="U79" i="3"/>
  <c r="U98" i="6"/>
  <c r="U201" i="3" l="1"/>
  <c r="U231" i="3"/>
  <c r="U65" i="5"/>
  <c r="U120" i="7" s="1"/>
  <c r="U119" i="5"/>
  <c r="U92" i="5"/>
  <c r="U21" i="5"/>
  <c r="U190" i="3"/>
  <c r="U120" i="6"/>
  <c r="U66" i="6"/>
  <c r="U208" i="7" s="1"/>
  <c r="U93" i="6"/>
  <c r="U27" i="6"/>
  <c r="U113" i="6"/>
  <c r="U59" i="6"/>
  <c r="U201" i="7" s="1"/>
  <c r="U86" i="6"/>
  <c r="U20" i="6"/>
  <c r="U111" i="6" l="1"/>
  <c r="U67" i="3"/>
  <c r="U57" i="6"/>
  <c r="U199" i="7" s="1"/>
  <c r="U84" i="6"/>
  <c r="U18" i="6"/>
  <c r="U63" i="5"/>
  <c r="U118" i="7" s="1"/>
  <c r="U117" i="5"/>
  <c r="U37" i="3"/>
  <c r="U90" i="5"/>
  <c r="U18" i="5"/>
  <c r="U64" i="6"/>
  <c r="U206" i="7" s="1"/>
  <c r="U118" i="6"/>
  <c r="U68" i="3"/>
  <c r="U91" i="6"/>
  <c r="U133" i="6" l="1"/>
  <c r="U79" i="6"/>
  <c r="U221" i="7" s="1"/>
  <c r="U106" i="6"/>
  <c r="U55" i="6"/>
  <c r="U82" i="6"/>
  <c r="U189" i="3"/>
  <c r="U35" i="3"/>
  <c r="U61" i="5"/>
  <c r="U88" i="5"/>
  <c r="U219" i="3"/>
  <c r="U65" i="3"/>
  <c r="U220" i="3"/>
  <c r="U64" i="3" l="1"/>
  <c r="U217" i="3"/>
  <c r="U187" i="3"/>
  <c r="U34" i="3"/>
  <c r="U127" i="3" s="1"/>
  <c r="U157" i="3" l="1"/>
  <c r="U138" i="3"/>
  <c r="U132" i="3"/>
  <c r="U134" i="3"/>
  <c r="U133" i="3"/>
  <c r="U135" i="3"/>
  <c r="U126" i="3"/>
  <c r="U131" i="3"/>
  <c r="U136" i="3"/>
  <c r="U186" i="3"/>
  <c r="U137" i="3"/>
  <c r="U128" i="3"/>
  <c r="U130" i="3"/>
  <c r="U129" i="3"/>
  <c r="U163" i="3"/>
  <c r="U168" i="3"/>
  <c r="U161" i="3"/>
  <c r="U165" i="3"/>
  <c r="U166" i="3"/>
  <c r="U156" i="3"/>
  <c r="U167" i="3"/>
  <c r="U216" i="3"/>
  <c r="U158" i="3"/>
  <c r="U160" i="3"/>
  <c r="U159" i="3"/>
  <c r="U52" i="5" l="1"/>
  <c r="U138" i="5"/>
  <c r="U84" i="5"/>
  <c r="U139" i="7" s="1"/>
  <c r="U111" i="5"/>
  <c r="U132" i="6"/>
  <c r="U40" i="6"/>
  <c r="U78" i="6"/>
  <c r="U220" i="7" s="1"/>
  <c r="U105" i="6"/>
  <c r="U83" i="5" l="1"/>
  <c r="U138" i="7" s="1"/>
  <c r="U50" i="3"/>
  <c r="U110" i="5"/>
  <c r="U137" i="5"/>
  <c r="U42" i="5"/>
  <c r="U131" i="6"/>
  <c r="U80" i="3"/>
  <c r="U77" i="6"/>
  <c r="U219" i="7" s="1"/>
  <c r="U104" i="6"/>
  <c r="U33" i="6"/>
  <c r="U70" i="6" l="1"/>
  <c r="U97" i="6"/>
  <c r="U17" i="6"/>
  <c r="U76" i="5"/>
  <c r="U103" i="5"/>
  <c r="U17" i="5"/>
  <c r="U157" i="5" s="1"/>
  <c r="U232" i="3"/>
  <c r="U78" i="3"/>
  <c r="U202" i="3"/>
  <c r="U48" i="3"/>
  <c r="U200" i="3" l="1"/>
  <c r="U47" i="3"/>
  <c r="U140" i="3"/>
  <c r="U77" i="3"/>
  <c r="U170" i="3"/>
  <c r="U230" i="3"/>
  <c r="U136" i="6"/>
  <c r="U135" i="6"/>
  <c r="U54" i="6"/>
  <c r="U148" i="6"/>
  <c r="U155" i="6"/>
  <c r="U141" i="6"/>
  <c r="U137" i="6"/>
  <c r="U153" i="6"/>
  <c r="U146" i="6"/>
  <c r="U139" i="6"/>
  <c r="U143" i="6"/>
  <c r="U156" i="6"/>
  <c r="U142" i="6"/>
  <c r="U149" i="6"/>
  <c r="U154" i="6"/>
  <c r="U152" i="6"/>
  <c r="U140" i="6"/>
  <c r="U147" i="6"/>
  <c r="U145" i="6"/>
  <c r="U138" i="6"/>
  <c r="U160" i="6"/>
  <c r="U159" i="6"/>
  <c r="U158" i="6"/>
  <c r="U60" i="5"/>
  <c r="U141" i="5"/>
  <c r="U156" i="5"/>
  <c r="U163" i="5"/>
  <c r="U150" i="5"/>
  <c r="U154" i="5"/>
  <c r="U161" i="5"/>
  <c r="U147" i="5"/>
  <c r="U152" i="5"/>
  <c r="U159" i="5"/>
  <c r="U143" i="5"/>
  <c r="U162" i="5"/>
  <c r="U149" i="5"/>
  <c r="U145" i="5"/>
  <c r="U148" i="5"/>
  <c r="U155" i="5"/>
  <c r="U153" i="5"/>
  <c r="U160" i="5"/>
  <c r="U151" i="5"/>
  <c r="U166" i="5"/>
  <c r="U158" i="5"/>
  <c r="U146" i="5"/>
  <c r="U144" i="5"/>
  <c r="U142" i="5"/>
  <c r="U165" i="5"/>
  <c r="U164" i="5"/>
  <c r="U151" i="6"/>
  <c r="U178" i="3" l="1"/>
  <c r="U169" i="3"/>
  <c r="U175" i="3"/>
  <c r="U176" i="3"/>
  <c r="U173" i="3"/>
  <c r="U177" i="3"/>
  <c r="U179" i="3"/>
  <c r="U174" i="3"/>
  <c r="U180" i="3"/>
  <c r="U229" i="3"/>
  <c r="U171" i="3"/>
  <c r="U172" i="3"/>
  <c r="U144" i="3"/>
  <c r="U150" i="3"/>
  <c r="U149" i="3"/>
  <c r="U148" i="3"/>
  <c r="U199" i="3"/>
  <c r="U139" i="3"/>
  <c r="U145" i="3"/>
  <c r="U147" i="3"/>
  <c r="U143" i="3"/>
  <c r="U146" i="3"/>
  <c r="U141" i="3"/>
  <c r="U142" i="3"/>
  <c r="W55" i="7" l="1"/>
  <c r="W134" i="4"/>
  <c r="W53" i="7" l="1"/>
  <c r="W127" i="4"/>
  <c r="W46" i="7" l="1"/>
  <c r="W111" i="4"/>
  <c r="W30" i="7" s="1"/>
  <c r="V127" i="6" l="1"/>
  <c r="V73" i="6"/>
  <c r="V215" i="7" s="1"/>
  <c r="V100" i="6"/>
  <c r="V34" i="6"/>
  <c r="V72" i="5"/>
  <c r="V127" i="7" s="1"/>
  <c r="V126" i="5"/>
  <c r="V99" i="5"/>
  <c r="V33" i="5"/>
  <c r="V79" i="5"/>
  <c r="V134" i="7" s="1"/>
  <c r="V133" i="5"/>
  <c r="V106" i="5"/>
  <c r="V43" i="5"/>
  <c r="V113" i="6" l="1"/>
  <c r="V59" i="6"/>
  <c r="V201" i="7" s="1"/>
  <c r="V86" i="6"/>
  <c r="V20" i="6"/>
  <c r="V125" i="6"/>
  <c r="V79" i="3"/>
  <c r="V71" i="6"/>
  <c r="V213" i="7" s="1"/>
  <c r="V98" i="6"/>
  <c r="V70" i="5"/>
  <c r="V125" i="7" s="1"/>
  <c r="V124" i="5"/>
  <c r="V38" i="3"/>
  <c r="V190" i="3" s="1"/>
  <c r="V97" i="5"/>
  <c r="V77" i="5"/>
  <c r="V132" i="7" s="1"/>
  <c r="V49" i="3"/>
  <c r="V131" i="5"/>
  <c r="V104" i="5"/>
  <c r="V139" i="5"/>
  <c r="V85" i="5"/>
  <c r="V140" i="7" s="1"/>
  <c r="V112" i="5"/>
  <c r="V65" i="5"/>
  <c r="V120" i="7" s="1"/>
  <c r="V119" i="5"/>
  <c r="V92" i="5"/>
  <c r="V21" i="5"/>
  <c r="V201" i="3" l="1"/>
  <c r="V231" i="3"/>
  <c r="V120" i="6"/>
  <c r="V66" i="6"/>
  <c r="V208" i="7" s="1"/>
  <c r="V93" i="6"/>
  <c r="V27" i="6"/>
  <c r="V18" i="6" s="1"/>
  <c r="V63" i="5"/>
  <c r="V118" i="7" s="1"/>
  <c r="V117" i="5"/>
  <c r="V37" i="3"/>
  <c r="V90" i="5"/>
  <c r="V18" i="5"/>
  <c r="V111" i="6"/>
  <c r="V67" i="3"/>
  <c r="V57" i="6"/>
  <c r="V199" i="7" s="1"/>
  <c r="V84" i="6"/>
  <c r="V61" i="5" l="1"/>
  <c r="V88" i="5"/>
  <c r="V64" i="6"/>
  <c r="V206" i="7" s="1"/>
  <c r="V118" i="6"/>
  <c r="V68" i="3"/>
  <c r="V91" i="6"/>
  <c r="V55" i="6"/>
  <c r="V82" i="6"/>
  <c r="V189" i="3"/>
  <c r="V35" i="3"/>
  <c r="V219" i="3"/>
  <c r="V133" i="6"/>
  <c r="V79" i="6"/>
  <c r="V221" i="7" s="1"/>
  <c r="V106" i="6"/>
  <c r="V187" i="3" l="1"/>
  <c r="V34" i="3"/>
  <c r="V127" i="3"/>
  <c r="V220" i="3"/>
  <c r="V65" i="3"/>
  <c r="V130" i="3" l="1"/>
  <c r="V135" i="3"/>
  <c r="V133" i="3"/>
  <c r="V131" i="3"/>
  <c r="V136" i="3"/>
  <c r="V134" i="3"/>
  <c r="V138" i="3"/>
  <c r="V132" i="3"/>
  <c r="V186" i="3"/>
  <c r="V126" i="3"/>
  <c r="V137" i="3"/>
  <c r="V128" i="3"/>
  <c r="V129" i="3"/>
  <c r="V64" i="3"/>
  <c r="V217" i="3"/>
  <c r="V157" i="3" l="1"/>
  <c r="V138" i="5"/>
  <c r="V84" i="5"/>
  <c r="V139" i="7" s="1"/>
  <c r="V52" i="5"/>
  <c r="V111" i="5"/>
  <c r="V168" i="3"/>
  <c r="V165" i="3"/>
  <c r="V163" i="3"/>
  <c r="V161" i="3"/>
  <c r="V166" i="3"/>
  <c r="V156" i="3"/>
  <c r="V167" i="3"/>
  <c r="V158" i="3"/>
  <c r="V216" i="3"/>
  <c r="V159" i="3"/>
  <c r="V160" i="3"/>
  <c r="V40" i="6"/>
  <c r="V132" i="6"/>
  <c r="V78" i="6"/>
  <c r="V220" i="7" s="1"/>
  <c r="V105" i="6"/>
  <c r="V83" i="5" l="1"/>
  <c r="V138" i="7" s="1"/>
  <c r="V137" i="5"/>
  <c r="V50" i="3"/>
  <c r="V110" i="5"/>
  <c r="V42" i="5"/>
  <c r="V131" i="6"/>
  <c r="V80" i="3"/>
  <c r="V77" i="6"/>
  <c r="V219" i="7" s="1"/>
  <c r="V104" i="6"/>
  <c r="V33" i="6"/>
  <c r="V70" i="6" l="1"/>
  <c r="V97" i="6"/>
  <c r="V17" i="6"/>
  <c r="V76" i="5"/>
  <c r="V103" i="5"/>
  <c r="V17" i="5"/>
  <c r="V202" i="3"/>
  <c r="V48" i="3"/>
  <c r="V232" i="3"/>
  <c r="V78" i="3"/>
  <c r="V150" i="5" l="1"/>
  <c r="V141" i="5"/>
  <c r="V60" i="5"/>
  <c r="V156" i="5"/>
  <c r="V163" i="5"/>
  <c r="V154" i="5"/>
  <c r="V161" i="5"/>
  <c r="V147" i="5"/>
  <c r="V162" i="5"/>
  <c r="V148" i="5"/>
  <c r="V155" i="5"/>
  <c r="V152" i="5"/>
  <c r="V143" i="5"/>
  <c r="V159" i="5"/>
  <c r="V149" i="5"/>
  <c r="V145" i="5"/>
  <c r="V160" i="5"/>
  <c r="V153" i="5"/>
  <c r="V166" i="5"/>
  <c r="V151" i="5"/>
  <c r="V158" i="5"/>
  <c r="V146" i="5"/>
  <c r="V144" i="5"/>
  <c r="V142" i="5"/>
  <c r="V165" i="5"/>
  <c r="V164" i="5"/>
  <c r="V157" i="5"/>
  <c r="V77" i="3"/>
  <c r="V230" i="3"/>
  <c r="V136" i="6"/>
  <c r="V135" i="6"/>
  <c r="V148" i="6"/>
  <c r="V155" i="6"/>
  <c r="V141" i="6"/>
  <c r="V156" i="6"/>
  <c r="V142" i="6"/>
  <c r="V54" i="6"/>
  <c r="V149" i="6"/>
  <c r="V137" i="6"/>
  <c r="V146" i="6"/>
  <c r="V153" i="6"/>
  <c r="V143" i="6"/>
  <c r="V139" i="6"/>
  <c r="V154" i="6"/>
  <c r="V152" i="6"/>
  <c r="V140" i="6"/>
  <c r="V138" i="6"/>
  <c r="V147" i="6"/>
  <c r="V145" i="6"/>
  <c r="V160" i="6"/>
  <c r="V159" i="6"/>
  <c r="V158" i="6"/>
  <c r="V200" i="3"/>
  <c r="V47" i="3"/>
  <c r="V140" i="3" s="1"/>
  <c r="V151" i="6"/>
  <c r="V170" i="3" l="1"/>
  <c r="V174" i="3"/>
  <c r="V180" i="3"/>
  <c r="V176" i="3"/>
  <c r="V179" i="3"/>
  <c r="V177" i="3"/>
  <c r="V178" i="3"/>
  <c r="V169" i="3"/>
  <c r="V175" i="3"/>
  <c r="V173" i="3"/>
  <c r="V229" i="3"/>
  <c r="V171" i="3"/>
  <c r="V172" i="3"/>
  <c r="V142" i="3"/>
  <c r="V150" i="3"/>
  <c r="V144" i="3"/>
  <c r="V145" i="3"/>
  <c r="V143" i="3"/>
  <c r="V147" i="3"/>
  <c r="V146" i="3"/>
  <c r="V139" i="3"/>
  <c r="V149" i="3"/>
  <c r="V199" i="3"/>
  <c r="V148" i="3"/>
  <c r="V141" i="3"/>
  <c r="X55" i="7" l="1"/>
  <c r="X134" i="4"/>
  <c r="X53" i="7" l="1"/>
  <c r="X127" i="4"/>
  <c r="X46" i="7" l="1"/>
  <c r="X111" i="4"/>
  <c r="X30" i="7" s="1"/>
  <c r="W133" i="5" l="1"/>
  <c r="W79" i="5"/>
  <c r="W134" i="7" s="1"/>
  <c r="W106" i="5"/>
  <c r="W43" i="5"/>
  <c r="W72" i="5"/>
  <c r="W127" i="7" s="1"/>
  <c r="W126" i="5"/>
  <c r="W99" i="5"/>
  <c r="W33" i="5"/>
  <c r="W124" i="5" l="1"/>
  <c r="W70" i="5"/>
  <c r="W125" i="7" s="1"/>
  <c r="W38" i="3"/>
  <c r="W97" i="5"/>
  <c r="W127" i="6"/>
  <c r="W73" i="6"/>
  <c r="W215" i="7" s="1"/>
  <c r="W100" i="6"/>
  <c r="W34" i="6"/>
  <c r="W65" i="5"/>
  <c r="W120" i="7" s="1"/>
  <c r="W119" i="5"/>
  <c r="W92" i="5"/>
  <c r="W21" i="5"/>
  <c r="W85" i="5"/>
  <c r="W140" i="7" s="1"/>
  <c r="W139" i="5"/>
  <c r="W112" i="5"/>
  <c r="W131" i="5"/>
  <c r="W77" i="5"/>
  <c r="W132" i="7" s="1"/>
  <c r="W49" i="3"/>
  <c r="W104" i="5"/>
  <c r="W63" i="5" l="1"/>
  <c r="W118" i="7" s="1"/>
  <c r="W117" i="5"/>
  <c r="W37" i="3"/>
  <c r="W90" i="5"/>
  <c r="W18" i="5"/>
  <c r="W120" i="6"/>
  <c r="W66" i="6"/>
  <c r="W208" i="7" s="1"/>
  <c r="W93" i="6"/>
  <c r="W27" i="6"/>
  <c r="W190" i="3"/>
  <c r="W201" i="3"/>
  <c r="W125" i="6"/>
  <c r="W79" i="3"/>
  <c r="W71" i="6"/>
  <c r="W213" i="7" s="1"/>
  <c r="W98" i="6"/>
  <c r="W231" i="3" l="1"/>
  <c r="W118" i="6"/>
  <c r="W68" i="3"/>
  <c r="W64" i="6"/>
  <c r="W206" i="7" s="1"/>
  <c r="W91" i="6"/>
  <c r="W189" i="3"/>
  <c r="W35" i="3"/>
  <c r="W113" i="6"/>
  <c r="W59" i="6"/>
  <c r="W201" i="7" s="1"/>
  <c r="W86" i="6"/>
  <c r="W20" i="6"/>
  <c r="W61" i="5"/>
  <c r="W88" i="5"/>
  <c r="W220" i="3" l="1"/>
  <c r="W34" i="3"/>
  <c r="W127" i="3" s="1"/>
  <c r="W187" i="3"/>
  <c r="W57" i="6"/>
  <c r="W199" i="7" s="1"/>
  <c r="W111" i="6"/>
  <c r="W67" i="3"/>
  <c r="W84" i="6"/>
  <c r="W18" i="6"/>
  <c r="W219" i="3" l="1"/>
  <c r="W65" i="3"/>
  <c r="W132" i="3"/>
  <c r="W134" i="3"/>
  <c r="W136" i="3"/>
  <c r="W135" i="3"/>
  <c r="W126" i="3"/>
  <c r="W133" i="3"/>
  <c r="W138" i="3"/>
  <c r="W131" i="3"/>
  <c r="W137" i="3"/>
  <c r="W186" i="3"/>
  <c r="W128" i="3"/>
  <c r="W130" i="3"/>
  <c r="W129" i="3"/>
  <c r="W133" i="6"/>
  <c r="W79" i="6"/>
  <c r="W221" i="7" s="1"/>
  <c r="W106" i="6"/>
  <c r="W55" i="6"/>
  <c r="W82" i="6"/>
  <c r="W64" i="3" l="1"/>
  <c r="W217" i="3"/>
  <c r="W157" i="3" l="1"/>
  <c r="W40" i="6"/>
  <c r="W132" i="6"/>
  <c r="W78" i="6"/>
  <c r="W220" i="7" s="1"/>
  <c r="W105" i="6"/>
  <c r="W166" i="3"/>
  <c r="W168" i="3"/>
  <c r="W163" i="3"/>
  <c r="W165" i="3"/>
  <c r="W156" i="3"/>
  <c r="W167" i="3"/>
  <c r="W161" i="3"/>
  <c r="W158" i="3"/>
  <c r="W216" i="3"/>
  <c r="W160" i="3"/>
  <c r="W159" i="3"/>
  <c r="W52" i="5"/>
  <c r="W84" i="5"/>
  <c r="W139" i="7" s="1"/>
  <c r="W138" i="5"/>
  <c r="W111" i="5"/>
  <c r="W50" i="3" l="1"/>
  <c r="W83" i="5"/>
  <c r="W138" i="7" s="1"/>
  <c r="W137" i="5"/>
  <c r="W110" i="5"/>
  <c r="W42" i="5"/>
  <c r="W33" i="6"/>
  <c r="W80" i="3"/>
  <c r="W131" i="6"/>
  <c r="W77" i="6"/>
  <c r="W219" i="7" s="1"/>
  <c r="W104" i="6"/>
  <c r="W202" i="3" l="1"/>
  <c r="W48" i="3"/>
  <c r="W232" i="3"/>
  <c r="W78" i="3"/>
  <c r="W76" i="5"/>
  <c r="W103" i="5"/>
  <c r="W17" i="5"/>
  <c r="W70" i="6"/>
  <c r="W97" i="6"/>
  <c r="W17" i="6"/>
  <c r="W136" i="6" l="1"/>
  <c r="W135" i="6"/>
  <c r="W155" i="6"/>
  <c r="W148" i="6"/>
  <c r="W141" i="6"/>
  <c r="W156" i="6"/>
  <c r="W54" i="6"/>
  <c r="W142" i="6"/>
  <c r="W149" i="6"/>
  <c r="W153" i="6"/>
  <c r="W146" i="6"/>
  <c r="W137" i="6"/>
  <c r="W139" i="6"/>
  <c r="W143" i="6"/>
  <c r="W154" i="6"/>
  <c r="W147" i="6"/>
  <c r="W152" i="6"/>
  <c r="W145" i="6"/>
  <c r="W140" i="6"/>
  <c r="W138" i="6"/>
  <c r="W160" i="6"/>
  <c r="W159" i="6"/>
  <c r="W158" i="6"/>
  <c r="W77" i="3"/>
  <c r="W230" i="3"/>
  <c r="W151" i="6"/>
  <c r="W47" i="3"/>
  <c r="W200" i="3"/>
  <c r="W142" i="5"/>
  <c r="W141" i="5"/>
  <c r="W60" i="5"/>
  <c r="W156" i="5"/>
  <c r="W163" i="5"/>
  <c r="W154" i="5"/>
  <c r="W161" i="5"/>
  <c r="W147" i="5"/>
  <c r="W162" i="5"/>
  <c r="W148" i="5"/>
  <c r="W155" i="5"/>
  <c r="W150" i="5"/>
  <c r="W143" i="5"/>
  <c r="W152" i="5"/>
  <c r="W159" i="5"/>
  <c r="W149" i="5"/>
  <c r="W145" i="5"/>
  <c r="W153" i="5"/>
  <c r="W160" i="5"/>
  <c r="W158" i="5"/>
  <c r="W151" i="5"/>
  <c r="W146" i="5"/>
  <c r="W166" i="5"/>
  <c r="W144" i="5"/>
  <c r="W165" i="5"/>
  <c r="W164" i="5"/>
  <c r="W157" i="5"/>
  <c r="W169" i="3" l="1"/>
  <c r="W174" i="3"/>
  <c r="W180" i="3"/>
  <c r="W173" i="3"/>
  <c r="W175" i="3"/>
  <c r="W176" i="3"/>
  <c r="W177" i="3"/>
  <c r="W179" i="3"/>
  <c r="W178" i="3"/>
  <c r="W229" i="3"/>
  <c r="W171" i="3"/>
  <c r="W172" i="3"/>
  <c r="W140" i="3"/>
  <c r="W148" i="3"/>
  <c r="W139" i="3"/>
  <c r="W144" i="3"/>
  <c r="W150" i="3"/>
  <c r="W143" i="3"/>
  <c r="W146" i="3"/>
  <c r="W145" i="3"/>
  <c r="W149" i="3"/>
  <c r="W147" i="3"/>
  <c r="W199" i="3"/>
  <c r="W141" i="3"/>
  <c r="W142" i="3"/>
  <c r="W170" i="3"/>
  <c r="Y55" i="7" l="1"/>
  <c r="Y134" i="4"/>
  <c r="Y82" i="7" l="1"/>
  <c r="Y75" i="7" s="1"/>
  <c r="Y59" i="7" s="1"/>
  <c r="Y53" i="7"/>
  <c r="Y127" i="4"/>
  <c r="Y46" i="7" l="1"/>
  <c r="Y111" i="4"/>
  <c r="Y30" i="7" s="1"/>
  <c r="B82" i="7" l="1"/>
  <c r="B75" i="7" s="1"/>
  <c r="B59" i="7" s="1"/>
  <c r="C82" i="7" l="1"/>
  <c r="C75" i="7" s="1"/>
  <c r="C59" i="7" s="1"/>
  <c r="E82" i="7" l="1"/>
  <c r="E75" i="7" s="1"/>
  <c r="E59" i="7" s="1"/>
  <c r="D82" i="7"/>
  <c r="D75" i="7" s="1"/>
  <c r="D59" i="7" s="1"/>
  <c r="F82" i="7" l="1"/>
  <c r="F75" i="7" s="1"/>
  <c r="F59" i="7" s="1"/>
  <c r="G82" i="7" l="1"/>
  <c r="G75" i="7" s="1"/>
  <c r="G59" i="7" s="1"/>
  <c r="X126" i="5"/>
  <c r="X72" i="5"/>
  <c r="X127" i="7" s="1"/>
  <c r="X99" i="5"/>
  <c r="X33" i="5"/>
  <c r="X79" i="5"/>
  <c r="X134" i="7" s="1"/>
  <c r="X133" i="5"/>
  <c r="X106" i="5"/>
  <c r="X43" i="5"/>
  <c r="X127" i="6"/>
  <c r="X73" i="6"/>
  <c r="X215" i="7" s="1"/>
  <c r="X100" i="6"/>
  <c r="X34" i="6"/>
  <c r="H82" i="7"/>
  <c r="H75" i="7" s="1"/>
  <c r="H59" i="7" s="1"/>
  <c r="X49" i="3" l="1"/>
  <c r="X131" i="5"/>
  <c r="X77" i="5"/>
  <c r="X132" i="7" s="1"/>
  <c r="X104" i="5"/>
  <c r="X125" i="6"/>
  <c r="X79" i="3"/>
  <c r="X71" i="6"/>
  <c r="X213" i="7" s="1"/>
  <c r="X98" i="6"/>
  <c r="I82" i="7"/>
  <c r="I75" i="7" s="1"/>
  <c r="I59" i="7" s="1"/>
  <c r="X124" i="5"/>
  <c r="X70" i="5"/>
  <c r="X125" i="7" s="1"/>
  <c r="X38" i="3"/>
  <c r="X97" i="5"/>
  <c r="J82" i="7"/>
  <c r="J75" i="7" s="1"/>
  <c r="J59" i="7" s="1"/>
  <c r="X190" i="3" l="1"/>
  <c r="X231" i="3"/>
  <c r="X201" i="3"/>
  <c r="X113" i="6"/>
  <c r="X59" i="6"/>
  <c r="X201" i="7" s="1"/>
  <c r="X86" i="6"/>
  <c r="X20" i="6"/>
  <c r="X85" i="5"/>
  <c r="X140" i="7" s="1"/>
  <c r="X139" i="5"/>
  <c r="X112" i="5"/>
  <c r="X120" i="6"/>
  <c r="X66" i="6"/>
  <c r="X208" i="7" s="1"/>
  <c r="X93" i="6"/>
  <c r="X27" i="6"/>
  <c r="X119" i="5"/>
  <c r="X65" i="5"/>
  <c r="X120" i="7" s="1"/>
  <c r="X92" i="5"/>
  <c r="X21" i="5"/>
  <c r="K82" i="7"/>
  <c r="K75" i="7" s="1"/>
  <c r="K59" i="7" s="1"/>
  <c r="X117" i="5" l="1"/>
  <c r="X37" i="3"/>
  <c r="X63" i="5"/>
  <c r="X118" i="7" s="1"/>
  <c r="X90" i="5"/>
  <c r="X18" i="5"/>
  <c r="X111" i="6"/>
  <c r="X67" i="3"/>
  <c r="X57" i="6"/>
  <c r="X199" i="7" s="1"/>
  <c r="X84" i="6"/>
  <c r="X18" i="6"/>
  <c r="X68" i="3"/>
  <c r="X118" i="6"/>
  <c r="X64" i="6"/>
  <c r="X206" i="7" s="1"/>
  <c r="X91" i="6"/>
  <c r="L82" i="7"/>
  <c r="L75" i="7" s="1"/>
  <c r="L59" i="7" s="1"/>
  <c r="X61" i="5" l="1"/>
  <c r="X88" i="5"/>
  <c r="X220" i="3"/>
  <c r="X55" i="6"/>
  <c r="X82" i="6"/>
  <c r="X189" i="3"/>
  <c r="X35" i="3"/>
  <c r="X219" i="3"/>
  <c r="X65" i="3"/>
  <c r="X133" i="6"/>
  <c r="X79" i="6"/>
  <c r="X221" i="7" s="1"/>
  <c r="X106" i="6"/>
  <c r="X34" i="3" l="1"/>
  <c r="X187" i="3"/>
  <c r="X64" i="3"/>
  <c r="X217" i="3"/>
  <c r="M82" i="7"/>
  <c r="M75" i="7" s="1"/>
  <c r="M59" i="7" s="1"/>
  <c r="N82" i="7"/>
  <c r="N75" i="7" s="1"/>
  <c r="N59" i="7" s="1"/>
  <c r="X138" i="5" l="1"/>
  <c r="X84" i="5"/>
  <c r="X139" i="7" s="1"/>
  <c r="X52" i="5"/>
  <c r="X111" i="5"/>
  <c r="X40" i="6"/>
  <c r="X132" i="6"/>
  <c r="X78" i="6"/>
  <c r="X220" i="7" s="1"/>
  <c r="X105" i="6"/>
  <c r="X157" i="3"/>
  <c r="X161" i="3"/>
  <c r="X168" i="3"/>
  <c r="X163" i="3"/>
  <c r="X165" i="3"/>
  <c r="X156" i="3"/>
  <c r="X166" i="3"/>
  <c r="X167" i="3"/>
  <c r="X158" i="3"/>
  <c r="X216" i="3"/>
  <c r="X159" i="3"/>
  <c r="X160" i="3"/>
  <c r="X127" i="3"/>
  <c r="X138" i="3"/>
  <c r="X136" i="3"/>
  <c r="X137" i="3"/>
  <c r="X135" i="3"/>
  <c r="X134" i="3"/>
  <c r="X133" i="3"/>
  <c r="X126" i="3"/>
  <c r="X131" i="3"/>
  <c r="X132" i="3"/>
  <c r="X186" i="3"/>
  <c r="X128" i="3"/>
  <c r="X130" i="3"/>
  <c r="X129" i="3"/>
  <c r="X131" i="6" l="1"/>
  <c r="X80" i="3"/>
  <c r="X77" i="6"/>
  <c r="X219" i="7" s="1"/>
  <c r="X104" i="6"/>
  <c r="X33" i="6"/>
  <c r="X42" i="5"/>
  <c r="X137" i="5"/>
  <c r="X50" i="3"/>
  <c r="X83" i="5"/>
  <c r="X138" i="7" s="1"/>
  <c r="X110" i="5"/>
  <c r="O82" i="7"/>
  <c r="O75" i="7" s="1"/>
  <c r="O59" i="7" s="1"/>
  <c r="X202" i="3" l="1"/>
  <c r="X48" i="3"/>
  <c r="X76" i="5"/>
  <c r="X103" i="5"/>
  <c r="X17" i="5"/>
  <c r="X70" i="6"/>
  <c r="X97" i="6"/>
  <c r="X17" i="6"/>
  <c r="X232" i="3"/>
  <c r="X78" i="3"/>
  <c r="P82" i="7"/>
  <c r="P75" i="7" s="1"/>
  <c r="P59" i="7" s="1"/>
  <c r="X60" i="5" l="1"/>
  <c r="X141" i="5"/>
  <c r="X156" i="5"/>
  <c r="X163" i="5"/>
  <c r="X161" i="5"/>
  <c r="X154" i="5"/>
  <c r="X147" i="5"/>
  <c r="X150" i="5"/>
  <c r="X162" i="5"/>
  <c r="X143" i="5"/>
  <c r="X159" i="5"/>
  <c r="X152" i="5"/>
  <c r="X149" i="5"/>
  <c r="X145" i="5"/>
  <c r="X148" i="5"/>
  <c r="X155" i="5"/>
  <c r="X160" i="5"/>
  <c r="X153" i="5"/>
  <c r="X158" i="5"/>
  <c r="X151" i="5"/>
  <c r="X166" i="5"/>
  <c r="X146" i="5"/>
  <c r="X144" i="5"/>
  <c r="X142" i="5"/>
  <c r="X165" i="5"/>
  <c r="X164" i="5"/>
  <c r="X157" i="5"/>
  <c r="Q82" i="7"/>
  <c r="Q75" i="7" s="1"/>
  <c r="Q59" i="7" s="1"/>
  <c r="X135" i="6"/>
  <c r="X148" i="6"/>
  <c r="X155" i="6"/>
  <c r="X54" i="6"/>
  <c r="X141" i="6"/>
  <c r="X153" i="6"/>
  <c r="X146" i="6"/>
  <c r="X156" i="6"/>
  <c r="X137" i="6"/>
  <c r="X139" i="6"/>
  <c r="X143" i="6"/>
  <c r="X142" i="6"/>
  <c r="X149" i="6"/>
  <c r="X154" i="6"/>
  <c r="X152" i="6"/>
  <c r="X140" i="6"/>
  <c r="X147" i="6"/>
  <c r="X138" i="6"/>
  <c r="X145" i="6"/>
  <c r="X136" i="6"/>
  <c r="X160" i="6"/>
  <c r="X159" i="6"/>
  <c r="X158" i="6"/>
  <c r="X200" i="3"/>
  <c r="X47" i="3"/>
  <c r="X77" i="3"/>
  <c r="X230" i="3"/>
  <c r="X151" i="6"/>
  <c r="X147" i="3" l="1"/>
  <c r="X148" i="3"/>
  <c r="X146" i="3"/>
  <c r="X145" i="3"/>
  <c r="X144" i="3"/>
  <c r="X150" i="3"/>
  <c r="X139" i="3"/>
  <c r="X149" i="3"/>
  <c r="X143" i="3"/>
  <c r="X199" i="3"/>
  <c r="X141" i="3"/>
  <c r="X142" i="3"/>
  <c r="X170" i="3"/>
  <c r="X180" i="3"/>
  <c r="X174" i="3"/>
  <c r="X177" i="3"/>
  <c r="X169" i="3"/>
  <c r="X173" i="3"/>
  <c r="X176" i="3"/>
  <c r="X178" i="3"/>
  <c r="X175" i="3"/>
  <c r="X179" i="3"/>
  <c r="X229" i="3"/>
  <c r="X171" i="3"/>
  <c r="X172" i="3"/>
  <c r="R82" i="7"/>
  <c r="R75" i="7" s="1"/>
  <c r="R59" i="7" s="1"/>
  <c r="X140" i="3"/>
  <c r="S82" i="7" l="1"/>
  <c r="S75" i="7" s="1"/>
  <c r="S59" i="7" s="1"/>
  <c r="T82" i="7" l="1"/>
  <c r="T75" i="7" s="1"/>
  <c r="T59" i="7" s="1"/>
  <c r="U82" i="7" l="1"/>
  <c r="U75" i="7" s="1"/>
  <c r="U59" i="7" s="1"/>
  <c r="V82" i="7" l="1"/>
  <c r="V75" i="7" s="1"/>
  <c r="V59" i="7" s="1"/>
  <c r="W82" i="7"/>
  <c r="W75" i="7" s="1"/>
  <c r="W59" i="7" s="1"/>
  <c r="X82" i="7" l="1"/>
  <c r="X75" i="7" s="1"/>
  <c r="X59" i="7" s="1"/>
  <c r="Y127" i="6" l="1"/>
  <c r="Y73" i="6"/>
  <c r="Y215" i="7" s="1"/>
  <c r="Y100" i="6"/>
  <c r="Y34" i="6"/>
  <c r="Y79" i="5"/>
  <c r="Y134" i="7" s="1"/>
  <c r="Y133" i="5"/>
  <c r="Y106" i="5"/>
  <c r="Y43" i="5"/>
  <c r="Y126" i="5"/>
  <c r="Y72" i="5"/>
  <c r="Y127" i="7" s="1"/>
  <c r="Y99" i="5"/>
  <c r="Y33" i="5"/>
  <c r="Y79" i="3" l="1"/>
  <c r="Y125" i="6"/>
  <c r="Y71" i="6"/>
  <c r="Y213" i="7" s="1"/>
  <c r="Y98" i="6"/>
  <c r="Y49" i="3"/>
  <c r="Y131" i="5"/>
  <c r="Y77" i="5"/>
  <c r="Y132" i="7" s="1"/>
  <c r="Y104" i="5"/>
  <c r="Y38" i="3"/>
  <c r="Y70" i="5"/>
  <c r="Y125" i="7" s="1"/>
  <c r="Y124" i="5"/>
  <c r="Y97" i="5"/>
  <c r="Y119" i="5" l="1"/>
  <c r="Y65" i="5"/>
  <c r="Y120" i="7" s="1"/>
  <c r="Y92" i="5"/>
  <c r="Y21" i="5"/>
  <c r="Y113" i="6"/>
  <c r="Y59" i="6"/>
  <c r="Y201" i="7" s="1"/>
  <c r="Y86" i="6"/>
  <c r="Y20" i="6"/>
  <c r="Y85" i="5"/>
  <c r="Y140" i="7" s="1"/>
  <c r="Y139" i="5"/>
  <c r="Y112" i="5"/>
  <c r="Y201" i="3"/>
  <c r="Y231" i="3"/>
  <c r="Y120" i="6"/>
  <c r="Y66" i="6"/>
  <c r="Y208" i="7" s="1"/>
  <c r="Y93" i="6"/>
  <c r="Y27" i="6"/>
  <c r="Y190" i="3"/>
  <c r="Y37" i="3" l="1"/>
  <c r="Y117" i="5"/>
  <c r="Y63" i="5"/>
  <c r="Y118" i="7" s="1"/>
  <c r="Y90" i="5"/>
  <c r="Y18" i="5"/>
  <c r="Y68" i="3"/>
  <c r="Y118" i="6"/>
  <c r="Y64" i="6"/>
  <c r="Y206" i="7" s="1"/>
  <c r="Y91" i="6"/>
  <c r="Y67" i="3"/>
  <c r="Y111" i="6"/>
  <c r="Y57" i="6"/>
  <c r="Y199" i="7" s="1"/>
  <c r="Y84" i="6"/>
  <c r="Y18" i="6"/>
  <c r="Y61" i="5" l="1"/>
  <c r="Y88" i="5"/>
  <c r="Y220" i="3"/>
  <c r="Y219" i="3"/>
  <c r="Y65" i="3"/>
  <c r="Y55" i="6"/>
  <c r="Y82" i="6"/>
  <c r="Y133" i="6"/>
  <c r="Y79" i="6"/>
  <c r="Y221" i="7" s="1"/>
  <c r="Y106" i="6"/>
  <c r="Y189" i="3"/>
  <c r="Y35" i="3"/>
  <c r="Y78" i="6" l="1"/>
  <c r="Y220" i="7" s="1"/>
  <c r="Y132" i="6"/>
  <c r="Y40" i="6"/>
  <c r="Y105" i="6"/>
  <c r="Y64" i="3"/>
  <c r="Y157" i="3"/>
  <c r="Y217" i="3"/>
  <c r="Y187" i="3"/>
  <c r="Y34" i="3"/>
  <c r="Y127" i="3" s="1"/>
  <c r="Y111" i="5"/>
  <c r="Y52" i="5"/>
  <c r="Y138" i="5"/>
  <c r="Y84" i="5"/>
  <c r="Y139" i="7" s="1"/>
  <c r="Y80" i="3" l="1"/>
  <c r="Y131" i="6"/>
  <c r="Y77" i="6"/>
  <c r="Y219" i="7" s="1"/>
  <c r="Y104" i="6"/>
  <c r="Y33" i="6"/>
  <c r="Y161" i="3"/>
  <c r="Y168" i="3"/>
  <c r="Y167" i="3"/>
  <c r="Y165" i="3"/>
  <c r="Y166" i="3"/>
  <c r="Y156" i="3"/>
  <c r="Y163" i="3"/>
  <c r="Y216" i="3"/>
  <c r="Y158" i="3"/>
  <c r="Y159" i="3"/>
  <c r="Y160" i="3"/>
  <c r="Y50" i="3"/>
  <c r="Y137" i="5"/>
  <c r="Y83" i="5"/>
  <c r="Y138" i="7" s="1"/>
  <c r="Y110" i="5"/>
  <c r="Y42" i="5"/>
  <c r="Y135" i="3"/>
  <c r="Y126" i="3"/>
  <c r="Y136" i="3"/>
  <c r="Y137" i="3"/>
  <c r="Y133" i="3"/>
  <c r="Y134" i="3"/>
  <c r="Y132" i="3"/>
  <c r="Y131" i="3"/>
  <c r="Y138" i="3"/>
  <c r="Y186" i="3"/>
  <c r="Y128" i="3"/>
  <c r="Y130" i="3"/>
  <c r="Y129" i="3"/>
  <c r="Y202" i="3" l="1"/>
  <c r="Y48" i="3"/>
  <c r="Y70" i="6"/>
  <c r="Y97" i="6"/>
  <c r="Y17" i="6"/>
  <c r="Y76" i="5"/>
  <c r="Y103" i="5"/>
  <c r="Y17" i="5"/>
  <c r="Y232" i="3"/>
  <c r="Y78" i="3"/>
  <c r="Y142" i="5" l="1"/>
  <c r="Y141" i="5"/>
  <c r="Y60" i="5"/>
  <c r="Y156" i="5"/>
  <c r="Y163" i="5"/>
  <c r="Y150" i="5"/>
  <c r="Y154" i="5"/>
  <c r="Y161" i="5"/>
  <c r="Y147" i="5"/>
  <c r="Y159" i="5"/>
  <c r="Y143" i="5"/>
  <c r="Y152" i="5"/>
  <c r="Y149" i="5"/>
  <c r="Y162" i="5"/>
  <c r="Y148" i="5"/>
  <c r="Y145" i="5"/>
  <c r="Y155" i="5"/>
  <c r="Y153" i="5"/>
  <c r="Y160" i="5"/>
  <c r="Y151" i="5"/>
  <c r="Y158" i="5"/>
  <c r="Y146" i="5"/>
  <c r="Y166" i="5"/>
  <c r="Y144" i="5"/>
  <c r="Y165" i="5"/>
  <c r="Y164" i="5"/>
  <c r="Y47" i="3"/>
  <c r="Y140" i="3" s="1"/>
  <c r="Y200" i="3"/>
  <c r="Y151" i="6"/>
  <c r="Y135" i="6"/>
  <c r="Y54" i="6"/>
  <c r="Y148" i="6"/>
  <c r="Y155" i="6"/>
  <c r="Y141" i="6"/>
  <c r="Y137" i="6"/>
  <c r="Y153" i="6"/>
  <c r="Y146" i="6"/>
  <c r="Y143" i="6"/>
  <c r="Y156" i="6"/>
  <c r="Y142" i="6"/>
  <c r="Y139" i="6"/>
  <c r="Y149" i="6"/>
  <c r="Y154" i="6"/>
  <c r="Y152" i="6"/>
  <c r="Y140" i="6"/>
  <c r="Y147" i="6"/>
  <c r="Y138" i="6"/>
  <c r="Y145" i="6"/>
  <c r="Y136" i="6"/>
  <c r="Y160" i="6"/>
  <c r="Y159" i="6"/>
  <c r="Y158" i="6"/>
  <c r="Y157" i="5"/>
  <c r="Y77" i="3"/>
  <c r="Y230" i="3"/>
  <c r="Y170" i="3" l="1"/>
  <c r="Y143" i="3"/>
  <c r="Y150" i="3"/>
  <c r="Y144" i="3"/>
  <c r="Y147" i="3"/>
  <c r="Y139" i="3"/>
  <c r="Y149" i="3"/>
  <c r="Y146" i="3"/>
  <c r="Y145" i="3"/>
  <c r="Y148" i="3"/>
  <c r="Y199" i="3"/>
  <c r="Y141" i="3"/>
  <c r="Y142" i="3"/>
  <c r="Y177" i="3"/>
  <c r="Y173" i="3"/>
  <c r="Y178" i="3"/>
  <c r="Y180" i="3"/>
  <c r="Y176" i="3"/>
  <c r="Y175" i="3"/>
  <c r="Y174" i="3"/>
  <c r="Y179" i="3"/>
  <c r="Y169" i="3"/>
  <c r="Y229" i="3"/>
  <c r="Y171" i="3"/>
  <c r="Y172" i="3"/>
</calcChain>
</file>

<file path=xl/sharedStrings.xml><?xml version="1.0" encoding="utf-8"?>
<sst xmlns="http://schemas.openxmlformats.org/spreadsheetml/2006/main" count="2657" uniqueCount="1169">
  <si>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</si>
  <si>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</si>
  <si>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</si>
  <si>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</si>
  <si>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</si>
  <si>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</si>
  <si>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</si>
  <si>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</si>
  <si>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</si>
  <si>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</si>
  <si>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</si>
  <si>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</si>
  <si>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</si>
  <si>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</si>
  <si>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</si>
  <si>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</si>
  <si>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</si>
  <si>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</si>
  <si>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</si>
  <si>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</si>
  <si>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</si>
  <si>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</si>
  <si>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</si>
  <si>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</si>
  <si>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</si>
  <si>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</si>
  <si>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</si>
  <si>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</si>
  <si>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</si>
  <si>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</si>
  <si>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</si>
  <si>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</si>
  <si>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</si>
  <si>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</si>
  <si>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</si>
  <si>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</si>
  <si>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</si>
  <si>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</si>
  <si>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</si>
  <si>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</si>
  <si>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</si>
  <si>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</si>
  <si>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</si>
  <si>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</si>
  <si>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</si>
  <si>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</si>
  <si>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</si>
  <si>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</si>
  <si>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</si>
  <si>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</si>
  <si>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</si>
  <si>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</si>
  <si>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</si>
  <si>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</si>
  <si>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</si>
  <si>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</si>
  <si>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</si>
  <si>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</si>
  <si>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</si>
  <si>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</si>
  <si>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</si>
  <si>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</si>
  <si>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</si>
  <si>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</si>
  <si>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</si>
  <si>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</si>
  <si>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</si>
  <si>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</si>
  <si>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</si>
  <si>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</si>
  <si>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</si>
  <si>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</si>
  <si>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</si>
  <si>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</si>
  <si>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</si>
  <si>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</si>
  <si>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</si>
  <si>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</si>
  <si>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</si>
  <si>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</si>
  <si>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</si>
  <si>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</si>
  <si>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</si>
  <si>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</si>
  <si>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</si>
  <si>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</si>
  <si>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</si>
  <si>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</si>
  <si>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</si>
  <si>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</si>
  <si>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</si>
  <si>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</si>
  <si>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</si>
  <si>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</si>
  <si>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</si>
  <si>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</si>
  <si>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</si>
  <si>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</si>
  <si>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</si>
  <si>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</si>
  <si>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</si>
  <si>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</si>
  <si>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</si>
  <si>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</si>
  <si>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</si>
  <si>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</si>
  <si>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</si>
  <si>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</si>
  <si>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</si>
  <si>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</si>
  <si>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</si>
  <si>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</si>
  <si>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</si>
  <si>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</si>
  <si>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</si>
  <si>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</si>
  <si>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</si>
  <si>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</si>
  <si>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</si>
  <si>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</si>
  <si>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</si>
  <si>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</si>
  <si>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</si>
  <si>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</si>
  <si>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</si>
  <si>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</si>
  <si>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</si>
  <si>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</si>
  <si>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</si>
  <si>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</si>
  <si>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</si>
  <si>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</si>
  <si>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</si>
  <si>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</si>
  <si>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</si>
  <si>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</si>
  <si>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</si>
  <si>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</si>
  <si>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</si>
  <si>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</si>
  <si>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</si>
  <si>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</si>
  <si>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</si>
  <si>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</si>
  <si>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</si>
  <si>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</si>
  <si>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</si>
  <si>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</si>
  <si>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</si>
  <si>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</si>
  <si>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</si>
  <si>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</si>
  <si>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Code</t>
  </si>
  <si>
    <t>Light commercial vehicles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</si>
  <si>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</si>
  <si>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</si>
  <si>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</si>
  <si>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</si>
  <si>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</si>
  <si>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</si>
  <si>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</si>
  <si>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</si>
  <si>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</si>
  <si>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</si>
  <si>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</si>
  <si>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</si>
  <si>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</si>
  <si>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</si>
  <si>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</si>
  <si>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</si>
  <si>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</si>
  <si>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</si>
  <si>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</si>
  <si>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</si>
  <si>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</si>
  <si>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</si>
  <si>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</si>
  <si>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</si>
  <si>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</si>
  <si>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JRC-IDEES-2023 - Integrated Database of the European Energy System</t>
  </si>
  <si>
    <t>v2023-1.00</t>
  </si>
  <si>
    <t>International - Intra-EEAwCHUK</t>
  </si>
  <si>
    <t>International - Extra-EEAwCHUK</t>
  </si>
  <si>
    <t>*EEAwCHUK = European Economic Area (European Union + Iceland + Liechtenstein + Norway), Switzerland and the United Kingdom</t>
  </si>
  <si>
    <t>**EEAwCHUK = European Economic Area (European Union + Iceland + Liechtenstein + Norway), Switzerland and the United Kingdom</t>
  </si>
  <si>
    <t>Plug-in hybrid electric (gasoline and electricity)</t>
  </si>
  <si>
    <t>Heavy goods vehicles (diesel oil incl. biofuels)</t>
  </si>
  <si>
    <t>IE</t>
  </si>
  <si>
    <t>Ireland</t>
  </si>
  <si>
    <t>Aviation - IE - Ireland</t>
  </si>
  <si>
    <t>Activity.Mpkm.IE.Tr.Avia.Passenger</t>
  </si>
  <si>
    <t>Activity.Mpkm.IE.Tr.Avia.Passenger.Domestic</t>
  </si>
  <si>
    <t>Activity.Mpkm.IE.Tr.Avia.Passenger.IntraEEAwCHUK</t>
  </si>
  <si>
    <t>Activity.Mpkm.IE.Tr.Avia.Passenger.ExtraEEAwCHUK</t>
  </si>
  <si>
    <t>Activity.Mtkm.IE.Tr.Avia.Freight</t>
  </si>
  <si>
    <t>Activity.Mtkm.IE.Tr.Avia.Freight.Domestic</t>
  </si>
  <si>
    <t>Activity.Mtkm.IE.Tr.Avia.Freight.IntraEEAwCHUK</t>
  </si>
  <si>
    <t>Activity.Mtkm.IE.Tr.Avia.Freight.ExtraEEAwCHUK</t>
  </si>
  <si>
    <t>VehicleKm.Mkm.IE.Tr.Avia</t>
  </si>
  <si>
    <t>VehicleKm.Mkm.IE.Tr.Avia.Passenger</t>
  </si>
  <si>
    <t>VehicleKm.Mkm.IE.Tr.Avia.Passenger.Domestic</t>
  </si>
  <si>
    <t>VehicleKm.Mkm.IE.Tr.Avia.Passenger.IntraEEAwCHUK</t>
  </si>
  <si>
    <t>VehicleKm.Mkm.IE.Tr.Avia.Passenger.ExtraEEAwCHUK</t>
  </si>
  <si>
    <t>VehicleKm.Mkm.IE.Tr.Avia.Freight</t>
  </si>
  <si>
    <t>VehicleKm.Mkm.IE.Tr.Avia.Freight.Domestic</t>
  </si>
  <si>
    <t>VehicleKm.Mkm.IE.Tr.Avia.Freight.IntraEEAwCHUK</t>
  </si>
  <si>
    <t>VehicleKm.Mkm.IE.Tr.Avia.Freight.ExtraEEAwCHUK</t>
  </si>
  <si>
    <t>Flights.number.IE.Tr.Avia</t>
  </si>
  <si>
    <t>Flights.number.IE.Tr.Avia.Passenger</t>
  </si>
  <si>
    <t>Flights.number.IE.Tr.Avia.Passenger.Domestic</t>
  </si>
  <si>
    <t>Flights.number.IE.Tr.Avia.Passenger.IntraEEAwCHUK</t>
  </si>
  <si>
    <t>Flights.number.IE.Tr.Avia.Passenger.ExtraEEAwCHUK</t>
  </si>
  <si>
    <t>Flights.number.IE.Tr.Avia.Freight</t>
  </si>
  <si>
    <t>Flights.number.IE.Tr.Avia.Freight.Domestic</t>
  </si>
  <si>
    <t>Flights.number.IE.Tr.Avia.Freight.IntraEEAwCHUK</t>
  </si>
  <si>
    <t>Flights.number.IE.Tr.Avia.Freight.ExtraEEAwCHUK</t>
  </si>
  <si>
    <t>VolCarried.passenger.IE.Tr.Avia.Passenger</t>
  </si>
  <si>
    <t>VolCarried.passenger.IE.Tr.Avia.Passenger.Domestic</t>
  </si>
  <si>
    <t>VolCarried.passenger.IE.Tr.Avia.Passenger.IntraEEAwCHUK</t>
  </si>
  <si>
    <t>VolCarried.passenger.IE.Tr.Avia.Passenger.ExtraEEAwCHUK</t>
  </si>
  <si>
    <t>VolCarried.t.IE.Tr.Avia.Freight</t>
  </si>
  <si>
    <t>VolCarried.t.IE.Tr.Avia.Freight.Domestic</t>
  </si>
  <si>
    <t>VolCarried.t.IE.Tr.Avia.Freight.IntraEEAwCHUK</t>
  </si>
  <si>
    <t>VolCarried.t.IE.Tr.Avia.Freight.ExtraEEAwCHUK</t>
  </si>
  <si>
    <t>Stock.number.IE.Tr.Avia</t>
  </si>
  <si>
    <t>Stock.number.IE.Tr.Avia.Passenger</t>
  </si>
  <si>
    <t>Stock.number.IE.Tr.Avia.Passenger.Domestic</t>
  </si>
  <si>
    <t>Stock.number.IE.Tr.Avia.Passenger.IntraEEAwCHUK</t>
  </si>
  <si>
    <t>Stock.number.IE.Tr.Avia.Passenger.ExtraEEAwCHUK</t>
  </si>
  <si>
    <t>Stock.number.IE.Tr.Avia.Freight</t>
  </si>
  <si>
    <t>Stock.number.IE.Tr.Avia.Freight.Domestic</t>
  </si>
  <si>
    <t>Stock.number.IE.Tr.Avia.Freight.IntraEEAwCHUK</t>
  </si>
  <si>
    <t>Stock.number.IE.Tr.Avia.Freight.ExtraEEAwCHUK</t>
  </si>
  <si>
    <t>StockNew.number.IE.Tr.Avia</t>
  </si>
  <si>
    <t>StockNew.number.IE.Tr.Avia.Passenger</t>
  </si>
  <si>
    <t>StockNew.number.IE.Tr.Avia.Passenger.Domestic</t>
  </si>
  <si>
    <t>StockNew.number.IE.Tr.Avia.Passenger.IntraEEAwCHUK</t>
  </si>
  <si>
    <t>StockNew.number.IE.Tr.Avia.Passenger.ExtraEEAwCHUK</t>
  </si>
  <si>
    <t>StockNew.number.IE.Tr.Avia.Freight</t>
  </si>
  <si>
    <t>StockNew.number.IE.Tr.Avia.Freight.Domestic</t>
  </si>
  <si>
    <t>StockNew.number.IE.Tr.Avia.Freight.IntraEEAwCHUK</t>
  </si>
  <si>
    <t>StockNew.number.IE.Tr.Avia.Freight.ExtraEEAwCHUK</t>
  </si>
  <si>
    <t>Load.passenger_per_movement.IE.Tr.Avia.Passenger</t>
  </si>
  <si>
    <t>Load.passenger_per_movement.IE.Tr.Avia.Passenger.Domestic</t>
  </si>
  <si>
    <t>Load.passenger_per_movement.IE.Tr.Avia.Passenger.IntraEEAwCHUK</t>
  </si>
  <si>
    <t>Load.passenger_per_movement.IE.Tr.Avia.Passenger.ExtraEEAwCHUK</t>
  </si>
  <si>
    <t>Load.t_per_movement.IE.Tr.Avia.Freight</t>
  </si>
  <si>
    <t>Load.t_per_movement.IE.Tr.Avia.Freight.Domestic</t>
  </si>
  <si>
    <t>Load.t_per_movement.IE.Tr.Avia.Freight.IntraEEAwCHUK</t>
  </si>
  <si>
    <t>Load.t_per_movement.IE.Tr.Avia.Freight.ExtraEEAwCHUK</t>
  </si>
  <si>
    <t>VehicleKm_per_flight.km.IE.Tr.Avia</t>
  </si>
  <si>
    <t>VehicleKm_per_flight.km.IE.Tr.Avia.Passenger</t>
  </si>
  <si>
    <t>VehicleKm_per_flight.km.IE.Tr.Avia.Passenger.Domestic</t>
  </si>
  <si>
    <t>VehicleKm_per_flight.km.IE.Tr.Avia.Passenger.IntraEEAwCHUK</t>
  </si>
  <si>
    <t>VehicleKm_per_flight.km.IE.Tr.Avia.Passenger.ExtraEEAwCHUK</t>
  </si>
  <si>
    <t>VehicleKm_per_flight.km.IE.Tr.Avia.Freight</t>
  </si>
  <si>
    <t>VehicleKm_per_flight.km.IE.Tr.Avia.Freight.Domestic</t>
  </si>
  <si>
    <t>VehicleKm_per_flight.km.IE.Tr.Avia.Freight.IntraEEAwCHUK</t>
  </si>
  <si>
    <t>VehicleKm_per_flight.km.IE.Tr.Avia.Freight.ExtraEEAwCHUK</t>
  </si>
  <si>
    <t>Activity_per_flight.pkm.IE.Tr.Avia.Passenger</t>
  </si>
  <si>
    <t>Activity_per_flight.pkm.IE.Tr.Avia.Passenger.Domestic</t>
  </si>
  <si>
    <t>Activity_per_flight.pkm.IE.Tr.Avia.Passenger.IntraEEAwCHUK</t>
  </si>
  <si>
    <t>Activity_per_flight.pkm.IE.Tr.Avia.Passenger.ExtraEEAwCHUK</t>
  </si>
  <si>
    <t>Activity_per_flight.tkm.IE.Tr.Avia.Freight</t>
  </si>
  <si>
    <t>Activity_per_flight.tkm.IE.Tr.Avia.Freight.Domestic</t>
  </si>
  <si>
    <t>Activity_per_flight.tkm.IE.Tr.Avia.Freight.IntraEEAwCHUK</t>
  </si>
  <si>
    <t>Activity_per_flight.tkm.IE.Tr.Avia.Freight.ExtraEEAwCHUK</t>
  </si>
  <si>
    <t>Flights_per_vehicle.number.IE.Tr.Avia</t>
  </si>
  <si>
    <t>Flights_per_vehicle.number.IE.Tr.Avia.Passenger</t>
  </si>
  <si>
    <t>Flights_per_vehicle.number.IE.Tr.Avia.Passenger.Domestic</t>
  </si>
  <si>
    <t>Flights_per_vehicle.number.IE.Tr.Avia.Passenger.IntraEEAwCHUK</t>
  </si>
  <si>
    <t>Flights_per_vehicle.number.IE.Tr.Avia.Passenger.ExtraEEAwCHUK</t>
  </si>
  <si>
    <t>Flights_per_vehicle.number.IE.Tr.Avia.Freight</t>
  </si>
  <si>
    <t>Flights_per_vehicle.number.IE.Tr.Avia.Freight.Domestic</t>
  </si>
  <si>
    <t>Flights_per_vehicle.number.IE.Tr.Avia.Freight.IntraEEAwCHUK</t>
  </si>
  <si>
    <t>Flights_per_vehicle.number.IE.Tr.Avia.Freight.ExtraEEAwCHUK</t>
  </si>
  <si>
    <t>Aviation / energy consumption - IE - Ireland</t>
  </si>
  <si>
    <t>FEC.ktoe.IE.Tr.Avia</t>
  </si>
  <si>
    <t>FEC.ktoe.IE.Tr.Avia.Domestic</t>
  </si>
  <si>
    <t>FEC.ktoe.IE.Tr.Avia.International</t>
  </si>
  <si>
    <t>FEC.ktoe.IE.Tr.Avia.Passenger</t>
  </si>
  <si>
    <t>FEC.ktoe.IE.Tr.Avia.Passenger.Domestic</t>
  </si>
  <si>
    <t>FEC.ktoe.IE.Tr.Avia.Passenger.IntraEEAwCHUK</t>
  </si>
  <si>
    <t>FEC.ktoe.IE.Tr.Avia.Passenger.ExtraEEAwCHUK</t>
  </si>
  <si>
    <t>FEC.ktoe.IE.Tr.Avia.Freight</t>
  </si>
  <si>
    <t>FEC.ktoe.IE.Tr.Avia.Freight.Domestic</t>
  </si>
  <si>
    <t>FEC.ktoe.IE.Tr.Avia.Freight.IntraEEAwCHUK</t>
  </si>
  <si>
    <t>FEC.ktoe.IE.Tr.Avia.Freight.ExtraEEAwCHUK</t>
  </si>
  <si>
    <t>Eff.kgoe_per_100km.IE.Tr.Avia</t>
  </si>
  <si>
    <t>Eff.kgoe_per_100km.IE.Tr.Avia.Passenger</t>
  </si>
  <si>
    <t>Eff.kgoe_per_100km.IE.Tr.Avia.Passenger.Domestic</t>
  </si>
  <si>
    <t>Eff.kgoe_per_100km.IE.Tr.Avia.Passenger.IntraEEAwCHUK</t>
  </si>
  <si>
    <t>Eff.kgoe_per_100km.IE.Tr.Avia.Passenger.ExtraEEAwCHUK</t>
  </si>
  <si>
    <t>Eff.kgoe_per_100km.IE.Tr.Avia.Freight</t>
  </si>
  <si>
    <t>Eff.kgoe_per_100km.IE.Tr.Avia.Freight.Domestic</t>
  </si>
  <si>
    <t>Eff.kgoe_per_100km.IE.Tr.Avia.Freight.IntraEEAwCHUK</t>
  </si>
  <si>
    <t>Eff.kgoe_per_100km.IE.Tr.Avia.Freight.ExtraEEAwCHUK</t>
  </si>
  <si>
    <t>Eff.kgoe_per_kpkm.IE.Tr.Avia.Passenger</t>
  </si>
  <si>
    <t>Eff.kgoe_per_kpkm.IE.Tr.Avia.Passenger.Domestic</t>
  </si>
  <si>
    <t>Eff.kgoe_per_kpkm.IE.Tr.Avia.Passenger.IntraEEAwCHUK</t>
  </si>
  <si>
    <t>Eff.kgoe_per_kpkm.IE.Tr.Avia.Passenger.ExtraEEAwCHUK</t>
  </si>
  <si>
    <t>Eff.kgoe_per_ktkm.IE.Tr.Avia.Freight</t>
  </si>
  <si>
    <t>Eff.kgoe_per_ktkm.IE.Tr.Avia.Freight.Domestic</t>
  </si>
  <si>
    <t>Eff.kgoe_per_ktkm.IE.Tr.Avia.Freight.IntraEEAwCHUK</t>
  </si>
  <si>
    <t>Eff.kgoe_per_ktkm.IE.Tr.Avia.Freight.ExtraEEAwCHUK</t>
  </si>
  <si>
    <t>FEC_per_flight.kgoe.IE.Tr.Avia</t>
  </si>
  <si>
    <t>FEC_per_flight.kgoe.IE.Tr.Avia.Passenger</t>
  </si>
  <si>
    <t>FEC_per_flight.kgoe.IE.Tr.Avia.Passenger.Domestic</t>
  </si>
  <si>
    <t>FEC_per_flight.kgoe.IE.Tr.Avia.Passenger.IntraEEAwCHUK</t>
  </si>
  <si>
    <t>FEC_per_flight.kgoe.IE.Tr.Avia.Passenger.ExtraEEAwCHUK</t>
  </si>
  <si>
    <t>FEC_per_flight.kgoe.IE.Tr.Avia.Freight</t>
  </si>
  <si>
    <t>FEC_per_flight.kgoe.IE.Tr.Avia.Freight.Domestic</t>
  </si>
  <si>
    <t>FEC_per_flight.kgoe.IE.Tr.Avia.Freight.IntraEEAwCHUK</t>
  </si>
  <si>
    <t>FEC_per_flight.kgoe.IE.Tr.Avia.Freight.ExtraEEAwCHUK</t>
  </si>
  <si>
    <t>Eff_theor.kgoe_per_100km.IE.Tr.Avia</t>
  </si>
  <si>
    <t>Eff_theor.kgoe_per_100km.IE.Tr.Avia.Passenger</t>
  </si>
  <si>
    <t>Eff_theor.kgoe_per_100km.IE.Tr.Avia.Passenger.Domestic</t>
  </si>
  <si>
    <t>Eff_theor.kgoe_per_100km.IE.Tr.Avia.Passenger.IntraEEAwCHUK</t>
  </si>
  <si>
    <t>Eff_theor.kgoe_per_100km.IE.Tr.Avia.Passenger.ExtraEEAwCHUK</t>
  </si>
  <si>
    <t>Eff_theor.kgoe_per_100km.IE.Tr.Avia.Freight</t>
  </si>
  <si>
    <t>Eff_theor.kgoe_per_100km.IE.Tr.Avia.Freight.Domestic</t>
  </si>
  <si>
    <t>Eff_theor.kgoe_per_100km.IE.Tr.Avia.Freight.IntraEEAwCHUK</t>
  </si>
  <si>
    <t>Eff_theor.kgoe_per_100km.IE.Tr.Avia.Freight.ExtraEEAwCHUK</t>
  </si>
  <si>
    <t>Aviation / CO2 emissions - IE - Ireland</t>
  </si>
  <si>
    <t>EMI.ktCO2.IE.Tr.Avia</t>
  </si>
  <si>
    <t>EMI.ktCO2.IE.Tr.Avia.Domestic</t>
  </si>
  <si>
    <t>EMI.ktCO2.IE.Tr.Avia.International</t>
  </si>
  <si>
    <t>EMI.ktCO2.IE.Tr.Avia.Passenger</t>
  </si>
  <si>
    <t>EMI.ktCO2.IE.Tr.Avia.Passenger.Domestic</t>
  </si>
  <si>
    <t>EMI.ktCO2.IE.Tr.Avia.Passenger.IntraEEAwCHUK</t>
  </si>
  <si>
    <t>EMI.ktCO2.IE.Tr.Avia.Passenger.ExtraEEAwCHUK</t>
  </si>
  <si>
    <t>EMI.ktCO2.IE.Tr.Avia.Freight</t>
  </si>
  <si>
    <t>EMI.ktCO2.IE.Tr.Avia.Freight.Domestic</t>
  </si>
  <si>
    <t>EMI.ktCO2.IE.Tr.Avia.Freight.IntraEEAwCHUK</t>
  </si>
  <si>
    <t>EMI.ktCO2.IE.Tr.Avia.Freight.ExtraEEAwCHUK</t>
  </si>
  <si>
    <t>EMIint.gCO2_per_km.IE.Tr.Avia</t>
  </si>
  <si>
    <t>EMIint.gCO2_per_km.IE.Tr.Avia.Passenger</t>
  </si>
  <si>
    <t>EMIint.gCO2_per_km.IE.Tr.Avia.Passenger.Domestic</t>
  </si>
  <si>
    <t>EMIint.gCO2_per_km.IE.Tr.Avia.Passenger.IntraEEAwCHUK</t>
  </si>
  <si>
    <t>EMIint.gCO2_per_km.IE.Tr.Avia.Passenger.ExtraEEAwCHUK</t>
  </si>
  <si>
    <t>EMIint.gCO2_per_km.IE.Tr.Avia.Freight</t>
  </si>
  <si>
    <t>EMIint.gCO2_per_km.IE.Tr.Avia.Freight.Domestic</t>
  </si>
  <si>
    <t>EMIint.gCO2_per_km.IE.Tr.Avia.Freight.IntraEEAwCHUK</t>
  </si>
  <si>
    <t>EMIint.gCO2_per_km.IE.Tr.Avia.Freight.ExtraEEAwCHUK</t>
  </si>
  <si>
    <t>EMIint.gCO2_per_pkm.IE.Tr.Avia.Passenger</t>
  </si>
  <si>
    <t>EMIint.gCO2_per_pkm.IE.Tr.Avia.Passenger.Domestic</t>
  </si>
  <si>
    <t>EMIint.gCO2_per_pkm.IE.Tr.Avia.Passenger.IntraEEAwCHUK</t>
  </si>
  <si>
    <t>EMIint.gCO2_per_pkm.IE.Tr.Avia.Passenger.ExtraEEAwCHUK</t>
  </si>
  <si>
    <t>EMIint.gCO2_per_tkm.IE.Tr.Avia.Freight</t>
  </si>
  <si>
    <t>EMIint.gCO2_per_tkm.IE.Tr.Avia.Freight.Domestic</t>
  </si>
  <si>
    <t>EMIint.gCO2_per_tkm.IE.Tr.Avia.Freight.IntraEEAwCHUK</t>
  </si>
  <si>
    <t>EMIint.gCO2_per_tkm.IE.Tr.Avia.Freight.ExtraEEAwCHUK</t>
  </si>
  <si>
    <t>EMI_per_flight.kgCO2.IE.Tr.Avia</t>
  </si>
  <si>
    <t>EMI_per_flight.kgCO2.IE.Tr.Avia.Passenger</t>
  </si>
  <si>
    <t>EMI_per_flight.kgCO2.IE.Tr.Avia.Passenger.Domestic</t>
  </si>
  <si>
    <t>EMI_per_flight.kgCO2.IE.Tr.Avia.Passenger.IntraEEAwCHUK</t>
  </si>
  <si>
    <t>EMI_per_flight.kgCO2.IE.Tr.Avia.Passenger.ExtraEEAwCHUK</t>
  </si>
  <si>
    <t>EMI_per_flight.kgCO2.IE.Tr.Avia.Freight</t>
  </si>
  <si>
    <t>EMI_per_flight.kgCO2.IE.Tr.Avia.Freight.Domestic</t>
  </si>
  <si>
    <t>EMI_per_flight.kgCO2.IE.Tr.Avia.Freight.IntraEEAwCHUK</t>
  </si>
  <si>
    <t>EMI_per_flight.kgCO2.IE.Tr.Avia.Freight.ExtraEEAwCHUK</t>
  </si>
  <si>
    <t>Aviation / passenger transport specific data - IE - Ireland</t>
  </si>
  <si>
    <t>TrCap.seats.IE.Tr.Avia.Passenger</t>
  </si>
  <si>
    <t>TrCap.seats.IE.Tr.Avia.Passenger.Domestic</t>
  </si>
  <si>
    <t>TrCap.seats.IE.Tr.Avia.Passenger.IntraEEAwCHUK</t>
  </si>
  <si>
    <t>TrCap.seats.IE.Tr.Avia.Passenger.ExtraEEAwCHUK</t>
  </si>
  <si>
    <t>TrCap_per_flight.seats.IE.Tr.Avia.Passenger</t>
  </si>
  <si>
    <t>TrCap_per_flight.seats.IE.Tr.Avia.Passenger.Domestic</t>
  </si>
  <si>
    <t>TrCap_per_flight.seats.IE.Tr.Avia.Passenger.IntraEEAwCHUK</t>
  </si>
  <si>
    <t>TrCap_per_flight.seats.IE.Tr.Avia.Passenger.ExtraEEAwCHUK</t>
  </si>
  <si>
    <t>Transport overview - IE - Ireland</t>
  </si>
  <si>
    <t>Activity.Mpkm.IE.Tr</t>
  </si>
  <si>
    <t>Activity.Mpkm.IE.Tr.Road.Passenger</t>
  </si>
  <si>
    <t>Activity.Mpkm.IE.Tr.Road.Passenger.P2W</t>
  </si>
  <si>
    <t>Activity.Mpkm.IE.Tr.Road.Passenger.Car</t>
  </si>
  <si>
    <t>Activity.Mpkm.IE.Tr.Road.Passenger.Bus</t>
  </si>
  <si>
    <t>Activity.Mpkm.IE.Tr.Rail.Passenger</t>
  </si>
  <si>
    <t>Activity.Mpkm.IE.Tr.Rail.Passenger.MTU</t>
  </si>
  <si>
    <t>Activity.Mpkm.IE.Tr.Rail.Passenger.CPT</t>
  </si>
  <si>
    <t>Activity.Mpkm.IE.Tr.Rail.Passenger.HST</t>
  </si>
  <si>
    <t>Activity.Mtkm.IE.Tr</t>
  </si>
  <si>
    <t>Activity.Mtkm.IE.Tr.Road.Freight</t>
  </si>
  <si>
    <t>Activity.Mtkm.IE.Tr.Road.Freight.LCV</t>
  </si>
  <si>
    <t>Activity.Mtkm.IE.Tr.Road.Freight.HGV_All</t>
  </si>
  <si>
    <t>Activity.Mtkm.IE.Tr.Rail.Freight</t>
  </si>
  <si>
    <t>Activity.Mtkm.IE.Tr.DNavi.Freight</t>
  </si>
  <si>
    <t>Activity.Mtkm.IE.Tr.DNavi.Freight.DCS</t>
  </si>
  <si>
    <t>Activity.Mtkm.IE.Tr.DNavi.Freight.IWW</t>
  </si>
  <si>
    <t>Activity.Mtkm.IE.MBunk.Freight</t>
  </si>
  <si>
    <t>Activity.Mtkm.IE.MBunk.Freight.IntraEEA</t>
  </si>
  <si>
    <t>Activity.Mtkm.IE.MBunk.Freight.ExtraEEA</t>
  </si>
  <si>
    <t>FEC.ktoe.IE.Tr.Road.Passenger</t>
  </si>
  <si>
    <t>FEC.ktoe.IE.Tr.Road.Passenger.P2W</t>
  </si>
  <si>
    <t>FEC.ktoe.IE.Tr.Road.Passenger.Car</t>
  </si>
  <si>
    <t>FEC.ktoe.IE.Tr.Road.Passenger.Bus</t>
  </si>
  <si>
    <t>FEC.ktoe.IE.Tr.Rail.Passenger</t>
  </si>
  <si>
    <t>FEC.ktoe.IE.Tr.Rail.Passenger.MTU</t>
  </si>
  <si>
    <t>FEC.ktoe.IE.Tr.Rail.Passenger.CPT</t>
  </si>
  <si>
    <t>FEC.ktoe.IE.Tr.Rail.Passenger.HST</t>
  </si>
  <si>
    <t>FEC.ktoe.IE.Tr.Road.Freight</t>
  </si>
  <si>
    <t>FEC.ktoe.IE.Tr.Road.Freight.LCV</t>
  </si>
  <si>
    <t>FEC.ktoe.IE.Tr.Road.Freight.HGV_All</t>
  </si>
  <si>
    <t>FEC.ktoe.IE.Tr.Rail.Freight</t>
  </si>
  <si>
    <t>EMI.ktCO2.IE.Tr.Road.Passenger</t>
  </si>
  <si>
    <t>EMI.ktCO2.IE.Tr.Road.Passenger.P2W</t>
  </si>
  <si>
    <t>EMI.ktCO2.IE.Tr.Road.Passenger.Car</t>
  </si>
  <si>
    <t>EMI.ktCO2.IE.Tr.Road.Passenger.Bus</t>
  </si>
  <si>
    <t>EMI.ktCO2.IE.Tr.Rail.Passenger</t>
  </si>
  <si>
    <t>EMI.ktCO2.IE.Tr.Rail.Passenger.MTU</t>
  </si>
  <si>
    <t>EMI.ktCO2.IE.Tr.Rail.Passenger.CPT</t>
  </si>
  <si>
    <t>EMI.ktCO2.IE.Tr.Rail.Passenger.HST</t>
  </si>
  <si>
    <t>EMI.ktCO2.IE.Tr.Road.Freight</t>
  </si>
  <si>
    <t>EMI.ktCO2.IE.Tr.Road.Freight.LCV</t>
  </si>
  <si>
    <t>EMI.ktCO2.IE.Tr.Road.Freight.HGV_All</t>
  </si>
  <si>
    <t>EMI.ktCO2.IE.Tr.Rail.Freight</t>
  </si>
  <si>
    <t>Eff.kgoe_per_kpkm.IE.Tr</t>
  </si>
  <si>
    <t>Eff.kgoe_per_kpkm.IE.Tr.Road.Passenger</t>
  </si>
  <si>
    <t>Eff.kgoe_per_kpkm.IE.Tr.Road.Passenger.P2W</t>
  </si>
  <si>
    <t>Eff.kgoe_per_kpkm.IE.Tr.Road.Passenger.Car</t>
  </si>
  <si>
    <t>Eff.kgoe_per_kpkm.IE.Tr.Road.Passenger.Bus</t>
  </si>
  <si>
    <t>Eff.kgoe_per_kpkm.IE.Tr.Rail.Passenger</t>
  </si>
  <si>
    <t>Eff.kgoe_per_kpkm.IE.Tr.Rail.Passenger.MTU</t>
  </si>
  <si>
    <t>Eff.kgoe_per_kpkm.IE.Tr.Rail.Passenger.CPT</t>
  </si>
  <si>
    <t>Eff.kgoe_per_kpkm.IE.Tr.Rail.Passenger.HST</t>
  </si>
  <si>
    <t>Eff.kgoe_per_ktkm.IE.Tr</t>
  </si>
  <si>
    <t>Eff.kgoe_per_ktkm.IE.Tr.Road.Freight</t>
  </si>
  <si>
    <t>Eff.kgoe_per_ktkm.IE.Tr.Road.Freight.LCV</t>
  </si>
  <si>
    <t>Eff.kgoe_per_ktkm.IE.Tr.Road.Freight.HGV_All</t>
  </si>
  <si>
    <t>Eff.kgoe_per_ktkm.IE.Tr.Rail.Freight</t>
  </si>
  <si>
    <t>Eff.kgoe_per_ktkm.IE.Tr.DNavi.Freight</t>
  </si>
  <si>
    <t>Eff.kgoe_per_ktkm.IE.Tr.DNavi.Freight.DCS</t>
  </si>
  <si>
    <t>Eff.kgoe_per_ktkm.IE.Tr.DNavi.Freight.IWW</t>
  </si>
  <si>
    <t>Eff.kgoe_per_ktkm.IE.MBunk.Freight</t>
  </si>
  <si>
    <t>Eff.kgoe_per_ktkm.IE.MBunk.Freight.IntraEEA</t>
  </si>
  <si>
    <t>Eff.kgoe_per_ktkm.IE.MBunk.Freight.ExtraEEA</t>
  </si>
  <si>
    <t>EMIint.gCO2_per_pkm.IE.Tr</t>
  </si>
  <si>
    <t>EMIint.gCO2_per_pkm.IE.Tr.Road.Passenger</t>
  </si>
  <si>
    <t>EMIint.gCO2_per_pkm.IE.Tr.Road.Passenger.P2W</t>
  </si>
  <si>
    <t>EMIint.gCO2_per_pkm.IE.Tr.Road.Passenger.Car</t>
  </si>
  <si>
    <t>EMIint.gCO2_per_pkm.IE.Tr.Road.Passenger.Bus</t>
  </si>
  <si>
    <t>EMIint.gCO2_per_pkm.IE.Tr.Rail.Passenger</t>
  </si>
  <si>
    <t>EMIint.gCO2_per_pkm.IE.Tr.Rail.Passenger.MTU</t>
  </si>
  <si>
    <t>EMIint.gCO2_per_pkm.IE.Tr.Rail.Passenger.CPT</t>
  </si>
  <si>
    <t>EMIint.gCO2_per_pkm.IE.Tr.Rail.Passenger.HST</t>
  </si>
  <si>
    <t>EMIint.gCO2_per_tkm.IE.Tr</t>
  </si>
  <si>
    <t>EMIint.gCO2_per_tkm.IE.Tr.Road.Freight</t>
  </si>
  <si>
    <t>EMIint.gCO2_per_tkm.IE.Tr.Road.Freight.LCV</t>
  </si>
  <si>
    <t>EMIint.gCO2_per_tkm.IE.Tr.Road.Freight.HGV_All</t>
  </si>
  <si>
    <t>EMIint.gCO2_per_tkm.IE.Tr.Rail.Freight</t>
  </si>
  <si>
    <t>EMIint.gCO2_per_tkm.IE.Tr.DNavi.Freight</t>
  </si>
  <si>
    <t>EMIint.gCO2_per_tkm.IE.Tr.DNavi.Freight.DCS</t>
  </si>
  <si>
    <t>EMIint.gCO2_per_tkm.IE.Tr.DNavi.Freight.IWW</t>
  </si>
  <si>
    <t>EMIint.gCO2_per_tkm.IE.MBunk.Freight</t>
  </si>
  <si>
    <t>EMIint.gCO2_per_tkm.IE.MBunk.Freight.IntraEEA</t>
  </si>
  <si>
    <t>EMIint.gCO2_per_tkm.IE.MBunk.Freight.ExtraEEA</t>
  </si>
  <si>
    <t>Road transport - IE - Ireland</t>
  </si>
  <si>
    <t>Activity.Mpkm.IE.Tr.Road.Passenger.Car.ICE.Gasoline</t>
  </si>
  <si>
    <t>Activity.Mpkm.IE.Tr.Road.Passenger.Car.ICE.Diesel</t>
  </si>
  <si>
    <t>Activity.Mpkm.IE.Tr.Road.Passenger.Car.ICE.LPG</t>
  </si>
  <si>
    <t>Activity.Mpkm.IE.Tr.Road.Passenger.Car.ICE.NGas</t>
  </si>
  <si>
    <t>Activity.Mpkm.IE.Tr.Road.Passenger.Car.PHEV.Gasoline</t>
  </si>
  <si>
    <t>Activity.Mpkm.IE.Tr.Road.Passenger.Car.BEV</t>
  </si>
  <si>
    <t>Activity.Mpkm.IE.Tr.Road.Passenger.Bus.ICE.Gasoline</t>
  </si>
  <si>
    <t>Activity.Mpkm.IE.Tr.Road.Passenger.Bus.ICE.Diesel</t>
  </si>
  <si>
    <t>Activity.Mpkm.IE.Tr.Road.Passenger.Bus.ICE.LPG</t>
  </si>
  <si>
    <t>Activity.Mpkm.IE.Tr.Road.Passenger.Bus.ICE.NGas</t>
  </si>
  <si>
    <t>Activity.Mpkm.IE.Tr.Road.Passenger.Bus.BEV</t>
  </si>
  <si>
    <t>Activity.Mtkm.IE.Tr.Road.Freight.LCV.ICE.Gasoline</t>
  </si>
  <si>
    <t>Activity.Mtkm.IE.Tr.Road.Freight.LCV.ICE.Diesel</t>
  </si>
  <si>
    <t>Activity.Mtkm.IE.Tr.Road.Freight.LCV.ICE.LPG</t>
  </si>
  <si>
    <t>Activity.Mtkm.IE.Tr.Road.Freight.LCV.ICE.NGas</t>
  </si>
  <si>
    <t>Activity.Mtkm.IE.Tr.Road.Freight.LCV.BEV</t>
  </si>
  <si>
    <t>Activity.Mtkm.IE.Tr.Road.Freight.HGV_Domestic</t>
  </si>
  <si>
    <t>Activity.Mtkm.IE.Tr.Road.Freight.HGV_International</t>
  </si>
  <si>
    <t>VehicleKm.Mkm.IE.Tr.Road</t>
  </si>
  <si>
    <t>VehicleKm.Mkm.IE.Tr.Road.Passenger</t>
  </si>
  <si>
    <t>VehicleKm.Mkm.IE.Tr.Road.Passenger.P2W</t>
  </si>
  <si>
    <t>VehicleKm.Mkm.IE.Tr.Road.Passenger.Car</t>
  </si>
  <si>
    <t>VehicleKm.Mkm.IE.Tr.Road.Passenger.Car.ICE.Gasoline</t>
  </si>
  <si>
    <t>VehicleKm.Mkm.IE.Tr.Road.Passenger.Car.ICE.Diesel</t>
  </si>
  <si>
    <t>VehicleKm.Mkm.IE.Tr.Road.Passenger.Car.ICE.LPG</t>
  </si>
  <si>
    <t>VehicleKm.Mkm.IE.Tr.Road.Passenger.Car.ICE.NGas</t>
  </si>
  <si>
    <t>VehicleKm.Mkm.IE.Tr.Road.Passenger.Car.PHEV.Gasoline</t>
  </si>
  <si>
    <t>VehicleKm.Mkm.IE.Tr.Road.Passenger.Car.BEV</t>
  </si>
  <si>
    <t>VehicleKm.Mkm.IE.Tr.Road.Passenger.Bus</t>
  </si>
  <si>
    <t>VehicleKm.Mkm.IE.Tr.Road.Passenger.Bus.ICE.Gasoline</t>
  </si>
  <si>
    <t>VehicleKm.Mkm.IE.Tr.Road.Passenger.Bus.ICE.Diesel</t>
  </si>
  <si>
    <t>VehicleKm.Mkm.IE.Tr.Road.Passenger.Bus.ICE.LPG</t>
  </si>
  <si>
    <t>VehicleKm.Mkm.IE.Tr.Road.Passenger.Bus.ICE.NGas</t>
  </si>
  <si>
    <t>VehicleKm.Mkm.IE.Tr.Road.Passenger.Bus.BEV</t>
  </si>
  <si>
    <t>VehicleKm.Mkm.IE.Tr.Road.Freight</t>
  </si>
  <si>
    <t>VehicleKm.Mkm.IE.Tr.Road.Freight.LCV</t>
  </si>
  <si>
    <t>VehicleKm.Mkm.IE.Tr.Road.Freight.LCV.ICE.Gasoline</t>
  </si>
  <si>
    <t>VehicleKm.Mkm.IE.Tr.Road.Freight.LCV.ICE.Diesel</t>
  </si>
  <si>
    <t>VehicleKm.Mkm.IE.Tr.Road.Freight.LCV.ICE.LPG</t>
  </si>
  <si>
    <t>VehicleKm.Mkm.IE.Tr.Road.Freight.LCV.ICE.NGas</t>
  </si>
  <si>
    <t>VehicleKm.Mkm.IE.Tr.Road.Freight.LCV.BEV</t>
  </si>
  <si>
    <t>VehicleKm.Mkm.IE.Tr.Road.Freight.HGV_All</t>
  </si>
  <si>
    <t>VehicleKm.Mkm.IE.Tr.Road.Freight.HGV_Domestic</t>
  </si>
  <si>
    <t>VehicleKm.Mkm.IE.Tr.Road.Freight.HGV_International</t>
  </si>
  <si>
    <t>Stock.number.IE.Tr.Road</t>
  </si>
  <si>
    <t>Stock.number.IE.Tr.Road.Passenger</t>
  </si>
  <si>
    <t>Stock.number.IE.Tr.Road.Passenger.P2W</t>
  </si>
  <si>
    <t>Stock.number.IE.Tr.Road.Passenger.Car</t>
  </si>
  <si>
    <t>Stock.number.IE.Tr.Road.Passenger.Car.ICE.Gasoline</t>
  </si>
  <si>
    <t>Stock.number.IE.Tr.Road.Passenger.Car.ICE.Diesel</t>
  </si>
  <si>
    <t>Stock.number.IE.Tr.Road.Passenger.Car.ICE.LPG</t>
  </si>
  <si>
    <t>Stock.number.IE.Tr.Road.Passenger.Car.ICE.NGas</t>
  </si>
  <si>
    <t>Stock.number.IE.Tr.Road.Passenger.Car.PHEV.Gasoline</t>
  </si>
  <si>
    <t>Stock.number.IE.Tr.Road.Passenger.Car.BEV</t>
  </si>
  <si>
    <t>Stock.number.IE.Tr.Road.Passenger.Bus</t>
  </si>
  <si>
    <t>Stock.number.IE.Tr.Road.Passenger.Bus.ICE.Gasoline</t>
  </si>
  <si>
    <t>Stock.number.IE.Tr.Road.Passenger.Bus.ICE.Diesel</t>
  </si>
  <si>
    <t>Stock.number.IE.Tr.Road.Passenger.Bus.ICE.LPG</t>
  </si>
  <si>
    <t>Stock.number.IE.Tr.Road.Passenger.Bus.ICE.NGas</t>
  </si>
  <si>
    <t>Stock.number.IE.Tr.Road.Passenger.Bus.BEV</t>
  </si>
  <si>
    <t>Stock.number.IE.Tr.Road.Freight</t>
  </si>
  <si>
    <t>Stock.number.IE.Tr.Road.Freight.LCV</t>
  </si>
  <si>
    <t>Stock.number.IE.Tr.Road.Freight.LCV.ICE.Gasoline</t>
  </si>
  <si>
    <t>Stock.number.IE.Tr.Road.Freight.LCV.ICE.Diesel</t>
  </si>
  <si>
    <t>Stock.number.IE.Tr.Road.Freight.LCV.ICE.LPG</t>
  </si>
  <si>
    <t>Stock.number.IE.Tr.Road.Freight.LCV.ICE.NGas</t>
  </si>
  <si>
    <t>Stock.number.IE.Tr.Road.Freight.LCV.BEV</t>
  </si>
  <si>
    <t>Stock.number.IE.Tr.Road.Freight.HGV_All</t>
  </si>
  <si>
    <t>Stock.number.IE.Tr.Road.Freight.HGV_Domestic</t>
  </si>
  <si>
    <t>Stock.number.IE.Tr.Road.Freight.HGV_International</t>
  </si>
  <si>
    <t>StockNew.number.IE.Tr.Road</t>
  </si>
  <si>
    <t>StockNew.number.IE.Tr.Road.Passenger</t>
  </si>
  <si>
    <t>StockNew.number.IE.Tr.Road.Passenger.P2W</t>
  </si>
  <si>
    <t>StockNew.number.IE.Tr.Road.Passenger.Car</t>
  </si>
  <si>
    <t>StockNew.number.IE.Tr.Road.Passenger.Car.ICE.Gasoline</t>
  </si>
  <si>
    <t>StockNew.number.IE.Tr.Road.Passenger.Car.ICE.Diesel</t>
  </si>
  <si>
    <t>StockNew.number.IE.Tr.Road.Passenger.Car.ICE.LPG</t>
  </si>
  <si>
    <t>StockNew.number.IE.Tr.Road.Passenger.Car.ICE.NGas</t>
  </si>
  <si>
    <t>StockNew.number.IE.Tr.Road.Passenger.Car.PHEV.Gasoline</t>
  </si>
  <si>
    <t>StockNew.number.IE.Tr.Road.Passenger.Car.BEV</t>
  </si>
  <si>
    <t>StockNew.number.IE.Tr.Road.Passenger.Bus</t>
  </si>
  <si>
    <t>StockNew.number.IE.Tr.Road.Passenger.Bus.ICE.Gasoline</t>
  </si>
  <si>
    <t>StockNew.number.IE.Tr.Road.Passenger.Bus.ICE.Diesel</t>
  </si>
  <si>
    <t>StockNew.number.IE.Tr.Road.Passenger.Bus.ICE.LPG</t>
  </si>
  <si>
    <t>StockNew.number.IE.Tr.Road.Passenger.Bus.ICE.NGas</t>
  </si>
  <si>
    <t>StockNew.number.IE.Tr.Road.Passenger.Bus.BEV</t>
  </si>
  <si>
    <t>StockNew.number.IE.Tr.Road.Freight</t>
  </si>
  <si>
    <t>StockNew.number.IE.Tr.Road.Freight.LCV</t>
  </si>
  <si>
    <t>StockNew.number.IE.Tr.Road.Freight.LCV.ICE.Gasoline</t>
  </si>
  <si>
    <t>StockNew.number.IE.Tr.Road.Freight.LCV.ICE.Diesel</t>
  </si>
  <si>
    <t>StockNew.number.IE.Tr.Road.Freight.LCV.ICE.LPG</t>
  </si>
  <si>
    <t>StockNew.number.IE.Tr.Road.Freight.LCV.ICE.NGas</t>
  </si>
  <si>
    <t>StockNew.number.IE.Tr.Road.Freight.LCV.BEV</t>
  </si>
  <si>
    <t>StockNew.number.IE.Tr.Road.Freight.HGV_All</t>
  </si>
  <si>
    <t>StockNew.number.IE.Tr.Road.Freight.HGV_Domestic</t>
  </si>
  <si>
    <t>StockNew.number.IE.Tr.Road.Freight.HGV_International</t>
  </si>
  <si>
    <t>Load.passenger_per_movement.IE.Tr.Road.Passenger</t>
  </si>
  <si>
    <t>Load.passenger_per_movement.IE.Tr.Road.Passenger.P2W</t>
  </si>
  <si>
    <t>Load.passenger_per_movement.IE.Tr.Road.Passenger.Car</t>
  </si>
  <si>
    <t>Load.passenger_per_movement.IE.Tr.Road.Passenger.Car.ICE.Gasoline</t>
  </si>
  <si>
    <t>Load.passenger_per_movement.IE.Tr.Road.Passenger.Car.ICE.Diesel</t>
  </si>
  <si>
    <t>Load.passenger_per_movement.IE.Tr.Road.Passenger.Car.ICE.LPG</t>
  </si>
  <si>
    <t>Load.passenger_per_movement.IE.Tr.Road.Passenger.Car.ICE.NGas</t>
  </si>
  <si>
    <t>Load.passenger_per_movement.IE.Tr.Road.Passenger.Car.PHEV.Gasoline</t>
  </si>
  <si>
    <t>Load.passenger_per_movement.IE.Tr.Road.Passenger.Car.BEV</t>
  </si>
  <si>
    <t>Load.passenger_per_movement.IE.Tr.Road.Passenger.Bus</t>
  </si>
  <si>
    <t>Load.passenger_per_movement.IE.Tr.Road.Passenger.Bus.ICE.Gasoline</t>
  </si>
  <si>
    <t>Load.passenger_per_movement.IE.Tr.Road.Passenger.Bus.ICE.Diesel</t>
  </si>
  <si>
    <t>Load.passenger_per_movement.IE.Tr.Road.Passenger.Bus.ICE.LPG</t>
  </si>
  <si>
    <t>Load.passenger_per_movement.IE.Tr.Road.Passenger.Bus.ICE.NGas</t>
  </si>
  <si>
    <t>Load.passenger_per_movement.IE.Tr.Road.Passenger.Bus.BEV</t>
  </si>
  <si>
    <t>Load.t_per_movement.IE.Tr.Road.Freight</t>
  </si>
  <si>
    <t>Load.t_per_movement.IE.Tr.Road.Freight.LCV</t>
  </si>
  <si>
    <t>Load.t_per_movement.IE.Tr.Road.Freight.LCV.ICE.Gasoline</t>
  </si>
  <si>
    <t>Load.t_per_movement.IE.Tr.Road.Freight.LCV.ICE.Diesel</t>
  </si>
  <si>
    <t>Load.t_per_movement.IE.Tr.Road.Freight.LCV.ICE.LPG</t>
  </si>
  <si>
    <t>Load.t_per_movement.IE.Tr.Road.Freight.LCV.ICE.NGas</t>
  </si>
  <si>
    <t>Load.t_per_movement.IE.Tr.Road.Freight.LCV.BEV</t>
  </si>
  <si>
    <t>Load.t_per_movement.IE.Tr.Road.Freight.HGV_All</t>
  </si>
  <si>
    <t>Load.t_per_movement.IE.Tr.Road.Freight.HGV_Domestic</t>
  </si>
  <si>
    <t>Load.t_per_movement.IE.Tr.Road.Freight.HGV_International</t>
  </si>
  <si>
    <t>VehicleKm_per_vehicle.km.IE.Tr.Road</t>
  </si>
  <si>
    <t>VehicleKm_per_vehicle.km.IE.Tr.Road.Passenger</t>
  </si>
  <si>
    <t>VehicleKm_per_vehicle.km.IE.Tr.Road.Passenger.P2W</t>
  </si>
  <si>
    <t>VehicleKm_per_vehicle.km.IE.Tr.Road.Passenger.Car</t>
  </si>
  <si>
    <t>VehicleKm_per_vehicle.km.IE.Tr.Road.Passenger.Car.ICE.Gasoline</t>
  </si>
  <si>
    <t>VehicleKm_per_vehicle.km.IE.Tr.Road.Passenger.Car.ICE.Diesel</t>
  </si>
  <si>
    <t>VehicleKm_per_vehicle.km.IE.Tr.Road.Passenger.Car.ICE.LPG</t>
  </si>
  <si>
    <t>VehicleKm_per_vehicle.km.IE.Tr.Road.Passenger.Car.ICE.NGas</t>
  </si>
  <si>
    <t>VehicleKm_per_vehicle.km.IE.Tr.Road.Passenger.Car.PHEV.Gasoline</t>
  </si>
  <si>
    <t>VehicleKm_per_vehicle.km.IE.Tr.Road.Passenger.Car.BEV</t>
  </si>
  <si>
    <t>VehicleKm_per_vehicle.km.IE.Tr.Road.Passenger.Bus</t>
  </si>
  <si>
    <t>VehicleKm_per_vehicle.km.IE.Tr.Road.Passenger.Bus.ICE.Gasoline</t>
  </si>
  <si>
    <t>VehicleKm_per_vehicle.km.IE.Tr.Road.Passenger.Bus.ICE.Diesel</t>
  </si>
  <si>
    <t>VehicleKm_per_vehicle.km.IE.Tr.Road.Passenger.Bus.ICE.LPG</t>
  </si>
  <si>
    <t>VehicleKm_per_vehicle.km.IE.Tr.Road.Passenger.Bus.ICE.NGas</t>
  </si>
  <si>
    <t>VehicleKm_per_vehicle.km.IE.Tr.Road.Passenger.Bus.BEV</t>
  </si>
  <si>
    <t>VehicleKm_per_vehicle.km.IE.Tr.Road.Freight</t>
  </si>
  <si>
    <t>VehicleKm_per_vehicle.km.IE.Tr.Road.Freight.LCV</t>
  </si>
  <si>
    <t>VehicleKm_per_vehicle.km.IE.Tr.Road.Freight.LCV.ICE.Gasoline</t>
  </si>
  <si>
    <t>VehicleKm_per_vehicle.km.IE.Tr.Road.Freight.LCV.ICE.Diesel</t>
  </si>
  <si>
    <t>VehicleKm_per_vehicle.km.IE.Tr.Road.Freight.LCV.ICE.LPG</t>
  </si>
  <si>
    <t>VehicleKm_per_vehicle.km.IE.Tr.Road.Freight.LCV.ICE.NGas</t>
  </si>
  <si>
    <t>VehicleKm_per_vehicle.km.IE.Tr.Road.Freight.LCV.BEV</t>
  </si>
  <si>
    <t>VehicleKm_per_vehicle.km.IE.Tr.Road.Freight.HGV_All</t>
  </si>
  <si>
    <t>VehicleKm_per_vehicle.km.IE.Tr.Road.Freight.HGV_Domestic</t>
  </si>
  <si>
    <t>VehicleKm_per_vehicle.km.IE.Tr.Road.Freight.HGV_International</t>
  </si>
  <si>
    <t>Activity_per_vehicle.pkm.IE.Tr.Road.Passenger</t>
  </si>
  <si>
    <t>Activity_per_vehicle.pkm.IE.Tr.Road.Passenger.P2W</t>
  </si>
  <si>
    <t>Activity_per_vehicle.pkm.IE.Tr.Road.Passenger.Car</t>
  </si>
  <si>
    <t>Activity_per_vehicle.pkm.IE.Tr.Road.Passenger.Car.ICE.Gasoline</t>
  </si>
  <si>
    <t>Activity_per_vehicle.pkm.IE.Tr.Road.Passenger.Car.ICE.Diesel</t>
  </si>
  <si>
    <t>Activity_per_vehicle.pkm.IE.Tr.Road.Passenger.Car.ICE.LPG</t>
  </si>
  <si>
    <t>Activity_per_vehicle.pkm.IE.Tr.Road.Passenger.Car.ICE.NGas</t>
  </si>
  <si>
    <t>Activity_per_vehicle.pkm.IE.Tr.Road.Passenger.Car.PHEV.Gasoline</t>
  </si>
  <si>
    <t>Activity_per_vehicle.pkm.IE.Tr.Road.Passenger.Car.BEV</t>
  </si>
  <si>
    <t>Activity_per_vehicle.pkm.IE.Tr.Road.Passenger.Bus</t>
  </si>
  <si>
    <t>Activity_per_vehicle.pkm.IE.Tr.Road.Passenger.Bus.ICE.Gasoline</t>
  </si>
  <si>
    <t>Activity_per_vehicle.pkm.IE.Tr.Road.Passenger.Bus.ICE.Diesel</t>
  </si>
  <si>
    <t>Activity_per_vehicle.pkm.IE.Tr.Road.Passenger.Bus.ICE.LPG</t>
  </si>
  <si>
    <t>Activity_per_vehicle.pkm.IE.Tr.Road.Passenger.Bus.ICE.NGas</t>
  </si>
  <si>
    <t>Activity_per_vehicle.pkm.IE.Tr.Road.Passenger.Bus.BEV</t>
  </si>
  <si>
    <t>Activity_per_vehicle.tkm.IE.Tr.Road.Freight</t>
  </si>
  <si>
    <t>Activity_per_vehicle.tkm.IE.Tr.Road.Freight.LCV</t>
  </si>
  <si>
    <t>Activity_per_vehicle.tkm.IE.Tr.Road.Freight.LCV.ICE.Gasoline</t>
  </si>
  <si>
    <t>Activity_per_vehicle.tkm.IE.Tr.Road.Freight.LCV.ICE.Diesel</t>
  </si>
  <si>
    <t>Activity_per_vehicle.tkm.IE.Tr.Road.Freight.LCV.ICE.LPG</t>
  </si>
  <si>
    <t>Activity_per_vehicle.tkm.IE.Tr.Road.Freight.LCV.ICE.NGas</t>
  </si>
  <si>
    <t>Activity_per_vehicle.tkm.IE.Tr.Road.Freight.LCV.BEV</t>
  </si>
  <si>
    <t>Activity_per_vehicle.tkm.IE.Tr.Road.Freight.HGV_All</t>
  </si>
  <si>
    <t>Activity_per_vehicle.tkm.IE.Tr.Road.Freight.HGV_Domestic</t>
  </si>
  <si>
    <t>Activity_per_vehicle.tkm.IE.Tr.Road.Freight.HGV_International</t>
  </si>
  <si>
    <t>Road transport / energy consumption - IE - Ireland</t>
  </si>
  <si>
    <t>FEC.ktoe.IE.ES.Tr.Road</t>
  </si>
  <si>
    <t>FEC.ktoe.IE.ES.Tr.Road.LPG</t>
  </si>
  <si>
    <t>FEC.ktoe.IE.ES.Tr.Road.Gasoline</t>
  </si>
  <si>
    <t>FEC.ktoe.IE.ES.Tr.Road.Diesel</t>
  </si>
  <si>
    <t>FEC.ktoe.IE.ES.Tr.Road.NG</t>
  </si>
  <si>
    <t>FEC.ktoe.IE.ES.Tr.Road.Biogas</t>
  </si>
  <si>
    <t>FEC.ktoe.IE.ES.Tr.Road.Biogasoline</t>
  </si>
  <si>
    <t>FEC.ktoe.IE.ES.Tr.Road.Biodiesel</t>
  </si>
  <si>
    <t>FEC.ktoe.IE.ES.Tr.Road.OthLiqBio</t>
  </si>
  <si>
    <t>FEC.ktoe.IE.ES.Tr.Road.Elec</t>
  </si>
  <si>
    <t>FEC.ktoe.IE.Tr.Road</t>
  </si>
  <si>
    <t>FEC.ktoe.IE.Tr.Road.Passenger.P2W.Total.Total.Biogasoline</t>
  </si>
  <si>
    <t>FEC.ktoe.IE.Tr.Road.Passenger.Car.ICE.Gasoline</t>
  </si>
  <si>
    <t>FEC.ktoe.IE.Tr.Road.Passenger.Car.ICE.Gasoline.Biogasoline</t>
  </si>
  <si>
    <t>FEC.ktoe.IE.Tr.Road.Passenger.Car.ICE.Diesel</t>
  </si>
  <si>
    <t>FEC.ktoe.IE.Tr.Road.Passenger.Car.ICE.Diesel.BioDiesel_OthLiqBio</t>
  </si>
  <si>
    <t>FEC.ktoe.IE.Tr.Road.Passenger.Car.ICE.LPG</t>
  </si>
  <si>
    <t>FEC.ktoe.IE.Tr.Road.Passenger.Car.ICE.NGas</t>
  </si>
  <si>
    <t>FEC.ktoe.IE.Tr.Road.Passenger.Car.ICE.NGas.Biogas</t>
  </si>
  <si>
    <t>FEC.ktoe.IE.Tr.Road.Passenger.Car.PHEV.Gasoline</t>
  </si>
  <si>
    <t>FEC.ktoe.IE.Tr.Road.Passenger.Car.PHEV.Gasoline.Biogasoline</t>
  </si>
  <si>
    <t>FEC.ktoe.IE.Tr.Road.Passenger.Car.PHEV.Gasoline.Elec</t>
  </si>
  <si>
    <t>FEC.ktoe.IE.Tr.Road.Passenger.Car.BEV</t>
  </si>
  <si>
    <t>FEC.ktoe.IE.Tr.Road.Passenger.Bus.ICE.Gasoline</t>
  </si>
  <si>
    <t>FEC.ktoe.IE.Tr.Road.Passenger.Bus.ICE.Gasoline.Biogasoline</t>
  </si>
  <si>
    <t>FEC.ktoe.IE.Tr.Road.Passenger.Bus.ICE.Diesel</t>
  </si>
  <si>
    <t>FEC.ktoe.IE.Tr.Road.Passenger.Bus.ICE.Diesel.BioDiesel_OthLiqBio</t>
  </si>
  <si>
    <t>FEC.ktoe.IE.Tr.Road.Passenger.Bus.ICE.LPG</t>
  </si>
  <si>
    <t>FEC.ktoe.IE.Tr.Road.Passenger.Bus.ICE.NGas</t>
  </si>
  <si>
    <t>FEC.ktoe.IE.Tr.Road.Passenger.Bus.ICE.NGas.Biogas</t>
  </si>
  <si>
    <t>FEC.ktoe.IE.Tr.Road.Passenger.Bus.BEV</t>
  </si>
  <si>
    <t>FEC.ktoe.IE.Tr.Road.Freight.LCV.ICE.Gasoline</t>
  </si>
  <si>
    <t>FEC.ktoe.IE.Tr.Road.Freight.LCV.ICE.Gasoline.Biogasoline</t>
  </si>
  <si>
    <t>FEC.ktoe.IE.Tr.Road.Freight.LCV.ICE.Diesel</t>
  </si>
  <si>
    <t>FEC.ktoe.IE.Tr.Road.Freight.LCV.ICE.Diesel.BioDiesel_OthLiqBio</t>
  </si>
  <si>
    <t>FEC.ktoe.IE.Tr.Road.Freight.LCV.ICE.LPG</t>
  </si>
  <si>
    <t>FEC.ktoe.IE.Tr.Road.Freight.LCV.ICE.NGas</t>
  </si>
  <si>
    <t>FEC.ktoe.IE.Tr.Road.Freight.LCV.ICE.NGas.Biogas</t>
  </si>
  <si>
    <t>FEC.ktoe.IE.Tr.Road.Freight.LCV.BEV</t>
  </si>
  <si>
    <t>FEC.ktoe.IE.Tr.Road.Freight.HGV_Domestic</t>
  </si>
  <si>
    <t>FEC.ktoe.IE.Tr.Road.Freight.HGV_Domestic.Total.Total.BioDiesel_OthLiqBio</t>
  </si>
  <si>
    <t>FEC.ktoe.IE.Tr.Road.Freight.HGV_International</t>
  </si>
  <si>
    <t>FEC.ktoe.IE.Tr.Road.Freight.HGV_International.Total.Total.BioDiesel_OthLiqBio</t>
  </si>
  <si>
    <t>Eff.kgoe_per_100km.IE.Tr.Road</t>
  </si>
  <si>
    <t>Eff.kgoe_per_100km.IE.Tr.Road.Passenger</t>
  </si>
  <si>
    <t>Eff.kgoe_per_100km.IE.Tr.Road.Passenger.P2W</t>
  </si>
  <si>
    <t>Eff.kgoe_per_100km.IE.Tr.Road.Passenger.Car</t>
  </si>
  <si>
    <t>Eff.kgoe_per_100km.IE.Tr.Road.Passenger.Car.ICE.Gasoline</t>
  </si>
  <si>
    <t>Eff.kgoe_per_100km.IE.Tr.Road.Passenger.Car.ICE.Diesel</t>
  </si>
  <si>
    <t>Eff.kgoe_per_100km.IE.Tr.Road.Passenger.Car.ICE.LPG</t>
  </si>
  <si>
    <t>Eff.kgoe_per_100km.IE.Tr.Road.Passenger.Car.ICE.NGas</t>
  </si>
  <si>
    <t>Eff.kgoe_per_100km.IE.Tr.Road.Passenger.Car.PHEV.Gasoline</t>
  </si>
  <si>
    <t>Eff.kgoe_per_100km.IE.Tr.Road.Passenger.Car.BEV</t>
  </si>
  <si>
    <t>Eff.kgoe_per_100km.IE.Tr.Road.Passenger.Bus</t>
  </si>
  <si>
    <t>Eff.kgoe_per_100km.IE.Tr.Road.Passenger.Bus.ICE.Gasoline</t>
  </si>
  <si>
    <t>Eff.kgoe_per_100km.IE.Tr.Road.Passenger.Bus.ICE.Diesel</t>
  </si>
  <si>
    <t>Eff.kgoe_per_100km.IE.Tr.Road.Passenger.Bus.ICE.LPG</t>
  </si>
  <si>
    <t>Eff.kgoe_per_100km.IE.Tr.Road.Passenger.Bus.ICE.NGas</t>
  </si>
  <si>
    <t>Eff.kgoe_per_100km.IE.Tr.Road.Passenger.Bus.BEV</t>
  </si>
  <si>
    <t>Eff.kgoe_per_100km.IE.Tr.Road.Freight</t>
  </si>
  <si>
    <t>Eff.kgoe_per_100km.IE.Tr.Road.Freight.LCV</t>
  </si>
  <si>
    <t>Eff.kgoe_per_100km.IE.Tr.Road.Freight.LCV.ICE.Gasoline</t>
  </si>
  <si>
    <t>Eff.kgoe_per_100km.IE.Tr.Road.Freight.LCV.ICE.Diesel</t>
  </si>
  <si>
    <t>Eff.kgoe_per_100km.IE.Tr.Road.Freight.LCV.ICE.LPG</t>
  </si>
  <si>
    <t>Eff.kgoe_per_100km.IE.Tr.Road.Freight.LCV.ICE.NGas</t>
  </si>
  <si>
    <t>Eff.kgoe_per_100km.IE.Tr.Road.Freight.LCV.BEV</t>
  </si>
  <si>
    <t>Eff.kgoe_per_100km.IE.Tr.Road.Freight.HGV_All</t>
  </si>
  <si>
    <t>Eff.kgoe_per_100km.IE.Tr.Road.Freight.HGV_Domestic</t>
  </si>
  <si>
    <t>Eff.kgoe_per_100km.IE.Tr.Road.Freight.HGV_International</t>
  </si>
  <si>
    <t>Eff.kgoe_per_kpkm.IE.Tr.Road.Passenger.Car.ICE.Gasoline</t>
  </si>
  <si>
    <t>Eff.kgoe_per_kpkm.IE.Tr.Road.Passenger.Car.ICE.Diesel</t>
  </si>
  <si>
    <t>Eff.kgoe_per_kpkm.IE.Tr.Road.Passenger.Car.ICE.LPG</t>
  </si>
  <si>
    <t>Eff.kgoe_per_kpkm.IE.Tr.Road.Passenger.Car.ICE.NGas</t>
  </si>
  <si>
    <t>Eff.kgoe_per_kpkm.IE.Tr.Road.Passenger.Car.PHEV.Gasoline</t>
  </si>
  <si>
    <t>Eff.kgoe_per_kpkm.IE.Tr.Road.Passenger.Car.BEV</t>
  </si>
  <si>
    <t>Eff.kgoe_per_kpkm.IE.Tr.Road.Passenger.Bus.ICE.Gasoline</t>
  </si>
  <si>
    <t>Eff.kgoe_per_kpkm.IE.Tr.Road.Passenger.Bus.ICE.Diesel</t>
  </si>
  <si>
    <t>Eff.kgoe_per_kpkm.IE.Tr.Road.Passenger.Bus.ICE.LPG</t>
  </si>
  <si>
    <t>Eff.kgoe_per_kpkm.IE.Tr.Road.Passenger.Bus.ICE.NGas</t>
  </si>
  <si>
    <t>Eff.kgoe_per_kpkm.IE.Tr.Road.Passenger.Bus.BEV</t>
  </si>
  <si>
    <t>Eff.kgoe_per_ktkm.IE.Tr.Road.Freight.LCV.ICE.Gasoline</t>
  </si>
  <si>
    <t>Eff.kgoe_per_ktkm.IE.Tr.Road.Freight.LCV.ICE.Diesel</t>
  </si>
  <si>
    <t>Eff.kgoe_per_ktkm.IE.Tr.Road.Freight.LCV.ICE.LPG</t>
  </si>
  <si>
    <t>Eff.kgoe_per_ktkm.IE.Tr.Road.Freight.LCV.ICE.NGas</t>
  </si>
  <si>
    <t>Eff.kgoe_per_ktkm.IE.Tr.Road.Freight.LCV.BEV</t>
  </si>
  <si>
    <t>Eff.kgoe_per_ktkm.IE.Tr.Road.Freight.HGV_Domestic</t>
  </si>
  <si>
    <t>Eff.kgoe_per_ktkm.IE.Tr.Road.Freight.HGV_International</t>
  </si>
  <si>
    <t>FEC_per_vehicle.kgoe.IE.Tr.Road.Passenger.P2W</t>
  </si>
  <si>
    <t>FEC_per_vehicle.kgoe.IE.Tr.Road.Passenger.Car</t>
  </si>
  <si>
    <t>FEC_per_vehicle.kgoe.IE.Tr.Road.Passenger.Car.ICE.Gasoline</t>
  </si>
  <si>
    <t>FEC_per_vehicle.kgoe.IE.Tr.Road.Passenger.Car.ICE.Diesel</t>
  </si>
  <si>
    <t>FEC_per_vehicle.kgoe.IE.Tr.Road.Passenger.Car.ICE.LPG</t>
  </si>
  <si>
    <t>FEC_per_vehicle.kgoe.IE.Tr.Road.Passenger.Car.ICE.NGas</t>
  </si>
  <si>
    <t>FEC_per_vehicle.kgoe.IE.Tr.Road.Passenger.Car.PHEV.Gasoline</t>
  </si>
  <si>
    <t>FEC_per_vehicle.kgoe.IE.Tr.Road.Passenger.Car.BEV</t>
  </si>
  <si>
    <t>FEC_per_vehicle.kgoe.IE.Tr.Road.Passenger.Bus</t>
  </si>
  <si>
    <t>FEC_per_vehicle.kgoe.IE.Tr.Road.Passenger.Bus.ICE.Gasoline</t>
  </si>
  <si>
    <t>FEC_per_vehicle.kgoe.IE.Tr.Road.Passenger.Bus.ICE.Diesel</t>
  </si>
  <si>
    <t>FEC_per_vehicle.kgoe.IE.Tr.Road.Passenger.Bus.ICE.LPG</t>
  </si>
  <si>
    <t>FEC_per_vehicle.kgoe.IE.Tr.Road.Passenger.Bus.ICE.NGas</t>
  </si>
  <si>
    <t>FEC_per_vehicle.kgoe.IE.Tr.Road.Passenger.Bus.BEV</t>
  </si>
  <si>
    <t>FEC_per_vehicle.kgoe.IE.Tr.Road.Freight.LCV</t>
  </si>
  <si>
    <t>FEC_per_vehicle.kgoe.IE.Tr.Road.Freight.LCV.ICE.Gasoline</t>
  </si>
  <si>
    <t>FEC_per_vehicle.kgoe.IE.Tr.Road.Freight.LCV.ICE.Diesel</t>
  </si>
  <si>
    <t>FEC_per_vehicle.kgoe.IE.Tr.Road.Freight.LCV.ICE.LPG</t>
  </si>
  <si>
    <t>FEC_per_vehicle.kgoe.IE.Tr.Road.Freight.LCV.ICE.NGas</t>
  </si>
  <si>
    <t>FEC_per_vehicle.kgoe.IE.Tr.Road.Freight.LCV.BEV</t>
  </si>
  <si>
    <t>FEC_per_vehicle.kgoe.IE.Tr.Road.Freight.HGV_All</t>
  </si>
  <si>
    <t>FEC_per_vehicle.kgoe.IE.Tr.Road.Freight.HGV_Domestic</t>
  </si>
  <si>
    <t>FEC_per_vehicle.kgoe.IE.Tr.Road.Freight.HGV_International</t>
  </si>
  <si>
    <t>Road transport / CO2 emissions - IE - Ireland</t>
  </si>
  <si>
    <t>EMI.ktCO2.IE.ES.Tr.Road</t>
  </si>
  <si>
    <t>EMI.ktCO2.IE.ES.Tr.Road.LPG</t>
  </si>
  <si>
    <t>EMI.ktCO2.IE.ES.Tr.Road.Gasoline</t>
  </si>
  <si>
    <t>EMI.ktCO2.IE.ES.Tr.Road.Diesel</t>
  </si>
  <si>
    <t>EMI.ktCO2.IE.ES.Tr.Road.NG</t>
  </si>
  <si>
    <t>EMI.ktCO2.IE.ES.Tr.Road.Biogas</t>
  </si>
  <si>
    <t>EMI.ktCO2.IE.ES.Tr.Road.Biogasoline</t>
  </si>
  <si>
    <t>EMI.ktCO2.IE.ES.Tr.Road.Biodiesel</t>
  </si>
  <si>
    <t>EMI.ktCO2.IE.ES.Tr.Road.OthLiqBio</t>
  </si>
  <si>
    <t>EMI.ktCO2.IE.ES.Tr.Road.Elec</t>
  </si>
  <si>
    <t>EMI.ktCO2.IE.Tr.Road</t>
  </si>
  <si>
    <t>EMI.ktCO2.IE.Tr.Road.Passenger.Car.ICE.Gasoline</t>
  </si>
  <si>
    <t>EMI.ktCO2.IE.Tr.Road.Passenger.Car.ICE.Diesel</t>
  </si>
  <si>
    <t>EMI.ktCO2.IE.Tr.Road.Passenger.Car.ICE.LPG</t>
  </si>
  <si>
    <t>EMI.ktCO2.IE.Tr.Road.Passenger.Car.ICE.NGas</t>
  </si>
  <si>
    <t>EMI.ktCO2.IE.Tr.Road.Passenger.Car.PHEV.Gasoline</t>
  </si>
  <si>
    <t>EMI.ktCO2.IE.Tr.Road.Passenger.Car.BEV</t>
  </si>
  <si>
    <t>EMI.ktCO2.IE.Tr.Road.Passenger.Bus.ICE.Gasoline</t>
  </si>
  <si>
    <t>EMI.ktCO2.IE.Tr.Road.Passenger.Bus.ICE.Diesel</t>
  </si>
  <si>
    <t>EMI.ktCO2.IE.Tr.Road.Passenger.Bus.ICE.LPG</t>
  </si>
  <si>
    <t>EMI.ktCO2.IE.Tr.Road.Passenger.Bus.ICE.NGas</t>
  </si>
  <si>
    <t>EMI.ktCO2.IE.Tr.Road.Passenger.Bus.BEV</t>
  </si>
  <si>
    <t>EMI.ktCO2.IE.Tr.Road.Freight.LCV.ICE.Gasoline</t>
  </si>
  <si>
    <t>EMI.ktCO2.IE.Tr.Road.Freight.LCV.ICE.Diesel</t>
  </si>
  <si>
    <t>EMI.ktCO2.IE.Tr.Road.Freight.LCV.ICE.LPG</t>
  </si>
  <si>
    <t>EMI.ktCO2.IE.Tr.Road.Freight.LCV.ICE.NGas</t>
  </si>
  <si>
    <t>EMI.ktCO2.IE.Tr.Road.Freight.LCV.BEV</t>
  </si>
  <si>
    <t>EMI.ktCO2.IE.Tr.Road.Freight.HGV_Domestic</t>
  </si>
  <si>
    <t>EMI.ktCO2.IE.Tr.Road.Freight.HGV_International</t>
  </si>
  <si>
    <t>EMIint.gCO2_per_km.IE.Tr.Road</t>
  </si>
  <si>
    <t>EMIint.gCO2_per_km.IE.Tr.Road.Passenger</t>
  </si>
  <si>
    <t>EMIint.gCO2_per_km.IE.Tr.Road.Passenger.P2W</t>
  </si>
  <si>
    <t>EMIint.gCO2_per_km.IE.Tr.Road.Passenger.Car</t>
  </si>
  <si>
    <t>EMIint.gCO2_per_km.IE.Tr.Road.Passenger.Car.ICE.Gasoline</t>
  </si>
  <si>
    <t>EMIint.gCO2_per_km.IE.Tr.Road.Passenger.Car.ICE.Diesel</t>
  </si>
  <si>
    <t>EMIint.gCO2_per_km.IE.Tr.Road.Passenger.Car.ICE.LPG</t>
  </si>
  <si>
    <t>EMIint.gCO2_per_km.IE.Tr.Road.Passenger.Car.ICE.NGas</t>
  </si>
  <si>
    <t>EMIint.gCO2_per_km.IE.Tr.Road.Passenger.Car.PHEV.Gasoline</t>
  </si>
  <si>
    <t>EMIint.gCO2_per_km.IE.Tr.Road.Passenger.Car.BEV</t>
  </si>
  <si>
    <t>EMIint.gCO2_per_km.IE.Tr.Road.Passenger.Bus</t>
  </si>
  <si>
    <t>EMIint.gCO2_per_km.IE.Tr.Road.Passenger.Bus.ICE.Gasoline</t>
  </si>
  <si>
    <t>EMIint.gCO2_per_km.IE.Tr.Road.Passenger.Bus.ICE.Diesel</t>
  </si>
  <si>
    <t>EMIint.gCO2_per_km.IE.Tr.Road.Passenger.Bus.ICE.LPG</t>
  </si>
  <si>
    <t>EMIint.gCO2_per_km.IE.Tr.Road.Passenger.Bus.ICE.NGas</t>
  </si>
  <si>
    <t>EMIint.gCO2_per_km.IE.Tr.Road.Passenger.Bus.BEV</t>
  </si>
  <si>
    <t>EMIint.gCO2_per_km.IE.Tr.Road.Freight</t>
  </si>
  <si>
    <t>EMIint.gCO2_per_km.IE.Tr.Road.Freight.LCV</t>
  </si>
  <si>
    <t>EMIint.gCO2_per_km.IE.Tr.Road.Freight.LCV.ICE.Gasoline</t>
  </si>
  <si>
    <t>EMIint.gCO2_per_km.IE.Tr.Road.Freight.LCV.ICE.Diesel</t>
  </si>
  <si>
    <t>EMIint.gCO2_per_km.IE.Tr.Road.Freight.LCV.ICE.LPG</t>
  </si>
  <si>
    <t>EMIint.gCO2_per_km.IE.Tr.Road.Freight.LCV.ICE.NGas</t>
  </si>
  <si>
    <t>EMIint.gCO2_per_km.IE.Tr.Road.Freight.LCV.BEV</t>
  </si>
  <si>
    <t>EMIint.gCO2_per_km.IE.Tr.Road.Freight.HGV_All</t>
  </si>
  <si>
    <t>EMIint.gCO2_per_km.IE.Tr.Road.Freight.HGV_Domestic</t>
  </si>
  <si>
    <t>EMIint.gCO2_per_km.IE.Tr.Road.Freight.HGV_International</t>
  </si>
  <si>
    <t>EMIint.gCO2_per_pkm.IE.Tr.Road.Passenger.Car.ICE.Gasoline</t>
  </si>
  <si>
    <t>EMIint.gCO2_per_pkm.IE.Tr.Road.Passenger.Car.ICE.Diesel</t>
  </si>
  <si>
    <t>EMIint.gCO2_per_pkm.IE.Tr.Road.Passenger.Car.ICE.LPG</t>
  </si>
  <si>
    <t>EMIint.gCO2_per_pkm.IE.Tr.Road.Passenger.Car.ICE.NGas</t>
  </si>
  <si>
    <t>EMIint.gCO2_per_pkm.IE.Tr.Road.Passenger.Car.PHEV.Gasoline</t>
  </si>
  <si>
    <t>EMIint.gCO2_per_pkm.IE.Tr.Road.Passenger.Car.BEV</t>
  </si>
  <si>
    <t>EMIint.gCO2_per_pkm.IE.Tr.Road.Passenger.Bus.ICE.Gasoline</t>
  </si>
  <si>
    <t>EMIint.gCO2_per_pkm.IE.Tr.Road.Passenger.Bus.ICE.Diesel</t>
  </si>
  <si>
    <t>EMIint.gCO2_per_pkm.IE.Tr.Road.Passenger.Bus.ICE.LPG</t>
  </si>
  <si>
    <t>EMIint.gCO2_per_pkm.IE.Tr.Road.Passenger.Bus.ICE.NGas</t>
  </si>
  <si>
    <t>EMIint.gCO2_per_pkm.IE.Tr.Road.Passenger.Bus.BEV</t>
  </si>
  <si>
    <t>EMIint.gCO2_per_tkm.IE.Tr.Road.Freight.LCV.ICE.Gasoline</t>
  </si>
  <si>
    <t>EMIint.gCO2_per_tkm.IE.Tr.Road.Freight.LCV.ICE.Diesel</t>
  </si>
  <si>
    <t>EMIint.gCO2_per_tkm.IE.Tr.Road.Freight.LCV.ICE.LPG</t>
  </si>
  <si>
    <t>EMIint.gCO2_per_tkm.IE.Tr.Road.Freight.LCV.ICE.NGas</t>
  </si>
  <si>
    <t>EMIint.gCO2_per_tkm.IE.Tr.Road.Freight.LCV.BEV</t>
  </si>
  <si>
    <t>EMIint.gCO2_per_tkm.IE.Tr.Road.Freight.HGV_Domestic</t>
  </si>
  <si>
    <t>EMIint.gCO2_per_tkm.IE.Tr.Road.Freight.HGV_International</t>
  </si>
  <si>
    <t>EMI_per_vehicle.kgCO2.IE.Tr.Road.Passenger.P2W</t>
  </si>
  <si>
    <t>EMI_per_vehicle.kgCO2.IE.Tr.Road.Passenger.Car</t>
  </si>
  <si>
    <t>EMI_per_vehicle.kgCO2.IE.Tr.Road.Passenger.Car.ICE.Gasoline</t>
  </si>
  <si>
    <t>EMI_per_vehicle.kgCO2.IE.Tr.Road.Passenger.Car.ICE.Diesel</t>
  </si>
  <si>
    <t>EMI_per_vehicle.kgCO2.IE.Tr.Road.Passenger.Car.ICE.LPG</t>
  </si>
  <si>
    <t>EMI_per_vehicle.kgCO2.IE.Tr.Road.Passenger.Car.ICE.NGas</t>
  </si>
  <si>
    <t>EMI_per_vehicle.kgCO2.IE.Tr.Road.Passenger.Car.PHEV.Gasoline</t>
  </si>
  <si>
    <t>EMI_per_vehicle.kgCO2.IE.Tr.Road.Passenger.Car.BEV</t>
  </si>
  <si>
    <t>EMI_per_vehicle.kgCO2.IE.Tr.Road.Passenger.Bus</t>
  </si>
  <si>
    <t>EMI_per_vehicle.kgCO2.IE.Tr.Road.Passenger.Bus.ICE.Gasoline</t>
  </si>
  <si>
    <t>EMI_per_vehicle.kgCO2.IE.Tr.Road.Passenger.Bus.ICE.Diesel</t>
  </si>
  <si>
    <t>EMI_per_vehicle.kgCO2.IE.Tr.Road.Passenger.Bus.ICE.LPG</t>
  </si>
  <si>
    <t>EMI_per_vehicle.kgCO2.IE.Tr.Road.Passenger.Bus.ICE.NGas</t>
  </si>
  <si>
    <t>EMI_per_vehicle.kgCO2.IE.Tr.Road.Passenger.Bus.BEV</t>
  </si>
  <si>
    <t>EMI_per_vehicle.kgCO2.IE.Tr.Road.Freight.LCV</t>
  </si>
  <si>
    <t>EMI_per_vehicle.kgCO2.IE.Tr.Road.Freight.LCV.ICE.Gasoline</t>
  </si>
  <si>
    <t>EMI_per_vehicle.kgCO2.IE.Tr.Road.Freight.LCV.ICE.Diesel</t>
  </si>
  <si>
    <t>EMI_per_vehicle.kgCO2.IE.Tr.Road.Freight.LCV.ICE.LPG</t>
  </si>
  <si>
    <t>EMI_per_vehicle.kgCO2.IE.Tr.Road.Freight.LCV.ICE.NGas</t>
  </si>
  <si>
    <t>EMI_per_vehicle.kgCO2.IE.Tr.Road.Freight.LCV.BEV</t>
  </si>
  <si>
    <t>EMI_per_vehicle.kgCO2.IE.Tr.Road.Freight.HGV_All</t>
  </si>
  <si>
    <t>EMI_per_vehicle.kgCO2.IE.Tr.Road.Freight.HGV_Domestic</t>
  </si>
  <si>
    <t>EMI_per_vehicle.kgCO2.IE.Tr.Road.Freight.HGV_International</t>
  </si>
  <si>
    <t>Road transport / technologies - IE - Ireland</t>
  </si>
  <si>
    <t>Stock.number.IE.Tr.Road.Freight.HGV_all</t>
  </si>
  <si>
    <t>StockVin.number.IE.Tr.Road</t>
  </si>
  <si>
    <t>StockVin.number.IE.Tr.Road.Passenger</t>
  </si>
  <si>
    <t>StockVin.number.IE.Tr.Road.Passenger.P2W</t>
  </si>
  <si>
    <t>StockVin.number.IE.Tr.Road.Passenger.Car</t>
  </si>
  <si>
    <t>StockVin.number.IE.Tr.Road.Passenger.Car.ICE.Gasoline</t>
  </si>
  <si>
    <t>StockVin.number.IE.Tr.Road.Passenger.Car.ICE.Diesel</t>
  </si>
  <si>
    <t>StockVin.number.IE.Tr.Road.Passenger.Car.ICE.LPG</t>
  </si>
  <si>
    <t>StockVin.number.IE.Tr.Road.Passenger.Car.ICE.NGas</t>
  </si>
  <si>
    <t>StockVin.number.IE.Tr.Road.Passenger.Car.PHEV.Gasoline</t>
  </si>
  <si>
    <t>StockVin.number.IE.Tr.Road.Passenger.Car.BEV</t>
  </si>
  <si>
    <t>StockVin.number.IE.Tr.Road.Passenger.Bus</t>
  </si>
  <si>
    <t>StockVin.number.IE.Tr.Road.Passenger.Bus.ICE.Gasoline</t>
  </si>
  <si>
    <t>StockVin.number.IE.Tr.Road.Passenger.Bus.ICE.Diesel</t>
  </si>
  <si>
    <t>StockVin.number.IE.Tr.Road.Passenger.Bus.ICE.LPG</t>
  </si>
  <si>
    <t>StockVin.number.IE.Tr.Road.Passenger.Bus.ICE.NGas</t>
  </si>
  <si>
    <t>StockVin.number.IE.Tr.Road.Passenger.Bus.BEV</t>
  </si>
  <si>
    <t>StockVin.number.IE.Tr.Road.Freight</t>
  </si>
  <si>
    <t>StockVin.number.IE.Tr.Road.Freight.LCV</t>
  </si>
  <si>
    <t>StockVin.number.IE.Tr.Road.Freight.LCV.ICE.Gasoline</t>
  </si>
  <si>
    <t>StockVin.number.IE.Tr.Road.Freight.LCV.ICE.Diesel</t>
  </si>
  <si>
    <t>StockVin.number.IE.Tr.Road.Freight.LCV.ICE.LPG</t>
  </si>
  <si>
    <t>StockVin.number.IE.Tr.Road.Freight.LCV.ICE.NGas</t>
  </si>
  <si>
    <t>StockVin.number.IE.Tr.Road.Freight.LCV.BEV</t>
  </si>
  <si>
    <t>StockVin.number.IE.Tr.Road.Freight.HGV_All</t>
  </si>
  <si>
    <t>StockVin.number.IE.Tr.Road.Freight.HGV_Domestic</t>
  </si>
  <si>
    <t>StockVin.number.IE.Tr.Road.Freight.HGV_International</t>
  </si>
  <si>
    <t>Eff_test_stock.kgoe_per_100km.IE.Tr.Road.Passenger.P2W</t>
  </si>
  <si>
    <t>Eff_test_stock.kgoe_per_100km.IE.Tr.Road.Passenger.Car</t>
  </si>
  <si>
    <t>Eff_test_stock.kgoe_per_100km.IE.Tr.Road.Passenger.Car.ICE.Gasoline</t>
  </si>
  <si>
    <t>Eff_test_stock.kgoe_per_100km.IE.Tr.Road.Passenger.Car.ICE.Diesel</t>
  </si>
  <si>
    <t>Eff_test_stock.kgoe_per_100km.IE.Tr.Road.Passenger.Car.ICE.LPG</t>
  </si>
  <si>
    <t>Eff_test_stock.kgoe_per_100km.IE.Tr.Road.Passenger.Car.ICE.NGas</t>
  </si>
  <si>
    <t>Eff_test_stock.kgoe_per_100km.IE.Tr.Road.Passenger.Car.PHEV.Gasoline</t>
  </si>
  <si>
    <t>Eff_test_stock.kgoe_per_100km.IE.Tr.Road.Passenger.Car.BEV</t>
  </si>
  <si>
    <t>Eff_test_stock.kgoe_per_100km.IE.Tr.Road.Passenger.Bus</t>
  </si>
  <si>
    <t>Eff_test_stock.kgoe_per_100km.IE.Tr.Road.Passenger.Bus.ICE.Gasoline</t>
  </si>
  <si>
    <t>Eff_test_stock.kgoe_per_100km.IE.Tr.Road.Passenger.Bus.ICE.Diesel</t>
  </si>
  <si>
    <t>Eff_test_stock.kgoe_per_100km.IE.Tr.Road.Passenger.Bus.ICE.LPG</t>
  </si>
  <si>
    <t>Eff_test_stock.kgoe_per_100km.IE.Tr.Road.Passenger.Bus.ICE.NGas</t>
  </si>
  <si>
    <t>Eff_test_stock.kgoe_per_100km.IE.Tr.Road.Passenger.Bus.BEV</t>
  </si>
  <si>
    <t>Eff_test_stock.kgoe_per_100km.IE.Tr.Road.Freight.LCV</t>
  </si>
  <si>
    <t>Eff_test_stock.kgoe_per_100km.IE.Tr.Road.Freight.LCV.ICE.Gasoline</t>
  </si>
  <si>
    <t>Eff_test_stock.kgoe_per_100km.IE.Tr.Road.Freight.LCV.ICE.Diesel</t>
  </si>
  <si>
    <t>Eff_test_stock.kgoe_per_100km.IE.Tr.Road.Freight.LCV.ICE.LPG</t>
  </si>
  <si>
    <t>Eff_test_stock.kgoe_per_100km.IE.Tr.Road.Freight.LCV.ICE.NGas</t>
  </si>
  <si>
    <t>Eff_test_stock.kgoe_per_100km.IE.Tr.Road.Freight.LCV.BEV</t>
  </si>
  <si>
    <t>Eff_test_stock.kgoe_per_100km.IE.Tr.Road.Freight.HGV_All</t>
  </si>
  <si>
    <t>Eff_test_stock.kgoe_per_100km.IE.Tr.Road.Freight.HGV_Domestic</t>
  </si>
  <si>
    <t>Eff_test_stock.kgoe_per_100km.IE.Tr.Road.Freight.HGV_International</t>
  </si>
  <si>
    <t>Eff_test_new.kgoe_per_100km.IE.Tr.Road.Passenger.P2W</t>
  </si>
  <si>
    <t>Eff_test_new.kgoe_per_100km.IE.Tr.Road.Passenger.Car</t>
  </si>
  <si>
    <t>Eff_test_new.kgoe_per_100km.IE.Tr.Road.Passenger.Car.ICE.Gasoline</t>
  </si>
  <si>
    <t>Eff_test_new.kgoe_per_100km.IE.Tr.Road.Passenger.Car.ICE.Diesel</t>
  </si>
  <si>
    <t>Eff_test_new.kgoe_per_100km.IE.Tr.Road.Passenger.Car.ICE.LPG</t>
  </si>
  <si>
    <t>Eff_test_new.kgoe_per_100km.IE.Tr.Road.Passenger.Car.ICE.NGas</t>
  </si>
  <si>
    <t>Eff_test_new.kgoe_per_100km.IE.Tr.Road.Passenger.Car.PHEV.Gasoline</t>
  </si>
  <si>
    <t>Eff_test_new.kgoe_per_100km.IE.Tr.Road.Passenger.Car.BEV</t>
  </si>
  <si>
    <t>Eff_test_new.kgoe_per_100km.IE.Tr.Road.Passenger.Bus</t>
  </si>
  <si>
    <t>Eff_test_new.kgoe_per_100km.IE.Tr.Road.Passenger.Bus.ICE.Gasoline</t>
  </si>
  <si>
    <t>Eff_test_new.kgoe_per_100km.IE.Tr.Road.Passenger.Bus.ICE.Diesel</t>
  </si>
  <si>
    <t>Eff_test_new.kgoe_per_100km.IE.Tr.Road.Passenger.Bus.ICE.LPG</t>
  </si>
  <si>
    <t>Eff_test_new.kgoe_per_100km.IE.Tr.Road.Passenger.Bus.ICE.NGas</t>
  </si>
  <si>
    <t>Eff_test_new.kgoe_per_100km.IE.Tr.Road.Passenger.Bus.BEV</t>
  </si>
  <si>
    <t>Eff_test_new.kgoe_per_100km.IE.Tr.Road.Freight.LCV</t>
  </si>
  <si>
    <t>Eff_test_new.kgoe_per_100km.IE.Tr.Road.Freight.LCV.ICE.Gasoline</t>
  </si>
  <si>
    <t>Eff_test_new.kgoe_per_100km.IE.Tr.Road.Freight.LCV.ICE.Diesel</t>
  </si>
  <si>
    <t>Eff_test_new.kgoe_per_100km.IE.Tr.Road.Freight.LCV.ICE.LPG</t>
  </si>
  <si>
    <t>Eff_test_new.kgoe_per_100km.IE.Tr.Road.Freight.LCV.ICE.NGas</t>
  </si>
  <si>
    <t>Eff_test_new.kgoe_per_100km.IE.Tr.Road.Freight.LCV.BEV</t>
  </si>
  <si>
    <t>Eff_test_new.kgoe_per_100km.IE.Tr.Road.Freight.HGV_All</t>
  </si>
  <si>
    <t>Eff_test_new.kgoe_per_100km.IE.Tr.Road.Freight.HGV_Domestic</t>
  </si>
  <si>
    <t>Eff_test_new.kgoe_per_100km.IE.Tr.Road.Freight.HGV_International</t>
  </si>
  <si>
    <t>EMIint_test_stock.gCO2_per_km.IE.Tr.Road.Passenger.P2W</t>
  </si>
  <si>
    <t>EMIint_test_stock.gCO2_per_km.IE.Tr.Road.Passenger.Car</t>
  </si>
  <si>
    <t>EMIint_test_stock.gCO2_per_km.IE.Tr.Road.Passenger.Car.ICE.Gasoline</t>
  </si>
  <si>
    <t>EMIint_test_stock.gCO2_per_km.IE.Tr.Road.Passenger.Car.ICE.Diesel</t>
  </si>
  <si>
    <t>EMIint_test_stock.gCO2_per_km.IE.Tr.Road.Passenger.Car.ICE.LPG</t>
  </si>
  <si>
    <t>EMIint_test_stock.gCO2_per_km.IE.Tr.Road.Passenger.Car.ICE.NGas</t>
  </si>
  <si>
    <t>EMIint_test_stock.gCO2_per_km.IE.Tr.Road.Passenger.Car.PHEV.Gasoline</t>
  </si>
  <si>
    <t>EMIint_test_stock.gCO2_per_km.IE.Tr.Road.Passenger.Car.BEV</t>
  </si>
  <si>
    <t>EMIint_test_stock.gCO2_per_km.IE.Tr.Road.Passenger.Bus</t>
  </si>
  <si>
    <t>EMIint_test_stock.gCO2_per_km.IE.Tr.Road.Passenger.Bus.ICE.Gasoline</t>
  </si>
  <si>
    <t>EMIint_test_stock.gCO2_per_km.IE.Tr.Road.Passenger.Bus.ICE.Diesel</t>
  </si>
  <si>
    <t>EMIint_test_stock.gCO2_per_km.IE.Tr.Road.Passenger.Bus.ICE.LPG</t>
  </si>
  <si>
    <t>EMIint_test_stock.gCO2_per_km.IE.Tr.Road.Passenger.Bus.ICE.NGas</t>
  </si>
  <si>
    <t>EMIint_test_stock.gCO2_per_km.IE.Tr.Road.Passenger.Bus.BEV</t>
  </si>
  <si>
    <t>EMIint_test_stock.gCO2_per_km.IE.Tr.Road.Freight.LCV</t>
  </si>
  <si>
    <t>EMIint_test_stock.gCO2_per_km.IE.Tr.Road.Freight.LCV.ICE.Gasoline</t>
  </si>
  <si>
    <t>EMIint_test_stock.gCO2_per_km.IE.Tr.Road.Freight.LCV.ICE.Diesel</t>
  </si>
  <si>
    <t>EMIint_test_stock.gCO2_per_km.IE.Tr.Road.Freight.LCV.ICE.LPG</t>
  </si>
  <si>
    <t>EMIint_test_stock.gCO2_per_km.IE.Tr.Road.Freight.LCV.ICE.NGas</t>
  </si>
  <si>
    <t>EMIint_test_stock.gCO2_per_km.IE.Tr.Road.Freight.LCV.BEV</t>
  </si>
  <si>
    <t>EMIint_test_stock.gCO2_per_km.IE.Tr.Road.Freight.HGV_All</t>
  </si>
  <si>
    <t>EMIint_test_stock.gCO2_per_km.IE.Tr.Road.Freight.HGV_Domestic</t>
  </si>
  <si>
    <t>EMIint_test_stock.gCO2_per_km.IE.Tr.Road.Freight.HGV_International</t>
  </si>
  <si>
    <t>EMIint_test_new.gCO2_per_km.IE.Tr.Road.Passenger.P2W</t>
  </si>
  <si>
    <t>EMIint_test_new.gCO2_per_km.IE.Tr.Road.Passenger.Car</t>
  </si>
  <si>
    <t>EMIint_test_new.gCO2_per_km.IE.Tr.Road.Passenger.Car.ICE.Gasoline</t>
  </si>
  <si>
    <t>EMIint_test_new.gCO2_per_km.IE.Tr.Road.Passenger.Car.ICE.Diesel</t>
  </si>
  <si>
    <t>EMIint_test_new.gCO2_per_km.IE.Tr.Road.Passenger.Car.ICE.LPG</t>
  </si>
  <si>
    <t>EMIint_test_new.gCO2_per_km.IE.Tr.Road.Passenger.Car.ICE.NGas</t>
  </si>
  <si>
    <t>EMIint_test_new.gCO2_per_km.IE.Tr.Road.Passenger.Car.PHEV.Gasoline</t>
  </si>
  <si>
    <t>EMIint_test_new.gCO2_per_km.IE.Tr.Road.Passenger.Car.BEV</t>
  </si>
  <si>
    <t>EMIint_test_new.gCO2_per_km.IE.Tr.Road.Passenger.Bus</t>
  </si>
  <si>
    <t>EMIint_test_new.gCO2_per_km.IE.Tr.Road.Passenger.Bus.ICE.Gasoline</t>
  </si>
  <si>
    <t>EMIint_test_new.gCO2_per_km.IE.Tr.Road.Passenger.Bus.ICE.Diesel</t>
  </si>
  <si>
    <t>EMIint_test_new.gCO2_per_km.IE.Tr.Road.Passenger.Bus.ICE.LPG</t>
  </si>
  <si>
    <t>EMIint_test_new.gCO2_per_km.IE.Tr.Road.Passenger.Bus.ICE.NGas</t>
  </si>
  <si>
    <t>EMIint_test_new.gCO2_per_km.IE.Tr.Road.Passenger.Bus.BEV</t>
  </si>
  <si>
    <t>EMIint_test_new.gCO2_per_km.IE.Tr.Road.Freight.LCV</t>
  </si>
  <si>
    <t>EMIint_test_new.gCO2_per_km.IE.Tr.Road.Freight.LCV.ICE.Gasoline</t>
  </si>
  <si>
    <t>EMIint_test_new.gCO2_per_km.IE.Tr.Road.Freight.LCV.ICE.Diesel</t>
  </si>
  <si>
    <t>EMIint_test_new.gCO2_per_km.IE.Tr.Road.Freight.LCV.ICE.LPG</t>
  </si>
  <si>
    <t>EMIint_test_new.gCO2_per_km.IE.Tr.Road.Freight.LCV.ICE.NGas</t>
  </si>
  <si>
    <t>EMIint_test_new.gCO2_per_km.IE.Tr.Road.Freight.LCV.BEV</t>
  </si>
  <si>
    <t>EMIint_test_new.gCO2_per_km.IE.Tr.Road.Freight.HGV_All</t>
  </si>
  <si>
    <t>EMIint_test_new.gCO2_per_km.IE.Tr.Road.Freight.HGV_Domestic</t>
  </si>
  <si>
    <t>EMIint_test_new.gCO2_per_km.IE.Tr.Road.Freight.HGV_International</t>
  </si>
  <si>
    <t>FEC.ktoe.IE.MBunk</t>
  </si>
  <si>
    <t>FEC.ktoe.IE.MBunk.IntraEEA</t>
  </si>
  <si>
    <t>FEC.ktoe.IE.MBunk.ExtraEEA</t>
  </si>
  <si>
    <t>EMI.ktCO2.IE.MBunk</t>
  </si>
  <si>
    <t>EMI.ktCO2.IE.MBunk.IntraEEA</t>
  </si>
  <si>
    <t>EMI.ktCO2.IE.MBunk.ExtraEEA</t>
  </si>
  <si>
    <t>International maritime bunkers - IE - Ireland</t>
  </si>
  <si>
    <t>VehicleKm.Mkm.IE.MBunk.Freight</t>
  </si>
  <si>
    <t>VehicleKm.Mkm.IE.MBunk.Freight.IntraEEA</t>
  </si>
  <si>
    <t>VehicleKm.Mkm.IE.MBunk.Freight.ExtraEEA</t>
  </si>
  <si>
    <t>Load.t_per_movement.IE.MBunk.Freight</t>
  </si>
  <si>
    <t>Load.t_per_movement.IE.MBunk.Freight.IntraEEA</t>
  </si>
  <si>
    <t>Load.t_per_movement.IE.MBunk.Freight.ExtraEEA</t>
  </si>
  <si>
    <t>International maritime bunkers / energy consumption - IE - Ireland</t>
  </si>
  <si>
    <t>FEC.ktoe.IE.ES.MBunk</t>
  </si>
  <si>
    <t>FEC.ktoe.IE.ES.MBunk.IntraEEA</t>
  </si>
  <si>
    <t>FEC.ktoe.IE.ES.MBunk.IntraEEA.Diesel</t>
  </si>
  <si>
    <t>FEC.ktoe.IE.ES.MBunk.IntraEEA.RFO_Other</t>
  </si>
  <si>
    <t>FEC.ktoe.IE.ES.MBunk.IntraEEA.LiqBio</t>
  </si>
  <si>
    <t>FEC.ktoe.IE.ES.MBunk.IntraEEA.NG</t>
  </si>
  <si>
    <t>FEC.ktoe.IE.ES.MBunk.IntraEEA.Biogas</t>
  </si>
  <si>
    <t>FEC.ktoe.IE.ES.MBunk.ExtraEEA</t>
  </si>
  <si>
    <t>FEC.ktoe.IE.ES.MBunk.ExtraEEA.Diesel</t>
  </si>
  <si>
    <t>FEC.ktoe.IE.ES.MBunk.ExtraEEA.RFO_Other</t>
  </si>
  <si>
    <t>FEC.ktoe.IE.ES.MBunk.ExtraEEA.LiqBio</t>
  </si>
  <si>
    <t>FEC.ktoe.IE.ES.MBunk.ExtraEEA.NG</t>
  </si>
  <si>
    <t>FEC.ktoe.IE.ES.MBunk.ExtraEEA.Biogas</t>
  </si>
  <si>
    <t>Eff.kgoe_per_100km.IE.MBunk.Freight</t>
  </si>
  <si>
    <t>Eff.kgoe_per_100km.IE.MBunk.Freight.IntraEEA</t>
  </si>
  <si>
    <t>Eff.kgoe_per_100km.IE.MBunk.Freight.ExtraEEA</t>
  </si>
  <si>
    <t>International maritime bunkers / CO2 emissions - IE - Ireland</t>
  </si>
  <si>
    <t>EMI.ktCO2.IE.ES.MBunk</t>
  </si>
  <si>
    <t>EMI.ktCO2.IE.ES.MBunk.IntraEEA</t>
  </si>
  <si>
    <t>EMI.ktCO2.IE.ES.MBunk.ExtraEEA</t>
  </si>
  <si>
    <t>EMIint.gCO2_per_km.IE.MBunk.Freight</t>
  </si>
  <si>
    <t>EMIint.gCO2_per_km.IE.MBunk.Freight.IntraEEA</t>
  </si>
  <si>
    <t>EMIint.gCO2_per_km.IE.MBunk.Freight.ExtraEEA</t>
  </si>
  <si>
    <t>FEC.ktoe.IE.Tr.DNavi</t>
  </si>
  <si>
    <t>FEC.ktoe.IE.Tr.Dnavi.DCS</t>
  </si>
  <si>
    <t>FEC.ktoe.IE.Tr.Dnavi.IWW</t>
  </si>
  <si>
    <t>EMI.ktCO2.IE.Tr.DNavi</t>
  </si>
  <si>
    <t>EMI.ktCO2.IE.Tr.Dnavi.DCS</t>
  </si>
  <si>
    <t>EMI.ktCO2.IE.Tr.Dnavi.IWW</t>
  </si>
  <si>
    <t>Domestic navigation - IE - Ireland</t>
  </si>
  <si>
    <t>VehicleKm.Mkm.IE.Tr.DNavi.Freight</t>
  </si>
  <si>
    <t>VehicleKm.Mkm.IE.Tr.DNavi.Freight.DCS</t>
  </si>
  <si>
    <t>VehicleKm.Mkm.IE.Tr.DNavi.Freight.IWW</t>
  </si>
  <si>
    <t>Load.t_per_movement.IE.Tr.DNavi.Freight</t>
  </si>
  <si>
    <t>Load.t_per_movement.IE.Tr.DNavi.Freight.DCS</t>
  </si>
  <si>
    <t>Load.t_per_movement.IE.Tr.DNavi.Freight.IWW</t>
  </si>
  <si>
    <t>Domestic navigation / energy consumption - IE - Ireland</t>
  </si>
  <si>
    <t>FEC.ktoe.IE.ES.Tr.DNavi</t>
  </si>
  <si>
    <t>FEC.ktoe.IE.ES.Tr.DNavi.DCS</t>
  </si>
  <si>
    <t>FEC.ktoe.IE.ES.Tr.DNavi.DCS.Diesel</t>
  </si>
  <si>
    <t>FEC.ktoe.IE.ES.Tr.DNavi.DCS.RFO_Other</t>
  </si>
  <si>
    <t>FEC.ktoe.IE.ES.Tr.DNavi.DCS.LiqBio</t>
  </si>
  <si>
    <t>FEC.ktoe.IE.ES.Tr.DNavi.DCS.NG</t>
  </si>
  <si>
    <t>FEC.ktoe.IE.ES.Tr.DNavi.DCS.Biogas</t>
  </si>
  <si>
    <t>FEC.ktoe.IE.ES.Tr.DNavi.IWW</t>
  </si>
  <si>
    <t>FEC.ktoe.IE.ES.Tr.DNavi.IWW.Diesel</t>
  </si>
  <si>
    <t>FEC.ktoe.IE.ES.Tr.DNavi.IWW.RFO_Other</t>
  </si>
  <si>
    <t>FEC.ktoe.IE.ES.Tr.DNavi.IWW.LiqBio</t>
  </si>
  <si>
    <t>FEC.ktoe.IE.ES.Tr.DNavi.IWW.NG</t>
  </si>
  <si>
    <t>FEC.ktoe.IE.ES.Tr.DNavi.IWW.Biogas</t>
  </si>
  <si>
    <t>Eff.kgoe_per_100km.IE.Tr.DNavi.Freight</t>
  </si>
  <si>
    <t>Eff.kgoe_per_100km.IE.Tr.DNavi.Freight.DCS</t>
  </si>
  <si>
    <t>Eff.kgoe_per_100km.IE.Tr.DNavi.Freight.IWW</t>
  </si>
  <si>
    <t>Domestic navigation / CO2 emissions - IE - Ireland</t>
  </si>
  <si>
    <t>EMI.ktCO2.IE.ES.Tr.DNavi</t>
  </si>
  <si>
    <t>EMI.ktCO2.IE.ES.Tr.DNavi.DCS</t>
  </si>
  <si>
    <t>EMI.ktCO2.IE.ES.Tr.DNavi.IWW</t>
  </si>
  <si>
    <t>EMIint.gCO2_per_km.IE.Tr.DNavi.Freight</t>
  </si>
  <si>
    <t>EMIint.gCO2_per_km.IE.Tr.DNavi.Freight.DCS</t>
  </si>
  <si>
    <t>EMIint.gCO2_per_km.IE.Tr.DNavi.Freight.IWW</t>
  </si>
  <si>
    <t>Rail, metro and tram - IE - Ireland</t>
  </si>
  <si>
    <t>Activity.Mpkm.IE.Tr.Rail.Passenger.CPT.Diesel</t>
  </si>
  <si>
    <t>Activity.Mpkm.IE.Tr.Rail.Passenger.CPT.Elc</t>
  </si>
  <si>
    <t>Activity.Mtkm.IE.Tr.Rail.Freight.Diesel</t>
  </si>
  <si>
    <t>Activity.Mtkm.IE.Tr.Rail.Freight.Elc</t>
  </si>
  <si>
    <t>VehicleKm.Mkm.IE.Tr.Rail</t>
  </si>
  <si>
    <t>VehicleKm.Mkm.IE.Tr.Rail.Passenger</t>
  </si>
  <si>
    <t>VehicleKm.Mkm.IE.Tr.Rail.Passenger.MTU</t>
  </si>
  <si>
    <t>VehicleKm.Mkm.IE.Tr.Rail.Passenger.CPT</t>
  </si>
  <si>
    <t>VehicleKm.Mkm.IE.Tr.Rail.Passenger.CPT.Diesel</t>
  </si>
  <si>
    <t>VehicleKm.Mkm.IE.Tr.Rail.Passenger.CPT.Elc</t>
  </si>
  <si>
    <t>VehicleKm.Mkm.IE.Tr.Rail.Passenger.HST</t>
  </si>
  <si>
    <t>VehicleKm.Mkm.IE.Tr.Rail.Freight</t>
  </si>
  <si>
    <t>VehicleKm.Mkm.IE.Tr.Rail.Freight.Diesel</t>
  </si>
  <si>
    <t>VehicleKm.Mkm.IE.Tr.Rail.Freight.Elc</t>
  </si>
  <si>
    <t>Stock.number.IE.Tr.Rail</t>
  </si>
  <si>
    <t>Stock.number.IE.Tr.Rail.Passenger</t>
  </si>
  <si>
    <t>Stock.number.IE.Tr.Rail.Passenger.MTU</t>
  </si>
  <si>
    <t>Stock.number.IE.Tr.Rail.Passenger.CPT</t>
  </si>
  <si>
    <t>Stock.number.IE.Tr.Rail.Passenger.CPT.Diesel</t>
  </si>
  <si>
    <t>Stock.number.IE.Tr.Rail.Passenger.CPT.Elc</t>
  </si>
  <si>
    <t>Stock.number.IE.Tr.Rail.Passenger.HST</t>
  </si>
  <si>
    <t>Stock.number.IE.Tr.Rail.Freight</t>
  </si>
  <si>
    <t>Stock.number.IE.Tr.Rail.Freight.Diesel</t>
  </si>
  <si>
    <t>Stock.number.IE.Tr.Rail.Freight.Elc</t>
  </si>
  <si>
    <t>StockNew.number.IE.Tr.Rail</t>
  </si>
  <si>
    <t>StockNew.number.IE.Tr.Rail.Passenger</t>
  </si>
  <si>
    <t>StockNew.number.IE.Tr.Rail.Passenger.MTU</t>
  </si>
  <si>
    <t>StockNew.number.IE.Tr.Rail.Passenger.CPT</t>
  </si>
  <si>
    <t>StockNew.number.IE.Tr.Rail.Passenger.CPT.Diesel</t>
  </si>
  <si>
    <t>StockNew.number.IE.Tr.Rail.Passenger.CPT.Elc</t>
  </si>
  <si>
    <t>StockNew.number.IE.Tr.Rail.Passenger.HST</t>
  </si>
  <si>
    <t>StockNew.number.IE.Tr.Rail.Freight</t>
  </si>
  <si>
    <t>StockNew.number.IE.Tr.Rail.Freight.Diesel</t>
  </si>
  <si>
    <t>StockNew.number.IE.Tr.Rail.Freight.Elc</t>
  </si>
  <si>
    <t>Load.passenger_per_movement.IE.Tr.Rail.Passenger</t>
  </si>
  <si>
    <t>Load.passenger_per_movement.IE.Tr.Rail.Passenger.MTU</t>
  </si>
  <si>
    <t>Load.passenger_per_movement.IE.Tr.Rail.Passenger.CPT</t>
  </si>
  <si>
    <t>Load.passenger_per_movement.IE.Tr.Rail.Passenger.CPT.Diesel</t>
  </si>
  <si>
    <t>Load.passenger_per_movement.IE.Tr.Rail.Passenger.CPT.Elc</t>
  </si>
  <si>
    <t>Load.passenger_per_movement.IE.Tr.Rail.Passenger.HST</t>
  </si>
  <si>
    <t>Load.t_per_movement.IE.Tr.Rail.Freight</t>
  </si>
  <si>
    <t>Load.t_per_movement.IE.Tr.Rail.Freight.Diesel</t>
  </si>
  <si>
    <t>Load.t_per_movement.IE.Tr.Rail.Freight.Elc</t>
  </si>
  <si>
    <t>TrCap.seats.IE.Tr.Rail.Passenger</t>
  </si>
  <si>
    <t>TrCap.seats.IE.Tr.Rail.Passenger.MTU</t>
  </si>
  <si>
    <t>TrCap.seats.IE.Tr.Rail.Passenger.CPT</t>
  </si>
  <si>
    <t>TrCap.seats.IE.Tr.Rail.Passenger.CPT.Diesel</t>
  </si>
  <si>
    <t>TrCap.seats.IE.Tr.Rail.Passenger.CPT.Elc</t>
  </si>
  <si>
    <t>TrCap.seats.IE.Tr.Rail.Passenger.HST</t>
  </si>
  <si>
    <t>TrCap.t.IE.Tr.Rail.Freight</t>
  </si>
  <si>
    <t>TrCap.t.IE.Tr.Rail.Freight.Diesel</t>
  </si>
  <si>
    <t>TrCap.t.IE.Tr.Rail.Freight.Elc</t>
  </si>
  <si>
    <t>VehicleKm_per_vehicle.km.IE.Tr.Rail</t>
  </si>
  <si>
    <t>VehicleKm_per_vehicle.km.IE.Tr.Rail.Passenger</t>
  </si>
  <si>
    <t>VehicleKm_per_vehicle.km.IE.Tr.Rail.Passenger.MTU</t>
  </si>
  <si>
    <t>VehicleKm_per_vehicle.km.IE.Tr.Rail.Passenger.CPT</t>
  </si>
  <si>
    <t>VehicleKm_per_vehicle.km.IE.Tr.Rail.Passenger.CPT.Diesel</t>
  </si>
  <si>
    <t>VehicleKm_per_vehicle.km.IE.Tr.Rail.Passenger.CPT.Elc</t>
  </si>
  <si>
    <t>VehicleKm_per_vehicle.km.IE.Tr.Rail.Passenger.HST</t>
  </si>
  <si>
    <t>VehicleKm_per_vehicle.km.IE.Tr.Rail.Freight</t>
  </si>
  <si>
    <t>VehicleKm_per_vehicle.km.IE.Tr.Rail.Freight.Diesel</t>
  </si>
  <si>
    <t>VehicleKm_per_vehicle.km.IE.Tr.Rail.Freight.Elc</t>
  </si>
  <si>
    <t>Activity_per_vehicle.pkm.IE.Tr.Rail.Passenger</t>
  </si>
  <si>
    <t>Activity_per_vehicle.pkm.IE.Tr.Rail.Passenger.MTU</t>
  </si>
  <si>
    <t>Activity_per_vehicle.pkm.IE.Tr.Rail.Passenger.CPT</t>
  </si>
  <si>
    <t>Activity_per_vehicle.pkm.IE.Tr.Rail.Passenger.CPT.Diesel</t>
  </si>
  <si>
    <t>Activity_per_vehicle.pkm.IE.Tr.Rail.Passenger.CPT.Elc</t>
  </si>
  <si>
    <t>Activity_per_vehicle.pkm.IE.Tr.Rail.Passenger.HST</t>
  </si>
  <si>
    <t>Activity_per_vehicle.tkm.IE.Tr.Rail.Freight</t>
  </si>
  <si>
    <t>Activity_per_vehicle.tkm.IE.Tr.Rail.Freight.Diesel</t>
  </si>
  <si>
    <t>Activity_per_vehicle.tkm.IE.Tr.Rail.Freight.Elc</t>
  </si>
  <si>
    <t>Rail, metro and tram / energy consumption - IE - Ireland</t>
  </si>
  <si>
    <t>FEC.ktoe.IE.ES.Tr.Rail</t>
  </si>
  <si>
    <t>FEC.ktoe.IE.ES.Tr.Rail.Diesel</t>
  </si>
  <si>
    <t>FEC.ktoe.IE.ES.Tr.Rail.LiqBio</t>
  </si>
  <si>
    <t>FEC.ktoe.IE.ES.Tr.Rail.Elec</t>
  </si>
  <si>
    <t>FEC.ktoe.IE.Tr.Rail</t>
  </si>
  <si>
    <t>FEC.ktoe.IE.Tr.Rail.Passenger.CPT.Diesel</t>
  </si>
  <si>
    <t>FEC.ktoe.IE.Tr.Rail.Passenger.CPT.Elc</t>
  </si>
  <si>
    <t>FEC.ktoe.IE.Tr.Rail.Freight.Diesel</t>
  </si>
  <si>
    <t>FEC.ktoe.IE.Tr.Rail.Freight.Elc</t>
  </si>
  <si>
    <t>Eff.kgoe_per_100km.IE.Tr.Rail</t>
  </si>
  <si>
    <t>Eff.kgoe_per_100km.IE.Tr.Rail.Passenger</t>
  </si>
  <si>
    <t>Eff.kgoe_per_100km.IE.Tr.Rail.Passenger.MTU</t>
  </si>
  <si>
    <t>Eff.kgoe_per_100km.IE.Tr.Rail.Passenger.CPT</t>
  </si>
  <si>
    <t>Eff.kgoe_per_100km.IE.Tr.Rail.Passenger.CPT.Diesel</t>
  </si>
  <si>
    <t>Eff.kgoe_per_100km.IE.Tr.Rail.Passenger.CPT.Elc</t>
  </si>
  <si>
    <t>Eff.kgoe_per_100km.IE.Tr.Rail.Passenger.HST</t>
  </si>
  <si>
    <t>Eff.kgoe_per_100km.IE.Tr.Rail.Freight</t>
  </si>
  <si>
    <t>Eff.kgoe_per_100km.IE.Tr.Rail.Freight.Diesel</t>
  </si>
  <si>
    <t>Eff.kgoe_per_100km.IE.Tr.Rail.Freight.Elc</t>
  </si>
  <si>
    <t>Eff.kgoe_per_kpkm.IE.Tr.Rail.Passenger.CPT.Diesel</t>
  </si>
  <si>
    <t>Eff.kgoe_per_kpkm.IE.Tr.Rail.Passenger.CPT.Elc</t>
  </si>
  <si>
    <t>Eff.kgoe_per_ktkm.IE.Tr.Rail.Freight.Diesel</t>
  </si>
  <si>
    <t>Eff.kgoe_per_ktkm.IE.Tr.Rail.Freight.Elc</t>
  </si>
  <si>
    <t>FEC_per_vehicle.kgoe.IE.Tr.Rail</t>
  </si>
  <si>
    <t>FEC_per_vehicle.kgoe.IE.Tr.Rail.Passenger</t>
  </si>
  <si>
    <t>FEC_per_vehicle.kgoe.IE.Tr.Rail.Passenger.MTU</t>
  </si>
  <si>
    <t>FEC_per_vehicle.kgoe.IE.Tr.Rail.Passenger.CPT</t>
  </si>
  <si>
    <t>FEC_per_vehicle.kgoe.IE.Tr.Rail.Passenger.CPT.Diesel</t>
  </si>
  <si>
    <t>FEC_per_vehicle.kgoe.IE.Tr.Rail.Passenger.CPT.Elc</t>
  </si>
  <si>
    <t>FEC_per_vehicle.kgoe.IE.Tr.Rail.Passenger.HST</t>
  </si>
  <si>
    <t>FEC_per_vehicle.kgoe.IE.Tr.Rail.Freight</t>
  </si>
  <si>
    <t>FEC_per_vehicle.kgoe.IE.Tr.Rail.Freight.Diesel</t>
  </si>
  <si>
    <t>FEC_per_vehicle.kgoe.IE.Tr.Rail.Freight.Elc</t>
  </si>
  <si>
    <t>Rail, metro and tram / CO2 emissions - IE - Ireland</t>
  </si>
  <si>
    <t>EMI.ktCO2.IE.ES.Tr.Rail</t>
  </si>
  <si>
    <t>EMI.ktCO2.IE.ES.Tr.Rail.Diesel</t>
  </si>
  <si>
    <t>EMI.ktCO2.IE.ES.Tr.Rail.Elec</t>
  </si>
  <si>
    <t>EMI.ktCO2.IE.Tr.Rail</t>
  </si>
  <si>
    <t>EMI.ktCO2.IE.Tr.Rail.Passenger.CPT.Diesel</t>
  </si>
  <si>
    <t>EMI.ktCO2.IE.Tr.Rail.Passenger.CPT.Elc</t>
  </si>
  <si>
    <t>EMI.ktCO2.IE.Tr.Rail.Freight.Diesel</t>
  </si>
  <si>
    <t>EMI.ktCO2.IE.Tr.Rail.Freight.Elc</t>
  </si>
  <si>
    <t>EMIint.gCO2_per_km.IE.Tr.Rail</t>
  </si>
  <si>
    <t>EMIint.gCO2_per_km.IE.Tr.Rail.Passenger</t>
  </si>
  <si>
    <t>EMIint.gCO2_per_km.IE.Tr.Rail.Passenger.MTU</t>
  </si>
  <si>
    <t>EMIint.gCO2_per_km.IE.Tr.Rail.Passenger.CPT</t>
  </si>
  <si>
    <t>EMIint.gCO2_per_km.IE.Tr.Rail.Passenger.CPT.Diesel</t>
  </si>
  <si>
    <t>EMIint.gCO2_per_km.IE.Tr.Rail.Passenger.CPT.Elc</t>
  </si>
  <si>
    <t>EMIint.gCO2_per_km.IE.Tr.Rail.Passenger.HST</t>
  </si>
  <si>
    <t>EMIint.gCO2_per_km.IE.Tr.Rail.Freight</t>
  </si>
  <si>
    <t>EMIint.gCO2_per_km.IE.Tr.Rail.Freight.Diesel</t>
  </si>
  <si>
    <t>EMIint.gCO2_per_km.IE.Tr.Rail.Freight.Elc</t>
  </si>
  <si>
    <t>EMIint.gCO2_per_pkm.IE.Tr.Rail.Passenger.CPT.Diesel</t>
  </si>
  <si>
    <t>EMIint.gCO2_per_pkm.IE.Tr.Rail.Passenger.CPT.Elc</t>
  </si>
  <si>
    <t>EMIint.gCO2_per_tkm.IE.Tr.Rail.Freight.Diesel</t>
  </si>
  <si>
    <t>EMIint.gCO2_per_tkm.IE.Tr.Rail.Freight.Elc</t>
  </si>
  <si>
    <t>EMI_per_vehicle.tCO2.IE.Tr.Rail</t>
  </si>
  <si>
    <t>EMI_per_vehicle.tCO2.IE.Tr.Rail.Passenger</t>
  </si>
  <si>
    <t>EMI_per_vehicle.tCO2.IE.Tr.Rail.Passenger.MTU</t>
  </si>
  <si>
    <t>EMI_per_vehicle.tCO2.IE.Tr.Rail.Passenger.CPT</t>
  </si>
  <si>
    <t>EMI_per_vehicle.tCO2.IE.Tr.Rail.Passenger.CPT.Diesel</t>
  </si>
  <si>
    <t>EMI_per_vehicle.tCO2.IE.Tr.Rail.Passenger.CPT.Elc</t>
  </si>
  <si>
    <t>EMI_per_vehicle.tCO2.IE.Tr.Rail.Passenger.HST</t>
  </si>
  <si>
    <t>EMI_per_vehicle.tCO2.IE.Tr.Rail.Freight</t>
  </si>
  <si>
    <t>EMI_per_vehicle.tCO2.IE.Tr.Rail.Freight.Diesel</t>
  </si>
  <si>
    <t>EMI_per_vehicle.tCO2.IE.Tr.Rail.Freight.Elc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</si>
</sst>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2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0" fontId="36" fillId="0" borderId="0" xfId="2" applyFont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  <c r="B2" s="230"/>
      <c r="C2" s="230"/>
      <c r="D2" s="230"/>
      <c r="E2" s="230"/>
      <c r="F2" s="230"/>
      <c r="G2" s="230"/>
      <c r="H2" s="230"/>
      <c r="I2" s="230"/>
      <c r="J2" s="230"/>
      <c r="K2" s="230"/>
    </row>
    <row r="3" spans="1:23" ht="15" customHeight="1" x14ac:dyDescent="0.25">
      <c r="B3" s="230"/>
      <c r="C3" s="230"/>
      <c r="D3" s="230"/>
      <c r="E3" s="230"/>
      <c r="F3" s="230"/>
      <c r="G3" s="230"/>
      <c r="H3" s="230"/>
      <c r="I3" s="230"/>
      <c r="J3" s="230"/>
      <c r="K3" s="230"/>
    </row>
    <row r="6" spans="1:23" ht="31.5" x14ac:dyDescent="0.25">
      <c r="A6" s="217"/>
      <c r="B6" s="218" t="s">
        <v>179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188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142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45967.476365740738</v>
      </c>
      <c r="M30" s="229"/>
      <c r="N30" s="229"/>
      <c r="O30" s="229"/>
      <c r="V30" s="215"/>
    </row>
    <row r="31" spans="12:32" ht="15" customHeight="1" x14ac:dyDescent="0.25">
      <c r="L31" s="221" t="s">
        <v>180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187</v>
      </c>
      <c r="B1" s="6" t="s">
        <v>188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165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6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370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55894.758770788772</v>
      </c>
      <c r="C4" s="28">
        <f t="shared" si="0"/>
        <v>59155.094480852436</v>
      </c>
      <c r="D4" s="28">
        <f t="shared" si="0"/>
        <v>60571.358808982106</v>
      </c>
      <c r="E4" s="28">
        <f t="shared" si="0"/>
        <v>62668.721247363676</v>
      </c>
      <c r="F4" s="28">
        <f t="shared" si="0"/>
        <v>66618.120476694239</v>
      </c>
      <c r="G4" s="28">
        <f t="shared" si="0"/>
        <v>71614.859407931523</v>
      </c>
      <c r="H4" s="28">
        <f t="shared" si="0"/>
        <v>76400.406123775232</v>
      </c>
      <c r="I4" s="28">
        <f t="shared" si="0"/>
        <v>80973.827666993486</v>
      </c>
      <c r="J4" s="28">
        <f t="shared" si="0"/>
        <v>81829.874727696748</v>
      </c>
      <c r="K4" s="28">
        <f t="shared" si="0"/>
        <v>78988.0146238288</v>
      </c>
      <c r="L4" s="28">
        <f t="shared" si="0"/>
        <v>75571.33813844416</v>
      </c>
      <c r="M4" s="28">
        <f t="shared" si="0"/>
        <v>75302.422421510171</v>
      </c>
      <c r="N4" s="28">
        <f t="shared" si="0"/>
        <v>74744.594832897026</v>
      </c>
      <c r="O4" s="28">
        <f t="shared" si="0"/>
        <v>77489.62877106847</v>
      </c>
      <c r="P4" s="28">
        <f t="shared" si="0"/>
        <v>78606.309654194425</v>
      </c>
      <c r="Q4" s="28">
        <f t="shared" si="0"/>
        <v>86481.777016529755</v>
      </c>
      <c r="R4" s="28">
        <f t="shared" ref="R4:V4" si="1">R5+R9+R13</f>
        <v>92785.84855606471</v>
      </c>
      <c r="S4" s="28">
        <f t="shared" si="1"/>
        <v>98078.90734745255</v>
      </c>
      <c r="T4" s="28">
        <f t="shared" si="1"/>
        <v>102700.75270817848</v>
      </c>
      <c r="U4" s="28">
        <f t="shared" si="1"/>
        <v>106091.63982650155</v>
      </c>
      <c r="V4" s="28">
        <f t="shared" si="1"/>
        <v>66167.325690577665</v>
      </c>
      <c r="W4" s="28">
        <f t="shared" ref="W4:Y4" si="2">W5+W9+W13</f>
        <v>70882.329165207848</v>
      </c>
      <c r="X4" s="28">
        <f t="shared" si="2"/>
        <v>98695.587950062953</v>
      </c>
      <c r="Y4" s="28">
        <f t="shared" si="2"/>
        <v>111022.05192656582</v>
      </c>
      <c r="DA4" s="173" t="s">
        <v>371</v>
      </c>
    </row>
    <row r="5" spans="1:105" ht="11.45" customHeight="1" x14ac:dyDescent="0.25">
      <c r="A5" s="136" t="s">
        <v>19</v>
      </c>
      <c r="B5" s="137">
        <f t="shared" ref="B5:Q5" si="3">B6+B7+B8</f>
        <v>41691.038740831435</v>
      </c>
      <c r="C5" s="137">
        <f t="shared" si="3"/>
        <v>43878.423404630812</v>
      </c>
      <c r="D5" s="137">
        <f t="shared" si="3"/>
        <v>45180.384198213811</v>
      </c>
      <c r="E5" s="137">
        <f t="shared" si="3"/>
        <v>47623.58064602044</v>
      </c>
      <c r="F5" s="137">
        <f t="shared" si="3"/>
        <v>50622.817666747454</v>
      </c>
      <c r="G5" s="137">
        <f t="shared" si="3"/>
        <v>52459.551856137557</v>
      </c>
      <c r="H5" s="137">
        <f t="shared" si="3"/>
        <v>54177.079762288398</v>
      </c>
      <c r="I5" s="137">
        <f t="shared" si="3"/>
        <v>56420.638144959703</v>
      </c>
      <c r="J5" s="137">
        <f t="shared" si="3"/>
        <v>57632.19363109066</v>
      </c>
      <c r="K5" s="137">
        <f t="shared" si="3"/>
        <v>57968.784947191147</v>
      </c>
      <c r="L5" s="137">
        <f t="shared" si="3"/>
        <v>56683.257713109044</v>
      </c>
      <c r="M5" s="137">
        <f t="shared" si="3"/>
        <v>55964.432806355537</v>
      </c>
      <c r="N5" s="137">
        <f t="shared" si="3"/>
        <v>54835.949516979192</v>
      </c>
      <c r="O5" s="137">
        <f t="shared" si="3"/>
        <v>56294.943862909713</v>
      </c>
      <c r="P5" s="137">
        <f t="shared" si="3"/>
        <v>55723.973974538399</v>
      </c>
      <c r="Q5" s="137">
        <f t="shared" si="3"/>
        <v>60554.718927382062</v>
      </c>
      <c r="R5" s="137">
        <f t="shared" ref="R5:V5" si="4">R6+R7+R8</f>
        <v>64142.327645634352</v>
      </c>
      <c r="S5" s="137">
        <f t="shared" si="4"/>
        <v>66494.558705901378</v>
      </c>
      <c r="T5" s="137">
        <f t="shared" si="4"/>
        <v>67782.356034348122</v>
      </c>
      <c r="U5" s="137">
        <f t="shared" si="4"/>
        <v>69513.374561882883</v>
      </c>
      <c r="V5" s="137">
        <f t="shared" si="4"/>
        <v>58328.478937873435</v>
      </c>
      <c r="W5" s="137">
        <f t="shared" ref="W5:Y5" si="5">W6+W7+W8</f>
        <v>62074.842545774591</v>
      </c>
      <c r="X5" s="137">
        <f t="shared" si="5"/>
        <v>67670.6897929978</v>
      </c>
      <c r="Y5" s="137">
        <f t="shared" si="5"/>
        <v>73212.772347459977</v>
      </c>
      <c r="DA5" s="174" t="s">
        <v>372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119.83874083142855</v>
      </c>
      <c r="C6" s="102">
        <f>TrRoad_act!C$5</f>
        <v>129.82340463081314</v>
      </c>
      <c r="D6" s="102">
        <f>TrRoad_act!D$5</f>
        <v>129.98419821380682</v>
      </c>
      <c r="E6" s="102">
        <f>TrRoad_act!E$5</f>
        <v>139.68064602044134</v>
      </c>
      <c r="F6" s="102">
        <f>TrRoad_act!F$5</f>
        <v>135.01766674745235</v>
      </c>
      <c r="G6" s="102">
        <f>TrRoad_act!G$5</f>
        <v>165.35185613755996</v>
      </c>
      <c r="H6" s="102">
        <f>TrRoad_act!H$5</f>
        <v>163.07976228839982</v>
      </c>
      <c r="I6" s="102">
        <f>TrRoad_act!I$5</f>
        <v>165.13814495970291</v>
      </c>
      <c r="J6" s="102">
        <f>TrRoad_act!J$5</f>
        <v>176.1936310906585</v>
      </c>
      <c r="K6" s="102">
        <f>TrRoad_act!K$5</f>
        <v>161.98494719114285</v>
      </c>
      <c r="L6" s="102">
        <f>TrRoad_act!L$5</f>
        <v>141.55771310904396</v>
      </c>
      <c r="M6" s="102">
        <f>TrRoad_act!M$5</f>
        <v>129.83280635554576</v>
      </c>
      <c r="N6" s="102">
        <f>TrRoad_act!N$5</f>
        <v>116.34951697918964</v>
      </c>
      <c r="O6" s="102">
        <f>TrRoad_act!O$5</f>
        <v>115.64386290971892</v>
      </c>
      <c r="P6" s="102">
        <f>TrRoad_act!P$5</f>
        <v>133.67397453839706</v>
      </c>
      <c r="Q6" s="102">
        <f>TrRoad_act!Q$5</f>
        <v>127.61892738206613</v>
      </c>
      <c r="R6" s="102">
        <f>TrRoad_act!R$5</f>
        <v>132.82764563435552</v>
      </c>
      <c r="S6" s="102">
        <f>TrRoad_act!S$5</f>
        <v>126.41463345974572</v>
      </c>
      <c r="T6" s="102">
        <f>TrRoad_act!T$5</f>
        <v>120.0935839076265</v>
      </c>
      <c r="U6" s="102">
        <f>TrRoad_act!U$5</f>
        <v>128.6638591196706</v>
      </c>
      <c r="V6" s="102">
        <f>TrRoad_act!V$5</f>
        <v>116.26766391536509</v>
      </c>
      <c r="W6" s="102">
        <f>TrRoad_act!W$5</f>
        <v>121.45263045438453</v>
      </c>
      <c r="X6" s="102">
        <f>TrRoad_act!X$5</f>
        <v>122.56195959347336</v>
      </c>
      <c r="Y6" s="102">
        <f>TrRoad_act!Y$5</f>
        <v>132.72362482493099</v>
      </c>
      <c r="DA6" s="175" t="s">
        <v>373</v>
      </c>
    </row>
    <row r="7" spans="1:105" ht="11.45" customHeight="1" x14ac:dyDescent="0.25">
      <c r="A7" s="128" t="str">
        <f>TrRoad_act!$A$6</f>
        <v>Passenger cars</v>
      </c>
      <c r="B7" s="102">
        <f>TrRoad_act!B$6</f>
        <v>34608.000000000007</v>
      </c>
      <c r="C7" s="102">
        <f>TrRoad_act!C$6</f>
        <v>36459</v>
      </c>
      <c r="D7" s="102">
        <f>TrRoad_act!D$6</f>
        <v>37788</v>
      </c>
      <c r="E7" s="102">
        <f>TrRoad_act!E$6</f>
        <v>39949.5</v>
      </c>
      <c r="F7" s="102">
        <f>TrRoad_act!F$6</f>
        <v>42627</v>
      </c>
      <c r="G7" s="102">
        <f>TrRoad_act!G$6</f>
        <v>44379</v>
      </c>
      <c r="H7" s="102">
        <f>TrRoad_act!H$6</f>
        <v>45990</v>
      </c>
      <c r="I7" s="102">
        <f>TrRoad_act!I$6</f>
        <v>47959.5</v>
      </c>
      <c r="J7" s="102">
        <f>TrRoad_act!J$6</f>
        <v>48888</v>
      </c>
      <c r="K7" s="102">
        <f>TrRoad_act!K$6</f>
        <v>48858</v>
      </c>
      <c r="L7" s="102">
        <f>TrRoad_act!L$6</f>
        <v>48082.5</v>
      </c>
      <c r="M7" s="102">
        <f>TrRoad_act!M$6</f>
        <v>47456.999999999993</v>
      </c>
      <c r="N7" s="102">
        <f>TrRoad_act!N$6</f>
        <v>46614</v>
      </c>
      <c r="O7" s="102">
        <f>TrRoad_act!O$6</f>
        <v>48046.499999999993</v>
      </c>
      <c r="P7" s="102">
        <f>TrRoad_act!P$6</f>
        <v>47185.500000000007</v>
      </c>
      <c r="Q7" s="102">
        <f>TrRoad_act!Q$6</f>
        <v>51913.5</v>
      </c>
      <c r="R7" s="102">
        <f>TrRoad_act!R$6</f>
        <v>55033.5</v>
      </c>
      <c r="S7" s="102">
        <f>TrRoad_act!S$6</f>
        <v>56548.944072441627</v>
      </c>
      <c r="T7" s="102">
        <f>TrRoad_act!T$6</f>
        <v>57163.062450440491</v>
      </c>
      <c r="U7" s="102">
        <f>TrRoad_act!U$6</f>
        <v>58722.310702763221</v>
      </c>
      <c r="V7" s="102">
        <f>TrRoad_act!V$6</f>
        <v>50841.011273958073</v>
      </c>
      <c r="W7" s="102">
        <f>TrRoad_act!W$6</f>
        <v>53815.48704913773</v>
      </c>
      <c r="X7" s="102">
        <f>TrRoad_act!X$6</f>
        <v>56514.578519966461</v>
      </c>
      <c r="Y7" s="102">
        <f>TrRoad_act!Y$6</f>
        <v>59839.789546509623</v>
      </c>
      <c r="DA7" s="175" t="s">
        <v>374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6963.2</v>
      </c>
      <c r="C8" s="102">
        <f>TrRoad_act!C$13</f>
        <v>7289.5999999999995</v>
      </c>
      <c r="D8" s="102">
        <f>TrRoad_act!D$13</f>
        <v>7262.4000000000015</v>
      </c>
      <c r="E8" s="102">
        <f>TrRoad_act!E$13</f>
        <v>7534.4</v>
      </c>
      <c r="F8" s="102">
        <f>TrRoad_act!F$13</f>
        <v>7860.8</v>
      </c>
      <c r="G8" s="102">
        <f>TrRoad_act!G$13</f>
        <v>7915.2</v>
      </c>
      <c r="H8" s="102">
        <f>TrRoad_act!H$13</f>
        <v>8023.9999999999991</v>
      </c>
      <c r="I8" s="102">
        <f>TrRoad_act!I$13</f>
        <v>8295.9999999999982</v>
      </c>
      <c r="J8" s="102">
        <f>TrRoad_act!J$13</f>
        <v>8568</v>
      </c>
      <c r="K8" s="102">
        <f>TrRoad_act!K$13</f>
        <v>8948.8000000000011</v>
      </c>
      <c r="L8" s="102">
        <f>TrRoad_act!L$13</f>
        <v>8459.1999999999989</v>
      </c>
      <c r="M8" s="102">
        <f>TrRoad_act!M$13</f>
        <v>8377.5999999999985</v>
      </c>
      <c r="N8" s="102">
        <f>TrRoad_act!N$13</f>
        <v>8105.6</v>
      </c>
      <c r="O8" s="102">
        <f>TrRoad_act!O$13</f>
        <v>8132.7999999999993</v>
      </c>
      <c r="P8" s="102">
        <f>TrRoad_act!P$13</f>
        <v>8404.7999999999993</v>
      </c>
      <c r="Q8" s="102">
        <f>TrRoad_act!Q$13</f>
        <v>8513.6</v>
      </c>
      <c r="R8" s="102">
        <f>TrRoad_act!R$13</f>
        <v>8976</v>
      </c>
      <c r="S8" s="102">
        <f>TrRoad_act!S$13</f>
        <v>9819.1999999999971</v>
      </c>
      <c r="T8" s="102">
        <f>TrRoad_act!T$13</f>
        <v>10499.2</v>
      </c>
      <c r="U8" s="102">
        <f>TrRoad_act!U$13</f>
        <v>10662.4</v>
      </c>
      <c r="V8" s="102">
        <f>TrRoad_act!V$13</f>
        <v>7371.2</v>
      </c>
      <c r="W8" s="102">
        <f>TrRoad_act!W$13</f>
        <v>8137.9028661824814</v>
      </c>
      <c r="X8" s="102">
        <f>TrRoad_act!X$13</f>
        <v>11033.549313437858</v>
      </c>
      <c r="Y8" s="102">
        <f>TrRoad_act!Y$13</f>
        <v>13240.25917612543</v>
      </c>
      <c r="DA8" s="175" t="s">
        <v>375</v>
      </c>
    </row>
    <row r="9" spans="1:105" ht="11.45" customHeight="1" x14ac:dyDescent="0.25">
      <c r="A9" s="109" t="s">
        <v>22</v>
      </c>
      <c r="B9" s="110">
        <f t="shared" ref="B9:Q9" si="6">B10+B11+B12</f>
        <v>1389</v>
      </c>
      <c r="C9" s="110">
        <f t="shared" si="6"/>
        <v>1515</v>
      </c>
      <c r="D9" s="110">
        <f t="shared" si="6"/>
        <v>1628</v>
      </c>
      <c r="E9" s="110">
        <f t="shared" si="6"/>
        <v>1601</v>
      </c>
      <c r="F9" s="110">
        <f t="shared" si="6"/>
        <v>1632</v>
      </c>
      <c r="G9" s="110">
        <f t="shared" si="6"/>
        <v>1891</v>
      </c>
      <c r="H9" s="110">
        <f t="shared" si="6"/>
        <v>1985.11</v>
      </c>
      <c r="I9" s="110">
        <f t="shared" si="6"/>
        <v>2182</v>
      </c>
      <c r="J9" s="110">
        <f t="shared" si="6"/>
        <v>2117</v>
      </c>
      <c r="K9" s="110">
        <f t="shared" si="6"/>
        <v>1815</v>
      </c>
      <c r="L9" s="110">
        <f t="shared" si="6"/>
        <v>1809</v>
      </c>
      <c r="M9" s="110">
        <f t="shared" si="6"/>
        <v>1776</v>
      </c>
      <c r="N9" s="110">
        <f t="shared" si="6"/>
        <v>1722</v>
      </c>
      <c r="O9" s="110">
        <f t="shared" si="6"/>
        <v>1718.82473</v>
      </c>
      <c r="P9" s="110">
        <f t="shared" si="6"/>
        <v>1888.072934</v>
      </c>
      <c r="Q9" s="110">
        <f t="shared" si="6"/>
        <v>2097.6676819999998</v>
      </c>
      <c r="R9" s="110">
        <f t="shared" ref="R9:V9" si="7">R10+R11+R12</f>
        <v>2174.5483549999999</v>
      </c>
      <c r="S9" s="110">
        <f t="shared" si="7"/>
        <v>2306.8992669999998</v>
      </c>
      <c r="T9" s="110">
        <f t="shared" si="7"/>
        <v>2598</v>
      </c>
      <c r="U9" s="110">
        <f t="shared" si="7"/>
        <v>2704.0478929999999</v>
      </c>
      <c r="V9" s="110">
        <f t="shared" si="7"/>
        <v>954.308179</v>
      </c>
      <c r="W9" s="110">
        <f t="shared" ref="W9:Y9" si="8">W10+W11+W12</f>
        <v>991.65362000000005</v>
      </c>
      <c r="X9" s="110">
        <f t="shared" si="8"/>
        <v>1912.9406778994764</v>
      </c>
      <c r="Y9" s="110">
        <f t="shared" si="8"/>
        <v>2441.1758473743453</v>
      </c>
      <c r="DA9" s="176" t="s">
        <v>376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0</v>
      </c>
      <c r="C10" s="102">
        <f>TrRail_act!C$5</f>
        <v>0</v>
      </c>
      <c r="D10" s="102">
        <f>TrRail_act!D$5</f>
        <v>0</v>
      </c>
      <c r="E10" s="102">
        <f>TrRail_act!E$5</f>
        <v>0</v>
      </c>
      <c r="F10" s="102">
        <f>TrRail_act!F$5</f>
        <v>50</v>
      </c>
      <c r="G10" s="102">
        <f>TrRail_act!G$5</f>
        <v>110</v>
      </c>
      <c r="H10" s="102">
        <f>TrRail_act!H$5</f>
        <v>113.10999999999999</v>
      </c>
      <c r="I10" s="102">
        <f>TrRail_act!I$5</f>
        <v>175</v>
      </c>
      <c r="J10" s="102">
        <f>TrRail_act!J$5</f>
        <v>141</v>
      </c>
      <c r="K10" s="102">
        <f>TrRail_act!K$5</f>
        <v>132</v>
      </c>
      <c r="L10" s="102">
        <f>TrRail_act!L$5</f>
        <v>131</v>
      </c>
      <c r="M10" s="102">
        <f>TrRail_act!M$5</f>
        <v>138</v>
      </c>
      <c r="N10" s="102">
        <f>TrRail_act!N$5</f>
        <v>144.00000000000003</v>
      </c>
      <c r="O10" s="102">
        <f>TrRail_act!O$5</f>
        <v>149.82472999999999</v>
      </c>
      <c r="P10" s="102">
        <f>TrRail_act!P$5</f>
        <v>160.072934</v>
      </c>
      <c r="Q10" s="102">
        <f>TrRail_act!Q$5</f>
        <v>179.66768199999999</v>
      </c>
      <c r="R10" s="102">
        <f>TrRail_act!R$5</f>
        <v>183.54835499999999</v>
      </c>
      <c r="S10" s="102">
        <f>TrRail_act!S$5</f>
        <v>184.89926700000001</v>
      </c>
      <c r="T10" s="102">
        <f>TrRail_act!T$5</f>
        <v>317</v>
      </c>
      <c r="U10" s="102">
        <f>TrRail_act!U$5</f>
        <v>305.04789299999999</v>
      </c>
      <c r="V10" s="102">
        <f>TrRail_act!V$5</f>
        <v>120.308179</v>
      </c>
      <c r="W10" s="102">
        <f>TrRail_act!W$5</f>
        <v>121.65362</v>
      </c>
      <c r="X10" s="102">
        <f>TrRail_act!X$5</f>
        <v>164.94067789947636</v>
      </c>
      <c r="Y10" s="102">
        <f>TrRail_act!Y$5</f>
        <v>206.17584737434547</v>
      </c>
      <c r="DA10" s="175" t="s">
        <v>377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1389</v>
      </c>
      <c r="C11" s="102">
        <f>TrRail_act!C$6</f>
        <v>1515</v>
      </c>
      <c r="D11" s="102">
        <f>TrRail_act!D$6</f>
        <v>1628</v>
      </c>
      <c r="E11" s="102">
        <f>TrRail_act!E$6</f>
        <v>1601</v>
      </c>
      <c r="F11" s="102">
        <f>TrRail_act!F$6</f>
        <v>1582</v>
      </c>
      <c r="G11" s="102">
        <f>TrRail_act!G$6</f>
        <v>1781</v>
      </c>
      <c r="H11" s="102">
        <f>TrRail_act!H$6</f>
        <v>1872</v>
      </c>
      <c r="I11" s="102">
        <f>TrRail_act!I$6</f>
        <v>2007.0000000000002</v>
      </c>
      <c r="J11" s="102">
        <f>TrRail_act!J$6</f>
        <v>1976</v>
      </c>
      <c r="K11" s="102">
        <f>TrRail_act!K$6</f>
        <v>1683</v>
      </c>
      <c r="L11" s="102">
        <f>TrRail_act!L$6</f>
        <v>1678</v>
      </c>
      <c r="M11" s="102">
        <f>TrRail_act!M$6</f>
        <v>1638</v>
      </c>
      <c r="N11" s="102">
        <f>TrRail_act!N$6</f>
        <v>1578</v>
      </c>
      <c r="O11" s="102">
        <f>TrRail_act!O$6</f>
        <v>1569</v>
      </c>
      <c r="P11" s="102">
        <f>TrRail_act!P$6</f>
        <v>1728</v>
      </c>
      <c r="Q11" s="102">
        <f>TrRail_act!Q$6</f>
        <v>1918</v>
      </c>
      <c r="R11" s="102">
        <f>TrRail_act!R$6</f>
        <v>1991</v>
      </c>
      <c r="S11" s="102">
        <f>TrRail_act!S$6</f>
        <v>2122</v>
      </c>
      <c r="T11" s="102">
        <f>TrRail_act!T$6</f>
        <v>2281</v>
      </c>
      <c r="U11" s="102">
        <f>TrRail_act!U$6</f>
        <v>2399</v>
      </c>
      <c r="V11" s="102">
        <f>TrRail_act!V$6</f>
        <v>834</v>
      </c>
      <c r="W11" s="102">
        <f>TrRail_act!W$6</f>
        <v>870</v>
      </c>
      <c r="X11" s="102">
        <f>TrRail_act!X$6</f>
        <v>1748</v>
      </c>
      <c r="Y11" s="102">
        <f>TrRail_act!Y$6</f>
        <v>2235</v>
      </c>
      <c r="DA11" s="175" t="s">
        <v>378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0</v>
      </c>
      <c r="C12" s="102">
        <f>TrRail_act!C$9</f>
        <v>0</v>
      </c>
      <c r="D12" s="102">
        <f>TrRail_act!D$9</f>
        <v>0</v>
      </c>
      <c r="E12" s="102">
        <f>TrRail_act!E$9</f>
        <v>0</v>
      </c>
      <c r="F12" s="102">
        <f>TrRail_act!F$9</f>
        <v>0</v>
      </c>
      <c r="G12" s="102">
        <f>TrRail_act!G$9</f>
        <v>0</v>
      </c>
      <c r="H12" s="102">
        <f>TrRail_act!H$9</f>
        <v>0</v>
      </c>
      <c r="I12" s="102">
        <f>TrRail_act!I$9</f>
        <v>0</v>
      </c>
      <c r="J12" s="102">
        <f>TrRail_act!J$9</f>
        <v>0</v>
      </c>
      <c r="K12" s="102">
        <f>TrRail_act!K$9</f>
        <v>0</v>
      </c>
      <c r="L12" s="102">
        <f>TrRail_act!L$9</f>
        <v>0</v>
      </c>
      <c r="M12" s="102">
        <f>TrRail_act!M$9</f>
        <v>0</v>
      </c>
      <c r="N12" s="102">
        <f>TrRail_act!N$9</f>
        <v>0</v>
      </c>
      <c r="O12" s="102">
        <f>TrRail_act!O$9</f>
        <v>0</v>
      </c>
      <c r="P12" s="102">
        <f>TrRail_act!P$9</f>
        <v>0</v>
      </c>
      <c r="Q12" s="102">
        <f>TrRail_act!Q$9</f>
        <v>0</v>
      </c>
      <c r="R12" s="102">
        <f>TrRail_act!R$9</f>
        <v>0</v>
      </c>
      <c r="S12" s="102">
        <f>TrRail_act!S$9</f>
        <v>0</v>
      </c>
      <c r="T12" s="102">
        <f>TrRail_act!T$9</f>
        <v>0</v>
      </c>
      <c r="U12" s="102">
        <f>TrRail_act!U$9</f>
        <v>0</v>
      </c>
      <c r="V12" s="102">
        <f>TrRail_act!V$9</f>
        <v>0</v>
      </c>
      <c r="W12" s="102">
        <f>TrRail_act!W$9</f>
        <v>0</v>
      </c>
      <c r="X12" s="102">
        <f>TrRail_act!X$9</f>
        <v>0</v>
      </c>
      <c r="Y12" s="102">
        <f>TrRail_act!Y$9</f>
        <v>0</v>
      </c>
      <c r="DA12" s="175" t="s">
        <v>379</v>
      </c>
    </row>
    <row r="13" spans="1:105" ht="11.45" customHeight="1" x14ac:dyDescent="0.25">
      <c r="A13" s="109" t="s">
        <v>26</v>
      </c>
      <c r="B13" s="110">
        <f t="shared" ref="B13" si="9">B14+B15+B16</f>
        <v>12814.720029957334</v>
      </c>
      <c r="C13" s="110">
        <f t="shared" ref="C13:V13" si="10">C14+C15+C16</f>
        <v>13761.671076221628</v>
      </c>
      <c r="D13" s="110">
        <f t="shared" si="10"/>
        <v>13762.974610768295</v>
      </c>
      <c r="E13" s="110">
        <f t="shared" si="10"/>
        <v>13444.140601343239</v>
      </c>
      <c r="F13" s="110">
        <f t="shared" si="10"/>
        <v>14363.302809946783</v>
      </c>
      <c r="G13" s="110">
        <f t="shared" si="10"/>
        <v>17264.307551793965</v>
      </c>
      <c r="H13" s="110">
        <f t="shared" si="10"/>
        <v>20238.21636148684</v>
      </c>
      <c r="I13" s="110">
        <f t="shared" si="10"/>
        <v>22371.189522033776</v>
      </c>
      <c r="J13" s="110">
        <f t="shared" si="10"/>
        <v>22080.681096606091</v>
      </c>
      <c r="K13" s="110">
        <f t="shared" si="10"/>
        <v>19204.229676637657</v>
      </c>
      <c r="L13" s="110">
        <f t="shared" si="10"/>
        <v>17079.08042533512</v>
      </c>
      <c r="M13" s="110">
        <f t="shared" si="10"/>
        <v>17561.989615154631</v>
      </c>
      <c r="N13" s="110">
        <f t="shared" si="10"/>
        <v>18186.645315917838</v>
      </c>
      <c r="O13" s="110">
        <f t="shared" si="10"/>
        <v>19475.860178158764</v>
      </c>
      <c r="P13" s="110">
        <f t="shared" si="10"/>
        <v>20994.262745656022</v>
      </c>
      <c r="Q13" s="110">
        <f t="shared" si="10"/>
        <v>23829.390407147701</v>
      </c>
      <c r="R13" s="110">
        <f t="shared" si="10"/>
        <v>26468.972555430359</v>
      </c>
      <c r="S13" s="110">
        <f t="shared" si="10"/>
        <v>29277.449374551172</v>
      </c>
      <c r="T13" s="110">
        <f t="shared" si="10"/>
        <v>32320.396673830361</v>
      </c>
      <c r="U13" s="110">
        <f t="shared" si="10"/>
        <v>33874.217371618659</v>
      </c>
      <c r="V13" s="110">
        <f t="shared" si="10"/>
        <v>6884.5385737042325</v>
      </c>
      <c r="W13" s="110">
        <f t="shared" ref="W13:Y13" si="11">W14+W15+W16</f>
        <v>7815.8329994332562</v>
      </c>
      <c r="X13" s="110">
        <f t="shared" si="11"/>
        <v>29111.957479165681</v>
      </c>
      <c r="Y13" s="110">
        <f t="shared" si="11"/>
        <v>35368.103731731513</v>
      </c>
      <c r="DA13" s="176" t="s">
        <v>190</v>
      </c>
    </row>
    <row r="14" spans="1:105" ht="11.45" customHeight="1" x14ac:dyDescent="0.25">
      <c r="A14" s="128" t="s">
        <v>27</v>
      </c>
      <c r="B14" s="102">
        <f>TrAvia_act!B$5</f>
        <v>245.73412033339051</v>
      </c>
      <c r="C14" s="102">
        <f>TrAvia_act!C$5</f>
        <v>249.05898476026834</v>
      </c>
      <c r="D14" s="102">
        <f>TrAvia_act!D$5</f>
        <v>225.64806440419483</v>
      </c>
      <c r="E14" s="102">
        <f>TrAvia_act!E$5</f>
        <v>237.33610979187884</v>
      </c>
      <c r="F14" s="102">
        <f>TrAvia_act!F$5</f>
        <v>233.52254281072709</v>
      </c>
      <c r="G14" s="102">
        <f>TrAvia_act!G$5</f>
        <v>276.9831706378057</v>
      </c>
      <c r="H14" s="102">
        <f>TrAvia_act!H$5</f>
        <v>343.41446379437986</v>
      </c>
      <c r="I14" s="102">
        <f>TrAvia_act!I$5</f>
        <v>309.37764662229557</v>
      </c>
      <c r="J14" s="102">
        <f>TrAvia_act!J$5</f>
        <v>264.86850526378174</v>
      </c>
      <c r="K14" s="102">
        <f>TrAvia_act!K$5</f>
        <v>188.63035433972465</v>
      </c>
      <c r="L14" s="102">
        <f>TrAvia_act!L$5</f>
        <v>99.506218488245452</v>
      </c>
      <c r="M14" s="102">
        <f>TrAvia_act!M$5</f>
        <v>26.751918972235639</v>
      </c>
      <c r="N14" s="102">
        <f>TrAvia_act!N$5</f>
        <v>13.479765788634564</v>
      </c>
      <c r="O14" s="102">
        <f>TrAvia_act!O$5</f>
        <v>16.108024700834822</v>
      </c>
      <c r="P14" s="102">
        <f>TrAvia_act!P$5</f>
        <v>14.907907873068609</v>
      </c>
      <c r="Q14" s="102">
        <f>TrAvia_act!Q$5</f>
        <v>17.990402728831125</v>
      </c>
      <c r="R14" s="102">
        <f>TrAvia_act!R$5</f>
        <v>19.760527936014345</v>
      </c>
      <c r="S14" s="102">
        <f>TrAvia_act!S$5</f>
        <v>20.589595722608077</v>
      </c>
      <c r="T14" s="102">
        <f>TrAvia_act!T$5</f>
        <v>23.793713005766833</v>
      </c>
      <c r="U14" s="102">
        <f>TrAvia_act!U$5</f>
        <v>23.034374435747623</v>
      </c>
      <c r="V14" s="102">
        <f>TrAvia_act!V$5</f>
        <v>6.7253410130237876</v>
      </c>
      <c r="W14" s="102">
        <f>TrAvia_act!W$5</f>
        <v>9.2414973405380128</v>
      </c>
      <c r="X14" s="102">
        <f>TrAvia_act!X$5</f>
        <v>30.821302578302994</v>
      </c>
      <c r="Y14" s="102">
        <f>TrAvia_act!Y$5</f>
        <v>38.247384420580495</v>
      </c>
      <c r="DA14" s="175" t="s">
        <v>191</v>
      </c>
    </row>
    <row r="15" spans="1:105" ht="11.45" customHeight="1" x14ac:dyDescent="0.25">
      <c r="A15" s="128" t="s">
        <v>181</v>
      </c>
      <c r="B15" s="102">
        <f>TrAvia_act!B$6</f>
        <v>7668.8404926758112</v>
      </c>
      <c r="C15" s="102">
        <f>TrAvia_act!C$6</f>
        <v>8502.3181043663244</v>
      </c>
      <c r="D15" s="102">
        <f>TrAvia_act!D$6</f>
        <v>8736.7661393831604</v>
      </c>
      <c r="E15" s="102">
        <f>TrAvia_act!E$6</f>
        <v>9093.1447975390565</v>
      </c>
      <c r="F15" s="102">
        <f>TrAvia_act!F$6</f>
        <v>9732.4594460282951</v>
      </c>
      <c r="G15" s="102">
        <f>TrAvia_act!G$6</f>
        <v>11914.056674155147</v>
      </c>
      <c r="H15" s="102">
        <f>TrAvia_act!H$6</f>
        <v>13950.142133688358</v>
      </c>
      <c r="I15" s="102">
        <f>TrAvia_act!I$6</f>
        <v>15345.303028991928</v>
      </c>
      <c r="J15" s="102">
        <f>TrAvia_act!J$6</f>
        <v>14841.605846672781</v>
      </c>
      <c r="K15" s="102">
        <f>TrAvia_act!K$6</f>
        <v>12778.658974458742</v>
      </c>
      <c r="L15" s="102">
        <f>TrAvia_act!L$6</f>
        <v>11293.195456391419</v>
      </c>
      <c r="M15" s="102">
        <f>TrAvia_act!M$6</f>
        <v>11597.892981896754</v>
      </c>
      <c r="N15" s="102">
        <f>TrAvia_act!N$6</f>
        <v>11593.149335013204</v>
      </c>
      <c r="O15" s="102">
        <f>TrAvia_act!O$6</f>
        <v>11897.021892234992</v>
      </c>
      <c r="P15" s="102">
        <f>TrAvia_act!P$6</f>
        <v>12263.52061523034</v>
      </c>
      <c r="Q15" s="102">
        <f>TrAvia_act!Q$6</f>
        <v>13576.750423302496</v>
      </c>
      <c r="R15" s="102">
        <f>TrAvia_act!R$6</f>
        <v>15257.215266237989</v>
      </c>
      <c r="S15" s="102">
        <f>TrAvia_act!S$6</f>
        <v>16115.345813921173</v>
      </c>
      <c r="T15" s="102">
        <f>TrAvia_act!T$6</f>
        <v>16930.110034368987</v>
      </c>
      <c r="U15" s="102">
        <f>TrAvia_act!U$6</f>
        <v>18067.230483901531</v>
      </c>
      <c r="V15" s="102">
        <f>TrAvia_act!V$6</f>
        <v>4237.6889224334373</v>
      </c>
      <c r="W15" s="102">
        <f>TrAvia_act!W$6</f>
        <v>5325.5893885933738</v>
      </c>
      <c r="X15" s="102">
        <f>TrAvia_act!X$6</f>
        <v>16268.463063008623</v>
      </c>
      <c r="Y15" s="102">
        <f>TrAvia_act!Y$6</f>
        <v>19124.550542589928</v>
      </c>
      <c r="DA15" s="175" t="s">
        <v>192</v>
      </c>
    </row>
    <row r="16" spans="1:105" ht="11.45" customHeight="1" x14ac:dyDescent="0.25">
      <c r="A16" s="128" t="s">
        <v>182</v>
      </c>
      <c r="B16" s="102">
        <f>TrAvia_act!B$7</f>
        <v>4900.1454169481322</v>
      </c>
      <c r="C16" s="102">
        <f>TrAvia_act!C$7</f>
        <v>5010.2939870950358</v>
      </c>
      <c r="D16" s="102">
        <f>TrAvia_act!D$7</f>
        <v>4800.5604069809388</v>
      </c>
      <c r="E16" s="102">
        <f>TrAvia_act!E$7</f>
        <v>4113.6596940123027</v>
      </c>
      <c r="F16" s="102">
        <f>TrAvia_act!F$7</f>
        <v>4397.3208211077599</v>
      </c>
      <c r="G16" s="102">
        <f>TrAvia_act!G$7</f>
        <v>5073.2677070010122</v>
      </c>
      <c r="H16" s="102">
        <f>TrAvia_act!H$7</f>
        <v>5944.6597640041036</v>
      </c>
      <c r="I16" s="102">
        <f>TrAvia_act!I$7</f>
        <v>6716.5088464195514</v>
      </c>
      <c r="J16" s="102">
        <f>TrAvia_act!J$7</f>
        <v>6974.2067446695282</v>
      </c>
      <c r="K16" s="102">
        <f>TrAvia_act!K$7</f>
        <v>6236.9403478391896</v>
      </c>
      <c r="L16" s="102">
        <f>TrAvia_act!L$7</f>
        <v>5686.3787504554557</v>
      </c>
      <c r="M16" s="102">
        <f>TrAvia_act!M$7</f>
        <v>5937.344714285643</v>
      </c>
      <c r="N16" s="102">
        <f>TrAvia_act!N$7</f>
        <v>6580.0162151159993</v>
      </c>
      <c r="O16" s="102">
        <f>TrAvia_act!O$7</f>
        <v>7562.7302612229369</v>
      </c>
      <c r="P16" s="102">
        <f>TrAvia_act!P$7</f>
        <v>8715.8342225526158</v>
      </c>
      <c r="Q16" s="102">
        <f>TrAvia_act!Q$7</f>
        <v>10234.649581116373</v>
      </c>
      <c r="R16" s="102">
        <f>TrAvia_act!R$7</f>
        <v>11191.996761256356</v>
      </c>
      <c r="S16" s="102">
        <f>TrAvia_act!S$7</f>
        <v>13141.513964907392</v>
      </c>
      <c r="T16" s="102">
        <f>TrAvia_act!T$7</f>
        <v>15366.492926455609</v>
      </c>
      <c r="U16" s="102">
        <f>TrAvia_act!U$7</f>
        <v>15783.952513281378</v>
      </c>
      <c r="V16" s="102">
        <f>TrAvia_act!V$7</f>
        <v>2640.1243102577714</v>
      </c>
      <c r="W16" s="102">
        <f>TrAvia_act!W$7</f>
        <v>2481.0021134993444</v>
      </c>
      <c r="X16" s="102">
        <f>TrAvia_act!X$7</f>
        <v>12812.673113578756</v>
      </c>
      <c r="Y16" s="102">
        <f>TrAvia_act!Y$7</f>
        <v>16205.305804721005</v>
      </c>
      <c r="DA16" s="175" t="s">
        <v>193</v>
      </c>
    </row>
    <row r="17" spans="1:105" ht="11.45" customHeight="1" x14ac:dyDescent="0.25">
      <c r="A17" s="27" t="s">
        <v>28</v>
      </c>
      <c r="B17" s="28">
        <f t="shared" ref="B17:Q17" si="12">B18+B21+B22+B26</f>
        <v>11874.358705246759</v>
      </c>
      <c r="C17" s="28">
        <f t="shared" si="12"/>
        <v>12876.10600774643</v>
      </c>
      <c r="D17" s="28">
        <f t="shared" si="12"/>
        <v>14537.910921336113</v>
      </c>
      <c r="E17" s="28">
        <f t="shared" si="12"/>
        <v>15887.449140650546</v>
      </c>
      <c r="F17" s="28">
        <f t="shared" si="12"/>
        <v>17524.380151194408</v>
      </c>
      <c r="G17" s="28">
        <f t="shared" si="12"/>
        <v>18443.436739273711</v>
      </c>
      <c r="H17" s="28">
        <f t="shared" si="12"/>
        <v>18451.162270449175</v>
      </c>
      <c r="I17" s="28">
        <f t="shared" si="12"/>
        <v>19235.369970839896</v>
      </c>
      <c r="J17" s="28">
        <f t="shared" si="12"/>
        <v>17818.606572090099</v>
      </c>
      <c r="K17" s="28">
        <f t="shared" si="12"/>
        <v>12657.693769404259</v>
      </c>
      <c r="L17" s="28">
        <f t="shared" si="12"/>
        <v>12396.831724239226</v>
      </c>
      <c r="M17" s="28">
        <f t="shared" si="12"/>
        <v>11789.995379580219</v>
      </c>
      <c r="N17" s="28">
        <f t="shared" si="12"/>
        <v>11578.66649003259</v>
      </c>
      <c r="O17" s="28">
        <f t="shared" si="12"/>
        <v>11323.577451854513</v>
      </c>
      <c r="P17" s="28">
        <f t="shared" si="12"/>
        <v>11730.980564771933</v>
      </c>
      <c r="Q17" s="28">
        <f t="shared" si="12"/>
        <v>11819.166050876958</v>
      </c>
      <c r="R17" s="28">
        <f t="shared" ref="R17:V17" si="13">R18+R21+R22+R26</f>
        <v>13128.755565123554</v>
      </c>
      <c r="S17" s="28">
        <f t="shared" si="13"/>
        <v>13197.3909376723</v>
      </c>
      <c r="T17" s="28">
        <f t="shared" si="13"/>
        <v>13421.722278174178</v>
      </c>
      <c r="U17" s="28">
        <f t="shared" si="13"/>
        <v>14173.990825797697</v>
      </c>
      <c r="V17" s="28">
        <f t="shared" si="13"/>
        <v>12128.448001409048</v>
      </c>
      <c r="W17" s="28">
        <f t="shared" ref="W17:Y17" si="14">W18+W21+W22+W26</f>
        <v>13449.552878840484</v>
      </c>
      <c r="X17" s="28">
        <f t="shared" si="14"/>
        <v>13439.413844685694</v>
      </c>
      <c r="Y17" s="28">
        <f t="shared" si="14"/>
        <v>13830.720005121599</v>
      </c>
      <c r="DA17" s="173" t="s">
        <v>380</v>
      </c>
    </row>
    <row r="18" spans="1:105" ht="11.45" customHeight="1" x14ac:dyDescent="0.25">
      <c r="A18" s="136" t="s">
        <v>19</v>
      </c>
      <c r="B18" s="137">
        <f t="shared" ref="B18:Q18" si="15">B19+B20</f>
        <v>11131.218040188469</v>
      </c>
      <c r="C18" s="137">
        <f t="shared" si="15"/>
        <v>12131.601479531972</v>
      </c>
      <c r="D18" s="137">
        <f t="shared" si="15"/>
        <v>13940.037527784869</v>
      </c>
      <c r="E18" s="137">
        <f t="shared" si="15"/>
        <v>15301.547064532197</v>
      </c>
      <c r="F18" s="137">
        <f t="shared" si="15"/>
        <v>16927.266937830449</v>
      </c>
      <c r="G18" s="137">
        <f t="shared" si="15"/>
        <v>17892.12050110571</v>
      </c>
      <c r="H18" s="137">
        <f t="shared" si="15"/>
        <v>17958.530251643566</v>
      </c>
      <c r="I18" s="137">
        <f t="shared" si="15"/>
        <v>18828.46395078344</v>
      </c>
      <c r="J18" s="137">
        <f t="shared" si="15"/>
        <v>17440.817548804021</v>
      </c>
      <c r="K18" s="137">
        <f t="shared" si="15"/>
        <v>12320.300611393221</v>
      </c>
      <c r="L18" s="137">
        <f t="shared" si="15"/>
        <v>12034.252742835679</v>
      </c>
      <c r="M18" s="137">
        <f t="shared" si="15"/>
        <v>11360.030588572878</v>
      </c>
      <c r="N18" s="137">
        <f t="shared" si="15"/>
        <v>11033.733620633073</v>
      </c>
      <c r="O18" s="137">
        <f t="shared" si="15"/>
        <v>10825.563842676444</v>
      </c>
      <c r="P18" s="137">
        <f t="shared" si="15"/>
        <v>11227.30126070133</v>
      </c>
      <c r="Q18" s="137">
        <f t="shared" si="15"/>
        <v>11326.362845431577</v>
      </c>
      <c r="R18" s="137">
        <f t="shared" ref="R18:V18" si="16">R19+R20</f>
        <v>12652.907070139909</v>
      </c>
      <c r="S18" s="137">
        <f t="shared" si="16"/>
        <v>12656.789855240633</v>
      </c>
      <c r="T18" s="137">
        <f t="shared" si="16"/>
        <v>12893.037354449338</v>
      </c>
      <c r="U18" s="137">
        <f t="shared" si="16"/>
        <v>13663.777645566119</v>
      </c>
      <c r="V18" s="137">
        <f t="shared" si="16"/>
        <v>11654.231861866556</v>
      </c>
      <c r="W18" s="137">
        <f t="shared" ref="W18:Y18" si="17">W19+W20</f>
        <v>12917.224492630494</v>
      </c>
      <c r="X18" s="137">
        <f t="shared" si="17"/>
        <v>12897.627768908773</v>
      </c>
      <c r="Y18" s="137">
        <f t="shared" si="17"/>
        <v>13310.798798064581</v>
      </c>
      <c r="DA18" s="174" t="s">
        <v>381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1617.0775601749015</v>
      </c>
      <c r="C19" s="102">
        <f>TrRoad_act!C$20</f>
        <v>1748.6470705437418</v>
      </c>
      <c r="D19" s="102">
        <f>TrRoad_act!D$20</f>
        <v>1873.6215710614629</v>
      </c>
      <c r="E19" s="102">
        <f>TrRoad_act!E$20</f>
        <v>2009.4867662832255</v>
      </c>
      <c r="F19" s="102">
        <f>TrRoad_act!F$20</f>
        <v>2136.3317192962159</v>
      </c>
      <c r="G19" s="102">
        <f>TrRoad_act!G$20</f>
        <v>2279.5014257618795</v>
      </c>
      <c r="H19" s="102">
        <f>TrRoad_act!H$20</f>
        <v>2443.1998601008399</v>
      </c>
      <c r="I19" s="102">
        <f>TrRoad_act!I$20</f>
        <v>2581.4918531908847</v>
      </c>
      <c r="J19" s="102">
        <f>TrRoad_act!J$20</f>
        <v>2593.8131756908369</v>
      </c>
      <c r="K19" s="102">
        <f>TrRoad_act!K$20</f>
        <v>2506.033691759681</v>
      </c>
      <c r="L19" s="102">
        <f>TrRoad_act!L$20</f>
        <v>2378.4274489392592</v>
      </c>
      <c r="M19" s="102">
        <f>TrRoad_act!M$20</f>
        <v>2329.4249474074259</v>
      </c>
      <c r="N19" s="102">
        <f>TrRoad_act!N$20</f>
        <v>2216.6449434775323</v>
      </c>
      <c r="O19" s="102">
        <f>TrRoad_act!O$20</f>
        <v>2271.9757227580758</v>
      </c>
      <c r="P19" s="102">
        <f>TrRoad_act!P$20</f>
        <v>2215.7453594922345</v>
      </c>
      <c r="Q19" s="102">
        <f>TrRoad_act!Q$20</f>
        <v>2107.1300225479276</v>
      </c>
      <c r="R19" s="102">
        <f>TrRoad_act!R$20</f>
        <v>2063.4010575801858</v>
      </c>
      <c r="S19" s="102">
        <f>TrRoad_act!S$20</f>
        <v>2045.9021024835129</v>
      </c>
      <c r="T19" s="102">
        <f>TrRoad_act!T$20</f>
        <v>2064.0373544493386</v>
      </c>
      <c r="U19" s="102">
        <f>TrRoad_act!U$20</f>
        <v>2037.7776455661194</v>
      </c>
      <c r="V19" s="102">
        <f>TrRoad_act!V$20</f>
        <v>2009.2318618665563</v>
      </c>
      <c r="W19" s="102">
        <f>TrRoad_act!W$20</f>
        <v>2072.2244926304934</v>
      </c>
      <c r="X19" s="102">
        <f>TrRoad_act!X$20</f>
        <v>2134.6277689087729</v>
      </c>
      <c r="Y19" s="102">
        <f>TrRoad_act!Y$20</f>
        <v>2250.7987980645817</v>
      </c>
      <c r="DA19" s="175" t="s">
        <v>382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9514.1404800135679</v>
      </c>
      <c r="C20" s="102">
        <f>TrRoad_act!C$26</f>
        <v>10382.954408988229</v>
      </c>
      <c r="D20" s="102">
        <f>TrRoad_act!D$26</f>
        <v>12066.415956723406</v>
      </c>
      <c r="E20" s="102">
        <f>TrRoad_act!E$26</f>
        <v>13292.060298248971</v>
      </c>
      <c r="F20" s="102">
        <f>TrRoad_act!F$26</f>
        <v>14790.935218534232</v>
      </c>
      <c r="G20" s="102">
        <f>TrRoad_act!G$26</f>
        <v>15612.61907534383</v>
      </c>
      <c r="H20" s="102">
        <f>TrRoad_act!H$26</f>
        <v>15515.330391542726</v>
      </c>
      <c r="I20" s="102">
        <f>TrRoad_act!I$26</f>
        <v>16246.972097592554</v>
      </c>
      <c r="J20" s="102">
        <f>TrRoad_act!J$26</f>
        <v>14847.004373113185</v>
      </c>
      <c r="K20" s="102">
        <f>TrRoad_act!K$26</f>
        <v>9814.2669196335391</v>
      </c>
      <c r="L20" s="102">
        <f>TrRoad_act!L$26</f>
        <v>9655.8252938964197</v>
      </c>
      <c r="M20" s="102">
        <f>TrRoad_act!M$26</f>
        <v>9030.6056411654517</v>
      </c>
      <c r="N20" s="102">
        <f>TrRoad_act!N$26</f>
        <v>8817.0886771555397</v>
      </c>
      <c r="O20" s="102">
        <f>TrRoad_act!O$26</f>
        <v>8553.5881199183677</v>
      </c>
      <c r="P20" s="102">
        <f>TrRoad_act!P$26</f>
        <v>9011.5559012090944</v>
      </c>
      <c r="Q20" s="102">
        <f>TrRoad_act!Q$26</f>
        <v>9219.2328228836486</v>
      </c>
      <c r="R20" s="102">
        <f>TrRoad_act!R$26</f>
        <v>10589.506012559723</v>
      </c>
      <c r="S20" s="102">
        <f>TrRoad_act!S$26</f>
        <v>10610.88775275712</v>
      </c>
      <c r="T20" s="102">
        <f>TrRoad_act!T$26</f>
        <v>10829</v>
      </c>
      <c r="U20" s="102">
        <f>TrRoad_act!U$26</f>
        <v>11626</v>
      </c>
      <c r="V20" s="102">
        <f>TrRoad_act!V$26</f>
        <v>9645</v>
      </c>
      <c r="W20" s="102">
        <f>TrRoad_act!W$26</f>
        <v>10845</v>
      </c>
      <c r="X20" s="102">
        <f>TrRoad_act!X$26</f>
        <v>10763</v>
      </c>
      <c r="Y20" s="102">
        <f>TrRoad_act!Y$26</f>
        <v>11060</v>
      </c>
      <c r="DA20" s="175" t="s">
        <v>383</v>
      </c>
    </row>
    <row r="21" spans="1:105" ht="11.45" customHeight="1" x14ac:dyDescent="0.25">
      <c r="A21" s="109" t="s">
        <v>29</v>
      </c>
      <c r="B21" s="110">
        <f>TrRail_act!B$10</f>
        <v>491.00000000000006</v>
      </c>
      <c r="C21" s="110">
        <f>TrRail_act!C$10</f>
        <v>516</v>
      </c>
      <c r="D21" s="110">
        <f>TrRail_act!D$10</f>
        <v>426</v>
      </c>
      <c r="E21" s="110">
        <f>TrRail_act!E$10</f>
        <v>398</v>
      </c>
      <c r="F21" s="110">
        <f>TrRail_act!F$10</f>
        <v>399</v>
      </c>
      <c r="G21" s="110">
        <f>TrRail_act!G$10</f>
        <v>303</v>
      </c>
      <c r="H21" s="110">
        <f>TrRail_act!H$10</f>
        <v>205</v>
      </c>
      <c r="I21" s="110">
        <f>TrRail_act!I$10</f>
        <v>129</v>
      </c>
      <c r="J21" s="110">
        <f>TrRail_act!J$10</f>
        <v>103</v>
      </c>
      <c r="K21" s="110">
        <f>TrRail_act!K$10</f>
        <v>79</v>
      </c>
      <c r="L21" s="110">
        <f>TrRail_act!L$10</f>
        <v>92</v>
      </c>
      <c r="M21" s="110">
        <f>TrRail_act!M$10</f>
        <v>105</v>
      </c>
      <c r="N21" s="110">
        <f>TrRail_act!N$10</f>
        <v>91</v>
      </c>
      <c r="O21" s="110">
        <f>TrRail_act!O$10</f>
        <v>99</v>
      </c>
      <c r="P21" s="110">
        <f>TrRail_act!P$10</f>
        <v>100</v>
      </c>
      <c r="Q21" s="110">
        <f>TrRail_act!Q$10</f>
        <v>96</v>
      </c>
      <c r="R21" s="110">
        <f>TrRail_act!R$10</f>
        <v>101</v>
      </c>
      <c r="S21" s="110">
        <f>TrRail_act!S$10</f>
        <v>100</v>
      </c>
      <c r="T21" s="110">
        <f>TrRail_act!T$10</f>
        <v>89</v>
      </c>
      <c r="U21" s="110">
        <f>TrRail_act!U$10</f>
        <v>72</v>
      </c>
      <c r="V21" s="110">
        <f>TrRail_act!V$10</f>
        <v>74</v>
      </c>
      <c r="W21" s="110">
        <f>TrRail_act!W$10</f>
        <v>70</v>
      </c>
      <c r="X21" s="110">
        <f>TrRail_act!X$10</f>
        <v>81</v>
      </c>
      <c r="Y21" s="110">
        <f>TrRail_act!Y$10</f>
        <v>76</v>
      </c>
      <c r="DA21" s="176" t="s">
        <v>384</v>
      </c>
    </row>
    <row r="22" spans="1:105" ht="11.45" customHeight="1" x14ac:dyDescent="0.25">
      <c r="A22" s="109" t="s">
        <v>26</v>
      </c>
      <c r="B22" s="110">
        <f t="shared" ref="B22" si="18">B23+B24+B25</f>
        <v>60.041665058289638</v>
      </c>
      <c r="C22" s="110">
        <f t="shared" ref="C22:V22" si="19">C23+C24+C25</f>
        <v>61.546528214457709</v>
      </c>
      <c r="D22" s="110">
        <f t="shared" si="19"/>
        <v>54.919393551244923</v>
      </c>
      <c r="E22" s="110">
        <f t="shared" si="19"/>
        <v>57.336076118348672</v>
      </c>
      <c r="F22" s="110">
        <f t="shared" si="19"/>
        <v>88.243213363960422</v>
      </c>
      <c r="G22" s="110">
        <f t="shared" si="19"/>
        <v>100.5262381679989</v>
      </c>
      <c r="H22" s="110">
        <f t="shared" si="19"/>
        <v>140.95401880560911</v>
      </c>
      <c r="I22" s="110">
        <f t="shared" si="19"/>
        <v>145.25602005645655</v>
      </c>
      <c r="J22" s="110">
        <f t="shared" si="19"/>
        <v>134.2220232860777</v>
      </c>
      <c r="K22" s="110">
        <f t="shared" si="19"/>
        <v>108.93715801103873</v>
      </c>
      <c r="L22" s="110">
        <f t="shared" si="19"/>
        <v>135.84598140354763</v>
      </c>
      <c r="M22" s="110">
        <f t="shared" si="19"/>
        <v>125.92079100734264</v>
      </c>
      <c r="N22" s="110">
        <f t="shared" si="19"/>
        <v>161.54786939951828</v>
      </c>
      <c r="O22" s="110">
        <f t="shared" si="19"/>
        <v>169.68960917806925</v>
      </c>
      <c r="P22" s="110">
        <f t="shared" si="19"/>
        <v>199.49630407060241</v>
      </c>
      <c r="Q22" s="110">
        <f t="shared" si="19"/>
        <v>232.62320544538193</v>
      </c>
      <c r="R22" s="110">
        <f t="shared" si="19"/>
        <v>234.42049498364497</v>
      </c>
      <c r="S22" s="110">
        <f t="shared" si="19"/>
        <v>312.11808243166735</v>
      </c>
      <c r="T22" s="110">
        <f t="shared" si="19"/>
        <v>274.11592372484034</v>
      </c>
      <c r="U22" s="110">
        <f t="shared" si="19"/>
        <v>239.30818023157656</v>
      </c>
      <c r="V22" s="110">
        <f t="shared" si="19"/>
        <v>198.6721395424922</v>
      </c>
      <c r="W22" s="110">
        <f t="shared" ref="W22:Y22" si="20">W23+W24+W25</f>
        <v>238.83838620999143</v>
      </c>
      <c r="X22" s="110">
        <f t="shared" si="20"/>
        <v>283.5500757769197</v>
      </c>
      <c r="Y22" s="110">
        <f t="shared" si="20"/>
        <v>283.6302070570182</v>
      </c>
      <c r="DA22" s="176" t="s">
        <v>194</v>
      </c>
    </row>
    <row r="23" spans="1:105" ht="11.45" customHeight="1" x14ac:dyDescent="0.25">
      <c r="A23" s="128" t="s">
        <v>27</v>
      </c>
      <c r="B23" s="102">
        <f>TrAvia_act!B$9</f>
        <v>1.2693078783174991</v>
      </c>
      <c r="C23" s="102">
        <f>TrAvia_act!C$9</f>
        <v>1.2459149109223917</v>
      </c>
      <c r="D23" s="102">
        <f>TrAvia_act!D$9</f>
        <v>0.92867523121181184</v>
      </c>
      <c r="E23" s="102">
        <f>TrAvia_act!E$9</f>
        <v>0.96425468695175909</v>
      </c>
      <c r="F23" s="102">
        <f>TrAvia_act!F$9</f>
        <v>1.7736140678104839</v>
      </c>
      <c r="G23" s="102">
        <f>TrAvia_act!G$9</f>
        <v>2.3867990970670019</v>
      </c>
      <c r="H23" s="102">
        <f>TrAvia_act!H$9</f>
        <v>3.4532228054313281</v>
      </c>
      <c r="I23" s="102">
        <f>TrAvia_act!I$9</f>
        <v>2.9678396522718145</v>
      </c>
      <c r="J23" s="102">
        <f>TrAvia_act!J$9</f>
        <v>2.244094586850153</v>
      </c>
      <c r="K23" s="102">
        <f>TrAvia_act!K$9</f>
        <v>2.1235085211950602</v>
      </c>
      <c r="L23" s="102">
        <f>TrAvia_act!L$9</f>
        <v>2.0344623502714345</v>
      </c>
      <c r="M23" s="102">
        <f>TrAvia_act!M$9</f>
        <v>1.3762870659734221</v>
      </c>
      <c r="N23" s="102">
        <f>TrAvia_act!N$9</f>
        <v>1.3105977964633349</v>
      </c>
      <c r="O23" s="102">
        <f>TrAvia_act!O$9</f>
        <v>1.2320551534461681</v>
      </c>
      <c r="P23" s="102">
        <f>TrAvia_act!P$9</f>
        <v>1.0351812203324084</v>
      </c>
      <c r="Q23" s="102">
        <f>TrAvia_act!Q$9</f>
        <v>1.0989454259330562</v>
      </c>
      <c r="R23" s="102">
        <f>TrAvia_act!R$9</f>
        <v>1.0231411723018398</v>
      </c>
      <c r="S23" s="102">
        <f>TrAvia_act!S$9</f>
        <v>1.1964972792833044</v>
      </c>
      <c r="T23" s="102">
        <f>TrAvia_act!T$9</f>
        <v>1.2270856843379743</v>
      </c>
      <c r="U23" s="102">
        <f>TrAvia_act!U$9</f>
        <v>0.81175362843766763</v>
      </c>
      <c r="V23" s="102">
        <f>TrAvia_act!V$9</f>
        <v>0.71531535831879522</v>
      </c>
      <c r="W23" s="102">
        <f>TrAvia_act!W$9</f>
        <v>1.3715166698835386</v>
      </c>
      <c r="X23" s="102">
        <f>TrAvia_act!X$9</f>
        <v>0.72517047280266655</v>
      </c>
      <c r="Y23" s="102">
        <f>TrAvia_act!Y$9</f>
        <v>0.85641304593721312</v>
      </c>
      <c r="DA23" s="175" t="s">
        <v>195</v>
      </c>
    </row>
    <row r="24" spans="1:105" ht="11.45" customHeight="1" x14ac:dyDescent="0.25">
      <c r="A24" s="128" t="s">
        <v>181</v>
      </c>
      <c r="B24" s="102">
        <f>TrAvia_act!B$10</f>
        <v>16.021159444682436</v>
      </c>
      <c r="C24" s="102">
        <f>TrAvia_act!C$10</f>
        <v>16.649468043700193</v>
      </c>
      <c r="D24" s="102">
        <f>TrAvia_act!D$10</f>
        <v>11.691641973305861</v>
      </c>
      <c r="E24" s="102">
        <f>TrAvia_act!E$10</f>
        <v>11.696303411149213</v>
      </c>
      <c r="F24" s="102">
        <f>TrAvia_act!F$10</f>
        <v>11.225405744240033</v>
      </c>
      <c r="G24" s="102">
        <f>TrAvia_act!G$10</f>
        <v>21.513912596926588</v>
      </c>
      <c r="H24" s="102">
        <f>TrAvia_act!H$10</f>
        <v>32.68129068703562</v>
      </c>
      <c r="I24" s="102">
        <f>TrAvia_act!I$10</f>
        <v>30.334706424135039</v>
      </c>
      <c r="J24" s="102">
        <f>TrAvia_act!J$10</f>
        <v>30.114597778470895</v>
      </c>
      <c r="K24" s="102">
        <f>TrAvia_act!K$10</f>
        <v>28.152525960846944</v>
      </c>
      <c r="L24" s="102">
        <f>TrAvia_act!L$10</f>
        <v>29.861406837755165</v>
      </c>
      <c r="M24" s="102">
        <f>TrAvia_act!M$10</f>
        <v>30.230561707212296</v>
      </c>
      <c r="N24" s="102">
        <f>TrAvia_act!N$10</f>
        <v>30.226917604019761</v>
      </c>
      <c r="O24" s="102">
        <f>TrAvia_act!O$10</f>
        <v>26.927108737643447</v>
      </c>
      <c r="P24" s="102">
        <f>TrAvia_act!P$10</f>
        <v>32.002390780631245</v>
      </c>
      <c r="Q24" s="102">
        <f>TrAvia_act!Q$10</f>
        <v>32.753337446444419</v>
      </c>
      <c r="R24" s="102">
        <f>TrAvia_act!R$10</f>
        <v>32.674015397500042</v>
      </c>
      <c r="S24" s="102">
        <f>TrAvia_act!S$10</f>
        <v>29.760191171323374</v>
      </c>
      <c r="T24" s="102">
        <f>TrAvia_act!T$10</f>
        <v>32.470256172178772</v>
      </c>
      <c r="U24" s="102">
        <f>TrAvia_act!U$10</f>
        <v>31.235624986686819</v>
      </c>
      <c r="V24" s="102">
        <f>TrAvia_act!V$10</f>
        <v>33.121911569295271</v>
      </c>
      <c r="W24" s="102">
        <f>TrAvia_act!W$10</f>
        <v>41.740154736125369</v>
      </c>
      <c r="X24" s="102">
        <f>TrAvia_act!X$10</f>
        <v>34.104749839072461</v>
      </c>
      <c r="Y24" s="102">
        <f>TrAvia_act!Y$10</f>
        <v>38.22814861193649</v>
      </c>
      <c r="DA24" s="175" t="s">
        <v>196</v>
      </c>
    </row>
    <row r="25" spans="1:105" ht="11.45" customHeight="1" x14ac:dyDescent="0.25">
      <c r="A25" s="128" t="s">
        <v>182</v>
      </c>
      <c r="B25" s="102">
        <f>TrAvia_act!B$11</f>
        <v>42.751197735289701</v>
      </c>
      <c r="C25" s="102">
        <f>TrAvia_act!C$11</f>
        <v>43.651145259835126</v>
      </c>
      <c r="D25" s="102">
        <f>TrAvia_act!D$11</f>
        <v>42.299076346727247</v>
      </c>
      <c r="E25" s="102">
        <f>TrAvia_act!E$11</f>
        <v>44.675518020247701</v>
      </c>
      <c r="F25" s="102">
        <f>TrAvia_act!F$11</f>
        <v>75.244193551909902</v>
      </c>
      <c r="G25" s="102">
        <f>TrAvia_act!G$11</f>
        <v>76.625526474005312</v>
      </c>
      <c r="H25" s="102">
        <f>TrAvia_act!H$11</f>
        <v>104.81950531314214</v>
      </c>
      <c r="I25" s="102">
        <f>TrAvia_act!I$11</f>
        <v>111.95347398004969</v>
      </c>
      <c r="J25" s="102">
        <f>TrAvia_act!J$11</f>
        <v>101.86333092075665</v>
      </c>
      <c r="K25" s="102">
        <f>TrAvia_act!K$11</f>
        <v>78.661123528996725</v>
      </c>
      <c r="L25" s="102">
        <f>TrAvia_act!L$11</f>
        <v>103.95011221552102</v>
      </c>
      <c r="M25" s="102">
        <f>TrAvia_act!M$11</f>
        <v>94.313942234156926</v>
      </c>
      <c r="N25" s="102">
        <f>TrAvia_act!N$11</f>
        <v>130.01035399903517</v>
      </c>
      <c r="O25" s="102">
        <f>TrAvia_act!O$11</f>
        <v>141.53044528697964</v>
      </c>
      <c r="P25" s="102">
        <f>TrAvia_act!P$11</f>
        <v>166.45873206963876</v>
      </c>
      <c r="Q25" s="102">
        <f>TrAvia_act!Q$11</f>
        <v>198.77092257300444</v>
      </c>
      <c r="R25" s="102">
        <f>TrAvia_act!R$11</f>
        <v>200.72333841384309</v>
      </c>
      <c r="S25" s="102">
        <f>TrAvia_act!S$11</f>
        <v>281.16139398106066</v>
      </c>
      <c r="T25" s="102">
        <f>TrAvia_act!T$11</f>
        <v>240.4185818683236</v>
      </c>
      <c r="U25" s="102">
        <f>TrAvia_act!U$11</f>
        <v>207.26080161645208</v>
      </c>
      <c r="V25" s="102">
        <f>TrAvia_act!V$11</f>
        <v>164.83491261487814</v>
      </c>
      <c r="W25" s="102">
        <f>TrAvia_act!W$11</f>
        <v>195.72671480398253</v>
      </c>
      <c r="X25" s="102">
        <f>TrAvia_act!X$11</f>
        <v>248.72015546504457</v>
      </c>
      <c r="Y25" s="102">
        <f>TrAvia_act!Y$11</f>
        <v>244.54564539914449</v>
      </c>
      <c r="DA25" s="175" t="s">
        <v>197</v>
      </c>
    </row>
    <row r="26" spans="1:105" ht="11.45" customHeight="1" x14ac:dyDescent="0.25">
      <c r="A26" s="109" t="s">
        <v>141</v>
      </c>
      <c r="B26" s="110">
        <f t="shared" ref="B26:Q26" si="21">B27+B28</f>
        <v>192.09899999999999</v>
      </c>
      <c r="C26" s="110">
        <f t="shared" si="21"/>
        <v>166.958</v>
      </c>
      <c r="D26" s="110">
        <f t="shared" si="21"/>
        <v>116.95399999999999</v>
      </c>
      <c r="E26" s="110">
        <f t="shared" si="21"/>
        <v>130.566</v>
      </c>
      <c r="F26" s="110">
        <f t="shared" si="21"/>
        <v>109.87</v>
      </c>
      <c r="G26" s="110">
        <f t="shared" si="21"/>
        <v>147.79</v>
      </c>
      <c r="H26" s="110">
        <f t="shared" si="21"/>
        <v>146.678</v>
      </c>
      <c r="I26" s="110">
        <f t="shared" si="21"/>
        <v>132.65</v>
      </c>
      <c r="J26" s="110">
        <f t="shared" si="21"/>
        <v>140.56700000000001</v>
      </c>
      <c r="K26" s="110">
        <f t="shared" si="21"/>
        <v>149.45599999999999</v>
      </c>
      <c r="L26" s="110">
        <f t="shared" si="21"/>
        <v>134.733</v>
      </c>
      <c r="M26" s="110">
        <f t="shared" si="21"/>
        <v>199.04400000000001</v>
      </c>
      <c r="N26" s="110">
        <f t="shared" si="21"/>
        <v>292.38499999999999</v>
      </c>
      <c r="O26" s="110">
        <f t="shared" si="21"/>
        <v>229.32400000000001</v>
      </c>
      <c r="P26" s="110">
        <f t="shared" si="21"/>
        <v>204.18299999999999</v>
      </c>
      <c r="Q26" s="110">
        <f t="shared" si="21"/>
        <v>164.18</v>
      </c>
      <c r="R26" s="110">
        <f t="shared" ref="R26:V26" si="22">R27+R28</f>
        <v>140.428</v>
      </c>
      <c r="S26" s="110">
        <f t="shared" si="22"/>
        <v>128.483</v>
      </c>
      <c r="T26" s="110">
        <f t="shared" si="22"/>
        <v>165.56899999999999</v>
      </c>
      <c r="U26" s="110">
        <f t="shared" si="22"/>
        <v>198.905</v>
      </c>
      <c r="V26" s="110">
        <f t="shared" si="22"/>
        <v>201.54400000000001</v>
      </c>
      <c r="W26" s="110">
        <f t="shared" ref="W26:Y26" si="23">W27+W28</f>
        <v>223.49</v>
      </c>
      <c r="X26" s="110">
        <f t="shared" si="23"/>
        <v>177.23599999999999</v>
      </c>
      <c r="Y26" s="110">
        <f t="shared" si="23"/>
        <v>160.291</v>
      </c>
      <c r="DA26" s="176" t="s">
        <v>385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192.09899999999999</v>
      </c>
      <c r="C27" s="102">
        <f>TrNavi_act!C4</f>
        <v>166.958</v>
      </c>
      <c r="D27" s="102">
        <f>TrNavi_act!D4</f>
        <v>116.95399999999999</v>
      </c>
      <c r="E27" s="102">
        <f>TrNavi_act!E4</f>
        <v>130.566</v>
      </c>
      <c r="F27" s="102">
        <f>TrNavi_act!F4</f>
        <v>109.87</v>
      </c>
      <c r="G27" s="102">
        <f>TrNavi_act!G4</f>
        <v>147.79</v>
      </c>
      <c r="H27" s="102">
        <f>TrNavi_act!H4</f>
        <v>146.678</v>
      </c>
      <c r="I27" s="102">
        <f>TrNavi_act!I4</f>
        <v>132.65</v>
      </c>
      <c r="J27" s="102">
        <f>TrNavi_act!J4</f>
        <v>140.56700000000001</v>
      </c>
      <c r="K27" s="102">
        <f>TrNavi_act!K4</f>
        <v>149.45599999999999</v>
      </c>
      <c r="L27" s="102">
        <f>TrNavi_act!L4</f>
        <v>134.733</v>
      </c>
      <c r="M27" s="102">
        <f>TrNavi_act!M4</f>
        <v>199.04400000000001</v>
      </c>
      <c r="N27" s="102">
        <f>TrNavi_act!N4</f>
        <v>292.38499999999999</v>
      </c>
      <c r="O27" s="102">
        <f>TrNavi_act!O4</f>
        <v>229.32400000000001</v>
      </c>
      <c r="P27" s="102">
        <f>TrNavi_act!P4</f>
        <v>204.18299999999999</v>
      </c>
      <c r="Q27" s="102">
        <f>TrNavi_act!Q4</f>
        <v>164.18</v>
      </c>
      <c r="R27" s="102">
        <f>TrNavi_act!R4</f>
        <v>140.428</v>
      </c>
      <c r="S27" s="102">
        <f>TrNavi_act!S4</f>
        <v>128.483</v>
      </c>
      <c r="T27" s="102">
        <f>TrNavi_act!T4</f>
        <v>165.56899999999999</v>
      </c>
      <c r="U27" s="102">
        <f>TrNavi_act!U4</f>
        <v>198.905</v>
      </c>
      <c r="V27" s="102">
        <f>TrNavi_act!V4</f>
        <v>201.54400000000001</v>
      </c>
      <c r="W27" s="102">
        <f>TrNavi_act!W4</f>
        <v>223.49</v>
      </c>
      <c r="X27" s="102">
        <f>TrNavi_act!X4</f>
        <v>177.23599999999999</v>
      </c>
      <c r="Y27" s="102">
        <f>TrNavi_act!Y4</f>
        <v>160.291</v>
      </c>
      <c r="DA27" s="175" t="s">
        <v>386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0</v>
      </c>
      <c r="C28" s="169">
        <f>TrNavi_act!C5</f>
        <v>0</v>
      </c>
      <c r="D28" s="169">
        <f>TrNavi_act!D5</f>
        <v>0</v>
      </c>
      <c r="E28" s="169">
        <f>TrNavi_act!E5</f>
        <v>0</v>
      </c>
      <c r="F28" s="169">
        <f>TrNavi_act!F5</f>
        <v>0</v>
      </c>
      <c r="G28" s="169">
        <f>TrNavi_act!G5</f>
        <v>0</v>
      </c>
      <c r="H28" s="169">
        <f>TrNavi_act!H5</f>
        <v>0</v>
      </c>
      <c r="I28" s="169">
        <f>TrNavi_act!I5</f>
        <v>0</v>
      </c>
      <c r="J28" s="169">
        <f>TrNavi_act!J5</f>
        <v>0</v>
      </c>
      <c r="K28" s="169">
        <f>TrNavi_act!K5</f>
        <v>0</v>
      </c>
      <c r="L28" s="169">
        <f>TrNavi_act!L5</f>
        <v>0</v>
      </c>
      <c r="M28" s="169">
        <f>TrNavi_act!M5</f>
        <v>0</v>
      </c>
      <c r="N28" s="169">
        <f>TrNavi_act!N5</f>
        <v>0</v>
      </c>
      <c r="O28" s="169">
        <f>TrNavi_act!O5</f>
        <v>0</v>
      </c>
      <c r="P28" s="169">
        <f>TrNavi_act!P5</f>
        <v>0</v>
      </c>
      <c r="Q28" s="169">
        <f>TrNavi_act!Q5</f>
        <v>0</v>
      </c>
      <c r="R28" s="169">
        <f>TrNavi_act!R5</f>
        <v>0</v>
      </c>
      <c r="S28" s="169">
        <f>TrNavi_act!S5</f>
        <v>0</v>
      </c>
      <c r="T28" s="169">
        <f>TrNavi_act!T5</f>
        <v>0</v>
      </c>
      <c r="U28" s="169">
        <f>TrNavi_act!U5</f>
        <v>0</v>
      </c>
      <c r="V28" s="169">
        <f>TrNavi_act!V5</f>
        <v>0</v>
      </c>
      <c r="W28" s="169">
        <f>TrNavi_act!W5</f>
        <v>0</v>
      </c>
      <c r="X28" s="169">
        <f>TrNavi_act!X5</f>
        <v>0</v>
      </c>
      <c r="Y28" s="169">
        <f>TrNavi_act!Y5</f>
        <v>0</v>
      </c>
      <c r="DA28" s="177" t="s">
        <v>387</v>
      </c>
    </row>
    <row r="29" spans="1:105" ht="11.45" customHeight="1" x14ac:dyDescent="0.25">
      <c r="A29" s="27" t="s">
        <v>170</v>
      </c>
      <c r="B29" s="28">
        <f t="shared" ref="B29:W29" si="24">B30+B31</f>
        <v>47158.639575000001</v>
      </c>
      <c r="C29" s="28">
        <f t="shared" si="24"/>
        <v>52640.976501000005</v>
      </c>
      <c r="D29" s="28">
        <f t="shared" si="24"/>
        <v>57626.170567000001</v>
      </c>
      <c r="E29" s="28">
        <f t="shared" si="24"/>
        <v>57755.690337</v>
      </c>
      <c r="F29" s="28">
        <f t="shared" si="24"/>
        <v>58141.324795</v>
      </c>
      <c r="G29" s="28">
        <f t="shared" si="24"/>
        <v>59929.877742999997</v>
      </c>
      <c r="H29" s="28">
        <f t="shared" si="24"/>
        <v>30306.877352</v>
      </c>
      <c r="I29" s="28">
        <f t="shared" si="24"/>
        <v>65318.672028000001</v>
      </c>
      <c r="J29" s="28">
        <f t="shared" si="24"/>
        <v>59533.083792999998</v>
      </c>
      <c r="K29" s="28">
        <f t="shared" si="24"/>
        <v>41692.114971000003</v>
      </c>
      <c r="L29" s="28">
        <f t="shared" si="24"/>
        <v>45262.107934</v>
      </c>
      <c r="M29" s="28">
        <f t="shared" si="24"/>
        <v>46093.615263</v>
      </c>
      <c r="N29" s="28">
        <f t="shared" si="24"/>
        <v>50809.217792000003</v>
      </c>
      <c r="O29" s="28">
        <f t="shared" si="24"/>
        <v>48755.422253000004</v>
      </c>
      <c r="P29" s="28">
        <f t="shared" si="24"/>
        <v>50072.724374999998</v>
      </c>
      <c r="Q29" s="28">
        <f t="shared" si="24"/>
        <v>54026.699309999996</v>
      </c>
      <c r="R29" s="28">
        <f t="shared" si="24"/>
        <v>52804.768360000002</v>
      </c>
      <c r="S29" s="28">
        <f t="shared" si="24"/>
        <v>55103.840406000003</v>
      </c>
      <c r="T29" s="28">
        <f t="shared" si="24"/>
        <v>55566.563011000006</v>
      </c>
      <c r="U29" s="28">
        <f t="shared" si="24"/>
        <v>53435.179397</v>
      </c>
      <c r="V29" s="28">
        <f t="shared" si="24"/>
        <v>54198.332836000001</v>
      </c>
      <c r="W29" s="28">
        <f t="shared" si="24"/>
        <v>58719.474620000008</v>
      </c>
      <c r="X29" s="28">
        <f t="shared" ref="X29:Y29" si="25">X30+X31</f>
        <v>58603.865435999993</v>
      </c>
      <c r="Y29" s="28">
        <f t="shared" si="25"/>
        <v>51037.952516999998</v>
      </c>
      <c r="DA29" s="173" t="s">
        <v>388</v>
      </c>
    </row>
    <row r="30" spans="1:105" ht="11.45" customHeight="1" x14ac:dyDescent="0.25">
      <c r="A30" s="128" t="s">
        <v>166</v>
      </c>
      <c r="B30" s="102">
        <f>MBunk_act!B$4</f>
        <v>11509.197969999999</v>
      </c>
      <c r="C30" s="102">
        <f>MBunk_act!C$4</f>
        <v>12362.392159000001</v>
      </c>
      <c r="D30" s="102">
        <f>MBunk_act!D$4</f>
        <v>13140.510358</v>
      </c>
      <c r="E30" s="102">
        <f>MBunk_act!E$4</f>
        <v>14308.316695000001</v>
      </c>
      <c r="F30" s="102">
        <f>MBunk_act!F$4</f>
        <v>15807.039368</v>
      </c>
      <c r="G30" s="102">
        <f>MBunk_act!G$4</f>
        <v>15922.999759</v>
      </c>
      <c r="H30" s="102">
        <f>MBunk_act!H$4</f>
        <v>15435.041131</v>
      </c>
      <c r="I30" s="102">
        <f>MBunk_act!I$4</f>
        <v>19466.437543</v>
      </c>
      <c r="J30" s="102">
        <f>MBunk_act!J$4</f>
        <v>17399.718765000001</v>
      </c>
      <c r="K30" s="102">
        <f>MBunk_act!K$4</f>
        <v>14713.530663000001</v>
      </c>
      <c r="L30" s="102">
        <f>MBunk_act!L$4</f>
        <v>15356.452626999999</v>
      </c>
      <c r="M30" s="102">
        <f>MBunk_act!M$4</f>
        <v>13732.336946000001</v>
      </c>
      <c r="N30" s="102">
        <f>MBunk_act!N$4</f>
        <v>14494.242265999999</v>
      </c>
      <c r="O30" s="102">
        <f>MBunk_act!O$4</f>
        <v>15864.59799</v>
      </c>
      <c r="P30" s="102">
        <f>MBunk_act!P$4</f>
        <v>14593.397926</v>
      </c>
      <c r="Q30" s="102">
        <f>MBunk_act!Q$4</f>
        <v>16222.341252</v>
      </c>
      <c r="R30" s="102">
        <f>MBunk_act!R$4</f>
        <v>16585.401147</v>
      </c>
      <c r="S30" s="102">
        <f>MBunk_act!S$4</f>
        <v>16932.657824000002</v>
      </c>
      <c r="T30" s="102">
        <f>MBunk_act!T$4</f>
        <v>18023.209350000001</v>
      </c>
      <c r="U30" s="102">
        <f>MBunk_act!U$4</f>
        <v>17836.602475</v>
      </c>
      <c r="V30" s="102">
        <f>MBunk_act!V$4</f>
        <v>17244.401556000001</v>
      </c>
      <c r="W30" s="102">
        <f>MBunk_act!W$4</f>
        <v>19561.965453000001</v>
      </c>
      <c r="X30" s="102">
        <f>MBunk_act!X$4</f>
        <v>18520.104261999997</v>
      </c>
      <c r="Y30" s="102">
        <f>MBunk_act!Y$4</f>
        <v>20284.840348000002</v>
      </c>
      <c r="DA30" s="175" t="s">
        <v>389</v>
      </c>
    </row>
    <row r="31" spans="1:105" ht="11.45" customHeight="1" x14ac:dyDescent="0.25">
      <c r="A31" s="138" t="s">
        <v>167</v>
      </c>
      <c r="B31" s="86">
        <f>MBunk_act!B$5</f>
        <v>35649.441605</v>
      </c>
      <c r="C31" s="86">
        <f>MBunk_act!C$5</f>
        <v>40278.584342000002</v>
      </c>
      <c r="D31" s="86">
        <f>MBunk_act!D$5</f>
        <v>44485.660209000001</v>
      </c>
      <c r="E31" s="86">
        <f>MBunk_act!E$5</f>
        <v>43447.373641999999</v>
      </c>
      <c r="F31" s="86">
        <f>MBunk_act!F$5</f>
        <v>42334.285427000003</v>
      </c>
      <c r="G31" s="86">
        <f>MBunk_act!G$5</f>
        <v>44006.877983999999</v>
      </c>
      <c r="H31" s="86">
        <f>MBunk_act!H$5</f>
        <v>14871.836221</v>
      </c>
      <c r="I31" s="86">
        <f>MBunk_act!I$5</f>
        <v>45852.234485000001</v>
      </c>
      <c r="J31" s="86">
        <f>MBunk_act!J$5</f>
        <v>42133.365028</v>
      </c>
      <c r="K31" s="86">
        <f>MBunk_act!K$5</f>
        <v>26978.584308000001</v>
      </c>
      <c r="L31" s="86">
        <f>MBunk_act!L$5</f>
        <v>29905.655307000001</v>
      </c>
      <c r="M31" s="86">
        <f>MBunk_act!M$5</f>
        <v>32361.278316999997</v>
      </c>
      <c r="N31" s="86">
        <f>MBunk_act!N$5</f>
        <v>36314.975526000002</v>
      </c>
      <c r="O31" s="86">
        <f>MBunk_act!O$5</f>
        <v>32890.824263000002</v>
      </c>
      <c r="P31" s="86">
        <f>MBunk_act!P$5</f>
        <v>35479.326449</v>
      </c>
      <c r="Q31" s="86">
        <f>MBunk_act!Q$5</f>
        <v>37804.358057999998</v>
      </c>
      <c r="R31" s="86">
        <f>MBunk_act!R$5</f>
        <v>36219.367212999998</v>
      </c>
      <c r="S31" s="86">
        <f>MBunk_act!S$5</f>
        <v>38171.182582000001</v>
      </c>
      <c r="T31" s="86">
        <f>MBunk_act!T$5</f>
        <v>37543.353661000001</v>
      </c>
      <c r="U31" s="86">
        <f>MBunk_act!U$5</f>
        <v>35598.576922</v>
      </c>
      <c r="V31" s="86">
        <f>MBunk_act!V$5</f>
        <v>36953.931279999997</v>
      </c>
      <c r="W31" s="86">
        <f>MBunk_act!W$5</f>
        <v>39157.509167000004</v>
      </c>
      <c r="X31" s="86">
        <f>MBunk_act!X$5</f>
        <v>40083.761173999999</v>
      </c>
      <c r="Y31" s="86">
        <f>MBunk_act!Y$5</f>
        <v>30753.112169</v>
      </c>
      <c r="DA31" s="178" t="s">
        <v>390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DA33" s="172"/>
    </row>
    <row r="34" spans="1:105" ht="11.45" customHeight="1" x14ac:dyDescent="0.25">
      <c r="A34" s="27" t="s">
        <v>33</v>
      </c>
      <c r="B34" s="28">
        <f t="shared" ref="B34:Q34" si="26">B35+B39+B43</f>
        <v>2751.7369181726822</v>
      </c>
      <c r="C34" s="28">
        <f t="shared" si="26"/>
        <v>2960.7228362100768</v>
      </c>
      <c r="D34" s="28">
        <f t="shared" si="26"/>
        <v>3018.466309800865</v>
      </c>
      <c r="E34" s="28">
        <f t="shared" si="26"/>
        <v>3018.0368140784271</v>
      </c>
      <c r="F34" s="28">
        <f t="shared" si="26"/>
        <v>3064.5441703760393</v>
      </c>
      <c r="G34" s="28">
        <f t="shared" si="26"/>
        <v>3337.9308224562837</v>
      </c>
      <c r="H34" s="28">
        <f t="shared" si="26"/>
        <v>3640.5665936297696</v>
      </c>
      <c r="I34" s="28">
        <f t="shared" si="26"/>
        <v>3810.9614711070435</v>
      </c>
      <c r="J34" s="28">
        <f t="shared" si="26"/>
        <v>3725.0235982780659</v>
      </c>
      <c r="K34" s="28">
        <f t="shared" si="26"/>
        <v>3302.1574276350884</v>
      </c>
      <c r="L34" s="28">
        <f t="shared" si="26"/>
        <v>3354.3345136252187</v>
      </c>
      <c r="M34" s="28">
        <f t="shared" si="26"/>
        <v>3193.7908348224146</v>
      </c>
      <c r="N34" s="28">
        <f t="shared" si="26"/>
        <v>3036.7420305900914</v>
      </c>
      <c r="O34" s="28">
        <f t="shared" si="26"/>
        <v>3148.3338905045807</v>
      </c>
      <c r="P34" s="28">
        <f t="shared" si="26"/>
        <v>3353.4756599859102</v>
      </c>
      <c r="Q34" s="28">
        <f t="shared" si="26"/>
        <v>3516.9390073760264</v>
      </c>
      <c r="R34" s="28">
        <f t="shared" ref="R34:V34" si="27">R35+R39+R43</f>
        <v>3675.4228319961221</v>
      </c>
      <c r="S34" s="28">
        <f t="shared" si="27"/>
        <v>3811.7620924067169</v>
      </c>
      <c r="T34" s="28">
        <f t="shared" si="27"/>
        <v>3897.3021565052732</v>
      </c>
      <c r="U34" s="28">
        <f t="shared" si="27"/>
        <v>3907.4111264440044</v>
      </c>
      <c r="V34" s="28">
        <f t="shared" si="27"/>
        <v>2681.1836543355262</v>
      </c>
      <c r="W34" s="28">
        <f t="shared" ref="W34:Y34" si="28">W35+W39+W43</f>
        <v>2836.8843176552527</v>
      </c>
      <c r="X34" s="28">
        <f t="shared" si="28"/>
        <v>3628.4972047675587</v>
      </c>
      <c r="Y34" s="28">
        <f t="shared" si="28"/>
        <v>3855.2915390306844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9">B36+B37+B38</f>
        <v>2096.891780386452</v>
      </c>
      <c r="C35" s="137">
        <f t="shared" si="29"/>
        <v>2177.2506846192427</v>
      </c>
      <c r="D35" s="137">
        <f t="shared" si="29"/>
        <v>2192.905741212021</v>
      </c>
      <c r="E35" s="137">
        <f t="shared" si="29"/>
        <v>2206.9862093566126</v>
      </c>
      <c r="F35" s="137">
        <f t="shared" si="29"/>
        <v>2295.6026629162302</v>
      </c>
      <c r="G35" s="137">
        <f t="shared" si="29"/>
        <v>2456.3264163472959</v>
      </c>
      <c r="H35" s="137">
        <f t="shared" si="29"/>
        <v>2732.9261792315892</v>
      </c>
      <c r="I35" s="137">
        <f t="shared" si="29"/>
        <v>2743.5633853493555</v>
      </c>
      <c r="J35" s="137">
        <f t="shared" si="29"/>
        <v>2724.2486412558369</v>
      </c>
      <c r="K35" s="137">
        <f t="shared" si="29"/>
        <v>2672.6602262453271</v>
      </c>
      <c r="L35" s="137">
        <f t="shared" si="29"/>
        <v>2565.2298064239417</v>
      </c>
      <c r="M35" s="137">
        <f t="shared" si="29"/>
        <v>2467.2825258974412</v>
      </c>
      <c r="N35" s="137">
        <f t="shared" si="29"/>
        <v>2424.4342492064779</v>
      </c>
      <c r="O35" s="137">
        <f t="shared" si="29"/>
        <v>2476.6611941307901</v>
      </c>
      <c r="P35" s="137">
        <f t="shared" si="29"/>
        <v>2586.1299906786408</v>
      </c>
      <c r="Q35" s="137">
        <f t="shared" si="29"/>
        <v>2654.5092179830335</v>
      </c>
      <c r="R35" s="137">
        <f t="shared" ref="R35:V35" si="30">R36+R37+R38</f>
        <v>2785.3411094984203</v>
      </c>
      <c r="S35" s="137">
        <f t="shared" si="30"/>
        <v>2773.9063640064783</v>
      </c>
      <c r="T35" s="137">
        <f t="shared" si="30"/>
        <v>2774.5350565846834</v>
      </c>
      <c r="U35" s="137">
        <f t="shared" si="30"/>
        <v>2767.6681456572996</v>
      </c>
      <c r="V35" s="137">
        <f t="shared" si="30"/>
        <v>2274.5736034268962</v>
      </c>
      <c r="W35" s="137">
        <f t="shared" ref="W35:Y35" si="31">W36+W37+W38</f>
        <v>2387.3589103404306</v>
      </c>
      <c r="X35" s="137">
        <f t="shared" si="31"/>
        <v>2596.7179903885008</v>
      </c>
      <c r="Y35" s="137">
        <f t="shared" si="31"/>
        <v>2688.309530262215</v>
      </c>
      <c r="DA35" s="174" t="s">
        <v>391</v>
      </c>
    </row>
    <row r="36" spans="1:105" ht="11.45" customHeight="1" x14ac:dyDescent="0.25">
      <c r="A36" s="128" t="str">
        <f>$A$6</f>
        <v>Powered two-wheelers</v>
      </c>
      <c r="B36" s="102">
        <f>TrRoad_ene!B$19</f>
        <v>4.3913926231090299</v>
      </c>
      <c r="C36" s="102">
        <f>TrRoad_ene!C$19</f>
        <v>4.6886837022671655</v>
      </c>
      <c r="D36" s="102">
        <f>TrRoad_ene!D$19</f>
        <v>4.6048946825741508</v>
      </c>
      <c r="E36" s="102">
        <f>TrRoad_ene!E$19</f>
        <v>4.9189578298332446</v>
      </c>
      <c r="F36" s="102">
        <f>TrRoad_ene!F$19</f>
        <v>4.7198967042099573</v>
      </c>
      <c r="G36" s="102">
        <f>TrRoad_ene!G$19</f>
        <v>5.7451139208879107</v>
      </c>
      <c r="H36" s="102">
        <f>TrRoad_ene!H$19</f>
        <v>5.6288612942283285</v>
      </c>
      <c r="I36" s="102">
        <f>TrRoad_ene!I$19</f>
        <v>5.6879715958313293</v>
      </c>
      <c r="J36" s="102">
        <f>TrRoad_ene!J$19</f>
        <v>6.0601181805208402</v>
      </c>
      <c r="K36" s="102">
        <f>TrRoad_ene!K$19</f>
        <v>5.5445584485263639</v>
      </c>
      <c r="L36" s="102">
        <f>TrRoad_ene!L$19</f>
        <v>4.8153136021623784</v>
      </c>
      <c r="M36" s="102">
        <f>TrRoad_ene!M$19</f>
        <v>4.3850852200276513</v>
      </c>
      <c r="N36" s="102">
        <f>TrRoad_ene!N$19</f>
        <v>3.9247739052666177</v>
      </c>
      <c r="O36" s="102">
        <f>TrRoad_ene!O$19</f>
        <v>3.8641828852689444</v>
      </c>
      <c r="P36" s="102">
        <f>TrRoad_ene!P$19</f>
        <v>4.4359450989986735</v>
      </c>
      <c r="Q36" s="102">
        <f>TrRoad_ene!Q$19</f>
        <v>4.2015202019073952</v>
      </c>
      <c r="R36" s="102">
        <f>TrRoad_ene!R$19</f>
        <v>4.3205316829041678</v>
      </c>
      <c r="S36" s="102">
        <f>TrRoad_ene!S$19</f>
        <v>4.0756226864594476</v>
      </c>
      <c r="T36" s="102">
        <f>TrRoad_ene!T$19</f>
        <v>3.8485555769238924</v>
      </c>
      <c r="U36" s="102">
        <f>TrRoad_ene!U$19</f>
        <v>4.075872825705896</v>
      </c>
      <c r="V36" s="102">
        <f>TrRoad_ene!V$19</f>
        <v>3.665716153287621</v>
      </c>
      <c r="W36" s="102">
        <f>TrRoad_ene!W$19</f>
        <v>3.8101677521945567</v>
      </c>
      <c r="X36" s="102">
        <f>TrRoad_ene!X$19</f>
        <v>3.8102285159377467</v>
      </c>
      <c r="Y36" s="102">
        <f>TrRoad_ene!Y$19</f>
        <v>4.0963648358608173</v>
      </c>
      <c r="DA36" s="175" t="s">
        <v>392</v>
      </c>
    </row>
    <row r="37" spans="1:105" ht="11.45" customHeight="1" x14ac:dyDescent="0.25">
      <c r="A37" s="128" t="str">
        <f>$A$7</f>
        <v>Passenger cars</v>
      </c>
      <c r="B37" s="102">
        <f>TrRoad_ene!B$21</f>
        <v>1963.2613451163909</v>
      </c>
      <c r="C37" s="102">
        <f>TrRoad_ene!C$21</f>
        <v>2045.0655330146376</v>
      </c>
      <c r="D37" s="102">
        <f>TrRoad_ene!D$21</f>
        <v>2060.3279277064321</v>
      </c>
      <c r="E37" s="102">
        <f>TrRoad_ene!E$21</f>
        <v>2068.5092012181112</v>
      </c>
      <c r="F37" s="102">
        <f>TrRoad_ene!F$21</f>
        <v>2153.3382258279385</v>
      </c>
      <c r="G37" s="102">
        <f>TrRoad_ene!G$21</f>
        <v>2308.2387609482935</v>
      </c>
      <c r="H37" s="102">
        <f>TrRoad_ene!H$21</f>
        <v>2575.4527582327501</v>
      </c>
      <c r="I37" s="102">
        <f>TrRoad_ene!I$21</f>
        <v>2576.0067450767488</v>
      </c>
      <c r="J37" s="102">
        <f>TrRoad_ene!J$21</f>
        <v>2545.0283207411085</v>
      </c>
      <c r="K37" s="102">
        <f>TrRoad_ene!K$21</f>
        <v>2495.7032060860065</v>
      </c>
      <c r="L37" s="102">
        <f>TrRoad_ene!L$21</f>
        <v>2393.1441397207113</v>
      </c>
      <c r="M37" s="102">
        <f>TrRoad_ene!M$21</f>
        <v>2299.9913451832685</v>
      </c>
      <c r="N37" s="102">
        <f>TrRoad_ene!N$21</f>
        <v>2260.253908534633</v>
      </c>
      <c r="O37" s="102">
        <f>TrRoad_ene!O$21</f>
        <v>2312.106247649539</v>
      </c>
      <c r="P37" s="102">
        <f>TrRoad_ene!P$21</f>
        <v>2417.5040693672049</v>
      </c>
      <c r="Q37" s="102">
        <f>TrRoad_ene!Q$21</f>
        <v>2480.6742216175367</v>
      </c>
      <c r="R37" s="102">
        <f>TrRoad_ene!R$21</f>
        <v>2601.7480641764964</v>
      </c>
      <c r="S37" s="102">
        <f>TrRoad_ene!S$21</f>
        <v>2572.5151674605695</v>
      </c>
      <c r="T37" s="102">
        <f>TrRoad_ene!T$21</f>
        <v>2559.4652435049243</v>
      </c>
      <c r="U37" s="102">
        <f>TrRoad_ene!U$21</f>
        <v>2549.77401800917</v>
      </c>
      <c r="V37" s="102">
        <f>TrRoad_ene!V$21</f>
        <v>2093.305292131537</v>
      </c>
      <c r="W37" s="102">
        <f>TrRoad_ene!W$21</f>
        <v>2206.3599000370064</v>
      </c>
      <c r="X37" s="102">
        <f>TrRoad_ene!X$21</f>
        <v>2373.9188491669038</v>
      </c>
      <c r="Y37" s="102">
        <f>TrRoad_ene!Y$21</f>
        <v>2412.7539638964226</v>
      </c>
      <c r="DA37" s="175" t="s">
        <v>393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129.2390426469521</v>
      </c>
      <c r="C38" s="102">
        <f>TrRoad_ene!C$33</f>
        <v>127.49646790233761</v>
      </c>
      <c r="D38" s="102">
        <f>TrRoad_ene!D$33</f>
        <v>127.97291882301469</v>
      </c>
      <c r="E38" s="102">
        <f>TrRoad_ene!E$33</f>
        <v>133.55805030866793</v>
      </c>
      <c r="F38" s="102">
        <f>TrRoad_ene!F$33</f>
        <v>137.54454038408176</v>
      </c>
      <c r="G38" s="102">
        <f>TrRoad_ene!G$33</f>
        <v>142.34254147811473</v>
      </c>
      <c r="H38" s="102">
        <f>TrRoad_ene!H$33</f>
        <v>151.84455970461048</v>
      </c>
      <c r="I38" s="102">
        <f>TrRoad_ene!I$33</f>
        <v>161.86866867677534</v>
      </c>
      <c r="J38" s="102">
        <f>TrRoad_ene!J$33</f>
        <v>173.16020233420758</v>
      </c>
      <c r="K38" s="102">
        <f>TrRoad_ene!K$33</f>
        <v>171.41246171079419</v>
      </c>
      <c r="L38" s="102">
        <f>TrRoad_ene!L$33</f>
        <v>167.27035310106783</v>
      </c>
      <c r="M38" s="102">
        <f>TrRoad_ene!M$33</f>
        <v>162.90609549414495</v>
      </c>
      <c r="N38" s="102">
        <f>TrRoad_ene!N$33</f>
        <v>160.25556676657845</v>
      </c>
      <c r="O38" s="102">
        <f>TrRoad_ene!O$33</f>
        <v>160.69076359598242</v>
      </c>
      <c r="P38" s="102">
        <f>TrRoad_ene!P$33</f>
        <v>164.18997621243716</v>
      </c>
      <c r="Q38" s="102">
        <f>TrRoad_ene!Q$33</f>
        <v>169.63347616358956</v>
      </c>
      <c r="R38" s="102">
        <f>TrRoad_ene!R$33</f>
        <v>179.27251363902019</v>
      </c>
      <c r="S38" s="102">
        <f>TrRoad_ene!S$33</f>
        <v>197.31557385944924</v>
      </c>
      <c r="T38" s="102">
        <f>TrRoad_ene!T$33</f>
        <v>211.22125750283519</v>
      </c>
      <c r="U38" s="102">
        <f>TrRoad_ene!U$33</f>
        <v>213.8182548224238</v>
      </c>
      <c r="V38" s="102">
        <f>TrRoad_ene!V$33</f>
        <v>177.60259514207166</v>
      </c>
      <c r="W38" s="102">
        <f>TrRoad_ene!W$33</f>
        <v>177.18884255122956</v>
      </c>
      <c r="X38" s="102">
        <f>TrRoad_ene!X$33</f>
        <v>218.98891270565943</v>
      </c>
      <c r="Y38" s="102">
        <f>TrRoad_ene!Y$33</f>
        <v>271.45920152993182</v>
      </c>
      <c r="DA38" s="175" t="s">
        <v>394</v>
      </c>
    </row>
    <row r="39" spans="1:105" ht="11.45" customHeight="1" x14ac:dyDescent="0.25">
      <c r="A39" s="109" t="str">
        <f>$A$9</f>
        <v>Rail, metro and tram</v>
      </c>
      <c r="B39" s="110">
        <f t="shared" ref="B39:Q39" si="32">B40+B41+B42</f>
        <v>36.603175542466076</v>
      </c>
      <c r="C39" s="110">
        <f t="shared" si="32"/>
        <v>39.872723377060964</v>
      </c>
      <c r="D39" s="110">
        <f t="shared" si="32"/>
        <v>34.942364167774983</v>
      </c>
      <c r="E39" s="110">
        <f t="shared" si="32"/>
        <v>39.337872736383574</v>
      </c>
      <c r="F39" s="110">
        <f t="shared" si="32"/>
        <v>44.197594755177931</v>
      </c>
      <c r="G39" s="110">
        <f t="shared" si="32"/>
        <v>41.366559193167909</v>
      </c>
      <c r="H39" s="110">
        <f t="shared" si="32"/>
        <v>42.328689682359808</v>
      </c>
      <c r="I39" s="110">
        <f t="shared" si="32"/>
        <v>45.953527050161497</v>
      </c>
      <c r="J39" s="110">
        <f t="shared" si="32"/>
        <v>49.120165215364544</v>
      </c>
      <c r="K39" s="110">
        <f t="shared" si="32"/>
        <v>43.114448172304861</v>
      </c>
      <c r="L39" s="110">
        <f t="shared" si="32"/>
        <v>42.680969431625144</v>
      </c>
      <c r="M39" s="110">
        <f t="shared" si="32"/>
        <v>42.543846575308187</v>
      </c>
      <c r="N39" s="110">
        <f t="shared" si="32"/>
        <v>41.399378070056635</v>
      </c>
      <c r="O39" s="110">
        <f t="shared" si="32"/>
        <v>40.901595586618072</v>
      </c>
      <c r="P39" s="110">
        <f t="shared" si="32"/>
        <v>37.45049124087371</v>
      </c>
      <c r="Q39" s="110">
        <f t="shared" si="32"/>
        <v>38.346363538327232</v>
      </c>
      <c r="R39" s="110">
        <f t="shared" ref="R39:V39" si="33">R40+R41+R42</f>
        <v>39.271595889167706</v>
      </c>
      <c r="S39" s="110">
        <f t="shared" si="33"/>
        <v>40.549886693754928</v>
      </c>
      <c r="T39" s="110">
        <f t="shared" si="33"/>
        <v>41.468943630958087</v>
      </c>
      <c r="U39" s="110">
        <f t="shared" si="33"/>
        <v>43.534873061690917</v>
      </c>
      <c r="V39" s="110">
        <f t="shared" si="33"/>
        <v>35.138951380144114</v>
      </c>
      <c r="W39" s="110">
        <f t="shared" ref="W39:Y39" si="34">W40+W41+W42</f>
        <v>37.725024579379877</v>
      </c>
      <c r="X39" s="110">
        <f t="shared" si="34"/>
        <v>40.935513139577587</v>
      </c>
      <c r="Y39" s="110">
        <f t="shared" si="34"/>
        <v>43.797471272165119</v>
      </c>
      <c r="DA39" s="176" t="s">
        <v>395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0</v>
      </c>
      <c r="C40" s="102">
        <f>TrRail_ene!C$12</f>
        <v>0</v>
      </c>
      <c r="D40" s="102">
        <f>TrRail_ene!D$12</f>
        <v>0</v>
      </c>
      <c r="E40" s="102">
        <f>TrRail_ene!E$12</f>
        <v>0</v>
      </c>
      <c r="F40" s="102">
        <f>TrRail_ene!F$12</f>
        <v>0.30061787931204664</v>
      </c>
      <c r="G40" s="102">
        <f>TrRail_ene!G$12</f>
        <v>0.64439162123526028</v>
      </c>
      <c r="H40" s="102">
        <f>TrRail_ene!H$12</f>
        <v>0.65440912206254431</v>
      </c>
      <c r="I40" s="102">
        <f>TrRail_ene!I$12</f>
        <v>0.98553424279841695</v>
      </c>
      <c r="J40" s="102">
        <f>TrRail_ene!J$12</f>
        <v>0.76646003298620913</v>
      </c>
      <c r="K40" s="102">
        <f>TrRail_ene!K$12</f>
        <v>0.76313507388753477</v>
      </c>
      <c r="L40" s="102">
        <f>TrRail_ene!L$12</f>
        <v>0.75684797040316987</v>
      </c>
      <c r="M40" s="102">
        <f>TrRail_ene!M$12</f>
        <v>0.7803587185401778</v>
      </c>
      <c r="N40" s="102">
        <f>TrRail_ene!N$12</f>
        <v>0.79953066706918718</v>
      </c>
      <c r="O40" s="102">
        <f>TrRail_ene!O$12</f>
        <v>0.82354634979874419</v>
      </c>
      <c r="P40" s="102">
        <f>TrRail_ene!P$12</f>
        <v>0.83131417661546481</v>
      </c>
      <c r="Q40" s="102">
        <f>TrRail_ene!Q$12</f>
        <v>0.88487248949653874</v>
      </c>
      <c r="R40" s="102">
        <f>TrRail_ene!R$12</f>
        <v>0.8717212913592427</v>
      </c>
      <c r="S40" s="102">
        <f>TrRail_ene!S$12</f>
        <v>0.85680791475351969</v>
      </c>
      <c r="T40" s="102">
        <f>TrRail_ene!T$12</f>
        <v>1.3030429852345815</v>
      </c>
      <c r="U40" s="102">
        <f>TrRail_ene!U$12</f>
        <v>1.2429122926826963</v>
      </c>
      <c r="V40" s="102">
        <f>TrRail_ene!V$12</f>
        <v>1.0867659019779798</v>
      </c>
      <c r="W40" s="102">
        <f>TrRail_ene!W$12</f>
        <v>1.0980730756891717</v>
      </c>
      <c r="X40" s="102">
        <f>TrRail_ene!X$12</f>
        <v>0.84769213874009086</v>
      </c>
      <c r="Y40" s="102">
        <f>TrRail_ene!Y$12</f>
        <v>0.85535573923014419</v>
      </c>
      <c r="DA40" s="175" t="s">
        <v>396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36.603175542466076</v>
      </c>
      <c r="C41" s="102">
        <f>TrRail_ene!C$13</f>
        <v>39.872723377060964</v>
      </c>
      <c r="D41" s="102">
        <f>TrRail_ene!D$13</f>
        <v>34.942364167774983</v>
      </c>
      <c r="E41" s="102">
        <f>TrRail_ene!E$13</f>
        <v>39.337872736383574</v>
      </c>
      <c r="F41" s="102">
        <f>TrRail_ene!F$13</f>
        <v>43.896976875865882</v>
      </c>
      <c r="G41" s="102">
        <f>TrRail_ene!G$13</f>
        <v>40.722167571932651</v>
      </c>
      <c r="H41" s="102">
        <f>TrRail_ene!H$13</f>
        <v>41.674280560297262</v>
      </c>
      <c r="I41" s="102">
        <f>TrRail_ene!I$13</f>
        <v>44.967992807363082</v>
      </c>
      <c r="J41" s="102">
        <f>TrRail_ene!J$13</f>
        <v>48.353705182378334</v>
      </c>
      <c r="K41" s="102">
        <f>TrRail_ene!K$13</f>
        <v>42.351313098417329</v>
      </c>
      <c r="L41" s="102">
        <f>TrRail_ene!L$13</f>
        <v>41.924121461221972</v>
      </c>
      <c r="M41" s="102">
        <f>TrRail_ene!M$13</f>
        <v>41.763487856768009</v>
      </c>
      <c r="N41" s="102">
        <f>TrRail_ene!N$13</f>
        <v>40.59984740298745</v>
      </c>
      <c r="O41" s="102">
        <f>TrRail_ene!O$13</f>
        <v>40.078049236819325</v>
      </c>
      <c r="P41" s="102">
        <f>TrRail_ene!P$13</f>
        <v>36.619177064258245</v>
      </c>
      <c r="Q41" s="102">
        <f>TrRail_ene!Q$13</f>
        <v>37.461491048830695</v>
      </c>
      <c r="R41" s="102">
        <f>TrRail_ene!R$13</f>
        <v>38.399874597808463</v>
      </c>
      <c r="S41" s="102">
        <f>TrRail_ene!S$13</f>
        <v>39.693078779001411</v>
      </c>
      <c r="T41" s="102">
        <f>TrRail_ene!T$13</f>
        <v>40.165900645723504</v>
      </c>
      <c r="U41" s="102">
        <f>TrRail_ene!U$13</f>
        <v>42.29196076900822</v>
      </c>
      <c r="V41" s="102">
        <f>TrRail_ene!V$13</f>
        <v>34.052185478166138</v>
      </c>
      <c r="W41" s="102">
        <f>TrRail_ene!W$13</f>
        <v>36.626951503690705</v>
      </c>
      <c r="X41" s="102">
        <f>TrRail_ene!X$13</f>
        <v>40.087821000837494</v>
      </c>
      <c r="Y41" s="102">
        <f>TrRail_ene!Y$13</f>
        <v>42.942115532934977</v>
      </c>
      <c r="DA41" s="175" t="s">
        <v>397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0</v>
      </c>
      <c r="C42" s="102">
        <f>TrRail_ene!C$16</f>
        <v>0</v>
      </c>
      <c r="D42" s="102">
        <f>TrRail_ene!D$16</f>
        <v>0</v>
      </c>
      <c r="E42" s="102">
        <f>TrRail_ene!E$16</f>
        <v>0</v>
      </c>
      <c r="F42" s="102">
        <f>TrRail_ene!F$16</f>
        <v>0</v>
      </c>
      <c r="G42" s="102">
        <f>TrRail_ene!G$16</f>
        <v>0</v>
      </c>
      <c r="H42" s="102">
        <f>TrRail_ene!H$16</f>
        <v>0</v>
      </c>
      <c r="I42" s="102">
        <f>TrRail_ene!I$16</f>
        <v>0</v>
      </c>
      <c r="J42" s="102">
        <f>TrRail_ene!J$16</f>
        <v>0</v>
      </c>
      <c r="K42" s="102">
        <f>TrRail_ene!K$16</f>
        <v>0</v>
      </c>
      <c r="L42" s="102">
        <f>TrRail_ene!L$16</f>
        <v>0</v>
      </c>
      <c r="M42" s="102">
        <f>TrRail_ene!M$16</f>
        <v>0</v>
      </c>
      <c r="N42" s="102">
        <f>TrRail_ene!N$16</f>
        <v>0</v>
      </c>
      <c r="O42" s="102">
        <f>TrRail_ene!O$16</f>
        <v>0</v>
      </c>
      <c r="P42" s="102">
        <f>TrRail_ene!P$16</f>
        <v>0</v>
      </c>
      <c r="Q42" s="102">
        <f>TrRail_ene!Q$16</f>
        <v>0</v>
      </c>
      <c r="R42" s="102">
        <f>TrRail_ene!R$16</f>
        <v>0</v>
      </c>
      <c r="S42" s="102">
        <f>TrRail_ene!S$16</f>
        <v>0</v>
      </c>
      <c r="T42" s="102">
        <f>TrRail_ene!T$16</f>
        <v>0</v>
      </c>
      <c r="U42" s="102">
        <f>TrRail_ene!U$16</f>
        <v>0</v>
      </c>
      <c r="V42" s="102">
        <f>TrRail_ene!V$16</f>
        <v>0</v>
      </c>
      <c r="W42" s="102">
        <f>TrRail_ene!W$16</f>
        <v>0</v>
      </c>
      <c r="X42" s="102">
        <f>TrRail_ene!X$16</f>
        <v>0</v>
      </c>
      <c r="Y42" s="102">
        <f>TrRail_ene!Y$16</f>
        <v>0</v>
      </c>
      <c r="DA42" s="175" t="s">
        <v>398</v>
      </c>
    </row>
    <row r="43" spans="1:105" ht="11.45" customHeight="1" x14ac:dyDescent="0.25">
      <c r="A43" s="109" t="str">
        <f>$A$13</f>
        <v>Aviation</v>
      </c>
      <c r="B43" s="110">
        <f t="shared" ref="B43:Q43" si="35">B44+B45+B46</f>
        <v>618.24196224376408</v>
      </c>
      <c r="C43" s="110">
        <f t="shared" si="35"/>
        <v>743.59942821377319</v>
      </c>
      <c r="D43" s="110">
        <f t="shared" si="35"/>
        <v>790.61820442106898</v>
      </c>
      <c r="E43" s="110">
        <f t="shared" si="35"/>
        <v>771.71273198543133</v>
      </c>
      <c r="F43" s="110">
        <f t="shared" si="35"/>
        <v>724.74391270463138</v>
      </c>
      <c r="G43" s="110">
        <f t="shared" si="35"/>
        <v>840.23784691581966</v>
      </c>
      <c r="H43" s="110">
        <f t="shared" si="35"/>
        <v>865.31172471582079</v>
      </c>
      <c r="I43" s="110">
        <f t="shared" si="35"/>
        <v>1021.4445587075267</v>
      </c>
      <c r="J43" s="110">
        <f t="shared" si="35"/>
        <v>951.65479180686475</v>
      </c>
      <c r="K43" s="110">
        <f t="shared" si="35"/>
        <v>586.38275321745652</v>
      </c>
      <c r="L43" s="110">
        <f t="shared" si="35"/>
        <v>746.42373776965178</v>
      </c>
      <c r="M43" s="110">
        <f t="shared" si="35"/>
        <v>683.96446234966515</v>
      </c>
      <c r="N43" s="110">
        <f t="shared" si="35"/>
        <v>570.90840331355707</v>
      </c>
      <c r="O43" s="110">
        <f t="shared" si="35"/>
        <v>630.77110078717249</v>
      </c>
      <c r="P43" s="110">
        <f t="shared" si="35"/>
        <v>729.89517806639537</v>
      </c>
      <c r="Q43" s="110">
        <f t="shared" si="35"/>
        <v>824.08342585466551</v>
      </c>
      <c r="R43" s="110">
        <f t="shared" ref="R43:V43" si="36">R44+R45+R46</f>
        <v>850.81012660853435</v>
      </c>
      <c r="S43" s="110">
        <f t="shared" si="36"/>
        <v>997.30584170648376</v>
      </c>
      <c r="T43" s="110">
        <f t="shared" si="36"/>
        <v>1081.2981562896314</v>
      </c>
      <c r="U43" s="110">
        <f t="shared" si="36"/>
        <v>1096.2081077250136</v>
      </c>
      <c r="V43" s="110">
        <f t="shared" si="36"/>
        <v>371.47109952848581</v>
      </c>
      <c r="W43" s="110">
        <f t="shared" ref="W43:Y43" si="37">W44+W45+W46</f>
        <v>411.80038273544221</v>
      </c>
      <c r="X43" s="110">
        <f t="shared" si="37"/>
        <v>990.8437012394802</v>
      </c>
      <c r="Y43" s="110">
        <f t="shared" si="37"/>
        <v>1123.1845374963043</v>
      </c>
      <c r="DA43" s="176" t="s">
        <v>280</v>
      </c>
    </row>
    <row r="44" spans="1:105" ht="11.45" customHeight="1" x14ac:dyDescent="0.25">
      <c r="A44" s="128" t="str">
        <f>$A$14</f>
        <v>Domestic</v>
      </c>
      <c r="B44" s="102">
        <f>TrAvia_ene!B$7</f>
        <v>31.32254774998907</v>
      </c>
      <c r="C44" s="102">
        <f>TrAvia_ene!C$7</f>
        <v>37.457207963080769</v>
      </c>
      <c r="D44" s="102">
        <f>TrAvia_ene!D$7</f>
        <v>39.845878219212608</v>
      </c>
      <c r="E44" s="102">
        <f>TrAvia_ene!E$7</f>
        <v>37.934553160126413</v>
      </c>
      <c r="F44" s="102">
        <f>TrAvia_ene!F$7</f>
        <v>35.809202905547707</v>
      </c>
      <c r="G44" s="102">
        <f>TrAvia_ene!G$7</f>
        <v>44.533925604951236</v>
      </c>
      <c r="H44" s="102">
        <f>TrAvia_ene!H$7</f>
        <v>56.971512974444344</v>
      </c>
      <c r="I44" s="102">
        <f>TrAvia_ene!I$7</f>
        <v>51.032407449684044</v>
      </c>
      <c r="J44" s="102">
        <f>TrAvia_ene!J$7</f>
        <v>40.620753060595433</v>
      </c>
      <c r="K44" s="102">
        <f>TrAvia_ene!K$7</f>
        <v>30.400161695646787</v>
      </c>
      <c r="L44" s="102">
        <f>TrAvia_ene!L$7</f>
        <v>26.08103478624805</v>
      </c>
      <c r="M44" s="102">
        <f>TrAvia_ene!M$7</f>
        <v>7.3197599952719967</v>
      </c>
      <c r="N44" s="102">
        <f>TrAvia_ene!N$7</f>
        <v>6.7123309935220892</v>
      </c>
      <c r="O44" s="102">
        <f>TrAvia_ene!O$7</f>
        <v>6.8568842003635648</v>
      </c>
      <c r="P44" s="102">
        <f>TrAvia_ene!P$7</f>
        <v>7.2005182146311313</v>
      </c>
      <c r="Q44" s="102">
        <f>TrAvia_ene!Q$7</f>
        <v>7.2436886263866853</v>
      </c>
      <c r="R44" s="102">
        <f>TrAvia_ene!R$7</f>
        <v>3.7537839443431151</v>
      </c>
      <c r="S44" s="102">
        <f>TrAvia_ene!S$7</f>
        <v>5.0114517137636101</v>
      </c>
      <c r="T44" s="102">
        <f>TrAvia_ene!T$7</f>
        <v>4.8107329192836676</v>
      </c>
      <c r="U44" s="102">
        <f>TrAvia_ene!U$7</f>
        <v>5.4756828209685136</v>
      </c>
      <c r="V44" s="102">
        <f>TrAvia_ene!V$7</f>
        <v>4.1544989483025567</v>
      </c>
      <c r="W44" s="102">
        <f>TrAvia_ene!W$7</f>
        <v>5.3983237837015672</v>
      </c>
      <c r="X44" s="102">
        <f>TrAvia_ene!X$7</f>
        <v>12.499106869778041</v>
      </c>
      <c r="Y44" s="102">
        <f>TrAvia_ene!Y$7</f>
        <v>6.8930931212482598</v>
      </c>
      <c r="DA44" s="175" t="s">
        <v>281</v>
      </c>
    </row>
    <row r="45" spans="1:105" ht="11.45" customHeight="1" x14ac:dyDescent="0.25">
      <c r="A45" s="128" t="str">
        <f>$A$15</f>
        <v>International - Intra-EEAwCHUK</v>
      </c>
      <c r="B45" s="102">
        <f>TrAvia_ene!B$8</f>
        <v>366.34140587285202</v>
      </c>
      <c r="C45" s="102">
        <f>TrAvia_ene!C$8</f>
        <v>442.61961515950617</v>
      </c>
      <c r="D45" s="102">
        <f>TrAvia_ene!D$8</f>
        <v>480.43414743834109</v>
      </c>
      <c r="E45" s="102">
        <f>TrAvia_ene!E$8</f>
        <v>504.59197603600592</v>
      </c>
      <c r="F45" s="102">
        <f>TrAvia_ene!F$8</f>
        <v>477.7014337556393</v>
      </c>
      <c r="G45" s="102">
        <f>TrAvia_ene!G$8</f>
        <v>554.89112921314609</v>
      </c>
      <c r="H45" s="102">
        <f>TrAvia_ene!H$8</f>
        <v>563.16539016021909</v>
      </c>
      <c r="I45" s="102">
        <f>TrAvia_ene!I$8</f>
        <v>680.87662200706188</v>
      </c>
      <c r="J45" s="102">
        <f>TrAvia_ene!J$8</f>
        <v>639.96865825797454</v>
      </c>
      <c r="K45" s="102">
        <f>TrAvia_ene!K$8</f>
        <v>380.51859001951567</v>
      </c>
      <c r="L45" s="102">
        <f>TrAvia_ene!L$8</f>
        <v>484.52254905024211</v>
      </c>
      <c r="M45" s="102">
        <f>TrAvia_ene!M$8</f>
        <v>454.99276260597253</v>
      </c>
      <c r="N45" s="102">
        <f>TrAvia_ene!N$8</f>
        <v>376.49466572541047</v>
      </c>
      <c r="O45" s="102">
        <f>TrAvia_ene!O$8</f>
        <v>415.7233913978996</v>
      </c>
      <c r="P45" s="102">
        <f>TrAvia_ene!P$8</f>
        <v>484.97353334380335</v>
      </c>
      <c r="Q45" s="102">
        <f>TrAvia_ene!Q$8</f>
        <v>552.19608071440769</v>
      </c>
      <c r="R45" s="102">
        <f>TrAvia_ene!R$8</f>
        <v>586.08924426892645</v>
      </c>
      <c r="S45" s="102">
        <f>TrAvia_ene!S$8</f>
        <v>692.86718332588293</v>
      </c>
      <c r="T45" s="102">
        <f>TrAvia_ene!T$8</f>
        <v>752.10678728183336</v>
      </c>
      <c r="U45" s="102">
        <f>TrAvia_ene!U$8</f>
        <v>754.92369986143831</v>
      </c>
      <c r="V45" s="102">
        <f>TrAvia_ene!V$8</f>
        <v>219.34398793935881</v>
      </c>
      <c r="W45" s="102">
        <f>TrAvia_ene!W$8</f>
        <v>253.63058536518062</v>
      </c>
      <c r="X45" s="102">
        <f>TrAvia_ene!X$8</f>
        <v>684.70777035336607</v>
      </c>
      <c r="Y45" s="102">
        <f>TrAvia_ene!Y$8</f>
        <v>779.76056489237169</v>
      </c>
      <c r="DA45" s="175" t="s">
        <v>282</v>
      </c>
    </row>
    <row r="46" spans="1:105" ht="11.45" customHeight="1" x14ac:dyDescent="0.25">
      <c r="A46" s="128" t="str">
        <f>$A$16</f>
        <v>International - Extra-EEAwCHUK</v>
      </c>
      <c r="B46" s="102">
        <f>TrAvia_ene!B$9</f>
        <v>220.57800862092304</v>
      </c>
      <c r="C46" s="102">
        <f>TrAvia_ene!C$9</f>
        <v>263.52260509118628</v>
      </c>
      <c r="D46" s="102">
        <f>TrAvia_ene!D$9</f>
        <v>270.33817876351532</v>
      </c>
      <c r="E46" s="102">
        <f>TrAvia_ene!E$9</f>
        <v>229.18620278929907</v>
      </c>
      <c r="F46" s="102">
        <f>TrAvia_ene!F$9</f>
        <v>211.23327604344436</v>
      </c>
      <c r="G46" s="102">
        <f>TrAvia_ene!G$9</f>
        <v>240.81279209772231</v>
      </c>
      <c r="H46" s="102">
        <f>TrAvia_ene!H$9</f>
        <v>245.17482158115743</v>
      </c>
      <c r="I46" s="102">
        <f>TrAvia_ene!I$9</f>
        <v>289.53552925078077</v>
      </c>
      <c r="J46" s="102">
        <f>TrAvia_ene!J$9</f>
        <v>271.06538048829469</v>
      </c>
      <c r="K46" s="102">
        <f>TrAvia_ene!K$9</f>
        <v>175.46400150229411</v>
      </c>
      <c r="L46" s="102">
        <f>TrAvia_ene!L$9</f>
        <v>235.82015393316166</v>
      </c>
      <c r="M46" s="102">
        <f>TrAvia_ene!M$9</f>
        <v>221.65193974842066</v>
      </c>
      <c r="N46" s="102">
        <f>TrAvia_ene!N$9</f>
        <v>187.70140659462459</v>
      </c>
      <c r="O46" s="102">
        <f>TrAvia_ene!O$9</f>
        <v>208.19082518890934</v>
      </c>
      <c r="P46" s="102">
        <f>TrAvia_ene!P$9</f>
        <v>237.72112650796086</v>
      </c>
      <c r="Q46" s="102">
        <f>TrAvia_ene!Q$9</f>
        <v>264.64365651387118</v>
      </c>
      <c r="R46" s="102">
        <f>TrAvia_ene!R$9</f>
        <v>260.96709839526483</v>
      </c>
      <c r="S46" s="102">
        <f>TrAvia_ene!S$9</f>
        <v>299.42720666683726</v>
      </c>
      <c r="T46" s="102">
        <f>TrAvia_ene!T$9</f>
        <v>324.38063608851439</v>
      </c>
      <c r="U46" s="102">
        <f>TrAvia_ene!U$9</f>
        <v>335.80872504260697</v>
      </c>
      <c r="V46" s="102">
        <f>TrAvia_ene!V$9</f>
        <v>147.97261264082445</v>
      </c>
      <c r="W46" s="102">
        <f>TrAvia_ene!W$9</f>
        <v>152.77147358656006</v>
      </c>
      <c r="X46" s="102">
        <f>TrAvia_ene!X$9</f>
        <v>293.63682401633599</v>
      </c>
      <c r="Y46" s="102">
        <f>TrAvia_ene!Y$9</f>
        <v>336.53087948268427</v>
      </c>
      <c r="DA46" s="175" t="s">
        <v>283</v>
      </c>
    </row>
    <row r="47" spans="1:105" ht="11.45" customHeight="1" x14ac:dyDescent="0.25">
      <c r="A47" s="27" t="s">
        <v>34</v>
      </c>
      <c r="B47" s="28">
        <f t="shared" ref="B47:Q47" si="38">B48+B51+B52+B56</f>
        <v>1352.6255925753819</v>
      </c>
      <c r="C47" s="28">
        <f t="shared" si="38"/>
        <v>1427.0854183041101</v>
      </c>
      <c r="D47" s="28">
        <f t="shared" si="38"/>
        <v>1482.16163516904</v>
      </c>
      <c r="E47" s="28">
        <f t="shared" si="38"/>
        <v>1531.5029967556227</v>
      </c>
      <c r="F47" s="28">
        <f t="shared" si="38"/>
        <v>1682.8754340951552</v>
      </c>
      <c r="G47" s="28">
        <f t="shared" si="38"/>
        <v>1748.0791517483597</v>
      </c>
      <c r="H47" s="28">
        <f t="shared" si="38"/>
        <v>1869.4779463530333</v>
      </c>
      <c r="I47" s="28">
        <f t="shared" si="38"/>
        <v>1985.5826389531449</v>
      </c>
      <c r="J47" s="28">
        <f t="shared" si="38"/>
        <v>1767.141117473248</v>
      </c>
      <c r="K47" s="28">
        <f t="shared" si="38"/>
        <v>1427.58964517086</v>
      </c>
      <c r="L47" s="28">
        <f t="shared" si="38"/>
        <v>1292.0160569893164</v>
      </c>
      <c r="M47" s="28">
        <f t="shared" si="38"/>
        <v>1202.1559398964596</v>
      </c>
      <c r="N47" s="28">
        <f t="shared" si="38"/>
        <v>1166.3420327232025</v>
      </c>
      <c r="O47" s="28">
        <f t="shared" si="38"/>
        <v>1176.8603257289947</v>
      </c>
      <c r="P47" s="28">
        <f t="shared" si="38"/>
        <v>1223.1012504975863</v>
      </c>
      <c r="Q47" s="28">
        <f t="shared" si="38"/>
        <v>1203.9543926059748</v>
      </c>
      <c r="R47" s="28">
        <f t="shared" ref="R47:V47" si="39">R48+R51+R52+R56</f>
        <v>1267.5114855471575</v>
      </c>
      <c r="S47" s="28">
        <f t="shared" si="39"/>
        <v>1236.3782074575215</v>
      </c>
      <c r="T47" s="28">
        <f t="shared" si="39"/>
        <v>1275.6699302661837</v>
      </c>
      <c r="U47" s="28">
        <f t="shared" si="39"/>
        <v>1311.8732485993251</v>
      </c>
      <c r="V47" s="28">
        <f t="shared" si="39"/>
        <v>1186.9626784225886</v>
      </c>
      <c r="W47" s="28">
        <f t="shared" ref="W47:Y47" si="40">W48+W51+W52+W56</f>
        <v>1305.8914299353596</v>
      </c>
      <c r="X47" s="28">
        <f t="shared" si="40"/>
        <v>1351.7642029388774</v>
      </c>
      <c r="Y47" s="28">
        <f t="shared" si="40"/>
        <v>1390.7678172963119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1">B49+B50</f>
        <v>1286.8887871113973</v>
      </c>
      <c r="C48" s="137">
        <f t="shared" si="41"/>
        <v>1359.7477676593467</v>
      </c>
      <c r="D48" s="137">
        <f t="shared" si="41"/>
        <v>1413.2103378937395</v>
      </c>
      <c r="E48" s="137">
        <f t="shared" si="41"/>
        <v>1457.8477545298881</v>
      </c>
      <c r="F48" s="137">
        <f t="shared" si="41"/>
        <v>1586.6374918559104</v>
      </c>
      <c r="G48" s="137">
        <f t="shared" si="41"/>
        <v>1655.6927582012852</v>
      </c>
      <c r="H48" s="137">
        <f t="shared" si="41"/>
        <v>1732.8815593754616</v>
      </c>
      <c r="I48" s="137">
        <f t="shared" si="41"/>
        <v>1868.155445261134</v>
      </c>
      <c r="J48" s="137">
        <f t="shared" si="41"/>
        <v>1650.6153866192949</v>
      </c>
      <c r="K48" s="137">
        <f t="shared" si="41"/>
        <v>1325.7214983233043</v>
      </c>
      <c r="L48" s="137">
        <f t="shared" si="41"/>
        <v>1184.298150261101</v>
      </c>
      <c r="M48" s="137">
        <f t="shared" si="41"/>
        <v>1107.7585738429293</v>
      </c>
      <c r="N48" s="137">
        <f t="shared" si="41"/>
        <v>1068.5960737800749</v>
      </c>
      <c r="O48" s="137">
        <f t="shared" si="41"/>
        <v>1079.1122138482713</v>
      </c>
      <c r="P48" s="137">
        <f t="shared" si="41"/>
        <v>1114.7053892803499</v>
      </c>
      <c r="Q48" s="137">
        <f t="shared" si="41"/>
        <v>1108.6612241313835</v>
      </c>
      <c r="R48" s="137">
        <f t="shared" ref="R48:V48" si="42">R49+R50</f>
        <v>1161.3217549064243</v>
      </c>
      <c r="S48" s="137">
        <f t="shared" si="42"/>
        <v>1134.8956727451205</v>
      </c>
      <c r="T48" s="137">
        <f t="shared" si="42"/>
        <v>1168.6599880543572</v>
      </c>
      <c r="U48" s="137">
        <f t="shared" si="42"/>
        <v>1201.5751287841385</v>
      </c>
      <c r="V48" s="137">
        <f t="shared" si="42"/>
        <v>1049.7661085229638</v>
      </c>
      <c r="W48" s="137">
        <f t="shared" ref="W48:Y48" si="43">W49+W50</f>
        <v>1153.472297267379</v>
      </c>
      <c r="X48" s="137">
        <f t="shared" si="43"/>
        <v>1224.0146984873252</v>
      </c>
      <c r="Y48" s="137">
        <f t="shared" si="43"/>
        <v>1271.3245466150827</v>
      </c>
      <c r="DA48" s="174" t="s">
        <v>399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415.97285230061425</v>
      </c>
      <c r="C49" s="102">
        <f>TrRoad_ene!C$43</f>
        <v>428.87671589022597</v>
      </c>
      <c r="D49" s="102">
        <f>TrRoad_ene!D$43</f>
        <v>451.11723712326733</v>
      </c>
      <c r="E49" s="102">
        <f>TrRoad_ene!E$43</f>
        <v>476.64936592429837</v>
      </c>
      <c r="F49" s="102">
        <f>TrRoad_ene!F$43</f>
        <v>509.32472277729818</v>
      </c>
      <c r="G49" s="102">
        <f>TrRoad_ene!G$43</f>
        <v>539.43949704514398</v>
      </c>
      <c r="H49" s="102">
        <f>TrRoad_ene!H$43</f>
        <v>579.57322329307669</v>
      </c>
      <c r="I49" s="102">
        <f>TrRoad_ene!I$43</f>
        <v>615.36290115622739</v>
      </c>
      <c r="J49" s="102">
        <f>TrRoad_ene!J$43</f>
        <v>600.71886773516633</v>
      </c>
      <c r="K49" s="102">
        <f>TrRoad_ene!K$43</f>
        <v>571.58661176085582</v>
      </c>
      <c r="L49" s="102">
        <f>TrRoad_ene!L$43</f>
        <v>532.236711701574</v>
      </c>
      <c r="M49" s="102">
        <f>TrRoad_ene!M$43</f>
        <v>514.67026172449323</v>
      </c>
      <c r="N49" s="102">
        <f>TrRoad_ene!N$43</f>
        <v>484.70008273081618</v>
      </c>
      <c r="O49" s="102">
        <f>TrRoad_ene!O$43</f>
        <v>494.57301190867196</v>
      </c>
      <c r="P49" s="102">
        <f>TrRoad_ene!P$43</f>
        <v>483.78863853381858</v>
      </c>
      <c r="Q49" s="102">
        <f>TrRoad_ene!Q$43</f>
        <v>468.30680913158398</v>
      </c>
      <c r="R49" s="102">
        <f>TrRoad_ene!R$43</f>
        <v>452.35440718759429</v>
      </c>
      <c r="S49" s="102">
        <f>TrRoad_ene!S$43</f>
        <v>441.11694509455594</v>
      </c>
      <c r="T49" s="102">
        <f>TrRoad_ene!T$43</f>
        <v>441.94033544786168</v>
      </c>
      <c r="U49" s="102">
        <f>TrRoad_ene!U$43</f>
        <v>428.05856329036374</v>
      </c>
      <c r="V49" s="102">
        <f>TrRoad_ene!V$43</f>
        <v>417.01577387266377</v>
      </c>
      <c r="W49" s="102">
        <f>TrRoad_ene!W$43</f>
        <v>433.99285270194054</v>
      </c>
      <c r="X49" s="102">
        <f>TrRoad_ene!X$43</f>
        <v>469.55214225808862</v>
      </c>
      <c r="Y49" s="102">
        <f>TrRoad_ene!Y$43</f>
        <v>493.83342024488383</v>
      </c>
      <c r="DA49" s="175" t="s">
        <v>400</v>
      </c>
    </row>
    <row r="50" spans="1:105" ht="11.45" customHeight="1" x14ac:dyDescent="0.25">
      <c r="A50" s="128" t="str">
        <f>$A$20</f>
        <v>Heavy goods vehicles</v>
      </c>
      <c r="B50" s="102">
        <f>TrRoad_ene!B$52</f>
        <v>870.91593481078303</v>
      </c>
      <c r="C50" s="102">
        <f>TrRoad_ene!C$52</f>
        <v>930.87105176912064</v>
      </c>
      <c r="D50" s="102">
        <f>TrRoad_ene!D$52</f>
        <v>962.09310077047212</v>
      </c>
      <c r="E50" s="102">
        <f>TrRoad_ene!E$52</f>
        <v>981.1983886055898</v>
      </c>
      <c r="F50" s="102">
        <f>TrRoad_ene!F$52</f>
        <v>1077.3127690786123</v>
      </c>
      <c r="G50" s="102">
        <f>TrRoad_ene!G$52</f>
        <v>1116.2532611561412</v>
      </c>
      <c r="H50" s="102">
        <f>TrRoad_ene!H$52</f>
        <v>1153.308336082385</v>
      </c>
      <c r="I50" s="102">
        <f>TrRoad_ene!I$52</f>
        <v>1252.7925441049065</v>
      </c>
      <c r="J50" s="102">
        <f>TrRoad_ene!J$52</f>
        <v>1049.8965188841285</v>
      </c>
      <c r="K50" s="102">
        <f>TrRoad_ene!K$52</f>
        <v>754.1348865624484</v>
      </c>
      <c r="L50" s="102">
        <f>TrRoad_ene!L$52</f>
        <v>652.06143855952701</v>
      </c>
      <c r="M50" s="102">
        <f>TrRoad_ene!M$52</f>
        <v>593.08831211843619</v>
      </c>
      <c r="N50" s="102">
        <f>TrRoad_ene!N$52</f>
        <v>583.89599104925878</v>
      </c>
      <c r="O50" s="102">
        <f>TrRoad_ene!O$52</f>
        <v>584.53920193959937</v>
      </c>
      <c r="P50" s="102">
        <f>TrRoad_ene!P$52</f>
        <v>630.91675074653131</v>
      </c>
      <c r="Q50" s="102">
        <f>TrRoad_ene!Q$52</f>
        <v>640.35441499979947</v>
      </c>
      <c r="R50" s="102">
        <f>TrRoad_ene!R$52</f>
        <v>708.96734771883007</v>
      </c>
      <c r="S50" s="102">
        <f>TrRoad_ene!S$52</f>
        <v>693.77872765056452</v>
      </c>
      <c r="T50" s="102">
        <f>TrRoad_ene!T$52</f>
        <v>726.71965260649563</v>
      </c>
      <c r="U50" s="102">
        <f>TrRoad_ene!U$52</f>
        <v>773.51656549377481</v>
      </c>
      <c r="V50" s="102">
        <f>TrRoad_ene!V$52</f>
        <v>632.75033465030003</v>
      </c>
      <c r="W50" s="102">
        <f>TrRoad_ene!W$52</f>
        <v>719.47944456543837</v>
      </c>
      <c r="X50" s="102">
        <f>TrRoad_ene!X$52</f>
        <v>754.46255622923661</v>
      </c>
      <c r="Y50" s="102">
        <f>TrRoad_ene!Y$52</f>
        <v>777.4911263701988</v>
      </c>
      <c r="DA50" s="175" t="s">
        <v>401</v>
      </c>
    </row>
    <row r="51" spans="1:105" ht="11.45" customHeight="1" x14ac:dyDescent="0.25">
      <c r="A51" s="109" t="str">
        <f>$A$21</f>
        <v>Rail transport</v>
      </c>
      <c r="B51" s="110">
        <f>TrRail_ene!B$17</f>
        <v>5.7617427722372794</v>
      </c>
      <c r="C51" s="110">
        <f>TrRail_ene!C$17</f>
        <v>6.1621863391901064</v>
      </c>
      <c r="D51" s="110">
        <f>TrRail_ene!D$17</f>
        <v>5.3347639491639658</v>
      </c>
      <c r="E51" s="110">
        <f>TrRail_ene!E$17</f>
        <v>4.9392553805553634</v>
      </c>
      <c r="F51" s="110">
        <f>TrRail_ene!F$17</f>
        <v>4.7446236455099333</v>
      </c>
      <c r="G51" s="110">
        <f>TrRail_ene!G$17</f>
        <v>3.5158999641837636</v>
      </c>
      <c r="H51" s="110">
        <f>TrRail_ene!H$17</f>
        <v>2.3567789332893776</v>
      </c>
      <c r="I51" s="110">
        <f>TrRail_ene!I$17</f>
        <v>1.4914428552555248</v>
      </c>
      <c r="J51" s="110">
        <f>TrRail_ene!J$17</f>
        <v>1.1670230907403412</v>
      </c>
      <c r="K51" s="110">
        <f>TrRail_ene!K$17</f>
        <v>0.78314426105712265</v>
      </c>
      <c r="L51" s="110">
        <f>TrRail_ene!L$17</f>
        <v>0.97500649270848294</v>
      </c>
      <c r="M51" s="110">
        <f>TrRail_ene!M$17</f>
        <v>1.1159126680280014</v>
      </c>
      <c r="N51" s="110">
        <f>TrRail_ene!N$17</f>
        <v>0.93088848196400098</v>
      </c>
      <c r="O51" s="110">
        <f>TrRail_ene!O$17</f>
        <v>0.99780252172241868</v>
      </c>
      <c r="P51" s="110">
        <f>TrRail_ene!P$17</f>
        <v>1.0457254401237086</v>
      </c>
      <c r="Q51" s="110">
        <f>TrRail_ene!Q$17</f>
        <v>0.99224351240362973</v>
      </c>
      <c r="R51" s="110">
        <f>TrRail_ene!R$17</f>
        <v>1.0328753060171618</v>
      </c>
      <c r="S51" s="110">
        <f>TrRail_ene!S$17</f>
        <v>1.0002422830292543</v>
      </c>
      <c r="T51" s="110">
        <f>TrRail_ene!T$17</f>
        <v>0.88152928391723606</v>
      </c>
      <c r="U51" s="110">
        <f>TrRail_ene!U$17</f>
        <v>0.73210888155929177</v>
      </c>
      <c r="V51" s="110">
        <f>TrRail_ene!V$17</f>
        <v>0.72433322862630001</v>
      </c>
      <c r="W51" s="110">
        <f>TrRail_ene!W$17</f>
        <v>0.8033503131394637</v>
      </c>
      <c r="X51" s="110">
        <f>TrRail_ene!X$17</f>
        <v>1.6126381931825093</v>
      </c>
      <c r="Y51" s="110">
        <f>TrRail_ene!Y$17</f>
        <v>0.87019854726737755</v>
      </c>
      <c r="DA51" s="176" t="s">
        <v>402</v>
      </c>
    </row>
    <row r="52" spans="1:105" ht="11.45" customHeight="1" x14ac:dyDescent="0.25">
      <c r="A52" s="109" t="str">
        <f>$A$22</f>
        <v>Aviation</v>
      </c>
      <c r="B52" s="110">
        <f t="shared" ref="B52:V52" si="44">B53+B54+B55</f>
        <v>11.649353319434399</v>
      </c>
      <c r="C52" s="110">
        <f t="shared" si="44"/>
        <v>12.689135844696207</v>
      </c>
      <c r="D52" s="110">
        <f t="shared" si="44"/>
        <v>12.016017418999766</v>
      </c>
      <c r="E52" s="110">
        <f t="shared" si="44"/>
        <v>13.015212984474177</v>
      </c>
      <c r="F52" s="110">
        <f t="shared" si="44"/>
        <v>18.904926504310922</v>
      </c>
      <c r="G52" s="110">
        <f t="shared" si="44"/>
        <v>21.416839240672182</v>
      </c>
      <c r="H52" s="110">
        <f t="shared" si="44"/>
        <v>27.977269265262585</v>
      </c>
      <c r="I52" s="110">
        <f t="shared" si="44"/>
        <v>26.63437508439069</v>
      </c>
      <c r="J52" s="110">
        <f t="shared" si="44"/>
        <v>23.734030205173113</v>
      </c>
      <c r="K52" s="110">
        <f t="shared" si="44"/>
        <v>15.080875329404948</v>
      </c>
      <c r="L52" s="110">
        <f t="shared" si="44"/>
        <v>22.516245033443575</v>
      </c>
      <c r="M52" s="110">
        <f t="shared" si="44"/>
        <v>17.563654589285747</v>
      </c>
      <c r="N52" s="110">
        <f t="shared" si="44"/>
        <v>17.915500383777466</v>
      </c>
      <c r="O52" s="110">
        <f t="shared" si="44"/>
        <v>19.144806349542755</v>
      </c>
      <c r="P52" s="110">
        <f t="shared" si="44"/>
        <v>20.085217462409133</v>
      </c>
      <c r="Q52" s="110">
        <f t="shared" si="44"/>
        <v>22.801526853847232</v>
      </c>
      <c r="R52" s="110">
        <f t="shared" si="44"/>
        <v>19.235961095679212</v>
      </c>
      <c r="S52" s="110">
        <f t="shared" si="44"/>
        <v>24.614192687325165</v>
      </c>
      <c r="T52" s="110">
        <f t="shared" si="44"/>
        <v>22.214741388786308</v>
      </c>
      <c r="U52" s="110">
        <f t="shared" si="44"/>
        <v>20.194901733283309</v>
      </c>
      <c r="V52" s="110">
        <f t="shared" si="44"/>
        <v>27.176535897137597</v>
      </c>
      <c r="W52" s="110">
        <f t="shared" ref="W52:Y52" si="45">W53+W54+W55</f>
        <v>34.740975820017702</v>
      </c>
      <c r="X52" s="110">
        <f t="shared" si="45"/>
        <v>27.536866258369912</v>
      </c>
      <c r="Y52" s="110">
        <f t="shared" si="45"/>
        <v>26.085281936197667</v>
      </c>
      <c r="DA52" s="176" t="s">
        <v>284</v>
      </c>
    </row>
    <row r="53" spans="1:105" ht="11.45" customHeight="1" x14ac:dyDescent="0.25">
      <c r="A53" s="128" t="s">
        <v>27</v>
      </c>
      <c r="B53" s="102">
        <f>TrAvia_ene!B$11</f>
        <v>1.3417686730547813</v>
      </c>
      <c r="C53" s="102">
        <f>TrAvia_ene!C$11</f>
        <v>1.526970884726625</v>
      </c>
      <c r="D53" s="102">
        <f>TrAvia_ene!D$11</f>
        <v>1.244921436849292</v>
      </c>
      <c r="E53" s="102">
        <f>TrAvia_ene!E$11</f>
        <v>1.0496256876809791</v>
      </c>
      <c r="F53" s="102">
        <f>TrAvia_ene!F$11</f>
        <v>2.121665538132417</v>
      </c>
      <c r="G53" s="102">
        <f>TrAvia_ene!G$11</f>
        <v>2.9118181611708613</v>
      </c>
      <c r="H53" s="102">
        <f>TrAvia_ene!H$11</f>
        <v>5.2555721502332116</v>
      </c>
      <c r="I53" s="102">
        <f>TrAvia_ene!I$11</f>
        <v>3.7748152502299739</v>
      </c>
      <c r="J53" s="102">
        <f>TrAvia_ene!J$11</f>
        <v>2.5883612988198599</v>
      </c>
      <c r="K53" s="102">
        <f>TrAvia_ene!K$11</f>
        <v>2.2758486224959511</v>
      </c>
      <c r="L53" s="102">
        <f>TrAvia_ene!L$11</f>
        <v>2.3817339153856478</v>
      </c>
      <c r="M53" s="102">
        <f>TrAvia_ene!M$11</f>
        <v>1.1301110279438238</v>
      </c>
      <c r="N53" s="102">
        <f>TrAvia_ene!N$11</f>
        <v>1.7375400296937316</v>
      </c>
      <c r="O53" s="102">
        <f>TrAvia_ene!O$11</f>
        <v>1.592986822852255</v>
      </c>
      <c r="P53" s="102">
        <f>TrAvia_ene!P$11</f>
        <v>1.249352808584689</v>
      </c>
      <c r="Q53" s="102">
        <f>TrAvia_ene!Q$11</f>
        <v>1.2061823968291345</v>
      </c>
      <c r="R53" s="102">
        <f>TrAvia_ene!R$11</f>
        <v>0.47115156726479518</v>
      </c>
      <c r="S53" s="102">
        <f>TrAvia_ene!S$11</f>
        <v>0.77530666972736095</v>
      </c>
      <c r="T53" s="102">
        <f>TrAvia_ene!T$11</f>
        <v>0.74223354675244435</v>
      </c>
      <c r="U53" s="102">
        <f>TrAvia_ene!U$11</f>
        <v>0.49946765194636095</v>
      </c>
      <c r="V53" s="102">
        <f>TrAvia_ene!V$11</f>
        <v>0.40835573785393509</v>
      </c>
      <c r="W53" s="102">
        <f>TrAvia_ene!W$11</f>
        <v>1.0627252274764214</v>
      </c>
      <c r="X53" s="102">
        <f>TrAvia_ene!X$11</f>
        <v>1.1270324251488701</v>
      </c>
      <c r="Y53" s="102">
        <f>TrAvia_ene!Y$11</f>
        <v>0.72702725708363891</v>
      </c>
      <c r="DA53" s="175" t="s">
        <v>285</v>
      </c>
    </row>
    <row r="54" spans="1:105" ht="11.45" customHeight="1" x14ac:dyDescent="0.25">
      <c r="A54" s="128" t="str">
        <f>$A$24</f>
        <v>International - Intra-EEAwCHUK</v>
      </c>
      <c r="B54" s="102">
        <f>TrAvia_ene!B$12</f>
        <v>4.392056988240963</v>
      </c>
      <c r="C54" s="102">
        <f>TrAvia_ene!C$12</f>
        <v>4.744725746833903</v>
      </c>
      <c r="D54" s="102">
        <f>TrAvia_ene!D$12</f>
        <v>3.7666764818229028</v>
      </c>
      <c r="E54" s="102">
        <f>TrAvia_ene!E$12</f>
        <v>3.7522888894941357</v>
      </c>
      <c r="F54" s="102">
        <f>TrAvia_ene!F$12</f>
        <v>3.7069889806629259</v>
      </c>
      <c r="G54" s="102">
        <f>TrAvia_ene!G$12</f>
        <v>7.0052750219549473</v>
      </c>
      <c r="H54" s="102">
        <f>TrAvia_ene!H$12</f>
        <v>10.531712227955563</v>
      </c>
      <c r="I54" s="102">
        <f>TrAvia_ene!I$12</f>
        <v>11.186992320104585</v>
      </c>
      <c r="J54" s="102">
        <f>TrAvia_ene!J$12</f>
        <v>10.285210673562323</v>
      </c>
      <c r="K54" s="102">
        <f>TrAvia_ene!K$12</f>
        <v>7.002589485584255</v>
      </c>
      <c r="L54" s="102">
        <f>TrAvia_ene!L$12</f>
        <v>9.9846923923762851</v>
      </c>
      <c r="M54" s="102">
        <f>TrAvia_ene!M$12</f>
        <v>8.70939582776513</v>
      </c>
      <c r="N54" s="102">
        <f>TrAvia_ene!N$12</f>
        <v>6.7431723271895843</v>
      </c>
      <c r="O54" s="102">
        <f>TrAvia_ene!O$12</f>
        <v>6.781945955706731</v>
      </c>
      <c r="P54" s="102">
        <f>TrAvia_ene!P$12</f>
        <v>8.2849030480538168</v>
      </c>
      <c r="Q54" s="102">
        <f>TrAvia_ene!Q$12</f>
        <v>9.6104860609186211</v>
      </c>
      <c r="R54" s="102">
        <f>TrAvia_ene!R$12</f>
        <v>8.2743223679299973</v>
      </c>
      <c r="S54" s="102">
        <f>TrAvia_ene!S$12</f>
        <v>9.4674956758907651</v>
      </c>
      <c r="T54" s="102">
        <f>TrAvia_ene!T$12</f>
        <v>10.265604766158461</v>
      </c>
      <c r="U54" s="102">
        <f>TrAvia_ene!U$12</f>
        <v>9.8459207165114897</v>
      </c>
      <c r="V54" s="102">
        <f>TrAvia_ene!V$12</f>
        <v>8.1878147046796972</v>
      </c>
      <c r="W54" s="102">
        <f>TrAvia_ene!W$12</f>
        <v>10.763825683438144</v>
      </c>
      <c r="X54" s="102">
        <f>TrAvia_ene!X$12</f>
        <v>9.8949124371735078</v>
      </c>
      <c r="Y54" s="102">
        <f>TrAvia_ene!Y$12</f>
        <v>10.800377236145801</v>
      </c>
      <c r="DA54" s="175" t="s">
        <v>286</v>
      </c>
    </row>
    <row r="55" spans="1:105" ht="11.45" customHeight="1" x14ac:dyDescent="0.25">
      <c r="A55" s="128" t="str">
        <f>$A$25</f>
        <v>International - Extra-EEAwCHUK</v>
      </c>
      <c r="B55" s="102">
        <f>TrAvia_ene!B$13</f>
        <v>5.9155276581386538</v>
      </c>
      <c r="C55" s="102">
        <f>TrAvia_ene!C$13</f>
        <v>6.4174392131356779</v>
      </c>
      <c r="D55" s="102">
        <f>TrAvia_ene!D$13</f>
        <v>7.0044195003275727</v>
      </c>
      <c r="E55" s="102">
        <f>TrAvia_ene!E$13</f>
        <v>8.213298407299062</v>
      </c>
      <c r="F55" s="102">
        <f>TrAvia_ene!F$13</f>
        <v>13.07627198551558</v>
      </c>
      <c r="G55" s="102">
        <f>TrAvia_ene!G$13</f>
        <v>11.499746057546375</v>
      </c>
      <c r="H55" s="102">
        <f>TrAvia_ene!H$13</f>
        <v>12.189984887073811</v>
      </c>
      <c r="I55" s="102">
        <f>TrAvia_ene!I$13</f>
        <v>11.67256751405613</v>
      </c>
      <c r="J55" s="102">
        <f>TrAvia_ene!J$13</f>
        <v>10.860458232790931</v>
      </c>
      <c r="K55" s="102">
        <f>TrAvia_ene!K$13</f>
        <v>5.8024372213247428</v>
      </c>
      <c r="L55" s="102">
        <f>TrAvia_ene!L$13</f>
        <v>10.149818725681639</v>
      </c>
      <c r="M55" s="102">
        <f>TrAvia_ene!M$13</f>
        <v>7.7241477335767916</v>
      </c>
      <c r="N55" s="102">
        <f>TrAvia_ene!N$13</f>
        <v>9.4347880268941502</v>
      </c>
      <c r="O55" s="102">
        <f>TrAvia_ene!O$13</f>
        <v>10.769873570983771</v>
      </c>
      <c r="P55" s="102">
        <f>TrAvia_ene!P$13</f>
        <v>10.550961605770627</v>
      </c>
      <c r="Q55" s="102">
        <f>TrAvia_ene!Q$13</f>
        <v>11.984858396099476</v>
      </c>
      <c r="R55" s="102">
        <f>TrAvia_ene!R$13</f>
        <v>10.490487160484419</v>
      </c>
      <c r="S55" s="102">
        <f>TrAvia_ene!S$13</f>
        <v>14.371390341707038</v>
      </c>
      <c r="T55" s="102">
        <f>TrAvia_ene!T$13</f>
        <v>11.206903075875404</v>
      </c>
      <c r="U55" s="102">
        <f>TrAvia_ene!U$13</f>
        <v>9.8495133648254605</v>
      </c>
      <c r="V55" s="102">
        <f>TrAvia_ene!V$13</f>
        <v>18.580365454603964</v>
      </c>
      <c r="W55" s="102">
        <f>TrAvia_ene!W$13</f>
        <v>22.914424909103136</v>
      </c>
      <c r="X55" s="102">
        <f>TrAvia_ene!X$13</f>
        <v>16.514921396047534</v>
      </c>
      <c r="Y55" s="102">
        <f>TrAvia_ene!Y$13</f>
        <v>14.557877442968229</v>
      </c>
      <c r="DA55" s="175" t="s">
        <v>287</v>
      </c>
    </row>
    <row r="56" spans="1:105" ht="11.45" customHeight="1" x14ac:dyDescent="0.25">
      <c r="A56" s="109" t="s">
        <v>141</v>
      </c>
      <c r="B56" s="110">
        <f t="shared" ref="B56:Q56" si="46">B57+B58</f>
        <v>48.325709372312978</v>
      </c>
      <c r="C56" s="110">
        <f t="shared" si="46"/>
        <v>48.48632846087704</v>
      </c>
      <c r="D56" s="110">
        <f t="shared" si="46"/>
        <v>51.60051590713671</v>
      </c>
      <c r="E56" s="110">
        <f t="shared" si="46"/>
        <v>55.700773860705084</v>
      </c>
      <c r="F56" s="110">
        <f t="shared" si="46"/>
        <v>72.588392089423905</v>
      </c>
      <c r="G56" s="110">
        <f t="shared" si="46"/>
        <v>67.4536543422184</v>
      </c>
      <c r="H56" s="110">
        <f t="shared" si="46"/>
        <v>106.26233877901976</v>
      </c>
      <c r="I56" s="110">
        <f t="shared" si="46"/>
        <v>89.301375752364578</v>
      </c>
      <c r="J56" s="110">
        <f t="shared" si="46"/>
        <v>91.624677558039537</v>
      </c>
      <c r="K56" s="110">
        <f t="shared" si="46"/>
        <v>86.004127257093714</v>
      </c>
      <c r="L56" s="110">
        <f t="shared" si="46"/>
        <v>84.226655202063625</v>
      </c>
      <c r="M56" s="110">
        <f t="shared" si="46"/>
        <v>75.717798796216684</v>
      </c>
      <c r="N56" s="110">
        <f t="shared" si="46"/>
        <v>78.899570077386073</v>
      </c>
      <c r="O56" s="110">
        <f t="shared" si="46"/>
        <v>77.605503009458289</v>
      </c>
      <c r="P56" s="110">
        <f t="shared" si="46"/>
        <v>87.264918314703337</v>
      </c>
      <c r="Q56" s="110">
        <f t="shared" si="46"/>
        <v>71.4993981083405</v>
      </c>
      <c r="R56" s="110">
        <f t="shared" ref="R56:V56" si="47">R57+R58</f>
        <v>85.920894239036969</v>
      </c>
      <c r="S56" s="110">
        <f t="shared" si="47"/>
        <v>75.868099742046425</v>
      </c>
      <c r="T56" s="110">
        <f t="shared" si="47"/>
        <v>83.913671539122959</v>
      </c>
      <c r="U56" s="110">
        <f t="shared" si="47"/>
        <v>89.371109200343923</v>
      </c>
      <c r="V56" s="110">
        <f t="shared" si="47"/>
        <v>109.2957007738607</v>
      </c>
      <c r="W56" s="110">
        <f t="shared" ref="W56:Y56" si="48">W57+W58</f>
        <v>116.8748065348237</v>
      </c>
      <c r="X56" s="110">
        <f t="shared" si="48"/>
        <v>98.6</v>
      </c>
      <c r="Y56" s="110">
        <f t="shared" si="48"/>
        <v>92.487790197764397</v>
      </c>
      <c r="DA56" s="176" t="s">
        <v>993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48.325709372312978</v>
      </c>
      <c r="C57" s="102">
        <f>TrNavi_ene!C4</f>
        <v>48.48632846087704</v>
      </c>
      <c r="D57" s="102">
        <f>TrNavi_ene!D4</f>
        <v>51.60051590713671</v>
      </c>
      <c r="E57" s="102">
        <f>TrNavi_ene!E4</f>
        <v>55.700773860705084</v>
      </c>
      <c r="F57" s="102">
        <f>TrNavi_ene!F4</f>
        <v>72.588392089423905</v>
      </c>
      <c r="G57" s="102">
        <f>TrNavi_ene!G4</f>
        <v>67.4536543422184</v>
      </c>
      <c r="H57" s="102">
        <f>TrNavi_ene!H4</f>
        <v>106.26233877901976</v>
      </c>
      <c r="I57" s="102">
        <f>TrNavi_ene!I4</f>
        <v>89.301375752364578</v>
      </c>
      <c r="J57" s="102">
        <f>TrNavi_ene!J4</f>
        <v>91.624677558039537</v>
      </c>
      <c r="K57" s="102">
        <f>TrNavi_ene!K4</f>
        <v>86.004127257093714</v>
      </c>
      <c r="L57" s="102">
        <f>TrNavi_ene!L4</f>
        <v>84.226655202063625</v>
      </c>
      <c r="M57" s="102">
        <f>TrNavi_ene!M4</f>
        <v>75.717798796216684</v>
      </c>
      <c r="N57" s="102">
        <f>TrNavi_ene!N4</f>
        <v>78.899570077386073</v>
      </c>
      <c r="O57" s="102">
        <f>TrNavi_ene!O4</f>
        <v>77.605503009458289</v>
      </c>
      <c r="P57" s="102">
        <f>TrNavi_ene!P4</f>
        <v>87.264918314703337</v>
      </c>
      <c r="Q57" s="102">
        <f>TrNavi_ene!Q4</f>
        <v>71.4993981083405</v>
      </c>
      <c r="R57" s="102">
        <f>TrNavi_ene!R4</f>
        <v>85.920894239036969</v>
      </c>
      <c r="S57" s="102">
        <f>TrNavi_ene!S4</f>
        <v>75.868099742046425</v>
      </c>
      <c r="T57" s="102">
        <f>TrNavi_ene!T4</f>
        <v>83.913671539122959</v>
      </c>
      <c r="U57" s="102">
        <f>TrNavi_ene!U4</f>
        <v>89.371109200343923</v>
      </c>
      <c r="V57" s="102">
        <f>TrNavi_ene!V4</f>
        <v>109.2957007738607</v>
      </c>
      <c r="W57" s="102">
        <f>TrNavi_ene!W4</f>
        <v>116.8748065348237</v>
      </c>
      <c r="X57" s="102">
        <f>TrNavi_ene!X4</f>
        <v>98.6</v>
      </c>
      <c r="Y57" s="102">
        <f>TrNavi_ene!Y4</f>
        <v>92.487790197764397</v>
      </c>
      <c r="DA57" s="175" t="s">
        <v>994</v>
      </c>
    </row>
    <row r="58" spans="1:105" ht="11.45" customHeight="1" x14ac:dyDescent="0.25">
      <c r="A58" s="166" t="str">
        <f>$A$28</f>
        <v>Inland waterways</v>
      </c>
      <c r="B58" s="169">
        <f>TrNavi_ene!B10</f>
        <v>0</v>
      </c>
      <c r="C58" s="169">
        <f>TrNavi_ene!C10</f>
        <v>0</v>
      </c>
      <c r="D58" s="169">
        <f>TrNavi_ene!D10</f>
        <v>0</v>
      </c>
      <c r="E58" s="169">
        <f>TrNavi_ene!E10</f>
        <v>0</v>
      </c>
      <c r="F58" s="169">
        <f>TrNavi_ene!F10</f>
        <v>0</v>
      </c>
      <c r="G58" s="169">
        <f>TrNavi_ene!G10</f>
        <v>0</v>
      </c>
      <c r="H58" s="169">
        <f>TrNavi_ene!H10</f>
        <v>0</v>
      </c>
      <c r="I58" s="169">
        <f>TrNavi_ene!I10</f>
        <v>0</v>
      </c>
      <c r="J58" s="169">
        <f>TrNavi_ene!J10</f>
        <v>0</v>
      </c>
      <c r="K58" s="169">
        <f>TrNavi_ene!K10</f>
        <v>0</v>
      </c>
      <c r="L58" s="169">
        <f>TrNavi_ene!L10</f>
        <v>0</v>
      </c>
      <c r="M58" s="169">
        <f>TrNavi_ene!M10</f>
        <v>0</v>
      </c>
      <c r="N58" s="169">
        <f>TrNavi_ene!N10</f>
        <v>0</v>
      </c>
      <c r="O58" s="169">
        <f>TrNavi_ene!O10</f>
        <v>0</v>
      </c>
      <c r="P58" s="169">
        <f>TrNavi_ene!P10</f>
        <v>0</v>
      </c>
      <c r="Q58" s="169">
        <f>TrNavi_ene!Q10</f>
        <v>0</v>
      </c>
      <c r="R58" s="169">
        <f>TrNavi_ene!R10</f>
        <v>0</v>
      </c>
      <c r="S58" s="169">
        <f>TrNavi_ene!S10</f>
        <v>0</v>
      </c>
      <c r="T58" s="169">
        <f>TrNavi_ene!T10</f>
        <v>0</v>
      </c>
      <c r="U58" s="169">
        <f>TrNavi_ene!U10</f>
        <v>0</v>
      </c>
      <c r="V58" s="169">
        <f>TrNavi_ene!V10</f>
        <v>0</v>
      </c>
      <c r="W58" s="169">
        <f>TrNavi_ene!W10</f>
        <v>0</v>
      </c>
      <c r="X58" s="169">
        <f>TrNavi_ene!X10</f>
        <v>0</v>
      </c>
      <c r="Y58" s="169">
        <f>TrNavi_ene!Y10</f>
        <v>0</v>
      </c>
      <c r="DA58" s="177" t="s">
        <v>995</v>
      </c>
    </row>
    <row r="59" spans="1:105" ht="11.45" customHeight="1" x14ac:dyDescent="0.25">
      <c r="A59" s="27" t="s">
        <v>169</v>
      </c>
      <c r="B59" s="28">
        <f>B60+B61</f>
        <v>154.36233877901981</v>
      </c>
      <c r="C59" s="28">
        <f t="shared" ref="C59:W59" si="49">C60+C61</f>
        <v>164.755803955288</v>
      </c>
      <c r="D59" s="28">
        <f t="shared" si="49"/>
        <v>146.3792777300086</v>
      </c>
      <c r="E59" s="28">
        <f t="shared" si="49"/>
        <v>173.7140154772141</v>
      </c>
      <c r="F59" s="28">
        <f t="shared" si="49"/>
        <v>152.73413585554599</v>
      </c>
      <c r="G59" s="28">
        <f t="shared" si="49"/>
        <v>106.64058469475495</v>
      </c>
      <c r="H59" s="28">
        <f t="shared" si="49"/>
        <v>130.70060189165949</v>
      </c>
      <c r="I59" s="28">
        <f t="shared" si="49"/>
        <v>113.73215821152192</v>
      </c>
      <c r="J59" s="28">
        <f t="shared" si="49"/>
        <v>70.809630266552006</v>
      </c>
      <c r="K59" s="28">
        <f t="shared" si="49"/>
        <v>97.217454858125521</v>
      </c>
      <c r="L59" s="28">
        <f t="shared" si="49"/>
        <v>138.74746345657786</v>
      </c>
      <c r="M59" s="28">
        <f t="shared" si="49"/>
        <v>108.44230438521065</v>
      </c>
      <c r="N59" s="28">
        <f t="shared" si="49"/>
        <v>128.47979363714532</v>
      </c>
      <c r="O59" s="28">
        <f t="shared" si="49"/>
        <v>145.91969045571796</v>
      </c>
      <c r="P59" s="28">
        <f t="shared" si="49"/>
        <v>134.09174548581251</v>
      </c>
      <c r="Q59" s="28">
        <f t="shared" si="49"/>
        <v>159.77678417884775</v>
      </c>
      <c r="R59" s="28">
        <f t="shared" si="49"/>
        <v>159.94075666380053</v>
      </c>
      <c r="S59" s="28">
        <f t="shared" si="49"/>
        <v>155.81418744625964</v>
      </c>
      <c r="T59" s="28">
        <f t="shared" si="49"/>
        <v>172.71246775580403</v>
      </c>
      <c r="U59" s="28">
        <f t="shared" si="49"/>
        <v>142.20249355116079</v>
      </c>
      <c r="V59" s="28">
        <f t="shared" si="49"/>
        <v>154.96698194325023</v>
      </c>
      <c r="W59" s="28">
        <f t="shared" si="49"/>
        <v>171.78194325021497</v>
      </c>
      <c r="X59" s="28">
        <f t="shared" ref="X59:Y59" si="50">X60+X61</f>
        <v>124.87893379191749</v>
      </c>
      <c r="Y59" s="28">
        <f t="shared" si="50"/>
        <v>133.42622527944971</v>
      </c>
      <c r="DA59" s="173" t="s">
        <v>956</v>
      </c>
    </row>
    <row r="60" spans="1:105" ht="11.45" customHeight="1" x14ac:dyDescent="0.25">
      <c r="A60" s="128" t="str">
        <f>$A$30</f>
        <v>Intra-EEA</v>
      </c>
      <c r="B60" s="102">
        <f>MBunk_ene!B$4</f>
        <v>69.116565524573545</v>
      </c>
      <c r="C60" s="102">
        <f>MBunk_ene!C$4</f>
        <v>73.37146023565802</v>
      </c>
      <c r="D60" s="102">
        <f>MBunk_ene!D$4</f>
        <v>63.023723325218384</v>
      </c>
      <c r="E60" s="102">
        <f>MBunk_ene!E$4</f>
        <v>77.644442678178521</v>
      </c>
      <c r="F60" s="102">
        <f>MBunk_ene!F$4</f>
        <v>71.19140064136262</v>
      </c>
      <c r="G60" s="102">
        <f>MBunk_ene!G$4</f>
        <v>49.48208328754108</v>
      </c>
      <c r="H60" s="102">
        <f>MBunk_ene!H$4</f>
        <v>72.090933874492251</v>
      </c>
      <c r="I60" s="102">
        <f>MBunk_ene!I$4</f>
        <v>56.143615231463883</v>
      </c>
      <c r="J60" s="102">
        <f>MBunk_ene!J$4</f>
        <v>34.519903698989182</v>
      </c>
      <c r="K60" s="102">
        <f>MBunk_ene!K$4</f>
        <v>49.439460544297376</v>
      </c>
      <c r="L60" s="102">
        <f>MBunk_ene!L$4</f>
        <v>70.260720675490745</v>
      </c>
      <c r="M60" s="102">
        <f>MBunk_ene!M$4</f>
        <v>51.771188127700171</v>
      </c>
      <c r="N60" s="102">
        <f>MBunk_ene!N$4</f>
        <v>62.185851161103912</v>
      </c>
      <c r="O60" s="102">
        <f>MBunk_ene!O$4</f>
        <v>74.401170918550392</v>
      </c>
      <c r="P60" s="102">
        <f>MBunk_ene!P$4</f>
        <v>65.269051146049719</v>
      </c>
      <c r="Q60" s="102">
        <f>MBunk_ene!Q$4</f>
        <v>79.072581435829576</v>
      </c>
      <c r="R60" s="102">
        <f>MBunk_ene!R$4</f>
        <v>78.617329962329862</v>
      </c>
      <c r="S60" s="102">
        <f>MBunk_ene!S$4</f>
        <v>75.91748152952438</v>
      </c>
      <c r="T60" s="102">
        <f>MBunk_ene!T$4</f>
        <v>86.361735427397306</v>
      </c>
      <c r="U60" s="102">
        <f>MBunk_ene!U$4</f>
        <v>71.573648780481719</v>
      </c>
      <c r="V60" s="102">
        <f>MBunk_ene!V$4</f>
        <v>71.544364704318994</v>
      </c>
      <c r="W60" s="102">
        <f>MBunk_ene!W$4</f>
        <v>82.922776068947201</v>
      </c>
      <c r="X60" s="102">
        <f>MBunk_ene!X$4</f>
        <v>62.578388643753271</v>
      </c>
      <c r="Y60" s="102">
        <f>MBunk_ene!Y$4</f>
        <v>72.982497495177526</v>
      </c>
      <c r="DA60" s="175" t="s">
        <v>957</v>
      </c>
    </row>
    <row r="61" spans="1:105" ht="11.45" customHeight="1" x14ac:dyDescent="0.25">
      <c r="A61" s="138" t="str">
        <f>$A$31</f>
        <v>Extra-EEA</v>
      </c>
      <c r="B61" s="86">
        <f>MBunk_ene!B$10</f>
        <v>85.245773254446263</v>
      </c>
      <c r="C61" s="86">
        <f>MBunk_ene!C$10</f>
        <v>91.384343719629982</v>
      </c>
      <c r="D61" s="86">
        <f>MBunk_ene!D$10</f>
        <v>83.355554404790212</v>
      </c>
      <c r="E61" s="86">
        <f>MBunk_ene!E$10</f>
        <v>96.069572799035598</v>
      </c>
      <c r="F61" s="86">
        <f>MBunk_ene!F$10</f>
        <v>81.542735214183367</v>
      </c>
      <c r="G61" s="86">
        <f>MBunk_ene!G$10</f>
        <v>57.158501407213869</v>
      </c>
      <c r="H61" s="86">
        <f>MBunk_ene!H$10</f>
        <v>58.609668017167245</v>
      </c>
      <c r="I61" s="86">
        <f>MBunk_ene!I$10</f>
        <v>57.588542980058037</v>
      </c>
      <c r="J61" s="86">
        <f>MBunk_ene!J$10</f>
        <v>36.289726567562823</v>
      </c>
      <c r="K61" s="86">
        <f>MBunk_ene!K$10</f>
        <v>47.777994313828145</v>
      </c>
      <c r="L61" s="86">
        <f>MBunk_ene!L$10</f>
        <v>68.486742781087116</v>
      </c>
      <c r="M61" s="86">
        <f>MBunk_ene!M$10</f>
        <v>56.671116257510477</v>
      </c>
      <c r="N61" s="86">
        <f>MBunk_ene!N$10</f>
        <v>66.293942476041408</v>
      </c>
      <c r="O61" s="86">
        <f>MBunk_ene!O$10</f>
        <v>71.518519537167563</v>
      </c>
      <c r="P61" s="86">
        <f>MBunk_ene!P$10</f>
        <v>68.822694339762791</v>
      </c>
      <c r="Q61" s="86">
        <f>MBunk_ene!Q$10</f>
        <v>80.704202743018172</v>
      </c>
      <c r="R61" s="86">
        <f>MBunk_ene!R$10</f>
        <v>81.323426701470666</v>
      </c>
      <c r="S61" s="86">
        <f>MBunk_ene!S$10</f>
        <v>79.896705916735257</v>
      </c>
      <c r="T61" s="86">
        <f>MBunk_ene!T$10</f>
        <v>86.350732328406721</v>
      </c>
      <c r="U61" s="86">
        <f>MBunk_ene!U$10</f>
        <v>70.628844770679052</v>
      </c>
      <c r="V61" s="86">
        <f>MBunk_ene!V$10</f>
        <v>83.422617238931238</v>
      </c>
      <c r="W61" s="86">
        <f>MBunk_ene!W$10</f>
        <v>88.859167181267765</v>
      </c>
      <c r="X61" s="86">
        <f>MBunk_ene!X$10</f>
        <v>62.300545148164218</v>
      </c>
      <c r="Y61" s="86">
        <f>MBunk_ene!Y$10</f>
        <v>60.443727784272184</v>
      </c>
      <c r="DA61" s="178" t="s">
        <v>958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DA63" s="172"/>
    </row>
    <row r="64" spans="1:105" ht="11.45" customHeight="1" x14ac:dyDescent="0.25">
      <c r="A64" s="27" t="s">
        <v>33</v>
      </c>
      <c r="B64" s="28">
        <f t="shared" ref="B64:Q64" si="51">B65+B69+B73</f>
        <v>8153.4712463374108</v>
      </c>
      <c r="C64" s="28">
        <f t="shared" si="51"/>
        <v>8778.0666631881722</v>
      </c>
      <c r="D64" s="28">
        <f t="shared" si="51"/>
        <v>8946.4906450697017</v>
      </c>
      <c r="E64" s="28">
        <f t="shared" si="51"/>
        <v>8947.3192999034545</v>
      </c>
      <c r="F64" s="28">
        <f t="shared" si="51"/>
        <v>9079.402976812913</v>
      </c>
      <c r="G64" s="28">
        <f t="shared" si="51"/>
        <v>9895.5645116498908</v>
      </c>
      <c r="H64" s="28">
        <f t="shared" si="51"/>
        <v>10794.868711122472</v>
      </c>
      <c r="I64" s="28">
        <f t="shared" si="51"/>
        <v>11297.997023436925</v>
      </c>
      <c r="J64" s="28">
        <f t="shared" si="51"/>
        <v>10992.174228353146</v>
      </c>
      <c r="K64" s="28">
        <f t="shared" si="51"/>
        <v>9703.7322009337986</v>
      </c>
      <c r="L64" s="28">
        <f t="shared" si="51"/>
        <v>9836.0748589178238</v>
      </c>
      <c r="M64" s="28">
        <f t="shared" si="51"/>
        <v>9381.6136716784258</v>
      </c>
      <c r="N64" s="28">
        <f t="shared" si="51"/>
        <v>8920.3010747926419</v>
      </c>
      <c r="O64" s="28">
        <f t="shared" si="51"/>
        <v>9249.9834037836754</v>
      </c>
      <c r="P64" s="28">
        <f t="shared" si="51"/>
        <v>9857.3763451169634</v>
      </c>
      <c r="Q64" s="28">
        <f t="shared" si="51"/>
        <v>10361.916174616783</v>
      </c>
      <c r="R64" s="28">
        <f t="shared" ref="R64:V64" si="52">R65+R69+R73</f>
        <v>10865.318210132773</v>
      </c>
      <c r="S64" s="28">
        <f t="shared" si="52"/>
        <v>11193.470704280982</v>
      </c>
      <c r="T64" s="28">
        <f t="shared" si="52"/>
        <v>11477.440331379905</v>
      </c>
      <c r="U64" s="28">
        <f t="shared" si="52"/>
        <v>11446.984319588799</v>
      </c>
      <c r="V64" s="28">
        <f t="shared" si="52"/>
        <v>7783.4371702454519</v>
      </c>
      <c r="W64" s="28">
        <f t="shared" ref="W64:Y64" si="53">W65+W69+W73</f>
        <v>8235.8303642416959</v>
      </c>
      <c r="X64" s="28">
        <f t="shared" si="53"/>
        <v>10510.184155943676</v>
      </c>
      <c r="Y64" s="28">
        <f t="shared" si="53"/>
        <v>11013.699329309584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4">B66+B67+B68</f>
        <v>6185.8303997700905</v>
      </c>
      <c r="C65" s="137">
        <f t="shared" si="54"/>
        <v>6422.9177385431412</v>
      </c>
      <c r="D65" s="137">
        <f t="shared" si="54"/>
        <v>6464.2305635301545</v>
      </c>
      <c r="E65" s="137">
        <f t="shared" si="54"/>
        <v>6508.3406095893597</v>
      </c>
      <c r="F65" s="137">
        <f t="shared" si="54"/>
        <v>6773.808523413185</v>
      </c>
      <c r="G65" s="137">
        <f t="shared" si="54"/>
        <v>7253.59335090067</v>
      </c>
      <c r="H65" s="137">
        <f t="shared" si="54"/>
        <v>8074.2902699544566</v>
      </c>
      <c r="I65" s="137">
        <f t="shared" si="54"/>
        <v>8094.3590051534711</v>
      </c>
      <c r="J65" s="137">
        <f t="shared" si="54"/>
        <v>7989.5745990195583</v>
      </c>
      <c r="K65" s="137">
        <f t="shared" si="54"/>
        <v>7816.9023979989952</v>
      </c>
      <c r="L65" s="137">
        <f t="shared" si="54"/>
        <v>7469.0004504277813</v>
      </c>
      <c r="M65" s="137">
        <f t="shared" si="54"/>
        <v>7202.9188170680227</v>
      </c>
      <c r="N65" s="137">
        <f t="shared" si="54"/>
        <v>7085.3796661312526</v>
      </c>
      <c r="O65" s="137">
        <f t="shared" si="54"/>
        <v>7235.5620884827704</v>
      </c>
      <c r="P65" s="137">
        <f t="shared" si="54"/>
        <v>7554.5360568621518</v>
      </c>
      <c r="Q65" s="137">
        <f t="shared" si="54"/>
        <v>7773.2939563239979</v>
      </c>
      <c r="R65" s="137">
        <f t="shared" ref="R65:V65" si="55">R66+R67+R68</f>
        <v>8194.2126337557511</v>
      </c>
      <c r="S65" s="137">
        <f t="shared" si="55"/>
        <v>8077.5868148828195</v>
      </c>
      <c r="T65" s="137">
        <f t="shared" si="55"/>
        <v>8107.1107546072899</v>
      </c>
      <c r="U65" s="137">
        <f t="shared" si="55"/>
        <v>8025.8463785712092</v>
      </c>
      <c r="V65" s="137">
        <f t="shared" si="55"/>
        <v>6569.055540966594</v>
      </c>
      <c r="W65" s="137">
        <f t="shared" ref="W65:Y65" si="56">W66+W67+W68</f>
        <v>6892.2675020172637</v>
      </c>
      <c r="X65" s="137">
        <f t="shared" si="56"/>
        <v>7413.4181558185464</v>
      </c>
      <c r="Y65" s="137">
        <f t="shared" si="56"/>
        <v>7510.5214972048198</v>
      </c>
      <c r="DA65" s="174" t="s">
        <v>403</v>
      </c>
    </row>
    <row r="66" spans="1:105" ht="11.45" customHeight="1" x14ac:dyDescent="0.25">
      <c r="A66" s="128" t="str">
        <f>$A$6</f>
        <v>Powered two-wheelers</v>
      </c>
      <c r="B66" s="102">
        <f>TrRoad_emi!B$19</f>
        <v>12.74141666566199</v>
      </c>
      <c r="C66" s="102">
        <f>TrRoad_emi!C$19</f>
        <v>13.603992580783954</v>
      </c>
      <c r="D66" s="102">
        <f>TrRoad_emi!D$19</f>
        <v>13.360882728502011</v>
      </c>
      <c r="E66" s="102">
        <f>TrRoad_emi!E$19</f>
        <v>14.272122000868457</v>
      </c>
      <c r="F66" s="102">
        <f>TrRoad_emi!F$19</f>
        <v>13.694555620182072</v>
      </c>
      <c r="G66" s="102">
        <f>TrRoad_emi!G$19</f>
        <v>16.669093510064286</v>
      </c>
      <c r="H66" s="102">
        <f>TrRoad_emi!H$19</f>
        <v>16.326588469122342</v>
      </c>
      <c r="I66" s="102">
        <f>TrRoad_emi!I$19</f>
        <v>16.47352300399357</v>
      </c>
      <c r="J66" s="102">
        <f>TrRoad_emi!J$19</f>
        <v>17.409327986729036</v>
      </c>
      <c r="K66" s="102">
        <f>TrRoad_emi!K$19</f>
        <v>15.86744180541643</v>
      </c>
      <c r="L66" s="102">
        <f>TrRoad_emi!L$19</f>
        <v>13.700451705296883</v>
      </c>
      <c r="M66" s="102">
        <f>TrRoad_emi!M$19</f>
        <v>12.505211686894516</v>
      </c>
      <c r="N66" s="102">
        <f>TrRoad_emi!N$19</f>
        <v>11.138315065392781</v>
      </c>
      <c r="O66" s="102">
        <f>TrRoad_emi!O$19</f>
        <v>10.955413317754115</v>
      </c>
      <c r="P66" s="102">
        <f>TrRoad_emi!P$19</f>
        <v>12.605041281036687</v>
      </c>
      <c r="Q66" s="102">
        <f>TrRoad_emi!Q$19</f>
        <v>11.908169894518505</v>
      </c>
      <c r="R66" s="102">
        <f>TrRoad_emi!R$19</f>
        <v>12.20970919459106</v>
      </c>
      <c r="S66" s="102">
        <f>TrRoad_emi!S$19</f>
        <v>11.449999361403476</v>
      </c>
      <c r="T66" s="102">
        <f>TrRoad_emi!T$19</f>
        <v>10.808429158239228</v>
      </c>
      <c r="U66" s="102">
        <f>TrRoad_emi!U$19</f>
        <v>11.441794694732138</v>
      </c>
      <c r="V66" s="102">
        <f>TrRoad_emi!V$19</f>
        <v>10.289649322250613</v>
      </c>
      <c r="W66" s="102">
        <f>TrRoad_emi!W$19</f>
        <v>10.699617674941008</v>
      </c>
      <c r="X66" s="102">
        <f>TrRoad_emi!X$19</f>
        <v>10.697903273935376</v>
      </c>
      <c r="Y66" s="102">
        <f>TrRoad_emi!Y$19</f>
        <v>11.383088200084321</v>
      </c>
      <c r="DA66" s="175" t="s">
        <v>404</v>
      </c>
    </row>
    <row r="67" spans="1:105" ht="11.45" customHeight="1" x14ac:dyDescent="0.25">
      <c r="A67" s="128" t="str">
        <f>$A$7</f>
        <v>Passenger cars</v>
      </c>
      <c r="B67" s="102">
        <f>TrRoad_emi!B$20</f>
        <v>5772.2939695422638</v>
      </c>
      <c r="C67" s="102">
        <f>TrRoad_emi!C$20</f>
        <v>6013.9148908904872</v>
      </c>
      <c r="D67" s="102">
        <f>TrRoad_emi!D$20</f>
        <v>6053.9796317922028</v>
      </c>
      <c r="E67" s="102">
        <f>TrRoad_emi!E$20</f>
        <v>6079.8381523344242</v>
      </c>
      <c r="F67" s="102">
        <f>TrRoad_emi!F$20</f>
        <v>6333.5018558875754</v>
      </c>
      <c r="G67" s="102">
        <f>TrRoad_emi!G$20</f>
        <v>6795.6210287248832</v>
      </c>
      <c r="H67" s="102">
        <f>TrRoad_emi!H$20</f>
        <v>7587.3477558961276</v>
      </c>
      <c r="I67" s="102">
        <f>TrRoad_emi!I$20</f>
        <v>7579.1660059964979</v>
      </c>
      <c r="J67" s="102">
        <f>TrRoad_emi!J$20</f>
        <v>7443.0282991648855</v>
      </c>
      <c r="K67" s="102">
        <f>TrRoad_emi!K$20</f>
        <v>7281.8095823255353</v>
      </c>
      <c r="L67" s="102">
        <f>TrRoad_emi!L$20</f>
        <v>6951.2178672895652</v>
      </c>
      <c r="M67" s="102">
        <f>TrRoad_emi!M$20</f>
        <v>6700.8240129570486</v>
      </c>
      <c r="N67" s="102">
        <f>TrRoad_emi!N$20</f>
        <v>6589.9508345066561</v>
      </c>
      <c r="O67" s="102">
        <f>TrRoad_emi!O$20</f>
        <v>6741.8337341785418</v>
      </c>
      <c r="P67" s="102">
        <f>TrRoad_emi!P$20</f>
        <v>7050.8884151245511</v>
      </c>
      <c r="Q67" s="102">
        <f>TrRoad_emi!Q$20</f>
        <v>7254.2099948360174</v>
      </c>
      <c r="R67" s="102">
        <f>TrRoad_emi!R$20</f>
        <v>7642.2510420252511</v>
      </c>
      <c r="S67" s="102">
        <f>TrRoad_emi!S$20</f>
        <v>7481.0399106153109</v>
      </c>
      <c r="T67" s="102">
        <f>TrRoad_emi!T$20</f>
        <v>7468.0686262189947</v>
      </c>
      <c r="U67" s="102">
        <f>TrRoad_emi!U$20</f>
        <v>7385.5548903036042</v>
      </c>
      <c r="V67" s="102">
        <f>TrRoad_emi!V$20</f>
        <v>6040.1497093272592</v>
      </c>
      <c r="W67" s="102">
        <f>TrRoad_emi!W$20</f>
        <v>6363.6256592195887</v>
      </c>
      <c r="X67" s="102">
        <f>TrRoad_emi!X$20</f>
        <v>6769.7378941689576</v>
      </c>
      <c r="Y67" s="102">
        <f>TrRoad_emi!Y$20</f>
        <v>6732.0201501124839</v>
      </c>
      <c r="DA67" s="175" t="s">
        <v>405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400.79501356216463</v>
      </c>
      <c r="C68" s="102">
        <f>TrRoad_emi!C$27</f>
        <v>395.39885507187063</v>
      </c>
      <c r="D68" s="102">
        <f>TrRoad_emi!D$27</f>
        <v>396.89004900945054</v>
      </c>
      <c r="E68" s="102">
        <f>TrRoad_emi!E$27</f>
        <v>414.23033525406697</v>
      </c>
      <c r="F68" s="102">
        <f>TrRoad_emi!F$27</f>
        <v>426.61211190542741</v>
      </c>
      <c r="G68" s="102">
        <f>TrRoad_emi!G$27</f>
        <v>441.30322866572226</v>
      </c>
      <c r="H68" s="102">
        <f>TrRoad_emi!H$27</f>
        <v>470.6159255892062</v>
      </c>
      <c r="I68" s="102">
        <f>TrRoad_emi!I$27</f>
        <v>498.71947615297995</v>
      </c>
      <c r="J68" s="102">
        <f>TrRoad_emi!J$27</f>
        <v>529.1369718679432</v>
      </c>
      <c r="K68" s="102">
        <f>TrRoad_emi!K$27</f>
        <v>519.2253738680439</v>
      </c>
      <c r="L68" s="102">
        <f>TrRoad_emi!L$27</f>
        <v>504.0821314329196</v>
      </c>
      <c r="M68" s="102">
        <f>TrRoad_emi!M$27</f>
        <v>489.58959242407911</v>
      </c>
      <c r="N68" s="102">
        <f>TrRoad_emi!N$27</f>
        <v>484.29051655920392</v>
      </c>
      <c r="O68" s="102">
        <f>TrRoad_emi!O$27</f>
        <v>482.7729409864744</v>
      </c>
      <c r="P68" s="102">
        <f>TrRoad_emi!P$27</f>
        <v>491.04260045656395</v>
      </c>
      <c r="Q68" s="102">
        <f>TrRoad_emi!Q$27</f>
        <v>507.17579159346246</v>
      </c>
      <c r="R68" s="102">
        <f>TrRoad_emi!R$27</f>
        <v>539.75188253590898</v>
      </c>
      <c r="S68" s="102">
        <f>TrRoad_emi!S$27</f>
        <v>585.09690490610512</v>
      </c>
      <c r="T68" s="102">
        <f>TrRoad_emi!T$27</f>
        <v>628.233699230056</v>
      </c>
      <c r="U68" s="102">
        <f>TrRoad_emi!U$27</f>
        <v>628.84969357287252</v>
      </c>
      <c r="V68" s="102">
        <f>TrRoad_emi!V$27</f>
        <v>518.61618231708462</v>
      </c>
      <c r="W68" s="102">
        <f>TrRoad_emi!W$27</f>
        <v>517.94222512273438</v>
      </c>
      <c r="X68" s="102">
        <f>TrRoad_emi!X$27</f>
        <v>632.98235837565312</v>
      </c>
      <c r="Y68" s="102">
        <f>TrRoad_emi!Y$27</f>
        <v>767.11825889225179</v>
      </c>
      <c r="DA68" s="175" t="s">
        <v>406</v>
      </c>
    </row>
    <row r="69" spans="1:105" ht="11.45" customHeight="1" x14ac:dyDescent="0.25">
      <c r="A69" s="109" t="str">
        <f>$A$9</f>
        <v>Rail, metro and tram</v>
      </c>
      <c r="B69" s="110">
        <f t="shared" ref="B69:Q69" si="57">B70+B71+B72</f>
        <v>106.62261994264695</v>
      </c>
      <c r="C69" s="110">
        <f t="shared" si="57"/>
        <v>116.76612661219342</v>
      </c>
      <c r="D69" s="110">
        <f t="shared" si="57"/>
        <v>102.33698056765495</v>
      </c>
      <c r="E69" s="110">
        <f t="shared" si="57"/>
        <v>115.96719265945093</v>
      </c>
      <c r="F69" s="110">
        <f t="shared" si="57"/>
        <v>123.97116674896689</v>
      </c>
      <c r="G69" s="110">
        <f t="shared" si="57"/>
        <v>112.97211760025081</v>
      </c>
      <c r="H69" s="110">
        <f t="shared" si="57"/>
        <v>116.43700075867878</v>
      </c>
      <c r="I69" s="110">
        <f t="shared" si="57"/>
        <v>129.06884739055084</v>
      </c>
      <c r="J69" s="110">
        <f t="shared" si="57"/>
        <v>138.04243075839076</v>
      </c>
      <c r="K69" s="110">
        <f t="shared" si="57"/>
        <v>121.85212291351422</v>
      </c>
      <c r="L69" s="110">
        <f t="shared" si="57"/>
        <v>120.3206272125141</v>
      </c>
      <c r="M69" s="110">
        <f t="shared" si="57"/>
        <v>119.95119660439822</v>
      </c>
      <c r="N69" s="110">
        <f t="shared" si="57"/>
        <v>116.49477733082411</v>
      </c>
      <c r="O69" s="110">
        <f t="shared" si="57"/>
        <v>115.79342159365542</v>
      </c>
      <c r="P69" s="110">
        <f t="shared" si="57"/>
        <v>105.82770214909633</v>
      </c>
      <c r="Q69" s="110">
        <f t="shared" si="57"/>
        <v>108.07506794171633</v>
      </c>
      <c r="R69" s="110">
        <f t="shared" ref="R69:V69" si="58">R70+R71+R72</f>
        <v>110.0070292738221</v>
      </c>
      <c r="S69" s="110">
        <f t="shared" si="58"/>
        <v>113.75672520989816</v>
      </c>
      <c r="T69" s="110">
        <f t="shared" si="58"/>
        <v>115.35076268277028</v>
      </c>
      <c r="U69" s="110">
        <f t="shared" si="58"/>
        <v>121.28727429489686</v>
      </c>
      <c r="V69" s="110">
        <f t="shared" si="58"/>
        <v>96.213919178874193</v>
      </c>
      <c r="W69" s="110">
        <f t="shared" ref="W69:Y69" si="59">W70+W71+W72</f>
        <v>103.9866091532371</v>
      </c>
      <c r="X69" s="110">
        <f t="shared" si="59"/>
        <v>114.0837887536746</v>
      </c>
      <c r="Y69" s="110">
        <f t="shared" si="59"/>
        <v>122.10612398846649</v>
      </c>
      <c r="DA69" s="176" t="s">
        <v>407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X70" s="102">
        <f>TrRail_emi!X$10</f>
        <v>0</v>
      </c>
      <c r="Y70" s="102">
        <f>TrRail_emi!Y$10</f>
        <v>0</v>
      </c>
      <c r="DA70" s="175" t="s">
        <v>408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106.62261994264695</v>
      </c>
      <c r="C71" s="102">
        <f>TrRail_emi!C$11</f>
        <v>116.76612661219342</v>
      </c>
      <c r="D71" s="102">
        <f>TrRail_emi!D$11</f>
        <v>102.33698056765495</v>
      </c>
      <c r="E71" s="102">
        <f>TrRail_emi!E$11</f>
        <v>115.96719265945093</v>
      </c>
      <c r="F71" s="102">
        <f>TrRail_emi!F$11</f>
        <v>123.97116674896689</v>
      </c>
      <c r="G71" s="102">
        <f>TrRail_emi!G$11</f>
        <v>112.97211760025081</v>
      </c>
      <c r="H71" s="102">
        <f>TrRail_emi!H$11</f>
        <v>116.43700075867878</v>
      </c>
      <c r="I71" s="102">
        <f>TrRail_emi!I$11</f>
        <v>129.06884739055084</v>
      </c>
      <c r="J71" s="102">
        <f>TrRail_emi!J$11</f>
        <v>138.04243075839076</v>
      </c>
      <c r="K71" s="102">
        <f>TrRail_emi!K$11</f>
        <v>121.85212291351422</v>
      </c>
      <c r="L71" s="102">
        <f>TrRail_emi!L$11</f>
        <v>120.3206272125141</v>
      </c>
      <c r="M71" s="102">
        <f>TrRail_emi!M$11</f>
        <v>119.95119660439822</v>
      </c>
      <c r="N71" s="102">
        <f>TrRail_emi!N$11</f>
        <v>116.49477733082411</v>
      </c>
      <c r="O71" s="102">
        <f>TrRail_emi!O$11</f>
        <v>115.79342159365542</v>
      </c>
      <c r="P71" s="102">
        <f>TrRail_emi!P$11</f>
        <v>105.82770214909633</v>
      </c>
      <c r="Q71" s="102">
        <f>TrRail_emi!Q$11</f>
        <v>108.07506794171633</v>
      </c>
      <c r="R71" s="102">
        <f>TrRail_emi!R$11</f>
        <v>110.0070292738221</v>
      </c>
      <c r="S71" s="102">
        <f>TrRail_emi!S$11</f>
        <v>113.75672520989816</v>
      </c>
      <c r="T71" s="102">
        <f>TrRail_emi!T$11</f>
        <v>115.35076268277028</v>
      </c>
      <c r="U71" s="102">
        <f>TrRail_emi!U$11</f>
        <v>121.28727429489686</v>
      </c>
      <c r="V71" s="102">
        <f>TrRail_emi!V$11</f>
        <v>96.213919178874193</v>
      </c>
      <c r="W71" s="102">
        <f>TrRail_emi!W$11</f>
        <v>103.9866091532371</v>
      </c>
      <c r="X71" s="102">
        <f>TrRail_emi!X$11</f>
        <v>114.0837887536746</v>
      </c>
      <c r="Y71" s="102">
        <f>TrRail_emi!Y$11</f>
        <v>122.10612398846649</v>
      </c>
      <c r="DA71" s="175" t="s">
        <v>409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X72" s="102">
        <f>TrRail_emi!X$14</f>
        <v>0</v>
      </c>
      <c r="Y72" s="102">
        <f>TrRail_emi!Y$14</f>
        <v>0</v>
      </c>
      <c r="DA72" s="175" t="s">
        <v>410</v>
      </c>
    </row>
    <row r="73" spans="1:105" ht="11.45" customHeight="1" x14ac:dyDescent="0.25">
      <c r="A73" s="109" t="str">
        <f>$A$13</f>
        <v>Aviation</v>
      </c>
      <c r="B73" s="110">
        <f t="shared" ref="B73:Q73" si="60">B74+B75+B76</f>
        <v>1861.0182266246727</v>
      </c>
      <c r="C73" s="110">
        <f t="shared" si="60"/>
        <v>2238.3827980328369</v>
      </c>
      <c r="D73" s="110">
        <f t="shared" si="60"/>
        <v>2379.9231009718924</v>
      </c>
      <c r="E73" s="110">
        <f t="shared" si="60"/>
        <v>2323.0114976546447</v>
      </c>
      <c r="F73" s="110">
        <f t="shared" si="60"/>
        <v>2181.6232866507603</v>
      </c>
      <c r="G73" s="110">
        <f t="shared" si="60"/>
        <v>2528.9990431489705</v>
      </c>
      <c r="H73" s="110">
        <f t="shared" si="60"/>
        <v>2604.1414404093357</v>
      </c>
      <c r="I73" s="110">
        <f t="shared" si="60"/>
        <v>3074.5691708929025</v>
      </c>
      <c r="J73" s="110">
        <f t="shared" si="60"/>
        <v>2864.5571985751967</v>
      </c>
      <c r="K73" s="110">
        <f t="shared" si="60"/>
        <v>1764.9776800212894</v>
      </c>
      <c r="L73" s="110">
        <f t="shared" si="60"/>
        <v>2246.7537812775281</v>
      </c>
      <c r="M73" s="110">
        <f t="shared" si="60"/>
        <v>2058.7436580060048</v>
      </c>
      <c r="N73" s="110">
        <f t="shared" si="60"/>
        <v>1718.4266313305643</v>
      </c>
      <c r="O73" s="110">
        <f t="shared" si="60"/>
        <v>1898.6278937072489</v>
      </c>
      <c r="P73" s="110">
        <f t="shared" si="60"/>
        <v>2197.0125861057149</v>
      </c>
      <c r="Q73" s="110">
        <f t="shared" si="60"/>
        <v>2480.5471503510689</v>
      </c>
      <c r="R73" s="110">
        <f t="shared" ref="R73:V73" si="61">R74+R75+R76</f>
        <v>2561.0985471031991</v>
      </c>
      <c r="S73" s="110">
        <f t="shared" si="61"/>
        <v>3002.1271641882659</v>
      </c>
      <c r="T73" s="110">
        <f t="shared" si="61"/>
        <v>3254.9788140898445</v>
      </c>
      <c r="U73" s="110">
        <f t="shared" si="61"/>
        <v>3299.8506667226925</v>
      </c>
      <c r="V73" s="110">
        <f t="shared" si="61"/>
        <v>1118.1677100999841</v>
      </c>
      <c r="W73" s="110">
        <f t="shared" ref="W73:Y73" si="62">W74+W75+W76</f>
        <v>1239.5762530711957</v>
      </c>
      <c r="X73" s="110">
        <f t="shared" si="62"/>
        <v>2982.6822113714547</v>
      </c>
      <c r="Y73" s="110">
        <f t="shared" si="62"/>
        <v>3381.0717081162966</v>
      </c>
      <c r="DA73" s="176" t="s">
        <v>327</v>
      </c>
    </row>
    <row r="74" spans="1:105" ht="11.45" customHeight="1" x14ac:dyDescent="0.25">
      <c r="A74" s="128" t="str">
        <f>$A$14</f>
        <v>Domestic</v>
      </c>
      <c r="B74" s="102">
        <f>TrAvia_emi!B$7</f>
        <v>94.209313515448144</v>
      </c>
      <c r="C74" s="102">
        <f>TrAvia_emi!C$7</f>
        <v>112.67637590375061</v>
      </c>
      <c r="D74" s="102">
        <f>TrAvia_emi!D$7</f>
        <v>119.86626030104314</v>
      </c>
      <c r="E74" s="102">
        <f>TrAvia_emi!E$7</f>
        <v>114.11229517758376</v>
      </c>
      <c r="F74" s="102">
        <f>TrAvia_emi!F$7</f>
        <v>107.71679154324812</v>
      </c>
      <c r="G74" s="102">
        <f>TrAvia_emi!G$7</f>
        <v>133.68420835078678</v>
      </c>
      <c r="H74" s="102">
        <f>TrAvia_emi!H$7</f>
        <v>170.78746427432171</v>
      </c>
      <c r="I74" s="102">
        <f>TrAvia_emi!I$7</f>
        <v>153.32854416962729</v>
      </c>
      <c r="J74" s="102">
        <f>TrAvia_emi!J$7</f>
        <v>122.0630502241459</v>
      </c>
      <c r="K74" s="102">
        <f>TrAvia_emi!K$7</f>
        <v>91.298169723343676</v>
      </c>
      <c r="L74" s="102">
        <f>TrAvia_emi!L$7</f>
        <v>78.29951533371964</v>
      </c>
      <c r="M74" s="102">
        <f>TrAvia_emi!M$7</f>
        <v>21.8338853773135</v>
      </c>
      <c r="N74" s="102">
        <f>TrAvia_emi!N$7</f>
        <v>20.022004221697738</v>
      </c>
      <c r="O74" s="102">
        <f>TrAvia_emi!O$7</f>
        <v>20.453187505184971</v>
      </c>
      <c r="P74" s="102">
        <f>TrAvia_emi!P$7</f>
        <v>21.478202763077366</v>
      </c>
      <c r="Q74" s="102">
        <f>TrAvia_emi!Q$7</f>
        <v>21.606974447199665</v>
      </c>
      <c r="R74" s="102">
        <f>TrAvia_emi!R$7</f>
        <v>11.197045862832523</v>
      </c>
      <c r="S74" s="102">
        <f>TrAvia_emi!S$7</f>
        <v>15.014232884792012</v>
      </c>
      <c r="T74" s="102">
        <f>TrAvia_emi!T$7</f>
        <v>14.418819833790399</v>
      </c>
      <c r="U74" s="102">
        <f>TrAvia_emi!U$7</f>
        <v>16.408813295735627</v>
      </c>
      <c r="V74" s="102">
        <f>TrAvia_emi!V$7</f>
        <v>12.431168060732947</v>
      </c>
      <c r="W74" s="102">
        <f>TrAvia_emi!W$7</f>
        <v>16.18039610982801</v>
      </c>
      <c r="X74" s="102">
        <f>TrAvia_emi!X$7</f>
        <v>37.562478170072609</v>
      </c>
      <c r="Y74" s="102">
        <f>TrAvia_emi!Y$7</f>
        <v>20.689303232776847</v>
      </c>
      <c r="DA74" s="175" t="s">
        <v>328</v>
      </c>
    </row>
    <row r="75" spans="1:105" ht="11.45" customHeight="1" x14ac:dyDescent="0.25">
      <c r="A75" s="128" t="str">
        <f>$A$15</f>
        <v>International - Intra-EEAwCHUK</v>
      </c>
      <c r="B75" s="102">
        <f>TrAvia_emi!B$8</f>
        <v>1102.8009044399805</v>
      </c>
      <c r="C75" s="102">
        <f>TrAvia_emi!C$8</f>
        <v>1332.4218996151212</v>
      </c>
      <c r="D75" s="102">
        <f>TrAvia_emi!D$8</f>
        <v>1446.2553340277946</v>
      </c>
      <c r="E75" s="102">
        <f>TrAvia_emi!E$8</f>
        <v>1518.9778677073684</v>
      </c>
      <c r="F75" s="102">
        <f>TrAvia_emi!F$8</f>
        <v>1438.0290208877918</v>
      </c>
      <c r="G75" s="102">
        <f>TrAvia_emi!G$8</f>
        <v>1670.3938712687227</v>
      </c>
      <c r="H75" s="102">
        <f>TrAvia_emi!H$8</f>
        <v>1695.301955120897</v>
      </c>
      <c r="I75" s="102">
        <f>TrAvia_emi!I$8</f>
        <v>2049.649159292781</v>
      </c>
      <c r="J75" s="102">
        <f>TrAvia_emi!J$8</f>
        <v>1926.5035396656369</v>
      </c>
      <c r="K75" s="102">
        <f>TrAvia_emi!K$8</f>
        <v>1145.4786123067761</v>
      </c>
      <c r="L75" s="102">
        <f>TrAvia_emi!L$8</f>
        <v>1458.5626870133954</v>
      </c>
      <c r="M75" s="102">
        <f>TrAvia_emi!M$8</f>
        <v>1369.6688992061752</v>
      </c>
      <c r="N75" s="102">
        <f>TrAvia_emi!N$8</f>
        <v>1133.3653559841275</v>
      </c>
      <c r="O75" s="102">
        <f>TrAvia_emi!O$8</f>
        <v>1251.4559497802982</v>
      </c>
      <c r="P75" s="102">
        <f>TrAvia_emi!P$8</f>
        <v>1459.9202891813586</v>
      </c>
      <c r="Q75" s="102">
        <f>TrAvia_emi!Q$8</f>
        <v>1662.2809419785231</v>
      </c>
      <c r="R75" s="102">
        <f>TrAvia_emi!R$8</f>
        <v>1764.3098440437959</v>
      </c>
      <c r="S75" s="102">
        <f>TrAvia_emi!S$8</f>
        <v>2085.7444563439922</v>
      </c>
      <c r="T75" s="102">
        <f>TrAvia_emi!T$8</f>
        <v>2264.0739811369467</v>
      </c>
      <c r="U75" s="102">
        <f>TrAvia_emi!U$8</f>
        <v>2272.5537589909263</v>
      </c>
      <c r="V75" s="102">
        <f>TrAvia_emi!V$8</f>
        <v>660.29322485854095</v>
      </c>
      <c r="W75" s="102">
        <f>TrAvia_emi!W$8</f>
        <v>763.50648452618873</v>
      </c>
      <c r="X75" s="102">
        <f>TrAvia_emi!X$8</f>
        <v>2061.1821004062249</v>
      </c>
      <c r="Y75" s="102">
        <f>TrAvia_emi!Y$8</f>
        <v>2347.3204022927039</v>
      </c>
      <c r="DA75" s="175" t="s">
        <v>329</v>
      </c>
    </row>
    <row r="76" spans="1:105" ht="11.45" customHeight="1" x14ac:dyDescent="0.25">
      <c r="A76" s="128" t="str">
        <f>$A$16</f>
        <v>International - Extra-EEAwCHUK</v>
      </c>
      <c r="B76" s="102">
        <f>TrAvia_emi!B$9</f>
        <v>664.00800866924396</v>
      </c>
      <c r="C76" s="102">
        <f>TrAvia_emi!C$9</f>
        <v>793.28452251396516</v>
      </c>
      <c r="D76" s="102">
        <f>TrAvia_emi!D$9</f>
        <v>813.80150664305484</v>
      </c>
      <c r="E76" s="102">
        <f>TrAvia_emi!E$9</f>
        <v>689.92133476969275</v>
      </c>
      <c r="F76" s="102">
        <f>TrAvia_emi!F$9</f>
        <v>635.87747421972028</v>
      </c>
      <c r="G76" s="102">
        <f>TrAvia_emi!G$9</f>
        <v>724.92096352946101</v>
      </c>
      <c r="H76" s="102">
        <f>TrAvia_emi!H$9</f>
        <v>738.0520210141168</v>
      </c>
      <c r="I76" s="102">
        <f>TrAvia_emi!I$9</f>
        <v>871.5914674304945</v>
      </c>
      <c r="J76" s="102">
        <f>TrAvia_emi!J$9</f>
        <v>815.99060868541403</v>
      </c>
      <c r="K76" s="102">
        <f>TrAvia_emi!K$9</f>
        <v>528.20089799116977</v>
      </c>
      <c r="L76" s="102">
        <f>TrAvia_emi!L$9</f>
        <v>709.89157893041283</v>
      </c>
      <c r="M76" s="102">
        <f>TrAvia_emi!M$9</f>
        <v>667.2408734225163</v>
      </c>
      <c r="N76" s="102">
        <f>TrAvia_emi!N$9</f>
        <v>565.039271124739</v>
      </c>
      <c r="O76" s="102">
        <f>TrAvia_emi!O$9</f>
        <v>626.71875642176565</v>
      </c>
      <c r="P76" s="102">
        <f>TrAvia_emi!P$9</f>
        <v>715.61409416127879</v>
      </c>
      <c r="Q76" s="102">
        <f>TrAvia_emi!Q$9</f>
        <v>796.65923392534614</v>
      </c>
      <c r="R76" s="102">
        <f>TrAvia_emi!R$9</f>
        <v>785.59165719657062</v>
      </c>
      <c r="S76" s="102">
        <f>TrAvia_emi!S$9</f>
        <v>901.36847495948166</v>
      </c>
      <c r="T76" s="102">
        <f>TrAvia_emi!T$9</f>
        <v>976.48601311910716</v>
      </c>
      <c r="U76" s="102">
        <f>TrAvia_emi!U$9</f>
        <v>1010.8880944360302</v>
      </c>
      <c r="V76" s="102">
        <f>TrAvia_emi!V$9</f>
        <v>445.44331718071032</v>
      </c>
      <c r="W76" s="102">
        <f>TrAvia_emi!W$9</f>
        <v>459.88937243517881</v>
      </c>
      <c r="X76" s="102">
        <f>TrAvia_emi!X$9</f>
        <v>883.93763279515724</v>
      </c>
      <c r="Y76" s="102">
        <f>TrAvia_emi!Y$9</f>
        <v>1013.062002590816</v>
      </c>
      <c r="DA76" s="175" t="s">
        <v>330</v>
      </c>
    </row>
    <row r="77" spans="1:105" ht="11.45" customHeight="1" x14ac:dyDescent="0.25">
      <c r="A77" s="27" t="s">
        <v>34</v>
      </c>
      <c r="B77" s="28">
        <f t="shared" ref="B77:Y77" si="63">B78+B81+B82+B86+B92</f>
        <v>4197.7957972225877</v>
      </c>
      <c r="C77" s="28">
        <f t="shared" si="63"/>
        <v>4428.1135541318254</v>
      </c>
      <c r="D77" s="28">
        <f t="shared" si="63"/>
        <v>4598.7745269702964</v>
      </c>
      <c r="E77" s="28">
        <f t="shared" si="63"/>
        <v>4751.7158073765449</v>
      </c>
      <c r="F77" s="28">
        <f t="shared" si="63"/>
        <v>5220.7639961470886</v>
      </c>
      <c r="G77" s="28">
        <f t="shared" si="63"/>
        <v>5420.5075324701102</v>
      </c>
      <c r="H77" s="28">
        <f t="shared" si="63"/>
        <v>5795.831466797531</v>
      </c>
      <c r="I77" s="28">
        <f t="shared" si="63"/>
        <v>6121.6345619630729</v>
      </c>
      <c r="J77" s="28">
        <f t="shared" si="63"/>
        <v>5407.4123535668532</v>
      </c>
      <c r="K77" s="28">
        <f t="shared" si="63"/>
        <v>4333.816350626199</v>
      </c>
      <c r="L77" s="28">
        <f t="shared" si="63"/>
        <v>3904.1301892821784</v>
      </c>
      <c r="M77" s="28">
        <f t="shared" si="63"/>
        <v>3623.3923036015767</v>
      </c>
      <c r="N77" s="28">
        <f t="shared" si="63"/>
        <v>3533.7729183673591</v>
      </c>
      <c r="O77" s="28">
        <f t="shared" si="63"/>
        <v>3546.4299548963245</v>
      </c>
      <c r="P77" s="28">
        <f t="shared" si="63"/>
        <v>3670.4063568030351</v>
      </c>
      <c r="Q77" s="28">
        <f t="shared" si="63"/>
        <v>3608.4139718232145</v>
      </c>
      <c r="R77" s="28">
        <f t="shared" si="63"/>
        <v>3824.3299530272288</v>
      </c>
      <c r="S77" s="28">
        <f t="shared" si="63"/>
        <v>3677.9460096390171</v>
      </c>
      <c r="T77" s="28">
        <f t="shared" si="63"/>
        <v>3805.9414555400936</v>
      </c>
      <c r="U77" s="28">
        <f t="shared" si="63"/>
        <v>3875.1197542111977</v>
      </c>
      <c r="V77" s="28">
        <f t="shared" si="63"/>
        <v>3491.6745087503332</v>
      </c>
      <c r="W77" s="28">
        <f t="shared" si="63"/>
        <v>3848.5485748725459</v>
      </c>
      <c r="X77" s="28">
        <f t="shared" si="63"/>
        <v>3938.6146715309542</v>
      </c>
      <c r="Y77" s="28">
        <f t="shared" si="63"/>
        <v>3971.9048776441068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3991.5272247899075</v>
      </c>
      <c r="C78" s="137">
        <f t="shared" si="64"/>
        <v>4217.6544931368553</v>
      </c>
      <c r="D78" s="137">
        <f t="shared" si="64"/>
        <v>4383.5852779898441</v>
      </c>
      <c r="E78" s="137">
        <f t="shared" si="64"/>
        <v>4522.1542781306398</v>
      </c>
      <c r="F78" s="137">
        <f t="shared" si="64"/>
        <v>4921.8133383868153</v>
      </c>
      <c r="G78" s="137">
        <f t="shared" si="64"/>
        <v>5133.782045819331</v>
      </c>
      <c r="H78" s="137">
        <f t="shared" si="64"/>
        <v>5371.3737870455443</v>
      </c>
      <c r="I78" s="137">
        <f t="shared" si="64"/>
        <v>5756.3665808865262</v>
      </c>
      <c r="J78" s="137">
        <f t="shared" si="64"/>
        <v>5044.6423245404412</v>
      </c>
      <c r="K78" s="137">
        <f t="shared" si="64"/>
        <v>4016.2373005610029</v>
      </c>
      <c r="L78" s="137">
        <f t="shared" si="64"/>
        <v>3569.3764220122202</v>
      </c>
      <c r="M78" s="137">
        <f t="shared" si="64"/>
        <v>3329.5267572519797</v>
      </c>
      <c r="N78" s="137">
        <f t="shared" si="64"/>
        <v>3229.5584092687477</v>
      </c>
      <c r="O78" s="137">
        <f t="shared" si="64"/>
        <v>3242.3151088372288</v>
      </c>
      <c r="P78" s="137">
        <f t="shared" si="64"/>
        <v>3334.0182425378462</v>
      </c>
      <c r="Q78" s="137">
        <f t="shared" si="64"/>
        <v>3314.9646777560001</v>
      </c>
      <c r="R78" s="137">
        <f t="shared" ref="R78:V78" si="65">R79+R80</f>
        <v>3496.7338014842499</v>
      </c>
      <c r="S78" s="137">
        <f t="shared" si="65"/>
        <v>3365.4430920771811</v>
      </c>
      <c r="T78" s="137">
        <f t="shared" si="65"/>
        <v>3476.0675137927074</v>
      </c>
      <c r="U78" s="137">
        <f t="shared" si="65"/>
        <v>3534.8473874687879</v>
      </c>
      <c r="V78" s="137">
        <f t="shared" si="65"/>
        <v>3068.6063083891913</v>
      </c>
      <c r="W78" s="137">
        <f t="shared" ref="W78:Y78" si="66">W79+W80</f>
        <v>3378.9582340969787</v>
      </c>
      <c r="X78" s="137">
        <f t="shared" si="66"/>
        <v>3544.932266976085</v>
      </c>
      <c r="Y78" s="137">
        <f t="shared" si="66"/>
        <v>3603.8110371088706</v>
      </c>
      <c r="DA78" s="174" t="s">
        <v>411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1289.5812554133597</v>
      </c>
      <c r="C79" s="102">
        <f>TrRoad_emi!C$34</f>
        <v>1329.7026417525626</v>
      </c>
      <c r="D79" s="102">
        <f>TrRoad_emi!D$34</f>
        <v>1398.7695548092365</v>
      </c>
      <c r="E79" s="102">
        <f>TrRoad_emi!E$34</f>
        <v>1478.0659507909518</v>
      </c>
      <c r="F79" s="102">
        <f>TrRoad_emi!F$34</f>
        <v>1579.5379501172695</v>
      </c>
      <c r="G79" s="102">
        <f>TrRoad_emi!G$34</f>
        <v>1672.3286760694377</v>
      </c>
      <c r="H79" s="102">
        <f>TrRoad_emi!H$34</f>
        <v>1796.2653618377117</v>
      </c>
      <c r="I79" s="102">
        <f>TrRoad_emi!I$34</f>
        <v>1895.9625460154996</v>
      </c>
      <c r="J79" s="102">
        <f>TrRoad_emi!J$34</f>
        <v>1835.793226768513</v>
      </c>
      <c r="K79" s="102">
        <f>TrRoad_emi!K$34</f>
        <v>1731.5056035981602</v>
      </c>
      <c r="L79" s="102">
        <f>TrRoad_emi!L$34</f>
        <v>1604.0345361260281</v>
      </c>
      <c r="M79" s="102">
        <f>TrRoad_emi!M$34</f>
        <v>1546.8399957232234</v>
      </c>
      <c r="N79" s="102">
        <f>TrRoad_emi!N$34</f>
        <v>1464.7894917860576</v>
      </c>
      <c r="O79" s="102">
        <f>TrRoad_emi!O$34</f>
        <v>1485.9143914455201</v>
      </c>
      <c r="P79" s="102">
        <f>TrRoad_emi!P$34</f>
        <v>1446.8990366365781</v>
      </c>
      <c r="Q79" s="102">
        <f>TrRoad_emi!Q$34</f>
        <v>1400.1848089919888</v>
      </c>
      <c r="R79" s="102">
        <f>TrRoad_emi!R$34</f>
        <v>1361.9446958884016</v>
      </c>
      <c r="S79" s="102">
        <f>TrRoad_emi!S$34</f>
        <v>1307.9809927211102</v>
      </c>
      <c r="T79" s="102">
        <f>TrRoad_emi!T$34</f>
        <v>1314.3720958768001</v>
      </c>
      <c r="U79" s="102">
        <f>TrRoad_emi!U$34</f>
        <v>1258.8808422683562</v>
      </c>
      <c r="V79" s="102">
        <f>TrRoad_emi!V$34</f>
        <v>1218.4040914013046</v>
      </c>
      <c r="W79" s="102">
        <f>TrRoad_emi!W$34</f>
        <v>1270.1995759676411</v>
      </c>
      <c r="X79" s="102">
        <f>TrRoad_emi!X$34</f>
        <v>1358.2508204688945</v>
      </c>
      <c r="Y79" s="102">
        <f>TrRoad_emi!Y$34</f>
        <v>1397.505664188018</v>
      </c>
      <c r="DA79" s="175" t="s">
        <v>412</v>
      </c>
    </row>
    <row r="80" spans="1:105" ht="11.45" customHeight="1" x14ac:dyDescent="0.25">
      <c r="A80" s="128" t="str">
        <f>$A$20</f>
        <v>Heavy goods vehicles</v>
      </c>
      <c r="B80" s="102">
        <f>TrRoad_emi!B$40</f>
        <v>2701.945969376548</v>
      </c>
      <c r="C80" s="102">
        <f>TrRoad_emi!C$40</f>
        <v>2887.9518513842931</v>
      </c>
      <c r="D80" s="102">
        <f>TrRoad_emi!D$40</f>
        <v>2984.8157231806076</v>
      </c>
      <c r="E80" s="102">
        <f>TrRoad_emi!E$40</f>
        <v>3044.0883273396876</v>
      </c>
      <c r="F80" s="102">
        <f>TrRoad_emi!F$40</f>
        <v>3342.2753882695456</v>
      </c>
      <c r="G80" s="102">
        <f>TrRoad_emi!G$40</f>
        <v>3461.4533697498937</v>
      </c>
      <c r="H80" s="102">
        <f>TrRoad_emi!H$40</f>
        <v>3575.1084252078331</v>
      </c>
      <c r="I80" s="102">
        <f>TrRoad_emi!I$40</f>
        <v>3860.4040348710264</v>
      </c>
      <c r="J80" s="102">
        <f>TrRoad_emi!J$40</f>
        <v>3208.8490977719284</v>
      </c>
      <c r="K80" s="102">
        <f>TrRoad_emi!K$40</f>
        <v>2284.7316969628428</v>
      </c>
      <c r="L80" s="102">
        <f>TrRoad_emi!L$40</f>
        <v>1965.3418858861919</v>
      </c>
      <c r="M80" s="102">
        <f>TrRoad_emi!M$40</f>
        <v>1782.6867615287565</v>
      </c>
      <c r="N80" s="102">
        <f>TrRoad_emi!N$40</f>
        <v>1764.7689174826899</v>
      </c>
      <c r="O80" s="102">
        <f>TrRoad_emi!O$40</f>
        <v>1756.4007173917087</v>
      </c>
      <c r="P80" s="102">
        <f>TrRoad_emi!P$40</f>
        <v>1887.1192059012683</v>
      </c>
      <c r="Q80" s="102">
        <f>TrRoad_emi!Q$40</f>
        <v>1914.7798687640116</v>
      </c>
      <c r="R80" s="102">
        <f>TrRoad_emi!R$40</f>
        <v>2134.789105595848</v>
      </c>
      <c r="S80" s="102">
        <f>TrRoad_emi!S$40</f>
        <v>2057.4620993560711</v>
      </c>
      <c r="T80" s="102">
        <f>TrRoad_emi!T$40</f>
        <v>2161.6954179159075</v>
      </c>
      <c r="U80" s="102">
        <f>TrRoad_emi!U$40</f>
        <v>2275.9665452004315</v>
      </c>
      <c r="V80" s="102">
        <f>TrRoad_emi!V$40</f>
        <v>1850.2022169878865</v>
      </c>
      <c r="W80" s="102">
        <f>TrRoad_emi!W$40</f>
        <v>2108.7586581293376</v>
      </c>
      <c r="X80" s="102">
        <f>TrRoad_emi!X$40</f>
        <v>2186.6814465071907</v>
      </c>
      <c r="Y80" s="102">
        <f>TrRoad_emi!Y$40</f>
        <v>2206.3053729208527</v>
      </c>
      <c r="DA80" s="175" t="s">
        <v>413</v>
      </c>
    </row>
    <row r="81" spans="1:105" ht="11.45" customHeight="1" x14ac:dyDescent="0.25">
      <c r="A81" s="109" t="str">
        <f>$A$21</f>
        <v>Rail transport</v>
      </c>
      <c r="B81" s="110">
        <f>TrRail_emi!B$15</f>
        <v>17.875339097353056</v>
      </c>
      <c r="C81" s="110">
        <f>TrRail_emi!C$15</f>
        <v>19.117682747806565</v>
      </c>
      <c r="D81" s="110">
        <f>TrRail_emi!D$15</f>
        <v>16.484058912345048</v>
      </c>
      <c r="E81" s="110">
        <f>TrRail_emi!E$15</f>
        <v>15.263522020549063</v>
      </c>
      <c r="F81" s="110">
        <f>TrRail_emi!F$15</f>
        <v>14.396711731033063</v>
      </c>
      <c r="G81" s="110">
        <f>TrRail_emi!G$15</f>
        <v>10.559903479749197</v>
      </c>
      <c r="H81" s="110">
        <f>TrRail_emi!H$15</f>
        <v>7.0950203213212406</v>
      </c>
      <c r="I81" s="110">
        <f>TrRail_emi!I$15</f>
        <v>4.5237603294491588</v>
      </c>
      <c r="J81" s="110">
        <f>TrRail_emi!J$15</f>
        <v>3.5409727616092099</v>
      </c>
      <c r="K81" s="110">
        <f>TrRail_emi!K$15</f>
        <v>2.3825440064857637</v>
      </c>
      <c r="L81" s="110">
        <f>TrRail_emi!L$15</f>
        <v>2.964374107485912</v>
      </c>
      <c r="M81" s="110">
        <f>TrRail_emi!M$15</f>
        <v>3.3946259956017557</v>
      </c>
      <c r="N81" s="110">
        <f>TrRail_emi!N$15</f>
        <v>2.8299050291758978</v>
      </c>
      <c r="O81" s="110">
        <f>TrRail_emi!O$15</f>
        <v>3.040422366344552</v>
      </c>
      <c r="P81" s="110">
        <f>TrRail_emi!P$15</f>
        <v>3.1861726909036836</v>
      </c>
      <c r="Q81" s="110">
        <f>TrRail_emi!Q$15</f>
        <v>3.0216689782836652</v>
      </c>
      <c r="R81" s="110">
        <f>TrRail_emi!R$15</f>
        <v>3.1402917661779104</v>
      </c>
      <c r="S81" s="110">
        <f>TrRail_emi!S$15</f>
        <v>3.043073750101863</v>
      </c>
      <c r="T81" s="110">
        <f>TrRail_emi!T$15</f>
        <v>2.6750652372297217</v>
      </c>
      <c r="U81" s="110">
        <f>TrRail_emi!U$15</f>
        <v>2.2196713451031247</v>
      </c>
      <c r="V81" s="110">
        <f>TrRail_emi!V$15</f>
        <v>2.1847749811258117</v>
      </c>
      <c r="W81" s="110">
        <f>TrRail_emi!W$15</f>
        <v>2.4284897667628877</v>
      </c>
      <c r="X81" s="110">
        <f>TrRail_emi!X$15</f>
        <v>4.895172646325368</v>
      </c>
      <c r="Y81" s="110">
        <f>TrRail_emi!Y$15</f>
        <v>2.6396550915335193</v>
      </c>
      <c r="DA81" s="176" t="s">
        <v>414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35.064675375327184</v>
      </c>
      <c r="C82" s="110">
        <f t="shared" si="67"/>
        <v>38.194903967163484</v>
      </c>
      <c r="D82" s="110">
        <f t="shared" si="67"/>
        <v>36.169361028107474</v>
      </c>
      <c r="E82" s="110">
        <f t="shared" si="67"/>
        <v>39.177534345355937</v>
      </c>
      <c r="F82" s="110">
        <f t="shared" si="67"/>
        <v>56.904935349239913</v>
      </c>
      <c r="G82" s="110">
        <f t="shared" si="67"/>
        <v>64.44667941102999</v>
      </c>
      <c r="H82" s="110">
        <f t="shared" si="67"/>
        <v>84.154327790664709</v>
      </c>
      <c r="I82" s="110">
        <f t="shared" si="67"/>
        <v>80.155899667097231</v>
      </c>
      <c r="J82" s="110">
        <f t="shared" si="67"/>
        <v>71.432879984803236</v>
      </c>
      <c r="K82" s="110">
        <f t="shared" si="67"/>
        <v>45.381948538710212</v>
      </c>
      <c r="L82" s="110">
        <f t="shared" si="67"/>
        <v>67.761457282472406</v>
      </c>
      <c r="M82" s="110">
        <f t="shared" si="67"/>
        <v>52.841020553994852</v>
      </c>
      <c r="N82" s="110">
        <f t="shared" si="67"/>
        <v>53.883517229435782</v>
      </c>
      <c r="O82" s="110">
        <f t="shared" si="67"/>
        <v>57.588074852751099</v>
      </c>
      <c r="P82" s="110">
        <f t="shared" si="67"/>
        <v>60.4284324542852</v>
      </c>
      <c r="Q82" s="110">
        <f t="shared" si="67"/>
        <v>68.606548208930889</v>
      </c>
      <c r="R82" s="110">
        <f t="shared" si="67"/>
        <v>57.893262176801031</v>
      </c>
      <c r="S82" s="110">
        <f t="shared" si="67"/>
        <v>74.085224851734026</v>
      </c>
      <c r="T82" s="110">
        <f t="shared" si="67"/>
        <v>66.863524350156297</v>
      </c>
      <c r="U82" s="110">
        <f t="shared" si="67"/>
        <v>60.786086037306546</v>
      </c>
      <c r="V82" s="110">
        <f t="shared" si="67"/>
        <v>81.802388540016153</v>
      </c>
      <c r="W82" s="110">
        <f t="shared" ref="W82:Y82" si="68">W83+W84+W85</f>
        <v>104.56725396880448</v>
      </c>
      <c r="X82" s="110">
        <f t="shared" si="68"/>
        <v>82.888738228543957</v>
      </c>
      <c r="Y82" s="110">
        <f t="shared" si="68"/>
        <v>78.518326363703181</v>
      </c>
      <c r="DA82" s="176" t="s">
        <v>331</v>
      </c>
    </row>
    <row r="83" spans="1:105" ht="11.45" customHeight="1" x14ac:dyDescent="0.25">
      <c r="A83" s="128" t="s">
        <v>27</v>
      </c>
      <c r="B83" s="102">
        <f>TrAvia_emi!B$11</f>
        <v>4.0356584845518784</v>
      </c>
      <c r="C83" s="102">
        <f>TrAvia_emi!C$11</f>
        <v>4.5933360962494127</v>
      </c>
      <c r="D83" s="102">
        <f>TrAvia_emi!D$11</f>
        <v>3.7450316989568586</v>
      </c>
      <c r="E83" s="102">
        <f>TrAvia_emi!E$11</f>
        <v>3.1574168224162391</v>
      </c>
      <c r="F83" s="102">
        <f>TrAvia_emi!F$11</f>
        <v>6.3821304567518524</v>
      </c>
      <c r="G83" s="102">
        <f>TrAvia_emi!G$11</f>
        <v>8.7408442092132184</v>
      </c>
      <c r="H83" s="102">
        <f>TrAvia_emi!H$11</f>
        <v>15.754993925678328</v>
      </c>
      <c r="I83" s="102">
        <f>TrAvia_emi!I$11</f>
        <v>11.341556390372734</v>
      </c>
      <c r="J83" s="102">
        <f>TrAvia_emi!J$11</f>
        <v>7.7778783358540915</v>
      </c>
      <c r="K83" s="102">
        <f>TrAvia_emi!K$11</f>
        <v>6.8348588366563474</v>
      </c>
      <c r="L83" s="102">
        <f>TrAvia_emi!L$11</f>
        <v>7.1503532262803446</v>
      </c>
      <c r="M83" s="102">
        <f>TrAvia_emi!M$11</f>
        <v>3.3709731826865026</v>
      </c>
      <c r="N83" s="102">
        <f>TrAvia_emi!N$11</f>
        <v>5.1828543383022643</v>
      </c>
      <c r="O83" s="102">
        <f>TrAvia_emi!O$11</f>
        <v>4.7516710548150289</v>
      </c>
      <c r="P83" s="102">
        <f>TrAvia_emi!P$11</f>
        <v>3.7266557969226359</v>
      </c>
      <c r="Q83" s="102">
        <f>TrAvia_emi!Q$11</f>
        <v>3.5978841128003372</v>
      </c>
      <c r="R83" s="102">
        <f>TrAvia_emi!R$11</f>
        <v>1.4053834171674762</v>
      </c>
      <c r="S83" s="102">
        <f>TrAvia_emi!S$11</f>
        <v>2.3228069552079913</v>
      </c>
      <c r="T83" s="102">
        <f>TrAvia_emi!T$11</f>
        <v>2.2246364462095971</v>
      </c>
      <c r="U83" s="102">
        <f>TrAvia_emi!U$11</f>
        <v>1.4967396242643745</v>
      </c>
      <c r="V83" s="102">
        <f>TrAvia_emi!V$11</f>
        <v>1.2218895392670546</v>
      </c>
      <c r="W83" s="102">
        <f>TrAvia_emi!W$11</f>
        <v>3.1853063701719928</v>
      </c>
      <c r="X83" s="102">
        <f>TrAvia_emi!X$11</f>
        <v>3.3869724699273811</v>
      </c>
      <c r="Y83" s="102">
        <f>TrAvia_emi!Y$11</f>
        <v>2.1821390072231521</v>
      </c>
      <c r="DA83" s="175" t="s">
        <v>332</v>
      </c>
    </row>
    <row r="84" spans="1:105" ht="11.45" customHeight="1" x14ac:dyDescent="0.25">
      <c r="A84" s="128" t="str">
        <f>$A$24</f>
        <v>International - Intra-EEAwCHUK</v>
      </c>
      <c r="B84" s="102">
        <f>TrAvia_emi!B$12</f>
        <v>13.221449558626064</v>
      </c>
      <c r="C84" s="102">
        <f>TrAvia_emi!C$12</f>
        <v>14.283091567170972</v>
      </c>
      <c r="D84" s="102">
        <f>TrAvia_emi!D$12</f>
        <v>11.338860866655118</v>
      </c>
      <c r="E84" s="102">
        <f>TrAvia_emi!E$12</f>
        <v>11.295549765101981</v>
      </c>
      <c r="F84" s="102">
        <f>TrAvia_emi!F$12</f>
        <v>11.15918303278823</v>
      </c>
      <c r="G84" s="102">
        <f>TrAvia_emi!G$12</f>
        <v>21.088043847121185</v>
      </c>
      <c r="H84" s="102">
        <f>TrAvia_emi!H$12</f>
        <v>31.703710211567127</v>
      </c>
      <c r="I84" s="102">
        <f>TrAvia_emi!I$12</f>
        <v>33.676305901540182</v>
      </c>
      <c r="J84" s="102">
        <f>TrAvia_emi!J$12</f>
        <v>30.961664314562864</v>
      </c>
      <c r="K84" s="102">
        <f>TrAvia_emi!K$12</f>
        <v>21.079959552277554</v>
      </c>
      <c r="L84" s="102">
        <f>TrAvia_emi!L$12</f>
        <v>30.057011367940344</v>
      </c>
      <c r="M84" s="102">
        <f>TrAvia_emi!M$12</f>
        <v>26.217974386762986</v>
      </c>
      <c r="N84" s="102">
        <f>TrAvia_emi!N$12</f>
        <v>20.299033693724212</v>
      </c>
      <c r="O84" s="102">
        <f>TrAvia_emi!O$12</f>
        <v>20.415754304366768</v>
      </c>
      <c r="P84" s="102">
        <f>TrAvia_emi!P$12</f>
        <v>24.940119866664457</v>
      </c>
      <c r="Q84" s="102">
        <f>TrAvia_emi!Q$12</f>
        <v>28.930534605655069</v>
      </c>
      <c r="R84" s="102">
        <f>TrAvia_emi!R$12</f>
        <v>24.908268747945446</v>
      </c>
      <c r="S84" s="102">
        <f>TrAvia_emi!S$12</f>
        <v>28.500089334094191</v>
      </c>
      <c r="T84" s="102">
        <f>TrAvia_emi!T$12</f>
        <v>30.902644471130671</v>
      </c>
      <c r="U84" s="102">
        <f>TrAvia_emi!U$12</f>
        <v>29.639265715385129</v>
      </c>
      <c r="V84" s="102">
        <f>TrAvia_emi!V$12</f>
        <v>24.647853933392582</v>
      </c>
      <c r="W84" s="102">
        <f>TrAvia_emi!W$12</f>
        <v>32.402443482050138</v>
      </c>
      <c r="X84" s="102">
        <f>TrAvia_emi!X$12</f>
        <v>29.786745942817834</v>
      </c>
      <c r="Y84" s="102">
        <f>TrAvia_emi!Y$12</f>
        <v>32.51247495744029</v>
      </c>
      <c r="DA84" s="175" t="s">
        <v>333</v>
      </c>
    </row>
    <row r="85" spans="1:105" ht="11.45" customHeight="1" x14ac:dyDescent="0.25">
      <c r="A85" s="128" t="str">
        <f>$A$25</f>
        <v>International - Extra-EEAwCHUK</v>
      </c>
      <c r="B85" s="102">
        <f>TrAvia_emi!B$13</f>
        <v>17.807567332149244</v>
      </c>
      <c r="C85" s="102">
        <f>TrAvia_emi!C$13</f>
        <v>19.318476303743097</v>
      </c>
      <c r="D85" s="102">
        <f>TrAvia_emi!D$13</f>
        <v>21.085468462495495</v>
      </c>
      <c r="E85" s="102">
        <f>TrAvia_emi!E$13</f>
        <v>24.724567757837718</v>
      </c>
      <c r="F85" s="102">
        <f>TrAvia_emi!F$13</f>
        <v>39.363621859699833</v>
      </c>
      <c r="G85" s="102">
        <f>TrAvia_emi!G$13</f>
        <v>34.617791354695591</v>
      </c>
      <c r="H85" s="102">
        <f>TrAvia_emi!H$13</f>
        <v>36.695623653419254</v>
      </c>
      <c r="I85" s="102">
        <f>TrAvia_emi!I$13</f>
        <v>35.138037375184304</v>
      </c>
      <c r="J85" s="102">
        <f>TrAvia_emi!J$13</f>
        <v>32.693337334386278</v>
      </c>
      <c r="K85" s="102">
        <f>TrAvia_emi!K$13</f>
        <v>17.46713014977631</v>
      </c>
      <c r="L85" s="102">
        <f>TrAvia_emi!L$13</f>
        <v>30.554092688251718</v>
      </c>
      <c r="M85" s="102">
        <f>TrAvia_emi!M$13</f>
        <v>23.252072984545364</v>
      </c>
      <c r="N85" s="102">
        <f>TrAvia_emi!N$13</f>
        <v>28.401629197409306</v>
      </c>
      <c r="O85" s="102">
        <f>TrAvia_emi!O$13</f>
        <v>32.4206494935693</v>
      </c>
      <c r="P85" s="102">
        <f>TrAvia_emi!P$13</f>
        <v>31.761656790698105</v>
      </c>
      <c r="Q85" s="102">
        <f>TrAvia_emi!Q$13</f>
        <v>36.078129490475483</v>
      </c>
      <c r="R85" s="102">
        <f>TrAvia_emi!R$13</f>
        <v>31.579610011688107</v>
      </c>
      <c r="S85" s="102">
        <f>TrAvia_emi!S$13</f>
        <v>43.262328562431847</v>
      </c>
      <c r="T85" s="102">
        <f>TrAvia_emi!T$13</f>
        <v>33.736243432816039</v>
      </c>
      <c r="U85" s="102">
        <f>TrAvia_emi!U$13</f>
        <v>29.650080697657042</v>
      </c>
      <c r="V85" s="102">
        <f>TrAvia_emi!V$13</f>
        <v>55.932645067356518</v>
      </c>
      <c r="W85" s="102">
        <f>TrAvia_emi!W$13</f>
        <v>68.979504116582348</v>
      </c>
      <c r="X85" s="102">
        <f>TrAvia_emi!X$13</f>
        <v>49.71501981579874</v>
      </c>
      <c r="Y85" s="102">
        <f>TrAvia_emi!Y$13</f>
        <v>43.823712399039742</v>
      </c>
      <c r="DA85" s="175" t="s">
        <v>334</v>
      </c>
    </row>
    <row r="86" spans="1:105" ht="11.45" customHeight="1" x14ac:dyDescent="0.25">
      <c r="A86" s="109" t="s">
        <v>141</v>
      </c>
      <c r="B86" s="110">
        <f t="shared" ref="B86:Q86" si="69">B87+B88</f>
        <v>153.32855796000001</v>
      </c>
      <c r="C86" s="110">
        <f t="shared" si="69"/>
        <v>153.14647428000001</v>
      </c>
      <c r="D86" s="110">
        <f t="shared" si="69"/>
        <v>162.53582904000001</v>
      </c>
      <c r="E86" s="110">
        <f t="shared" si="69"/>
        <v>175.12047288000005</v>
      </c>
      <c r="F86" s="110">
        <f t="shared" si="69"/>
        <v>227.64901068000003</v>
      </c>
      <c r="G86" s="110">
        <f t="shared" si="69"/>
        <v>211.71890376000005</v>
      </c>
      <c r="H86" s="110">
        <f t="shared" si="69"/>
        <v>333.20833163999998</v>
      </c>
      <c r="I86" s="110">
        <f t="shared" si="69"/>
        <v>280.58832108000001</v>
      </c>
      <c r="J86" s="110">
        <f t="shared" si="69"/>
        <v>287.79617628</v>
      </c>
      <c r="K86" s="110">
        <f t="shared" si="69"/>
        <v>269.81455751999999</v>
      </c>
      <c r="L86" s="110">
        <f t="shared" si="69"/>
        <v>264.02793588000003</v>
      </c>
      <c r="M86" s="110">
        <f t="shared" si="69"/>
        <v>237.62989980000003</v>
      </c>
      <c r="N86" s="110">
        <f t="shared" si="69"/>
        <v>247.50108684000006</v>
      </c>
      <c r="O86" s="110">
        <f t="shared" si="69"/>
        <v>243.48634884000001</v>
      </c>
      <c r="P86" s="110">
        <f t="shared" si="69"/>
        <v>272.77350911999997</v>
      </c>
      <c r="Q86" s="110">
        <f t="shared" si="69"/>
        <v>221.82107688000002</v>
      </c>
      <c r="R86" s="110">
        <f t="shared" ref="R86:V86" si="70">R87+R88</f>
        <v>266.5625976</v>
      </c>
      <c r="S86" s="110">
        <f t="shared" si="70"/>
        <v>235.37461895999999</v>
      </c>
      <c r="T86" s="110">
        <f t="shared" si="70"/>
        <v>260.33535216000001</v>
      </c>
      <c r="U86" s="110">
        <f t="shared" si="70"/>
        <v>277.26660935999996</v>
      </c>
      <c r="V86" s="110">
        <f t="shared" si="70"/>
        <v>339.08103684000002</v>
      </c>
      <c r="W86" s="110">
        <f t="shared" ref="W86:Y86" si="71">W87+W88</f>
        <v>362.59459703999994</v>
      </c>
      <c r="X86" s="110">
        <f t="shared" si="71"/>
        <v>305.89849368</v>
      </c>
      <c r="Y86" s="110">
        <f t="shared" si="71"/>
        <v>286.93585908</v>
      </c>
      <c r="DA86" s="176" t="s">
        <v>996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153.32855796000001</v>
      </c>
      <c r="C87" s="102">
        <f>TrNavi_emi!C$4</f>
        <v>153.14647428000001</v>
      </c>
      <c r="D87" s="102">
        <f>TrNavi_emi!D$4</f>
        <v>162.53582904000001</v>
      </c>
      <c r="E87" s="102">
        <f>TrNavi_emi!E$4</f>
        <v>175.12047288000005</v>
      </c>
      <c r="F87" s="102">
        <f>TrNavi_emi!F$4</f>
        <v>227.64901068000003</v>
      </c>
      <c r="G87" s="102">
        <f>TrNavi_emi!G$4</f>
        <v>211.71890376000005</v>
      </c>
      <c r="H87" s="102">
        <f>TrNavi_emi!H$4</f>
        <v>333.20833163999998</v>
      </c>
      <c r="I87" s="102">
        <f>TrNavi_emi!I$4</f>
        <v>280.58832108000001</v>
      </c>
      <c r="J87" s="102">
        <f>TrNavi_emi!J$4</f>
        <v>287.79617628</v>
      </c>
      <c r="K87" s="102">
        <f>TrNavi_emi!K$4</f>
        <v>269.81455751999999</v>
      </c>
      <c r="L87" s="102">
        <f>TrNavi_emi!L$4</f>
        <v>264.02793588000003</v>
      </c>
      <c r="M87" s="102">
        <f>TrNavi_emi!M$4</f>
        <v>237.62989980000003</v>
      </c>
      <c r="N87" s="102">
        <f>TrNavi_emi!N$4</f>
        <v>247.50108684000006</v>
      </c>
      <c r="O87" s="102">
        <f>TrNavi_emi!O$4</f>
        <v>243.48634884000001</v>
      </c>
      <c r="P87" s="102">
        <f>TrNavi_emi!P$4</f>
        <v>272.77350911999997</v>
      </c>
      <c r="Q87" s="102">
        <f>TrNavi_emi!Q$4</f>
        <v>221.82107688000002</v>
      </c>
      <c r="R87" s="102">
        <f>TrNavi_emi!R$4</f>
        <v>266.5625976</v>
      </c>
      <c r="S87" s="102">
        <f>TrNavi_emi!S$4</f>
        <v>235.37461895999999</v>
      </c>
      <c r="T87" s="102">
        <f>TrNavi_emi!T$4</f>
        <v>260.33535216000001</v>
      </c>
      <c r="U87" s="102">
        <f>TrNavi_emi!U$4</f>
        <v>277.26660935999996</v>
      </c>
      <c r="V87" s="102">
        <f>TrNavi_emi!V$4</f>
        <v>339.08103684000002</v>
      </c>
      <c r="W87" s="102">
        <f>TrNavi_emi!W$4</f>
        <v>362.59459703999994</v>
      </c>
      <c r="X87" s="102">
        <f>TrNavi_emi!X$4</f>
        <v>305.89849368</v>
      </c>
      <c r="Y87" s="102">
        <f>TrNavi_emi!Y$4</f>
        <v>286.93585908</v>
      </c>
      <c r="DA87" s="175" t="s">
        <v>997</v>
      </c>
    </row>
    <row r="88" spans="1:105" ht="11.45" customHeight="1" x14ac:dyDescent="0.25">
      <c r="A88" s="166" t="str">
        <f>$A$28</f>
        <v>Inland waterways</v>
      </c>
      <c r="B88" s="169">
        <f>TrNavi_emi!B$5</f>
        <v>0</v>
      </c>
      <c r="C88" s="169">
        <f>TrNavi_emi!C$5</f>
        <v>0</v>
      </c>
      <c r="D88" s="169">
        <f>TrNavi_emi!D$5</f>
        <v>0</v>
      </c>
      <c r="E88" s="169">
        <f>TrNavi_emi!E$5</f>
        <v>0</v>
      </c>
      <c r="F88" s="169">
        <f>TrNavi_emi!F$5</f>
        <v>0</v>
      </c>
      <c r="G88" s="169">
        <f>TrNavi_emi!G$5</f>
        <v>0</v>
      </c>
      <c r="H88" s="169">
        <f>TrNavi_emi!H$5</f>
        <v>0</v>
      </c>
      <c r="I88" s="169">
        <f>TrNavi_emi!I$5</f>
        <v>0</v>
      </c>
      <c r="J88" s="169">
        <f>TrNavi_emi!J$5</f>
        <v>0</v>
      </c>
      <c r="K88" s="169">
        <f>TrNavi_emi!K$5</f>
        <v>0</v>
      </c>
      <c r="L88" s="169">
        <f>TrNavi_emi!L$5</f>
        <v>0</v>
      </c>
      <c r="M88" s="169">
        <f>TrNavi_emi!M$5</f>
        <v>0</v>
      </c>
      <c r="N88" s="169">
        <f>TrNavi_emi!N$5</f>
        <v>0</v>
      </c>
      <c r="O88" s="169">
        <f>TrNavi_emi!O$5</f>
        <v>0</v>
      </c>
      <c r="P88" s="169">
        <f>TrNavi_emi!P$5</f>
        <v>0</v>
      </c>
      <c r="Q88" s="169">
        <f>TrNavi_emi!Q$5</f>
        <v>0</v>
      </c>
      <c r="R88" s="169">
        <f>TrNavi_emi!R$5</f>
        <v>0</v>
      </c>
      <c r="S88" s="169">
        <f>TrNavi_emi!S$5</f>
        <v>0</v>
      </c>
      <c r="T88" s="169">
        <f>TrNavi_emi!T$5</f>
        <v>0</v>
      </c>
      <c r="U88" s="169">
        <f>TrNavi_emi!U$5</f>
        <v>0</v>
      </c>
      <c r="V88" s="169">
        <f>TrNavi_emi!V$5</f>
        <v>0</v>
      </c>
      <c r="W88" s="169">
        <f>TrNavi_emi!W$5</f>
        <v>0</v>
      </c>
      <c r="X88" s="169">
        <f>TrNavi_emi!X$5</f>
        <v>0</v>
      </c>
      <c r="Y88" s="169">
        <f>TrNavi_emi!Y$5</f>
        <v>0</v>
      </c>
      <c r="DA88" s="177" t="s">
        <v>998</v>
      </c>
    </row>
    <row r="89" spans="1:105" ht="11.45" customHeight="1" x14ac:dyDescent="0.25">
      <c r="A89" s="27" t="s">
        <v>169</v>
      </c>
      <c r="B89" s="28">
        <f t="shared" ref="B89:W89" si="72">B90+B91</f>
        <v>483.93153216000007</v>
      </c>
      <c r="C89" s="28">
        <f t="shared" si="72"/>
        <v>516.04034039999988</v>
      </c>
      <c r="D89" s="28">
        <f t="shared" si="72"/>
        <v>461.20591944</v>
      </c>
      <c r="E89" s="28">
        <f t="shared" si="72"/>
        <v>547.64266536000014</v>
      </c>
      <c r="F89" s="28">
        <f t="shared" si="72"/>
        <v>480.51311832000005</v>
      </c>
      <c r="G89" s="28">
        <f t="shared" si="72"/>
        <v>334.10964996000001</v>
      </c>
      <c r="H89" s="28">
        <f t="shared" si="72"/>
        <v>412.29194184000005</v>
      </c>
      <c r="I89" s="28">
        <f t="shared" si="72"/>
        <v>361.96206803999996</v>
      </c>
      <c r="J89" s="28">
        <f t="shared" si="72"/>
        <v>225.94074768000002</v>
      </c>
      <c r="K89" s="28">
        <f t="shared" si="72"/>
        <v>305.96377859999996</v>
      </c>
      <c r="L89" s="28">
        <f t="shared" si="72"/>
        <v>435.75980832000016</v>
      </c>
      <c r="M89" s="28">
        <f t="shared" si="72"/>
        <v>339.5632536</v>
      </c>
      <c r="N89" s="28">
        <f t="shared" si="72"/>
        <v>401.86402236000004</v>
      </c>
      <c r="O89" s="28">
        <f t="shared" si="72"/>
        <v>455.15340935999996</v>
      </c>
      <c r="P89" s="28">
        <f t="shared" si="72"/>
        <v>418.73032943999988</v>
      </c>
      <c r="Q89" s="28">
        <f t="shared" si="72"/>
        <v>497.59959959999981</v>
      </c>
      <c r="R89" s="28">
        <f t="shared" si="72"/>
        <v>497.70007848</v>
      </c>
      <c r="S89" s="28">
        <f t="shared" si="72"/>
        <v>485.27371079999995</v>
      </c>
      <c r="T89" s="28">
        <f t="shared" si="72"/>
        <v>537.99971040000025</v>
      </c>
      <c r="U89" s="28">
        <f t="shared" si="72"/>
        <v>442.58663304000004</v>
      </c>
      <c r="V89" s="28">
        <f t="shared" si="72"/>
        <v>482.20456464000011</v>
      </c>
      <c r="W89" s="28">
        <f t="shared" si="72"/>
        <v>533.86880759999997</v>
      </c>
      <c r="X89" s="28">
        <f t="shared" ref="X89:Y89" si="73">X90+X91</f>
        <v>387.60039000000017</v>
      </c>
      <c r="Y89" s="28">
        <f t="shared" si="73"/>
        <v>413.94402972000006</v>
      </c>
      <c r="DA89" s="173" t="s">
        <v>959</v>
      </c>
    </row>
    <row r="90" spans="1:105" ht="11.45" customHeight="1" x14ac:dyDescent="0.25">
      <c r="A90" s="128" t="str">
        <f>$A$30</f>
        <v>Intra-EEA</v>
      </c>
      <c r="B90" s="102">
        <f>MBunk_emi!B$4</f>
        <v>214.42853227486881</v>
      </c>
      <c r="C90" s="102">
        <f>MBunk_emi!C$4</f>
        <v>227.62899761855786</v>
      </c>
      <c r="D90" s="102">
        <f>MBunk_emi!D$4</f>
        <v>195.75661257751926</v>
      </c>
      <c r="E90" s="102">
        <f>MBunk_emi!E$4</f>
        <v>241.3114586782543</v>
      </c>
      <c r="F90" s="102">
        <f>MBunk_emi!F$4</f>
        <v>221.0345556168806</v>
      </c>
      <c r="G90" s="102">
        <f>MBunk_emi!G$4</f>
        <v>153.51414545443328</v>
      </c>
      <c r="H90" s="102">
        <f>MBunk_emi!H$4</f>
        <v>224.74623301351414</v>
      </c>
      <c r="I90" s="102">
        <f>MBunk_emi!I$4</f>
        <v>176.41814728807515</v>
      </c>
      <c r="J90" s="102">
        <f>MBunk_emi!J$4</f>
        <v>108.93104379854564</v>
      </c>
      <c r="K90" s="102">
        <f>MBunk_emi!K$4</f>
        <v>153.61741188459592</v>
      </c>
      <c r="L90" s="102">
        <f>MBunk_emi!L$4</f>
        <v>218.07668637622339</v>
      </c>
      <c r="M90" s="102">
        <f>MBunk_emi!M$4</f>
        <v>160.61590734571382</v>
      </c>
      <c r="N90" s="102">
        <f>MBunk_emi!N$4</f>
        <v>192.92655373621062</v>
      </c>
      <c r="O90" s="102">
        <f>MBunk_emi!O$4</f>
        <v>230.82359139972399</v>
      </c>
      <c r="P90" s="102">
        <f>MBunk_emi!P$4</f>
        <v>202.4919313336662</v>
      </c>
      <c r="Q90" s="102">
        <f>MBunk_emi!Q$4</f>
        <v>245.31626321104866</v>
      </c>
      <c r="R90" s="102">
        <f>MBunk_emi!R$4</f>
        <v>243.90388248093547</v>
      </c>
      <c r="S90" s="102">
        <f>MBunk_emi!S$4</f>
        <v>235.52782194584921</v>
      </c>
      <c r="T90" s="102">
        <f>MBunk_emi!T$4</f>
        <v>267.93027159058346</v>
      </c>
      <c r="U90" s="102">
        <f>MBunk_emi!U$4</f>
        <v>222.05143356116358</v>
      </c>
      <c r="V90" s="102">
        <f>MBunk_emi!V$4</f>
        <v>221.96058209273571</v>
      </c>
      <c r="W90" s="102">
        <f>MBunk_emi!W$4</f>
        <v>257.26117942449184</v>
      </c>
      <c r="X90" s="102">
        <f>MBunk_emi!X$4</f>
        <v>194.14436940208668</v>
      </c>
      <c r="Y90" s="102">
        <f>MBunk_emi!Y$4</f>
        <v>226.42227229999168</v>
      </c>
      <c r="DA90" s="175" t="s">
        <v>960</v>
      </c>
    </row>
    <row r="91" spans="1:105" ht="11.45" customHeight="1" x14ac:dyDescent="0.25">
      <c r="A91" s="138" t="str">
        <f>$A$31</f>
        <v>Extra-EEA</v>
      </c>
      <c r="B91" s="86">
        <f>MBunk_emi!B$5</f>
        <v>269.50299988513126</v>
      </c>
      <c r="C91" s="86">
        <f>MBunk_emi!C$5</f>
        <v>288.41134278144199</v>
      </c>
      <c r="D91" s="86">
        <f>MBunk_emi!D$5</f>
        <v>265.44930686248074</v>
      </c>
      <c r="E91" s="86">
        <f>MBunk_emi!E$5</f>
        <v>306.33120668174581</v>
      </c>
      <c r="F91" s="86">
        <f>MBunk_emi!F$5</f>
        <v>259.47856270311945</v>
      </c>
      <c r="G91" s="86">
        <f>MBunk_emi!G$5</f>
        <v>180.59550450556674</v>
      </c>
      <c r="H91" s="86">
        <f>MBunk_emi!H$5</f>
        <v>187.54570882648594</v>
      </c>
      <c r="I91" s="86">
        <f>MBunk_emi!I$5</f>
        <v>185.54392075192484</v>
      </c>
      <c r="J91" s="86">
        <f>MBunk_emi!J$5</f>
        <v>117.00970388145439</v>
      </c>
      <c r="K91" s="86">
        <f>MBunk_emi!K$5</f>
        <v>152.34636671540406</v>
      </c>
      <c r="L91" s="86">
        <f>MBunk_emi!L$5</f>
        <v>217.6831219437768</v>
      </c>
      <c r="M91" s="86">
        <f>MBunk_emi!M$5</f>
        <v>178.94734625428617</v>
      </c>
      <c r="N91" s="86">
        <f>MBunk_emi!N$5</f>
        <v>208.93746862378941</v>
      </c>
      <c r="O91" s="86">
        <f>MBunk_emi!O$5</f>
        <v>224.32981796027593</v>
      </c>
      <c r="P91" s="86">
        <f>MBunk_emi!P$5</f>
        <v>216.2383981063337</v>
      </c>
      <c r="Q91" s="86">
        <f>MBunk_emi!Q$5</f>
        <v>252.28333638895114</v>
      </c>
      <c r="R91" s="86">
        <f>MBunk_emi!R$5</f>
        <v>253.79619599906457</v>
      </c>
      <c r="S91" s="86">
        <f>MBunk_emi!S$5</f>
        <v>249.74588885415073</v>
      </c>
      <c r="T91" s="86">
        <f>MBunk_emi!T$5</f>
        <v>270.06943880941679</v>
      </c>
      <c r="U91" s="86">
        <f>MBunk_emi!U$5</f>
        <v>220.53519947883643</v>
      </c>
      <c r="V91" s="86">
        <f>MBunk_emi!V$5</f>
        <v>260.24398254726441</v>
      </c>
      <c r="W91" s="86">
        <f>MBunk_emi!W$5</f>
        <v>276.60762817550813</v>
      </c>
      <c r="X91" s="86">
        <f>MBunk_emi!X$5</f>
        <v>193.45602059791347</v>
      </c>
      <c r="Y91" s="86">
        <f>MBunk_emi!Y$5</f>
        <v>187.52175742000838</v>
      </c>
      <c r="DA91" s="178" t="s">
        <v>961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DA95" s="172"/>
    </row>
    <row r="96" spans="1:105" ht="11.45" customHeight="1" x14ac:dyDescent="0.25">
      <c r="A96" s="27" t="s">
        <v>38</v>
      </c>
      <c r="B96" s="31">
        <f t="shared" ref="B96:Y96" si="74">IF(B4=0,0,B4/B$4)</f>
        <v>1</v>
      </c>
      <c r="C96" s="31">
        <f t="shared" si="74"/>
        <v>1</v>
      </c>
      <c r="D96" s="31">
        <f t="shared" si="74"/>
        <v>1</v>
      </c>
      <c r="E96" s="31">
        <f t="shared" si="74"/>
        <v>1</v>
      </c>
      <c r="F96" s="31">
        <f t="shared" si="74"/>
        <v>1</v>
      </c>
      <c r="G96" s="31">
        <f t="shared" si="74"/>
        <v>1</v>
      </c>
      <c r="H96" s="31">
        <f t="shared" si="74"/>
        <v>1</v>
      </c>
      <c r="I96" s="31">
        <f t="shared" si="74"/>
        <v>1</v>
      </c>
      <c r="J96" s="31">
        <f t="shared" si="74"/>
        <v>1</v>
      </c>
      <c r="K96" s="31">
        <f t="shared" si="74"/>
        <v>1</v>
      </c>
      <c r="L96" s="31">
        <f t="shared" si="74"/>
        <v>1</v>
      </c>
      <c r="M96" s="31">
        <f t="shared" si="74"/>
        <v>1</v>
      </c>
      <c r="N96" s="31">
        <f t="shared" si="74"/>
        <v>1</v>
      </c>
      <c r="O96" s="31">
        <f t="shared" si="74"/>
        <v>1</v>
      </c>
      <c r="P96" s="31">
        <f t="shared" si="74"/>
        <v>1</v>
      </c>
      <c r="Q96" s="31">
        <f t="shared" si="74"/>
        <v>1</v>
      </c>
      <c r="R96" s="31">
        <f t="shared" si="74"/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si="74"/>
        <v>1</v>
      </c>
      <c r="X96" s="31">
        <f t="shared" si="74"/>
        <v>1</v>
      </c>
      <c r="Y96" s="31">
        <f t="shared" si="74"/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Y97" si="75">IF(B5=0,0,B5/B$4)</f>
        <v>0.74588458126810342</v>
      </c>
      <c r="C97" s="139">
        <f t="shared" si="75"/>
        <v>0.74175223266414625</v>
      </c>
      <c r="D97" s="139">
        <f t="shared" si="75"/>
        <v>0.74590342839583168</v>
      </c>
      <c r="E97" s="139">
        <f t="shared" si="75"/>
        <v>0.75992584016582043</v>
      </c>
      <c r="F97" s="139">
        <f t="shared" si="75"/>
        <v>0.75989561555489094</v>
      </c>
      <c r="G97" s="139">
        <f t="shared" si="75"/>
        <v>0.73252328203729644</v>
      </c>
      <c r="H97" s="139">
        <f t="shared" si="75"/>
        <v>0.70912031114752017</v>
      </c>
      <c r="I97" s="139">
        <f t="shared" si="75"/>
        <v>0.69677622721493082</v>
      </c>
      <c r="J97" s="139">
        <f t="shared" si="75"/>
        <v>0.70429282487443479</v>
      </c>
      <c r="K97" s="139">
        <f t="shared" si="75"/>
        <v>0.73389342956979886</v>
      </c>
      <c r="L97" s="139">
        <f t="shared" si="75"/>
        <v>0.75006290889367622</v>
      </c>
      <c r="M97" s="139">
        <f t="shared" si="75"/>
        <v>0.7431956503748447</v>
      </c>
      <c r="N97" s="139">
        <f t="shared" si="75"/>
        <v>0.73364434765581843</v>
      </c>
      <c r="O97" s="139">
        <f t="shared" si="75"/>
        <v>0.72648359213624203</v>
      </c>
      <c r="P97" s="139">
        <f t="shared" si="75"/>
        <v>0.70889950462856988</v>
      </c>
      <c r="Q97" s="139">
        <f t="shared" si="75"/>
        <v>0.70020206587346023</v>
      </c>
      <c r="R97" s="139">
        <f t="shared" si="75"/>
        <v>0.69129429372925477</v>
      </c>
      <c r="S97" s="139">
        <f t="shared" si="75"/>
        <v>0.67797001928599154</v>
      </c>
      <c r="T97" s="139">
        <f t="shared" si="75"/>
        <v>0.65999862948375776</v>
      </c>
      <c r="U97" s="139">
        <f t="shared" si="75"/>
        <v>0.65522009722502694</v>
      </c>
      <c r="V97" s="139">
        <f t="shared" si="75"/>
        <v>0.88152994441151344</v>
      </c>
      <c r="W97" s="139">
        <f t="shared" si="75"/>
        <v>0.87574496037079497</v>
      </c>
      <c r="X97" s="139">
        <f t="shared" si="75"/>
        <v>0.68565060706905323</v>
      </c>
      <c r="Y97" s="139">
        <f t="shared" si="75"/>
        <v>0.65944351664375356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Y98" si="76">IF(B6=0,0,B6/B$4)</f>
        <v>2.144006763189711E-3</v>
      </c>
      <c r="C98" s="140">
        <f t="shared" si="76"/>
        <v>2.1946276270902571E-3</v>
      </c>
      <c r="D98" s="140">
        <f t="shared" si="76"/>
        <v>2.1459680081426786E-3</v>
      </c>
      <c r="E98" s="140">
        <f t="shared" si="76"/>
        <v>2.2288734035133574E-3</v>
      </c>
      <c r="F98" s="140">
        <f t="shared" si="76"/>
        <v>2.026740859413575E-3</v>
      </c>
      <c r="G98" s="140">
        <f t="shared" si="76"/>
        <v>2.3089042903189283E-3</v>
      </c>
      <c r="H98" s="140">
        <f t="shared" si="76"/>
        <v>2.1345405157165861E-3</v>
      </c>
      <c r="I98" s="140">
        <f t="shared" si="76"/>
        <v>2.0394014920331652E-3</v>
      </c>
      <c r="J98" s="140">
        <f t="shared" si="76"/>
        <v>2.153169996617662E-3</v>
      </c>
      <c r="K98" s="140">
        <f t="shared" si="76"/>
        <v>2.0507534967498203E-3</v>
      </c>
      <c r="L98" s="140">
        <f t="shared" si="76"/>
        <v>1.8731666872130143E-3</v>
      </c>
      <c r="M98" s="140">
        <f t="shared" si="76"/>
        <v>1.7241517892850544E-3</v>
      </c>
      <c r="N98" s="140">
        <f t="shared" si="76"/>
        <v>1.5566278369600743E-3</v>
      </c>
      <c r="O98" s="140">
        <f t="shared" si="76"/>
        <v>1.4923785898029198E-3</v>
      </c>
      <c r="P98" s="140">
        <f t="shared" si="76"/>
        <v>1.7005501864475866E-3</v>
      </c>
      <c r="Q98" s="140">
        <f t="shared" si="76"/>
        <v>1.4756742031060903E-3</v>
      </c>
      <c r="R98" s="140">
        <f t="shared" si="76"/>
        <v>1.4315506912036919E-3</v>
      </c>
      <c r="S98" s="140">
        <f t="shared" si="76"/>
        <v>1.2889074407396437E-3</v>
      </c>
      <c r="T98" s="140">
        <f t="shared" si="76"/>
        <v>1.1693544666500088E-3</v>
      </c>
      <c r="U98" s="140">
        <f t="shared" si="76"/>
        <v>1.2127615270164818E-3</v>
      </c>
      <c r="V98" s="140">
        <f t="shared" si="76"/>
        <v>1.7571764114976433E-3</v>
      </c>
      <c r="W98" s="140">
        <f t="shared" si="76"/>
        <v>1.7134401745082441E-3</v>
      </c>
      <c r="X98" s="140">
        <f t="shared" si="76"/>
        <v>1.2418180198236024E-3</v>
      </c>
      <c r="Y98" s="140">
        <f t="shared" si="76"/>
        <v>1.1954708323416632E-3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Y99" si="77">IF(B7=0,0,B7/B$4)</f>
        <v>0.61916359889697814</v>
      </c>
      <c r="C99" s="140">
        <f t="shared" si="77"/>
        <v>0.61632899617464387</v>
      </c>
      <c r="D99" s="140">
        <f t="shared" si="77"/>
        <v>0.62385920908870929</v>
      </c>
      <c r="E99" s="140">
        <f t="shared" si="77"/>
        <v>0.63747112123626715</v>
      </c>
      <c r="F99" s="140">
        <f t="shared" si="77"/>
        <v>0.63987094945004763</v>
      </c>
      <c r="G99" s="140">
        <f t="shared" si="77"/>
        <v>0.61968982927424299</v>
      </c>
      <c r="H99" s="140">
        <f t="shared" si="77"/>
        <v>0.60196015091192367</v>
      </c>
      <c r="I99" s="140">
        <f t="shared" si="77"/>
        <v>0.59228396855875975</v>
      </c>
      <c r="J99" s="140">
        <f t="shared" si="77"/>
        <v>0.59743461862410752</v>
      </c>
      <c r="K99" s="140">
        <f t="shared" si="77"/>
        <v>0.61854953859367812</v>
      </c>
      <c r="L99" s="140">
        <f t="shared" si="77"/>
        <v>0.63625312432491898</v>
      </c>
      <c r="M99" s="140">
        <f t="shared" si="77"/>
        <v>0.63021876951522715</v>
      </c>
      <c r="N99" s="140">
        <f t="shared" si="77"/>
        <v>0.62364375784245973</v>
      </c>
      <c r="O99" s="140">
        <f t="shared" si="77"/>
        <v>0.62003781360143306</v>
      </c>
      <c r="P99" s="140">
        <f t="shared" si="77"/>
        <v>0.60027624000641777</v>
      </c>
      <c r="Q99" s="140">
        <f t="shared" si="77"/>
        <v>0.60028253108255947</v>
      </c>
      <c r="R99" s="140">
        <f t="shared" si="77"/>
        <v>0.59312385300595361</v>
      </c>
      <c r="S99" s="140">
        <f t="shared" si="77"/>
        <v>0.5765658040225955</v>
      </c>
      <c r="T99" s="140">
        <f t="shared" si="77"/>
        <v>0.55659828134724432</v>
      </c>
      <c r="U99" s="140">
        <f t="shared" si="77"/>
        <v>0.55350554293246457</v>
      </c>
      <c r="V99" s="140">
        <f t="shared" si="77"/>
        <v>0.76837035112631002</v>
      </c>
      <c r="W99" s="140">
        <f t="shared" si="77"/>
        <v>0.75922289353257777</v>
      </c>
      <c r="X99" s="140">
        <f t="shared" si="77"/>
        <v>0.57261504484436698</v>
      </c>
      <c r="Y99" s="140">
        <f t="shared" si="77"/>
        <v>0.53899012410696501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Y100" si="78">IF(B8=0,0,B8/B$4)</f>
        <v>0.12457697560793564</v>
      </c>
      <c r="C100" s="140">
        <f t="shared" si="78"/>
        <v>0.12322860886241213</v>
      </c>
      <c r="D100" s="140">
        <f t="shared" si="78"/>
        <v>0.11989825129897966</v>
      </c>
      <c r="E100" s="140">
        <f t="shared" si="78"/>
        <v>0.1202258455260399</v>
      </c>
      <c r="F100" s="140">
        <f t="shared" si="78"/>
        <v>0.11799792524542976</v>
      </c>
      <c r="G100" s="140">
        <f t="shared" si="78"/>
        <v>0.11052454847273459</v>
      </c>
      <c r="H100" s="140">
        <f t="shared" si="78"/>
        <v>0.10502561971987988</v>
      </c>
      <c r="I100" s="140">
        <f t="shared" si="78"/>
        <v>0.10245285716413786</v>
      </c>
      <c r="J100" s="140">
        <f t="shared" si="78"/>
        <v>0.10470503625370957</v>
      </c>
      <c r="K100" s="140">
        <f t="shared" si="78"/>
        <v>0.11329313747937098</v>
      </c>
      <c r="L100" s="140">
        <f t="shared" si="78"/>
        <v>0.1119366178815443</v>
      </c>
      <c r="M100" s="140">
        <f t="shared" si="78"/>
        <v>0.11125272907033244</v>
      </c>
      <c r="N100" s="140">
        <f t="shared" si="78"/>
        <v>0.10844396197639855</v>
      </c>
      <c r="O100" s="140">
        <f t="shared" si="78"/>
        <v>0.10495339994500608</v>
      </c>
      <c r="P100" s="140">
        <f t="shared" si="78"/>
        <v>0.10692271443570459</v>
      </c>
      <c r="Q100" s="140">
        <f t="shared" si="78"/>
        <v>9.8443860587794668E-2</v>
      </c>
      <c r="R100" s="140">
        <f t="shared" si="78"/>
        <v>9.6738890032097541E-2</v>
      </c>
      <c r="S100" s="140">
        <f t="shared" si="78"/>
        <v>0.10011530782265628</v>
      </c>
      <c r="T100" s="140">
        <f t="shared" si="78"/>
        <v>0.10223099366986341</v>
      </c>
      <c r="U100" s="140">
        <f t="shared" si="78"/>
        <v>0.10050179276554595</v>
      </c>
      <c r="V100" s="140">
        <f t="shared" si="78"/>
        <v>0.11140241687370585</v>
      </c>
      <c r="W100" s="140">
        <f t="shared" si="78"/>
        <v>0.11480862666370902</v>
      </c>
      <c r="X100" s="140">
        <f t="shared" si="78"/>
        <v>0.1117937442048626</v>
      </c>
      <c r="Y100" s="140">
        <f t="shared" si="78"/>
        <v>0.11925792170444695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Y101" si="79">IF(B9=0,0,B9/B$4)</f>
        <v>2.4850272736589876E-2</v>
      </c>
      <c r="C101" s="124">
        <f t="shared" si="79"/>
        <v>2.5610642892141461E-2</v>
      </c>
      <c r="D101" s="124">
        <f t="shared" si="79"/>
        <v>2.6877389446290322E-2</v>
      </c>
      <c r="E101" s="124">
        <f t="shared" si="79"/>
        <v>2.5547034758864658E-2</v>
      </c>
      <c r="F101" s="124">
        <f t="shared" si="79"/>
        <v>2.4497839151300296E-2</v>
      </c>
      <c r="G101" s="124">
        <f t="shared" si="79"/>
        <v>2.6405134571702685E-2</v>
      </c>
      <c r="H101" s="124">
        <f t="shared" si="79"/>
        <v>2.5982977064074122E-2</v>
      </c>
      <c r="I101" s="124">
        <f t="shared" si="79"/>
        <v>2.6946978583913799E-2</v>
      </c>
      <c r="J101" s="124">
        <f t="shared" si="79"/>
        <v>2.5870747169596538E-2</v>
      </c>
      <c r="K101" s="124">
        <f t="shared" si="79"/>
        <v>2.2978169645657326E-2</v>
      </c>
      <c r="L101" s="124">
        <f t="shared" si="79"/>
        <v>2.3937646792570651E-2</v>
      </c>
      <c r="M101" s="124">
        <f t="shared" si="79"/>
        <v>2.3584898637904705E-2</v>
      </c>
      <c r="N101" s="124">
        <f t="shared" si="79"/>
        <v>2.3038455206691458E-2</v>
      </c>
      <c r="O101" s="124">
        <f t="shared" si="79"/>
        <v>2.2181351972636376E-2</v>
      </c>
      <c r="P101" s="124">
        <f t="shared" si="79"/>
        <v>2.4019355981803842E-2</v>
      </c>
      <c r="Q101" s="124">
        <f t="shared" si="79"/>
        <v>2.4255603369471242E-2</v>
      </c>
      <c r="R101" s="124">
        <f t="shared" si="79"/>
        <v>2.3436207016914394E-2</v>
      </c>
      <c r="S101" s="124">
        <f t="shared" si="79"/>
        <v>2.3520849990993686E-2</v>
      </c>
      <c r="T101" s="124">
        <f t="shared" si="79"/>
        <v>2.5296796094398156E-2</v>
      </c>
      <c r="U101" s="124">
        <f t="shared" si="79"/>
        <v>2.5487850856317263E-2</v>
      </c>
      <c r="V101" s="124">
        <f t="shared" si="79"/>
        <v>1.4422649986833231E-2</v>
      </c>
      <c r="W101" s="124">
        <f t="shared" si="79"/>
        <v>1.3990138750783983E-2</v>
      </c>
      <c r="X101" s="124">
        <f t="shared" si="79"/>
        <v>1.9382230934855648E-2</v>
      </c>
      <c r="Y101" s="124">
        <f t="shared" si="79"/>
        <v>2.1988206892348119E-2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Y102" si="80">IF(B10=0,0,B10/B$4)</f>
        <v>0</v>
      </c>
      <c r="C102" s="140">
        <f t="shared" si="80"/>
        <v>0</v>
      </c>
      <c r="D102" s="140">
        <f t="shared" si="80"/>
        <v>0</v>
      </c>
      <c r="E102" s="140">
        <f t="shared" si="80"/>
        <v>0</v>
      </c>
      <c r="F102" s="140">
        <f t="shared" si="80"/>
        <v>7.5054654262562178E-4</v>
      </c>
      <c r="G102" s="140">
        <f t="shared" si="80"/>
        <v>1.5359940787346882E-3</v>
      </c>
      <c r="H102" s="140">
        <f t="shared" si="80"/>
        <v>1.4804895122776187E-3</v>
      </c>
      <c r="I102" s="140">
        <f t="shared" si="80"/>
        <v>2.161192141239649E-3</v>
      </c>
      <c r="J102" s="140">
        <f t="shared" si="80"/>
        <v>1.7230870812060047E-3</v>
      </c>
      <c r="K102" s="140">
        <f t="shared" si="80"/>
        <v>1.6711396105932601E-3</v>
      </c>
      <c r="L102" s="140">
        <f t="shared" si="80"/>
        <v>1.7334614316344694E-3</v>
      </c>
      <c r="M102" s="140">
        <f t="shared" si="80"/>
        <v>1.8326103671344872E-3</v>
      </c>
      <c r="N102" s="140">
        <f t="shared" si="80"/>
        <v>1.926560714148415E-3</v>
      </c>
      <c r="O102" s="140">
        <f t="shared" si="80"/>
        <v>1.933481065480837E-3</v>
      </c>
      <c r="P102" s="140">
        <f t="shared" si="80"/>
        <v>2.03638785110501E-3</v>
      </c>
      <c r="Q102" s="140">
        <f t="shared" si="80"/>
        <v>2.0775207008715728E-3</v>
      </c>
      <c r="R102" s="140">
        <f t="shared" si="80"/>
        <v>1.9781934191084446E-3</v>
      </c>
      <c r="S102" s="140">
        <f t="shared" si="80"/>
        <v>1.8852092870996129E-3</v>
      </c>
      <c r="T102" s="140">
        <f t="shared" si="80"/>
        <v>3.0866375527037007E-3</v>
      </c>
      <c r="U102" s="140">
        <f t="shared" si="80"/>
        <v>2.8753245166053079E-3</v>
      </c>
      <c r="V102" s="140">
        <f t="shared" si="80"/>
        <v>1.8182415224487769E-3</v>
      </c>
      <c r="W102" s="140">
        <f t="shared" si="80"/>
        <v>1.7162757126174253E-3</v>
      </c>
      <c r="X102" s="140">
        <f t="shared" si="80"/>
        <v>1.6712061939681787E-3</v>
      </c>
      <c r="Y102" s="140">
        <f t="shared" si="80"/>
        <v>1.8570711295330586E-3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Y103" si="81">IF(B11=0,0,B11/B$4)</f>
        <v>2.4850272736589876E-2</v>
      </c>
      <c r="C103" s="140">
        <f t="shared" si="81"/>
        <v>2.5610642892141461E-2</v>
      </c>
      <c r="D103" s="140">
        <f t="shared" si="81"/>
        <v>2.6877389446290322E-2</v>
      </c>
      <c r="E103" s="140">
        <f t="shared" si="81"/>
        <v>2.5547034758864658E-2</v>
      </c>
      <c r="F103" s="140">
        <f t="shared" si="81"/>
        <v>2.3747292608674673E-2</v>
      </c>
      <c r="G103" s="140">
        <f t="shared" si="81"/>
        <v>2.4869140492967998E-2</v>
      </c>
      <c r="H103" s="140">
        <f t="shared" si="81"/>
        <v>2.4502487551796504E-2</v>
      </c>
      <c r="I103" s="140">
        <f t="shared" si="81"/>
        <v>2.4785786442674151E-2</v>
      </c>
      <c r="J103" s="140">
        <f t="shared" si="81"/>
        <v>2.4147660088390536E-2</v>
      </c>
      <c r="K103" s="140">
        <f t="shared" si="81"/>
        <v>2.1307030035064067E-2</v>
      </c>
      <c r="L103" s="140">
        <f t="shared" si="81"/>
        <v>2.2204185360936182E-2</v>
      </c>
      <c r="M103" s="140">
        <f t="shared" si="81"/>
        <v>2.1752288270770217E-2</v>
      </c>
      <c r="N103" s="140">
        <f t="shared" si="81"/>
        <v>2.1111894492543044E-2</v>
      </c>
      <c r="O103" s="140">
        <f t="shared" si="81"/>
        <v>2.0247870907155539E-2</v>
      </c>
      <c r="P103" s="140">
        <f t="shared" si="81"/>
        <v>2.1982968130698832E-2</v>
      </c>
      <c r="Q103" s="140">
        <f t="shared" si="81"/>
        <v>2.217808266859967E-2</v>
      </c>
      <c r="R103" s="140">
        <f t="shared" si="81"/>
        <v>2.1458013597805949E-2</v>
      </c>
      <c r="S103" s="140">
        <f t="shared" si="81"/>
        <v>2.1635640703894076E-2</v>
      </c>
      <c r="T103" s="140">
        <f t="shared" si="81"/>
        <v>2.2210158541694454E-2</v>
      </c>
      <c r="U103" s="140">
        <f t="shared" si="81"/>
        <v>2.2612526339711954E-2</v>
      </c>
      <c r="V103" s="140">
        <f t="shared" si="81"/>
        <v>1.2604408464384454E-2</v>
      </c>
      <c r="W103" s="140">
        <f t="shared" si="81"/>
        <v>1.2273863038166558E-2</v>
      </c>
      <c r="X103" s="140">
        <f t="shared" si="81"/>
        <v>1.7711024740887468E-2</v>
      </c>
      <c r="Y103" s="140">
        <f t="shared" si="81"/>
        <v>2.0131135762815063E-2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Y104" si="82">IF(B12=0,0,B12/B$4)</f>
        <v>0</v>
      </c>
      <c r="C104" s="140">
        <f t="shared" si="82"/>
        <v>0</v>
      </c>
      <c r="D104" s="140">
        <f t="shared" si="82"/>
        <v>0</v>
      </c>
      <c r="E104" s="140">
        <f t="shared" si="82"/>
        <v>0</v>
      </c>
      <c r="F104" s="140">
        <f t="shared" si="82"/>
        <v>0</v>
      </c>
      <c r="G104" s="140">
        <f t="shared" si="82"/>
        <v>0</v>
      </c>
      <c r="H104" s="140">
        <f t="shared" si="82"/>
        <v>0</v>
      </c>
      <c r="I104" s="140">
        <f t="shared" si="82"/>
        <v>0</v>
      </c>
      <c r="J104" s="140">
        <f t="shared" si="82"/>
        <v>0</v>
      </c>
      <c r="K104" s="140">
        <f t="shared" si="82"/>
        <v>0</v>
      </c>
      <c r="L104" s="140">
        <f t="shared" si="82"/>
        <v>0</v>
      </c>
      <c r="M104" s="140">
        <f t="shared" si="82"/>
        <v>0</v>
      </c>
      <c r="N104" s="140">
        <f t="shared" si="82"/>
        <v>0</v>
      </c>
      <c r="O104" s="140">
        <f t="shared" si="82"/>
        <v>0</v>
      </c>
      <c r="P104" s="140">
        <f t="shared" si="82"/>
        <v>0</v>
      </c>
      <c r="Q104" s="140">
        <f t="shared" si="82"/>
        <v>0</v>
      </c>
      <c r="R104" s="140">
        <f t="shared" si="82"/>
        <v>0</v>
      </c>
      <c r="S104" s="140">
        <f t="shared" si="82"/>
        <v>0</v>
      </c>
      <c r="T104" s="140">
        <f t="shared" si="82"/>
        <v>0</v>
      </c>
      <c r="U104" s="140">
        <f t="shared" si="82"/>
        <v>0</v>
      </c>
      <c r="V104" s="140">
        <f t="shared" si="82"/>
        <v>0</v>
      </c>
      <c r="W104" s="140">
        <f t="shared" si="82"/>
        <v>0</v>
      </c>
      <c r="X104" s="140">
        <f t="shared" si="82"/>
        <v>0</v>
      </c>
      <c r="Y104" s="140">
        <f t="shared" si="82"/>
        <v>0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Y105" si="83">IF(B13=0,0,B13/B$4)</f>
        <v>0.22926514599530665</v>
      </c>
      <c r="C105" s="124">
        <f t="shared" si="83"/>
        <v>0.23263712444371232</v>
      </c>
      <c r="D105" s="124">
        <f t="shared" si="83"/>
        <v>0.22721918215787804</v>
      </c>
      <c r="E105" s="124">
        <f t="shared" si="83"/>
        <v>0.21452712507531502</v>
      </c>
      <c r="F105" s="124">
        <f t="shared" si="83"/>
        <v>0.21560654529380871</v>
      </c>
      <c r="G105" s="124">
        <f t="shared" si="83"/>
        <v>0.24107158339100085</v>
      </c>
      <c r="H105" s="124">
        <f t="shared" si="83"/>
        <v>0.26489671178840579</v>
      </c>
      <c r="I105" s="124">
        <f t="shared" si="83"/>
        <v>0.27627679420115531</v>
      </c>
      <c r="J105" s="124">
        <f t="shared" si="83"/>
        <v>0.26983642795596874</v>
      </c>
      <c r="K105" s="124">
        <f t="shared" si="83"/>
        <v>0.24312840078454381</v>
      </c>
      <c r="L105" s="124">
        <f t="shared" si="83"/>
        <v>0.22599944431375313</v>
      </c>
      <c r="M105" s="124">
        <f t="shared" si="83"/>
        <v>0.23321945098725058</v>
      </c>
      <c r="N105" s="124">
        <f t="shared" si="83"/>
        <v>0.24331719713749023</v>
      </c>
      <c r="O105" s="124">
        <f t="shared" si="83"/>
        <v>0.25133505589112165</v>
      </c>
      <c r="P105" s="124">
        <f t="shared" si="83"/>
        <v>0.26708113938962624</v>
      </c>
      <c r="Q105" s="124">
        <f t="shared" si="83"/>
        <v>0.27554233075706869</v>
      </c>
      <c r="R105" s="124">
        <f t="shared" si="83"/>
        <v>0.28526949925383077</v>
      </c>
      <c r="S105" s="124">
        <f t="shared" si="83"/>
        <v>0.29850913072301483</v>
      </c>
      <c r="T105" s="124">
        <f t="shared" si="83"/>
        <v>0.31470457442184407</v>
      </c>
      <c r="U105" s="124">
        <f t="shared" si="83"/>
        <v>0.31929205191865578</v>
      </c>
      <c r="V105" s="124">
        <f t="shared" si="83"/>
        <v>0.10404740560165335</v>
      </c>
      <c r="W105" s="124">
        <f t="shared" si="83"/>
        <v>0.11026490087842104</v>
      </c>
      <c r="X105" s="124">
        <f t="shared" si="83"/>
        <v>0.29496716199609113</v>
      </c>
      <c r="Y105" s="124">
        <f t="shared" si="83"/>
        <v>0.31856827646389846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Y106" si="84">IF(B14=0,0,B14/B$4)</f>
        <v>4.3963714261848448E-3</v>
      </c>
      <c r="C106" s="140">
        <f t="shared" si="84"/>
        <v>4.210271100841277E-3</v>
      </c>
      <c r="D106" s="140">
        <f t="shared" si="84"/>
        <v>3.7253261085952978E-3</v>
      </c>
      <c r="E106" s="140">
        <f t="shared" si="84"/>
        <v>3.7871541826276374E-3</v>
      </c>
      <c r="F106" s="140">
        <f t="shared" si="84"/>
        <v>3.5053907426346991E-3</v>
      </c>
      <c r="G106" s="140">
        <f t="shared" si="84"/>
        <v>3.8676773637166301E-3</v>
      </c>
      <c r="H106" s="140">
        <f t="shared" si="84"/>
        <v>4.4949298206349696E-3</v>
      </c>
      <c r="I106" s="140">
        <f t="shared" si="84"/>
        <v>3.820711648887557E-3</v>
      </c>
      <c r="J106" s="140">
        <f t="shared" si="84"/>
        <v>3.2368191463713969E-3</v>
      </c>
      <c r="K106" s="140">
        <f t="shared" si="84"/>
        <v>2.3880883098284554E-3</v>
      </c>
      <c r="L106" s="140">
        <f t="shared" si="84"/>
        <v>1.3167190225737884E-3</v>
      </c>
      <c r="M106" s="140">
        <f t="shared" si="84"/>
        <v>3.5525973948739717E-4</v>
      </c>
      <c r="N106" s="140">
        <f t="shared" si="84"/>
        <v>1.8034435558545261E-4</v>
      </c>
      <c r="O106" s="140">
        <f t="shared" si="84"/>
        <v>2.0787329809545963E-4</v>
      </c>
      <c r="P106" s="140">
        <f t="shared" si="84"/>
        <v>1.8965281462329946E-4</v>
      </c>
      <c r="Q106" s="140">
        <f t="shared" si="84"/>
        <v>2.0802535920824702E-4</v>
      </c>
      <c r="R106" s="140">
        <f t="shared" si="84"/>
        <v>2.1296919997529891E-4</v>
      </c>
      <c r="S106" s="140">
        <f t="shared" si="84"/>
        <v>2.09928885623366E-4</v>
      </c>
      <c r="T106" s="140">
        <f t="shared" si="84"/>
        <v>2.3168002549480869E-4</v>
      </c>
      <c r="U106" s="140">
        <f t="shared" si="84"/>
        <v>2.1711771515095074E-4</v>
      </c>
      <c r="V106" s="140">
        <f t="shared" si="84"/>
        <v>1.0164142109164141E-4</v>
      </c>
      <c r="W106" s="140">
        <f t="shared" si="84"/>
        <v>1.3037801451188971E-4</v>
      </c>
      <c r="X106" s="140">
        <f t="shared" si="84"/>
        <v>3.1228652889628321E-4</v>
      </c>
      <c r="Y106" s="140">
        <f t="shared" si="84"/>
        <v>3.4450258986276671E-4</v>
      </c>
      <c r="DA106" s="175"/>
    </row>
    <row r="107" spans="1:105" ht="11.45" customHeight="1" x14ac:dyDescent="0.25">
      <c r="A107" s="128" t="str">
        <f>$A$15</f>
        <v>International - Intra-EEAwCHUK</v>
      </c>
      <c r="B107" s="140">
        <f t="shared" ref="B107:Y107" si="85">IF(B15=0,0,B15/B$4)</f>
        <v>0.13720142391389356</v>
      </c>
      <c r="C107" s="140">
        <f t="shared" si="85"/>
        <v>0.14372926252562052</v>
      </c>
      <c r="D107" s="140">
        <f t="shared" si="85"/>
        <v>0.14423922974776635</v>
      </c>
      <c r="E107" s="140">
        <f t="shared" si="85"/>
        <v>0.14509861724554629</v>
      </c>
      <c r="F107" s="140">
        <f t="shared" si="85"/>
        <v>0.14609327576921222</v>
      </c>
      <c r="G107" s="140">
        <f t="shared" si="85"/>
        <v>0.16636291368374362</v>
      </c>
      <c r="H107" s="140">
        <f t="shared" si="85"/>
        <v>0.18259251280795455</v>
      </c>
      <c r="I107" s="140">
        <f t="shared" si="85"/>
        <v>0.18950941892113338</v>
      </c>
      <c r="J107" s="140">
        <f t="shared" si="85"/>
        <v>0.18137148438832182</v>
      </c>
      <c r="K107" s="140">
        <f t="shared" si="85"/>
        <v>0.16177972107940189</v>
      </c>
      <c r="L107" s="140">
        <f t="shared" si="85"/>
        <v>0.14943754781346683</v>
      </c>
      <c r="M107" s="140">
        <f t="shared" si="85"/>
        <v>0.15401752837348046</v>
      </c>
      <c r="N107" s="140">
        <f t="shared" si="85"/>
        <v>0.15510351432008512</v>
      </c>
      <c r="O107" s="140">
        <f t="shared" si="85"/>
        <v>0.1535305057065503</v>
      </c>
      <c r="P107" s="140">
        <f t="shared" si="85"/>
        <v>0.15601191137429207</v>
      </c>
      <c r="Q107" s="140">
        <f t="shared" si="85"/>
        <v>0.15698972536962896</v>
      </c>
      <c r="R107" s="140">
        <f t="shared" si="85"/>
        <v>0.16443472257538286</v>
      </c>
      <c r="S107" s="140">
        <f t="shared" si="85"/>
        <v>0.16431000558388403</v>
      </c>
      <c r="T107" s="140">
        <f t="shared" si="85"/>
        <v>0.16484893818135349</v>
      </c>
      <c r="U107" s="140">
        <f t="shared" si="85"/>
        <v>0.17029834314417261</v>
      </c>
      <c r="V107" s="140">
        <f t="shared" si="85"/>
        <v>6.4045038517204139E-2</v>
      </c>
      <c r="W107" s="140">
        <f t="shared" si="85"/>
        <v>7.5132821555296839E-2</v>
      </c>
      <c r="X107" s="140">
        <f t="shared" si="85"/>
        <v>0.16483475503727668</v>
      </c>
      <c r="Y107" s="140">
        <f t="shared" si="85"/>
        <v>0.17225902611887978</v>
      </c>
      <c r="DA107" s="175"/>
    </row>
    <row r="108" spans="1:105" ht="11.45" customHeight="1" x14ac:dyDescent="0.25">
      <c r="A108" s="128" t="str">
        <f>$A$16</f>
        <v>International - Extra-EEAwCHUK</v>
      </c>
      <c r="B108" s="140">
        <f t="shared" ref="B108:Y108" si="86">IF(B16=0,0,B16/B$4)</f>
        <v>8.766735065522821E-2</v>
      </c>
      <c r="C108" s="140">
        <f t="shared" si="86"/>
        <v>8.4697590817250548E-2</v>
      </c>
      <c r="D108" s="140">
        <f t="shared" si="86"/>
        <v>7.9254626301516376E-2</v>
      </c>
      <c r="E108" s="140">
        <f t="shared" si="86"/>
        <v>6.5641353647141076E-2</v>
      </c>
      <c r="F108" s="140">
        <f t="shared" si="86"/>
        <v>6.6007878781961793E-2</v>
      </c>
      <c r="G108" s="140">
        <f t="shared" si="86"/>
        <v>7.0840992343540576E-2</v>
      </c>
      <c r="H108" s="140">
        <f t="shared" si="86"/>
        <v>7.7809269159816286E-2</v>
      </c>
      <c r="I108" s="140">
        <f t="shared" si="86"/>
        <v>8.2946663631134385E-2</v>
      </c>
      <c r="J108" s="140">
        <f t="shared" si="86"/>
        <v>8.5228124421275531E-2</v>
      </c>
      <c r="K108" s="140">
        <f t="shared" si="86"/>
        <v>7.8960591395313459E-2</v>
      </c>
      <c r="L108" s="140">
        <f t="shared" si="86"/>
        <v>7.5245177477712519E-2</v>
      </c>
      <c r="M108" s="140">
        <f t="shared" si="86"/>
        <v>7.8846662874282755E-2</v>
      </c>
      <c r="N108" s="140">
        <f t="shared" si="86"/>
        <v>8.8033338461819641E-2</v>
      </c>
      <c r="O108" s="140">
        <f t="shared" si="86"/>
        <v>9.7596676886475914E-2</v>
      </c>
      <c r="P108" s="140">
        <f t="shared" si="86"/>
        <v>0.11087957520071087</v>
      </c>
      <c r="Q108" s="140">
        <f t="shared" si="86"/>
        <v>0.11834458002823145</v>
      </c>
      <c r="R108" s="140">
        <f t="shared" si="86"/>
        <v>0.12062180747847263</v>
      </c>
      <c r="S108" s="140">
        <f t="shared" si="86"/>
        <v>0.13398919625350744</v>
      </c>
      <c r="T108" s="140">
        <f t="shared" si="86"/>
        <v>0.1496239562149958</v>
      </c>
      <c r="U108" s="140">
        <f t="shared" si="86"/>
        <v>0.14877659105933216</v>
      </c>
      <c r="V108" s="140">
        <f t="shared" si="86"/>
        <v>3.9900725663357575E-2</v>
      </c>
      <c r="W108" s="140">
        <f t="shared" si="86"/>
        <v>3.5001701308612312E-2</v>
      </c>
      <c r="X108" s="140">
        <f t="shared" si="86"/>
        <v>0.1298201204299182</v>
      </c>
      <c r="Y108" s="140">
        <f t="shared" si="86"/>
        <v>0.14596474775515594</v>
      </c>
      <c r="DA108" s="175"/>
    </row>
    <row r="109" spans="1:105" ht="11.45" customHeight="1" x14ac:dyDescent="0.25">
      <c r="A109" s="27" t="s">
        <v>39</v>
      </c>
      <c r="B109" s="31">
        <f t="shared" ref="B109:Y109" si="87">IF(B17=0,0,B17/B$17)</f>
        <v>1</v>
      </c>
      <c r="C109" s="31">
        <f t="shared" si="87"/>
        <v>1</v>
      </c>
      <c r="D109" s="31">
        <f t="shared" si="87"/>
        <v>1</v>
      </c>
      <c r="E109" s="31">
        <f t="shared" si="87"/>
        <v>1</v>
      </c>
      <c r="F109" s="31">
        <f t="shared" si="87"/>
        <v>1</v>
      </c>
      <c r="G109" s="31">
        <f t="shared" si="87"/>
        <v>1</v>
      </c>
      <c r="H109" s="31">
        <f t="shared" si="87"/>
        <v>1</v>
      </c>
      <c r="I109" s="31">
        <f t="shared" si="87"/>
        <v>1</v>
      </c>
      <c r="J109" s="31">
        <f t="shared" si="87"/>
        <v>1</v>
      </c>
      <c r="K109" s="31">
        <f t="shared" si="87"/>
        <v>1</v>
      </c>
      <c r="L109" s="31">
        <f t="shared" si="87"/>
        <v>1</v>
      </c>
      <c r="M109" s="31">
        <f t="shared" si="87"/>
        <v>1</v>
      </c>
      <c r="N109" s="31">
        <f t="shared" si="87"/>
        <v>1</v>
      </c>
      <c r="O109" s="31">
        <f t="shared" si="87"/>
        <v>1</v>
      </c>
      <c r="P109" s="31">
        <f t="shared" si="87"/>
        <v>1</v>
      </c>
      <c r="Q109" s="31">
        <f t="shared" si="87"/>
        <v>1</v>
      </c>
      <c r="R109" s="31">
        <f t="shared" si="87"/>
        <v>1</v>
      </c>
      <c r="S109" s="31">
        <f t="shared" si="87"/>
        <v>1</v>
      </c>
      <c r="T109" s="31">
        <f t="shared" si="87"/>
        <v>1</v>
      </c>
      <c r="U109" s="31">
        <f t="shared" si="87"/>
        <v>1</v>
      </c>
      <c r="V109" s="31">
        <f t="shared" si="87"/>
        <v>1</v>
      </c>
      <c r="W109" s="31">
        <f t="shared" si="87"/>
        <v>1</v>
      </c>
      <c r="X109" s="31">
        <f t="shared" si="87"/>
        <v>1</v>
      </c>
      <c r="Y109" s="31">
        <f t="shared" si="87"/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Y110" si="88">IF(B18=0,0,B18/B$17)</f>
        <v>0.93741635371601761</v>
      </c>
      <c r="C110" s="139">
        <f t="shared" si="88"/>
        <v>0.94217937257067041</v>
      </c>
      <c r="D110" s="139">
        <f t="shared" si="88"/>
        <v>0.95887487571038876</v>
      </c>
      <c r="E110" s="139">
        <f t="shared" si="88"/>
        <v>0.96312170248783191</v>
      </c>
      <c r="F110" s="139">
        <f t="shared" si="88"/>
        <v>0.9659267141997453</v>
      </c>
      <c r="G110" s="139">
        <f t="shared" si="88"/>
        <v>0.97010772742836915</v>
      </c>
      <c r="H110" s="139">
        <f t="shared" si="88"/>
        <v>0.97330075950854367</v>
      </c>
      <c r="I110" s="139">
        <f t="shared" si="88"/>
        <v>0.97884594782043133</v>
      </c>
      <c r="J110" s="139">
        <f t="shared" si="88"/>
        <v>0.97879806023228433</v>
      </c>
      <c r="K110" s="139">
        <f t="shared" si="88"/>
        <v>0.97334481587581356</v>
      </c>
      <c r="L110" s="139">
        <f t="shared" si="88"/>
        <v>0.9707522865947591</v>
      </c>
      <c r="M110" s="139">
        <f t="shared" si="88"/>
        <v>0.96353138596203158</v>
      </c>
      <c r="N110" s="139">
        <f t="shared" si="88"/>
        <v>0.95293647417268479</v>
      </c>
      <c r="O110" s="139">
        <f t="shared" si="88"/>
        <v>0.95601976395750199</v>
      </c>
      <c r="P110" s="139">
        <f t="shared" si="88"/>
        <v>0.95706417709162783</v>
      </c>
      <c r="Q110" s="139">
        <f t="shared" si="88"/>
        <v>0.95830473966402929</v>
      </c>
      <c r="R110" s="139">
        <f t="shared" si="88"/>
        <v>0.96375524758433817</v>
      </c>
      <c r="S110" s="139">
        <f t="shared" si="88"/>
        <v>0.95903727600517563</v>
      </c>
      <c r="T110" s="139">
        <f t="shared" si="88"/>
        <v>0.9606097553825439</v>
      </c>
      <c r="U110" s="139">
        <f t="shared" si="88"/>
        <v>0.96400356212288829</v>
      </c>
      <c r="V110" s="139">
        <f t="shared" si="88"/>
        <v>0.96090050932424342</v>
      </c>
      <c r="W110" s="139">
        <f t="shared" si="88"/>
        <v>0.9604203655686222</v>
      </c>
      <c r="X110" s="139">
        <f t="shared" si="88"/>
        <v>0.95968677785816092</v>
      </c>
      <c r="Y110" s="139">
        <f t="shared" si="88"/>
        <v>0.9624082327699145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Y111" si="89">IF(B19=0,0,B19/B$17)</f>
        <v>0.13618230679357746</v>
      </c>
      <c r="C111" s="140">
        <f t="shared" si="89"/>
        <v>0.13580558202081697</v>
      </c>
      <c r="D111" s="140">
        <f t="shared" si="89"/>
        <v>0.12887832242194444</v>
      </c>
      <c r="E111" s="140">
        <f t="shared" si="89"/>
        <v>0.12648265612014684</v>
      </c>
      <c r="F111" s="140">
        <f t="shared" si="89"/>
        <v>0.12190626435084553</v>
      </c>
      <c r="G111" s="140">
        <f t="shared" si="89"/>
        <v>0.1235941792186636</v>
      </c>
      <c r="H111" s="140">
        <f t="shared" si="89"/>
        <v>0.13241441510781113</v>
      </c>
      <c r="I111" s="140">
        <f t="shared" si="89"/>
        <v>0.13420546925296109</v>
      </c>
      <c r="J111" s="140">
        <f t="shared" si="89"/>
        <v>0.14556767753959035</v>
      </c>
      <c r="K111" s="140">
        <f t="shared" si="89"/>
        <v>0.1979850150757462</v>
      </c>
      <c r="L111" s="140">
        <f t="shared" si="89"/>
        <v>0.19185768604802286</v>
      </c>
      <c r="M111" s="140">
        <f t="shared" si="89"/>
        <v>0.19757640884591801</v>
      </c>
      <c r="N111" s="140">
        <f t="shared" si="89"/>
        <v>0.19144216178829529</v>
      </c>
      <c r="O111" s="140">
        <f t="shared" si="89"/>
        <v>0.20064116065952145</v>
      </c>
      <c r="P111" s="140">
        <f t="shared" si="89"/>
        <v>0.18887980823581832</v>
      </c>
      <c r="Q111" s="140">
        <f t="shared" si="89"/>
        <v>0.178280769851066</v>
      </c>
      <c r="R111" s="140">
        <f t="shared" si="89"/>
        <v>0.15716653778379391</v>
      </c>
      <c r="S111" s="140">
        <f t="shared" si="89"/>
        <v>0.15502322482873729</v>
      </c>
      <c r="T111" s="140">
        <f t="shared" si="89"/>
        <v>0.15378334551041833</v>
      </c>
      <c r="U111" s="140">
        <f t="shared" si="89"/>
        <v>0.14376879952943214</v>
      </c>
      <c r="V111" s="140">
        <f t="shared" si="89"/>
        <v>0.16566273455871103</v>
      </c>
      <c r="W111" s="140">
        <f t="shared" si="89"/>
        <v>0.15407385742098695</v>
      </c>
      <c r="X111" s="140">
        <f t="shared" si="89"/>
        <v>0.15883339806169167</v>
      </c>
      <c r="Y111" s="140">
        <f t="shared" si="89"/>
        <v>0.16273909075095855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Y112" si="90">IF(B20=0,0,B20/B$17)</f>
        <v>0.80123404692244016</v>
      </c>
      <c r="C112" s="140">
        <f t="shared" si="90"/>
        <v>0.80637379054985348</v>
      </c>
      <c r="D112" s="140">
        <f t="shared" si="90"/>
        <v>0.82999655328844424</v>
      </c>
      <c r="E112" s="140">
        <f t="shared" si="90"/>
        <v>0.83663904636768516</v>
      </c>
      <c r="F112" s="140">
        <f t="shared" si="90"/>
        <v>0.84402044984889968</v>
      </c>
      <c r="G112" s="140">
        <f t="shared" si="90"/>
        <v>0.84651354820970548</v>
      </c>
      <c r="H112" s="140">
        <f t="shared" si="90"/>
        <v>0.84088634440073251</v>
      </c>
      <c r="I112" s="140">
        <f t="shared" si="90"/>
        <v>0.84464047856747015</v>
      </c>
      <c r="J112" s="140">
        <f t="shared" si="90"/>
        <v>0.833230382692694</v>
      </c>
      <c r="K112" s="140">
        <f t="shared" si="90"/>
        <v>0.77535980080006728</v>
      </c>
      <c r="L112" s="140">
        <f t="shared" si="90"/>
        <v>0.77889460054673632</v>
      </c>
      <c r="M112" s="140">
        <f t="shared" si="90"/>
        <v>0.7659549771161136</v>
      </c>
      <c r="N112" s="140">
        <f t="shared" si="90"/>
        <v>0.76149431238438947</v>
      </c>
      <c r="O112" s="140">
        <f t="shared" si="90"/>
        <v>0.75537860329798057</v>
      </c>
      <c r="P112" s="140">
        <f t="shared" si="90"/>
        <v>0.76818436885580943</v>
      </c>
      <c r="Q112" s="140">
        <f t="shared" si="90"/>
        <v>0.78002396981296329</v>
      </c>
      <c r="R112" s="140">
        <f t="shared" si="90"/>
        <v>0.8065887098005442</v>
      </c>
      <c r="S112" s="140">
        <f t="shared" si="90"/>
        <v>0.80401405117643832</v>
      </c>
      <c r="T112" s="140">
        <f t="shared" si="90"/>
        <v>0.80682640987212562</v>
      </c>
      <c r="U112" s="140">
        <f t="shared" si="90"/>
        <v>0.82023476259345618</v>
      </c>
      <c r="V112" s="140">
        <f t="shared" si="90"/>
        <v>0.79523777476553237</v>
      </c>
      <c r="W112" s="140">
        <f t="shared" si="90"/>
        <v>0.80634650814763531</v>
      </c>
      <c r="X112" s="140">
        <f t="shared" si="90"/>
        <v>0.80085337979646931</v>
      </c>
      <c r="Y112" s="140">
        <f t="shared" si="90"/>
        <v>0.799669142018956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Y113" si="91">IF(B21=0,0,B21/B$17)</f>
        <v>4.1349601455365217E-2</v>
      </c>
      <c r="C113" s="124">
        <f t="shared" si="91"/>
        <v>4.0074227385947882E-2</v>
      </c>
      <c r="D113" s="124">
        <f t="shared" si="91"/>
        <v>2.9302697086607838E-2</v>
      </c>
      <c r="E113" s="124">
        <f t="shared" si="91"/>
        <v>2.5051221028406265E-2</v>
      </c>
      <c r="F113" s="124">
        <f t="shared" si="91"/>
        <v>2.2768280336169573E-2</v>
      </c>
      <c r="G113" s="124">
        <f t="shared" si="91"/>
        <v>1.6428608414113383E-2</v>
      </c>
      <c r="H113" s="124">
        <f t="shared" si="91"/>
        <v>1.1110411203110052E-2</v>
      </c>
      <c r="I113" s="124">
        <f t="shared" si="91"/>
        <v>6.7063955720924103E-3</v>
      </c>
      <c r="J113" s="124">
        <f t="shared" si="91"/>
        <v>5.7804744486211661E-3</v>
      </c>
      <c r="K113" s="124">
        <f t="shared" si="91"/>
        <v>6.2412633327372851E-3</v>
      </c>
      <c r="L113" s="124">
        <f t="shared" si="91"/>
        <v>7.4212510136855868E-3</v>
      </c>
      <c r="M113" s="124">
        <f t="shared" si="91"/>
        <v>8.9058559074463774E-3</v>
      </c>
      <c r="N113" s="124">
        <f t="shared" si="91"/>
        <v>7.8592815570201185E-3</v>
      </c>
      <c r="O113" s="124">
        <f t="shared" si="91"/>
        <v>8.7428200514305058E-3</v>
      </c>
      <c r="P113" s="124">
        <f t="shared" si="91"/>
        <v>8.5244365931607981E-3</v>
      </c>
      <c r="Q113" s="124">
        <f t="shared" si="91"/>
        <v>8.1224004795902669E-3</v>
      </c>
      <c r="R113" s="124">
        <f t="shared" si="91"/>
        <v>7.6930368227972638E-3</v>
      </c>
      <c r="S113" s="124">
        <f t="shared" si="91"/>
        <v>7.5772552675201403E-3</v>
      </c>
      <c r="T113" s="124">
        <f t="shared" si="91"/>
        <v>6.6310416916261139E-3</v>
      </c>
      <c r="U113" s="124">
        <f t="shared" si="91"/>
        <v>5.0797267251616075E-3</v>
      </c>
      <c r="V113" s="124">
        <f t="shared" si="91"/>
        <v>6.1013577327785791E-3</v>
      </c>
      <c r="W113" s="124">
        <f t="shared" si="91"/>
        <v>5.2046339852774987E-3</v>
      </c>
      <c r="X113" s="124">
        <f t="shared" si="91"/>
        <v>6.0270485704277633E-3</v>
      </c>
      <c r="Y113" s="124">
        <f t="shared" si="91"/>
        <v>5.4950139957902948E-3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Y114" si="92">IF(B22=0,0,B22/B$17)</f>
        <v>5.0564132808081546E-3</v>
      </c>
      <c r="C114" s="124">
        <f t="shared" si="92"/>
        <v>4.7799022606237109E-3</v>
      </c>
      <c r="D114" s="124">
        <f t="shared" si="92"/>
        <v>3.7776674962730844E-3</v>
      </c>
      <c r="E114" s="124">
        <f t="shared" si="92"/>
        <v>3.6088912455836141E-3</v>
      </c>
      <c r="F114" s="124">
        <f t="shared" si="92"/>
        <v>5.0354541845490626E-3</v>
      </c>
      <c r="G114" s="124">
        <f t="shared" si="92"/>
        <v>5.4505155188315267E-3</v>
      </c>
      <c r="H114" s="124">
        <f t="shared" si="92"/>
        <v>7.6393029739571915E-3</v>
      </c>
      <c r="I114" s="124">
        <f t="shared" si="92"/>
        <v>7.551506431987493E-3</v>
      </c>
      <c r="J114" s="124">
        <f t="shared" si="92"/>
        <v>7.5326890878389058E-3</v>
      </c>
      <c r="K114" s="124">
        <f t="shared" si="92"/>
        <v>8.6063986059101757E-3</v>
      </c>
      <c r="L114" s="124">
        <f t="shared" si="92"/>
        <v>1.0958120947784688E-2</v>
      </c>
      <c r="M114" s="124">
        <f t="shared" si="92"/>
        <v>1.0680308766314888E-2</v>
      </c>
      <c r="N114" s="124">
        <f t="shared" si="92"/>
        <v>1.3952199896126689E-2</v>
      </c>
      <c r="O114" s="124">
        <f t="shared" si="92"/>
        <v>1.4985512299408383E-2</v>
      </c>
      <c r="P114" s="124">
        <f t="shared" si="92"/>
        <v>1.7005935946197769E-2</v>
      </c>
      <c r="Q114" s="124">
        <f t="shared" si="92"/>
        <v>1.9681862869514535E-2</v>
      </c>
      <c r="R114" s="124">
        <f t="shared" si="92"/>
        <v>1.7855499999282595E-2</v>
      </c>
      <c r="S114" s="124">
        <f t="shared" si="92"/>
        <v>2.3649983841936367E-2</v>
      </c>
      <c r="T114" s="124">
        <f t="shared" si="92"/>
        <v>2.0423304702899103E-2</v>
      </c>
      <c r="U114" s="124">
        <f t="shared" si="92"/>
        <v>1.6883613314890696E-2</v>
      </c>
      <c r="V114" s="124">
        <f t="shared" si="92"/>
        <v>1.6380672903854726E-2</v>
      </c>
      <c r="W114" s="124">
        <f t="shared" si="92"/>
        <v>1.7758091169390772E-2</v>
      </c>
      <c r="X114" s="124">
        <f t="shared" si="92"/>
        <v>2.109839603525886E-2</v>
      </c>
      <c r="Y114" s="124">
        <f t="shared" si="92"/>
        <v>2.0507262597463344E-2</v>
      </c>
      <c r="DA114" s="176"/>
    </row>
    <row r="115" spans="1:105" ht="11.45" customHeight="1" x14ac:dyDescent="0.25">
      <c r="A115" s="128" t="s">
        <v>27</v>
      </c>
      <c r="B115" s="140">
        <f t="shared" ref="B115:Q115" si="93">IF(B23=0,0,B23/B$17)</f>
        <v>1.0689485721503827E-4</v>
      </c>
      <c r="C115" s="140">
        <f t="shared" si="93"/>
        <v>9.6761777991951397E-5</v>
      </c>
      <c r="D115" s="140">
        <f t="shared" si="93"/>
        <v>6.3879551624495813E-5</v>
      </c>
      <c r="E115" s="140">
        <f t="shared" si="93"/>
        <v>6.069285751383218E-5</v>
      </c>
      <c r="F115" s="140">
        <f t="shared" si="93"/>
        <v>1.0120837670196283E-4</v>
      </c>
      <c r="G115" s="140">
        <f t="shared" si="93"/>
        <v>1.2941184068935042E-4</v>
      </c>
      <c r="H115" s="140">
        <f t="shared" si="93"/>
        <v>1.8715475777706999E-4</v>
      </c>
      <c r="I115" s="140">
        <f t="shared" si="93"/>
        <v>1.542907496331471E-4</v>
      </c>
      <c r="J115" s="140">
        <f t="shared" si="93"/>
        <v>1.2594108174346E-4</v>
      </c>
      <c r="K115" s="140">
        <f t="shared" si="93"/>
        <v>1.6776425152012538E-4</v>
      </c>
      <c r="L115" s="140">
        <f t="shared" si="93"/>
        <v>1.6411147586148963E-4</v>
      </c>
      <c r="M115" s="140">
        <f t="shared" si="93"/>
        <v>1.1673346949372804E-4</v>
      </c>
      <c r="N115" s="140">
        <f t="shared" si="93"/>
        <v>1.1319073725731312E-4</v>
      </c>
      <c r="O115" s="140">
        <f t="shared" si="93"/>
        <v>1.0880440909108533E-4</v>
      </c>
      <c r="P115" s="140">
        <f t="shared" si="93"/>
        <v>8.8243366751544338E-5</v>
      </c>
      <c r="Q115" s="140">
        <f t="shared" si="93"/>
        <v>9.2979946402522762E-5</v>
      </c>
      <c r="R115" s="140">
        <f t="shared" ref="R115:V116" si="94">IF(R23=0,0,R23/R$17)</f>
        <v>7.7931313994435768E-5</v>
      </c>
      <c r="S115" s="140">
        <f t="shared" si="94"/>
        <v>9.0661653120229345E-5</v>
      </c>
      <c r="T115" s="140">
        <f t="shared" si="94"/>
        <v>9.1425352045423235E-5</v>
      </c>
      <c r="U115" s="140">
        <f t="shared" si="94"/>
        <v>5.72706472308573E-5</v>
      </c>
      <c r="V115" s="140">
        <f t="shared" si="94"/>
        <v>5.8978309362887321E-5</v>
      </c>
      <c r="W115" s="140">
        <f t="shared" ref="W115:Y120" si="95">IF(W23=0,0,W23/W$17)</f>
        <v>1.0197488959214978E-4</v>
      </c>
      <c r="X115" s="140">
        <f t="shared" si="95"/>
        <v>5.3958489647181932E-5</v>
      </c>
      <c r="Y115" s="140">
        <f t="shared" si="95"/>
        <v>6.1921074652662936E-5</v>
      </c>
      <c r="DA115" s="175"/>
    </row>
    <row r="116" spans="1:105" ht="11.45" customHeight="1" x14ac:dyDescent="0.25">
      <c r="A116" s="128" t="str">
        <f>$A$24</f>
        <v>International - Intra-EEAwCHUK</v>
      </c>
      <c r="B116" s="140">
        <f t="shared" ref="B116:Q116" si="96">IF(B24=0,0,B24/B$17)</f>
        <v>1.349223132159835E-3</v>
      </c>
      <c r="C116" s="140">
        <f t="shared" si="96"/>
        <v>1.2930514888339424E-3</v>
      </c>
      <c r="D116" s="140">
        <f t="shared" si="96"/>
        <v>8.042174722742995E-4</v>
      </c>
      <c r="E116" s="140">
        <f t="shared" si="96"/>
        <v>7.3619769338693745E-4</v>
      </c>
      <c r="F116" s="140">
        <f t="shared" si="96"/>
        <v>6.4055936058171766E-4</v>
      </c>
      <c r="G116" s="140">
        <f t="shared" si="96"/>
        <v>1.1664806782520397E-3</v>
      </c>
      <c r="H116" s="140">
        <f t="shared" si="96"/>
        <v>1.7712320886894475E-3</v>
      </c>
      <c r="I116" s="140">
        <f t="shared" si="96"/>
        <v>1.5770274483995538E-3</v>
      </c>
      <c r="J116" s="140">
        <f t="shared" si="96"/>
        <v>1.6900646892131527E-3</v>
      </c>
      <c r="K116" s="140">
        <f t="shared" si="96"/>
        <v>2.2241433924477033E-3</v>
      </c>
      <c r="L116" s="140">
        <f t="shared" si="96"/>
        <v>2.408793432225742E-3</v>
      </c>
      <c r="M116" s="140">
        <f t="shared" si="96"/>
        <v>2.5640859672914182E-3</v>
      </c>
      <c r="N116" s="140">
        <f t="shared" si="96"/>
        <v>2.6105698467125192E-3</v>
      </c>
      <c r="O116" s="140">
        <f t="shared" si="96"/>
        <v>2.377968345439583E-3</v>
      </c>
      <c r="P116" s="140">
        <f t="shared" si="96"/>
        <v>2.7280235103904478E-3</v>
      </c>
      <c r="Q116" s="140">
        <f t="shared" si="96"/>
        <v>2.7712054560748121E-3</v>
      </c>
      <c r="R116" s="140">
        <f t="shared" si="94"/>
        <v>2.4887366693228971E-3</v>
      </c>
      <c r="S116" s="140">
        <f t="shared" si="94"/>
        <v>2.255005653153164E-3</v>
      </c>
      <c r="T116" s="140">
        <f t="shared" si="94"/>
        <v>2.4192317125336805E-3</v>
      </c>
      <c r="U116" s="140">
        <f t="shared" si="94"/>
        <v>2.203728319749982E-3</v>
      </c>
      <c r="V116" s="140">
        <f t="shared" si="94"/>
        <v>2.7309274496990269E-3</v>
      </c>
      <c r="W116" s="140">
        <f t="shared" si="95"/>
        <v>3.1034603984339947E-3</v>
      </c>
      <c r="X116" s="140">
        <f t="shared" si="95"/>
        <v>2.5376664662021997E-3</v>
      </c>
      <c r="Y116" s="140">
        <f t="shared" si="95"/>
        <v>2.7640027849439781E-3</v>
      </c>
      <c r="DA116" s="175"/>
    </row>
    <row r="117" spans="1:105" ht="11.45" customHeight="1" x14ac:dyDescent="0.25">
      <c r="A117" s="128" t="str">
        <f>$A$25</f>
        <v>International - Extra-EEAwCHUK</v>
      </c>
      <c r="B117" s="140">
        <f t="shared" ref="B117:Q117" si="97">IF(B25=0,0,B25/B$17)</f>
        <v>3.600295291433281E-3</v>
      </c>
      <c r="C117" s="140">
        <f t="shared" si="97"/>
        <v>3.3900889937978173E-3</v>
      </c>
      <c r="D117" s="140">
        <f t="shared" si="97"/>
        <v>2.9095704723742888E-3</v>
      </c>
      <c r="E117" s="140">
        <f t="shared" si="97"/>
        <v>2.8120006946828449E-3</v>
      </c>
      <c r="F117" s="140">
        <f t="shared" si="97"/>
        <v>4.2936864472653824E-3</v>
      </c>
      <c r="G117" s="140">
        <f t="shared" si="97"/>
        <v>4.154622999890137E-3</v>
      </c>
      <c r="H117" s="140">
        <f t="shared" si="97"/>
        <v>5.6809161274906737E-3</v>
      </c>
      <c r="I117" s="140">
        <f t="shared" si="97"/>
        <v>5.8201882339547917E-3</v>
      </c>
      <c r="J117" s="140">
        <f t="shared" si="97"/>
        <v>5.7166833168822932E-3</v>
      </c>
      <c r="K117" s="140">
        <f t="shared" si="97"/>
        <v>6.2144909619423466E-3</v>
      </c>
      <c r="L117" s="140">
        <f t="shared" si="97"/>
        <v>8.3852160396974545E-3</v>
      </c>
      <c r="M117" s="140">
        <f t="shared" si="97"/>
        <v>7.9994893295297423E-3</v>
      </c>
      <c r="N117" s="140">
        <f t="shared" si="97"/>
        <v>1.1228439312156856E-2</v>
      </c>
      <c r="O117" s="140">
        <f t="shared" si="97"/>
        <v>1.2498739544877716E-2</v>
      </c>
      <c r="P117" s="140">
        <f t="shared" si="97"/>
        <v>1.4189669069055775E-2</v>
      </c>
      <c r="Q117" s="140">
        <f t="shared" si="97"/>
        <v>1.6817677467037197E-2</v>
      </c>
      <c r="R117" s="140">
        <f t="shared" ref="R117:V120" si="98">IF(R25=0,0,R25/R$17)</f>
        <v>1.5288832015965261E-2</v>
      </c>
      <c r="S117" s="140">
        <f t="shared" si="98"/>
        <v>2.1304316535662973E-2</v>
      </c>
      <c r="T117" s="140">
        <f t="shared" si="98"/>
        <v>1.7912647638319998E-2</v>
      </c>
      <c r="U117" s="140">
        <f t="shared" si="98"/>
        <v>1.4622614347909858E-2</v>
      </c>
      <c r="V117" s="140">
        <f t="shared" si="98"/>
        <v>1.3590767144792812E-2</v>
      </c>
      <c r="W117" s="140">
        <f t="shared" si="95"/>
        <v>1.4552655881364627E-2</v>
      </c>
      <c r="X117" s="140">
        <f t="shared" si="95"/>
        <v>1.8506771079409481E-2</v>
      </c>
      <c r="Y117" s="140">
        <f t="shared" si="95"/>
        <v>1.7681338737866703E-2</v>
      </c>
      <c r="DA117" s="175"/>
    </row>
    <row r="118" spans="1:105" ht="11.45" customHeight="1" x14ac:dyDescent="0.25">
      <c r="A118" s="109" t="s">
        <v>141</v>
      </c>
      <c r="B118" s="124">
        <f t="shared" ref="B118:Q118" si="99">IF(B26=0,0,B26/B$17)</f>
        <v>1.6177631547808966E-2</v>
      </c>
      <c r="C118" s="124">
        <f t="shared" si="99"/>
        <v>1.2966497782757918E-2</v>
      </c>
      <c r="D118" s="124">
        <f t="shared" si="99"/>
        <v>8.0447597067303585E-3</v>
      </c>
      <c r="E118" s="124">
        <f t="shared" si="99"/>
        <v>8.2181852381781224E-3</v>
      </c>
      <c r="F118" s="124">
        <f t="shared" si="99"/>
        <v>6.2695512795362179E-3</v>
      </c>
      <c r="G118" s="124">
        <f t="shared" si="99"/>
        <v>8.0131486386858641E-3</v>
      </c>
      <c r="H118" s="124">
        <f t="shared" si="99"/>
        <v>7.949526314389152E-3</v>
      </c>
      <c r="I118" s="124">
        <f t="shared" si="99"/>
        <v>6.8961501754888242E-3</v>
      </c>
      <c r="J118" s="124">
        <f t="shared" si="99"/>
        <v>7.888776231255645E-3</v>
      </c>
      <c r="K118" s="124">
        <f t="shared" si="99"/>
        <v>1.1807522185539035E-2</v>
      </c>
      <c r="L118" s="124">
        <f t="shared" si="99"/>
        <v>1.0868341443770654E-2</v>
      </c>
      <c r="M118" s="124">
        <f t="shared" si="99"/>
        <v>1.688244936420721E-2</v>
      </c>
      <c r="N118" s="124">
        <f t="shared" si="99"/>
        <v>2.525204437416843E-2</v>
      </c>
      <c r="O118" s="124">
        <f t="shared" si="99"/>
        <v>2.0251903691659086E-2</v>
      </c>
      <c r="P118" s="124">
        <f t="shared" si="99"/>
        <v>1.7405450369013514E-2</v>
      </c>
      <c r="Q118" s="124">
        <f t="shared" si="99"/>
        <v>1.3890996986865937E-2</v>
      </c>
      <c r="R118" s="124">
        <f t="shared" si="98"/>
        <v>1.0696215593581922E-2</v>
      </c>
      <c r="S118" s="124">
        <f t="shared" si="98"/>
        <v>9.7354848853679014E-3</v>
      </c>
      <c r="T118" s="124">
        <f t="shared" si="98"/>
        <v>1.2335898222930831E-2</v>
      </c>
      <c r="U118" s="124">
        <f t="shared" si="98"/>
        <v>1.4033097837059298E-2</v>
      </c>
      <c r="V118" s="124">
        <f t="shared" si="98"/>
        <v>1.6617460039123327E-2</v>
      </c>
      <c r="W118" s="124">
        <f t="shared" si="95"/>
        <v>1.6616909276709543E-2</v>
      </c>
      <c r="X118" s="124">
        <f t="shared" si="95"/>
        <v>1.3187777536152284E-2</v>
      </c>
      <c r="Y118" s="124">
        <f t="shared" si="95"/>
        <v>1.1589490636831869E-2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00">IF(B27=0,0,B27/B$17)</f>
        <v>1.6177631547808966E-2</v>
      </c>
      <c r="C119" s="140">
        <f t="shared" si="100"/>
        <v>1.2966497782757918E-2</v>
      </c>
      <c r="D119" s="140">
        <f t="shared" si="100"/>
        <v>8.0447597067303585E-3</v>
      </c>
      <c r="E119" s="140">
        <f t="shared" si="100"/>
        <v>8.2181852381781224E-3</v>
      </c>
      <c r="F119" s="140">
        <f t="shared" si="100"/>
        <v>6.2695512795362179E-3</v>
      </c>
      <c r="G119" s="140">
        <f t="shared" si="100"/>
        <v>8.0131486386858641E-3</v>
      </c>
      <c r="H119" s="140">
        <f t="shared" si="100"/>
        <v>7.949526314389152E-3</v>
      </c>
      <c r="I119" s="140">
        <f t="shared" si="100"/>
        <v>6.8961501754888242E-3</v>
      </c>
      <c r="J119" s="140">
        <f t="shared" si="100"/>
        <v>7.888776231255645E-3</v>
      </c>
      <c r="K119" s="140">
        <f t="shared" si="100"/>
        <v>1.1807522185539035E-2</v>
      </c>
      <c r="L119" s="140">
        <f t="shared" si="100"/>
        <v>1.0868341443770654E-2</v>
      </c>
      <c r="M119" s="140">
        <f t="shared" si="100"/>
        <v>1.688244936420721E-2</v>
      </c>
      <c r="N119" s="140">
        <f t="shared" si="100"/>
        <v>2.525204437416843E-2</v>
      </c>
      <c r="O119" s="140">
        <f t="shared" si="100"/>
        <v>2.0251903691659086E-2</v>
      </c>
      <c r="P119" s="140">
        <f t="shared" si="100"/>
        <v>1.7405450369013514E-2</v>
      </c>
      <c r="Q119" s="140">
        <f t="shared" si="100"/>
        <v>1.3890996986865937E-2</v>
      </c>
      <c r="R119" s="140">
        <f t="shared" si="98"/>
        <v>1.0696215593581922E-2</v>
      </c>
      <c r="S119" s="140">
        <f t="shared" si="98"/>
        <v>9.7354848853679014E-3</v>
      </c>
      <c r="T119" s="140">
        <f t="shared" si="98"/>
        <v>1.2335898222930831E-2</v>
      </c>
      <c r="U119" s="140">
        <f t="shared" si="98"/>
        <v>1.4033097837059298E-2</v>
      </c>
      <c r="V119" s="140">
        <f t="shared" si="98"/>
        <v>1.6617460039123327E-2</v>
      </c>
      <c r="W119" s="140">
        <f t="shared" si="95"/>
        <v>1.6616909276709543E-2</v>
      </c>
      <c r="X119" s="140">
        <f t="shared" si="95"/>
        <v>1.3187777536152284E-2</v>
      </c>
      <c r="Y119" s="140">
        <f t="shared" si="95"/>
        <v>1.1589490636831869E-2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01">IF(B28=0,0,B28/B$17)</f>
        <v>0</v>
      </c>
      <c r="C120" s="127">
        <f t="shared" si="101"/>
        <v>0</v>
      </c>
      <c r="D120" s="127">
        <f t="shared" si="101"/>
        <v>0</v>
      </c>
      <c r="E120" s="127">
        <f t="shared" si="101"/>
        <v>0</v>
      </c>
      <c r="F120" s="127">
        <f t="shared" si="101"/>
        <v>0</v>
      </c>
      <c r="G120" s="127">
        <f t="shared" si="101"/>
        <v>0</v>
      </c>
      <c r="H120" s="127">
        <f t="shared" si="101"/>
        <v>0</v>
      </c>
      <c r="I120" s="127">
        <f t="shared" si="101"/>
        <v>0</v>
      </c>
      <c r="J120" s="127">
        <f t="shared" si="101"/>
        <v>0</v>
      </c>
      <c r="K120" s="127">
        <f t="shared" si="101"/>
        <v>0</v>
      </c>
      <c r="L120" s="127">
        <f t="shared" si="101"/>
        <v>0</v>
      </c>
      <c r="M120" s="127">
        <f t="shared" si="101"/>
        <v>0</v>
      </c>
      <c r="N120" s="127">
        <f t="shared" si="101"/>
        <v>0</v>
      </c>
      <c r="O120" s="127">
        <f t="shared" si="101"/>
        <v>0</v>
      </c>
      <c r="P120" s="127">
        <f t="shared" si="101"/>
        <v>0</v>
      </c>
      <c r="Q120" s="127">
        <f t="shared" si="101"/>
        <v>0</v>
      </c>
      <c r="R120" s="127">
        <f t="shared" si="98"/>
        <v>0</v>
      </c>
      <c r="S120" s="127">
        <f t="shared" si="98"/>
        <v>0</v>
      </c>
      <c r="T120" s="127">
        <f t="shared" si="98"/>
        <v>0</v>
      </c>
      <c r="U120" s="127">
        <f t="shared" si="98"/>
        <v>0</v>
      </c>
      <c r="V120" s="127">
        <f t="shared" si="98"/>
        <v>0</v>
      </c>
      <c r="W120" s="127">
        <f t="shared" si="95"/>
        <v>0</v>
      </c>
      <c r="X120" s="127">
        <f t="shared" si="95"/>
        <v>0</v>
      </c>
      <c r="Y120" s="127">
        <f t="shared" si="95"/>
        <v>0</v>
      </c>
      <c r="DA120" s="178"/>
    </row>
    <row r="121" spans="1:105" ht="11.45" customHeight="1" x14ac:dyDescent="0.25">
      <c r="A121" s="27" t="s">
        <v>171</v>
      </c>
      <c r="B121" s="31">
        <f t="shared" ref="B121:Y121" si="102">IF(B29=0,0,B29/B$29)</f>
        <v>1</v>
      </c>
      <c r="C121" s="31">
        <f t="shared" si="102"/>
        <v>1</v>
      </c>
      <c r="D121" s="31">
        <f t="shared" si="102"/>
        <v>1</v>
      </c>
      <c r="E121" s="31">
        <f t="shared" si="102"/>
        <v>1</v>
      </c>
      <c r="F121" s="31">
        <f t="shared" si="102"/>
        <v>1</v>
      </c>
      <c r="G121" s="31">
        <f t="shared" si="102"/>
        <v>1</v>
      </c>
      <c r="H121" s="31">
        <f t="shared" si="102"/>
        <v>1</v>
      </c>
      <c r="I121" s="31">
        <f t="shared" si="102"/>
        <v>1</v>
      </c>
      <c r="J121" s="31">
        <f t="shared" si="102"/>
        <v>1</v>
      </c>
      <c r="K121" s="31">
        <f t="shared" si="102"/>
        <v>1</v>
      </c>
      <c r="L121" s="31">
        <f t="shared" si="102"/>
        <v>1</v>
      </c>
      <c r="M121" s="31">
        <f t="shared" si="102"/>
        <v>1</v>
      </c>
      <c r="N121" s="31">
        <f t="shared" si="102"/>
        <v>1</v>
      </c>
      <c r="O121" s="31">
        <f t="shared" si="102"/>
        <v>1</v>
      </c>
      <c r="P121" s="31">
        <f t="shared" si="102"/>
        <v>1</v>
      </c>
      <c r="Q121" s="31">
        <f t="shared" si="102"/>
        <v>1</v>
      </c>
      <c r="R121" s="31">
        <f t="shared" si="102"/>
        <v>1</v>
      </c>
      <c r="S121" s="31">
        <f t="shared" si="102"/>
        <v>1</v>
      </c>
      <c r="T121" s="31">
        <f t="shared" si="102"/>
        <v>1</v>
      </c>
      <c r="U121" s="31">
        <f t="shared" si="102"/>
        <v>1</v>
      </c>
      <c r="V121" s="31">
        <f t="shared" si="102"/>
        <v>1</v>
      </c>
      <c r="W121" s="31">
        <f t="shared" si="102"/>
        <v>1</v>
      </c>
      <c r="X121" s="31">
        <f t="shared" si="102"/>
        <v>1</v>
      </c>
      <c r="Y121" s="31">
        <f t="shared" si="102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:Y122" si="103">IF(B30=0,0,B30/B$29)</f>
        <v>0.24405279867533158</v>
      </c>
      <c r="C122" s="140">
        <f t="shared" si="103"/>
        <v>0.23484351888428887</v>
      </c>
      <c r="D122" s="140">
        <f t="shared" si="103"/>
        <v>0.22803025480796044</v>
      </c>
      <c r="E122" s="140">
        <f t="shared" si="103"/>
        <v>0.24773864898007583</v>
      </c>
      <c r="F122" s="140">
        <f t="shared" si="103"/>
        <v>0.27187270712757072</v>
      </c>
      <c r="G122" s="140">
        <f t="shared" si="103"/>
        <v>0.26569384685353975</v>
      </c>
      <c r="H122" s="140">
        <f t="shared" si="103"/>
        <v>0.50929170140919899</v>
      </c>
      <c r="I122" s="140">
        <f t="shared" si="103"/>
        <v>0.29802255524508164</v>
      </c>
      <c r="J122" s="140">
        <f t="shared" si="103"/>
        <v>0.29226973736989398</v>
      </c>
      <c r="K122" s="140">
        <f t="shared" si="103"/>
        <v>0.35290919333870124</v>
      </c>
      <c r="L122" s="140">
        <f t="shared" si="103"/>
        <v>0.33927833518916906</v>
      </c>
      <c r="M122" s="140">
        <f t="shared" si="103"/>
        <v>0.2979227571464359</v>
      </c>
      <c r="N122" s="140">
        <f t="shared" si="103"/>
        <v>0.28526796703180385</v>
      </c>
      <c r="O122" s="140">
        <f t="shared" si="103"/>
        <v>0.32539145918326706</v>
      </c>
      <c r="P122" s="140">
        <f t="shared" si="103"/>
        <v>0.2914440567824606</v>
      </c>
      <c r="Q122" s="140">
        <f t="shared" si="103"/>
        <v>0.30026526623286331</v>
      </c>
      <c r="R122" s="140">
        <f t="shared" si="103"/>
        <v>0.31408908062862678</v>
      </c>
      <c r="S122" s="140">
        <f t="shared" si="103"/>
        <v>0.30728634699944224</v>
      </c>
      <c r="T122" s="140">
        <f t="shared" si="103"/>
        <v>0.32435350277885838</v>
      </c>
      <c r="U122" s="140">
        <f t="shared" si="103"/>
        <v>0.33379886951406768</v>
      </c>
      <c r="V122" s="140">
        <f t="shared" si="103"/>
        <v>0.31817217714390289</v>
      </c>
      <c r="W122" s="140">
        <f t="shared" si="103"/>
        <v>0.33314271933790673</v>
      </c>
      <c r="X122" s="140">
        <f t="shared" si="103"/>
        <v>0.31602188907189749</v>
      </c>
      <c r="Y122" s="140">
        <f t="shared" si="103"/>
        <v>0.39744620126058972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:Y123" si="104">IF(B31=0,0,B31/B$29)</f>
        <v>0.75594720132466842</v>
      </c>
      <c r="C123" s="127">
        <f t="shared" si="104"/>
        <v>0.76515648111571111</v>
      </c>
      <c r="D123" s="127">
        <f t="shared" si="104"/>
        <v>0.77196974519203954</v>
      </c>
      <c r="E123" s="127">
        <f t="shared" si="104"/>
        <v>0.7522613510199242</v>
      </c>
      <c r="F123" s="127">
        <f t="shared" si="104"/>
        <v>0.72812729287242928</v>
      </c>
      <c r="G123" s="127">
        <f t="shared" si="104"/>
        <v>0.73430615314646031</v>
      </c>
      <c r="H123" s="127">
        <f t="shared" si="104"/>
        <v>0.49070829859080101</v>
      </c>
      <c r="I123" s="127">
        <f t="shared" si="104"/>
        <v>0.7019774447549183</v>
      </c>
      <c r="J123" s="127">
        <f t="shared" si="104"/>
        <v>0.70773026263010608</v>
      </c>
      <c r="K123" s="127">
        <f t="shared" si="104"/>
        <v>0.6470908066612987</v>
      </c>
      <c r="L123" s="127">
        <f t="shared" si="104"/>
        <v>0.66072166481083094</v>
      </c>
      <c r="M123" s="127">
        <f t="shared" si="104"/>
        <v>0.70207724285356399</v>
      </c>
      <c r="N123" s="127">
        <f t="shared" si="104"/>
        <v>0.7147320329681961</v>
      </c>
      <c r="O123" s="127">
        <f t="shared" si="104"/>
        <v>0.67460854081673294</v>
      </c>
      <c r="P123" s="127">
        <f t="shared" si="104"/>
        <v>0.70855594321753945</v>
      </c>
      <c r="Q123" s="127">
        <f t="shared" si="104"/>
        <v>0.6997347337671368</v>
      </c>
      <c r="R123" s="127">
        <f t="shared" si="104"/>
        <v>0.68591091937137316</v>
      </c>
      <c r="S123" s="127">
        <f t="shared" si="104"/>
        <v>0.69271365300055776</v>
      </c>
      <c r="T123" s="127">
        <f t="shared" si="104"/>
        <v>0.67564649722114156</v>
      </c>
      <c r="U123" s="127">
        <f t="shared" si="104"/>
        <v>0.66620113048593232</v>
      </c>
      <c r="V123" s="127">
        <f t="shared" si="104"/>
        <v>0.681827822856097</v>
      </c>
      <c r="W123" s="127">
        <f t="shared" si="104"/>
        <v>0.66685728066209315</v>
      </c>
      <c r="X123" s="127">
        <f t="shared" si="104"/>
        <v>0.68397811092810257</v>
      </c>
      <c r="Y123" s="127">
        <f t="shared" si="104"/>
        <v>0.6025537987394104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DA125" s="172"/>
    </row>
    <row r="126" spans="1:105" ht="11.45" customHeight="1" x14ac:dyDescent="0.25">
      <c r="A126" s="27" t="s">
        <v>33</v>
      </c>
      <c r="B126" s="31">
        <f t="shared" ref="B126:B138" si="105">IF(B34=0,0,B34/B$34)</f>
        <v>1</v>
      </c>
      <c r="C126" s="31">
        <f t="shared" ref="C126:Y126" si="106">IF(C34=0,0,C34/C$34)</f>
        <v>1</v>
      </c>
      <c r="D126" s="31">
        <f t="shared" si="106"/>
        <v>1</v>
      </c>
      <c r="E126" s="31">
        <f t="shared" si="106"/>
        <v>1</v>
      </c>
      <c r="F126" s="31">
        <f t="shared" si="106"/>
        <v>1</v>
      </c>
      <c r="G126" s="31">
        <f t="shared" si="106"/>
        <v>1</v>
      </c>
      <c r="H126" s="31">
        <f t="shared" si="106"/>
        <v>1</v>
      </c>
      <c r="I126" s="31">
        <f t="shared" si="106"/>
        <v>1</v>
      </c>
      <c r="J126" s="31">
        <f t="shared" si="106"/>
        <v>1</v>
      </c>
      <c r="K126" s="31">
        <f t="shared" si="106"/>
        <v>1</v>
      </c>
      <c r="L126" s="31">
        <f t="shared" si="106"/>
        <v>1</v>
      </c>
      <c r="M126" s="31">
        <f t="shared" si="106"/>
        <v>1</v>
      </c>
      <c r="N126" s="31">
        <f t="shared" si="106"/>
        <v>1</v>
      </c>
      <c r="O126" s="31">
        <f t="shared" si="106"/>
        <v>1</v>
      </c>
      <c r="P126" s="31">
        <f t="shared" si="106"/>
        <v>1</v>
      </c>
      <c r="Q126" s="31">
        <f t="shared" si="106"/>
        <v>1</v>
      </c>
      <c r="R126" s="31">
        <f t="shared" si="106"/>
        <v>1</v>
      </c>
      <c r="S126" s="31">
        <f t="shared" si="106"/>
        <v>1</v>
      </c>
      <c r="T126" s="31">
        <f t="shared" si="106"/>
        <v>1</v>
      </c>
      <c r="U126" s="31">
        <f t="shared" si="106"/>
        <v>1</v>
      </c>
      <c r="V126" s="31">
        <f t="shared" si="106"/>
        <v>1</v>
      </c>
      <c r="W126" s="31">
        <f t="shared" si="106"/>
        <v>1</v>
      </c>
      <c r="X126" s="31">
        <f t="shared" si="106"/>
        <v>1</v>
      </c>
      <c r="Y126" s="31">
        <f t="shared" si="106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05"/>
        <v>0.76202480205808099</v>
      </c>
      <c r="C127" s="139">
        <f t="shared" ref="C127:Y127" si="107">IF(C35=0,0,C35/C$34)</f>
        <v>0.73537808334881805</v>
      </c>
      <c r="D127" s="139">
        <f t="shared" si="107"/>
        <v>0.72649667617350078</v>
      </c>
      <c r="E127" s="139">
        <f t="shared" si="107"/>
        <v>0.73126550314480743</v>
      </c>
      <c r="F127" s="139">
        <f t="shared" si="107"/>
        <v>0.74908454089423193</v>
      </c>
      <c r="G127" s="139">
        <f t="shared" si="107"/>
        <v>0.73588296073186998</v>
      </c>
      <c r="H127" s="139">
        <f t="shared" si="107"/>
        <v>0.7506870452565374</v>
      </c>
      <c r="I127" s="139">
        <f t="shared" si="107"/>
        <v>0.71991370318219972</v>
      </c>
      <c r="J127" s="139">
        <f t="shared" si="107"/>
        <v>0.73133728401483189</v>
      </c>
      <c r="K127" s="139">
        <f t="shared" si="107"/>
        <v>0.80936790108138801</v>
      </c>
      <c r="L127" s="139">
        <f t="shared" si="107"/>
        <v>0.76475074146721067</v>
      </c>
      <c r="M127" s="139">
        <f t="shared" si="107"/>
        <v>0.77252476868436826</v>
      </c>
      <c r="N127" s="139">
        <f t="shared" si="107"/>
        <v>0.79836687633798398</v>
      </c>
      <c r="O127" s="139">
        <f t="shared" si="107"/>
        <v>0.7866577308081697</v>
      </c>
      <c r="P127" s="139">
        <f t="shared" si="107"/>
        <v>0.77117899543350388</v>
      </c>
      <c r="Q127" s="139">
        <f t="shared" si="107"/>
        <v>0.7547782922637466</v>
      </c>
      <c r="R127" s="139">
        <f t="shared" si="107"/>
        <v>0.75782875517092585</v>
      </c>
      <c r="S127" s="139">
        <f t="shared" si="107"/>
        <v>0.72772284753350269</v>
      </c>
      <c r="T127" s="139">
        <f t="shared" si="107"/>
        <v>0.71191171358204886</v>
      </c>
      <c r="U127" s="139">
        <f t="shared" si="107"/>
        <v>0.70831250055226613</v>
      </c>
      <c r="V127" s="139">
        <f t="shared" si="107"/>
        <v>0.84834681121111055</v>
      </c>
      <c r="W127" s="139">
        <f t="shared" si="107"/>
        <v>0.84154256678102235</v>
      </c>
      <c r="X127" s="139">
        <f t="shared" si="107"/>
        <v>0.71564558103465492</v>
      </c>
      <c r="Y127" s="139">
        <f t="shared" si="107"/>
        <v>0.69730382334149565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05"/>
        <v>1.5958620877264593E-3</v>
      </c>
      <c r="C128" s="140">
        <f t="shared" ref="C128:Y128" si="108">IF(C36=0,0,C36/C$34)</f>
        <v>1.5836280400596343E-3</v>
      </c>
      <c r="D128" s="140">
        <f t="shared" si="108"/>
        <v>1.5255743181966958E-3</v>
      </c>
      <c r="E128" s="140">
        <f t="shared" si="108"/>
        <v>1.6298534884953925E-3</v>
      </c>
      <c r="F128" s="140">
        <f t="shared" si="108"/>
        <v>1.5401627262663325E-3</v>
      </c>
      <c r="G128" s="140">
        <f t="shared" si="108"/>
        <v>1.7211602715781428E-3</v>
      </c>
      <c r="H128" s="140">
        <f t="shared" si="108"/>
        <v>1.5461497954954756E-3</v>
      </c>
      <c r="I128" s="140">
        <f t="shared" si="108"/>
        <v>1.4925292840021903E-3</v>
      </c>
      <c r="J128" s="140">
        <f t="shared" si="108"/>
        <v>1.6268670575193666E-3</v>
      </c>
      <c r="K128" s="140">
        <f t="shared" si="108"/>
        <v>1.6790715070472033E-3</v>
      </c>
      <c r="L128" s="140">
        <f t="shared" si="108"/>
        <v>1.4355496097967274E-3</v>
      </c>
      <c r="M128" s="140">
        <f t="shared" si="108"/>
        <v>1.373003257513411E-3</v>
      </c>
      <c r="N128" s="140">
        <f t="shared" si="108"/>
        <v>1.2924291446988556E-3</v>
      </c>
      <c r="O128" s="140">
        <f t="shared" si="108"/>
        <v>1.2273739125711457E-3</v>
      </c>
      <c r="P128" s="140">
        <f t="shared" si="108"/>
        <v>1.3227903073604868E-3</v>
      </c>
      <c r="Q128" s="140">
        <f t="shared" si="108"/>
        <v>1.194652563804947E-3</v>
      </c>
      <c r="R128" s="140">
        <f t="shared" si="108"/>
        <v>1.1755196287328081E-3</v>
      </c>
      <c r="S128" s="140">
        <f t="shared" si="108"/>
        <v>1.0692227341728274E-3</v>
      </c>
      <c r="T128" s="140">
        <f t="shared" si="108"/>
        <v>9.8749222471754879E-4</v>
      </c>
      <c r="U128" s="140">
        <f t="shared" si="108"/>
        <v>1.0431133796292387E-3</v>
      </c>
      <c r="V128" s="140">
        <f t="shared" si="108"/>
        <v>1.3672006941263001E-3</v>
      </c>
      <c r="W128" s="140">
        <f t="shared" si="108"/>
        <v>1.3430818198973105E-3</v>
      </c>
      <c r="X128" s="140">
        <f t="shared" si="108"/>
        <v>1.0500844567088014E-3</v>
      </c>
      <c r="Y128" s="140">
        <f t="shared" si="108"/>
        <v>1.0625304972113067E-3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05"/>
        <v>0.71346258872018686</v>
      </c>
      <c r="C129" s="140">
        <f t="shared" ref="C129:Y129" si="109">IF(C37=0,0,C37/C$34)</f>
        <v>0.69073184021252665</v>
      </c>
      <c r="D129" s="140">
        <f t="shared" si="109"/>
        <v>0.68257443225939352</v>
      </c>
      <c r="E129" s="140">
        <f t="shared" si="109"/>
        <v>0.68538236232540495</v>
      </c>
      <c r="F129" s="140">
        <f t="shared" si="109"/>
        <v>0.70266183357497825</v>
      </c>
      <c r="G129" s="140">
        <f t="shared" si="109"/>
        <v>0.69151785454011583</v>
      </c>
      <c r="H129" s="140">
        <f t="shared" si="109"/>
        <v>0.70743184941026871</v>
      </c>
      <c r="I129" s="140">
        <f t="shared" si="109"/>
        <v>0.67594667765781591</v>
      </c>
      <c r="J129" s="140">
        <f t="shared" si="109"/>
        <v>0.68322475109085923</v>
      </c>
      <c r="K129" s="140">
        <f t="shared" si="109"/>
        <v>0.75577959584845067</v>
      </c>
      <c r="L129" s="140">
        <f t="shared" si="109"/>
        <v>0.71344826522215443</v>
      </c>
      <c r="M129" s="140">
        <f t="shared" si="109"/>
        <v>0.72014463818547336</v>
      </c>
      <c r="N129" s="140">
        <f t="shared" si="109"/>
        <v>0.74430224423621083</v>
      </c>
      <c r="O129" s="140">
        <f t="shared" si="109"/>
        <v>0.73439041984170861</v>
      </c>
      <c r="P129" s="140">
        <f t="shared" si="109"/>
        <v>0.72089506961781924</v>
      </c>
      <c r="Q129" s="140">
        <f t="shared" si="109"/>
        <v>0.705350367582393</v>
      </c>
      <c r="R129" s="140">
        <f t="shared" si="109"/>
        <v>0.70787721116796976</v>
      </c>
      <c r="S129" s="140">
        <f t="shared" si="109"/>
        <v>0.67488870110366816</v>
      </c>
      <c r="T129" s="140">
        <f t="shared" si="109"/>
        <v>0.6567274336768405</v>
      </c>
      <c r="U129" s="140">
        <f t="shared" si="109"/>
        <v>0.65254817972779555</v>
      </c>
      <c r="V129" s="140">
        <f t="shared" si="109"/>
        <v>0.78073924132225025</v>
      </c>
      <c r="W129" s="140">
        <f t="shared" si="109"/>
        <v>0.77774052551448813</v>
      </c>
      <c r="X129" s="140">
        <f t="shared" si="109"/>
        <v>0.65424298688938276</v>
      </c>
      <c r="Y129" s="140">
        <f t="shared" si="109"/>
        <v>0.62582918554145162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05"/>
        <v>4.6966351250167675E-2</v>
      </c>
      <c r="C130" s="140">
        <f t="shared" ref="C130:Y130" si="110">IF(C38=0,0,C38/C$34)</f>
        <v>4.306261509623157E-2</v>
      </c>
      <c r="D130" s="140">
        <f t="shared" si="110"/>
        <v>4.2396669595910562E-2</v>
      </c>
      <c r="E130" s="140">
        <f t="shared" si="110"/>
        <v>4.4253287330907047E-2</v>
      </c>
      <c r="F130" s="140">
        <f t="shared" si="110"/>
        <v>4.4882544592987267E-2</v>
      </c>
      <c r="G130" s="140">
        <f t="shared" si="110"/>
        <v>4.2643945920176111E-2</v>
      </c>
      <c r="H130" s="140">
        <f t="shared" si="110"/>
        <v>4.170904605077317E-2</v>
      </c>
      <c r="I130" s="140">
        <f t="shared" si="110"/>
        <v>4.2474496240381625E-2</v>
      </c>
      <c r="J130" s="140">
        <f t="shared" si="110"/>
        <v>4.6485665866453259E-2</v>
      </c>
      <c r="K130" s="140">
        <f t="shared" si="110"/>
        <v>5.1909233725890208E-2</v>
      </c>
      <c r="L130" s="140">
        <f t="shared" si="110"/>
        <v>4.9866926635259552E-2</v>
      </c>
      <c r="M130" s="140">
        <f t="shared" si="110"/>
        <v>5.1007127241381504E-2</v>
      </c>
      <c r="N130" s="140">
        <f t="shared" si="110"/>
        <v>5.2772202957074368E-2</v>
      </c>
      <c r="O130" s="140">
        <f t="shared" si="110"/>
        <v>5.1039937053890004E-2</v>
      </c>
      <c r="P130" s="140">
        <f t="shared" si="110"/>
        <v>4.8961135508324226E-2</v>
      </c>
      <c r="Q130" s="140">
        <f t="shared" si="110"/>
        <v>4.8233272117548721E-2</v>
      </c>
      <c r="R130" s="140">
        <f t="shared" si="110"/>
        <v>4.8776024374223438E-2</v>
      </c>
      <c r="S130" s="140">
        <f t="shared" si="110"/>
        <v>5.1764923695661637E-2</v>
      </c>
      <c r="T130" s="140">
        <f t="shared" si="110"/>
        <v>5.4196787680490792E-2</v>
      </c>
      <c r="U130" s="140">
        <f t="shared" si="110"/>
        <v>5.4721207444841408E-2</v>
      </c>
      <c r="V130" s="140">
        <f t="shared" si="110"/>
        <v>6.6240369194734125E-2</v>
      </c>
      <c r="W130" s="140">
        <f t="shared" si="110"/>
        <v>6.2458959446636875E-2</v>
      </c>
      <c r="X130" s="140">
        <f t="shared" si="110"/>
        <v>6.0352509688563434E-2</v>
      </c>
      <c r="Y130" s="140">
        <f t="shared" si="110"/>
        <v>7.041210730283276E-2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05"/>
        <v>1.33018441191583E-2</v>
      </c>
      <c r="C131" s="124">
        <f t="shared" ref="C131:Y131" si="111">IF(C39=0,0,C39/C$34)</f>
        <v>1.3467225938683512E-2</v>
      </c>
      <c r="D131" s="124">
        <f t="shared" si="111"/>
        <v>1.1576198168691904E-2</v>
      </c>
      <c r="E131" s="124">
        <f t="shared" si="111"/>
        <v>1.303425874491713E-2</v>
      </c>
      <c r="F131" s="124">
        <f t="shared" si="111"/>
        <v>1.4422241057062199E-2</v>
      </c>
      <c r="G131" s="124">
        <f t="shared" si="111"/>
        <v>1.2392874925648546E-2</v>
      </c>
      <c r="H131" s="124">
        <f t="shared" si="111"/>
        <v>1.1626951078556333E-2</v>
      </c>
      <c r="I131" s="124">
        <f t="shared" si="111"/>
        <v>1.2058250233847809E-2</v>
      </c>
      <c r="J131" s="124">
        <f t="shared" si="111"/>
        <v>1.3186537996180988E-2</v>
      </c>
      <c r="K131" s="124">
        <f t="shared" si="111"/>
        <v>1.3056448433223915E-2</v>
      </c>
      <c r="L131" s="124">
        <f t="shared" si="111"/>
        <v>1.2724124340687003E-2</v>
      </c>
      <c r="M131" s="124">
        <f t="shared" si="111"/>
        <v>1.3320799255682554E-2</v>
      </c>
      <c r="N131" s="124">
        <f t="shared" si="111"/>
        <v>1.3632826777193194E-2</v>
      </c>
      <c r="O131" s="124">
        <f t="shared" si="111"/>
        <v>1.299150503381419E-2</v>
      </c>
      <c r="P131" s="124">
        <f t="shared" si="111"/>
        <v>1.1167664548079964E-2</v>
      </c>
      <c r="Q131" s="124">
        <f t="shared" si="111"/>
        <v>1.0903334819825975E-2</v>
      </c>
      <c r="R131" s="124">
        <f t="shared" si="111"/>
        <v>1.0684919173731993E-2</v>
      </c>
      <c r="S131" s="124">
        <f t="shared" si="111"/>
        <v>1.0638094852386773E-2</v>
      </c>
      <c r="T131" s="124">
        <f t="shared" si="111"/>
        <v>1.0640423032568626E-2</v>
      </c>
      <c r="U131" s="124">
        <f t="shared" si="111"/>
        <v>1.1141615676697541E-2</v>
      </c>
      <c r="V131" s="124">
        <f t="shared" si="111"/>
        <v>1.3105760705098939E-2</v>
      </c>
      <c r="W131" s="124">
        <f t="shared" si="111"/>
        <v>1.3298048265345003E-2</v>
      </c>
      <c r="X131" s="124">
        <f t="shared" si="111"/>
        <v>1.12816713998819E-2</v>
      </c>
      <c r="Y131" s="124">
        <f t="shared" si="111"/>
        <v>1.136035260336677E-2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05"/>
        <v>0</v>
      </c>
      <c r="C132" s="140">
        <f t="shared" ref="C132:Y132" si="112">IF(C40=0,0,C40/C$34)</f>
        <v>0</v>
      </c>
      <c r="D132" s="140">
        <f t="shared" si="112"/>
        <v>0</v>
      </c>
      <c r="E132" s="140">
        <f t="shared" si="112"/>
        <v>0</v>
      </c>
      <c r="F132" s="140">
        <f t="shared" si="112"/>
        <v>9.8095463011439927E-5</v>
      </c>
      <c r="G132" s="140">
        <f t="shared" si="112"/>
        <v>1.9305122110381895E-4</v>
      </c>
      <c r="H132" s="140">
        <f t="shared" si="112"/>
        <v>1.7975474565075212E-4</v>
      </c>
      <c r="I132" s="140">
        <f t="shared" si="112"/>
        <v>2.5860514473061039E-4</v>
      </c>
      <c r="J132" s="140">
        <f t="shared" si="112"/>
        <v>2.0575977917039611E-4</v>
      </c>
      <c r="K132" s="140">
        <f t="shared" si="112"/>
        <v>2.3110196609677403E-4</v>
      </c>
      <c r="L132" s="140">
        <f t="shared" si="112"/>
        <v>2.25632824433244E-4</v>
      </c>
      <c r="M132" s="140">
        <f t="shared" si="112"/>
        <v>2.4433620074044965E-4</v>
      </c>
      <c r="N132" s="140">
        <f t="shared" si="112"/>
        <v>2.6328567228143005E-4</v>
      </c>
      <c r="O132" s="140">
        <f t="shared" si="112"/>
        <v>2.6158164236727611E-4</v>
      </c>
      <c r="P132" s="140">
        <f t="shared" si="112"/>
        <v>2.4789629056647382E-4</v>
      </c>
      <c r="Q132" s="140">
        <f t="shared" si="112"/>
        <v>2.516030240048827E-4</v>
      </c>
      <c r="R132" s="140">
        <f t="shared" si="112"/>
        <v>2.3717578390451769E-4</v>
      </c>
      <c r="S132" s="140">
        <f t="shared" si="112"/>
        <v>2.2478000829598938E-4</v>
      </c>
      <c r="T132" s="140">
        <f t="shared" si="112"/>
        <v>3.3434487060737047E-4</v>
      </c>
      <c r="U132" s="140">
        <f t="shared" si="112"/>
        <v>3.1809099489713195E-4</v>
      </c>
      <c r="V132" s="140">
        <f t="shared" si="112"/>
        <v>4.0533064574694769E-4</v>
      </c>
      <c r="W132" s="140">
        <f t="shared" si="112"/>
        <v>3.8707009265599989E-4</v>
      </c>
      <c r="X132" s="140">
        <f t="shared" si="112"/>
        <v>2.3362072254769559E-4</v>
      </c>
      <c r="Y132" s="140">
        <f t="shared" si="112"/>
        <v>2.2186538438678018E-4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05"/>
        <v>1.33018441191583E-2</v>
      </c>
      <c r="C133" s="140">
        <f t="shared" ref="C133:Y133" si="113">IF(C41=0,0,C41/C$34)</f>
        <v>1.3467225938683512E-2</v>
      </c>
      <c r="D133" s="140">
        <f t="shared" si="113"/>
        <v>1.1576198168691904E-2</v>
      </c>
      <c r="E133" s="140">
        <f t="shared" si="113"/>
        <v>1.303425874491713E-2</v>
      </c>
      <c r="F133" s="140">
        <f t="shared" si="113"/>
        <v>1.4324145594050758E-2</v>
      </c>
      <c r="G133" s="140">
        <f t="shared" si="113"/>
        <v>1.2199823704544728E-2</v>
      </c>
      <c r="H133" s="140">
        <f t="shared" si="113"/>
        <v>1.1447196332905581E-2</v>
      </c>
      <c r="I133" s="140">
        <f t="shared" si="113"/>
        <v>1.1799645089117199E-2</v>
      </c>
      <c r="J133" s="140">
        <f t="shared" si="113"/>
        <v>1.2980778217010592E-2</v>
      </c>
      <c r="K133" s="140">
        <f t="shared" si="113"/>
        <v>1.282534646712714E-2</v>
      </c>
      <c r="L133" s="140">
        <f t="shared" si="113"/>
        <v>1.2498491516253757E-2</v>
      </c>
      <c r="M133" s="140">
        <f t="shared" si="113"/>
        <v>1.3076463054942106E-2</v>
      </c>
      <c r="N133" s="140">
        <f t="shared" si="113"/>
        <v>1.3369541104911765E-2</v>
      </c>
      <c r="O133" s="140">
        <f t="shared" si="113"/>
        <v>1.2729923391446912E-2</v>
      </c>
      <c r="P133" s="140">
        <f t="shared" si="113"/>
        <v>1.0919768257513491E-2</v>
      </c>
      <c r="Q133" s="140">
        <f t="shared" si="113"/>
        <v>1.0651731795821092E-2</v>
      </c>
      <c r="R133" s="140">
        <f t="shared" si="113"/>
        <v>1.0447743389827475E-2</v>
      </c>
      <c r="S133" s="140">
        <f t="shared" si="113"/>
        <v>1.0413314844090783E-2</v>
      </c>
      <c r="T133" s="140">
        <f t="shared" si="113"/>
        <v>1.0306078161961255E-2</v>
      </c>
      <c r="U133" s="140">
        <f t="shared" si="113"/>
        <v>1.0823524681800409E-2</v>
      </c>
      <c r="V133" s="140">
        <f t="shared" si="113"/>
        <v>1.2700430059351992E-2</v>
      </c>
      <c r="W133" s="140">
        <f t="shared" si="113"/>
        <v>1.2910978172689004E-2</v>
      </c>
      <c r="X133" s="140">
        <f t="shared" si="113"/>
        <v>1.1048050677334205E-2</v>
      </c>
      <c r="Y133" s="140">
        <f t="shared" si="113"/>
        <v>1.1138487218979991E-2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05"/>
        <v>0</v>
      </c>
      <c r="C134" s="140">
        <f t="shared" ref="C134:Y134" si="114">IF(C42=0,0,C42/C$34)</f>
        <v>0</v>
      </c>
      <c r="D134" s="140">
        <f t="shared" si="114"/>
        <v>0</v>
      </c>
      <c r="E134" s="140">
        <f t="shared" si="114"/>
        <v>0</v>
      </c>
      <c r="F134" s="140">
        <f t="shared" si="114"/>
        <v>0</v>
      </c>
      <c r="G134" s="140">
        <f t="shared" si="114"/>
        <v>0</v>
      </c>
      <c r="H134" s="140">
        <f t="shared" si="114"/>
        <v>0</v>
      </c>
      <c r="I134" s="140">
        <f t="shared" si="114"/>
        <v>0</v>
      </c>
      <c r="J134" s="140">
        <f t="shared" si="114"/>
        <v>0</v>
      </c>
      <c r="K134" s="140">
        <f t="shared" si="114"/>
        <v>0</v>
      </c>
      <c r="L134" s="140">
        <f t="shared" si="114"/>
        <v>0</v>
      </c>
      <c r="M134" s="140">
        <f t="shared" si="114"/>
        <v>0</v>
      </c>
      <c r="N134" s="140">
        <f t="shared" si="114"/>
        <v>0</v>
      </c>
      <c r="O134" s="140">
        <f t="shared" si="114"/>
        <v>0</v>
      </c>
      <c r="P134" s="140">
        <f t="shared" si="114"/>
        <v>0</v>
      </c>
      <c r="Q134" s="140">
        <f t="shared" si="114"/>
        <v>0</v>
      </c>
      <c r="R134" s="140">
        <f t="shared" si="114"/>
        <v>0</v>
      </c>
      <c r="S134" s="140">
        <f t="shared" si="114"/>
        <v>0</v>
      </c>
      <c r="T134" s="140">
        <f t="shared" si="114"/>
        <v>0</v>
      </c>
      <c r="U134" s="140">
        <f t="shared" si="114"/>
        <v>0</v>
      </c>
      <c r="V134" s="140">
        <f t="shared" si="114"/>
        <v>0</v>
      </c>
      <c r="W134" s="140">
        <f t="shared" si="114"/>
        <v>0</v>
      </c>
      <c r="X134" s="140">
        <f t="shared" si="114"/>
        <v>0</v>
      </c>
      <c r="Y134" s="140">
        <f t="shared" si="114"/>
        <v>0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05"/>
        <v>0.22467335382276069</v>
      </c>
      <c r="C135" s="124">
        <f t="shared" ref="C135:Y135" si="115">IF(C43=0,0,C43/C$34)</f>
        <v>0.25115469071249852</v>
      </c>
      <c r="D135" s="124">
        <f t="shared" si="115"/>
        <v>0.26192712565780729</v>
      </c>
      <c r="E135" s="124">
        <f t="shared" si="115"/>
        <v>0.25570023811027559</v>
      </c>
      <c r="F135" s="124">
        <f t="shared" si="115"/>
        <v>0.23649321804870596</v>
      </c>
      <c r="G135" s="124">
        <f t="shared" si="115"/>
        <v>0.2517241643424814</v>
      </c>
      <c r="H135" s="124">
        <f t="shared" si="115"/>
        <v>0.23768600366490628</v>
      </c>
      <c r="I135" s="124">
        <f t="shared" si="115"/>
        <v>0.26802804658395246</v>
      </c>
      <c r="J135" s="124">
        <f t="shared" si="115"/>
        <v>0.2554761779889872</v>
      </c>
      <c r="K135" s="124">
        <f t="shared" si="115"/>
        <v>0.17757565048538804</v>
      </c>
      <c r="L135" s="124">
        <f t="shared" si="115"/>
        <v>0.22252513419210224</v>
      </c>
      <c r="M135" s="124">
        <f t="shared" si="115"/>
        <v>0.21415443205994919</v>
      </c>
      <c r="N135" s="124">
        <f t="shared" si="115"/>
        <v>0.18800029688482289</v>
      </c>
      <c r="O135" s="124">
        <f t="shared" si="115"/>
        <v>0.20035076415801609</v>
      </c>
      <c r="P135" s="124">
        <f t="shared" si="115"/>
        <v>0.21765334001841602</v>
      </c>
      <c r="Q135" s="124">
        <f t="shared" si="115"/>
        <v>0.23431837291642732</v>
      </c>
      <c r="R135" s="124">
        <f t="shared" si="115"/>
        <v>0.23148632565534219</v>
      </c>
      <c r="S135" s="124">
        <f t="shared" si="115"/>
        <v>0.2616390576141106</v>
      </c>
      <c r="T135" s="124">
        <f t="shared" si="115"/>
        <v>0.27744786338538241</v>
      </c>
      <c r="U135" s="124">
        <f t="shared" si="115"/>
        <v>0.28054588377103629</v>
      </c>
      <c r="V135" s="124">
        <f t="shared" si="115"/>
        <v>0.13854742808379045</v>
      </c>
      <c r="W135" s="124">
        <f t="shared" si="115"/>
        <v>0.14515938495363262</v>
      </c>
      <c r="X135" s="124">
        <f t="shared" si="115"/>
        <v>0.27307274756546313</v>
      </c>
      <c r="Y135" s="124">
        <f t="shared" si="115"/>
        <v>0.29133582405513764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05"/>
        <v>1.138282789431379E-2</v>
      </c>
      <c r="C136" s="140">
        <f t="shared" ref="C136:Y136" si="116">IF(C44=0,0,C44/C$34)</f>
        <v>1.2651372666489951E-2</v>
      </c>
      <c r="D136" s="140">
        <f t="shared" si="116"/>
        <v>1.3200703314075196E-2</v>
      </c>
      <c r="E136" s="140">
        <f t="shared" si="116"/>
        <v>1.2569281124461672E-2</v>
      </c>
      <c r="F136" s="140">
        <f t="shared" si="116"/>
        <v>1.1685001394890544E-2</v>
      </c>
      <c r="G136" s="140">
        <f t="shared" si="116"/>
        <v>1.3341776080362279E-2</v>
      </c>
      <c r="H136" s="140">
        <f t="shared" si="116"/>
        <v>1.5649078655540206E-2</v>
      </c>
      <c r="I136" s="140">
        <f t="shared" si="116"/>
        <v>1.3390953394986613E-2</v>
      </c>
      <c r="J136" s="140">
        <f t="shared" si="116"/>
        <v>1.0904831067210644E-2</v>
      </c>
      <c r="K136" s="140">
        <f t="shared" si="116"/>
        <v>9.2061515423928538E-3</v>
      </c>
      <c r="L136" s="140">
        <f t="shared" si="116"/>
        <v>7.7753231469036774E-3</v>
      </c>
      <c r="M136" s="140">
        <f t="shared" si="116"/>
        <v>2.291872064840151E-3</v>
      </c>
      <c r="N136" s="140">
        <f t="shared" si="116"/>
        <v>2.2103724734951449E-3</v>
      </c>
      <c r="O136" s="140">
        <f t="shared" si="116"/>
        <v>2.1779405993258925E-3</v>
      </c>
      <c r="P136" s="140">
        <f t="shared" si="116"/>
        <v>2.1471806998776262E-3</v>
      </c>
      <c r="Q136" s="140">
        <f t="shared" si="116"/>
        <v>2.0596571652777029E-3</v>
      </c>
      <c r="R136" s="140">
        <f t="shared" si="116"/>
        <v>1.021320298623828E-3</v>
      </c>
      <c r="S136" s="140">
        <f t="shared" si="116"/>
        <v>1.3147336041110106E-3</v>
      </c>
      <c r="T136" s="140">
        <f t="shared" si="116"/>
        <v>1.2343751462158816E-3</v>
      </c>
      <c r="U136" s="140">
        <f t="shared" si="116"/>
        <v>1.4013582507125984E-3</v>
      </c>
      <c r="V136" s="140">
        <f t="shared" si="116"/>
        <v>1.5495018185660841E-3</v>
      </c>
      <c r="W136" s="140">
        <f t="shared" si="116"/>
        <v>1.9029058570013881E-3</v>
      </c>
      <c r="X136" s="140">
        <f t="shared" si="116"/>
        <v>3.4447062142848564E-3</v>
      </c>
      <c r="Y136" s="140">
        <f t="shared" si="116"/>
        <v>1.7879563844817178E-3</v>
      </c>
      <c r="DA136" s="175"/>
    </row>
    <row r="137" spans="1:105" ht="11.45" customHeight="1" x14ac:dyDescent="0.25">
      <c r="A137" s="128" t="str">
        <f>$A$15</f>
        <v>International - Intra-EEAwCHUK</v>
      </c>
      <c r="B137" s="140">
        <f t="shared" si="105"/>
        <v>0.13313097028044549</v>
      </c>
      <c r="C137" s="140">
        <f t="shared" ref="C137:Y137" si="117">IF(C45=0,0,C45/C$34)</f>
        <v>0.14949714635433045</v>
      </c>
      <c r="D137" s="140">
        <f t="shared" si="117"/>
        <v>0.15916498583349648</v>
      </c>
      <c r="E137" s="140">
        <f t="shared" si="117"/>
        <v>0.1671921209450474</v>
      </c>
      <c r="F137" s="140">
        <f t="shared" si="117"/>
        <v>0.15588009413387643</v>
      </c>
      <c r="G137" s="140">
        <f t="shared" si="117"/>
        <v>0.1662380554683929</v>
      </c>
      <c r="H137" s="140">
        <f t="shared" si="117"/>
        <v>0.15469168759215687</v>
      </c>
      <c r="I137" s="140">
        <f t="shared" si="117"/>
        <v>0.17866268844992403</v>
      </c>
      <c r="J137" s="140">
        <f t="shared" si="117"/>
        <v>0.17180257825851283</v>
      </c>
      <c r="K137" s="140">
        <f t="shared" si="117"/>
        <v>0.11523332801611227</v>
      </c>
      <c r="L137" s="140">
        <f t="shared" si="117"/>
        <v>0.14444669936230994</v>
      </c>
      <c r="M137" s="140">
        <f t="shared" si="117"/>
        <v>0.14246166581891129</v>
      </c>
      <c r="N137" s="140">
        <f t="shared" si="117"/>
        <v>0.12397979872272887</v>
      </c>
      <c r="O137" s="140">
        <f t="shared" si="117"/>
        <v>0.1320455218081307</v>
      </c>
      <c r="P137" s="140">
        <f t="shared" si="117"/>
        <v>0.14461817604062796</v>
      </c>
      <c r="Q137" s="140">
        <f t="shared" si="117"/>
        <v>0.15701042285814301</v>
      </c>
      <c r="R137" s="140">
        <f t="shared" si="117"/>
        <v>0.1594617193882483</v>
      </c>
      <c r="S137" s="140">
        <f t="shared" si="117"/>
        <v>0.18177083630327306</v>
      </c>
      <c r="T137" s="140">
        <f t="shared" si="117"/>
        <v>0.19298138996650202</v>
      </c>
      <c r="U137" s="140">
        <f t="shared" si="117"/>
        <v>0.19320303787650506</v>
      </c>
      <c r="V137" s="140">
        <f t="shared" si="117"/>
        <v>8.1808639846313883E-2</v>
      </c>
      <c r="W137" s="140">
        <f t="shared" si="117"/>
        <v>8.9404627388829122E-2</v>
      </c>
      <c r="X137" s="140">
        <f t="shared" si="117"/>
        <v>0.18870285181802376</v>
      </c>
      <c r="Y137" s="140">
        <f t="shared" si="117"/>
        <v>0.20225722412900135</v>
      </c>
      <c r="DA137" s="175"/>
    </row>
    <row r="138" spans="1:105" ht="11.45" customHeight="1" x14ac:dyDescent="0.25">
      <c r="A138" s="128" t="str">
        <f>$A$16</f>
        <v>International - Extra-EEAwCHUK</v>
      </c>
      <c r="B138" s="140">
        <f t="shared" si="105"/>
        <v>8.0159555648001424E-2</v>
      </c>
      <c r="C138" s="140">
        <f t="shared" ref="C138:Y138" si="118">IF(C46=0,0,C46/C$34)</f>
        <v>8.9006171691678113E-2</v>
      </c>
      <c r="D138" s="140">
        <f t="shared" si="118"/>
        <v>8.9561436510235598E-2</v>
      </c>
      <c r="E138" s="140">
        <f t="shared" si="118"/>
        <v>7.5938836040766539E-2</v>
      </c>
      <c r="F138" s="140">
        <f t="shared" si="118"/>
        <v>6.8928122519938975E-2</v>
      </c>
      <c r="G138" s="140">
        <f t="shared" si="118"/>
        <v>7.2144332793726187E-2</v>
      </c>
      <c r="H138" s="140">
        <f t="shared" si="118"/>
        <v>6.7345237417209214E-2</v>
      </c>
      <c r="I138" s="140">
        <f t="shared" si="118"/>
        <v>7.5974404739041823E-2</v>
      </c>
      <c r="J138" s="140">
        <f t="shared" si="118"/>
        <v>7.2768768663263692E-2</v>
      </c>
      <c r="K138" s="140">
        <f t="shared" si="118"/>
        <v>5.3136170926882928E-2</v>
      </c>
      <c r="L138" s="140">
        <f t="shared" si="118"/>
        <v>7.0303111682888636E-2</v>
      </c>
      <c r="M138" s="140">
        <f t="shared" si="118"/>
        <v>6.9400894176197755E-2</v>
      </c>
      <c r="N138" s="140">
        <f t="shared" si="118"/>
        <v>6.1810125688598894E-2</v>
      </c>
      <c r="O138" s="140">
        <f t="shared" si="118"/>
        <v>6.6127301750559489E-2</v>
      </c>
      <c r="P138" s="140">
        <f t="shared" si="118"/>
        <v>7.0887983277910432E-2</v>
      </c>
      <c r="Q138" s="140">
        <f t="shared" si="118"/>
        <v>7.5248292893006608E-2</v>
      </c>
      <c r="R138" s="140">
        <f t="shared" si="118"/>
        <v>7.1003285968470081E-2</v>
      </c>
      <c r="S138" s="140">
        <f t="shared" si="118"/>
        <v>7.8553487706726544E-2</v>
      </c>
      <c r="T138" s="140">
        <f t="shared" si="118"/>
        <v>8.3232098272664562E-2</v>
      </c>
      <c r="U138" s="140">
        <f t="shared" si="118"/>
        <v>8.5941487643818662E-2</v>
      </c>
      <c r="V138" s="140">
        <f t="shared" si="118"/>
        <v>5.5189286418910487E-2</v>
      </c>
      <c r="W138" s="140">
        <f t="shared" si="118"/>
        <v>5.3851851707802115E-2</v>
      </c>
      <c r="X138" s="140">
        <f t="shared" si="118"/>
        <v>8.0925189533154501E-2</v>
      </c>
      <c r="Y138" s="140">
        <f t="shared" si="118"/>
        <v>8.7290643541654556E-2</v>
      </c>
      <c r="DA138" s="175"/>
    </row>
    <row r="139" spans="1:105" ht="11.45" customHeight="1" x14ac:dyDescent="0.25">
      <c r="A139" s="27" t="s">
        <v>34</v>
      </c>
      <c r="B139" s="31">
        <f t="shared" ref="B139:B150" si="119">IF(B47=0,0,B47/B$47)</f>
        <v>1</v>
      </c>
      <c r="C139" s="31">
        <f t="shared" ref="C139:Y139" si="120">IF(C47=0,0,C47/C$47)</f>
        <v>1</v>
      </c>
      <c r="D139" s="31">
        <f t="shared" si="120"/>
        <v>1</v>
      </c>
      <c r="E139" s="31">
        <f t="shared" si="120"/>
        <v>1</v>
      </c>
      <c r="F139" s="31">
        <f t="shared" si="120"/>
        <v>1</v>
      </c>
      <c r="G139" s="31">
        <f t="shared" si="120"/>
        <v>1</v>
      </c>
      <c r="H139" s="31">
        <f t="shared" si="120"/>
        <v>1</v>
      </c>
      <c r="I139" s="31">
        <f t="shared" si="120"/>
        <v>1</v>
      </c>
      <c r="J139" s="31">
        <f t="shared" si="120"/>
        <v>1</v>
      </c>
      <c r="K139" s="31">
        <f t="shared" si="120"/>
        <v>1</v>
      </c>
      <c r="L139" s="31">
        <f t="shared" si="120"/>
        <v>1</v>
      </c>
      <c r="M139" s="31">
        <f t="shared" si="120"/>
        <v>1</v>
      </c>
      <c r="N139" s="31">
        <f t="shared" si="120"/>
        <v>1</v>
      </c>
      <c r="O139" s="31">
        <f t="shared" si="120"/>
        <v>1</v>
      </c>
      <c r="P139" s="31">
        <f t="shared" si="120"/>
        <v>1</v>
      </c>
      <c r="Q139" s="31">
        <f t="shared" si="120"/>
        <v>1</v>
      </c>
      <c r="R139" s="31">
        <f t="shared" si="120"/>
        <v>1</v>
      </c>
      <c r="S139" s="31">
        <f t="shared" si="120"/>
        <v>1</v>
      </c>
      <c r="T139" s="31">
        <f t="shared" si="120"/>
        <v>1</v>
      </c>
      <c r="U139" s="31">
        <f t="shared" si="120"/>
        <v>1</v>
      </c>
      <c r="V139" s="31">
        <f t="shared" si="120"/>
        <v>1</v>
      </c>
      <c r="W139" s="31">
        <f t="shared" si="120"/>
        <v>1</v>
      </c>
      <c r="X139" s="31">
        <f t="shared" si="120"/>
        <v>1</v>
      </c>
      <c r="Y139" s="31">
        <f t="shared" si="120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19"/>
        <v>0.95140059021149925</v>
      </c>
      <c r="C140" s="139">
        <f t="shared" ref="C140:Y140" si="121">IF(C48=0,0,C48/C$47)</f>
        <v>0.95281456191684388</v>
      </c>
      <c r="D140" s="139">
        <f t="shared" si="121"/>
        <v>0.9534792321976161</v>
      </c>
      <c r="E140" s="139">
        <f t="shared" si="121"/>
        <v>0.95190656343358915</v>
      </c>
      <c r="F140" s="139">
        <f t="shared" si="121"/>
        <v>0.94281338933978209</v>
      </c>
      <c r="G140" s="139">
        <f t="shared" si="121"/>
        <v>0.94714976524108008</v>
      </c>
      <c r="H140" s="139">
        <f t="shared" si="121"/>
        <v>0.92693340552957948</v>
      </c>
      <c r="I140" s="139">
        <f t="shared" si="121"/>
        <v>0.94086008238170249</v>
      </c>
      <c r="J140" s="139">
        <f t="shared" si="121"/>
        <v>0.93405974785954404</v>
      </c>
      <c r="K140" s="139">
        <f t="shared" si="121"/>
        <v>0.92864325740092935</v>
      </c>
      <c r="L140" s="139">
        <f t="shared" si="121"/>
        <v>0.91662804332384074</v>
      </c>
      <c r="M140" s="139">
        <f t="shared" si="121"/>
        <v>0.92147660472262805</v>
      </c>
      <c r="N140" s="139">
        <f t="shared" si="121"/>
        <v>0.91619442993500966</v>
      </c>
      <c r="O140" s="139">
        <f t="shared" si="121"/>
        <v>0.91694162022143599</v>
      </c>
      <c r="P140" s="139">
        <f t="shared" si="121"/>
        <v>0.91137621585037343</v>
      </c>
      <c r="Q140" s="139">
        <f t="shared" si="121"/>
        <v>0.92084985190483171</v>
      </c>
      <c r="R140" s="139">
        <f t="shared" si="121"/>
        <v>0.91622187897185536</v>
      </c>
      <c r="S140" s="139">
        <f t="shared" si="121"/>
        <v>0.91791950545530165</v>
      </c>
      <c r="T140" s="139">
        <f t="shared" si="121"/>
        <v>0.91611470986895682</v>
      </c>
      <c r="U140" s="139">
        <f t="shared" si="121"/>
        <v>0.91592318851462917</v>
      </c>
      <c r="V140" s="139">
        <f t="shared" si="121"/>
        <v>0.88441374577846721</v>
      </c>
      <c r="W140" s="139">
        <f t="shared" si="121"/>
        <v>0.88328345743449344</v>
      </c>
      <c r="X140" s="139">
        <f t="shared" si="121"/>
        <v>0.90549423917735705</v>
      </c>
      <c r="Y140" s="139">
        <f t="shared" si="121"/>
        <v>0.91411703003494138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19"/>
        <v>0.30752992889082281</v>
      </c>
      <c r="C141" s="140">
        <f t="shared" ref="C141:Y141" si="122">IF(C49=0,0,C49/C$47)</f>
        <v>0.30052631075152142</v>
      </c>
      <c r="D141" s="140">
        <f t="shared" si="122"/>
        <v>0.30436440022401307</v>
      </c>
      <c r="E141" s="140">
        <f t="shared" si="122"/>
        <v>0.31122979643790788</v>
      </c>
      <c r="F141" s="140">
        <f t="shared" si="122"/>
        <v>0.3026514692997172</v>
      </c>
      <c r="G141" s="140">
        <f t="shared" si="122"/>
        <v>0.30858985790524296</v>
      </c>
      <c r="H141" s="140">
        <f t="shared" si="122"/>
        <v>0.31001875385783756</v>
      </c>
      <c r="I141" s="140">
        <f t="shared" si="122"/>
        <v>0.30991553264217908</v>
      </c>
      <c r="J141" s="140">
        <f t="shared" si="122"/>
        <v>0.33993825495617802</v>
      </c>
      <c r="K141" s="140">
        <f t="shared" si="122"/>
        <v>0.40038579272018038</v>
      </c>
      <c r="L141" s="140">
        <f t="shared" si="122"/>
        <v>0.41194279964430425</v>
      </c>
      <c r="M141" s="140">
        <f t="shared" si="122"/>
        <v>0.42812271240686234</v>
      </c>
      <c r="N141" s="140">
        <f t="shared" si="122"/>
        <v>0.41557285010052081</v>
      </c>
      <c r="O141" s="140">
        <f t="shared" si="122"/>
        <v>0.42024784173288665</v>
      </c>
      <c r="P141" s="140">
        <f t="shared" si="122"/>
        <v>0.39554259170040257</v>
      </c>
      <c r="Q141" s="140">
        <f t="shared" si="122"/>
        <v>0.38897387808680017</v>
      </c>
      <c r="R141" s="140">
        <f t="shared" si="122"/>
        <v>0.35688387233218849</v>
      </c>
      <c r="S141" s="140">
        <f t="shared" si="122"/>
        <v>0.35678155958577223</v>
      </c>
      <c r="T141" s="140">
        <f t="shared" si="122"/>
        <v>0.34643784019871471</v>
      </c>
      <c r="U141" s="140">
        <f t="shared" si="122"/>
        <v>0.32629567204560189</v>
      </c>
      <c r="V141" s="140">
        <f t="shared" si="122"/>
        <v>0.35133014833023724</v>
      </c>
      <c r="W141" s="140">
        <f t="shared" si="122"/>
        <v>0.33233455917803423</v>
      </c>
      <c r="X141" s="140">
        <f t="shared" si="122"/>
        <v>0.34736246250435759</v>
      </c>
      <c r="Y141" s="140">
        <f t="shared" si="122"/>
        <v>0.35507970065406647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19"/>
        <v>0.6438706613206765</v>
      </c>
      <c r="C142" s="140">
        <f t="shared" ref="C142:Y142" si="123">IF(C50=0,0,C50/C$47)</f>
        <v>0.65228825116532241</v>
      </c>
      <c r="D142" s="140">
        <f t="shared" si="123"/>
        <v>0.64911483197360309</v>
      </c>
      <c r="E142" s="140">
        <f t="shared" si="123"/>
        <v>0.64067676699568132</v>
      </c>
      <c r="F142" s="140">
        <f t="shared" si="123"/>
        <v>0.64016192004006489</v>
      </c>
      <c r="G142" s="140">
        <f t="shared" si="123"/>
        <v>0.63855990733583712</v>
      </c>
      <c r="H142" s="140">
        <f t="shared" si="123"/>
        <v>0.61691465167174198</v>
      </c>
      <c r="I142" s="140">
        <f t="shared" si="123"/>
        <v>0.6309445497395233</v>
      </c>
      <c r="J142" s="140">
        <f t="shared" si="123"/>
        <v>0.59412149290336591</v>
      </c>
      <c r="K142" s="140">
        <f t="shared" si="123"/>
        <v>0.52825746468074886</v>
      </c>
      <c r="L142" s="140">
        <f t="shared" si="123"/>
        <v>0.50468524367953649</v>
      </c>
      <c r="M142" s="140">
        <f t="shared" si="123"/>
        <v>0.49335389231576582</v>
      </c>
      <c r="N142" s="140">
        <f t="shared" si="123"/>
        <v>0.50062157983448896</v>
      </c>
      <c r="O142" s="140">
        <f t="shared" si="123"/>
        <v>0.4966937784885494</v>
      </c>
      <c r="P142" s="140">
        <f t="shared" si="123"/>
        <v>0.51583362414997092</v>
      </c>
      <c r="Q142" s="140">
        <f t="shared" si="123"/>
        <v>0.53187597381803153</v>
      </c>
      <c r="R142" s="140">
        <f t="shared" si="123"/>
        <v>0.55933800663966693</v>
      </c>
      <c r="S142" s="140">
        <f t="shared" si="123"/>
        <v>0.56113794586952936</v>
      </c>
      <c r="T142" s="140">
        <f t="shared" si="123"/>
        <v>0.56967686967024223</v>
      </c>
      <c r="U142" s="140">
        <f t="shared" si="123"/>
        <v>0.58962751646902722</v>
      </c>
      <c r="V142" s="140">
        <f t="shared" si="123"/>
        <v>0.53308359744822997</v>
      </c>
      <c r="W142" s="140">
        <f t="shared" si="123"/>
        <v>0.5509488982564591</v>
      </c>
      <c r="X142" s="140">
        <f t="shared" si="123"/>
        <v>0.5581317766729994</v>
      </c>
      <c r="Y142" s="140">
        <f t="shared" si="123"/>
        <v>0.55903732938087491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19"/>
        <v>4.2596730417225025E-3</v>
      </c>
      <c r="C143" s="124">
        <f t="shared" ref="C143:Y143" si="124">IF(C51=0,0,C51/C$47)</f>
        <v>4.3180220750296755E-3</v>
      </c>
      <c r="D143" s="124">
        <f t="shared" si="124"/>
        <v>3.5993132075338987E-3</v>
      </c>
      <c r="E143" s="124">
        <f t="shared" si="124"/>
        <v>3.2251033076780232E-3</v>
      </c>
      <c r="F143" s="124">
        <f t="shared" si="124"/>
        <v>2.8193552234369694E-3</v>
      </c>
      <c r="G143" s="124">
        <f t="shared" si="124"/>
        <v>2.0112933448507178E-3</v>
      </c>
      <c r="H143" s="124">
        <f t="shared" si="124"/>
        <v>1.2606615327487379E-3</v>
      </c>
      <c r="I143" s="124">
        <f t="shared" si="124"/>
        <v>7.5113612800414874E-4</v>
      </c>
      <c r="J143" s="124">
        <f t="shared" si="124"/>
        <v>6.604017524129667E-4</v>
      </c>
      <c r="K143" s="124">
        <f t="shared" si="124"/>
        <v>5.4857799207656246E-4</v>
      </c>
      <c r="L143" s="124">
        <f t="shared" si="124"/>
        <v>7.5463960949561574E-4</v>
      </c>
      <c r="M143" s="124">
        <f t="shared" si="124"/>
        <v>9.2825949695354306E-4</v>
      </c>
      <c r="N143" s="124">
        <f t="shared" si="124"/>
        <v>7.9812649792834864E-4</v>
      </c>
      <c r="O143" s="124">
        <f t="shared" si="124"/>
        <v>8.4785126994942213E-4</v>
      </c>
      <c r="P143" s="124">
        <f t="shared" si="124"/>
        <v>8.5497863704929E-4</v>
      </c>
      <c r="Q143" s="124">
        <f t="shared" si="124"/>
        <v>8.2415373746500963E-4</v>
      </c>
      <c r="R143" s="124">
        <f t="shared" si="124"/>
        <v>8.1488437603489787E-4</v>
      </c>
      <c r="S143" s="124">
        <f t="shared" si="124"/>
        <v>8.0900995908537142E-4</v>
      </c>
      <c r="T143" s="124">
        <f t="shared" si="124"/>
        <v>6.9103242382870505E-4</v>
      </c>
      <c r="U143" s="124">
        <f t="shared" si="124"/>
        <v>5.5806373240780511E-4</v>
      </c>
      <c r="V143" s="124">
        <f t="shared" si="124"/>
        <v>6.102409467405505E-4</v>
      </c>
      <c r="W143" s="124">
        <f t="shared" si="124"/>
        <v>6.1517389173710159E-4</v>
      </c>
      <c r="X143" s="124">
        <f t="shared" si="124"/>
        <v>1.1929877930459058E-3</v>
      </c>
      <c r="Y143" s="124">
        <f t="shared" si="124"/>
        <v>6.2569649401225409E-4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19"/>
        <v>8.6124004923300163E-3</v>
      </c>
      <c r="C144" s="124">
        <f t="shared" ref="C144:Y144" si="125">IF(C52=0,0,C52/C$47)</f>
        <v>8.8916442435348093E-3</v>
      </c>
      <c r="D144" s="124">
        <f t="shared" si="125"/>
        <v>8.1070897626015961E-3</v>
      </c>
      <c r="E144" s="124">
        <f t="shared" si="125"/>
        <v>8.4983268149301412E-3</v>
      </c>
      <c r="F144" s="124">
        <f t="shared" si="125"/>
        <v>1.1233705193679817E-2</v>
      </c>
      <c r="G144" s="124">
        <f t="shared" si="125"/>
        <v>1.2251641591430175E-2</v>
      </c>
      <c r="H144" s="124">
        <f t="shared" si="125"/>
        <v>1.4965284463419576E-2</v>
      </c>
      <c r="I144" s="124">
        <f t="shared" si="125"/>
        <v>1.3413883946141413E-2</v>
      </c>
      <c r="J144" s="124">
        <f t="shared" si="125"/>
        <v>1.3430749797225751E-2</v>
      </c>
      <c r="K144" s="124">
        <f t="shared" si="125"/>
        <v>1.0563872735011332E-2</v>
      </c>
      <c r="L144" s="124">
        <f t="shared" si="125"/>
        <v>1.7427217650770852E-2</v>
      </c>
      <c r="M144" s="124">
        <f t="shared" si="125"/>
        <v>1.4610130022564697E-2</v>
      </c>
      <c r="N144" s="124">
        <f t="shared" si="125"/>
        <v>1.5360417339970112E-2</v>
      </c>
      <c r="O144" s="124">
        <f t="shared" si="125"/>
        <v>1.6267696285609503E-2</v>
      </c>
      <c r="P144" s="124">
        <f t="shared" si="125"/>
        <v>1.6421549282398324E-2</v>
      </c>
      <c r="Q144" s="124">
        <f t="shared" si="125"/>
        <v>1.8938862629582699E-2</v>
      </c>
      <c r="R144" s="124">
        <f t="shared" si="125"/>
        <v>1.5176163147251846E-2</v>
      </c>
      <c r="S144" s="124">
        <f t="shared" si="125"/>
        <v>1.9908303574794964E-2</v>
      </c>
      <c r="T144" s="124">
        <f t="shared" si="125"/>
        <v>1.7414176552825806E-2</v>
      </c>
      <c r="U144" s="124">
        <f t="shared" si="125"/>
        <v>1.5393942787418844E-2</v>
      </c>
      <c r="V144" s="124">
        <f t="shared" si="125"/>
        <v>2.2895863864273974E-2</v>
      </c>
      <c r="W144" s="124">
        <f t="shared" si="125"/>
        <v>2.6603265036923743E-2</v>
      </c>
      <c r="X144" s="124">
        <f t="shared" si="125"/>
        <v>2.0371057465867103E-2</v>
      </c>
      <c r="Y144" s="124">
        <f t="shared" si="125"/>
        <v>1.8756029303948173E-2</v>
      </c>
      <c r="DA144" s="176"/>
    </row>
    <row r="145" spans="1:105" ht="11.45" customHeight="1" x14ac:dyDescent="0.25">
      <c r="A145" s="128" t="s">
        <v>27</v>
      </c>
      <c r="B145" s="140">
        <f t="shared" si="119"/>
        <v>9.9197344809961118E-4</v>
      </c>
      <c r="C145" s="140">
        <f t="shared" ref="C145:Y145" si="126">IF(C53=0,0,C53/C$47)</f>
        <v>1.0699926333360022E-3</v>
      </c>
      <c r="D145" s="140">
        <f t="shared" si="126"/>
        <v>8.3993635195348264E-4</v>
      </c>
      <c r="E145" s="140">
        <f t="shared" si="126"/>
        <v>6.8535660061033797E-4</v>
      </c>
      <c r="F145" s="140">
        <f t="shared" si="126"/>
        <v>1.2607383144036383E-3</v>
      </c>
      <c r="G145" s="140">
        <f t="shared" si="126"/>
        <v>1.6657244371678342E-3</v>
      </c>
      <c r="H145" s="140">
        <f t="shared" si="126"/>
        <v>2.811251216140715E-3</v>
      </c>
      <c r="I145" s="140">
        <f t="shared" si="126"/>
        <v>1.9011121351363966E-3</v>
      </c>
      <c r="J145" s="140">
        <f t="shared" si="126"/>
        <v>1.4647168091028496E-3</v>
      </c>
      <c r="K145" s="140">
        <f t="shared" si="126"/>
        <v>1.5941896399952998E-3</v>
      </c>
      <c r="L145" s="140">
        <f t="shared" si="126"/>
        <v>1.843424392832714E-3</v>
      </c>
      <c r="M145" s="140">
        <f t="shared" si="126"/>
        <v>9.4007024416579358E-4</v>
      </c>
      <c r="N145" s="140">
        <f t="shared" si="126"/>
        <v>1.4897345555118877E-3</v>
      </c>
      <c r="O145" s="140">
        <f t="shared" si="126"/>
        <v>1.3535903862384815E-3</v>
      </c>
      <c r="P145" s="140">
        <f t="shared" si="126"/>
        <v>1.0214631111499747E-3</v>
      </c>
      <c r="Q145" s="140">
        <f t="shared" si="126"/>
        <v>1.0018505719459499E-3</v>
      </c>
      <c r="R145" s="140">
        <f t="shared" si="126"/>
        <v>3.7171384451905709E-4</v>
      </c>
      <c r="S145" s="140">
        <f t="shared" si="126"/>
        <v>6.2707888658252516E-4</v>
      </c>
      <c r="T145" s="140">
        <f t="shared" si="126"/>
        <v>5.8183823976909802E-4</v>
      </c>
      <c r="U145" s="140">
        <f t="shared" si="126"/>
        <v>3.8072858980822878E-4</v>
      </c>
      <c r="V145" s="140">
        <f t="shared" si="126"/>
        <v>3.4403418513260966E-4</v>
      </c>
      <c r="W145" s="140">
        <f t="shared" si="126"/>
        <v>8.1379294106327454E-4</v>
      </c>
      <c r="X145" s="140">
        <f t="shared" si="126"/>
        <v>8.3374927572322393E-4</v>
      </c>
      <c r="Y145" s="140">
        <f t="shared" si="126"/>
        <v>5.2275243073786283E-4</v>
      </c>
      <c r="DA145" s="175"/>
    </row>
    <row r="146" spans="1:105" ht="11.45" customHeight="1" x14ac:dyDescent="0.25">
      <c r="A146" s="128" t="str">
        <f>$A$24</f>
        <v>International - Intra-EEAwCHUK</v>
      </c>
      <c r="B146" s="140">
        <f t="shared" si="119"/>
        <v>3.2470603930231296E-3</v>
      </c>
      <c r="C146" s="140">
        <f t="shared" ref="C146:Y146" si="127">IF(C54=0,0,C54/C$47)</f>
        <v>3.3247664687600415E-3</v>
      </c>
      <c r="D146" s="140">
        <f t="shared" si="127"/>
        <v>2.5413398865861987E-3</v>
      </c>
      <c r="E146" s="140">
        <f t="shared" si="127"/>
        <v>2.4500695705088962E-3</v>
      </c>
      <c r="F146" s="140">
        <f t="shared" si="127"/>
        <v>2.2027708679793591E-3</v>
      </c>
      <c r="G146" s="140">
        <f t="shared" si="127"/>
        <v>4.0074129452024798E-3</v>
      </c>
      <c r="H146" s="140">
        <f t="shared" si="127"/>
        <v>5.6335043954387192E-3</v>
      </c>
      <c r="I146" s="140">
        <f t="shared" si="127"/>
        <v>5.6341106638617081E-3</v>
      </c>
      <c r="J146" s="140">
        <f t="shared" si="127"/>
        <v>5.820254292010738E-3</v>
      </c>
      <c r="K146" s="140">
        <f t="shared" si="127"/>
        <v>4.9051837194757433E-3</v>
      </c>
      <c r="L146" s="140">
        <f t="shared" si="127"/>
        <v>7.7279940433889263E-3</v>
      </c>
      <c r="M146" s="140">
        <f t="shared" si="127"/>
        <v>7.244813704048462E-3</v>
      </c>
      <c r="N146" s="140">
        <f t="shared" si="127"/>
        <v>5.7814707332852176E-3</v>
      </c>
      <c r="O146" s="140">
        <f t="shared" si="127"/>
        <v>5.7627449982271435E-3</v>
      </c>
      <c r="P146" s="140">
        <f t="shared" si="127"/>
        <v>6.7736853712506003E-3</v>
      </c>
      <c r="Q146" s="140">
        <f t="shared" si="127"/>
        <v>7.9824336535843348E-3</v>
      </c>
      <c r="R146" s="140">
        <f t="shared" si="127"/>
        <v>6.52800583054137E-3</v>
      </c>
      <c r="S146" s="140">
        <f t="shared" si="127"/>
        <v>7.6574430209018721E-3</v>
      </c>
      <c r="T146" s="140">
        <f t="shared" si="127"/>
        <v>8.04722642009475E-3</v>
      </c>
      <c r="U146" s="140">
        <f t="shared" si="127"/>
        <v>7.5052378170100565E-3</v>
      </c>
      <c r="V146" s="140">
        <f t="shared" si="127"/>
        <v>6.8981231284886519E-3</v>
      </c>
      <c r="W146" s="140">
        <f t="shared" si="127"/>
        <v>8.242511924571665E-3</v>
      </c>
      <c r="X146" s="140">
        <f t="shared" si="127"/>
        <v>7.3199988693745024E-3</v>
      </c>
      <c r="Y146" s="140">
        <f t="shared" si="127"/>
        <v>7.7657658610061952E-3</v>
      </c>
      <c r="DA146" s="175"/>
    </row>
    <row r="147" spans="1:105" ht="11.45" customHeight="1" x14ac:dyDescent="0.25">
      <c r="A147" s="128" t="str">
        <f>$A$25</f>
        <v>International - Extra-EEAwCHUK</v>
      </c>
      <c r="B147" s="140">
        <f t="shared" si="119"/>
        <v>4.3733666512072748E-3</v>
      </c>
      <c r="C147" s="140">
        <f t="shared" ref="C147:Y147" si="128">IF(C55=0,0,C55/C$47)</f>
        <v>4.4968851414387652E-3</v>
      </c>
      <c r="D147" s="140">
        <f t="shared" si="128"/>
        <v>4.725813524061916E-3</v>
      </c>
      <c r="E147" s="140">
        <f t="shared" si="128"/>
        <v>5.3629006438109068E-3</v>
      </c>
      <c r="F147" s="140">
        <f t="shared" si="128"/>
        <v>7.7701960112968203E-3</v>
      </c>
      <c r="G147" s="140">
        <f t="shared" si="128"/>
        <v>6.5785042090598603E-3</v>
      </c>
      <c r="H147" s="140">
        <f t="shared" si="128"/>
        <v>6.5205288518401421E-3</v>
      </c>
      <c r="I147" s="140">
        <f t="shared" si="128"/>
        <v>5.8786611471433074E-3</v>
      </c>
      <c r="J147" s="140">
        <f t="shared" si="128"/>
        <v>6.1457786961121646E-3</v>
      </c>
      <c r="K147" s="140">
        <f t="shared" si="128"/>
        <v>4.064499375540289E-3</v>
      </c>
      <c r="L147" s="140">
        <f t="shared" si="128"/>
        <v>7.8557992145492101E-3</v>
      </c>
      <c r="M147" s="140">
        <f t="shared" si="128"/>
        <v>6.4252460743504406E-3</v>
      </c>
      <c r="N147" s="140">
        <f t="shared" si="128"/>
        <v>8.0892120511730069E-3</v>
      </c>
      <c r="O147" s="140">
        <f t="shared" si="128"/>
        <v>9.151360901143879E-3</v>
      </c>
      <c r="P147" s="140">
        <f t="shared" si="128"/>
        <v>8.6264007999977497E-3</v>
      </c>
      <c r="Q147" s="140">
        <f t="shared" si="128"/>
        <v>9.9545784040524117E-3</v>
      </c>
      <c r="R147" s="140">
        <f t="shared" si="128"/>
        <v>8.2764434721914176E-3</v>
      </c>
      <c r="S147" s="140">
        <f t="shared" si="128"/>
        <v>1.1623781667310566E-2</v>
      </c>
      <c r="T147" s="140">
        <f t="shared" si="128"/>
        <v>8.7851118929619595E-3</v>
      </c>
      <c r="U147" s="140">
        <f t="shared" si="128"/>
        <v>7.507976380600561E-3</v>
      </c>
      <c r="V147" s="140">
        <f t="shared" si="128"/>
        <v>1.5653706550652711E-2</v>
      </c>
      <c r="W147" s="140">
        <f t="shared" si="128"/>
        <v>1.7546960171288803E-2</v>
      </c>
      <c r="X147" s="140">
        <f t="shared" si="128"/>
        <v>1.2217309320769377E-2</v>
      </c>
      <c r="Y147" s="140">
        <f t="shared" si="128"/>
        <v>1.0467511012204117E-2</v>
      </c>
      <c r="DA147" s="175"/>
    </row>
    <row r="148" spans="1:105" ht="11.45" customHeight="1" x14ac:dyDescent="0.25">
      <c r="A148" s="109" t="s">
        <v>141</v>
      </c>
      <c r="B148" s="124">
        <f t="shared" si="119"/>
        <v>3.5727336254448239E-2</v>
      </c>
      <c r="C148" s="124">
        <f t="shared" ref="C148:Y148" si="129">IF(C56=0,0,C56/C$47)</f>
        <v>3.3975771764591503E-2</v>
      </c>
      <c r="D148" s="124">
        <f t="shared" si="129"/>
        <v>3.4814364832248333E-2</v>
      </c>
      <c r="E148" s="124">
        <f t="shared" si="129"/>
        <v>3.6370006443802665E-2</v>
      </c>
      <c r="F148" s="124">
        <f t="shared" si="129"/>
        <v>4.3133550243101074E-2</v>
      </c>
      <c r="G148" s="124">
        <f t="shared" si="129"/>
        <v>3.858729982263899E-2</v>
      </c>
      <c r="H148" s="124">
        <f t="shared" si="129"/>
        <v>5.6840648474252242E-2</v>
      </c>
      <c r="I148" s="124">
        <f t="shared" si="129"/>
        <v>4.4974897544151966E-2</v>
      </c>
      <c r="J148" s="124">
        <f t="shared" si="129"/>
        <v>5.1849100590817196E-2</v>
      </c>
      <c r="K148" s="124">
        <f t="shared" si="129"/>
        <v>6.0244291871982845E-2</v>
      </c>
      <c r="L148" s="124">
        <f t="shared" si="129"/>
        <v>6.5190099415893002E-2</v>
      </c>
      <c r="M148" s="124">
        <f t="shared" si="129"/>
        <v>6.2985005757853832E-2</v>
      </c>
      <c r="N148" s="124">
        <f t="shared" si="129"/>
        <v>6.764702622709183E-2</v>
      </c>
      <c r="O148" s="124">
        <f t="shared" si="129"/>
        <v>6.5942832223005149E-2</v>
      </c>
      <c r="P148" s="124">
        <f t="shared" si="129"/>
        <v>7.1347256230178749E-2</v>
      </c>
      <c r="Q148" s="124">
        <f t="shared" si="129"/>
        <v>5.9387131728120643E-2</v>
      </c>
      <c r="R148" s="124">
        <f t="shared" si="129"/>
        <v>6.7787073504858034E-2</v>
      </c>
      <c r="S148" s="124">
        <f t="shared" si="129"/>
        <v>6.136318101081787E-2</v>
      </c>
      <c r="T148" s="124">
        <f t="shared" si="129"/>
        <v>6.5780081154388714E-2</v>
      </c>
      <c r="U148" s="124">
        <f t="shared" si="129"/>
        <v>6.8124804965544211E-2</v>
      </c>
      <c r="V148" s="124">
        <f t="shared" si="129"/>
        <v>9.2080149410518092E-2</v>
      </c>
      <c r="W148" s="124">
        <f t="shared" si="129"/>
        <v>8.9498103636845905E-2</v>
      </c>
      <c r="X148" s="124">
        <f t="shared" si="129"/>
        <v>7.294171556373015E-2</v>
      </c>
      <c r="Y148" s="124">
        <f t="shared" si="129"/>
        <v>6.6501244167098295E-2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19"/>
        <v>3.5727336254448239E-2</v>
      </c>
      <c r="C149" s="140">
        <f t="shared" ref="C149:Y149" si="130">IF(C57=0,0,C57/C$47)</f>
        <v>3.3975771764591503E-2</v>
      </c>
      <c r="D149" s="140">
        <f t="shared" si="130"/>
        <v>3.4814364832248333E-2</v>
      </c>
      <c r="E149" s="140">
        <f t="shared" si="130"/>
        <v>3.6370006443802665E-2</v>
      </c>
      <c r="F149" s="140">
        <f t="shared" si="130"/>
        <v>4.3133550243101074E-2</v>
      </c>
      <c r="G149" s="140">
        <f t="shared" si="130"/>
        <v>3.858729982263899E-2</v>
      </c>
      <c r="H149" s="140">
        <f t="shared" si="130"/>
        <v>5.6840648474252242E-2</v>
      </c>
      <c r="I149" s="140">
        <f t="shared" si="130"/>
        <v>4.4974897544151966E-2</v>
      </c>
      <c r="J149" s="140">
        <f t="shared" si="130"/>
        <v>5.1849100590817196E-2</v>
      </c>
      <c r="K149" s="140">
        <f t="shared" si="130"/>
        <v>6.0244291871982845E-2</v>
      </c>
      <c r="L149" s="140">
        <f t="shared" si="130"/>
        <v>6.5190099415893002E-2</v>
      </c>
      <c r="M149" s="140">
        <f t="shared" si="130"/>
        <v>6.2985005757853832E-2</v>
      </c>
      <c r="N149" s="140">
        <f t="shared" si="130"/>
        <v>6.764702622709183E-2</v>
      </c>
      <c r="O149" s="140">
        <f t="shared" si="130"/>
        <v>6.5942832223005149E-2</v>
      </c>
      <c r="P149" s="140">
        <f t="shared" si="130"/>
        <v>7.1347256230178749E-2</v>
      </c>
      <c r="Q149" s="140">
        <f t="shared" si="130"/>
        <v>5.9387131728120643E-2</v>
      </c>
      <c r="R149" s="140">
        <f t="shared" si="130"/>
        <v>6.7787073504858034E-2</v>
      </c>
      <c r="S149" s="140">
        <f t="shared" si="130"/>
        <v>6.136318101081787E-2</v>
      </c>
      <c r="T149" s="140">
        <f t="shared" si="130"/>
        <v>6.5780081154388714E-2</v>
      </c>
      <c r="U149" s="140">
        <f t="shared" si="130"/>
        <v>6.8124804965544211E-2</v>
      </c>
      <c r="V149" s="140">
        <f t="shared" si="130"/>
        <v>9.2080149410518092E-2</v>
      </c>
      <c r="W149" s="140">
        <f t="shared" si="130"/>
        <v>8.9498103636845905E-2</v>
      </c>
      <c r="X149" s="140">
        <f t="shared" si="130"/>
        <v>7.294171556373015E-2</v>
      </c>
      <c r="Y149" s="140">
        <f t="shared" si="130"/>
        <v>6.6501244167098295E-2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19"/>
        <v>0</v>
      </c>
      <c r="C150" s="127">
        <f t="shared" ref="C150:Y150" si="131">IF(C58=0,0,C58/C$47)</f>
        <v>0</v>
      </c>
      <c r="D150" s="127">
        <f t="shared" si="131"/>
        <v>0</v>
      </c>
      <c r="E150" s="127">
        <f t="shared" si="131"/>
        <v>0</v>
      </c>
      <c r="F150" s="127">
        <f t="shared" si="131"/>
        <v>0</v>
      </c>
      <c r="G150" s="127">
        <f t="shared" si="131"/>
        <v>0</v>
      </c>
      <c r="H150" s="127">
        <f t="shared" si="131"/>
        <v>0</v>
      </c>
      <c r="I150" s="127">
        <f t="shared" si="131"/>
        <v>0</v>
      </c>
      <c r="J150" s="127">
        <f t="shared" si="131"/>
        <v>0</v>
      </c>
      <c r="K150" s="127">
        <f t="shared" si="131"/>
        <v>0</v>
      </c>
      <c r="L150" s="127">
        <f t="shared" si="131"/>
        <v>0</v>
      </c>
      <c r="M150" s="127">
        <f t="shared" si="131"/>
        <v>0</v>
      </c>
      <c r="N150" s="127">
        <f t="shared" si="131"/>
        <v>0</v>
      </c>
      <c r="O150" s="127">
        <f t="shared" si="131"/>
        <v>0</v>
      </c>
      <c r="P150" s="127">
        <f t="shared" si="131"/>
        <v>0</v>
      </c>
      <c r="Q150" s="127">
        <f t="shared" si="131"/>
        <v>0</v>
      </c>
      <c r="R150" s="127">
        <f t="shared" si="131"/>
        <v>0</v>
      </c>
      <c r="S150" s="127">
        <f t="shared" si="131"/>
        <v>0</v>
      </c>
      <c r="T150" s="127">
        <f t="shared" si="131"/>
        <v>0</v>
      </c>
      <c r="U150" s="127">
        <f t="shared" si="131"/>
        <v>0</v>
      </c>
      <c r="V150" s="127">
        <f t="shared" si="131"/>
        <v>0</v>
      </c>
      <c r="W150" s="127">
        <f t="shared" si="131"/>
        <v>0</v>
      </c>
      <c r="X150" s="127">
        <f t="shared" si="131"/>
        <v>0</v>
      </c>
      <c r="Y150" s="127">
        <f t="shared" si="131"/>
        <v>0</v>
      </c>
      <c r="DA150" s="178"/>
    </row>
    <row r="151" spans="1:105" ht="11.45" customHeight="1" x14ac:dyDescent="0.25">
      <c r="A151" s="27" t="s">
        <v>169</v>
      </c>
      <c r="B151" s="31">
        <f t="shared" ref="B151:Y151" si="132">IF(B59=0,0,B59/B$59)</f>
        <v>1</v>
      </c>
      <c r="C151" s="31">
        <f t="shared" si="132"/>
        <v>1</v>
      </c>
      <c r="D151" s="31">
        <f t="shared" si="132"/>
        <v>1</v>
      </c>
      <c r="E151" s="31">
        <f t="shared" si="132"/>
        <v>1</v>
      </c>
      <c r="F151" s="31">
        <f t="shared" si="132"/>
        <v>1</v>
      </c>
      <c r="G151" s="31">
        <f t="shared" si="132"/>
        <v>1</v>
      </c>
      <c r="H151" s="31">
        <f t="shared" si="132"/>
        <v>1</v>
      </c>
      <c r="I151" s="31">
        <f t="shared" si="132"/>
        <v>1</v>
      </c>
      <c r="J151" s="31">
        <f t="shared" si="132"/>
        <v>1</v>
      </c>
      <c r="K151" s="31">
        <f t="shared" si="132"/>
        <v>1</v>
      </c>
      <c r="L151" s="31">
        <f t="shared" si="132"/>
        <v>1</v>
      </c>
      <c r="M151" s="31">
        <f t="shared" si="132"/>
        <v>1</v>
      </c>
      <c r="N151" s="31">
        <f t="shared" si="132"/>
        <v>1</v>
      </c>
      <c r="O151" s="31">
        <f t="shared" si="132"/>
        <v>1</v>
      </c>
      <c r="P151" s="31">
        <f t="shared" si="132"/>
        <v>1</v>
      </c>
      <c r="Q151" s="31">
        <f t="shared" si="132"/>
        <v>1</v>
      </c>
      <c r="R151" s="31">
        <f t="shared" si="132"/>
        <v>1</v>
      </c>
      <c r="S151" s="31">
        <f t="shared" si="132"/>
        <v>1</v>
      </c>
      <c r="T151" s="31">
        <f t="shared" si="132"/>
        <v>1</v>
      </c>
      <c r="U151" s="31">
        <f t="shared" si="132"/>
        <v>1</v>
      </c>
      <c r="V151" s="31">
        <f t="shared" si="132"/>
        <v>1</v>
      </c>
      <c r="W151" s="31">
        <f t="shared" si="132"/>
        <v>1</v>
      </c>
      <c r="X151" s="31">
        <f t="shared" si="132"/>
        <v>1</v>
      </c>
      <c r="Y151" s="31">
        <f t="shared" si="132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 t="shared" ref="B152:Y152" si="133">IF(B60=0,0,B60/B$59)</f>
        <v>0.44775536618111633</v>
      </c>
      <c r="C152" s="140">
        <f t="shared" si="133"/>
        <v>0.44533460111408169</v>
      </c>
      <c r="D152" s="140">
        <f t="shared" si="133"/>
        <v>0.43055085598566356</v>
      </c>
      <c r="E152" s="140">
        <f t="shared" si="133"/>
        <v>0.44696705942165654</v>
      </c>
      <c r="F152" s="140">
        <f t="shared" si="133"/>
        <v>0.46611322506642883</v>
      </c>
      <c r="G152" s="140">
        <f t="shared" si="133"/>
        <v>0.46400798935205789</v>
      </c>
      <c r="H152" s="140">
        <f t="shared" si="133"/>
        <v>0.55157308253446269</v>
      </c>
      <c r="I152" s="140">
        <f t="shared" si="133"/>
        <v>0.49364767286879918</v>
      </c>
      <c r="J152" s="140">
        <f t="shared" si="133"/>
        <v>0.48750295078570943</v>
      </c>
      <c r="K152" s="140">
        <f t="shared" si="133"/>
        <v>0.50854510248645113</v>
      </c>
      <c r="L152" s="140">
        <f t="shared" si="133"/>
        <v>0.50639283000283031</v>
      </c>
      <c r="M152" s="140">
        <f t="shared" si="133"/>
        <v>0.47740767241350435</v>
      </c>
      <c r="N152" s="140">
        <f t="shared" si="133"/>
        <v>0.48401269492018473</v>
      </c>
      <c r="O152" s="140">
        <f t="shared" si="133"/>
        <v>0.50987752705745226</v>
      </c>
      <c r="P152" s="140">
        <f t="shared" si="133"/>
        <v>0.48674920972637697</v>
      </c>
      <c r="Q152" s="140">
        <f t="shared" si="133"/>
        <v>0.49489406012402209</v>
      </c>
      <c r="R152" s="140">
        <f t="shared" si="133"/>
        <v>0.4915403153155356</v>
      </c>
      <c r="S152" s="140">
        <f t="shared" si="133"/>
        <v>0.48723086628878609</v>
      </c>
      <c r="T152" s="140">
        <f t="shared" si="133"/>
        <v>0.50003185380631043</v>
      </c>
      <c r="U152" s="140">
        <f t="shared" si="133"/>
        <v>0.50332203742075288</v>
      </c>
      <c r="V152" s="140">
        <f t="shared" si="133"/>
        <v>0.46167489233621994</v>
      </c>
      <c r="W152" s="140">
        <f t="shared" si="133"/>
        <v>0.48272114344499611</v>
      </c>
      <c r="X152" s="140">
        <f t="shared" si="133"/>
        <v>0.5011124514245614</v>
      </c>
      <c r="Y152" s="140">
        <f t="shared" si="133"/>
        <v>0.54698765060858157</v>
      </c>
      <c r="DA152" s="175"/>
    </row>
    <row r="153" spans="1:105" ht="11.45" customHeight="1" x14ac:dyDescent="0.25">
      <c r="A153" s="138" t="str">
        <f>$A$31</f>
        <v>Extra-EEA</v>
      </c>
      <c r="B153" s="127">
        <f t="shared" ref="B153:Y153" si="134">IF(B61=0,0,B61/B$59)</f>
        <v>0.55224463381888367</v>
      </c>
      <c r="C153" s="127">
        <f t="shared" si="134"/>
        <v>0.55466539888591837</v>
      </c>
      <c r="D153" s="127">
        <f t="shared" si="134"/>
        <v>0.56944914401433644</v>
      </c>
      <c r="E153" s="127">
        <f t="shared" si="134"/>
        <v>0.55303294057834351</v>
      </c>
      <c r="F153" s="127">
        <f t="shared" si="134"/>
        <v>0.53388677493357117</v>
      </c>
      <c r="G153" s="127">
        <f t="shared" si="134"/>
        <v>0.53599201064794211</v>
      </c>
      <c r="H153" s="127">
        <f t="shared" si="134"/>
        <v>0.44842691746553737</v>
      </c>
      <c r="I153" s="127">
        <f t="shared" si="134"/>
        <v>0.50635232713120082</v>
      </c>
      <c r="J153" s="127">
        <f t="shared" si="134"/>
        <v>0.51249704921429062</v>
      </c>
      <c r="K153" s="127">
        <f t="shared" si="134"/>
        <v>0.49145489751354893</v>
      </c>
      <c r="L153" s="127">
        <f t="shared" si="134"/>
        <v>0.49360716999716969</v>
      </c>
      <c r="M153" s="127">
        <f t="shared" si="134"/>
        <v>0.52259232758649565</v>
      </c>
      <c r="N153" s="127">
        <f t="shared" si="134"/>
        <v>0.51598730507981527</v>
      </c>
      <c r="O153" s="127">
        <f t="shared" si="134"/>
        <v>0.49012247294254774</v>
      </c>
      <c r="P153" s="127">
        <f t="shared" si="134"/>
        <v>0.51325079027362297</v>
      </c>
      <c r="Q153" s="127">
        <f t="shared" si="134"/>
        <v>0.50510593987597796</v>
      </c>
      <c r="R153" s="127">
        <f t="shared" si="134"/>
        <v>0.50845968468446445</v>
      </c>
      <c r="S153" s="127">
        <f t="shared" si="134"/>
        <v>0.51276913371121391</v>
      </c>
      <c r="T153" s="127">
        <f t="shared" si="134"/>
        <v>0.49996814619368957</v>
      </c>
      <c r="U153" s="127">
        <f t="shared" si="134"/>
        <v>0.49667796257924701</v>
      </c>
      <c r="V153" s="127">
        <f t="shared" si="134"/>
        <v>0.53832510766378006</v>
      </c>
      <c r="W153" s="127">
        <f t="shared" si="134"/>
        <v>0.51727885655500383</v>
      </c>
      <c r="X153" s="127">
        <f t="shared" si="134"/>
        <v>0.4988875485754386</v>
      </c>
      <c r="Y153" s="127">
        <f t="shared" si="134"/>
        <v>0.45301234939141849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DA155" s="172"/>
    </row>
    <row r="156" spans="1:105" ht="11.45" customHeight="1" x14ac:dyDescent="0.25">
      <c r="A156" s="27" t="s">
        <v>33</v>
      </c>
      <c r="B156" s="31">
        <f t="shared" ref="B156:B168" si="135">IF(B64=0,0,B64/B$64)</f>
        <v>1</v>
      </c>
      <c r="C156" s="31">
        <f t="shared" ref="C156:W156" si="136">IF(C64=0,0,C64/C$64)</f>
        <v>1</v>
      </c>
      <c r="D156" s="31">
        <f t="shared" si="136"/>
        <v>1</v>
      </c>
      <c r="E156" s="31">
        <f t="shared" si="136"/>
        <v>1</v>
      </c>
      <c r="F156" s="31">
        <f t="shared" si="136"/>
        <v>1</v>
      </c>
      <c r="G156" s="31">
        <f t="shared" si="136"/>
        <v>1</v>
      </c>
      <c r="H156" s="31">
        <f t="shared" si="136"/>
        <v>1</v>
      </c>
      <c r="I156" s="31">
        <f t="shared" si="136"/>
        <v>1</v>
      </c>
      <c r="J156" s="31">
        <f t="shared" si="136"/>
        <v>1</v>
      </c>
      <c r="K156" s="31">
        <f t="shared" si="136"/>
        <v>1</v>
      </c>
      <c r="L156" s="31">
        <f t="shared" si="136"/>
        <v>1</v>
      </c>
      <c r="M156" s="31">
        <f t="shared" si="136"/>
        <v>1</v>
      </c>
      <c r="N156" s="31">
        <f t="shared" si="136"/>
        <v>1</v>
      </c>
      <c r="O156" s="31">
        <f t="shared" si="136"/>
        <v>1</v>
      </c>
      <c r="P156" s="31">
        <f t="shared" si="136"/>
        <v>1</v>
      </c>
      <c r="Q156" s="31">
        <f t="shared" si="136"/>
        <v>1</v>
      </c>
      <c r="R156" s="31">
        <f t="shared" si="136"/>
        <v>1</v>
      </c>
      <c r="S156" s="31">
        <f t="shared" si="136"/>
        <v>1</v>
      </c>
      <c r="T156" s="31">
        <f t="shared" si="136"/>
        <v>1</v>
      </c>
      <c r="U156" s="31">
        <f t="shared" si="136"/>
        <v>1</v>
      </c>
      <c r="V156" s="31">
        <f t="shared" si="136"/>
        <v>1</v>
      </c>
      <c r="W156" s="31">
        <f t="shared" si="136"/>
        <v>1</v>
      </c>
      <c r="X156" s="31">
        <f t="shared" ref="X156:Y156" si="137">IF(X64=0,0,X64/X$64)</f>
        <v>1</v>
      </c>
      <c r="Y156" s="31">
        <f t="shared" si="137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35"/>
        <v>0.7586744605923279</v>
      </c>
      <c r="C157" s="139">
        <f t="shared" ref="C157:W157" si="138">IF(C65=0,0,C65/C$64)</f>
        <v>0.73170072465710267</v>
      </c>
      <c r="D157" s="139">
        <f t="shared" si="138"/>
        <v>0.72254371238766235</v>
      </c>
      <c r="E157" s="139">
        <f t="shared" si="138"/>
        <v>0.72740676748393096</v>
      </c>
      <c r="F157" s="139">
        <f t="shared" si="138"/>
        <v>0.74606320930045922</v>
      </c>
      <c r="G157" s="139">
        <f t="shared" si="138"/>
        <v>0.73301460895546988</v>
      </c>
      <c r="H157" s="139">
        <f t="shared" si="138"/>
        <v>0.74797484675613768</v>
      </c>
      <c r="I157" s="139">
        <f t="shared" si="138"/>
        <v>0.71644194881289802</v>
      </c>
      <c r="J157" s="139">
        <f t="shared" si="138"/>
        <v>0.72684206354838332</v>
      </c>
      <c r="K157" s="139">
        <f t="shared" si="138"/>
        <v>0.80555627836130594</v>
      </c>
      <c r="L157" s="139">
        <f t="shared" si="138"/>
        <v>0.75934766231024087</v>
      </c>
      <c r="M157" s="139">
        <f t="shared" si="138"/>
        <v>0.76776971096267477</v>
      </c>
      <c r="N157" s="139">
        <f t="shared" si="138"/>
        <v>0.79429826490424338</v>
      </c>
      <c r="O157" s="139">
        <f t="shared" si="138"/>
        <v>0.78222433194021601</v>
      </c>
      <c r="P157" s="139">
        <f t="shared" si="138"/>
        <v>0.76638405518568165</v>
      </c>
      <c r="Q157" s="139">
        <f t="shared" si="138"/>
        <v>0.75017919710313419</v>
      </c>
      <c r="R157" s="139">
        <f t="shared" si="138"/>
        <v>0.75416223209311961</v>
      </c>
      <c r="S157" s="139">
        <f t="shared" si="138"/>
        <v>0.72163380137257316</v>
      </c>
      <c r="T157" s="139">
        <f t="shared" si="138"/>
        <v>0.70635181020650029</v>
      </c>
      <c r="U157" s="139">
        <f t="shared" si="138"/>
        <v>0.70113194484217789</v>
      </c>
      <c r="V157" s="139">
        <f t="shared" si="138"/>
        <v>0.84397874580125087</v>
      </c>
      <c r="W157" s="139">
        <f t="shared" si="138"/>
        <v>0.83686370374286612</v>
      </c>
      <c r="X157" s="139">
        <f t="shared" ref="X157:Y157" si="139">IF(X65=0,0,X65/X$64)</f>
        <v>0.70535568604914889</v>
      </c>
      <c r="Y157" s="139">
        <f t="shared" si="139"/>
        <v>0.68192541603327317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35"/>
        <v>1.5626984238627827E-3</v>
      </c>
      <c r="C158" s="140">
        <f t="shared" ref="C158:W158" si="140">IF(C66=0,0,C66/C$64)</f>
        <v>1.5497709350777494E-3</v>
      </c>
      <c r="D158" s="140">
        <f t="shared" si="140"/>
        <v>1.4934216396755553E-3</v>
      </c>
      <c r="E158" s="140">
        <f t="shared" si="140"/>
        <v>1.5951282750155636E-3</v>
      </c>
      <c r="F158" s="140">
        <f t="shared" si="140"/>
        <v>1.5083101449682749E-3</v>
      </c>
      <c r="G158" s="140">
        <f t="shared" si="140"/>
        <v>1.6845015249448403E-3</v>
      </c>
      <c r="H158" s="140">
        <f t="shared" si="140"/>
        <v>1.5124397439220613E-3</v>
      </c>
      <c r="I158" s="140">
        <f t="shared" si="140"/>
        <v>1.4580923476807766E-3</v>
      </c>
      <c r="J158" s="140">
        <f t="shared" si="140"/>
        <v>1.5837929444225442E-3</v>
      </c>
      <c r="K158" s="140">
        <f t="shared" si="140"/>
        <v>1.6351895824051588E-3</v>
      </c>
      <c r="L158" s="140">
        <f t="shared" si="140"/>
        <v>1.3928779418423643E-3</v>
      </c>
      <c r="M158" s="140">
        <f t="shared" si="140"/>
        <v>1.3329489067158806E-3</v>
      </c>
      <c r="N158" s="140">
        <f t="shared" si="140"/>
        <v>1.2486478844159078E-3</v>
      </c>
      <c r="O158" s="140">
        <f t="shared" si="140"/>
        <v>1.1843711323063389E-3</v>
      </c>
      <c r="P158" s="140">
        <f t="shared" si="140"/>
        <v>1.2787420140736364E-3</v>
      </c>
      <c r="Q158" s="140">
        <f t="shared" si="140"/>
        <v>1.149224689125504E-3</v>
      </c>
      <c r="R158" s="140">
        <f t="shared" si="140"/>
        <v>1.1237323158381626E-3</v>
      </c>
      <c r="S158" s="140">
        <f t="shared" si="140"/>
        <v>1.0229177047851997E-3</v>
      </c>
      <c r="T158" s="140">
        <f t="shared" si="140"/>
        <v>9.4171076879297157E-4</v>
      </c>
      <c r="U158" s="140">
        <f t="shared" si="140"/>
        <v>9.9954663824883727E-4</v>
      </c>
      <c r="V158" s="140">
        <f t="shared" si="140"/>
        <v>1.3219929829440798E-3</v>
      </c>
      <c r="W158" s="140">
        <f t="shared" si="140"/>
        <v>1.2991546937873534E-3</v>
      </c>
      <c r="X158" s="140">
        <f t="shared" ref="X158:Y158" si="141">IF(X66=0,0,X66/X$64)</f>
        <v>1.017860687805888E-3</v>
      </c>
      <c r="Y158" s="140">
        <f t="shared" si="141"/>
        <v>1.0335390371327571E-3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35"/>
        <v>0.70795539656011097</v>
      </c>
      <c r="C159" s="140">
        <f t="shared" ref="C159:W159" si="142">IF(C67=0,0,C67/C$64)</f>
        <v>0.68510699697810773</v>
      </c>
      <c r="D159" s="140">
        <f t="shared" si="142"/>
        <v>0.67668763898260764</v>
      </c>
      <c r="E159" s="140">
        <f t="shared" si="142"/>
        <v>0.67951505345294072</v>
      </c>
      <c r="F159" s="140">
        <f t="shared" si="142"/>
        <v>0.69756809694009037</v>
      </c>
      <c r="G159" s="140">
        <f t="shared" si="142"/>
        <v>0.68673404339130995</v>
      </c>
      <c r="H159" s="140">
        <f t="shared" si="142"/>
        <v>0.70286614491925403</v>
      </c>
      <c r="I159" s="140">
        <f t="shared" si="142"/>
        <v>0.67084156512645865</v>
      </c>
      <c r="J159" s="140">
        <f t="shared" si="142"/>
        <v>0.67712066280448724</v>
      </c>
      <c r="K159" s="140">
        <f t="shared" si="142"/>
        <v>0.75041328754155034</v>
      </c>
      <c r="L159" s="140">
        <f t="shared" si="142"/>
        <v>0.70670648271726821</v>
      </c>
      <c r="M159" s="140">
        <f t="shared" si="142"/>
        <v>0.71425068729761831</v>
      </c>
      <c r="N159" s="140">
        <f t="shared" si="142"/>
        <v>0.73875879067902916</v>
      </c>
      <c r="O159" s="140">
        <f t="shared" si="142"/>
        <v>0.7288481978703677</v>
      </c>
      <c r="P159" s="140">
        <f t="shared" si="142"/>
        <v>0.71529057715416755</v>
      </c>
      <c r="Q159" s="140">
        <f t="shared" si="142"/>
        <v>0.70008383320127576</v>
      </c>
      <c r="R159" s="140">
        <f t="shared" si="142"/>
        <v>0.70336191671756509</v>
      </c>
      <c r="S159" s="140">
        <f t="shared" si="142"/>
        <v>0.66833961585785551</v>
      </c>
      <c r="T159" s="140">
        <f t="shared" si="142"/>
        <v>0.6506737051641136</v>
      </c>
      <c r="U159" s="140">
        <f t="shared" si="142"/>
        <v>0.64519655868358083</v>
      </c>
      <c r="V159" s="140">
        <f t="shared" si="142"/>
        <v>0.7760260123146574</v>
      </c>
      <c r="W159" s="140">
        <f t="shared" si="142"/>
        <v>0.77267565962130058</v>
      </c>
      <c r="X159" s="140">
        <f t="shared" ref="X159:Y159" si="143">IF(X67=0,0,X67/X$64)</f>
        <v>0.64411220524052981</v>
      </c>
      <c r="Y159" s="140">
        <f t="shared" si="143"/>
        <v>0.61124059671733333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35"/>
        <v>4.9156365608354138E-2</v>
      </c>
      <c r="C160" s="140">
        <f t="shared" ref="C160:W160" si="144">IF(C68=0,0,C68/C$64)</f>
        <v>4.5043956743917313E-2</v>
      </c>
      <c r="D160" s="140">
        <f t="shared" si="144"/>
        <v>4.436265176537927E-2</v>
      </c>
      <c r="E160" s="140">
        <f t="shared" si="144"/>
        <v>4.6296585755974611E-2</v>
      </c>
      <c r="F160" s="140">
        <f t="shared" si="144"/>
        <v>4.698680221540056E-2</v>
      </c>
      <c r="G160" s="140">
        <f t="shared" si="144"/>
        <v>4.4596064039215046E-2</v>
      </c>
      <c r="H160" s="140">
        <f t="shared" si="144"/>
        <v>4.3596262092961628E-2</v>
      </c>
      <c r="I160" s="140">
        <f t="shared" si="144"/>
        <v>4.4142291338758577E-2</v>
      </c>
      <c r="J160" s="140">
        <f t="shared" si="144"/>
        <v>4.8137607799473431E-2</v>
      </c>
      <c r="K160" s="140">
        <f t="shared" si="144"/>
        <v>5.350780123735055E-2</v>
      </c>
      <c r="L160" s="140">
        <f t="shared" si="144"/>
        <v>5.1248301651130306E-2</v>
      </c>
      <c r="M160" s="140">
        <f t="shared" si="144"/>
        <v>5.2186074758340445E-2</v>
      </c>
      <c r="N160" s="140">
        <f t="shared" si="144"/>
        <v>5.429082634079832E-2</v>
      </c>
      <c r="O160" s="140">
        <f t="shared" si="144"/>
        <v>5.2191762937541887E-2</v>
      </c>
      <c r="P160" s="140">
        <f t="shared" si="144"/>
        <v>4.9814736017440492E-2</v>
      </c>
      <c r="Q160" s="140">
        <f t="shared" si="144"/>
        <v>4.8946139212732963E-2</v>
      </c>
      <c r="R160" s="140">
        <f t="shared" si="144"/>
        <v>4.9676583059716319E-2</v>
      </c>
      <c r="S160" s="140">
        <f t="shared" si="144"/>
        <v>5.2271267809932513E-2</v>
      </c>
      <c r="T160" s="140">
        <f t="shared" si="144"/>
        <v>5.4736394273593662E-2</v>
      </c>
      <c r="U160" s="140">
        <f t="shared" si="144"/>
        <v>5.4935839520348202E-2</v>
      </c>
      <c r="V160" s="140">
        <f t="shared" si="144"/>
        <v>6.6630740503649491E-2</v>
      </c>
      <c r="W160" s="140">
        <f t="shared" si="144"/>
        <v>6.2888889427778219E-2</v>
      </c>
      <c r="X160" s="140">
        <f t="shared" ref="X160:Y160" si="145">IF(X68=0,0,X68/X$64)</f>
        <v>6.0225620120813159E-2</v>
      </c>
      <c r="Y160" s="140">
        <f t="shared" si="145"/>
        <v>6.9651280278807112E-2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35"/>
        <v>1.3076960318041531E-2</v>
      </c>
      <c r="C161" s="124">
        <f t="shared" ref="C161:W161" si="146">IF(C69=0,0,C69/C$64)</f>
        <v>1.3302032337241814E-2</v>
      </c>
      <c r="D161" s="124">
        <f t="shared" si="146"/>
        <v>1.1438784728853606E-2</v>
      </c>
      <c r="E161" s="124">
        <f t="shared" si="146"/>
        <v>1.2961110336221294E-2</v>
      </c>
      <c r="F161" s="124">
        <f t="shared" si="146"/>
        <v>1.3654109974583785E-2</v>
      </c>
      <c r="G161" s="124">
        <f t="shared" si="146"/>
        <v>1.1416439907723357E-2</v>
      </c>
      <c r="H161" s="124">
        <f t="shared" si="146"/>
        <v>1.0786328567267163E-2</v>
      </c>
      <c r="I161" s="124">
        <f t="shared" si="146"/>
        <v>1.142404685740369E-2</v>
      </c>
      <c r="J161" s="124">
        <f t="shared" si="146"/>
        <v>1.2558246247801002E-2</v>
      </c>
      <c r="K161" s="124">
        <f t="shared" si="146"/>
        <v>1.2557242964906666E-2</v>
      </c>
      <c r="L161" s="124">
        <f t="shared" si="146"/>
        <v>1.2232585552500758E-2</v>
      </c>
      <c r="M161" s="124">
        <f t="shared" si="146"/>
        <v>1.2785774473586722E-2</v>
      </c>
      <c r="N161" s="124">
        <f t="shared" si="146"/>
        <v>1.3059511820741106E-2</v>
      </c>
      <c r="O161" s="124">
        <f t="shared" si="146"/>
        <v>1.2518230199882359E-2</v>
      </c>
      <c r="P161" s="124">
        <f t="shared" si="146"/>
        <v>1.0735889393278575E-2</v>
      </c>
      <c r="Q161" s="124">
        <f t="shared" si="146"/>
        <v>1.0430027238250004E-2</v>
      </c>
      <c r="R161" s="124">
        <f t="shared" si="146"/>
        <v>1.0124602625188814E-2</v>
      </c>
      <c r="S161" s="124">
        <f t="shared" si="146"/>
        <v>1.0162775086943453E-2</v>
      </c>
      <c r="T161" s="124">
        <f t="shared" si="146"/>
        <v>1.0050216716648522E-2</v>
      </c>
      <c r="U161" s="124">
        <f t="shared" si="146"/>
        <v>1.0595565688627916E-2</v>
      </c>
      <c r="V161" s="124">
        <f t="shared" si="146"/>
        <v>1.236136645988241E-2</v>
      </c>
      <c r="W161" s="124">
        <f t="shared" si="146"/>
        <v>1.2626123238857111E-2</v>
      </c>
      <c r="X161" s="124">
        <f t="shared" ref="X161:Y161" si="147">IF(X69=0,0,X69/X$64)</f>
        <v>1.0854594654191516E-2</v>
      </c>
      <c r="Y161" s="124">
        <f t="shared" si="147"/>
        <v>1.108674935981941E-2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35"/>
        <v>0</v>
      </c>
      <c r="C162" s="140">
        <f t="shared" ref="C162:W162" si="148">IF(C70=0,0,C70/C$64)</f>
        <v>0</v>
      </c>
      <c r="D162" s="140">
        <f t="shared" si="148"/>
        <v>0</v>
      </c>
      <c r="E162" s="140">
        <f t="shared" si="148"/>
        <v>0</v>
      </c>
      <c r="F162" s="140">
        <f t="shared" si="148"/>
        <v>0</v>
      </c>
      <c r="G162" s="140">
        <f t="shared" si="148"/>
        <v>0</v>
      </c>
      <c r="H162" s="140">
        <f t="shared" si="148"/>
        <v>0</v>
      </c>
      <c r="I162" s="140">
        <f t="shared" si="148"/>
        <v>0</v>
      </c>
      <c r="J162" s="140">
        <f t="shared" si="148"/>
        <v>0</v>
      </c>
      <c r="K162" s="140">
        <f t="shared" si="148"/>
        <v>0</v>
      </c>
      <c r="L162" s="140">
        <f t="shared" si="148"/>
        <v>0</v>
      </c>
      <c r="M162" s="140">
        <f t="shared" si="148"/>
        <v>0</v>
      </c>
      <c r="N162" s="140">
        <f t="shared" si="148"/>
        <v>0</v>
      </c>
      <c r="O162" s="140">
        <f t="shared" si="148"/>
        <v>0</v>
      </c>
      <c r="P162" s="140">
        <f t="shared" si="148"/>
        <v>0</v>
      </c>
      <c r="Q162" s="140">
        <f t="shared" si="148"/>
        <v>0</v>
      </c>
      <c r="R162" s="140">
        <f t="shared" si="148"/>
        <v>0</v>
      </c>
      <c r="S162" s="140">
        <f t="shared" si="148"/>
        <v>0</v>
      </c>
      <c r="T162" s="140">
        <f t="shared" si="148"/>
        <v>0</v>
      </c>
      <c r="U162" s="140">
        <f t="shared" si="148"/>
        <v>0</v>
      </c>
      <c r="V162" s="140">
        <f t="shared" si="148"/>
        <v>0</v>
      </c>
      <c r="W162" s="140">
        <f t="shared" si="148"/>
        <v>0</v>
      </c>
      <c r="X162" s="140">
        <f t="shared" ref="X162:Y162" si="149">IF(X70=0,0,X70/X$64)</f>
        <v>0</v>
      </c>
      <c r="Y162" s="140">
        <f t="shared" si="149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35"/>
        <v>1.3076960318041531E-2</v>
      </c>
      <c r="C163" s="140">
        <f t="shared" ref="C163:W163" si="150">IF(C71=0,0,C71/C$64)</f>
        <v>1.3302032337241814E-2</v>
      </c>
      <c r="D163" s="140">
        <f t="shared" si="150"/>
        <v>1.1438784728853606E-2</v>
      </c>
      <c r="E163" s="140">
        <f t="shared" si="150"/>
        <v>1.2961110336221294E-2</v>
      </c>
      <c r="F163" s="140">
        <f t="shared" si="150"/>
        <v>1.3654109974583785E-2</v>
      </c>
      <c r="G163" s="140">
        <f t="shared" si="150"/>
        <v>1.1416439907723357E-2</v>
      </c>
      <c r="H163" s="140">
        <f t="shared" si="150"/>
        <v>1.0786328567267163E-2</v>
      </c>
      <c r="I163" s="140">
        <f t="shared" si="150"/>
        <v>1.142404685740369E-2</v>
      </c>
      <c r="J163" s="140">
        <f t="shared" si="150"/>
        <v>1.2558246247801002E-2</v>
      </c>
      <c r="K163" s="140">
        <f t="shared" si="150"/>
        <v>1.2557242964906666E-2</v>
      </c>
      <c r="L163" s="140">
        <f t="shared" si="150"/>
        <v>1.2232585552500758E-2</v>
      </c>
      <c r="M163" s="140">
        <f t="shared" si="150"/>
        <v>1.2785774473586722E-2</v>
      </c>
      <c r="N163" s="140">
        <f t="shared" si="150"/>
        <v>1.3059511820741106E-2</v>
      </c>
      <c r="O163" s="140">
        <f t="shared" si="150"/>
        <v>1.2518230199882359E-2</v>
      </c>
      <c r="P163" s="140">
        <f t="shared" si="150"/>
        <v>1.0735889393278575E-2</v>
      </c>
      <c r="Q163" s="140">
        <f t="shared" si="150"/>
        <v>1.0430027238250004E-2</v>
      </c>
      <c r="R163" s="140">
        <f t="shared" si="150"/>
        <v>1.0124602625188814E-2</v>
      </c>
      <c r="S163" s="140">
        <f t="shared" si="150"/>
        <v>1.0162775086943453E-2</v>
      </c>
      <c r="T163" s="140">
        <f t="shared" si="150"/>
        <v>1.0050216716648522E-2</v>
      </c>
      <c r="U163" s="140">
        <f t="shared" si="150"/>
        <v>1.0595565688627916E-2</v>
      </c>
      <c r="V163" s="140">
        <f t="shared" si="150"/>
        <v>1.236136645988241E-2</v>
      </c>
      <c r="W163" s="140">
        <f t="shared" si="150"/>
        <v>1.2626123238857111E-2</v>
      </c>
      <c r="X163" s="140">
        <f t="shared" ref="X163:Y163" si="151">IF(X71=0,0,X71/X$64)</f>
        <v>1.0854594654191516E-2</v>
      </c>
      <c r="Y163" s="140">
        <f t="shared" si="151"/>
        <v>1.108674935981941E-2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35"/>
        <v>0</v>
      </c>
      <c r="C164" s="140">
        <f t="shared" ref="C164:W164" si="152">IF(C72=0,0,C72/C$64)</f>
        <v>0</v>
      </c>
      <c r="D164" s="140">
        <f t="shared" si="152"/>
        <v>0</v>
      </c>
      <c r="E164" s="140">
        <f t="shared" si="152"/>
        <v>0</v>
      </c>
      <c r="F164" s="140">
        <f t="shared" si="152"/>
        <v>0</v>
      </c>
      <c r="G164" s="140">
        <f t="shared" si="152"/>
        <v>0</v>
      </c>
      <c r="H164" s="140">
        <f t="shared" si="152"/>
        <v>0</v>
      </c>
      <c r="I164" s="140">
        <f t="shared" si="152"/>
        <v>0</v>
      </c>
      <c r="J164" s="140">
        <f t="shared" si="152"/>
        <v>0</v>
      </c>
      <c r="K164" s="140">
        <f t="shared" si="152"/>
        <v>0</v>
      </c>
      <c r="L164" s="140">
        <f t="shared" si="152"/>
        <v>0</v>
      </c>
      <c r="M164" s="140">
        <f t="shared" si="152"/>
        <v>0</v>
      </c>
      <c r="N164" s="140">
        <f t="shared" si="152"/>
        <v>0</v>
      </c>
      <c r="O164" s="140">
        <f t="shared" si="152"/>
        <v>0</v>
      </c>
      <c r="P164" s="140">
        <f t="shared" si="152"/>
        <v>0</v>
      </c>
      <c r="Q164" s="140">
        <f t="shared" si="152"/>
        <v>0</v>
      </c>
      <c r="R164" s="140">
        <f t="shared" si="152"/>
        <v>0</v>
      </c>
      <c r="S164" s="140">
        <f t="shared" si="152"/>
        <v>0</v>
      </c>
      <c r="T164" s="140">
        <f t="shared" si="152"/>
        <v>0</v>
      </c>
      <c r="U164" s="140">
        <f t="shared" si="152"/>
        <v>0</v>
      </c>
      <c r="V164" s="140">
        <f t="shared" si="152"/>
        <v>0</v>
      </c>
      <c r="W164" s="140">
        <f t="shared" si="152"/>
        <v>0</v>
      </c>
      <c r="X164" s="140">
        <f t="shared" ref="X164:Y164" si="153">IF(X72=0,0,X72/X$64)</f>
        <v>0</v>
      </c>
      <c r="Y164" s="140">
        <f t="shared" si="153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35"/>
        <v>0.2282485790896305</v>
      </c>
      <c r="C165" s="124">
        <f t="shared" ref="C165:W165" si="154">IF(C73=0,0,C73/C$64)</f>
        <v>0.25499724300565541</v>
      </c>
      <c r="D165" s="124">
        <f t="shared" si="154"/>
        <v>0.26601750288348402</v>
      </c>
      <c r="E165" s="124">
        <f t="shared" si="154"/>
        <v>0.25963212217984788</v>
      </c>
      <c r="F165" s="124">
        <f t="shared" si="154"/>
        <v>0.24028268072495687</v>
      </c>
      <c r="G165" s="124">
        <f t="shared" si="154"/>
        <v>0.25556895113680683</v>
      </c>
      <c r="H165" s="124">
        <f t="shared" si="154"/>
        <v>0.24123882467659508</v>
      </c>
      <c r="I165" s="124">
        <f t="shared" si="154"/>
        <v>0.27213400432969831</v>
      </c>
      <c r="J165" s="124">
        <f t="shared" si="154"/>
        <v>0.26059969020381568</v>
      </c>
      <c r="K165" s="124">
        <f t="shared" si="154"/>
        <v>0.18188647867378741</v>
      </c>
      <c r="L165" s="124">
        <f t="shared" si="154"/>
        <v>0.2284197521372584</v>
      </c>
      <c r="M165" s="124">
        <f t="shared" si="154"/>
        <v>0.21944451456373854</v>
      </c>
      <c r="N165" s="124">
        <f t="shared" si="154"/>
        <v>0.19264222327501543</v>
      </c>
      <c r="O165" s="124">
        <f t="shared" si="154"/>
        <v>0.20525743785990161</v>
      </c>
      <c r="P165" s="124">
        <f t="shared" si="154"/>
        <v>0.22288005542103972</v>
      </c>
      <c r="Q165" s="124">
        <f t="shared" si="154"/>
        <v>0.23939077565861583</v>
      </c>
      <c r="R165" s="124">
        <f t="shared" si="154"/>
        <v>0.23571316528169153</v>
      </c>
      <c r="S165" s="124">
        <f t="shared" si="154"/>
        <v>0.26820342354048343</v>
      </c>
      <c r="T165" s="124">
        <f t="shared" si="154"/>
        <v>0.2835979730768512</v>
      </c>
      <c r="U165" s="124">
        <f t="shared" si="154"/>
        <v>0.28827248946919415</v>
      </c>
      <c r="V165" s="124">
        <f t="shared" si="154"/>
        <v>0.14365988773886673</v>
      </c>
      <c r="W165" s="124">
        <f t="shared" si="154"/>
        <v>0.15051017301827685</v>
      </c>
      <c r="X165" s="124">
        <f t="shared" ref="X165:Y165" si="155">IF(X73=0,0,X73/X$64)</f>
        <v>0.28378971929665958</v>
      </c>
      <c r="Y165" s="124">
        <f t="shared" si="155"/>
        <v>0.30698783460690732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35"/>
        <v>1.1554503679370618E-2</v>
      </c>
      <c r="C166" s="140">
        <f t="shared" ref="C166:W166" si="156">IF(C74=0,0,C74/C$64)</f>
        <v>1.2836126703875683E-2</v>
      </c>
      <c r="D166" s="140">
        <f t="shared" si="156"/>
        <v>1.3398131743098611E-2</v>
      </c>
      <c r="E166" s="140">
        <f t="shared" si="156"/>
        <v>1.2753797126566734E-2</v>
      </c>
      <c r="F166" s="140">
        <f t="shared" si="156"/>
        <v>1.1863862835291764E-2</v>
      </c>
      <c r="G166" s="140">
        <f t="shared" si="156"/>
        <v>1.3509508042052828E-2</v>
      </c>
      <c r="H166" s="140">
        <f t="shared" si="156"/>
        <v>1.5821171043826701E-2</v>
      </c>
      <c r="I166" s="140">
        <f t="shared" si="156"/>
        <v>1.3571303289561652E-2</v>
      </c>
      <c r="J166" s="140">
        <f t="shared" si="156"/>
        <v>1.1104541075167571E-2</v>
      </c>
      <c r="K166" s="140">
        <f t="shared" si="156"/>
        <v>9.4085623791800403E-3</v>
      </c>
      <c r="L166" s="140">
        <f t="shared" si="156"/>
        <v>7.9604432110162125E-3</v>
      </c>
      <c r="M166" s="140">
        <f t="shared" si="156"/>
        <v>2.3273059562478539E-3</v>
      </c>
      <c r="N166" s="140">
        <f t="shared" si="156"/>
        <v>2.2445435477818961E-3</v>
      </c>
      <c r="O166" s="140">
        <f t="shared" si="156"/>
        <v>2.2111593731961358E-3</v>
      </c>
      <c r="P166" s="140">
        <f t="shared" si="156"/>
        <v>2.1788964944730953E-3</v>
      </c>
      <c r="Q166" s="140">
        <f t="shared" si="156"/>
        <v>2.0852296122728245E-3</v>
      </c>
      <c r="R166" s="140">
        <f t="shared" si="156"/>
        <v>1.0305308732136706E-3</v>
      </c>
      <c r="S166" s="140">
        <f t="shared" si="156"/>
        <v>1.3413384714581658E-3</v>
      </c>
      <c r="T166" s="140">
        <f t="shared" si="156"/>
        <v>1.2562748676957713E-3</v>
      </c>
      <c r="U166" s="140">
        <f t="shared" si="156"/>
        <v>1.4334616731898405E-3</v>
      </c>
      <c r="V166" s="140">
        <f t="shared" si="156"/>
        <v>1.5971309061573536E-3</v>
      </c>
      <c r="W166" s="140">
        <f t="shared" si="156"/>
        <v>1.9646344562996351E-3</v>
      </c>
      <c r="X166" s="140">
        <f t="shared" ref="X166:Y166" si="157">IF(X74=0,0,X74/X$64)</f>
        <v>3.5739124655423311E-3</v>
      </c>
      <c r="Y166" s="140">
        <f t="shared" si="157"/>
        <v>1.8785062687991319E-3</v>
      </c>
      <c r="DA166" s="175"/>
    </row>
    <row r="167" spans="1:105" ht="11.45" customHeight="1" x14ac:dyDescent="0.25">
      <c r="A167" s="128" t="str">
        <f>$A$15</f>
        <v>International - Intra-EEAwCHUK</v>
      </c>
      <c r="B167" s="140">
        <f t="shared" si="135"/>
        <v>0.13525538646320306</v>
      </c>
      <c r="C167" s="140">
        <f t="shared" ref="C167:W167" si="158">IF(C75=0,0,C75/C$64)</f>
        <v>0.15178990439919818</v>
      </c>
      <c r="D167" s="140">
        <f t="shared" si="158"/>
        <v>0.16165616121499077</v>
      </c>
      <c r="E167" s="140">
        <f t="shared" si="158"/>
        <v>0.16976904666001569</v>
      </c>
      <c r="F167" s="140">
        <f t="shared" si="158"/>
        <v>0.15838365414116407</v>
      </c>
      <c r="G167" s="140">
        <f t="shared" si="158"/>
        <v>0.16880228200242589</v>
      </c>
      <c r="H167" s="140">
        <f t="shared" si="158"/>
        <v>0.15704701932818746</v>
      </c>
      <c r="I167" s="140">
        <f t="shared" si="158"/>
        <v>0.181417038351216</v>
      </c>
      <c r="J167" s="140">
        <f t="shared" si="158"/>
        <v>0.17526137228578725</v>
      </c>
      <c r="K167" s="140">
        <f t="shared" si="158"/>
        <v>0.11804515918076816</v>
      </c>
      <c r="L167" s="140">
        <f t="shared" si="158"/>
        <v>0.14828706653152374</v>
      </c>
      <c r="M167" s="140">
        <f t="shared" si="158"/>
        <v>0.14599502251312949</v>
      </c>
      <c r="N167" s="140">
        <f t="shared" si="158"/>
        <v>0.12705460796461662</v>
      </c>
      <c r="O167" s="140">
        <f t="shared" si="158"/>
        <v>0.13529277785173044</v>
      </c>
      <c r="P167" s="140">
        <f t="shared" si="158"/>
        <v>0.14810434724900784</v>
      </c>
      <c r="Q167" s="140">
        <f t="shared" si="158"/>
        <v>0.16042215686424424</v>
      </c>
      <c r="R167" s="140">
        <f t="shared" si="158"/>
        <v>0.1623799515046358</v>
      </c>
      <c r="S167" s="140">
        <f t="shared" si="158"/>
        <v>0.18633581231836269</v>
      </c>
      <c r="T167" s="140">
        <f t="shared" si="158"/>
        <v>0.19726297116499517</v>
      </c>
      <c r="U167" s="140">
        <f t="shared" si="158"/>
        <v>0.1985285989343053</v>
      </c>
      <c r="V167" s="140">
        <f t="shared" si="158"/>
        <v>8.4833115552433822E-2</v>
      </c>
      <c r="W167" s="140">
        <f t="shared" si="158"/>
        <v>9.2705465115112004E-2</v>
      </c>
      <c r="X167" s="140">
        <f t="shared" ref="X167:Y167" si="159">IF(X75=0,0,X75/X$64)</f>
        <v>0.19611284348815083</v>
      </c>
      <c r="Y167" s="140">
        <f t="shared" si="159"/>
        <v>0.2131273364296436</v>
      </c>
      <c r="DA167" s="175"/>
    </row>
    <row r="168" spans="1:105" ht="11.45" customHeight="1" x14ac:dyDescent="0.25">
      <c r="A168" s="128" t="str">
        <f>$A$16</f>
        <v>International - Extra-EEAwCHUK</v>
      </c>
      <c r="B168" s="140">
        <f t="shared" si="135"/>
        <v>8.1438688947056803E-2</v>
      </c>
      <c r="C168" s="140">
        <f t="shared" ref="C168:W168" si="160">IF(C76=0,0,C76/C$64)</f>
        <v>9.0371211902581544E-2</v>
      </c>
      <c r="D168" s="140">
        <f t="shared" si="160"/>
        <v>9.0963209925394667E-2</v>
      </c>
      <c r="E168" s="140">
        <f t="shared" si="160"/>
        <v>7.7109278393265493E-2</v>
      </c>
      <c r="F168" s="140">
        <f t="shared" si="160"/>
        <v>7.003516374850105E-2</v>
      </c>
      <c r="G168" s="140">
        <f t="shared" si="160"/>
        <v>7.3257161092328091E-2</v>
      </c>
      <c r="H168" s="140">
        <f t="shared" si="160"/>
        <v>6.8370634304580874E-2</v>
      </c>
      <c r="I168" s="140">
        <f t="shared" si="160"/>
        <v>7.7145662688920646E-2</v>
      </c>
      <c r="J168" s="140">
        <f t="shared" si="160"/>
        <v>7.4233776842860894E-2</v>
      </c>
      <c r="K168" s="140">
        <f t="shared" si="160"/>
        <v>5.44327571138392E-2</v>
      </c>
      <c r="L168" s="140">
        <f t="shared" si="160"/>
        <v>7.2172242394718408E-2</v>
      </c>
      <c r="M168" s="140">
        <f t="shared" si="160"/>
        <v>7.1122186094361203E-2</v>
      </c>
      <c r="N168" s="140">
        <f t="shared" si="160"/>
        <v>6.3343071762616901E-2</v>
      </c>
      <c r="O168" s="140">
        <f t="shared" si="160"/>
        <v>6.7753500634975025E-2</v>
      </c>
      <c r="P168" s="140">
        <f t="shared" si="160"/>
        <v>7.259681167755877E-2</v>
      </c>
      <c r="Q168" s="140">
        <f t="shared" si="160"/>
        <v>7.6883389182098763E-2</v>
      </c>
      <c r="R168" s="140">
        <f t="shared" si="160"/>
        <v>7.2302682903842064E-2</v>
      </c>
      <c r="S168" s="140">
        <f t="shared" si="160"/>
        <v>8.0526272750662584E-2</v>
      </c>
      <c r="T168" s="140">
        <f t="shared" si="160"/>
        <v>8.5078727044160252E-2</v>
      </c>
      <c r="U168" s="140">
        <f t="shared" si="160"/>
        <v>8.8310428861698972E-2</v>
      </c>
      <c r="V168" s="140">
        <f t="shared" si="160"/>
        <v>5.7229641280275564E-2</v>
      </c>
      <c r="W168" s="140">
        <f t="shared" si="160"/>
        <v>5.5840073446865195E-2</v>
      </c>
      <c r="X168" s="140">
        <f t="shared" ref="X168:Y168" si="161">IF(X76=0,0,X76/X$64)</f>
        <v>8.4102963342966394E-2</v>
      </c>
      <c r="Y168" s="140">
        <f t="shared" si="161"/>
        <v>9.198199190846458E-2</v>
      </c>
      <c r="DA168" s="175"/>
    </row>
    <row r="169" spans="1:105" ht="11.45" customHeight="1" x14ac:dyDescent="0.25">
      <c r="A169" s="27" t="s">
        <v>34</v>
      </c>
      <c r="B169" s="31">
        <f t="shared" ref="B169:B180" si="162">IF(B77=0,0,B77/B$77)</f>
        <v>1</v>
      </c>
      <c r="C169" s="31">
        <f t="shared" ref="C169:W169" si="163">IF(C77=0,0,C77/C$77)</f>
        <v>1</v>
      </c>
      <c r="D169" s="31">
        <f t="shared" si="163"/>
        <v>1</v>
      </c>
      <c r="E169" s="31">
        <f t="shared" si="163"/>
        <v>1</v>
      </c>
      <c r="F169" s="31">
        <f t="shared" si="163"/>
        <v>1</v>
      </c>
      <c r="G169" s="31">
        <f t="shared" si="163"/>
        <v>1</v>
      </c>
      <c r="H169" s="31">
        <f t="shared" si="163"/>
        <v>1</v>
      </c>
      <c r="I169" s="31">
        <f t="shared" si="163"/>
        <v>1</v>
      </c>
      <c r="J169" s="31">
        <f t="shared" si="163"/>
        <v>1</v>
      </c>
      <c r="K169" s="31">
        <f t="shared" si="163"/>
        <v>1</v>
      </c>
      <c r="L169" s="31">
        <f t="shared" si="163"/>
        <v>1</v>
      </c>
      <c r="M169" s="31">
        <f t="shared" si="163"/>
        <v>1</v>
      </c>
      <c r="N169" s="31">
        <f t="shared" si="163"/>
        <v>1</v>
      </c>
      <c r="O169" s="31">
        <f t="shared" si="163"/>
        <v>1</v>
      </c>
      <c r="P169" s="31">
        <f t="shared" si="163"/>
        <v>1</v>
      </c>
      <c r="Q169" s="31">
        <f t="shared" si="163"/>
        <v>1</v>
      </c>
      <c r="R169" s="31">
        <f t="shared" si="163"/>
        <v>1</v>
      </c>
      <c r="S169" s="31">
        <f t="shared" si="163"/>
        <v>1</v>
      </c>
      <c r="T169" s="31">
        <f t="shared" si="163"/>
        <v>1</v>
      </c>
      <c r="U169" s="31">
        <f t="shared" si="163"/>
        <v>1</v>
      </c>
      <c r="V169" s="31">
        <f t="shared" si="163"/>
        <v>1</v>
      </c>
      <c r="W169" s="31">
        <f t="shared" si="163"/>
        <v>1</v>
      </c>
      <c r="X169" s="31">
        <f t="shared" ref="X169:Y169" si="164">IF(X77=0,0,X77/X$77)</f>
        <v>1</v>
      </c>
      <c r="Y169" s="31">
        <f t="shared" si="164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62"/>
        <v>0.95086264735193771</v>
      </c>
      <c r="C170" s="139">
        <f t="shared" ref="C170:W170" si="165">IF(C78=0,0,C78/C$77)</f>
        <v>0.9524720722668476</v>
      </c>
      <c r="D170" s="139">
        <f t="shared" si="165"/>
        <v>0.95320726256126753</v>
      </c>
      <c r="E170" s="139">
        <f t="shared" si="165"/>
        <v>0.95168870813159012</v>
      </c>
      <c r="F170" s="139">
        <f t="shared" si="165"/>
        <v>0.9427381398621163</v>
      </c>
      <c r="G170" s="139">
        <f t="shared" si="165"/>
        <v>0.94710357195645867</v>
      </c>
      <c r="H170" s="139">
        <f t="shared" si="165"/>
        <v>0.92676500650794125</v>
      </c>
      <c r="I170" s="139">
        <f t="shared" si="165"/>
        <v>0.94033162591146024</v>
      </c>
      <c r="J170" s="139">
        <f t="shared" si="165"/>
        <v>0.93291245325740313</v>
      </c>
      <c r="K170" s="139">
        <f t="shared" si="165"/>
        <v>0.92672069502453458</v>
      </c>
      <c r="L170" s="139">
        <f t="shared" si="165"/>
        <v>0.9142565050241046</v>
      </c>
      <c r="M170" s="139">
        <f t="shared" si="165"/>
        <v>0.91889767330534411</v>
      </c>
      <c r="N170" s="139">
        <f t="shared" si="165"/>
        <v>0.91391226427781846</v>
      </c>
      <c r="O170" s="139">
        <f t="shared" si="165"/>
        <v>0.91424760958855988</v>
      </c>
      <c r="P170" s="139">
        <f t="shared" si="165"/>
        <v>0.90835126098730201</v>
      </c>
      <c r="Q170" s="139">
        <f t="shared" si="165"/>
        <v>0.91867637794370249</v>
      </c>
      <c r="R170" s="139">
        <f t="shared" si="165"/>
        <v>0.91433894157493834</v>
      </c>
      <c r="S170" s="139">
        <f t="shared" si="165"/>
        <v>0.91503330480033129</v>
      </c>
      <c r="T170" s="139">
        <f t="shared" si="165"/>
        <v>0.91332658539263467</v>
      </c>
      <c r="U170" s="139">
        <f t="shared" si="165"/>
        <v>0.9121904900170823</v>
      </c>
      <c r="V170" s="139">
        <f t="shared" si="165"/>
        <v>0.87883515508077592</v>
      </c>
      <c r="W170" s="139">
        <f t="shared" si="165"/>
        <v>0.87798248309984783</v>
      </c>
      <c r="X170" s="139">
        <f t="shared" ref="X170:Y170" si="166">IF(X78=0,0,X78/X$77)</f>
        <v>0.90004546334515034</v>
      </c>
      <c r="Y170" s="139">
        <f t="shared" si="166"/>
        <v>0.90732561532199452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62"/>
        <v>0.30720438003835082</v>
      </c>
      <c r="C171" s="140">
        <f t="shared" ref="C171:W171" si="167">IF(C79=0,0,C79/C$77)</f>
        <v>0.30028648215487413</v>
      </c>
      <c r="D171" s="140">
        <f t="shared" si="167"/>
        <v>0.30416136877464078</v>
      </c>
      <c r="E171" s="140">
        <f t="shared" si="167"/>
        <v>0.31105941742063109</v>
      </c>
      <c r="F171" s="140">
        <f t="shared" si="167"/>
        <v>0.30254919611056252</v>
      </c>
      <c r="G171" s="140">
        <f t="shared" si="167"/>
        <v>0.30851883629933124</v>
      </c>
      <c r="H171" s="140">
        <f t="shared" si="167"/>
        <v>0.30992367050835462</v>
      </c>
      <c r="I171" s="140">
        <f t="shared" si="167"/>
        <v>0.30971508129480801</v>
      </c>
      <c r="J171" s="140">
        <f t="shared" si="167"/>
        <v>0.33949569715310907</v>
      </c>
      <c r="K171" s="140">
        <f t="shared" si="167"/>
        <v>0.39953368198169553</v>
      </c>
      <c r="L171" s="140">
        <f t="shared" si="167"/>
        <v>0.41085580100005559</v>
      </c>
      <c r="M171" s="140">
        <f t="shared" si="167"/>
        <v>0.42690381446847381</v>
      </c>
      <c r="N171" s="140">
        <f t="shared" si="167"/>
        <v>0.41451149398213344</v>
      </c>
      <c r="O171" s="140">
        <f t="shared" si="167"/>
        <v>0.41898878882240859</v>
      </c>
      <c r="P171" s="140">
        <f t="shared" si="167"/>
        <v>0.39420677058134873</v>
      </c>
      <c r="Q171" s="140">
        <f t="shared" si="167"/>
        <v>0.38803330768739952</v>
      </c>
      <c r="R171" s="140">
        <f t="shared" si="167"/>
        <v>0.35612635745781446</v>
      </c>
      <c r="S171" s="140">
        <f t="shared" si="167"/>
        <v>0.35562811125916605</v>
      </c>
      <c r="T171" s="140">
        <f t="shared" si="167"/>
        <v>0.3453474288112191</v>
      </c>
      <c r="U171" s="140">
        <f t="shared" si="167"/>
        <v>0.32486243577383545</v>
      </c>
      <c r="V171" s="140">
        <f t="shared" si="167"/>
        <v>0.34894549544864945</v>
      </c>
      <c r="W171" s="140">
        <f t="shared" si="167"/>
        <v>0.33004639314178508</v>
      </c>
      <c r="X171" s="140">
        <f t="shared" ref="X171:Y171" si="168">IF(X79=0,0,X79/X$77)</f>
        <v>0.34485496392591697</v>
      </c>
      <c r="Y171" s="140">
        <f t="shared" si="168"/>
        <v>0.35184771721344288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62"/>
        <v>0.64365826731358688</v>
      </c>
      <c r="C172" s="140">
        <f t="shared" ref="C172:W172" si="169">IF(C80=0,0,C80/C$77)</f>
        <v>0.65218559011197352</v>
      </c>
      <c r="D172" s="140">
        <f t="shared" si="169"/>
        <v>0.64904589378662669</v>
      </c>
      <c r="E172" s="140">
        <f t="shared" si="169"/>
        <v>0.64062929071095898</v>
      </c>
      <c r="F172" s="140">
        <f t="shared" si="169"/>
        <v>0.64018894375155377</v>
      </c>
      <c r="G172" s="140">
        <f t="shared" si="169"/>
        <v>0.63858473565712748</v>
      </c>
      <c r="H172" s="140">
        <f t="shared" si="169"/>
        <v>0.61684133599958668</v>
      </c>
      <c r="I172" s="140">
        <f t="shared" si="169"/>
        <v>0.63061654461665217</v>
      </c>
      <c r="J172" s="140">
        <f t="shared" si="169"/>
        <v>0.59341675610429412</v>
      </c>
      <c r="K172" s="140">
        <f t="shared" si="169"/>
        <v>0.52718701304283899</v>
      </c>
      <c r="L172" s="140">
        <f t="shared" si="169"/>
        <v>0.50340070402404891</v>
      </c>
      <c r="M172" s="140">
        <f t="shared" si="169"/>
        <v>0.4919938588368703</v>
      </c>
      <c r="N172" s="140">
        <f t="shared" si="169"/>
        <v>0.49940077029568497</v>
      </c>
      <c r="O172" s="140">
        <f t="shared" si="169"/>
        <v>0.49525882076615124</v>
      </c>
      <c r="P172" s="140">
        <f t="shared" si="169"/>
        <v>0.51414449040595334</v>
      </c>
      <c r="Q172" s="140">
        <f t="shared" si="169"/>
        <v>0.53064307025630308</v>
      </c>
      <c r="R172" s="140">
        <f t="shared" si="169"/>
        <v>0.55821258411712382</v>
      </c>
      <c r="S172" s="140">
        <f t="shared" si="169"/>
        <v>0.55940519354116536</v>
      </c>
      <c r="T172" s="140">
        <f t="shared" si="169"/>
        <v>0.56797915658141551</v>
      </c>
      <c r="U172" s="140">
        <f t="shared" si="169"/>
        <v>0.58732805424324674</v>
      </c>
      <c r="V172" s="140">
        <f t="shared" si="169"/>
        <v>0.52988965963212642</v>
      </c>
      <c r="W172" s="140">
        <f t="shared" si="169"/>
        <v>0.54793608995806276</v>
      </c>
      <c r="X172" s="140">
        <f t="shared" ref="X172:Y172" si="170">IF(X80=0,0,X80/X$77)</f>
        <v>0.55519049941923349</v>
      </c>
      <c r="Y172" s="140">
        <f t="shared" si="170"/>
        <v>0.55547789810855175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62"/>
        <v>4.2582679007826018E-3</v>
      </c>
      <c r="C173" s="124">
        <f t="shared" ref="C173:W173" si="171">IF(C81=0,0,C81/C$77)</f>
        <v>4.3173424787103891E-3</v>
      </c>
      <c r="D173" s="124">
        <f t="shared" si="171"/>
        <v>3.5844459900504968E-3</v>
      </c>
      <c r="E173" s="124">
        <f t="shared" si="171"/>
        <v>3.2122127331045414E-3</v>
      </c>
      <c r="F173" s="124">
        <f t="shared" si="171"/>
        <v>2.7575871542283473E-3</v>
      </c>
      <c r="G173" s="124">
        <f t="shared" si="171"/>
        <v>1.9481392501519278E-3</v>
      </c>
      <c r="H173" s="124">
        <f t="shared" si="171"/>
        <v>1.2241591844011248E-3</v>
      </c>
      <c r="I173" s="124">
        <f t="shared" si="171"/>
        <v>7.38979153959574E-4</v>
      </c>
      <c r="J173" s="124">
        <f t="shared" si="171"/>
        <v>6.5483682953705266E-4</v>
      </c>
      <c r="K173" s="124">
        <f t="shared" si="171"/>
        <v>5.497565687437371E-4</v>
      </c>
      <c r="L173" s="124">
        <f t="shared" si="171"/>
        <v>7.5929181757920523E-4</v>
      </c>
      <c r="M173" s="124">
        <f t="shared" si="171"/>
        <v>9.3686405201765432E-4</v>
      </c>
      <c r="N173" s="124">
        <f t="shared" si="171"/>
        <v>8.0081688737468283E-4</v>
      </c>
      <c r="O173" s="124">
        <f t="shared" si="171"/>
        <v>8.5731916462831559E-4</v>
      </c>
      <c r="P173" s="124">
        <f t="shared" si="171"/>
        <v>8.6807082954130335E-4</v>
      </c>
      <c r="Q173" s="124">
        <f t="shared" si="171"/>
        <v>8.3739532156752901E-4</v>
      </c>
      <c r="R173" s="124">
        <f t="shared" si="171"/>
        <v>8.2113515432739956E-4</v>
      </c>
      <c r="S173" s="124">
        <f t="shared" si="171"/>
        <v>8.2738401872313905E-4</v>
      </c>
      <c r="T173" s="124">
        <f t="shared" si="171"/>
        <v>7.0286557701400808E-4</v>
      </c>
      <c r="U173" s="124">
        <f t="shared" si="171"/>
        <v>5.7280070962734706E-4</v>
      </c>
      <c r="V173" s="124">
        <f t="shared" si="171"/>
        <v>6.257098064698306E-4</v>
      </c>
      <c r="W173" s="124">
        <f t="shared" si="171"/>
        <v>6.3101445116703846E-4</v>
      </c>
      <c r="X173" s="124">
        <f t="shared" ref="X173:Y173" si="172">IF(X81=0,0,X81/X$77)</f>
        <v>1.2428666052834755E-3</v>
      </c>
      <c r="Y173" s="124">
        <f t="shared" si="172"/>
        <v>6.6458164856636817E-4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62"/>
        <v>8.3531160325919698E-3</v>
      </c>
      <c r="C174" s="124">
        <f t="shared" ref="C174:W174" si="173">IF(C82=0,0,C82/C$77)</f>
        <v>8.625547538527829E-3</v>
      </c>
      <c r="D174" s="124">
        <f t="shared" si="173"/>
        <v>7.864999863765031E-3</v>
      </c>
      <c r="E174" s="124">
        <f t="shared" si="173"/>
        <v>8.244923714616284E-3</v>
      </c>
      <c r="F174" s="124">
        <f t="shared" si="173"/>
        <v>1.0899733332369672E-2</v>
      </c>
      <c r="G174" s="124">
        <f t="shared" si="173"/>
        <v>1.1889417923502418E-2</v>
      </c>
      <c r="H174" s="124">
        <f t="shared" si="173"/>
        <v>1.4519802425718898E-2</v>
      </c>
      <c r="I174" s="124">
        <f t="shared" si="173"/>
        <v>1.309387204606232E-2</v>
      </c>
      <c r="J174" s="124">
        <f t="shared" si="173"/>
        <v>1.3210178050816574E-2</v>
      </c>
      <c r="K174" s="124">
        <f t="shared" si="173"/>
        <v>1.0471590133751955E-2</v>
      </c>
      <c r="L174" s="124">
        <f t="shared" si="173"/>
        <v>1.735635186257228E-2</v>
      </c>
      <c r="M174" s="124">
        <f t="shared" si="173"/>
        <v>1.4583300986059936E-2</v>
      </c>
      <c r="N174" s="124">
        <f t="shared" si="173"/>
        <v>1.5248155010008551E-2</v>
      </c>
      <c r="O174" s="124">
        <f t="shared" si="173"/>
        <v>1.6238322929018518E-2</v>
      </c>
      <c r="P174" s="124">
        <f t="shared" si="173"/>
        <v>1.6463690005953192E-2</v>
      </c>
      <c r="Q174" s="124">
        <f t="shared" si="173"/>
        <v>1.9012937191978066E-2</v>
      </c>
      <c r="R174" s="124">
        <f t="shared" si="173"/>
        <v>1.5138145214424923E-2</v>
      </c>
      <c r="S174" s="124">
        <f t="shared" si="173"/>
        <v>2.0143097440140329E-2</v>
      </c>
      <c r="T174" s="124">
        <f t="shared" si="173"/>
        <v>1.756819570958635E-2</v>
      </c>
      <c r="U174" s="124">
        <f t="shared" si="173"/>
        <v>1.5686247107911611E-2</v>
      </c>
      <c r="V174" s="124">
        <f t="shared" si="173"/>
        <v>2.3427839088384313E-2</v>
      </c>
      <c r="W174" s="124">
        <f t="shared" si="173"/>
        <v>2.7170568835101029E-2</v>
      </c>
      <c r="X174" s="124">
        <f t="shared" ref="X174:Y174" si="174">IF(X82=0,0,X82/X$77)</f>
        <v>2.1045150425016011E-2</v>
      </c>
      <c r="Y174" s="124">
        <f t="shared" si="174"/>
        <v>1.9768430710826967E-2</v>
      </c>
      <c r="DA174" s="176"/>
    </row>
    <row r="175" spans="1:105" ht="11.45" customHeight="1" x14ac:dyDescent="0.25">
      <c r="A175" s="128" t="s">
        <v>27</v>
      </c>
      <c r="B175" s="140">
        <f t="shared" si="162"/>
        <v>9.6137560746094764E-4</v>
      </c>
      <c r="C175" s="140">
        <f t="shared" ref="C175:W175" si="175">IF(C83=0,0,C83/C$77)</f>
        <v>1.0373121737050804E-3</v>
      </c>
      <c r="D175" s="140">
        <f t="shared" si="175"/>
        <v>8.1435427568659485E-4</v>
      </c>
      <c r="E175" s="140">
        <f t="shared" si="175"/>
        <v>6.6447930608869274E-4</v>
      </c>
      <c r="F175" s="140">
        <f t="shared" si="175"/>
        <v>1.2224514384220106E-3</v>
      </c>
      <c r="G175" s="140">
        <f t="shared" si="175"/>
        <v>1.6125508832620403E-3</v>
      </c>
      <c r="H175" s="140">
        <f t="shared" si="175"/>
        <v>2.7183319625378446E-3</v>
      </c>
      <c r="I175" s="140">
        <f t="shared" si="175"/>
        <v>1.8527006595336112E-3</v>
      </c>
      <c r="J175" s="140">
        <f t="shared" si="175"/>
        <v>1.4383734450589152E-3</v>
      </c>
      <c r="K175" s="140">
        <f t="shared" si="175"/>
        <v>1.5770993239408425E-3</v>
      </c>
      <c r="L175" s="140">
        <f t="shared" si="175"/>
        <v>1.8314843203512698E-3</v>
      </c>
      <c r="M175" s="140">
        <f t="shared" si="175"/>
        <v>9.3033624301067954E-4</v>
      </c>
      <c r="N175" s="140">
        <f t="shared" si="175"/>
        <v>1.4666630986285329E-3</v>
      </c>
      <c r="O175" s="140">
        <f t="shared" si="175"/>
        <v>1.3398463004336816E-3</v>
      </c>
      <c r="P175" s="140">
        <f t="shared" si="175"/>
        <v>1.0153251260627705E-3</v>
      </c>
      <c r="Q175" s="140">
        <f t="shared" si="175"/>
        <v>9.9708185948034207E-4</v>
      </c>
      <c r="R175" s="140">
        <f t="shared" si="175"/>
        <v>3.6748487563292371E-4</v>
      </c>
      <c r="S175" s="140">
        <f t="shared" si="175"/>
        <v>6.3155004155049301E-4</v>
      </c>
      <c r="T175" s="140">
        <f t="shared" si="175"/>
        <v>5.8451672791007324E-4</v>
      </c>
      <c r="U175" s="140">
        <f t="shared" si="175"/>
        <v>3.8624345031861967E-4</v>
      </c>
      <c r="V175" s="140">
        <f t="shared" si="175"/>
        <v>3.4994371216587642E-4</v>
      </c>
      <c r="W175" s="140">
        <f t="shared" si="175"/>
        <v>8.2766432804540658E-4</v>
      </c>
      <c r="X175" s="140">
        <f t="shared" ref="X175:Y175" si="176">IF(X83=0,0,X83/X$77)</f>
        <v>8.5994004298238502E-4</v>
      </c>
      <c r="Y175" s="140">
        <f t="shared" si="176"/>
        <v>5.4939357171047477E-4</v>
      </c>
      <c r="DA175" s="175"/>
    </row>
    <row r="176" spans="1:105" ht="11.45" customHeight="1" x14ac:dyDescent="0.25">
      <c r="A176" s="128" t="str">
        <f>$A$24</f>
        <v>International - Intra-EEAwCHUK</v>
      </c>
      <c r="B176" s="140">
        <f t="shared" si="162"/>
        <v>3.1496171317751689E-3</v>
      </c>
      <c r="C176" s="140">
        <f t="shared" ref="C176:W176" si="177">IF(C84=0,0,C84/C$77)</f>
        <v>3.2255477174571489E-3</v>
      </c>
      <c r="D176" s="140">
        <f t="shared" si="177"/>
        <v>2.4656266142548274E-3</v>
      </c>
      <c r="E176" s="140">
        <f t="shared" si="177"/>
        <v>2.3771517958979817E-3</v>
      </c>
      <c r="F176" s="140">
        <f t="shared" si="177"/>
        <v>2.1374616897112532E-3</v>
      </c>
      <c r="G176" s="140">
        <f t="shared" si="177"/>
        <v>3.8904186961827578E-3</v>
      </c>
      <c r="H176" s="140">
        <f t="shared" si="177"/>
        <v>5.4700883545678591E-3</v>
      </c>
      <c r="I176" s="140">
        <f t="shared" si="177"/>
        <v>5.5011950747254233E-3</v>
      </c>
      <c r="J176" s="140">
        <f t="shared" si="177"/>
        <v>5.7257819988778625E-3</v>
      </c>
      <c r="K176" s="140">
        <f t="shared" si="177"/>
        <v>4.864063875072067E-3</v>
      </c>
      <c r="L176" s="140">
        <f t="shared" si="177"/>
        <v>7.6987728151213857E-3</v>
      </c>
      <c r="M176" s="140">
        <f t="shared" si="177"/>
        <v>7.2357537329598189E-3</v>
      </c>
      <c r="N176" s="140">
        <f t="shared" si="177"/>
        <v>5.7442948833007022E-3</v>
      </c>
      <c r="O176" s="140">
        <f t="shared" si="177"/>
        <v>5.7567059166585451E-3</v>
      </c>
      <c r="P176" s="140">
        <f t="shared" si="177"/>
        <v>6.7949206279131393E-3</v>
      </c>
      <c r="Q176" s="140">
        <f t="shared" si="177"/>
        <v>8.0175209473089936E-3</v>
      </c>
      <c r="R176" s="140">
        <f t="shared" si="177"/>
        <v>6.5131066236135777E-3</v>
      </c>
      <c r="S176" s="140">
        <f t="shared" si="177"/>
        <v>7.7489145461630679E-3</v>
      </c>
      <c r="T176" s="140">
        <f t="shared" si="177"/>
        <v>8.1195795658252808E-3</v>
      </c>
      <c r="U176" s="140">
        <f t="shared" si="177"/>
        <v>7.6486063903380887E-3</v>
      </c>
      <c r="V176" s="140">
        <f t="shared" si="177"/>
        <v>7.0590353916505305E-3</v>
      </c>
      <c r="W176" s="140">
        <f t="shared" si="177"/>
        <v>8.419393143069066E-3</v>
      </c>
      <c r="X176" s="140">
        <f t="shared" ref="X176:Y176" si="178">IF(X84=0,0,X84/X$77)</f>
        <v>7.5627469115275535E-3</v>
      </c>
      <c r="Y176" s="140">
        <f t="shared" si="178"/>
        <v>8.1856126868588858E-3</v>
      </c>
      <c r="DA176" s="175"/>
    </row>
    <row r="177" spans="1:105" ht="11.45" customHeight="1" x14ac:dyDescent="0.25">
      <c r="A177" s="128" t="str">
        <f>$A$25</f>
        <v>International - Extra-EEAwCHUK</v>
      </c>
      <c r="B177" s="140">
        <f t="shared" si="162"/>
        <v>4.2421232933558531E-3</v>
      </c>
      <c r="C177" s="140">
        <f t="shared" ref="C177:W177" si="179">IF(C85=0,0,C85/C$77)</f>
        <v>4.3626876473656E-3</v>
      </c>
      <c r="D177" s="140">
        <f t="shared" si="179"/>
        <v>4.5850189738236074E-3</v>
      </c>
      <c r="E177" s="140">
        <f t="shared" si="179"/>
        <v>5.2032926126296102E-3</v>
      </c>
      <c r="F177" s="140">
        <f t="shared" si="179"/>
        <v>7.5398202042364091E-3</v>
      </c>
      <c r="G177" s="140">
        <f t="shared" si="179"/>
        <v>6.3864483440576204E-3</v>
      </c>
      <c r="H177" s="140">
        <f t="shared" si="179"/>
        <v>6.3313821086131939E-3</v>
      </c>
      <c r="I177" s="140">
        <f t="shared" si="179"/>
        <v>5.7399763118032828E-3</v>
      </c>
      <c r="J177" s="140">
        <f t="shared" si="179"/>
        <v>6.0460226068797963E-3</v>
      </c>
      <c r="K177" s="140">
        <f t="shared" si="179"/>
        <v>4.0304269347390459E-3</v>
      </c>
      <c r="L177" s="140">
        <f t="shared" si="179"/>
        <v>7.8260947270996258E-3</v>
      </c>
      <c r="M177" s="140">
        <f t="shared" si="179"/>
        <v>6.4172110100894362E-3</v>
      </c>
      <c r="N177" s="140">
        <f t="shared" si="179"/>
        <v>8.0371970280793143E-3</v>
      </c>
      <c r="O177" s="140">
        <f t="shared" si="179"/>
        <v>9.1417707119262927E-3</v>
      </c>
      <c r="P177" s="140">
        <f t="shared" si="179"/>
        <v>8.6534442519772825E-3</v>
      </c>
      <c r="Q177" s="140">
        <f t="shared" si="179"/>
        <v>9.9983343851887292E-3</v>
      </c>
      <c r="R177" s="140">
        <f t="shared" si="179"/>
        <v>8.2575537151784208E-3</v>
      </c>
      <c r="S177" s="140">
        <f t="shared" si="179"/>
        <v>1.176263285242677E-2</v>
      </c>
      <c r="T177" s="140">
        <f t="shared" si="179"/>
        <v>8.864099415850998E-3</v>
      </c>
      <c r="U177" s="140">
        <f t="shared" si="179"/>
        <v>7.6513972672549013E-3</v>
      </c>
      <c r="V177" s="140">
        <f t="shared" si="179"/>
        <v>1.6018859984567906E-2</v>
      </c>
      <c r="W177" s="140">
        <f t="shared" si="179"/>
        <v>1.7923511363986556E-2</v>
      </c>
      <c r="X177" s="140">
        <f t="shared" ref="X177:Y177" si="180">IF(X85=0,0,X85/X$77)</f>
        <v>1.2622463470506072E-2</v>
      </c>
      <c r="Y177" s="140">
        <f t="shared" si="180"/>
        <v>1.1033424452257606E-2</v>
      </c>
      <c r="DA177" s="175"/>
    </row>
    <row r="178" spans="1:105" ht="11.45" customHeight="1" x14ac:dyDescent="0.25">
      <c r="A178" s="109" t="s">
        <v>141</v>
      </c>
      <c r="B178" s="124">
        <f t="shared" si="162"/>
        <v>3.6525968714687759E-2</v>
      </c>
      <c r="C178" s="124">
        <f t="shared" ref="C178:W178" si="181">IF(C86=0,0,C86/C$77)</f>
        <v>3.4585037715914188E-2</v>
      </c>
      <c r="D178" s="124">
        <f t="shared" si="181"/>
        <v>3.5343291584917017E-2</v>
      </c>
      <c r="E178" s="124">
        <f t="shared" si="181"/>
        <v>3.6854155420689032E-2</v>
      </c>
      <c r="F178" s="124">
        <f t="shared" si="181"/>
        <v>4.3604539651285606E-2</v>
      </c>
      <c r="G178" s="124">
        <f t="shared" si="181"/>
        <v>3.905887086988704E-2</v>
      </c>
      <c r="H178" s="124">
        <f t="shared" si="181"/>
        <v>5.7491031881938631E-2</v>
      </c>
      <c r="I178" s="124">
        <f t="shared" si="181"/>
        <v>4.5835522888517791E-2</v>
      </c>
      <c r="J178" s="124">
        <f t="shared" si="181"/>
        <v>5.3222531862243322E-2</v>
      </c>
      <c r="K178" s="124">
        <f t="shared" si="181"/>
        <v>6.225795827296976E-2</v>
      </c>
      <c r="L178" s="124">
        <f t="shared" si="181"/>
        <v>6.7627851295744001E-2</v>
      </c>
      <c r="M178" s="124">
        <f t="shared" si="181"/>
        <v>6.5582161656578236E-2</v>
      </c>
      <c r="N178" s="124">
        <f t="shared" si="181"/>
        <v>7.00387638247984E-2</v>
      </c>
      <c r="O178" s="124">
        <f t="shared" si="181"/>
        <v>6.8656748317793309E-2</v>
      </c>
      <c r="P178" s="124">
        <f t="shared" si="181"/>
        <v>7.4316978177203452E-2</v>
      </c>
      <c r="Q178" s="124">
        <f t="shared" si="181"/>
        <v>6.1473289542751941E-2</v>
      </c>
      <c r="R178" s="124">
        <f t="shared" si="181"/>
        <v>6.970177805630938E-2</v>
      </c>
      <c r="S178" s="124">
        <f t="shared" si="181"/>
        <v>6.3996213740805163E-2</v>
      </c>
      <c r="T178" s="124">
        <f t="shared" si="181"/>
        <v>6.8402353320764983E-2</v>
      </c>
      <c r="U178" s="124">
        <f t="shared" si="181"/>
        <v>7.155046216537872E-2</v>
      </c>
      <c r="V178" s="124">
        <f t="shared" si="181"/>
        <v>9.7111296024369922E-2</v>
      </c>
      <c r="W178" s="124">
        <f t="shared" si="181"/>
        <v>9.421593361388407E-2</v>
      </c>
      <c r="X178" s="124">
        <f t="shared" ref="X178:Y178" si="182">IF(X86=0,0,X86/X$77)</f>
        <v>7.7666519624550151E-2</v>
      </c>
      <c r="Y178" s="124">
        <f t="shared" si="182"/>
        <v>7.224137231861226E-2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62"/>
        <v>3.6525968714687759E-2</v>
      </c>
      <c r="C179" s="140">
        <f t="shared" ref="C179:W179" si="183">IF(C87=0,0,C87/C$77)</f>
        <v>3.4585037715914188E-2</v>
      </c>
      <c r="D179" s="140">
        <f t="shared" si="183"/>
        <v>3.5343291584917017E-2</v>
      </c>
      <c r="E179" s="140">
        <f t="shared" si="183"/>
        <v>3.6854155420689032E-2</v>
      </c>
      <c r="F179" s="140">
        <f t="shared" si="183"/>
        <v>4.3604539651285606E-2</v>
      </c>
      <c r="G179" s="140">
        <f t="shared" si="183"/>
        <v>3.905887086988704E-2</v>
      </c>
      <c r="H179" s="140">
        <f t="shared" si="183"/>
        <v>5.7491031881938631E-2</v>
      </c>
      <c r="I179" s="140">
        <f t="shared" si="183"/>
        <v>4.5835522888517791E-2</v>
      </c>
      <c r="J179" s="140">
        <f t="shared" si="183"/>
        <v>5.3222531862243322E-2</v>
      </c>
      <c r="K179" s="140">
        <f t="shared" si="183"/>
        <v>6.225795827296976E-2</v>
      </c>
      <c r="L179" s="140">
        <f t="shared" si="183"/>
        <v>6.7627851295744001E-2</v>
      </c>
      <c r="M179" s="140">
        <f t="shared" si="183"/>
        <v>6.5582161656578236E-2</v>
      </c>
      <c r="N179" s="140">
        <f t="shared" si="183"/>
        <v>7.00387638247984E-2</v>
      </c>
      <c r="O179" s="140">
        <f t="shared" si="183"/>
        <v>6.8656748317793309E-2</v>
      </c>
      <c r="P179" s="140">
        <f t="shared" si="183"/>
        <v>7.4316978177203452E-2</v>
      </c>
      <c r="Q179" s="140">
        <f t="shared" si="183"/>
        <v>6.1473289542751941E-2</v>
      </c>
      <c r="R179" s="140">
        <f t="shared" si="183"/>
        <v>6.970177805630938E-2</v>
      </c>
      <c r="S179" s="140">
        <f t="shared" si="183"/>
        <v>6.3996213740805163E-2</v>
      </c>
      <c r="T179" s="140">
        <f t="shared" si="183"/>
        <v>6.8402353320764983E-2</v>
      </c>
      <c r="U179" s="140">
        <f t="shared" si="183"/>
        <v>7.155046216537872E-2</v>
      </c>
      <c r="V179" s="140">
        <f t="shared" si="183"/>
        <v>9.7111296024369922E-2</v>
      </c>
      <c r="W179" s="140">
        <f t="shared" si="183"/>
        <v>9.421593361388407E-2</v>
      </c>
      <c r="X179" s="140">
        <f t="shared" ref="X179:Y179" si="184">IF(X87=0,0,X87/X$77)</f>
        <v>7.7666519624550151E-2</v>
      </c>
      <c r="Y179" s="140">
        <f t="shared" si="184"/>
        <v>7.224137231861226E-2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62"/>
        <v>0</v>
      </c>
      <c r="C180" s="127">
        <f t="shared" ref="C180:W180" si="185">IF(C88=0,0,C88/C$77)</f>
        <v>0</v>
      </c>
      <c r="D180" s="127">
        <f t="shared" si="185"/>
        <v>0</v>
      </c>
      <c r="E180" s="127">
        <f t="shared" si="185"/>
        <v>0</v>
      </c>
      <c r="F180" s="127">
        <f t="shared" si="185"/>
        <v>0</v>
      </c>
      <c r="G180" s="127">
        <f t="shared" si="185"/>
        <v>0</v>
      </c>
      <c r="H180" s="127">
        <f t="shared" si="185"/>
        <v>0</v>
      </c>
      <c r="I180" s="127">
        <f t="shared" si="185"/>
        <v>0</v>
      </c>
      <c r="J180" s="127">
        <f t="shared" si="185"/>
        <v>0</v>
      </c>
      <c r="K180" s="127">
        <f t="shared" si="185"/>
        <v>0</v>
      </c>
      <c r="L180" s="127">
        <f t="shared" si="185"/>
        <v>0</v>
      </c>
      <c r="M180" s="127">
        <f t="shared" si="185"/>
        <v>0</v>
      </c>
      <c r="N180" s="127">
        <f t="shared" si="185"/>
        <v>0</v>
      </c>
      <c r="O180" s="127">
        <f t="shared" si="185"/>
        <v>0</v>
      </c>
      <c r="P180" s="127">
        <f t="shared" si="185"/>
        <v>0</v>
      </c>
      <c r="Q180" s="127">
        <f t="shared" si="185"/>
        <v>0</v>
      </c>
      <c r="R180" s="127">
        <f t="shared" si="185"/>
        <v>0</v>
      </c>
      <c r="S180" s="127">
        <f t="shared" si="185"/>
        <v>0</v>
      </c>
      <c r="T180" s="127">
        <f t="shared" si="185"/>
        <v>0</v>
      </c>
      <c r="U180" s="127">
        <f t="shared" si="185"/>
        <v>0</v>
      </c>
      <c r="V180" s="127">
        <f t="shared" si="185"/>
        <v>0</v>
      </c>
      <c r="W180" s="127">
        <f t="shared" si="185"/>
        <v>0</v>
      </c>
      <c r="X180" s="127">
        <f t="shared" ref="X180:Y180" si="186">IF(X88=0,0,X88/X$77)</f>
        <v>0</v>
      </c>
      <c r="Y180" s="127">
        <f t="shared" si="186"/>
        <v>0</v>
      </c>
      <c r="DA180" s="178"/>
    </row>
    <row r="181" spans="1:105" ht="11.45" customHeight="1" x14ac:dyDescent="0.25">
      <c r="A181" s="27" t="s">
        <v>169</v>
      </c>
      <c r="B181" s="31">
        <f>IF(B89=0,0,B89/B$89)</f>
        <v>1</v>
      </c>
      <c r="C181" s="31">
        <f t="shared" ref="C181:W181" si="187">IF(C89=0,0,C89/C$89)</f>
        <v>1</v>
      </c>
      <c r="D181" s="31">
        <f t="shared" si="187"/>
        <v>1</v>
      </c>
      <c r="E181" s="31">
        <f t="shared" si="187"/>
        <v>1</v>
      </c>
      <c r="F181" s="31">
        <f t="shared" si="187"/>
        <v>1</v>
      </c>
      <c r="G181" s="31">
        <f t="shared" si="187"/>
        <v>1</v>
      </c>
      <c r="H181" s="31">
        <f t="shared" si="187"/>
        <v>1</v>
      </c>
      <c r="I181" s="31">
        <f t="shared" si="187"/>
        <v>1</v>
      </c>
      <c r="J181" s="31">
        <f t="shared" si="187"/>
        <v>1</v>
      </c>
      <c r="K181" s="31">
        <f t="shared" si="187"/>
        <v>1</v>
      </c>
      <c r="L181" s="31">
        <f t="shared" si="187"/>
        <v>1</v>
      </c>
      <c r="M181" s="31">
        <f t="shared" si="187"/>
        <v>1</v>
      </c>
      <c r="N181" s="31">
        <f t="shared" si="187"/>
        <v>1</v>
      </c>
      <c r="O181" s="31">
        <f t="shared" si="187"/>
        <v>1</v>
      </c>
      <c r="P181" s="31">
        <f t="shared" si="187"/>
        <v>1</v>
      </c>
      <c r="Q181" s="31">
        <f t="shared" si="187"/>
        <v>1</v>
      </c>
      <c r="R181" s="31">
        <f t="shared" si="187"/>
        <v>1</v>
      </c>
      <c r="S181" s="31">
        <f t="shared" si="187"/>
        <v>1</v>
      </c>
      <c r="T181" s="31">
        <f t="shared" si="187"/>
        <v>1</v>
      </c>
      <c r="U181" s="31">
        <f t="shared" si="187"/>
        <v>1</v>
      </c>
      <c r="V181" s="31">
        <f t="shared" si="187"/>
        <v>1</v>
      </c>
      <c r="W181" s="31">
        <f t="shared" si="187"/>
        <v>1</v>
      </c>
      <c r="X181" s="31">
        <f t="shared" ref="X181:Y181" si="188">IF(X89=0,0,X89/X$89)</f>
        <v>1</v>
      </c>
      <c r="Y181" s="31">
        <f t="shared" si="188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0.44309683917016029</v>
      </c>
      <c r="C182" s="140">
        <f t="shared" ref="C182:W182" si="189">IF(C90=0,0,C90/C$89)</f>
        <v>0.44110698291942663</v>
      </c>
      <c r="D182" s="140">
        <f t="shared" si="189"/>
        <v>0.42444514332168276</v>
      </c>
      <c r="E182" s="140">
        <f t="shared" si="189"/>
        <v>0.44063670335039551</v>
      </c>
      <c r="F182" s="140">
        <f t="shared" si="189"/>
        <v>0.45999692243507401</v>
      </c>
      <c r="G182" s="140">
        <f t="shared" si="189"/>
        <v>0.45947234829287981</v>
      </c>
      <c r="H182" s="140">
        <f t="shared" si="189"/>
        <v>0.54511429937365208</v>
      </c>
      <c r="I182" s="140">
        <f t="shared" si="189"/>
        <v>0.48739401960920226</v>
      </c>
      <c r="J182" s="140">
        <f t="shared" si="189"/>
        <v>0.48212217104293525</v>
      </c>
      <c r="K182" s="140">
        <f t="shared" si="189"/>
        <v>0.5020771170610584</v>
      </c>
      <c r="L182" s="140">
        <f t="shared" si="189"/>
        <v>0.50045158413526469</v>
      </c>
      <c r="M182" s="140">
        <f t="shared" si="189"/>
        <v>0.47300732821613484</v>
      </c>
      <c r="N182" s="140">
        <f t="shared" si="189"/>
        <v>0.48007918848575626</v>
      </c>
      <c r="O182" s="140">
        <f t="shared" si="189"/>
        <v>0.50713360957636133</v>
      </c>
      <c r="P182" s="140">
        <f t="shared" si="189"/>
        <v>0.4835855372704293</v>
      </c>
      <c r="Q182" s="140">
        <f t="shared" si="189"/>
        <v>0.4929993179420733</v>
      </c>
      <c r="R182" s="140">
        <f t="shared" si="189"/>
        <v>0.4900619731180868</v>
      </c>
      <c r="S182" s="140">
        <f t="shared" si="189"/>
        <v>0.4853504665595193</v>
      </c>
      <c r="T182" s="140">
        <f t="shared" si="189"/>
        <v>0.49801192530638827</v>
      </c>
      <c r="U182" s="140">
        <f t="shared" si="189"/>
        <v>0.50171292349241614</v>
      </c>
      <c r="V182" s="140">
        <f t="shared" si="189"/>
        <v>0.46030377638263342</v>
      </c>
      <c r="W182" s="140">
        <f t="shared" si="189"/>
        <v>0.48188089613440055</v>
      </c>
      <c r="X182" s="140">
        <f t="shared" ref="X182:Y182" si="190">IF(X90=0,0,X90/X$89)</f>
        <v>0.50088796196022045</v>
      </c>
      <c r="Y182" s="140">
        <f t="shared" si="190"/>
        <v>0.54698765060858157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0.55690316082983971</v>
      </c>
      <c r="C183" s="127">
        <f t="shared" ref="C183:W183" si="191">IF(C91=0,0,C91/C$89)</f>
        <v>0.55889301708057326</v>
      </c>
      <c r="D183" s="127">
        <f t="shared" si="191"/>
        <v>0.57555485667831729</v>
      </c>
      <c r="E183" s="127">
        <f t="shared" si="191"/>
        <v>0.55936329664960449</v>
      </c>
      <c r="F183" s="127">
        <f t="shared" si="191"/>
        <v>0.54000307756492605</v>
      </c>
      <c r="G183" s="127">
        <f t="shared" si="191"/>
        <v>0.54052765170712025</v>
      </c>
      <c r="H183" s="127">
        <f t="shared" si="191"/>
        <v>0.45488570062634798</v>
      </c>
      <c r="I183" s="127">
        <f t="shared" si="191"/>
        <v>0.51260598039079786</v>
      </c>
      <c r="J183" s="127">
        <f t="shared" si="191"/>
        <v>0.5178778289570648</v>
      </c>
      <c r="K183" s="127">
        <f t="shared" si="191"/>
        <v>0.49792288293894171</v>
      </c>
      <c r="L183" s="127">
        <f t="shared" si="191"/>
        <v>0.49954841586473536</v>
      </c>
      <c r="M183" s="127">
        <f t="shared" si="191"/>
        <v>0.52699267178386522</v>
      </c>
      <c r="N183" s="127">
        <f t="shared" si="191"/>
        <v>0.51992081151424374</v>
      </c>
      <c r="O183" s="127">
        <f t="shared" si="191"/>
        <v>0.49286639042363856</v>
      </c>
      <c r="P183" s="127">
        <f t="shared" si="191"/>
        <v>0.51641446272957081</v>
      </c>
      <c r="Q183" s="127">
        <f t="shared" si="191"/>
        <v>0.5070006820579267</v>
      </c>
      <c r="R183" s="127">
        <f t="shared" si="191"/>
        <v>0.50993802688191325</v>
      </c>
      <c r="S183" s="127">
        <f t="shared" si="191"/>
        <v>0.5146495334404807</v>
      </c>
      <c r="T183" s="127">
        <f t="shared" si="191"/>
        <v>0.50198807469361173</v>
      </c>
      <c r="U183" s="127">
        <f t="shared" si="191"/>
        <v>0.49828707650758386</v>
      </c>
      <c r="V183" s="127">
        <f t="shared" si="191"/>
        <v>0.53969622361736658</v>
      </c>
      <c r="W183" s="127">
        <f t="shared" si="191"/>
        <v>0.51811910386559945</v>
      </c>
      <c r="X183" s="127">
        <f t="shared" ref="X183:Y183" si="192">IF(X91=0,0,X91/X$89)</f>
        <v>0.49911203803977949</v>
      </c>
      <c r="Y183" s="127">
        <f t="shared" si="192"/>
        <v>0.45301234939141849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DA185" s="172"/>
    </row>
    <row r="186" spans="1:105" ht="11.45" customHeight="1" x14ac:dyDescent="0.25">
      <c r="A186" s="27" t="s">
        <v>155</v>
      </c>
      <c r="B186" s="32">
        <f t="shared" ref="B186:Y186" si="193">IF(B34=0,0,B34/B4*1000)</f>
        <v>49.230678845165187</v>
      </c>
      <c r="C186" s="32">
        <f t="shared" si="193"/>
        <v>50.050175089626741</v>
      </c>
      <c r="D186" s="32">
        <f t="shared" si="193"/>
        <v>49.833227603823509</v>
      </c>
      <c r="E186" s="32">
        <f t="shared" si="193"/>
        <v>48.15858300611788</v>
      </c>
      <c r="F186" s="32">
        <f t="shared" si="193"/>
        <v>46.001660635984813</v>
      </c>
      <c r="G186" s="32">
        <f t="shared" si="193"/>
        <v>46.609472531989631</v>
      </c>
      <c r="H186" s="32">
        <f t="shared" si="193"/>
        <v>47.651141902724163</v>
      </c>
      <c r="I186" s="32">
        <f t="shared" si="193"/>
        <v>47.064114182420774</v>
      </c>
      <c r="J186" s="32">
        <f t="shared" si="193"/>
        <v>45.521560562981861</v>
      </c>
      <c r="K186" s="32">
        <f t="shared" si="193"/>
        <v>41.805803619210181</v>
      </c>
      <c r="L186" s="32">
        <f t="shared" si="193"/>
        <v>44.386332123432702</v>
      </c>
      <c r="M186" s="32">
        <f t="shared" si="193"/>
        <v>42.412856480830911</v>
      </c>
      <c r="N186" s="32">
        <f t="shared" si="193"/>
        <v>40.628249271792733</v>
      </c>
      <c r="O186" s="32">
        <f t="shared" si="193"/>
        <v>40.629100183275661</v>
      </c>
      <c r="P186" s="32">
        <f t="shared" si="193"/>
        <v>42.661660046611402</v>
      </c>
      <c r="Q186" s="32">
        <f t="shared" si="193"/>
        <v>40.666821713247337</v>
      </c>
      <c r="R186" s="32">
        <f t="shared" si="193"/>
        <v>39.611890058593289</v>
      </c>
      <c r="S186" s="32">
        <f t="shared" si="193"/>
        <v>38.864238963258813</v>
      </c>
      <c r="T186" s="32">
        <f t="shared" si="193"/>
        <v>37.948136247641294</v>
      </c>
      <c r="U186" s="32">
        <f t="shared" si="193"/>
        <v>36.830528143725971</v>
      </c>
      <c r="V186" s="32">
        <f t="shared" si="193"/>
        <v>40.521263725750529</v>
      </c>
      <c r="W186" s="32">
        <f t="shared" si="193"/>
        <v>40.022447781635819</v>
      </c>
      <c r="X186" s="32">
        <f t="shared" si="193"/>
        <v>36.764533046841677</v>
      </c>
      <c r="Y186" s="32">
        <f t="shared" si="193"/>
        <v>34.725457439578939</v>
      </c>
      <c r="DA186" s="173" t="s">
        <v>415</v>
      </c>
    </row>
    <row r="187" spans="1:105" ht="11.45" customHeight="1" x14ac:dyDescent="0.25">
      <c r="A187" s="136" t="str">
        <f>$A$5</f>
        <v>Road transport</v>
      </c>
      <c r="B187" s="141">
        <f t="shared" ref="B187:Y187" si="194">IF(B35=0,0,B35/B5*1000)</f>
        <v>50.295983110941172</v>
      </c>
      <c r="C187" s="141">
        <f t="shared" si="194"/>
        <v>49.620075556075278</v>
      </c>
      <c r="D187" s="141">
        <f t="shared" si="194"/>
        <v>48.536677589800497</v>
      </c>
      <c r="E187" s="141">
        <f t="shared" si="194"/>
        <v>46.342298907779302</v>
      </c>
      <c r="F187" s="141">
        <f t="shared" si="194"/>
        <v>45.347192604495028</v>
      </c>
      <c r="G187" s="141">
        <f t="shared" si="194"/>
        <v>46.823244374702291</v>
      </c>
      <c r="H187" s="141">
        <f t="shared" si="194"/>
        <v>50.444324264482141</v>
      </c>
      <c r="I187" s="141">
        <f t="shared" si="194"/>
        <v>48.626947080967206</v>
      </c>
      <c r="J187" s="141">
        <f t="shared" si="194"/>
        <v>47.269563582709004</v>
      </c>
      <c r="K187" s="141">
        <f t="shared" si="194"/>
        <v>46.105162091634107</v>
      </c>
      <c r="L187" s="141">
        <f t="shared" si="194"/>
        <v>45.255511237680423</v>
      </c>
      <c r="M187" s="141">
        <f t="shared" si="194"/>
        <v>44.086617199080187</v>
      </c>
      <c r="N187" s="141">
        <f t="shared" si="194"/>
        <v>44.212496921490988</v>
      </c>
      <c r="O187" s="141">
        <f t="shared" si="194"/>
        <v>43.994380741581203</v>
      </c>
      <c r="P187" s="141">
        <f t="shared" si="194"/>
        <v>46.409647521914081</v>
      </c>
      <c r="Q187" s="141">
        <f t="shared" si="194"/>
        <v>43.836537680347462</v>
      </c>
      <c r="R187" s="141">
        <f t="shared" si="194"/>
        <v>43.424384672887626</v>
      </c>
      <c r="S187" s="141">
        <f t="shared" si="194"/>
        <v>41.716291046838613</v>
      </c>
      <c r="T187" s="141">
        <f t="shared" si="194"/>
        <v>40.932998185821575</v>
      </c>
      <c r="U187" s="141">
        <f t="shared" si="194"/>
        <v>39.814901277644616</v>
      </c>
      <c r="V187" s="141">
        <f t="shared" si="194"/>
        <v>38.995935516329503</v>
      </c>
      <c r="W187" s="141">
        <f t="shared" si="194"/>
        <v>38.459363124118582</v>
      </c>
      <c r="X187" s="141">
        <f t="shared" si="194"/>
        <v>38.372861253989981</v>
      </c>
      <c r="Y187" s="141">
        <f t="shared" si="194"/>
        <v>36.719133070166855</v>
      </c>
      <c r="DA187" s="174" t="s">
        <v>416</v>
      </c>
    </row>
    <row r="188" spans="1:105" ht="11.45" customHeight="1" x14ac:dyDescent="0.25">
      <c r="A188" s="128" t="str">
        <f>$A$6</f>
        <v>Powered two-wheelers</v>
      </c>
      <c r="B188" s="97">
        <f t="shared" ref="B188:Y188" si="195">IF(B36=0,0,B36/B6*1000)</f>
        <v>36.644181945187434</v>
      </c>
      <c r="C188" s="97">
        <f t="shared" si="195"/>
        <v>36.115858427844081</v>
      </c>
      <c r="D188" s="97">
        <f t="shared" si="195"/>
        <v>35.426572966967171</v>
      </c>
      <c r="E188" s="97">
        <f t="shared" si="195"/>
        <v>35.21574369804523</v>
      </c>
      <c r="F188" s="97">
        <f t="shared" si="195"/>
        <v>34.957623086750729</v>
      </c>
      <c r="G188" s="97">
        <f t="shared" si="195"/>
        <v>34.744780343490191</v>
      </c>
      <c r="H188" s="97">
        <f t="shared" si="195"/>
        <v>34.516001343403481</v>
      </c>
      <c r="I188" s="97">
        <f t="shared" si="195"/>
        <v>34.443717393212275</v>
      </c>
      <c r="J188" s="97">
        <f t="shared" si="195"/>
        <v>34.394649471765938</v>
      </c>
      <c r="K188" s="97">
        <f t="shared" si="195"/>
        <v>34.228849931245549</v>
      </c>
      <c r="L188" s="97">
        <f t="shared" si="195"/>
        <v>34.01661058520402</v>
      </c>
      <c r="M188" s="97">
        <f t="shared" si="195"/>
        <v>33.774862787908489</v>
      </c>
      <c r="N188" s="97">
        <f t="shared" si="195"/>
        <v>33.732618812406457</v>
      </c>
      <c r="O188" s="97">
        <f t="shared" si="195"/>
        <v>33.414508889984432</v>
      </c>
      <c r="P188" s="97">
        <f t="shared" si="195"/>
        <v>33.184807396629587</v>
      </c>
      <c r="Q188" s="97">
        <f t="shared" si="195"/>
        <v>32.922390809075402</v>
      </c>
      <c r="R188" s="97">
        <f t="shared" si="195"/>
        <v>32.527352737980578</v>
      </c>
      <c r="S188" s="97">
        <f t="shared" si="195"/>
        <v>32.240117895506543</v>
      </c>
      <c r="T188" s="97">
        <f t="shared" si="195"/>
        <v>32.046304654244658</v>
      </c>
      <c r="U188" s="97">
        <f t="shared" si="195"/>
        <v>31.678459309345882</v>
      </c>
      <c r="V188" s="97">
        <f t="shared" si="195"/>
        <v>31.528251534803452</v>
      </c>
      <c r="W188" s="97">
        <f t="shared" si="195"/>
        <v>31.371636315654676</v>
      </c>
      <c r="X188" s="97">
        <f t="shared" si="195"/>
        <v>31.088182080116219</v>
      </c>
      <c r="Y188" s="97">
        <f t="shared" si="195"/>
        <v>30.863871004609198</v>
      </c>
      <c r="DA188" s="175" t="s">
        <v>417</v>
      </c>
    </row>
    <row r="189" spans="1:105" ht="11.45" customHeight="1" x14ac:dyDescent="0.25">
      <c r="A189" s="128" t="str">
        <f>$A$7</f>
        <v>Passenger cars</v>
      </c>
      <c r="B189" s="97">
        <f t="shared" ref="B189:Y189" si="196">IF(B37=0,0,B37/B7*1000)</f>
        <v>56.72854094765345</v>
      </c>
      <c r="C189" s="97">
        <f t="shared" si="196"/>
        <v>56.092200362451997</v>
      </c>
      <c r="D189" s="97">
        <f t="shared" si="196"/>
        <v>54.523338829957446</v>
      </c>
      <c r="E189" s="97">
        <f t="shared" si="196"/>
        <v>51.778099881553239</v>
      </c>
      <c r="F189" s="97">
        <f t="shared" si="196"/>
        <v>50.515828602245961</v>
      </c>
      <c r="G189" s="97">
        <f t="shared" si="196"/>
        <v>52.011959732042037</v>
      </c>
      <c r="H189" s="97">
        <f t="shared" si="196"/>
        <v>56.000277413193082</v>
      </c>
      <c r="I189" s="97">
        <f t="shared" si="196"/>
        <v>53.712126796083126</v>
      </c>
      <c r="J189" s="97">
        <f t="shared" si="196"/>
        <v>52.058343985049675</v>
      </c>
      <c r="K189" s="97">
        <f t="shared" si="196"/>
        <v>51.080748415530856</v>
      </c>
      <c r="L189" s="97">
        <f t="shared" si="196"/>
        <v>49.771624597737457</v>
      </c>
      <c r="M189" s="97">
        <f t="shared" si="196"/>
        <v>48.464743771904438</v>
      </c>
      <c r="N189" s="97">
        <f t="shared" si="196"/>
        <v>48.488735327039798</v>
      </c>
      <c r="O189" s="97">
        <f t="shared" si="196"/>
        <v>48.122261718325774</v>
      </c>
      <c r="P189" s="97">
        <f t="shared" si="196"/>
        <v>51.23404582694269</v>
      </c>
      <c r="Q189" s="97">
        <f t="shared" si="196"/>
        <v>47.784761605700574</v>
      </c>
      <c r="R189" s="97">
        <f t="shared" si="196"/>
        <v>47.275715049497059</v>
      </c>
      <c r="S189" s="97">
        <f t="shared" si="196"/>
        <v>45.491833838047746</v>
      </c>
      <c r="T189" s="97">
        <f t="shared" si="196"/>
        <v>44.774809707299042</v>
      </c>
      <c r="U189" s="97">
        <f t="shared" si="196"/>
        <v>43.420873386870802</v>
      </c>
      <c r="V189" s="97">
        <f t="shared" si="196"/>
        <v>41.173557324650929</v>
      </c>
      <c r="W189" s="97">
        <f t="shared" si="196"/>
        <v>40.998605067393115</v>
      </c>
      <c r="X189" s="97">
        <f t="shared" si="196"/>
        <v>42.005424287614638</v>
      </c>
      <c r="Y189" s="97">
        <f t="shared" si="196"/>
        <v>40.320228098749311</v>
      </c>
      <c r="DA189" s="175" t="s">
        <v>418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Y190" si="197">IF(B38=0,0,B38/B8*1000)</f>
        <v>18.560294497781495</v>
      </c>
      <c r="C190" s="97">
        <f t="shared" si="197"/>
        <v>17.490187102493639</v>
      </c>
      <c r="D190" s="97">
        <f t="shared" si="197"/>
        <v>17.621298582151173</v>
      </c>
      <c r="E190" s="97">
        <f t="shared" si="197"/>
        <v>17.726434793569219</v>
      </c>
      <c r="F190" s="97">
        <f t="shared" si="197"/>
        <v>17.497524473855304</v>
      </c>
      <c r="G190" s="97">
        <f t="shared" si="197"/>
        <v>17.983442171785267</v>
      </c>
      <c r="H190" s="97">
        <f t="shared" si="197"/>
        <v>18.923798567374188</v>
      </c>
      <c r="I190" s="97">
        <f t="shared" si="197"/>
        <v>19.511652444162895</v>
      </c>
      <c r="J190" s="97">
        <f t="shared" si="197"/>
        <v>20.210107648717038</v>
      </c>
      <c r="K190" s="97">
        <f t="shared" si="197"/>
        <v>19.15479859990101</v>
      </c>
      <c r="L190" s="97">
        <f t="shared" si="197"/>
        <v>19.77377921092631</v>
      </c>
      <c r="M190" s="97">
        <f t="shared" si="197"/>
        <v>19.445437296379033</v>
      </c>
      <c r="N190" s="97">
        <f t="shared" si="197"/>
        <v>19.770969054305471</v>
      </c>
      <c r="O190" s="97">
        <f t="shared" si="197"/>
        <v>19.758356727816057</v>
      </c>
      <c r="P190" s="97">
        <f t="shared" si="197"/>
        <v>19.535262732300254</v>
      </c>
      <c r="Q190" s="97">
        <f t="shared" si="197"/>
        <v>19.92499954937859</v>
      </c>
      <c r="R190" s="97">
        <f t="shared" si="197"/>
        <v>19.972427990086921</v>
      </c>
      <c r="S190" s="97">
        <f t="shared" si="197"/>
        <v>20.094872684072968</v>
      </c>
      <c r="T190" s="97">
        <f t="shared" si="197"/>
        <v>20.11784302640536</v>
      </c>
      <c r="U190" s="97">
        <f t="shared" si="197"/>
        <v>20.053482782715317</v>
      </c>
      <c r="V190" s="97">
        <f t="shared" si="197"/>
        <v>24.094122414541957</v>
      </c>
      <c r="W190" s="97">
        <f t="shared" si="197"/>
        <v>21.773280593892057</v>
      </c>
      <c r="X190" s="97">
        <f t="shared" si="197"/>
        <v>19.847549187001039</v>
      </c>
      <c r="Y190" s="97">
        <f t="shared" si="197"/>
        <v>20.502559498187285</v>
      </c>
      <c r="DA190" s="175" t="s">
        <v>419</v>
      </c>
    </row>
    <row r="191" spans="1:105" ht="11.45" customHeight="1" x14ac:dyDescent="0.25">
      <c r="A191" s="109" t="str">
        <f>$A$9</f>
        <v>Rail, metro and tram</v>
      </c>
      <c r="B191" s="130">
        <f t="shared" ref="B191:Y191" si="198">IF(B39=0,0,B39/B9*1000)</f>
        <v>26.352178216318269</v>
      </c>
      <c r="C191" s="130">
        <f t="shared" si="198"/>
        <v>26.318629291789414</v>
      </c>
      <c r="D191" s="130">
        <f t="shared" si="198"/>
        <v>21.463368653424435</v>
      </c>
      <c r="E191" s="130">
        <f t="shared" si="198"/>
        <v>24.570813701676187</v>
      </c>
      <c r="F191" s="130">
        <f t="shared" si="198"/>
        <v>27.081859531359026</v>
      </c>
      <c r="G191" s="130">
        <f t="shared" si="198"/>
        <v>21.8754940207128</v>
      </c>
      <c r="H191" s="130">
        <f t="shared" si="198"/>
        <v>21.323095285581054</v>
      </c>
      <c r="I191" s="130">
        <f t="shared" si="198"/>
        <v>21.060278208140009</v>
      </c>
      <c r="J191" s="130">
        <f t="shared" si="198"/>
        <v>23.20272329492893</v>
      </c>
      <c r="K191" s="130">
        <f t="shared" si="198"/>
        <v>23.754516899341521</v>
      </c>
      <c r="L191" s="130">
        <f t="shared" si="198"/>
        <v>23.593681277846954</v>
      </c>
      <c r="M191" s="130">
        <f t="shared" si="198"/>
        <v>23.954868567178035</v>
      </c>
      <c r="N191" s="130">
        <f t="shared" si="198"/>
        <v>24.0414506794754</v>
      </c>
      <c r="O191" s="130">
        <f t="shared" si="198"/>
        <v>23.796257333706198</v>
      </c>
      <c r="P191" s="130">
        <f t="shared" si="198"/>
        <v>19.835299032401526</v>
      </c>
      <c r="Q191" s="130">
        <f t="shared" si="198"/>
        <v>18.280475914929614</v>
      </c>
      <c r="R191" s="130">
        <f t="shared" si="198"/>
        <v>18.059656295464492</v>
      </c>
      <c r="S191" s="130">
        <f t="shared" si="198"/>
        <v>17.577658146507588</v>
      </c>
      <c r="T191" s="130">
        <f t="shared" si="198"/>
        <v>15.961872067343377</v>
      </c>
      <c r="U191" s="130">
        <f t="shared" si="198"/>
        <v>16.099889789078865</v>
      </c>
      <c r="V191" s="130">
        <f t="shared" si="198"/>
        <v>36.821387632835233</v>
      </c>
      <c r="W191" s="130">
        <f t="shared" si="198"/>
        <v>38.042542091844403</v>
      </c>
      <c r="X191" s="130">
        <f t="shared" si="198"/>
        <v>21.399259063551952</v>
      </c>
      <c r="Y191" s="130">
        <f t="shared" si="198"/>
        <v>17.941137390521192</v>
      </c>
      <c r="DA191" s="176" t="s">
        <v>420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Y192" si="199">IF(B40=0,0,B40/B10*1000)</f>
        <v>0</v>
      </c>
      <c r="C192" s="97">
        <f t="shared" si="199"/>
        <v>0</v>
      </c>
      <c r="D192" s="97">
        <f t="shared" si="199"/>
        <v>0</v>
      </c>
      <c r="E192" s="97">
        <f t="shared" si="199"/>
        <v>0</v>
      </c>
      <c r="F192" s="97">
        <f t="shared" si="199"/>
        <v>6.0123575862409329</v>
      </c>
      <c r="G192" s="97">
        <f t="shared" si="199"/>
        <v>5.858105647593276</v>
      </c>
      <c r="H192" s="97">
        <f t="shared" si="199"/>
        <v>5.7855991695035307</v>
      </c>
      <c r="I192" s="97">
        <f t="shared" si="199"/>
        <v>5.6316242445623823</v>
      </c>
      <c r="J192" s="97">
        <f t="shared" si="199"/>
        <v>5.43588675876744</v>
      </c>
      <c r="K192" s="97">
        <f t="shared" si="199"/>
        <v>5.7813263173298086</v>
      </c>
      <c r="L192" s="97">
        <f t="shared" si="199"/>
        <v>5.7774654229249602</v>
      </c>
      <c r="M192" s="97">
        <f t="shared" si="199"/>
        <v>5.6547733227549113</v>
      </c>
      <c r="N192" s="97">
        <f t="shared" si="199"/>
        <v>5.5522962990915774</v>
      </c>
      <c r="O192" s="97">
        <f t="shared" si="199"/>
        <v>5.4967317464796652</v>
      </c>
      <c r="P192" s="97">
        <f t="shared" si="199"/>
        <v>5.1933462818608973</v>
      </c>
      <c r="Q192" s="97">
        <f t="shared" si="199"/>
        <v>4.9250509587836664</v>
      </c>
      <c r="R192" s="97">
        <f t="shared" si="199"/>
        <v>4.7492732438775755</v>
      </c>
      <c r="S192" s="97">
        <f t="shared" si="199"/>
        <v>4.6339173143045489</v>
      </c>
      <c r="T192" s="97">
        <f t="shared" si="199"/>
        <v>4.1105456947463139</v>
      </c>
      <c r="U192" s="97">
        <f t="shared" si="199"/>
        <v>4.0744824704712723</v>
      </c>
      <c r="V192" s="97">
        <f t="shared" si="199"/>
        <v>9.0331838700507632</v>
      </c>
      <c r="W192" s="97">
        <f t="shared" si="199"/>
        <v>9.0262260645361128</v>
      </c>
      <c r="X192" s="97">
        <f t="shared" si="199"/>
        <v>5.139375862494755</v>
      </c>
      <c r="Y192" s="97">
        <f t="shared" si="199"/>
        <v>4.1486709045851917</v>
      </c>
      <c r="DA192" s="175" t="s">
        <v>421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Y193" si="200">IF(B41=0,0,B41/B11*1000)</f>
        <v>26.352178216318269</v>
      </c>
      <c r="C193" s="97">
        <f t="shared" si="200"/>
        <v>26.318629291789414</v>
      </c>
      <c r="D193" s="97">
        <f t="shared" si="200"/>
        <v>21.463368653424435</v>
      </c>
      <c r="E193" s="97">
        <f t="shared" si="200"/>
        <v>24.570813701676187</v>
      </c>
      <c r="F193" s="97">
        <f t="shared" si="200"/>
        <v>27.747772993594111</v>
      </c>
      <c r="G193" s="97">
        <f t="shared" si="200"/>
        <v>22.864776851169371</v>
      </c>
      <c r="H193" s="97">
        <f t="shared" si="200"/>
        <v>22.261902008705803</v>
      </c>
      <c r="I193" s="97">
        <f t="shared" si="200"/>
        <v>22.405576884585489</v>
      </c>
      <c r="J193" s="97">
        <f t="shared" si="200"/>
        <v>24.470498574078103</v>
      </c>
      <c r="K193" s="97">
        <f t="shared" si="200"/>
        <v>25.164178905773813</v>
      </c>
      <c r="L193" s="97">
        <f t="shared" si="200"/>
        <v>24.984577748046465</v>
      </c>
      <c r="M193" s="97">
        <f t="shared" si="200"/>
        <v>25.496634833191703</v>
      </c>
      <c r="N193" s="97">
        <f t="shared" si="200"/>
        <v>25.728673892894452</v>
      </c>
      <c r="O193" s="97">
        <f t="shared" si="200"/>
        <v>25.543689762153807</v>
      </c>
      <c r="P193" s="97">
        <f t="shared" si="200"/>
        <v>21.191653393667966</v>
      </c>
      <c r="Q193" s="97">
        <f t="shared" si="200"/>
        <v>19.531538607315273</v>
      </c>
      <c r="R193" s="97">
        <f t="shared" si="200"/>
        <v>19.286727572982656</v>
      </c>
      <c r="S193" s="97">
        <f t="shared" si="200"/>
        <v>18.70550366588191</v>
      </c>
      <c r="T193" s="97">
        <f t="shared" si="200"/>
        <v>17.608899888524114</v>
      </c>
      <c r="U193" s="97">
        <f t="shared" si="200"/>
        <v>17.628995735309804</v>
      </c>
      <c r="V193" s="97">
        <f t="shared" si="200"/>
        <v>40.829958606913834</v>
      </c>
      <c r="W193" s="97">
        <f t="shared" si="200"/>
        <v>42.099944257115752</v>
      </c>
      <c r="X193" s="97">
        <f t="shared" si="200"/>
        <v>22.933536041669047</v>
      </c>
      <c r="Y193" s="97">
        <f t="shared" si="200"/>
        <v>19.213474511380305</v>
      </c>
      <c r="DA193" s="175" t="s">
        <v>422</v>
      </c>
    </row>
    <row r="194" spans="1:105" ht="11.45" customHeight="1" x14ac:dyDescent="0.25">
      <c r="A194" s="128" t="str">
        <f>$A$12</f>
        <v>High speed passenger trains</v>
      </c>
      <c r="B194" s="97">
        <f t="shared" ref="B194:Y194" si="201">IF(B42=0,0,B42/B12*1000)</f>
        <v>0</v>
      </c>
      <c r="C194" s="97">
        <f t="shared" si="201"/>
        <v>0</v>
      </c>
      <c r="D194" s="97">
        <f t="shared" si="201"/>
        <v>0</v>
      </c>
      <c r="E194" s="97">
        <f t="shared" si="201"/>
        <v>0</v>
      </c>
      <c r="F194" s="97">
        <f t="shared" si="201"/>
        <v>0</v>
      </c>
      <c r="G194" s="97">
        <f t="shared" si="201"/>
        <v>0</v>
      </c>
      <c r="H194" s="97">
        <f t="shared" si="201"/>
        <v>0</v>
      </c>
      <c r="I194" s="97">
        <f t="shared" si="201"/>
        <v>0</v>
      </c>
      <c r="J194" s="97">
        <f t="shared" si="201"/>
        <v>0</v>
      </c>
      <c r="K194" s="97">
        <f t="shared" si="201"/>
        <v>0</v>
      </c>
      <c r="L194" s="97">
        <f t="shared" si="201"/>
        <v>0</v>
      </c>
      <c r="M194" s="97">
        <f t="shared" si="201"/>
        <v>0</v>
      </c>
      <c r="N194" s="97">
        <f t="shared" si="201"/>
        <v>0</v>
      </c>
      <c r="O194" s="97">
        <f t="shared" si="201"/>
        <v>0</v>
      </c>
      <c r="P194" s="97">
        <f t="shared" si="201"/>
        <v>0</v>
      </c>
      <c r="Q194" s="97">
        <f t="shared" si="201"/>
        <v>0</v>
      </c>
      <c r="R194" s="97">
        <f t="shared" si="201"/>
        <v>0</v>
      </c>
      <c r="S194" s="97">
        <f t="shared" si="201"/>
        <v>0</v>
      </c>
      <c r="T194" s="97">
        <f t="shared" si="201"/>
        <v>0</v>
      </c>
      <c r="U194" s="97">
        <f t="shared" si="201"/>
        <v>0</v>
      </c>
      <c r="V194" s="97">
        <f t="shared" si="201"/>
        <v>0</v>
      </c>
      <c r="W194" s="97">
        <f t="shared" si="201"/>
        <v>0</v>
      </c>
      <c r="X194" s="97">
        <f t="shared" si="201"/>
        <v>0</v>
      </c>
      <c r="Y194" s="97">
        <f t="shared" si="201"/>
        <v>0</v>
      </c>
      <c r="DA194" s="175" t="s">
        <v>423</v>
      </c>
    </row>
    <row r="195" spans="1:105" ht="11.45" customHeight="1" x14ac:dyDescent="0.25">
      <c r="A195" s="109" t="str">
        <f>$A$13</f>
        <v>Aviation</v>
      </c>
      <c r="B195" s="130">
        <f t="shared" ref="B195:Y195" si="202">IF(B43=0,0,B43/B13*1000)</f>
        <v>48.244671814794415</v>
      </c>
      <c r="C195" s="130">
        <f t="shared" si="202"/>
        <v>54.034093977047313</v>
      </c>
      <c r="D195" s="130">
        <f t="shared" si="202"/>
        <v>57.445299928293188</v>
      </c>
      <c r="E195" s="130">
        <f t="shared" si="202"/>
        <v>57.401417827207752</v>
      </c>
      <c r="F195" s="130">
        <f t="shared" si="202"/>
        <v>50.458026422915509</v>
      </c>
      <c r="G195" s="130">
        <f t="shared" si="202"/>
        <v>48.669073138036694</v>
      </c>
      <c r="H195" s="130">
        <f t="shared" si="202"/>
        <v>42.756323445701568</v>
      </c>
      <c r="I195" s="130">
        <f t="shared" si="202"/>
        <v>45.658929208993918</v>
      </c>
      <c r="J195" s="130">
        <f t="shared" si="202"/>
        <v>43.098978135830187</v>
      </c>
      <c r="K195" s="130">
        <f t="shared" si="202"/>
        <v>30.534041879888747</v>
      </c>
      <c r="L195" s="130">
        <f t="shared" si="202"/>
        <v>43.703976981243457</v>
      </c>
      <c r="M195" s="130">
        <f t="shared" si="202"/>
        <v>38.945727525055425</v>
      </c>
      <c r="N195" s="130">
        <f t="shared" si="202"/>
        <v>31.391627944372466</v>
      </c>
      <c r="O195" s="130">
        <f t="shared" si="202"/>
        <v>32.387329494927869</v>
      </c>
      <c r="P195" s="130">
        <f t="shared" si="202"/>
        <v>34.766411514851598</v>
      </c>
      <c r="Q195" s="130">
        <f t="shared" si="202"/>
        <v>34.582648224500069</v>
      </c>
      <c r="R195" s="130">
        <f t="shared" si="202"/>
        <v>32.143677841170401</v>
      </c>
      <c r="S195" s="130">
        <f t="shared" si="202"/>
        <v>34.063959224992175</v>
      </c>
      <c r="T195" s="130">
        <f t="shared" si="202"/>
        <v>33.455596699565021</v>
      </c>
      <c r="U195" s="130">
        <f t="shared" si="202"/>
        <v>32.361134596823661</v>
      </c>
      <c r="V195" s="130">
        <f t="shared" si="202"/>
        <v>53.957298016650583</v>
      </c>
      <c r="W195" s="130">
        <f t="shared" si="202"/>
        <v>52.687971041001362</v>
      </c>
      <c r="X195" s="130">
        <f t="shared" si="202"/>
        <v>34.035626149446983</v>
      </c>
      <c r="Y195" s="130">
        <f t="shared" si="202"/>
        <v>31.756990592871592</v>
      </c>
      <c r="DA195" s="176" t="s">
        <v>297</v>
      </c>
    </row>
    <row r="196" spans="1:105" ht="11.45" customHeight="1" x14ac:dyDescent="0.25">
      <c r="A196" s="128" t="str">
        <f>$A$14</f>
        <v>Domestic</v>
      </c>
      <c r="B196" s="97">
        <f t="shared" ref="B196:Y196" si="203">IF(B44=0,0,B44/B14*1000)</f>
        <v>127.46519574690477</v>
      </c>
      <c r="C196" s="97">
        <f t="shared" si="203"/>
        <v>150.39492752744977</v>
      </c>
      <c r="D196" s="97">
        <f t="shared" si="203"/>
        <v>176.58417910396162</v>
      </c>
      <c r="E196" s="97">
        <f t="shared" si="203"/>
        <v>159.83473055739981</v>
      </c>
      <c r="F196" s="97">
        <f t="shared" si="203"/>
        <v>153.3436664167001</v>
      </c>
      <c r="G196" s="97">
        <f t="shared" si="203"/>
        <v>160.78206304882539</v>
      </c>
      <c r="H196" s="97">
        <f t="shared" si="203"/>
        <v>165.89724365411749</v>
      </c>
      <c r="I196" s="97">
        <f t="shared" si="203"/>
        <v>164.95182508123179</v>
      </c>
      <c r="J196" s="97">
        <f t="shared" si="203"/>
        <v>153.36195981527268</v>
      </c>
      <c r="K196" s="97">
        <f t="shared" si="203"/>
        <v>161.16261776668179</v>
      </c>
      <c r="L196" s="97">
        <f t="shared" si="203"/>
        <v>262.10457177939054</v>
      </c>
      <c r="M196" s="97">
        <f t="shared" si="203"/>
        <v>273.61625918756619</v>
      </c>
      <c r="N196" s="97">
        <f t="shared" si="203"/>
        <v>497.95605493246603</v>
      </c>
      <c r="O196" s="97">
        <f t="shared" si="203"/>
        <v>425.68125687119147</v>
      </c>
      <c r="P196" s="97">
        <f t="shared" si="203"/>
        <v>482.99991359880823</v>
      </c>
      <c r="Q196" s="97">
        <f t="shared" si="203"/>
        <v>402.64182717700191</v>
      </c>
      <c r="R196" s="97">
        <f t="shared" si="203"/>
        <v>189.96374775502304</v>
      </c>
      <c r="S196" s="97">
        <f t="shared" si="203"/>
        <v>243.39728575927626</v>
      </c>
      <c r="T196" s="97">
        <f t="shared" si="203"/>
        <v>202.18504434838314</v>
      </c>
      <c r="U196" s="97">
        <f t="shared" si="203"/>
        <v>237.71788707535572</v>
      </c>
      <c r="V196" s="97">
        <f t="shared" si="203"/>
        <v>617.73803592372008</v>
      </c>
      <c r="W196" s="97">
        <f t="shared" si="203"/>
        <v>584.13951600913333</v>
      </c>
      <c r="X196" s="97">
        <f t="shared" si="203"/>
        <v>405.53467323528793</v>
      </c>
      <c r="Y196" s="97">
        <f t="shared" si="203"/>
        <v>180.22390878941155</v>
      </c>
      <c r="DA196" s="175" t="s">
        <v>298</v>
      </c>
    </row>
    <row r="197" spans="1:105" ht="11.45" customHeight="1" x14ac:dyDescent="0.25">
      <c r="A197" s="128" t="str">
        <f>$A$15</f>
        <v>International - Intra-EEAwCHUK</v>
      </c>
      <c r="B197" s="97">
        <f t="shared" ref="B197:Y197" si="204">IF(B45=0,0,B45/B15*1000)</f>
        <v>47.770116776157934</v>
      </c>
      <c r="C197" s="97">
        <f t="shared" si="204"/>
        <v>52.058698548599473</v>
      </c>
      <c r="D197" s="97">
        <f t="shared" si="204"/>
        <v>54.989928741787409</v>
      </c>
      <c r="E197" s="97">
        <f t="shared" si="204"/>
        <v>55.49147047263201</v>
      </c>
      <c r="F197" s="97">
        <f t="shared" si="204"/>
        <v>49.083321271950823</v>
      </c>
      <c r="G197" s="97">
        <f t="shared" si="204"/>
        <v>46.574491324760693</v>
      </c>
      <c r="H197" s="97">
        <f t="shared" si="204"/>
        <v>40.369867544232726</v>
      </c>
      <c r="I197" s="97">
        <f t="shared" si="204"/>
        <v>44.370360149987235</v>
      </c>
      <c r="J197" s="97">
        <f t="shared" si="204"/>
        <v>43.119906623948239</v>
      </c>
      <c r="K197" s="97">
        <f t="shared" si="204"/>
        <v>29.777662177234298</v>
      </c>
      <c r="L197" s="97">
        <f t="shared" si="204"/>
        <v>42.90393723558774</v>
      </c>
      <c r="M197" s="97">
        <f t="shared" si="204"/>
        <v>39.230639851236297</v>
      </c>
      <c r="N197" s="97">
        <f t="shared" si="204"/>
        <v>32.475615973334797</v>
      </c>
      <c r="O197" s="97">
        <f t="shared" si="204"/>
        <v>34.943483769600867</v>
      </c>
      <c r="P197" s="97">
        <f t="shared" si="204"/>
        <v>39.54602830295763</v>
      </c>
      <c r="Q197" s="97">
        <f t="shared" si="204"/>
        <v>40.672183217468913</v>
      </c>
      <c r="R197" s="97">
        <f t="shared" si="204"/>
        <v>38.413906734727483</v>
      </c>
      <c r="S197" s="97">
        <f t="shared" si="204"/>
        <v>42.994248545839618</v>
      </c>
      <c r="T197" s="97">
        <f t="shared" si="204"/>
        <v>44.424211405302046</v>
      </c>
      <c r="U197" s="97">
        <f t="shared" si="204"/>
        <v>41.78414065919506</v>
      </c>
      <c r="V197" s="97">
        <f t="shared" si="204"/>
        <v>51.760285371160137</v>
      </c>
      <c r="W197" s="97">
        <f t="shared" si="204"/>
        <v>47.624885596403644</v>
      </c>
      <c r="X197" s="97">
        <f t="shared" si="204"/>
        <v>42.088042841014328</v>
      </c>
      <c r="Y197" s="97">
        <f t="shared" si="204"/>
        <v>40.772752444867301</v>
      </c>
      <c r="DA197" s="175" t="s">
        <v>299</v>
      </c>
    </row>
    <row r="198" spans="1:105" ht="11.45" customHeight="1" x14ac:dyDescent="0.25">
      <c r="A198" s="128" t="str">
        <f>$A$16</f>
        <v>International - Extra-EEAwCHUK</v>
      </c>
      <c r="B198" s="97">
        <f t="shared" ref="B198:Y198" si="205">IF(B46=0,0,B46/B16*1000)</f>
        <v>45.014584232135221</v>
      </c>
      <c r="C198" s="97">
        <f t="shared" si="205"/>
        <v>52.596236023263067</v>
      </c>
      <c r="D198" s="97">
        <f t="shared" si="205"/>
        <v>56.313879181770439</v>
      </c>
      <c r="E198" s="97">
        <f t="shared" si="205"/>
        <v>55.713457076406776</v>
      </c>
      <c r="F198" s="97">
        <f t="shared" si="205"/>
        <v>48.036812558568585</v>
      </c>
      <c r="G198" s="97">
        <f t="shared" si="205"/>
        <v>47.466998787666043</v>
      </c>
      <c r="H198" s="97">
        <f t="shared" si="205"/>
        <v>41.242868610535368</v>
      </c>
      <c r="I198" s="97">
        <f t="shared" si="205"/>
        <v>43.108039588919311</v>
      </c>
      <c r="J198" s="97">
        <f t="shared" si="205"/>
        <v>38.866840403817008</v>
      </c>
      <c r="K198" s="97">
        <f t="shared" si="205"/>
        <v>28.133025444613118</v>
      </c>
      <c r="L198" s="97">
        <f t="shared" si="205"/>
        <v>41.47105992795035</v>
      </c>
      <c r="M198" s="97">
        <f t="shared" si="205"/>
        <v>37.331829363909335</v>
      </c>
      <c r="N198" s="97">
        <f t="shared" si="205"/>
        <v>28.525979337775173</v>
      </c>
      <c r="O198" s="97">
        <f t="shared" si="205"/>
        <v>27.528527132110579</v>
      </c>
      <c r="P198" s="97">
        <f t="shared" si="205"/>
        <v>27.274626896051636</v>
      </c>
      <c r="Q198" s="97">
        <f t="shared" si="205"/>
        <v>25.857617734383087</v>
      </c>
      <c r="R198" s="97">
        <f t="shared" si="205"/>
        <v>23.317295739278791</v>
      </c>
      <c r="S198" s="97">
        <f t="shared" si="205"/>
        <v>22.784833426834723</v>
      </c>
      <c r="T198" s="97">
        <f t="shared" si="205"/>
        <v>21.109607614503037</v>
      </c>
      <c r="U198" s="97">
        <f t="shared" si="205"/>
        <v>21.275325350861348</v>
      </c>
      <c r="V198" s="97">
        <f t="shared" si="205"/>
        <v>56.047592935643621</v>
      </c>
      <c r="W198" s="97">
        <f t="shared" si="205"/>
        <v>61.576518921655655</v>
      </c>
      <c r="X198" s="97">
        <f t="shared" si="205"/>
        <v>22.917686372966333</v>
      </c>
      <c r="Y198" s="97">
        <f t="shared" si="205"/>
        <v>20.766709591166403</v>
      </c>
      <c r="DA198" s="175" t="s">
        <v>300</v>
      </c>
    </row>
    <row r="199" spans="1:105" ht="11.45" customHeight="1" x14ac:dyDescent="0.25">
      <c r="A199" s="27" t="s">
        <v>156</v>
      </c>
      <c r="B199" s="32">
        <f t="shared" ref="B199:Y199" si="206">IF(B47=0,0,B47/B17*1000)</f>
        <v>113.91146470737118</v>
      </c>
      <c r="C199" s="32">
        <f t="shared" si="206"/>
        <v>110.83206502381678</v>
      </c>
      <c r="D199" s="32">
        <f t="shared" si="206"/>
        <v>101.95148692194773</v>
      </c>
      <c r="E199" s="32">
        <f t="shared" si="206"/>
        <v>96.397035370330826</v>
      </c>
      <c r="F199" s="32">
        <f t="shared" si="206"/>
        <v>96.030525449452526</v>
      </c>
      <c r="G199" s="32">
        <f t="shared" si="206"/>
        <v>94.780553996532305</v>
      </c>
      <c r="H199" s="32">
        <f t="shared" si="206"/>
        <v>101.32033521525811</v>
      </c>
      <c r="I199" s="32">
        <f t="shared" si="206"/>
        <v>103.22560168913903</v>
      </c>
      <c r="J199" s="32">
        <f t="shared" si="206"/>
        <v>99.173923074388</v>
      </c>
      <c r="K199" s="32">
        <f t="shared" si="206"/>
        <v>112.78434058987747</v>
      </c>
      <c r="L199" s="32">
        <f t="shared" si="206"/>
        <v>104.22147252858717</v>
      </c>
      <c r="M199" s="32">
        <f t="shared" si="206"/>
        <v>101.96407218093941</v>
      </c>
      <c r="N199" s="32">
        <f t="shared" si="206"/>
        <v>100.73198271383319</v>
      </c>
      <c r="O199" s="32">
        <f t="shared" si="206"/>
        <v>103.93008134865144</v>
      </c>
      <c r="P199" s="32">
        <f t="shared" si="206"/>
        <v>104.26249056882357</v>
      </c>
      <c r="Q199" s="32">
        <f t="shared" si="206"/>
        <v>101.86458058237061</v>
      </c>
      <c r="R199" s="32">
        <f t="shared" si="206"/>
        <v>96.544678531017269</v>
      </c>
      <c r="S199" s="32">
        <f t="shared" si="206"/>
        <v>93.683532851046138</v>
      </c>
      <c r="T199" s="32">
        <f t="shared" si="206"/>
        <v>95.045174071335296</v>
      </c>
      <c r="U199" s="32">
        <f t="shared" si="206"/>
        <v>92.554966679646782</v>
      </c>
      <c r="V199" s="32">
        <f t="shared" si="206"/>
        <v>97.865998871800471</v>
      </c>
      <c r="W199" s="32">
        <f t="shared" si="206"/>
        <v>97.095527390345737</v>
      </c>
      <c r="X199" s="32">
        <f t="shared" si="206"/>
        <v>100.58208033182945</v>
      </c>
      <c r="Y199" s="32">
        <f t="shared" si="206"/>
        <v>100.55642922286781</v>
      </c>
      <c r="DA199" s="173" t="s">
        <v>424</v>
      </c>
    </row>
    <row r="200" spans="1:105" ht="11.45" customHeight="1" x14ac:dyDescent="0.25">
      <c r="A200" s="136" t="str">
        <f>$A$18</f>
        <v>Road transport</v>
      </c>
      <c r="B200" s="141">
        <f t="shared" ref="B200:Y200" si="207">IF(B48=0,0,B48/B18*1000)</f>
        <v>115.6107788442538</v>
      </c>
      <c r="C200" s="141">
        <f t="shared" si="207"/>
        <v>112.08312191539321</v>
      </c>
      <c r="D200" s="141">
        <f t="shared" si="207"/>
        <v>101.37780010110953</v>
      </c>
      <c r="E200" s="141">
        <f t="shared" si="207"/>
        <v>95.274533246972567</v>
      </c>
      <c r="F200" s="141">
        <f t="shared" si="207"/>
        <v>93.73264435914119</v>
      </c>
      <c r="G200" s="141">
        <f t="shared" si="207"/>
        <v>92.537536738530548</v>
      </c>
      <c r="H200" s="141">
        <f t="shared" si="207"/>
        <v>96.493506712046667</v>
      </c>
      <c r="I200" s="141">
        <f t="shared" si="207"/>
        <v>99.219747832026485</v>
      </c>
      <c r="J200" s="141">
        <f t="shared" si="207"/>
        <v>94.640941114167177</v>
      </c>
      <c r="K200" s="141">
        <f t="shared" si="207"/>
        <v>107.60463889146835</v>
      </c>
      <c r="L200" s="141">
        <f t="shared" si="207"/>
        <v>98.410609746097137</v>
      </c>
      <c r="M200" s="141">
        <f t="shared" si="207"/>
        <v>97.51369639420075</v>
      </c>
      <c r="N200" s="141">
        <f t="shared" si="207"/>
        <v>96.848094264465573</v>
      </c>
      <c r="O200" s="141">
        <f t="shared" si="207"/>
        <v>99.681848403517279</v>
      </c>
      <c r="P200" s="141">
        <f t="shared" si="207"/>
        <v>99.285247932388529</v>
      </c>
      <c r="Q200" s="141">
        <f t="shared" si="207"/>
        <v>97.883251601687434</v>
      </c>
      <c r="R200" s="141">
        <f t="shared" si="207"/>
        <v>91.782998837245316</v>
      </c>
      <c r="S200" s="141">
        <f t="shared" si="207"/>
        <v>89.666944440513788</v>
      </c>
      <c r="T200" s="141">
        <f t="shared" si="207"/>
        <v>90.642721022681059</v>
      </c>
      <c r="U200" s="141">
        <f t="shared" si="207"/>
        <v>87.938720897880557</v>
      </c>
      <c r="V200" s="141">
        <f t="shared" si="207"/>
        <v>90.075958756052415</v>
      </c>
      <c r="W200" s="141">
        <f t="shared" si="207"/>
        <v>89.297224641830397</v>
      </c>
      <c r="X200" s="141">
        <f t="shared" si="207"/>
        <v>94.902312302573534</v>
      </c>
      <c r="Y200" s="141">
        <f t="shared" si="207"/>
        <v>95.510762795087544</v>
      </c>
      <c r="DA200" s="174" t="s">
        <v>425</v>
      </c>
    </row>
    <row r="201" spans="1:105" ht="11.45" customHeight="1" x14ac:dyDescent="0.25">
      <c r="A201" s="128" t="str">
        <f>$A$19</f>
        <v>Light commercial vehicles</v>
      </c>
      <c r="B201" s="97">
        <f t="shared" ref="B201:Y201" si="208">IF(B49=0,0,B49/B19*1000)</f>
        <v>257.23741553597654</v>
      </c>
      <c r="C201" s="97">
        <f t="shared" si="208"/>
        <v>245.26202177370573</v>
      </c>
      <c r="D201" s="97">
        <f t="shared" si="208"/>
        <v>240.77286688565178</v>
      </c>
      <c r="E201" s="97">
        <f t="shared" si="208"/>
        <v>237.1995545936914</v>
      </c>
      <c r="F201" s="97">
        <f t="shared" si="208"/>
        <v>238.41087888031171</v>
      </c>
      <c r="G201" s="97">
        <f t="shared" si="208"/>
        <v>236.64801914517193</v>
      </c>
      <c r="H201" s="97">
        <f t="shared" si="208"/>
        <v>237.21891637189091</v>
      </c>
      <c r="I201" s="97">
        <f t="shared" si="208"/>
        <v>238.37491503046991</v>
      </c>
      <c r="J201" s="97">
        <f t="shared" si="208"/>
        <v>231.59681405164068</v>
      </c>
      <c r="K201" s="97">
        <f t="shared" si="208"/>
        <v>228.08416887623741</v>
      </c>
      <c r="L201" s="97">
        <f t="shared" si="208"/>
        <v>223.77672774460416</v>
      </c>
      <c r="M201" s="97">
        <f t="shared" si="208"/>
        <v>220.94305390577381</v>
      </c>
      <c r="N201" s="97">
        <f t="shared" si="208"/>
        <v>218.66383434886313</v>
      </c>
      <c r="O201" s="97">
        <f t="shared" si="208"/>
        <v>217.68410945354762</v>
      </c>
      <c r="P201" s="97">
        <f t="shared" si="208"/>
        <v>218.3412622128586</v>
      </c>
      <c r="Q201" s="97">
        <f t="shared" si="208"/>
        <v>222.2486529641443</v>
      </c>
      <c r="R201" s="97">
        <f t="shared" si="208"/>
        <v>219.22757358575956</v>
      </c>
      <c r="S201" s="97">
        <f t="shared" si="208"/>
        <v>215.60999647005875</v>
      </c>
      <c r="T201" s="97">
        <f t="shared" si="208"/>
        <v>214.11450451475298</v>
      </c>
      <c r="U201" s="97">
        <f t="shared" si="208"/>
        <v>210.06146780624039</v>
      </c>
      <c r="V201" s="97">
        <f t="shared" si="208"/>
        <v>207.5498511581736</v>
      </c>
      <c r="W201" s="97">
        <f t="shared" si="208"/>
        <v>209.43331875738406</v>
      </c>
      <c r="X201" s="97">
        <f t="shared" si="208"/>
        <v>219.96909676581453</v>
      </c>
      <c r="Y201" s="97">
        <f t="shared" si="208"/>
        <v>219.40362713429633</v>
      </c>
      <c r="DA201" s="175" t="s">
        <v>426</v>
      </c>
    </row>
    <row r="202" spans="1:105" ht="11.45" customHeight="1" x14ac:dyDescent="0.25">
      <c r="A202" s="128" t="str">
        <f>$A$20</f>
        <v>Heavy goods vehicles</v>
      </c>
      <c r="B202" s="97">
        <f t="shared" ref="B202:Y202" si="209">IF(B50=0,0,B50/B20*1000)</f>
        <v>91.539108197984163</v>
      </c>
      <c r="C202" s="97">
        <f t="shared" si="209"/>
        <v>89.6537743595688</v>
      </c>
      <c r="D202" s="97">
        <f t="shared" si="209"/>
        <v>79.733129060116141</v>
      </c>
      <c r="E202" s="97">
        <f t="shared" si="209"/>
        <v>73.818382296599125</v>
      </c>
      <c r="F202" s="97">
        <f t="shared" si="209"/>
        <v>72.836014299396894</v>
      </c>
      <c r="G202" s="97">
        <f t="shared" si="209"/>
        <v>71.496861338209428</v>
      </c>
      <c r="H202" s="97">
        <f t="shared" si="209"/>
        <v>74.3334693479066</v>
      </c>
      <c r="I202" s="97">
        <f t="shared" si="209"/>
        <v>77.109293755144876</v>
      </c>
      <c r="J202" s="97">
        <f t="shared" si="209"/>
        <v>70.714367188132073</v>
      </c>
      <c r="K202" s="97">
        <f t="shared" si="209"/>
        <v>76.840674167297621</v>
      </c>
      <c r="L202" s="97">
        <f t="shared" si="209"/>
        <v>67.530368323016788</v>
      </c>
      <c r="M202" s="97">
        <f t="shared" si="209"/>
        <v>65.675363944017235</v>
      </c>
      <c r="N202" s="97">
        <f t="shared" si="209"/>
        <v>66.22321861887275</v>
      </c>
      <c r="O202" s="97">
        <f t="shared" si="209"/>
        <v>68.338478980348427</v>
      </c>
      <c r="P202" s="97">
        <f t="shared" si="209"/>
        <v>70.011966597452968</v>
      </c>
      <c r="Q202" s="97">
        <f t="shared" si="209"/>
        <v>69.458536008585739</v>
      </c>
      <c r="R202" s="97">
        <f t="shared" si="209"/>
        <v>66.949992462156089</v>
      </c>
      <c r="S202" s="97">
        <f t="shared" si="209"/>
        <v>65.383664761724944</v>
      </c>
      <c r="T202" s="97">
        <f t="shared" si="209"/>
        <v>67.108657549773355</v>
      </c>
      <c r="U202" s="97">
        <f t="shared" si="209"/>
        <v>66.533336099584957</v>
      </c>
      <c r="V202" s="97">
        <f t="shared" si="209"/>
        <v>65.603974561980309</v>
      </c>
      <c r="W202" s="97">
        <f t="shared" si="209"/>
        <v>66.342041914747654</v>
      </c>
      <c r="X202" s="97">
        <f t="shared" si="209"/>
        <v>70.097793944925826</v>
      </c>
      <c r="Y202" s="97">
        <f t="shared" si="209"/>
        <v>70.297570196220505</v>
      </c>
      <c r="DA202" s="175" t="s">
        <v>427</v>
      </c>
    </row>
    <row r="203" spans="1:105" ht="11.45" customHeight="1" x14ac:dyDescent="0.25">
      <c r="A203" s="109" t="str">
        <f>$A$21</f>
        <v>Rail transport</v>
      </c>
      <c r="B203" s="130">
        <f t="shared" ref="B203:Y203" si="210">IF(B51=0,0,B51/B21*1000)</f>
        <v>11.734710330422155</v>
      </c>
      <c r="C203" s="130">
        <f t="shared" si="210"/>
        <v>11.942221587577725</v>
      </c>
      <c r="D203" s="130">
        <f t="shared" si="210"/>
        <v>12.522920068460014</v>
      </c>
      <c r="E203" s="130">
        <f t="shared" si="210"/>
        <v>12.410189398380309</v>
      </c>
      <c r="F203" s="130">
        <f t="shared" si="210"/>
        <v>11.891287332105096</v>
      </c>
      <c r="G203" s="130">
        <f t="shared" si="210"/>
        <v>11.603630244830903</v>
      </c>
      <c r="H203" s="130">
        <f t="shared" si="210"/>
        <v>11.496482601411598</v>
      </c>
      <c r="I203" s="130">
        <f t="shared" si="210"/>
        <v>11.561572521360658</v>
      </c>
      <c r="J203" s="130">
        <f t="shared" si="210"/>
        <v>11.330321269323701</v>
      </c>
      <c r="K203" s="130">
        <f t="shared" si="210"/>
        <v>9.9132184943939574</v>
      </c>
      <c r="L203" s="130">
        <f t="shared" si="210"/>
        <v>10.597896659874815</v>
      </c>
      <c r="M203" s="130">
        <f t="shared" si="210"/>
        <v>10.627739695504774</v>
      </c>
      <c r="N203" s="130">
        <f t="shared" si="210"/>
        <v>10.229543757846164</v>
      </c>
      <c r="O203" s="130">
        <f t="shared" si="210"/>
        <v>10.078813350731501</v>
      </c>
      <c r="P203" s="130">
        <f t="shared" si="210"/>
        <v>10.457254401237087</v>
      </c>
      <c r="Q203" s="130">
        <f t="shared" si="210"/>
        <v>10.335869920871142</v>
      </c>
      <c r="R203" s="130">
        <f t="shared" si="210"/>
        <v>10.226488178387742</v>
      </c>
      <c r="S203" s="130">
        <f t="shared" si="210"/>
        <v>10.002422830292543</v>
      </c>
      <c r="T203" s="130">
        <f t="shared" si="210"/>
        <v>9.904823414800406</v>
      </c>
      <c r="U203" s="130">
        <f t="shared" si="210"/>
        <v>10.168178910545718</v>
      </c>
      <c r="V203" s="130">
        <f t="shared" si="210"/>
        <v>9.7882868733283779</v>
      </c>
      <c r="W203" s="130">
        <f t="shared" si="210"/>
        <v>11.476433044849481</v>
      </c>
      <c r="X203" s="130">
        <f t="shared" si="210"/>
        <v>19.909113496080362</v>
      </c>
      <c r="Y203" s="130">
        <f t="shared" si="210"/>
        <v>11.449980885097073</v>
      </c>
      <c r="DA203" s="176" t="s">
        <v>428</v>
      </c>
    </row>
    <row r="204" spans="1:105" ht="11.45" customHeight="1" x14ac:dyDescent="0.25">
      <c r="A204" s="109" t="str">
        <f>$A$22</f>
        <v>Aviation</v>
      </c>
      <c r="B204" s="130">
        <f t="shared" ref="B204:Y204" si="211">IF(B52=0,0,B52/B22*1000)</f>
        <v>194.02115694368194</v>
      </c>
      <c r="C204" s="130">
        <f t="shared" si="211"/>
        <v>206.17143180653756</v>
      </c>
      <c r="D204" s="130">
        <f t="shared" si="211"/>
        <v>218.79370186030366</v>
      </c>
      <c r="E204" s="130">
        <f t="shared" si="211"/>
        <v>226.99866934753584</v>
      </c>
      <c r="F204" s="130">
        <f t="shared" si="211"/>
        <v>214.23660566776141</v>
      </c>
      <c r="G204" s="130">
        <f t="shared" si="211"/>
        <v>213.0472564275257</v>
      </c>
      <c r="H204" s="130">
        <f t="shared" si="211"/>
        <v>198.48507692317929</v>
      </c>
      <c r="I204" s="130">
        <f t="shared" si="211"/>
        <v>183.36159199487034</v>
      </c>
      <c r="J204" s="130">
        <f t="shared" si="211"/>
        <v>176.82664606081039</v>
      </c>
      <c r="K204" s="130">
        <f t="shared" si="211"/>
        <v>138.43646745288495</v>
      </c>
      <c r="L204" s="130">
        <f t="shared" si="211"/>
        <v>165.74833352306703</v>
      </c>
      <c r="M204" s="130">
        <f t="shared" si="211"/>
        <v>139.48176825113481</v>
      </c>
      <c r="N204" s="130">
        <f t="shared" si="211"/>
        <v>110.89901990270934</v>
      </c>
      <c r="O204" s="130">
        <f t="shared" si="211"/>
        <v>112.82250246361602</v>
      </c>
      <c r="P204" s="130">
        <f t="shared" si="211"/>
        <v>100.67964695376466</v>
      </c>
      <c r="Q204" s="130">
        <f t="shared" si="211"/>
        <v>98.019141341429275</v>
      </c>
      <c r="R204" s="130">
        <f t="shared" si="211"/>
        <v>82.057505667417274</v>
      </c>
      <c r="S204" s="130">
        <f t="shared" si="211"/>
        <v>78.86179645715977</v>
      </c>
      <c r="T204" s="130">
        <f t="shared" si="211"/>
        <v>81.041411556541448</v>
      </c>
      <c r="U204" s="130">
        <f t="shared" si="211"/>
        <v>84.388681213240886</v>
      </c>
      <c r="V204" s="130">
        <f t="shared" si="211"/>
        <v>136.79087545803094</v>
      </c>
      <c r="W204" s="130">
        <f t="shared" si="211"/>
        <v>145.45809143708061</v>
      </c>
      <c r="X204" s="130">
        <f t="shared" si="211"/>
        <v>97.114649618483185</v>
      </c>
      <c r="Y204" s="130">
        <f t="shared" si="211"/>
        <v>91.969336435853393</v>
      </c>
      <c r="DA204" s="176" t="s">
        <v>301</v>
      </c>
    </row>
    <row r="205" spans="1:105" ht="11.45" customHeight="1" x14ac:dyDescent="0.25">
      <c r="A205" s="128" t="s">
        <v>27</v>
      </c>
      <c r="B205" s="97">
        <f t="shared" ref="B205:Y205" si="212">IF(B53=0,0,B53/B23*1000)</f>
        <v>1057.0868549506924</v>
      </c>
      <c r="C205" s="97">
        <f t="shared" si="212"/>
        <v>1225.5819970853051</v>
      </c>
      <c r="D205" s="97">
        <f t="shared" si="212"/>
        <v>1340.5347693238423</v>
      </c>
      <c r="E205" s="97">
        <f t="shared" si="212"/>
        <v>1088.5357384148147</v>
      </c>
      <c r="F205" s="97">
        <f t="shared" si="212"/>
        <v>1196.2385598077719</v>
      </c>
      <c r="G205" s="97">
        <f t="shared" si="212"/>
        <v>1219.9678493045453</v>
      </c>
      <c r="H205" s="97">
        <f t="shared" si="212"/>
        <v>1521.9325384875533</v>
      </c>
      <c r="I205" s="97">
        <f t="shared" si="212"/>
        <v>1271.9067377310757</v>
      </c>
      <c r="J205" s="97">
        <f t="shared" si="212"/>
        <v>1153.4100719225589</v>
      </c>
      <c r="K205" s="97">
        <f t="shared" si="212"/>
        <v>1071.7398116279551</v>
      </c>
      <c r="L205" s="97">
        <f t="shared" si="212"/>
        <v>1170.6945154663988</v>
      </c>
      <c r="M205" s="97">
        <f t="shared" si="212"/>
        <v>821.13031204323454</v>
      </c>
      <c r="N205" s="97">
        <f t="shared" si="212"/>
        <v>1325.7614459466558</v>
      </c>
      <c r="O205" s="97">
        <f t="shared" si="212"/>
        <v>1292.9509027226004</v>
      </c>
      <c r="P205" s="97">
        <f t="shared" si="212"/>
        <v>1206.8928454705813</v>
      </c>
      <c r="Q205" s="97">
        <f t="shared" si="212"/>
        <v>1097.5817073036444</v>
      </c>
      <c r="R205" s="97">
        <f t="shared" si="212"/>
        <v>460.49516920994307</v>
      </c>
      <c r="S205" s="97">
        <f t="shared" si="212"/>
        <v>647.98030313262859</v>
      </c>
      <c r="T205" s="97">
        <f t="shared" si="212"/>
        <v>604.87507614668914</v>
      </c>
      <c r="U205" s="97">
        <f t="shared" si="212"/>
        <v>615.29463429397367</v>
      </c>
      <c r="V205" s="97">
        <f t="shared" si="212"/>
        <v>570.87511557656626</v>
      </c>
      <c r="W205" s="97">
        <f t="shared" si="212"/>
        <v>774.85403627406288</v>
      </c>
      <c r="X205" s="97">
        <f t="shared" si="212"/>
        <v>1554.1620452265138</v>
      </c>
      <c r="Y205" s="97">
        <f t="shared" si="212"/>
        <v>848.92127756883792</v>
      </c>
      <c r="DA205" s="175" t="s">
        <v>302</v>
      </c>
    </row>
    <row r="206" spans="1:105" ht="11.45" customHeight="1" x14ac:dyDescent="0.25">
      <c r="A206" s="128" t="str">
        <f>$A$24</f>
        <v>International - Intra-EEAwCHUK</v>
      </c>
      <c r="B206" s="97">
        <f t="shared" ref="B206:Y206" si="213">IF(B54=0,0,B54/B24*1000)</f>
        <v>274.14101978110739</v>
      </c>
      <c r="C206" s="97">
        <f t="shared" si="213"/>
        <v>284.97761816655805</v>
      </c>
      <c r="D206" s="97">
        <f t="shared" si="213"/>
        <v>322.16830539482032</v>
      </c>
      <c r="E206" s="97">
        <f t="shared" si="213"/>
        <v>320.809811236374</v>
      </c>
      <c r="F206" s="97">
        <f t="shared" si="213"/>
        <v>330.23207045901677</v>
      </c>
      <c r="G206" s="97">
        <f t="shared" si="213"/>
        <v>325.61603987159913</v>
      </c>
      <c r="H206" s="97">
        <f t="shared" si="213"/>
        <v>322.25508866249885</v>
      </c>
      <c r="I206" s="97">
        <f t="shared" si="213"/>
        <v>368.78525091655206</v>
      </c>
      <c r="J206" s="97">
        <f t="shared" si="213"/>
        <v>341.53571464651213</v>
      </c>
      <c r="K206" s="97">
        <f t="shared" si="213"/>
        <v>248.73751987026276</v>
      </c>
      <c r="L206" s="97">
        <f t="shared" si="213"/>
        <v>334.36778269107447</v>
      </c>
      <c r="M206" s="97">
        <f t="shared" si="213"/>
        <v>288.09904070314627</v>
      </c>
      <c r="N206" s="97">
        <f t="shared" si="213"/>
        <v>223.08501367975529</v>
      </c>
      <c r="O206" s="97">
        <f t="shared" si="213"/>
        <v>251.863132495385</v>
      </c>
      <c r="P206" s="97">
        <f t="shared" si="213"/>
        <v>258.88387854660147</v>
      </c>
      <c r="Q206" s="97">
        <f t="shared" si="213"/>
        <v>293.42005457101595</v>
      </c>
      <c r="R206" s="97">
        <f t="shared" si="213"/>
        <v>253.23861384245672</v>
      </c>
      <c r="S206" s="97">
        <f t="shared" si="213"/>
        <v>318.12617134709643</v>
      </c>
      <c r="T206" s="97">
        <f t="shared" si="213"/>
        <v>316.15410459724853</v>
      </c>
      <c r="U206" s="97">
        <f t="shared" si="213"/>
        <v>315.21446171504482</v>
      </c>
      <c r="V206" s="97">
        <f t="shared" si="213"/>
        <v>247.20235991059099</v>
      </c>
      <c r="W206" s="97">
        <f t="shared" si="213"/>
        <v>257.87699522163587</v>
      </c>
      <c r="X206" s="97">
        <f t="shared" si="213"/>
        <v>290.13297220662497</v>
      </c>
      <c r="Y206" s="97">
        <f t="shared" si="213"/>
        <v>282.52420345497592</v>
      </c>
      <c r="DA206" s="175" t="s">
        <v>303</v>
      </c>
    </row>
    <row r="207" spans="1:105" ht="11.45" customHeight="1" x14ac:dyDescent="0.25">
      <c r="A207" s="128" t="str">
        <f>$A$25</f>
        <v>International - Extra-EEAwCHUK</v>
      </c>
      <c r="B207" s="97">
        <f t="shared" ref="B207:Y207" si="214">IF(B55=0,0,B55/B25*1000)</f>
        <v>138.37103921080509</v>
      </c>
      <c r="C207" s="97">
        <f t="shared" si="214"/>
        <v>147.01651411287435</v>
      </c>
      <c r="D207" s="97">
        <f t="shared" si="214"/>
        <v>165.59272932846244</v>
      </c>
      <c r="E207" s="97">
        <f t="shared" si="214"/>
        <v>183.84338383220663</v>
      </c>
      <c r="F207" s="97">
        <f t="shared" si="214"/>
        <v>173.78446586040482</v>
      </c>
      <c r="G207" s="97">
        <f t="shared" si="214"/>
        <v>150.07722082598136</v>
      </c>
      <c r="H207" s="97">
        <f t="shared" si="214"/>
        <v>116.29500492925381</v>
      </c>
      <c r="I207" s="97">
        <f t="shared" si="214"/>
        <v>104.26266465064052</v>
      </c>
      <c r="J207" s="97">
        <f t="shared" si="214"/>
        <v>106.61793733448293</v>
      </c>
      <c r="K207" s="97">
        <f t="shared" si="214"/>
        <v>73.764992934353387</v>
      </c>
      <c r="L207" s="97">
        <f t="shared" si="214"/>
        <v>97.641248377278302</v>
      </c>
      <c r="M207" s="97">
        <f t="shared" si="214"/>
        <v>81.898259691019447</v>
      </c>
      <c r="N207" s="97">
        <f t="shared" si="214"/>
        <v>72.569512632541304</v>
      </c>
      <c r="O207" s="97">
        <f t="shared" si="214"/>
        <v>76.095807860604296</v>
      </c>
      <c r="P207" s="97">
        <f t="shared" si="214"/>
        <v>63.384849052896691</v>
      </c>
      <c r="Q207" s="97">
        <f t="shared" si="214"/>
        <v>60.294827034863133</v>
      </c>
      <c r="R207" s="97">
        <f t="shared" si="214"/>
        <v>52.263415123435045</v>
      </c>
      <c r="S207" s="97">
        <f t="shared" si="214"/>
        <v>51.114380029980609</v>
      </c>
      <c r="T207" s="97">
        <f t="shared" si="214"/>
        <v>46.614130192371668</v>
      </c>
      <c r="U207" s="97">
        <f t="shared" si="214"/>
        <v>47.522316270167408</v>
      </c>
      <c r="V207" s="97">
        <f t="shared" si="214"/>
        <v>112.72105623652259</v>
      </c>
      <c r="W207" s="97">
        <f t="shared" si="214"/>
        <v>117.07356827631629</v>
      </c>
      <c r="X207" s="97">
        <f t="shared" si="214"/>
        <v>66.399610297640564</v>
      </c>
      <c r="Y207" s="97">
        <f t="shared" si="214"/>
        <v>59.530307396016127</v>
      </c>
      <c r="DA207" s="175" t="s">
        <v>304</v>
      </c>
    </row>
    <row r="208" spans="1:105" ht="11.45" customHeight="1" x14ac:dyDescent="0.25">
      <c r="A208" s="109" t="s">
        <v>141</v>
      </c>
      <c r="B208" s="130">
        <f t="shared" ref="B208:Y208" si="215">IF(B56=0,0,B56/B26*1000)</f>
        <v>251.5666889068292</v>
      </c>
      <c r="C208" s="130">
        <f t="shared" si="215"/>
        <v>290.4103335023002</v>
      </c>
      <c r="D208" s="130">
        <f t="shared" si="215"/>
        <v>441.20351511822355</v>
      </c>
      <c r="E208" s="130">
        <f t="shared" si="215"/>
        <v>426.61009650831829</v>
      </c>
      <c r="F208" s="130">
        <f t="shared" si="215"/>
        <v>660.67527158845814</v>
      </c>
      <c r="G208" s="130">
        <f t="shared" si="215"/>
        <v>456.41555140549701</v>
      </c>
      <c r="H208" s="130">
        <f t="shared" si="215"/>
        <v>724.45996522327664</v>
      </c>
      <c r="I208" s="130">
        <f t="shared" si="215"/>
        <v>673.21052206833451</v>
      </c>
      <c r="J208" s="130">
        <f t="shared" si="215"/>
        <v>651.82210304011278</v>
      </c>
      <c r="K208" s="130">
        <f t="shared" si="215"/>
        <v>575.44780575616721</v>
      </c>
      <c r="L208" s="130">
        <f t="shared" si="215"/>
        <v>625.1375327652737</v>
      </c>
      <c r="M208" s="130">
        <f t="shared" si="215"/>
        <v>380.40734107140474</v>
      </c>
      <c r="N208" s="130">
        <f t="shared" si="215"/>
        <v>269.84821409233058</v>
      </c>
      <c r="O208" s="130">
        <f t="shared" si="215"/>
        <v>338.40986119838436</v>
      </c>
      <c r="P208" s="130">
        <f t="shared" si="215"/>
        <v>427.38581720663984</v>
      </c>
      <c r="Q208" s="130">
        <f t="shared" si="215"/>
        <v>435.49395851102753</v>
      </c>
      <c r="R208" s="130">
        <f t="shared" si="215"/>
        <v>611.85015979033369</v>
      </c>
      <c r="S208" s="130">
        <f t="shared" si="215"/>
        <v>590.49134704238247</v>
      </c>
      <c r="T208" s="130">
        <f t="shared" si="215"/>
        <v>506.81994539510998</v>
      </c>
      <c r="U208" s="130">
        <f t="shared" si="215"/>
        <v>449.31554863047148</v>
      </c>
      <c r="V208" s="130">
        <f t="shared" si="215"/>
        <v>542.29200955553483</v>
      </c>
      <c r="W208" s="130">
        <f t="shared" si="215"/>
        <v>522.9531815062137</v>
      </c>
      <c r="X208" s="130">
        <f t="shared" si="215"/>
        <v>556.32038637748542</v>
      </c>
      <c r="Y208" s="130">
        <f t="shared" si="215"/>
        <v>576.99927131132995</v>
      </c>
      <c r="DA208" s="176" t="s">
        <v>429</v>
      </c>
    </row>
    <row r="209" spans="1:105" ht="11.45" customHeight="1" x14ac:dyDescent="0.25">
      <c r="A209" s="128" t="str">
        <f>$A$27</f>
        <v>Domestic coastal shipping</v>
      </c>
      <c r="B209" s="97">
        <f t="shared" ref="B209:Y209" si="216">IF(B57=0,0,B57/B27*1000)</f>
        <v>251.5666889068292</v>
      </c>
      <c r="C209" s="97">
        <f t="shared" si="216"/>
        <v>290.4103335023002</v>
      </c>
      <c r="D209" s="97">
        <f t="shared" si="216"/>
        <v>441.20351511822355</v>
      </c>
      <c r="E209" s="97">
        <f t="shared" si="216"/>
        <v>426.61009650831829</v>
      </c>
      <c r="F209" s="97">
        <f t="shared" si="216"/>
        <v>660.67527158845814</v>
      </c>
      <c r="G209" s="97">
        <f t="shared" si="216"/>
        <v>456.41555140549701</v>
      </c>
      <c r="H209" s="97">
        <f t="shared" si="216"/>
        <v>724.45996522327664</v>
      </c>
      <c r="I209" s="97">
        <f t="shared" si="216"/>
        <v>673.21052206833451</v>
      </c>
      <c r="J209" s="97">
        <f t="shared" si="216"/>
        <v>651.82210304011278</v>
      </c>
      <c r="K209" s="97">
        <f t="shared" si="216"/>
        <v>575.44780575616721</v>
      </c>
      <c r="L209" s="97">
        <f t="shared" si="216"/>
        <v>625.1375327652737</v>
      </c>
      <c r="M209" s="97">
        <f t="shared" si="216"/>
        <v>380.40734107140474</v>
      </c>
      <c r="N209" s="97">
        <f t="shared" si="216"/>
        <v>269.84821409233058</v>
      </c>
      <c r="O209" s="97">
        <f t="shared" si="216"/>
        <v>338.40986119838436</v>
      </c>
      <c r="P209" s="97">
        <f t="shared" si="216"/>
        <v>427.38581720663984</v>
      </c>
      <c r="Q209" s="97">
        <f t="shared" si="216"/>
        <v>435.49395851102753</v>
      </c>
      <c r="R209" s="97">
        <f t="shared" si="216"/>
        <v>611.85015979033369</v>
      </c>
      <c r="S209" s="97">
        <f t="shared" si="216"/>
        <v>590.49134704238247</v>
      </c>
      <c r="T209" s="97">
        <f t="shared" si="216"/>
        <v>506.81994539510998</v>
      </c>
      <c r="U209" s="97">
        <f t="shared" si="216"/>
        <v>449.31554863047148</v>
      </c>
      <c r="V209" s="97">
        <f t="shared" si="216"/>
        <v>542.29200955553483</v>
      </c>
      <c r="W209" s="97">
        <f t="shared" si="216"/>
        <v>522.9531815062137</v>
      </c>
      <c r="X209" s="97">
        <f t="shared" si="216"/>
        <v>556.32038637748542</v>
      </c>
      <c r="Y209" s="97">
        <f t="shared" si="216"/>
        <v>576.99927131132995</v>
      </c>
      <c r="DA209" s="175" t="s">
        <v>430</v>
      </c>
    </row>
    <row r="210" spans="1:105" ht="11.45" customHeight="1" x14ac:dyDescent="0.25">
      <c r="A210" s="138" t="str">
        <f>$A$28</f>
        <v>Inland waterways</v>
      </c>
      <c r="B210" s="98">
        <f t="shared" ref="B210:Y210" si="217">IF(B58=0,0,B58/B28*1000)</f>
        <v>0</v>
      </c>
      <c r="C210" s="98">
        <f t="shared" si="217"/>
        <v>0</v>
      </c>
      <c r="D210" s="98">
        <f t="shared" si="217"/>
        <v>0</v>
      </c>
      <c r="E210" s="98">
        <f t="shared" si="217"/>
        <v>0</v>
      </c>
      <c r="F210" s="98">
        <f t="shared" si="217"/>
        <v>0</v>
      </c>
      <c r="G210" s="98">
        <f t="shared" si="217"/>
        <v>0</v>
      </c>
      <c r="H210" s="98">
        <f t="shared" si="217"/>
        <v>0</v>
      </c>
      <c r="I210" s="98">
        <f t="shared" si="217"/>
        <v>0</v>
      </c>
      <c r="J210" s="98">
        <f t="shared" si="217"/>
        <v>0</v>
      </c>
      <c r="K210" s="98">
        <f t="shared" si="217"/>
        <v>0</v>
      </c>
      <c r="L210" s="98">
        <f t="shared" si="217"/>
        <v>0</v>
      </c>
      <c r="M210" s="98">
        <f t="shared" si="217"/>
        <v>0</v>
      </c>
      <c r="N210" s="98">
        <f t="shared" si="217"/>
        <v>0</v>
      </c>
      <c r="O210" s="98">
        <f t="shared" si="217"/>
        <v>0</v>
      </c>
      <c r="P210" s="98">
        <f t="shared" si="217"/>
        <v>0</v>
      </c>
      <c r="Q210" s="98">
        <f t="shared" si="217"/>
        <v>0</v>
      </c>
      <c r="R210" s="98">
        <f t="shared" si="217"/>
        <v>0</v>
      </c>
      <c r="S210" s="98">
        <f t="shared" si="217"/>
        <v>0</v>
      </c>
      <c r="T210" s="98">
        <f t="shared" si="217"/>
        <v>0</v>
      </c>
      <c r="U210" s="98">
        <f t="shared" si="217"/>
        <v>0</v>
      </c>
      <c r="V210" s="98">
        <f t="shared" si="217"/>
        <v>0</v>
      </c>
      <c r="W210" s="98">
        <f t="shared" si="217"/>
        <v>0</v>
      </c>
      <c r="X210" s="98">
        <f t="shared" si="217"/>
        <v>0</v>
      </c>
      <c r="Y210" s="98">
        <f t="shared" si="217"/>
        <v>0</v>
      </c>
      <c r="DA210" s="178" t="s">
        <v>431</v>
      </c>
    </row>
    <row r="211" spans="1:105" ht="11.45" customHeight="1" x14ac:dyDescent="0.25">
      <c r="A211" s="27" t="s">
        <v>172</v>
      </c>
      <c r="B211" s="32">
        <f t="shared" ref="B211:Y211" si="218">IF(B59=0,0,B59/B29*1000)</f>
        <v>3.2732568235673027</v>
      </c>
      <c r="C211" s="32">
        <f t="shared" si="218"/>
        <v>3.1298014380899297</v>
      </c>
      <c r="D211" s="32">
        <f t="shared" si="218"/>
        <v>2.5401527863077131</v>
      </c>
      <c r="E211" s="32">
        <f t="shared" si="218"/>
        <v>3.007738535607595</v>
      </c>
      <c r="F211" s="32">
        <f t="shared" si="218"/>
        <v>2.626946262302587</v>
      </c>
      <c r="G211" s="32">
        <f t="shared" si="218"/>
        <v>1.7794226971739637</v>
      </c>
      <c r="H211" s="32">
        <f t="shared" si="218"/>
        <v>4.3125723700806926</v>
      </c>
      <c r="I211" s="32">
        <f t="shared" si="218"/>
        <v>1.7411890762685536</v>
      </c>
      <c r="J211" s="32">
        <f t="shared" si="218"/>
        <v>1.1894164682071773</v>
      </c>
      <c r="K211" s="32">
        <f t="shared" si="218"/>
        <v>2.3317947512556647</v>
      </c>
      <c r="L211" s="32">
        <f t="shared" si="218"/>
        <v>3.0654220448348477</v>
      </c>
      <c r="M211" s="32">
        <f t="shared" si="218"/>
        <v>2.3526534806710817</v>
      </c>
      <c r="N211" s="32">
        <f t="shared" si="218"/>
        <v>2.528670962090164</v>
      </c>
      <c r="O211" s="32">
        <f t="shared" si="218"/>
        <v>2.9928915331409991</v>
      </c>
      <c r="P211" s="32">
        <f t="shared" si="218"/>
        <v>2.6779398796355687</v>
      </c>
      <c r="Q211" s="32">
        <f t="shared" si="218"/>
        <v>2.9573671206909005</v>
      </c>
      <c r="R211" s="32">
        <f t="shared" si="218"/>
        <v>3.0289074572469259</v>
      </c>
      <c r="S211" s="32">
        <f t="shared" si="218"/>
        <v>2.827646608625372</v>
      </c>
      <c r="T211" s="32">
        <f t="shared" si="218"/>
        <v>3.1082085771908137</v>
      </c>
      <c r="U211" s="32">
        <f t="shared" si="218"/>
        <v>2.6612148617422706</v>
      </c>
      <c r="V211" s="32">
        <f t="shared" si="218"/>
        <v>2.8592573578262717</v>
      </c>
      <c r="W211" s="32">
        <f t="shared" si="218"/>
        <v>2.9254679876121643</v>
      </c>
      <c r="X211" s="32">
        <f t="shared" si="218"/>
        <v>2.130899265139687</v>
      </c>
      <c r="Y211" s="32">
        <f t="shared" si="218"/>
        <v>2.6142550533352091</v>
      </c>
      <c r="DA211" s="173" t="s">
        <v>432</v>
      </c>
    </row>
    <row r="212" spans="1:105" ht="11.45" customHeight="1" x14ac:dyDescent="0.25">
      <c r="A212" s="128" t="str">
        <f>$A$30</f>
        <v>Intra-EEA</v>
      </c>
      <c r="B212" s="97">
        <f t="shared" ref="B212:Y212" si="219">IF(B60=0,0,B60/B30*1000)</f>
        <v>6.0053329263023834</v>
      </c>
      <c r="C212" s="97">
        <f t="shared" si="219"/>
        <v>5.935053611953454</v>
      </c>
      <c r="D212" s="97">
        <f t="shared" si="219"/>
        <v>4.7961396938323073</v>
      </c>
      <c r="E212" s="97">
        <f t="shared" si="219"/>
        <v>5.4265253092497696</v>
      </c>
      <c r="F212" s="97">
        <f t="shared" si="219"/>
        <v>4.5037782840905374</v>
      </c>
      <c r="G212" s="97">
        <f t="shared" si="219"/>
        <v>3.107585507534333</v>
      </c>
      <c r="H212" s="97">
        <f t="shared" si="219"/>
        <v>4.670601993389158</v>
      </c>
      <c r="I212" s="97">
        <f t="shared" si="219"/>
        <v>2.8841237698190314</v>
      </c>
      <c r="J212" s="97">
        <f t="shared" si="219"/>
        <v>1.9839345776339148</v>
      </c>
      <c r="K212" s="97">
        <f t="shared" si="219"/>
        <v>3.360135760522958</v>
      </c>
      <c r="L212" s="97">
        <f t="shared" si="219"/>
        <v>4.5753223340107239</v>
      </c>
      <c r="M212" s="97">
        <f t="shared" si="219"/>
        <v>3.7700202326291046</v>
      </c>
      <c r="N212" s="97">
        <f t="shared" si="219"/>
        <v>4.2903830376132834</v>
      </c>
      <c r="O212" s="97">
        <f t="shared" si="219"/>
        <v>4.6897608729479314</v>
      </c>
      <c r="P212" s="97">
        <f t="shared" si="219"/>
        <v>4.4725054080629558</v>
      </c>
      <c r="Q212" s="97">
        <f t="shared" si="219"/>
        <v>4.8743014468445471</v>
      </c>
      <c r="R212" s="97">
        <f t="shared" si="219"/>
        <v>4.7401524548925558</v>
      </c>
      <c r="S212" s="97">
        <f t="shared" si="219"/>
        <v>4.4834946951990311</v>
      </c>
      <c r="T212" s="97">
        <f t="shared" si="219"/>
        <v>4.7916957379955925</v>
      </c>
      <c r="U212" s="97">
        <f t="shared" si="219"/>
        <v>4.012740031673645</v>
      </c>
      <c r="V212" s="97">
        <f t="shared" si="219"/>
        <v>4.1488459006236678</v>
      </c>
      <c r="W212" s="97">
        <f t="shared" si="219"/>
        <v>4.2389797828944769</v>
      </c>
      <c r="X212" s="97">
        <f t="shared" si="219"/>
        <v>3.3789436473180738</v>
      </c>
      <c r="Y212" s="97">
        <f t="shared" si="219"/>
        <v>3.5978837517630891</v>
      </c>
      <c r="DA212" s="175" t="s">
        <v>433</v>
      </c>
    </row>
    <row r="213" spans="1:105" ht="11.45" customHeight="1" x14ac:dyDescent="0.25">
      <c r="A213" s="138" t="str">
        <f>$A$31</f>
        <v>Extra-EEA</v>
      </c>
      <c r="B213" s="98">
        <f t="shared" ref="B213:Y213" si="220">IF(B61=0,0,B61/B31*1000)</f>
        <v>2.3912232398750994</v>
      </c>
      <c r="C213" s="98">
        <f t="shared" si="220"/>
        <v>2.2688072386978129</v>
      </c>
      <c r="D213" s="98">
        <f t="shared" si="220"/>
        <v>1.8737623317980194</v>
      </c>
      <c r="E213" s="98">
        <f t="shared" si="220"/>
        <v>2.2111710040435311</v>
      </c>
      <c r="F213" s="98">
        <f t="shared" si="220"/>
        <v>1.9261630234622305</v>
      </c>
      <c r="G213" s="98">
        <f t="shared" si="220"/>
        <v>1.2988538161692709</v>
      </c>
      <c r="H213" s="98">
        <f t="shared" si="220"/>
        <v>3.9409839609722561</v>
      </c>
      <c r="I213" s="98">
        <f t="shared" si="220"/>
        <v>1.2559593578563206</v>
      </c>
      <c r="J213" s="98">
        <f t="shared" si="220"/>
        <v>0.86130615353049189</v>
      </c>
      <c r="K213" s="98">
        <f t="shared" si="220"/>
        <v>1.7709600240091345</v>
      </c>
      <c r="L213" s="98">
        <f t="shared" si="220"/>
        <v>2.2900933645502315</v>
      </c>
      <c r="M213" s="98">
        <f t="shared" si="220"/>
        <v>1.7512014112168139</v>
      </c>
      <c r="N213" s="98">
        <f t="shared" si="220"/>
        <v>1.8255262881446175</v>
      </c>
      <c r="O213" s="98">
        <f t="shared" si="220"/>
        <v>2.1744216248670045</v>
      </c>
      <c r="P213" s="98">
        <f t="shared" si="220"/>
        <v>1.9397970939130551</v>
      </c>
      <c r="Q213" s="98">
        <f t="shared" si="220"/>
        <v>2.1347856937340559</v>
      </c>
      <c r="R213" s="98">
        <f t="shared" si="220"/>
        <v>2.2453022501255004</v>
      </c>
      <c r="S213" s="98">
        <f t="shared" si="220"/>
        <v>2.0931158144000324</v>
      </c>
      <c r="T213" s="98">
        <f t="shared" si="220"/>
        <v>2.3000271395069265</v>
      </c>
      <c r="U213" s="98">
        <f t="shared" si="220"/>
        <v>1.9840356238237791</v>
      </c>
      <c r="V213" s="98">
        <f t="shared" si="220"/>
        <v>2.2574761155136085</v>
      </c>
      <c r="W213" s="98">
        <f t="shared" si="220"/>
        <v>2.2692752698415721</v>
      </c>
      <c r="X213" s="98">
        <f t="shared" si="220"/>
        <v>1.5542589648142837</v>
      </c>
      <c r="Y213" s="98">
        <f t="shared" si="220"/>
        <v>1.9654507632304334</v>
      </c>
      <c r="DA213" s="178" t="s">
        <v>434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DA215" s="172"/>
    </row>
    <row r="216" spans="1:105" ht="11.45" customHeight="1" x14ac:dyDescent="0.25">
      <c r="A216" s="27" t="s">
        <v>160</v>
      </c>
      <c r="B216" s="32">
        <f t="shared" ref="B216:Y216" si="221">IF(B4=0,0,B64/B4*1000)</f>
        <v>145.87183889231679</v>
      </c>
      <c r="C216" s="32">
        <f t="shared" si="221"/>
        <v>148.39071326358024</v>
      </c>
      <c r="D216" s="32">
        <f t="shared" si="221"/>
        <v>147.70166661248862</v>
      </c>
      <c r="E216" s="32">
        <f t="shared" si="221"/>
        <v>142.77169091398761</v>
      </c>
      <c r="F216" s="32">
        <f t="shared" si="221"/>
        <v>136.29029026703421</v>
      </c>
      <c r="G216" s="32">
        <f t="shared" si="221"/>
        <v>138.1775317784668</v>
      </c>
      <c r="H216" s="32">
        <f t="shared" si="221"/>
        <v>141.29334199655767</v>
      </c>
      <c r="I216" s="32">
        <f t="shared" si="221"/>
        <v>139.52652787886188</v>
      </c>
      <c r="J216" s="32">
        <f t="shared" si="221"/>
        <v>134.3295986329141</v>
      </c>
      <c r="K216" s="32">
        <f t="shared" si="221"/>
        <v>122.85069129977113</v>
      </c>
      <c r="L216" s="32">
        <f t="shared" si="221"/>
        <v>130.15615577559927</v>
      </c>
      <c r="M216" s="32">
        <f t="shared" si="221"/>
        <v>124.58581503745309</v>
      </c>
      <c r="N216" s="32">
        <f t="shared" si="221"/>
        <v>119.34376117410683</v>
      </c>
      <c r="O216" s="32">
        <f t="shared" si="221"/>
        <v>119.37059901411283</v>
      </c>
      <c r="P216" s="32">
        <f t="shared" si="221"/>
        <v>125.40184609202009</v>
      </c>
      <c r="Q216" s="32">
        <f t="shared" si="221"/>
        <v>119.81618014898388</v>
      </c>
      <c r="R216" s="32">
        <f t="shared" si="221"/>
        <v>117.10102757283659</v>
      </c>
      <c r="S216" s="32">
        <f t="shared" si="221"/>
        <v>114.12719622402803</v>
      </c>
      <c r="T216" s="32">
        <f t="shared" si="221"/>
        <v>111.75614616956852</v>
      </c>
      <c r="U216" s="32">
        <f t="shared" si="221"/>
        <v>107.89713815630323</v>
      </c>
      <c r="V216" s="32">
        <f t="shared" si="221"/>
        <v>117.63263950916829</v>
      </c>
      <c r="W216" s="32">
        <f t="shared" si="221"/>
        <v>116.19017689227124</v>
      </c>
      <c r="X216" s="32">
        <f t="shared" si="221"/>
        <v>106.49092197780431</v>
      </c>
      <c r="Y216" s="32">
        <f t="shared" si="221"/>
        <v>99.202808254656119</v>
      </c>
      <c r="DA216" s="173" t="s">
        <v>435</v>
      </c>
    </row>
    <row r="217" spans="1:105" ht="11.45" customHeight="1" x14ac:dyDescent="0.25">
      <c r="A217" s="136" t="str">
        <f>$A$5</f>
        <v>Road transport</v>
      </c>
      <c r="B217" s="141">
        <f t="shared" ref="B217:Y217" si="222">IF(B5=0,0,B65/B5*1000)</f>
        <v>148.37314172534161</v>
      </c>
      <c r="C217" s="141">
        <f t="shared" si="222"/>
        <v>146.37986600642728</v>
      </c>
      <c r="D217" s="141">
        <f t="shared" si="222"/>
        <v>143.0760423632191</v>
      </c>
      <c r="E217" s="141">
        <f t="shared" si="222"/>
        <v>136.66214344454619</v>
      </c>
      <c r="F217" s="141">
        <f t="shared" si="222"/>
        <v>133.80939338472834</v>
      </c>
      <c r="G217" s="141">
        <f t="shared" si="222"/>
        <v>138.27021189186976</v>
      </c>
      <c r="H217" s="141">
        <f t="shared" si="222"/>
        <v>149.0351695842937</v>
      </c>
      <c r="I217" s="141">
        <f t="shared" si="222"/>
        <v>143.4645064516445</v>
      </c>
      <c r="J217" s="141">
        <f t="shared" si="222"/>
        <v>138.63040942292795</v>
      </c>
      <c r="K217" s="141">
        <f t="shared" si="222"/>
        <v>134.84675252586538</v>
      </c>
      <c r="L217" s="141">
        <f t="shared" si="222"/>
        <v>131.76731105030399</v>
      </c>
      <c r="M217" s="141">
        <f t="shared" si="222"/>
        <v>128.70529470013733</v>
      </c>
      <c r="N217" s="141">
        <f t="shared" si="222"/>
        <v>129.21048561286176</v>
      </c>
      <c r="O217" s="141">
        <f t="shared" si="222"/>
        <v>128.5295195622349</v>
      </c>
      <c r="P217" s="141">
        <f t="shared" si="222"/>
        <v>135.57066228467477</v>
      </c>
      <c r="Q217" s="141">
        <f t="shared" si="222"/>
        <v>128.36809573248658</v>
      </c>
      <c r="R217" s="141">
        <f t="shared" si="222"/>
        <v>127.75047202880025</v>
      </c>
      <c r="S217" s="141">
        <f t="shared" si="222"/>
        <v>121.47741066467046</v>
      </c>
      <c r="T217" s="141">
        <f t="shared" si="222"/>
        <v>119.60503040789969</v>
      </c>
      <c r="U217" s="141">
        <f t="shared" si="222"/>
        <v>115.45758538058544</v>
      </c>
      <c r="V217" s="141">
        <f t="shared" si="222"/>
        <v>112.62175288272812</v>
      </c>
      <c r="W217" s="141">
        <f t="shared" si="222"/>
        <v>111.03157445683151</v>
      </c>
      <c r="X217" s="141">
        <f t="shared" si="222"/>
        <v>109.551390395102</v>
      </c>
      <c r="Y217" s="141">
        <f t="shared" si="222"/>
        <v>102.58485311225053</v>
      </c>
      <c r="DA217" s="174" t="s">
        <v>436</v>
      </c>
    </row>
    <row r="218" spans="1:105" ht="11.45" customHeight="1" x14ac:dyDescent="0.25">
      <c r="A218" s="128" t="str">
        <f>$A$6</f>
        <v>Powered two-wheelers</v>
      </c>
      <c r="B218" s="97">
        <f t="shared" ref="B218:Y218" si="223">IF(B6=0,0,B66/B6*1000)</f>
        <v>106.32134965090074</v>
      </c>
      <c r="C218" s="97">
        <f t="shared" si="223"/>
        <v>104.78844411352846</v>
      </c>
      <c r="D218" s="97">
        <f t="shared" si="223"/>
        <v>102.78851515878203</v>
      </c>
      <c r="E218" s="97">
        <f t="shared" si="223"/>
        <v>102.1768040704782</v>
      </c>
      <c r="F218" s="97">
        <f t="shared" si="223"/>
        <v>101.42787940334834</v>
      </c>
      <c r="G218" s="97">
        <f t="shared" si="223"/>
        <v>100.80983606375057</v>
      </c>
      <c r="H218" s="97">
        <f t="shared" si="223"/>
        <v>100.1141296750816</v>
      </c>
      <c r="I218" s="97">
        <f t="shared" si="223"/>
        <v>99.756013415395017</v>
      </c>
      <c r="J218" s="97">
        <f t="shared" si="223"/>
        <v>98.80793011054557</v>
      </c>
      <c r="K218" s="97">
        <f t="shared" si="223"/>
        <v>97.956273595550755</v>
      </c>
      <c r="L218" s="97">
        <f t="shared" si="223"/>
        <v>96.783505500284718</v>
      </c>
      <c r="M218" s="97">
        <f t="shared" si="223"/>
        <v>96.317810867071046</v>
      </c>
      <c r="N218" s="97">
        <f t="shared" si="223"/>
        <v>95.731511007346839</v>
      </c>
      <c r="O218" s="97">
        <f t="shared" si="223"/>
        <v>94.734065795664478</v>
      </c>
      <c r="P218" s="97">
        <f t="shared" si="223"/>
        <v>94.296899037859944</v>
      </c>
      <c r="Q218" s="97">
        <f t="shared" si="223"/>
        <v>93.310374399776705</v>
      </c>
      <c r="R218" s="97">
        <f t="shared" si="223"/>
        <v>91.921445541552615</v>
      </c>
      <c r="S218" s="97">
        <f t="shared" si="223"/>
        <v>90.574952029185027</v>
      </c>
      <c r="T218" s="97">
        <f t="shared" si="223"/>
        <v>90.000055011705271</v>
      </c>
      <c r="U218" s="97">
        <f t="shared" si="223"/>
        <v>88.927805935698643</v>
      </c>
      <c r="V218" s="97">
        <f t="shared" si="223"/>
        <v>88.499665132523631</v>
      </c>
      <c r="W218" s="97">
        <f t="shared" si="223"/>
        <v>88.097043554438258</v>
      </c>
      <c r="X218" s="97">
        <f t="shared" si="223"/>
        <v>87.285674196294906</v>
      </c>
      <c r="Y218" s="97">
        <f t="shared" si="223"/>
        <v>85.765350479985585</v>
      </c>
      <c r="DA218" s="175" t="s">
        <v>437</v>
      </c>
    </row>
    <row r="219" spans="1:105" ht="11.45" customHeight="1" x14ac:dyDescent="0.25">
      <c r="A219" s="128" t="str">
        <f>$A$7</f>
        <v>Passenger cars</v>
      </c>
      <c r="B219" s="97">
        <f t="shared" ref="B219:Y219" si="224">IF(B7=0,0,B67/B7*1000)</f>
        <v>166.79074114488736</v>
      </c>
      <c r="C219" s="97">
        <f t="shared" si="224"/>
        <v>164.95007792014283</v>
      </c>
      <c r="D219" s="97">
        <f t="shared" si="224"/>
        <v>160.20905133355041</v>
      </c>
      <c r="E219" s="97">
        <f t="shared" si="224"/>
        <v>152.1880912735935</v>
      </c>
      <c r="F219" s="97">
        <f t="shared" si="224"/>
        <v>148.57958232781044</v>
      </c>
      <c r="G219" s="97">
        <f t="shared" si="224"/>
        <v>153.12695258398978</v>
      </c>
      <c r="H219" s="97">
        <f t="shared" si="224"/>
        <v>164.97820734716521</v>
      </c>
      <c r="I219" s="97">
        <f t="shared" si="224"/>
        <v>158.03263182469578</v>
      </c>
      <c r="J219" s="97">
        <f t="shared" si="224"/>
        <v>152.24652878344145</v>
      </c>
      <c r="K219" s="97">
        <f t="shared" si="224"/>
        <v>149.04027144634523</v>
      </c>
      <c r="L219" s="97">
        <f t="shared" si="224"/>
        <v>144.56856168646735</v>
      </c>
      <c r="M219" s="97">
        <f t="shared" si="224"/>
        <v>141.19780038681438</v>
      </c>
      <c r="N219" s="97">
        <f t="shared" si="224"/>
        <v>141.37278144992183</v>
      </c>
      <c r="O219" s="97">
        <f t="shared" si="224"/>
        <v>140.31893549329385</v>
      </c>
      <c r="P219" s="97">
        <f t="shared" si="224"/>
        <v>149.42913427058207</v>
      </c>
      <c r="Q219" s="97">
        <f t="shared" si="224"/>
        <v>139.73648462993282</v>
      </c>
      <c r="R219" s="97">
        <f t="shared" si="224"/>
        <v>138.86543727048527</v>
      </c>
      <c r="S219" s="97">
        <f t="shared" si="224"/>
        <v>132.29318483881462</v>
      </c>
      <c r="T219" s="97">
        <f t="shared" si="224"/>
        <v>130.64500581461493</v>
      </c>
      <c r="U219" s="97">
        <f t="shared" si="224"/>
        <v>125.7708493061066</v>
      </c>
      <c r="V219" s="97">
        <f t="shared" si="224"/>
        <v>118.80467280203692</v>
      </c>
      <c r="W219" s="97">
        <f t="shared" si="224"/>
        <v>118.24896527293534</v>
      </c>
      <c r="X219" s="97">
        <f t="shared" si="224"/>
        <v>119.78746142072397</v>
      </c>
      <c r="Y219" s="97">
        <f t="shared" si="224"/>
        <v>112.5007323911144</v>
      </c>
      <c r="DA219" s="175" t="s">
        <v>438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Y220" si="225">IF(B8=0,0,B68/B8*1000)</f>
        <v>57.559026534088439</v>
      </c>
      <c r="C220" s="97">
        <f t="shared" si="225"/>
        <v>54.241502287076202</v>
      </c>
      <c r="D220" s="97">
        <f t="shared" si="225"/>
        <v>54.649984717097716</v>
      </c>
      <c r="E220" s="97">
        <f t="shared" si="225"/>
        <v>54.978543116116342</v>
      </c>
      <c r="F220" s="97">
        <f t="shared" si="225"/>
        <v>54.27082636696359</v>
      </c>
      <c r="G220" s="97">
        <f t="shared" si="225"/>
        <v>55.75389486882483</v>
      </c>
      <c r="H220" s="97">
        <f t="shared" si="225"/>
        <v>58.6510375858931</v>
      </c>
      <c r="I220" s="97">
        <f t="shared" si="225"/>
        <v>60.115655273985062</v>
      </c>
      <c r="J220" s="97">
        <f t="shared" si="225"/>
        <v>61.757349657789824</v>
      </c>
      <c r="K220" s="97">
        <f t="shared" si="225"/>
        <v>58.021787710982913</v>
      </c>
      <c r="L220" s="97">
        <f t="shared" si="225"/>
        <v>59.589811262639451</v>
      </c>
      <c r="M220" s="97">
        <f t="shared" si="225"/>
        <v>58.440316131598451</v>
      </c>
      <c r="N220" s="97">
        <f t="shared" si="225"/>
        <v>59.747645647355391</v>
      </c>
      <c r="O220" s="97">
        <f t="shared" si="225"/>
        <v>59.361221348917276</v>
      </c>
      <c r="P220" s="97">
        <f t="shared" si="225"/>
        <v>58.424067254017224</v>
      </c>
      <c r="Q220" s="97">
        <f t="shared" si="225"/>
        <v>59.572424308572451</v>
      </c>
      <c r="R220" s="97">
        <f t="shared" si="225"/>
        <v>60.132785487512145</v>
      </c>
      <c r="S220" s="97">
        <f t="shared" si="225"/>
        <v>59.587023882404402</v>
      </c>
      <c r="T220" s="97">
        <f t="shared" si="225"/>
        <v>59.836339838278718</v>
      </c>
      <c r="U220" s="97">
        <f t="shared" si="225"/>
        <v>58.9782500724858</v>
      </c>
      <c r="V220" s="97">
        <f t="shared" si="225"/>
        <v>70.357090069064014</v>
      </c>
      <c r="W220" s="97">
        <f t="shared" si="225"/>
        <v>63.645663218109021</v>
      </c>
      <c r="X220" s="97">
        <f t="shared" si="225"/>
        <v>57.368879260342659</v>
      </c>
      <c r="Y220" s="97">
        <f t="shared" si="225"/>
        <v>57.938311379546413</v>
      </c>
      <c r="DA220" s="175" t="s">
        <v>439</v>
      </c>
    </row>
    <row r="221" spans="1:105" ht="11.45" customHeight="1" x14ac:dyDescent="0.25">
      <c r="A221" s="109" t="str">
        <f>$A$9</f>
        <v>Rail, metro and tram</v>
      </c>
      <c r="B221" s="130">
        <f t="shared" ref="B221:Y221" si="226">IF(B9=0,0,B69/B9*1000)</f>
        <v>76.762145387074838</v>
      </c>
      <c r="C221" s="130">
        <f t="shared" si="226"/>
        <v>77.073350899137566</v>
      </c>
      <c r="D221" s="130">
        <f t="shared" si="226"/>
        <v>62.860553174235221</v>
      </c>
      <c r="E221" s="130">
        <f t="shared" si="226"/>
        <v>72.434224022142985</v>
      </c>
      <c r="F221" s="130">
        <f t="shared" si="226"/>
        <v>75.96272472363168</v>
      </c>
      <c r="G221" s="130">
        <f t="shared" si="226"/>
        <v>59.741997673321421</v>
      </c>
      <c r="H221" s="130">
        <f t="shared" si="226"/>
        <v>58.655188255904598</v>
      </c>
      <c r="I221" s="130">
        <f t="shared" si="226"/>
        <v>59.151625751856479</v>
      </c>
      <c r="J221" s="130">
        <f t="shared" si="226"/>
        <v>65.206627661025394</v>
      </c>
      <c r="K221" s="130">
        <f t="shared" si="226"/>
        <v>67.136155875214442</v>
      </c>
      <c r="L221" s="130">
        <f t="shared" si="226"/>
        <v>66.512231737155389</v>
      </c>
      <c r="M221" s="130">
        <f t="shared" si="226"/>
        <v>67.540088178152146</v>
      </c>
      <c r="N221" s="130">
        <f t="shared" si="226"/>
        <v>67.65085791569345</v>
      </c>
      <c r="O221" s="130">
        <f t="shared" si="226"/>
        <v>67.367788915659489</v>
      </c>
      <c r="P221" s="130">
        <f t="shared" si="226"/>
        <v>56.050643088714665</v>
      </c>
      <c r="Q221" s="130">
        <f t="shared" si="226"/>
        <v>51.521539312019748</v>
      </c>
      <c r="R221" s="130">
        <f t="shared" si="226"/>
        <v>50.588449330583913</v>
      </c>
      <c r="S221" s="130">
        <f t="shared" si="226"/>
        <v>49.311526878168699</v>
      </c>
      <c r="T221" s="130">
        <f t="shared" si="226"/>
        <v>44.399831671582099</v>
      </c>
      <c r="U221" s="130">
        <f t="shared" si="226"/>
        <v>44.853966754388722</v>
      </c>
      <c r="V221" s="130">
        <f t="shared" si="226"/>
        <v>100.82059579505521</v>
      </c>
      <c r="W221" s="130">
        <f t="shared" si="226"/>
        <v>104.86182579884807</v>
      </c>
      <c r="X221" s="130">
        <f t="shared" si="226"/>
        <v>59.637912493421091</v>
      </c>
      <c r="Y221" s="130">
        <f t="shared" si="226"/>
        <v>50.019388861232649</v>
      </c>
      <c r="DA221" s="176" t="s">
        <v>440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Y222" si="227">IF(B10=0,0,B70/B10*1000)</f>
        <v>0</v>
      </c>
      <c r="C222" s="97">
        <f t="shared" si="227"/>
        <v>0</v>
      </c>
      <c r="D222" s="97">
        <f t="shared" si="227"/>
        <v>0</v>
      </c>
      <c r="E222" s="97">
        <f t="shared" si="227"/>
        <v>0</v>
      </c>
      <c r="F222" s="97">
        <f t="shared" si="227"/>
        <v>0</v>
      </c>
      <c r="G222" s="97">
        <f t="shared" si="227"/>
        <v>0</v>
      </c>
      <c r="H222" s="97">
        <f t="shared" si="227"/>
        <v>0</v>
      </c>
      <c r="I222" s="97">
        <f t="shared" si="227"/>
        <v>0</v>
      </c>
      <c r="J222" s="97">
        <f t="shared" si="227"/>
        <v>0</v>
      </c>
      <c r="K222" s="97">
        <f t="shared" si="227"/>
        <v>0</v>
      </c>
      <c r="L222" s="97">
        <f t="shared" si="227"/>
        <v>0</v>
      </c>
      <c r="M222" s="97">
        <f t="shared" si="227"/>
        <v>0</v>
      </c>
      <c r="N222" s="97">
        <f t="shared" si="227"/>
        <v>0</v>
      </c>
      <c r="O222" s="97">
        <f t="shared" si="227"/>
        <v>0</v>
      </c>
      <c r="P222" s="97">
        <f t="shared" si="227"/>
        <v>0</v>
      </c>
      <c r="Q222" s="97">
        <f t="shared" si="227"/>
        <v>0</v>
      </c>
      <c r="R222" s="97">
        <f t="shared" si="227"/>
        <v>0</v>
      </c>
      <c r="S222" s="97">
        <f t="shared" si="227"/>
        <v>0</v>
      </c>
      <c r="T222" s="97">
        <f t="shared" si="227"/>
        <v>0</v>
      </c>
      <c r="U222" s="97">
        <f t="shared" si="227"/>
        <v>0</v>
      </c>
      <c r="V222" s="97">
        <f t="shared" si="227"/>
        <v>0</v>
      </c>
      <c r="W222" s="97">
        <f t="shared" si="227"/>
        <v>0</v>
      </c>
      <c r="X222" s="97">
        <f t="shared" si="227"/>
        <v>0</v>
      </c>
      <c r="Y222" s="97">
        <f t="shared" si="227"/>
        <v>0</v>
      </c>
      <c r="DA222" s="175" t="s">
        <v>441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Y223" si="228">IF(B11=0,0,B71/B11*1000)</f>
        <v>76.762145387074838</v>
      </c>
      <c r="C223" s="97">
        <f t="shared" si="228"/>
        <v>77.073350899137566</v>
      </c>
      <c r="D223" s="97">
        <f t="shared" si="228"/>
        <v>62.860553174235221</v>
      </c>
      <c r="E223" s="97">
        <f t="shared" si="228"/>
        <v>72.434224022142985</v>
      </c>
      <c r="F223" s="97">
        <f t="shared" si="228"/>
        <v>78.363569373556814</v>
      </c>
      <c r="G223" s="97">
        <f t="shared" si="228"/>
        <v>63.431845929394051</v>
      </c>
      <c r="H223" s="97">
        <f t="shared" si="228"/>
        <v>62.199252542029257</v>
      </c>
      <c r="I223" s="97">
        <f t="shared" si="228"/>
        <v>64.309341001769212</v>
      </c>
      <c r="J223" s="97">
        <f t="shared" si="228"/>
        <v>69.85952973602771</v>
      </c>
      <c r="K223" s="97">
        <f t="shared" si="228"/>
        <v>72.401736728172452</v>
      </c>
      <c r="L223" s="97">
        <f t="shared" si="228"/>
        <v>71.7047837976842</v>
      </c>
      <c r="M223" s="97">
        <f t="shared" si="228"/>
        <v>73.230278757263875</v>
      </c>
      <c r="N223" s="97">
        <f t="shared" si="228"/>
        <v>73.824320234996264</v>
      </c>
      <c r="O223" s="97">
        <f t="shared" si="228"/>
        <v>73.800778581042337</v>
      </c>
      <c r="P223" s="97">
        <f t="shared" si="228"/>
        <v>61.242883188134449</v>
      </c>
      <c r="Q223" s="97">
        <f t="shared" si="228"/>
        <v>56.347793504544491</v>
      </c>
      <c r="R223" s="97">
        <f t="shared" si="228"/>
        <v>55.252149308800654</v>
      </c>
      <c r="S223" s="97">
        <f t="shared" si="228"/>
        <v>53.608258817105636</v>
      </c>
      <c r="T223" s="97">
        <f t="shared" si="228"/>
        <v>50.570259834620906</v>
      </c>
      <c r="U223" s="97">
        <f t="shared" si="228"/>
        <v>50.557429885325909</v>
      </c>
      <c r="V223" s="97">
        <f t="shared" si="228"/>
        <v>115.36441148546066</v>
      </c>
      <c r="W223" s="97">
        <f t="shared" si="228"/>
        <v>119.52483810716907</v>
      </c>
      <c r="X223" s="97">
        <f t="shared" si="228"/>
        <v>65.265325373955719</v>
      </c>
      <c r="Y223" s="97">
        <f t="shared" si="228"/>
        <v>54.633612522803801</v>
      </c>
      <c r="DA223" s="175" t="s">
        <v>442</v>
      </c>
    </row>
    <row r="224" spans="1:105" ht="11.45" customHeight="1" x14ac:dyDescent="0.25">
      <c r="A224" s="128" t="str">
        <f>$A$12</f>
        <v>High speed passenger trains</v>
      </c>
      <c r="B224" s="97">
        <f t="shared" ref="B224:Y224" si="229">IF(B12=0,0,B72/B12*1000)</f>
        <v>0</v>
      </c>
      <c r="C224" s="97">
        <f t="shared" si="229"/>
        <v>0</v>
      </c>
      <c r="D224" s="97">
        <f t="shared" si="229"/>
        <v>0</v>
      </c>
      <c r="E224" s="97">
        <f t="shared" si="229"/>
        <v>0</v>
      </c>
      <c r="F224" s="97">
        <f t="shared" si="229"/>
        <v>0</v>
      </c>
      <c r="G224" s="97">
        <f t="shared" si="229"/>
        <v>0</v>
      </c>
      <c r="H224" s="97">
        <f t="shared" si="229"/>
        <v>0</v>
      </c>
      <c r="I224" s="97">
        <f t="shared" si="229"/>
        <v>0</v>
      </c>
      <c r="J224" s="97">
        <f t="shared" si="229"/>
        <v>0</v>
      </c>
      <c r="K224" s="97">
        <f t="shared" si="229"/>
        <v>0</v>
      </c>
      <c r="L224" s="97">
        <f t="shared" si="229"/>
        <v>0</v>
      </c>
      <c r="M224" s="97">
        <f t="shared" si="229"/>
        <v>0</v>
      </c>
      <c r="N224" s="97">
        <f t="shared" si="229"/>
        <v>0</v>
      </c>
      <c r="O224" s="97">
        <f t="shared" si="229"/>
        <v>0</v>
      </c>
      <c r="P224" s="97">
        <f t="shared" si="229"/>
        <v>0</v>
      </c>
      <c r="Q224" s="97">
        <f t="shared" si="229"/>
        <v>0</v>
      </c>
      <c r="R224" s="97">
        <f t="shared" si="229"/>
        <v>0</v>
      </c>
      <c r="S224" s="97">
        <f t="shared" si="229"/>
        <v>0</v>
      </c>
      <c r="T224" s="97">
        <f t="shared" si="229"/>
        <v>0</v>
      </c>
      <c r="U224" s="97">
        <f t="shared" si="229"/>
        <v>0</v>
      </c>
      <c r="V224" s="97">
        <f t="shared" si="229"/>
        <v>0</v>
      </c>
      <c r="W224" s="97">
        <f t="shared" si="229"/>
        <v>0</v>
      </c>
      <c r="X224" s="97">
        <f t="shared" si="229"/>
        <v>0</v>
      </c>
      <c r="Y224" s="97">
        <f t="shared" si="229"/>
        <v>0</v>
      </c>
      <c r="DA224" s="175" t="s">
        <v>443</v>
      </c>
    </row>
    <row r="225" spans="1:105" ht="11.45" customHeight="1" x14ac:dyDescent="0.25">
      <c r="A225" s="109" t="str">
        <f>$A$13</f>
        <v>Aviation</v>
      </c>
      <c r="B225" s="130">
        <f t="shared" ref="B225:Y225" si="230">IF(B13=0,0,B73/B13*1000)</f>
        <v>145.22503981937317</v>
      </c>
      <c r="C225" s="130">
        <f t="shared" si="230"/>
        <v>162.65341510018141</v>
      </c>
      <c r="D225" s="130">
        <f t="shared" si="230"/>
        <v>172.92214570459322</v>
      </c>
      <c r="E225" s="130">
        <f t="shared" si="230"/>
        <v>172.78988419851447</v>
      </c>
      <c r="F225" s="130">
        <f t="shared" si="230"/>
        <v>151.88869269956189</v>
      </c>
      <c r="G225" s="130">
        <f t="shared" si="230"/>
        <v>146.48714033631646</v>
      </c>
      <c r="H225" s="130">
        <f t="shared" si="230"/>
        <v>128.67445400796265</v>
      </c>
      <c r="I225" s="130">
        <f t="shared" si="230"/>
        <v>137.4343178249286</v>
      </c>
      <c r="J225" s="130">
        <f t="shared" si="230"/>
        <v>129.73137857670039</v>
      </c>
      <c r="K225" s="130">
        <f t="shared" si="230"/>
        <v>91.905674413403901</v>
      </c>
      <c r="L225" s="130">
        <f t="shared" si="230"/>
        <v>131.55004399093363</v>
      </c>
      <c r="M225" s="130">
        <f t="shared" si="230"/>
        <v>117.2272449261369</v>
      </c>
      <c r="N225" s="130">
        <f t="shared" si="230"/>
        <v>94.488378779043629</v>
      </c>
      <c r="O225" s="130">
        <f t="shared" si="230"/>
        <v>97.486215054905159</v>
      </c>
      <c r="P225" s="130">
        <f t="shared" si="230"/>
        <v>104.64823712660758</v>
      </c>
      <c r="Q225" s="130">
        <f t="shared" si="230"/>
        <v>104.09612281172836</v>
      </c>
      <c r="R225" s="130">
        <f t="shared" si="230"/>
        <v>96.758517609243796</v>
      </c>
      <c r="S225" s="130">
        <f t="shared" si="230"/>
        <v>102.54059791143568</v>
      </c>
      <c r="T225" s="130">
        <f t="shared" si="230"/>
        <v>100.70974211542961</v>
      </c>
      <c r="U225" s="130">
        <f t="shared" si="230"/>
        <v>97.414816422812933</v>
      </c>
      <c r="V225" s="130">
        <f t="shared" si="230"/>
        <v>162.41723365032334</v>
      </c>
      <c r="W225" s="130">
        <f t="shared" si="230"/>
        <v>158.59809864938006</v>
      </c>
      <c r="X225" s="130">
        <f t="shared" si="230"/>
        <v>102.45557048185601</v>
      </c>
      <c r="Y225" s="130">
        <f t="shared" si="230"/>
        <v>95.596635142270031</v>
      </c>
      <c r="DA225" s="176" t="s">
        <v>344</v>
      </c>
    </row>
    <row r="226" spans="1:105" ht="11.45" customHeight="1" x14ac:dyDescent="0.25">
      <c r="A226" s="128" t="str">
        <f>$A$14</f>
        <v>Domestic</v>
      </c>
      <c r="B226" s="97">
        <f t="shared" ref="B226:Y226" si="231">IF(B14=0,0,B74/B14*1000)</f>
        <v>383.37904963150095</v>
      </c>
      <c r="C226" s="97">
        <f t="shared" si="231"/>
        <v>452.40839639737243</v>
      </c>
      <c r="D226" s="97">
        <f t="shared" si="231"/>
        <v>531.20890098277664</v>
      </c>
      <c r="E226" s="97">
        <f t="shared" si="231"/>
        <v>480.80460776764806</v>
      </c>
      <c r="F226" s="97">
        <f t="shared" si="231"/>
        <v>461.26935004537836</v>
      </c>
      <c r="G226" s="97">
        <f t="shared" si="231"/>
        <v>482.64379400002468</v>
      </c>
      <c r="H226" s="97">
        <f t="shared" si="231"/>
        <v>497.32169806505607</v>
      </c>
      <c r="I226" s="97">
        <f t="shared" si="231"/>
        <v>495.60317574210137</v>
      </c>
      <c r="J226" s="97">
        <f t="shared" si="231"/>
        <v>460.84395765583258</v>
      </c>
      <c r="K226" s="97">
        <f t="shared" si="231"/>
        <v>484.00571606261741</v>
      </c>
      <c r="L226" s="97">
        <f t="shared" si="231"/>
        <v>786.88062437996348</v>
      </c>
      <c r="M226" s="97">
        <f t="shared" si="231"/>
        <v>816.16146490177778</v>
      </c>
      <c r="N226" s="97">
        <f t="shared" si="231"/>
        <v>1485.3376932245551</v>
      </c>
      <c r="O226" s="97">
        <f t="shared" si="231"/>
        <v>1269.751436631765</v>
      </c>
      <c r="P226" s="97">
        <f t="shared" si="231"/>
        <v>1440.7254824721654</v>
      </c>
      <c r="Q226" s="97">
        <f t="shared" si="231"/>
        <v>1201.0278353898482</v>
      </c>
      <c r="R226" s="97">
        <f t="shared" si="231"/>
        <v>566.63697949210473</v>
      </c>
      <c r="S226" s="97">
        <f t="shared" si="231"/>
        <v>729.21455511172917</v>
      </c>
      <c r="T226" s="97">
        <f t="shared" si="231"/>
        <v>605.99284484501186</v>
      </c>
      <c r="U226" s="97">
        <f t="shared" si="231"/>
        <v>712.36201102428811</v>
      </c>
      <c r="V226" s="97">
        <f t="shared" si="231"/>
        <v>1848.4070973739006</v>
      </c>
      <c r="W226" s="97">
        <f t="shared" si="231"/>
        <v>1750.8413965399718</v>
      </c>
      <c r="X226" s="97">
        <f t="shared" si="231"/>
        <v>1218.7180627633545</v>
      </c>
      <c r="Y226" s="97">
        <f t="shared" si="231"/>
        <v>540.93380622503855</v>
      </c>
      <c r="DA226" s="175" t="s">
        <v>345</v>
      </c>
    </row>
    <row r="227" spans="1:105" ht="11.45" customHeight="1" x14ac:dyDescent="0.25">
      <c r="A227" s="128" t="str">
        <f>$A$15</f>
        <v>International - Intra-EEAwCHUK</v>
      </c>
      <c r="B227" s="97">
        <f t="shared" ref="B227:Y227" si="232">IF(B15=0,0,B75/B15*1000)</f>
        <v>143.80282201634256</v>
      </c>
      <c r="C227" s="97">
        <f t="shared" si="232"/>
        <v>156.71277918087569</v>
      </c>
      <c r="D227" s="97">
        <f t="shared" si="232"/>
        <v>165.53668839874706</v>
      </c>
      <c r="E227" s="97">
        <f t="shared" si="232"/>
        <v>167.04648408529252</v>
      </c>
      <c r="F227" s="97">
        <f t="shared" si="232"/>
        <v>147.75597359150927</v>
      </c>
      <c r="G227" s="97">
        <f t="shared" si="232"/>
        <v>140.2036197202473</v>
      </c>
      <c r="H227" s="97">
        <f t="shared" si="232"/>
        <v>121.52578367118518</v>
      </c>
      <c r="I227" s="97">
        <f t="shared" si="232"/>
        <v>133.56850336681998</v>
      </c>
      <c r="J227" s="97">
        <f t="shared" si="232"/>
        <v>129.80425161321233</v>
      </c>
      <c r="K227" s="97">
        <f t="shared" si="232"/>
        <v>89.639970406620421</v>
      </c>
      <c r="L227" s="97">
        <f t="shared" si="232"/>
        <v>129.1541169765124</v>
      </c>
      <c r="M227" s="97">
        <f t="shared" si="232"/>
        <v>118.09635606606327</v>
      </c>
      <c r="N227" s="97">
        <f t="shared" si="232"/>
        <v>97.761645540196653</v>
      </c>
      <c r="O227" s="97">
        <f t="shared" si="232"/>
        <v>105.19069067168017</v>
      </c>
      <c r="P227" s="97">
        <f t="shared" si="232"/>
        <v>119.04577282385378</v>
      </c>
      <c r="Q227" s="97">
        <f t="shared" si="232"/>
        <v>122.43584732363219</v>
      </c>
      <c r="R227" s="97">
        <f t="shared" si="232"/>
        <v>115.63773685149206</v>
      </c>
      <c r="S227" s="97">
        <f t="shared" si="232"/>
        <v>129.42598194462761</v>
      </c>
      <c r="T227" s="97">
        <f t="shared" si="232"/>
        <v>133.73061229612574</v>
      </c>
      <c r="U227" s="97">
        <f t="shared" si="232"/>
        <v>125.78318304046893</v>
      </c>
      <c r="V227" s="97">
        <f t="shared" si="232"/>
        <v>155.81446324742879</v>
      </c>
      <c r="W227" s="97">
        <f t="shared" si="232"/>
        <v>143.3656312598014</v>
      </c>
      <c r="X227" s="97">
        <f t="shared" si="232"/>
        <v>126.69802257429954</v>
      </c>
      <c r="Y227" s="97">
        <f t="shared" si="232"/>
        <v>122.73859179410654</v>
      </c>
      <c r="DA227" s="175" t="s">
        <v>346</v>
      </c>
    </row>
    <row r="228" spans="1:105" ht="11.45" customHeight="1" x14ac:dyDescent="0.25">
      <c r="A228" s="128" t="str">
        <f>$A$16</f>
        <v>International - Extra-EEAwCHUK</v>
      </c>
      <c r="B228" s="97">
        <f t="shared" ref="B228:Y228" si="233">IF(B16=0,0,B76/B16*1000)</f>
        <v>135.50781704817157</v>
      </c>
      <c r="C228" s="97">
        <f t="shared" si="233"/>
        <v>158.3309331862003</v>
      </c>
      <c r="D228" s="97">
        <f t="shared" si="233"/>
        <v>169.52218858857205</v>
      </c>
      <c r="E228" s="97">
        <f t="shared" si="233"/>
        <v>167.71473240091245</v>
      </c>
      <c r="F228" s="97">
        <f t="shared" si="233"/>
        <v>144.60565878373458</v>
      </c>
      <c r="G228" s="97">
        <f t="shared" si="233"/>
        <v>142.89034314689997</v>
      </c>
      <c r="H228" s="97">
        <f t="shared" si="233"/>
        <v>124.15378681268584</v>
      </c>
      <c r="I228" s="97">
        <f t="shared" si="233"/>
        <v>129.76852816848802</v>
      </c>
      <c r="J228" s="97">
        <f t="shared" si="233"/>
        <v>117.00120724254205</v>
      </c>
      <c r="K228" s="97">
        <f t="shared" si="233"/>
        <v>84.689105319752954</v>
      </c>
      <c r="L228" s="97">
        <f t="shared" si="233"/>
        <v>124.8407132348603</v>
      </c>
      <c r="M228" s="97">
        <f t="shared" si="233"/>
        <v>112.3803493870064</v>
      </c>
      <c r="N228" s="97">
        <f t="shared" si="233"/>
        <v>85.872018039514501</v>
      </c>
      <c r="O228" s="97">
        <f t="shared" si="233"/>
        <v>82.869378488242106</v>
      </c>
      <c r="P228" s="97">
        <f t="shared" si="233"/>
        <v>82.105060271751711</v>
      </c>
      <c r="Q228" s="97">
        <f t="shared" si="233"/>
        <v>77.839424555896557</v>
      </c>
      <c r="R228" s="97">
        <f t="shared" si="233"/>
        <v>70.192269883071717</v>
      </c>
      <c r="S228" s="97">
        <f t="shared" si="233"/>
        <v>68.589393685268107</v>
      </c>
      <c r="T228" s="97">
        <f t="shared" si="233"/>
        <v>63.546446010328566</v>
      </c>
      <c r="U228" s="97">
        <f t="shared" si="233"/>
        <v>64.045307636691135</v>
      </c>
      <c r="V228" s="97">
        <f t="shared" si="233"/>
        <v>168.72058465202306</v>
      </c>
      <c r="W228" s="97">
        <f t="shared" si="233"/>
        <v>185.36436141383413</v>
      </c>
      <c r="X228" s="97">
        <f t="shared" si="233"/>
        <v>68.989322131255193</v>
      </c>
      <c r="Y228" s="97">
        <f t="shared" si="233"/>
        <v>62.514216936016467</v>
      </c>
      <c r="DA228" s="175" t="s">
        <v>347</v>
      </c>
    </row>
    <row r="229" spans="1:105" ht="11.45" customHeight="1" x14ac:dyDescent="0.25">
      <c r="A229" s="27" t="s">
        <v>159</v>
      </c>
      <c r="B229" s="32">
        <f t="shared" ref="B229:Y229" si="234">IF(B17=0,0,B77/B17*1000)</f>
        <v>353.51768473759898</v>
      </c>
      <c r="C229" s="32">
        <f t="shared" si="234"/>
        <v>343.90160747883056</v>
      </c>
      <c r="D229" s="32">
        <f t="shared" si="234"/>
        <v>316.32980500802546</v>
      </c>
      <c r="E229" s="32">
        <f t="shared" si="234"/>
        <v>299.08613807729085</v>
      </c>
      <c r="F229" s="32">
        <f t="shared" si="234"/>
        <v>297.9143314116738</v>
      </c>
      <c r="G229" s="32">
        <f t="shared" si="234"/>
        <v>293.89899556667797</v>
      </c>
      <c r="H229" s="32">
        <f t="shared" si="234"/>
        <v>314.11741882948809</v>
      </c>
      <c r="I229" s="32">
        <f t="shared" si="234"/>
        <v>318.24885984741871</v>
      </c>
      <c r="J229" s="32">
        <f t="shared" si="234"/>
        <v>303.46998973739454</v>
      </c>
      <c r="K229" s="32">
        <f t="shared" si="234"/>
        <v>342.38593772127359</v>
      </c>
      <c r="L229" s="32">
        <f t="shared" si="234"/>
        <v>314.92967526924861</v>
      </c>
      <c r="M229" s="32">
        <f t="shared" si="234"/>
        <v>307.32771192405568</v>
      </c>
      <c r="N229" s="32">
        <f t="shared" si="234"/>
        <v>305.19688268155767</v>
      </c>
      <c r="O229" s="32">
        <f t="shared" si="234"/>
        <v>313.18988808748861</v>
      </c>
      <c r="P229" s="32">
        <f t="shared" si="234"/>
        <v>312.88146259701807</v>
      </c>
      <c r="Q229" s="32">
        <f t="shared" si="234"/>
        <v>305.30191015934474</v>
      </c>
      <c r="R229" s="32">
        <f t="shared" si="234"/>
        <v>291.29416981351488</v>
      </c>
      <c r="S229" s="32">
        <f t="shared" si="234"/>
        <v>278.68735775191919</v>
      </c>
      <c r="T229" s="32">
        <f t="shared" si="234"/>
        <v>283.56580300645544</v>
      </c>
      <c r="U229" s="32">
        <f t="shared" si="234"/>
        <v>273.3965191481708</v>
      </c>
      <c r="V229" s="32">
        <f t="shared" si="234"/>
        <v>287.89128735553635</v>
      </c>
      <c r="W229" s="32">
        <f t="shared" si="234"/>
        <v>286.14695295389907</v>
      </c>
      <c r="X229" s="32">
        <f t="shared" si="234"/>
        <v>293.06446821625246</v>
      </c>
      <c r="Y229" s="32">
        <f t="shared" si="234"/>
        <v>287.17990648160662</v>
      </c>
      <c r="DA229" s="173" t="s">
        <v>444</v>
      </c>
    </row>
    <row r="230" spans="1:105" ht="11.45" customHeight="1" x14ac:dyDescent="0.25">
      <c r="A230" s="136" t="str">
        <f>$A$18</f>
        <v>Road transport</v>
      </c>
      <c r="B230" s="141">
        <f t="shared" ref="B230:Y230" si="235">IF(B18=0,0,B78/B18*1000)</f>
        <v>358.58853994044341</v>
      </c>
      <c r="C230" s="141">
        <f t="shared" si="235"/>
        <v>347.65850990512172</v>
      </c>
      <c r="D230" s="141">
        <f t="shared" si="235"/>
        <v>314.46007725966393</v>
      </c>
      <c r="E230" s="141">
        <f t="shared" si="235"/>
        <v>295.53575589834594</v>
      </c>
      <c r="F230" s="141">
        <f t="shared" si="235"/>
        <v>290.7624341521514</v>
      </c>
      <c r="G230" s="141">
        <f t="shared" si="235"/>
        <v>286.92977143218269</v>
      </c>
      <c r="H230" s="141">
        <f t="shared" si="235"/>
        <v>299.09874092029082</v>
      </c>
      <c r="I230" s="141">
        <f t="shared" si="235"/>
        <v>305.72682912070519</v>
      </c>
      <c r="J230" s="141">
        <f t="shared" si="235"/>
        <v>289.243454925447</v>
      </c>
      <c r="K230" s="141">
        <f t="shared" si="235"/>
        <v>325.9853332512829</v>
      </c>
      <c r="L230" s="141">
        <f t="shared" si="235"/>
        <v>296.6014174945069</v>
      </c>
      <c r="M230" s="141">
        <f t="shared" si="235"/>
        <v>293.09135493008012</v>
      </c>
      <c r="N230" s="141">
        <f t="shared" si="235"/>
        <v>292.69860233253013</v>
      </c>
      <c r="O230" s="141">
        <f t="shared" si="235"/>
        <v>299.50542585647156</v>
      </c>
      <c r="P230" s="141">
        <f t="shared" si="235"/>
        <v>296.95633573206368</v>
      </c>
      <c r="Q230" s="141">
        <f t="shared" si="235"/>
        <v>292.67689221991259</v>
      </c>
      <c r="R230" s="141">
        <f t="shared" si="235"/>
        <v>276.35813509895519</v>
      </c>
      <c r="S230" s="141">
        <f t="shared" si="235"/>
        <v>265.90021091988785</v>
      </c>
      <c r="T230" s="141">
        <f t="shared" si="235"/>
        <v>269.60811624369717</v>
      </c>
      <c r="U230" s="141">
        <f t="shared" si="235"/>
        <v>258.70205730520229</v>
      </c>
      <c r="V230" s="141">
        <f t="shared" si="235"/>
        <v>263.30403794606843</v>
      </c>
      <c r="W230" s="141">
        <f t="shared" si="235"/>
        <v>261.58546954299158</v>
      </c>
      <c r="X230" s="141">
        <f t="shared" si="235"/>
        <v>274.8514944369503</v>
      </c>
      <c r="Y230" s="141">
        <f t="shared" si="235"/>
        <v>270.74340854982137</v>
      </c>
      <c r="DA230" s="174" t="s">
        <v>445</v>
      </c>
    </row>
    <row r="231" spans="1:105" ht="11.45" customHeight="1" x14ac:dyDescent="0.25">
      <c r="A231" s="128" t="str">
        <f>$A$19</f>
        <v>Light commercial vehicles</v>
      </c>
      <c r="B231" s="97">
        <f t="shared" ref="B231:Y231" si="236">IF(B19=0,0,B79/B19*1000)</f>
        <v>797.47643970390629</v>
      </c>
      <c r="C231" s="97">
        <f t="shared" si="236"/>
        <v>760.41796206428978</v>
      </c>
      <c r="D231" s="97">
        <f t="shared" si="236"/>
        <v>746.55927131367912</v>
      </c>
      <c r="E231" s="97">
        <f t="shared" si="236"/>
        <v>735.54400834637147</v>
      </c>
      <c r="F231" s="97">
        <f t="shared" si="236"/>
        <v>739.36923552191877</v>
      </c>
      <c r="G231" s="97">
        <f t="shared" si="236"/>
        <v>733.63791624323903</v>
      </c>
      <c r="H231" s="97">
        <f t="shared" si="236"/>
        <v>735.21016072896032</v>
      </c>
      <c r="I231" s="97">
        <f t="shared" si="236"/>
        <v>734.44452039310977</v>
      </c>
      <c r="J231" s="97">
        <f t="shared" si="236"/>
        <v>707.75846308960445</v>
      </c>
      <c r="K231" s="97">
        <f t="shared" si="236"/>
        <v>690.93468666909087</v>
      </c>
      <c r="L231" s="97">
        <f t="shared" si="236"/>
        <v>674.40969739959985</v>
      </c>
      <c r="M231" s="97">
        <f t="shared" si="236"/>
        <v>664.04371492835855</v>
      </c>
      <c r="N231" s="97">
        <f t="shared" si="236"/>
        <v>660.81376545945886</v>
      </c>
      <c r="O231" s="97">
        <f t="shared" si="236"/>
        <v>654.01860440730729</v>
      </c>
      <c r="P231" s="97">
        <f t="shared" si="236"/>
        <v>653.00781537827652</v>
      </c>
      <c r="Q231" s="97">
        <f t="shared" si="236"/>
        <v>664.49853308003014</v>
      </c>
      <c r="R231" s="97">
        <f t="shared" si="236"/>
        <v>660.04846265107392</v>
      </c>
      <c r="S231" s="97">
        <f t="shared" si="236"/>
        <v>639.3174879352033</v>
      </c>
      <c r="T231" s="97">
        <f t="shared" si="236"/>
        <v>636.79666118613409</v>
      </c>
      <c r="U231" s="97">
        <f t="shared" si="236"/>
        <v>617.77144577450883</v>
      </c>
      <c r="V231" s="97">
        <f t="shared" si="236"/>
        <v>606.40293165041658</v>
      </c>
      <c r="W231" s="97">
        <f t="shared" si="236"/>
        <v>612.96427123841329</v>
      </c>
      <c r="X231" s="97">
        <f t="shared" si="236"/>
        <v>636.29399010546729</v>
      </c>
      <c r="Y231" s="97">
        <f t="shared" si="236"/>
        <v>620.89319817911132</v>
      </c>
      <c r="DA231" s="175" t="s">
        <v>446</v>
      </c>
    </row>
    <row r="232" spans="1:105" ht="11.45" customHeight="1" x14ac:dyDescent="0.25">
      <c r="A232" s="128" t="str">
        <f>$A$20</f>
        <v>Heavy goods vehicles</v>
      </c>
      <c r="B232" s="97">
        <f t="shared" ref="B232:Y232" si="237">IF(B20=0,0,B80/B20*1000)</f>
        <v>283.99265020866022</v>
      </c>
      <c r="C232" s="97">
        <f t="shared" si="237"/>
        <v>278.14355506408418</v>
      </c>
      <c r="D232" s="97">
        <f t="shared" si="237"/>
        <v>247.36555857893069</v>
      </c>
      <c r="E232" s="97">
        <f t="shared" si="237"/>
        <v>229.01553702255629</v>
      </c>
      <c r="F232" s="97">
        <f t="shared" si="237"/>
        <v>225.96782007951774</v>
      </c>
      <c r="G232" s="97">
        <f t="shared" si="237"/>
        <v>221.70869301591947</v>
      </c>
      <c r="H232" s="97">
        <f t="shared" si="237"/>
        <v>230.42425362444064</v>
      </c>
      <c r="I232" s="97">
        <f t="shared" si="237"/>
        <v>237.6075992303239</v>
      </c>
      <c r="J232" s="97">
        <f t="shared" si="237"/>
        <v>216.12771284575859</v>
      </c>
      <c r="K232" s="97">
        <f t="shared" si="237"/>
        <v>232.79697971044726</v>
      </c>
      <c r="L232" s="97">
        <f t="shared" si="237"/>
        <v>203.53950346725014</v>
      </c>
      <c r="M232" s="97">
        <f t="shared" si="237"/>
        <v>197.40500608314576</v>
      </c>
      <c r="N232" s="97">
        <f t="shared" si="237"/>
        <v>200.15324582762591</v>
      </c>
      <c r="O232" s="97">
        <f t="shared" si="237"/>
        <v>205.34081051923167</v>
      </c>
      <c r="P232" s="97">
        <f t="shared" si="237"/>
        <v>209.41103030255525</v>
      </c>
      <c r="Q232" s="97">
        <f t="shared" si="237"/>
        <v>207.69405714662221</v>
      </c>
      <c r="R232" s="97">
        <f t="shared" si="237"/>
        <v>201.59477723171159</v>
      </c>
      <c r="S232" s="97">
        <f t="shared" si="237"/>
        <v>193.90103328738564</v>
      </c>
      <c r="T232" s="97">
        <f t="shared" si="237"/>
        <v>199.62096388548412</v>
      </c>
      <c r="U232" s="97">
        <f t="shared" si="237"/>
        <v>195.76522838469222</v>
      </c>
      <c r="V232" s="97">
        <f t="shared" si="237"/>
        <v>191.83019357054292</v>
      </c>
      <c r="W232" s="97">
        <f t="shared" si="237"/>
        <v>194.44524279661943</v>
      </c>
      <c r="X232" s="97">
        <f t="shared" si="237"/>
        <v>203.16653781540376</v>
      </c>
      <c r="Y232" s="97">
        <f t="shared" si="237"/>
        <v>199.48511509230133</v>
      </c>
      <c r="DA232" s="175" t="s">
        <v>447</v>
      </c>
    </row>
    <row r="233" spans="1:105" ht="11.45" customHeight="1" x14ac:dyDescent="0.25">
      <c r="A233" s="109" t="str">
        <f>$A$21</f>
        <v>Rail transport</v>
      </c>
      <c r="B233" s="130">
        <f t="shared" ref="B233:Y233" si="238">IF(B21=0,0,B81/B21*1000)</f>
        <v>36.405985941655914</v>
      </c>
      <c r="C233" s="130">
        <f t="shared" si="238"/>
        <v>37.04977276706699</v>
      </c>
      <c r="D233" s="130">
        <f t="shared" si="238"/>
        <v>38.694973972640959</v>
      </c>
      <c r="E233" s="130">
        <f t="shared" si="238"/>
        <v>38.350557840575533</v>
      </c>
      <c r="F233" s="130">
        <f t="shared" si="238"/>
        <v>36.08198428830341</v>
      </c>
      <c r="G233" s="130">
        <f t="shared" si="238"/>
        <v>34.851166599832332</v>
      </c>
      <c r="H233" s="130">
        <f t="shared" si="238"/>
        <v>34.609855225957268</v>
      </c>
      <c r="I233" s="130">
        <f t="shared" si="238"/>
        <v>35.06790953061364</v>
      </c>
      <c r="J233" s="130">
        <f t="shared" si="238"/>
        <v>34.378376326303005</v>
      </c>
      <c r="K233" s="130">
        <f t="shared" si="238"/>
        <v>30.158784892224858</v>
      </c>
      <c r="L233" s="130">
        <f t="shared" si="238"/>
        <v>32.221457690064256</v>
      </c>
      <c r="M233" s="130">
        <f t="shared" si="238"/>
        <v>32.32977138668339</v>
      </c>
      <c r="N233" s="130">
        <f t="shared" si="238"/>
        <v>31.097857463471403</v>
      </c>
      <c r="O233" s="130">
        <f t="shared" si="238"/>
        <v>30.711337033783352</v>
      </c>
      <c r="P233" s="130">
        <f t="shared" si="238"/>
        <v>31.86172690903684</v>
      </c>
      <c r="Q233" s="130">
        <f t="shared" si="238"/>
        <v>31.475718523788178</v>
      </c>
      <c r="R233" s="130">
        <f t="shared" si="238"/>
        <v>31.091997684929808</v>
      </c>
      <c r="S233" s="130">
        <f t="shared" si="238"/>
        <v>30.43073750101863</v>
      </c>
      <c r="T233" s="130">
        <f t="shared" si="238"/>
        <v>30.056912777862042</v>
      </c>
      <c r="U233" s="130">
        <f t="shared" si="238"/>
        <v>30.828768681987842</v>
      </c>
      <c r="V233" s="130">
        <f t="shared" si="238"/>
        <v>29.523986231429888</v>
      </c>
      <c r="W233" s="130">
        <f t="shared" si="238"/>
        <v>34.692710953755544</v>
      </c>
      <c r="X233" s="130">
        <f t="shared" si="238"/>
        <v>60.434230201547756</v>
      </c>
      <c r="Y233" s="130">
        <f t="shared" si="238"/>
        <v>34.732303835967357</v>
      </c>
      <c r="DA233" s="176" t="s">
        <v>448</v>
      </c>
    </row>
    <row r="234" spans="1:105" ht="11.45" customHeight="1" x14ac:dyDescent="0.25">
      <c r="A234" s="109" t="str">
        <f>$A$22</f>
        <v>Aviation</v>
      </c>
      <c r="B234" s="130">
        <f t="shared" ref="B234:Y234" si="239">IF(B22=0,0,B82/B22*1000)</f>
        <v>584.00571238798432</v>
      </c>
      <c r="C234" s="130">
        <f t="shared" si="239"/>
        <v>620.58584091167688</v>
      </c>
      <c r="D234" s="130">
        <f t="shared" si="239"/>
        <v>658.58995683115268</v>
      </c>
      <c r="E234" s="130">
        <f t="shared" si="239"/>
        <v>683.29639901566884</v>
      </c>
      <c r="F234" s="130">
        <f t="shared" si="239"/>
        <v>644.86472307546956</v>
      </c>
      <c r="G234" s="130">
        <f t="shared" si="239"/>
        <v>641.09311743394846</v>
      </c>
      <c r="H234" s="130">
        <f t="shared" si="239"/>
        <v>597.03390157837691</v>
      </c>
      <c r="I234" s="130">
        <f t="shared" si="239"/>
        <v>551.8249752123395</v>
      </c>
      <c r="J234" s="130">
        <f t="shared" si="239"/>
        <v>532.19939795239759</v>
      </c>
      <c r="K234" s="130">
        <f t="shared" si="239"/>
        <v>416.58832823701533</v>
      </c>
      <c r="L234" s="130">
        <f t="shared" si="239"/>
        <v>498.81090763501089</v>
      </c>
      <c r="M234" s="130">
        <f t="shared" si="239"/>
        <v>419.63698076605635</v>
      </c>
      <c r="N234" s="130">
        <f t="shared" si="239"/>
        <v>333.54520508208236</v>
      </c>
      <c r="O234" s="130">
        <f t="shared" si="239"/>
        <v>339.37301836978833</v>
      </c>
      <c r="P234" s="130">
        <f t="shared" si="239"/>
        <v>302.90502240532425</v>
      </c>
      <c r="Q234" s="130">
        <f t="shared" si="239"/>
        <v>294.92564199507245</v>
      </c>
      <c r="R234" s="130">
        <f t="shared" si="239"/>
        <v>246.96331342888823</v>
      </c>
      <c r="S234" s="130">
        <f t="shared" si="239"/>
        <v>237.36280921165039</v>
      </c>
      <c r="T234" s="130">
        <f t="shared" si="239"/>
        <v>243.92426182900053</v>
      </c>
      <c r="U234" s="130">
        <f t="shared" si="239"/>
        <v>254.00755619170374</v>
      </c>
      <c r="V234" s="130">
        <f t="shared" si="239"/>
        <v>411.74564651285777</v>
      </c>
      <c r="W234" s="130">
        <f t="shared" si="239"/>
        <v>437.81594587089063</v>
      </c>
      <c r="X234" s="130">
        <f t="shared" si="239"/>
        <v>292.3248671383036</v>
      </c>
      <c r="Y234" s="130">
        <f t="shared" si="239"/>
        <v>276.83344160842023</v>
      </c>
      <c r="DA234" s="176" t="s">
        <v>348</v>
      </c>
    </row>
    <row r="235" spans="1:105" ht="11.45" customHeight="1" x14ac:dyDescent="0.25">
      <c r="A235" s="128" t="s">
        <v>27</v>
      </c>
      <c r="B235" s="97">
        <f t="shared" ref="B235:Y235" si="240">IF(B23=0,0,B83/B23*1000)</f>
        <v>3179.4165572353095</v>
      </c>
      <c r="C235" s="97">
        <f t="shared" si="240"/>
        <v>3686.7173319635567</v>
      </c>
      <c r="D235" s="97">
        <f t="shared" si="240"/>
        <v>4032.6602595721574</v>
      </c>
      <c r="E235" s="97">
        <f t="shared" si="240"/>
        <v>3274.4635469676509</v>
      </c>
      <c r="F235" s="97">
        <f t="shared" si="240"/>
        <v>3598.3760912713974</v>
      </c>
      <c r="G235" s="97">
        <f t="shared" si="240"/>
        <v>3662.161687573257</v>
      </c>
      <c r="H235" s="97">
        <f t="shared" si="240"/>
        <v>4562.402953234995</v>
      </c>
      <c r="I235" s="97">
        <f t="shared" si="240"/>
        <v>3821.4855649937249</v>
      </c>
      <c r="J235" s="97">
        <f t="shared" si="240"/>
        <v>3465.9315972822901</v>
      </c>
      <c r="K235" s="97">
        <f t="shared" si="240"/>
        <v>3218.6632492578137</v>
      </c>
      <c r="L235" s="97">
        <f t="shared" si="240"/>
        <v>3514.6156552498287</v>
      </c>
      <c r="M235" s="97">
        <f t="shared" si="240"/>
        <v>2449.3241751874461</v>
      </c>
      <c r="N235" s="97">
        <f t="shared" si="240"/>
        <v>3954.5727547293791</v>
      </c>
      <c r="O235" s="97">
        <f t="shared" si="240"/>
        <v>3856.7032015767973</v>
      </c>
      <c r="P235" s="97">
        <f t="shared" si="240"/>
        <v>3600.00328804841</v>
      </c>
      <c r="Q235" s="97">
        <f t="shared" si="240"/>
        <v>3273.9424796691469</v>
      </c>
      <c r="R235" s="97">
        <f t="shared" si="240"/>
        <v>1373.5967774668636</v>
      </c>
      <c r="S235" s="97">
        <f t="shared" si="240"/>
        <v>1941.339103252571</v>
      </c>
      <c r="T235" s="97">
        <f t="shared" si="240"/>
        <v>1812.9430361742113</v>
      </c>
      <c r="U235" s="97">
        <f t="shared" si="240"/>
        <v>1843.8348432701894</v>
      </c>
      <c r="V235" s="97">
        <f t="shared" si="240"/>
        <v>1708.1830063580069</v>
      </c>
      <c r="W235" s="97">
        <f t="shared" si="240"/>
        <v>2322.4700363594347</v>
      </c>
      <c r="X235" s="97">
        <f t="shared" si="240"/>
        <v>4670.5879471861017</v>
      </c>
      <c r="Y235" s="97">
        <f t="shared" si="240"/>
        <v>2547.9983257788122</v>
      </c>
      <c r="DA235" s="175" t="s">
        <v>349</v>
      </c>
    </row>
    <row r="236" spans="1:105" ht="11.45" customHeight="1" x14ac:dyDescent="0.25">
      <c r="A236" s="128" t="str">
        <f>$A$24</f>
        <v>International - Intra-EEAwCHUK</v>
      </c>
      <c r="B236" s="97">
        <f t="shared" ref="B236:Y236" si="241">IF(B24=0,0,B84/B24*1000)</f>
        <v>825.24923394444966</v>
      </c>
      <c r="C236" s="97">
        <f t="shared" si="241"/>
        <v>857.87074576087684</v>
      </c>
      <c r="D236" s="97">
        <f t="shared" si="241"/>
        <v>969.8262136784374</v>
      </c>
      <c r="E236" s="97">
        <f t="shared" si="241"/>
        <v>965.73672621511992</v>
      </c>
      <c r="F236" s="97">
        <f t="shared" si="241"/>
        <v>994.10063983782652</v>
      </c>
      <c r="G236" s="97">
        <f t="shared" si="241"/>
        <v>980.20496049304199</v>
      </c>
      <c r="H236" s="97">
        <f t="shared" si="241"/>
        <v>970.08745814753604</v>
      </c>
      <c r="I236" s="97">
        <f t="shared" si="241"/>
        <v>1110.1576336584053</v>
      </c>
      <c r="J236" s="97">
        <f t="shared" si="241"/>
        <v>1028.1281039289702</v>
      </c>
      <c r="K236" s="97">
        <f t="shared" si="241"/>
        <v>748.77684445063494</v>
      </c>
      <c r="L236" s="97">
        <f t="shared" si="241"/>
        <v>1006.5504124185425</v>
      </c>
      <c r="M236" s="97">
        <f t="shared" si="241"/>
        <v>867.26719273985566</v>
      </c>
      <c r="N236" s="97">
        <f t="shared" si="241"/>
        <v>671.55486906229316</v>
      </c>
      <c r="O236" s="97">
        <f t="shared" si="241"/>
        <v>758.18590489167661</v>
      </c>
      <c r="P236" s="97">
        <f t="shared" si="241"/>
        <v>779.32052132051717</v>
      </c>
      <c r="Q236" s="97">
        <f t="shared" si="241"/>
        <v>883.28508973963085</v>
      </c>
      <c r="R236" s="97">
        <f t="shared" si="241"/>
        <v>762.32652904519443</v>
      </c>
      <c r="S236" s="97">
        <f t="shared" si="241"/>
        <v>957.65814036694076</v>
      </c>
      <c r="T236" s="97">
        <f t="shared" si="241"/>
        <v>951.72160968685967</v>
      </c>
      <c r="U236" s="97">
        <f t="shared" si="241"/>
        <v>948.89299407384715</v>
      </c>
      <c r="V236" s="97">
        <f t="shared" si="241"/>
        <v>744.15553830056342</v>
      </c>
      <c r="W236" s="97">
        <f t="shared" si="241"/>
        <v>776.28949118404671</v>
      </c>
      <c r="X236" s="97">
        <f t="shared" si="241"/>
        <v>873.38995545694752</v>
      </c>
      <c r="Y236" s="97">
        <f t="shared" si="241"/>
        <v>850.48520888318626</v>
      </c>
      <c r="DA236" s="175" t="s">
        <v>350</v>
      </c>
    </row>
    <row r="237" spans="1:105" ht="11.45" customHeight="1" x14ac:dyDescent="0.25">
      <c r="A237" s="128" t="str">
        <f>$A$25</f>
        <v>International - Extra-EEAwCHUK</v>
      </c>
      <c r="B237" s="97">
        <f t="shared" ref="B237:Y237" si="242">IF(B25=0,0,B85/B25*1000)</f>
        <v>416.5396123498474</v>
      </c>
      <c r="C237" s="97">
        <f t="shared" si="242"/>
        <v>442.56516498591554</v>
      </c>
      <c r="D237" s="97">
        <f t="shared" si="242"/>
        <v>498.48531655058025</v>
      </c>
      <c r="E237" s="97">
        <f t="shared" si="242"/>
        <v>553.42542970922295</v>
      </c>
      <c r="F237" s="97">
        <f t="shared" si="242"/>
        <v>523.14497639666274</v>
      </c>
      <c r="G237" s="97">
        <f t="shared" si="242"/>
        <v>451.77883856288338</v>
      </c>
      <c r="H237" s="97">
        <f t="shared" si="242"/>
        <v>350.08392325257807</v>
      </c>
      <c r="I237" s="97">
        <f t="shared" si="242"/>
        <v>313.86285861433799</v>
      </c>
      <c r="J237" s="97">
        <f t="shared" si="242"/>
        <v>320.95295764301744</v>
      </c>
      <c r="K237" s="97">
        <f t="shared" si="242"/>
        <v>222.05543686821903</v>
      </c>
      <c r="L237" s="97">
        <f t="shared" si="242"/>
        <v>293.93034828960594</v>
      </c>
      <c r="M237" s="97">
        <f t="shared" si="242"/>
        <v>246.53908461186504</v>
      </c>
      <c r="N237" s="97">
        <f t="shared" si="242"/>
        <v>218.4566715172553</v>
      </c>
      <c r="O237" s="97">
        <f t="shared" si="242"/>
        <v>229.07191048420941</v>
      </c>
      <c r="P237" s="97">
        <f t="shared" si="242"/>
        <v>190.80799424454628</v>
      </c>
      <c r="Q237" s="97">
        <f t="shared" si="242"/>
        <v>181.50607253545718</v>
      </c>
      <c r="R237" s="97">
        <f t="shared" si="242"/>
        <v>157.3290393694956</v>
      </c>
      <c r="S237" s="97">
        <f t="shared" si="242"/>
        <v>153.87008845654694</v>
      </c>
      <c r="T237" s="97">
        <f t="shared" si="242"/>
        <v>140.32294496809428</v>
      </c>
      <c r="U237" s="97">
        <f t="shared" si="242"/>
        <v>143.05686587339463</v>
      </c>
      <c r="V237" s="97">
        <f t="shared" si="242"/>
        <v>339.32523262252147</v>
      </c>
      <c r="W237" s="97">
        <f t="shared" si="242"/>
        <v>352.42763965902316</v>
      </c>
      <c r="X237" s="97">
        <f t="shared" si="242"/>
        <v>199.88335775540213</v>
      </c>
      <c r="Y237" s="97">
        <f t="shared" si="242"/>
        <v>179.20463203305542</v>
      </c>
      <c r="DA237" s="175" t="s">
        <v>351</v>
      </c>
    </row>
    <row r="238" spans="1:105" ht="11.45" customHeight="1" x14ac:dyDescent="0.25">
      <c r="A238" s="109" t="s">
        <v>141</v>
      </c>
      <c r="B238" s="130">
        <f t="shared" ref="B238:Y238" si="243">IF(B26=0,0,B86/B26*1000)</f>
        <v>798.1746805553388</v>
      </c>
      <c r="C238" s="130">
        <f t="shared" si="243"/>
        <v>917.27544819655247</v>
      </c>
      <c r="D238" s="130">
        <f t="shared" si="243"/>
        <v>1389.7415140995606</v>
      </c>
      <c r="E238" s="130">
        <f t="shared" si="243"/>
        <v>1341.2410036303481</v>
      </c>
      <c r="F238" s="130">
        <f t="shared" si="243"/>
        <v>2071.9851704741973</v>
      </c>
      <c r="G238" s="130">
        <f t="shared" si="243"/>
        <v>1432.5658282698428</v>
      </c>
      <c r="H238" s="130">
        <f t="shared" si="243"/>
        <v>2271.6994480426515</v>
      </c>
      <c r="I238" s="130">
        <f t="shared" si="243"/>
        <v>2115.2530801356957</v>
      </c>
      <c r="J238" s="130">
        <f t="shared" si="243"/>
        <v>2047.3950235830598</v>
      </c>
      <c r="K238" s="130">
        <f t="shared" si="243"/>
        <v>1805.3109779466868</v>
      </c>
      <c r="L238" s="130">
        <f t="shared" si="243"/>
        <v>1959.6382169179046</v>
      </c>
      <c r="M238" s="130">
        <f t="shared" si="243"/>
        <v>1193.8561313076505</v>
      </c>
      <c r="N238" s="130">
        <f t="shared" si="243"/>
        <v>846.49037002582236</v>
      </c>
      <c r="O238" s="130">
        <f t="shared" si="243"/>
        <v>1061.7569414452914</v>
      </c>
      <c r="P238" s="130">
        <f t="shared" si="243"/>
        <v>1335.9266399259486</v>
      </c>
      <c r="Q238" s="130">
        <f t="shared" si="243"/>
        <v>1351.0846441710319</v>
      </c>
      <c r="R238" s="130">
        <f t="shared" si="243"/>
        <v>1898.2154385165352</v>
      </c>
      <c r="S238" s="130">
        <f t="shared" si="243"/>
        <v>1831.9514563016116</v>
      </c>
      <c r="T238" s="130">
        <f t="shared" si="243"/>
        <v>1572.3677268087629</v>
      </c>
      <c r="U238" s="130">
        <f t="shared" si="243"/>
        <v>1393.9650052034888</v>
      </c>
      <c r="V238" s="130">
        <f t="shared" si="243"/>
        <v>1682.4169255348709</v>
      </c>
      <c r="W238" s="130">
        <f t="shared" si="243"/>
        <v>1622.4197818246896</v>
      </c>
      <c r="X238" s="130">
        <f t="shared" si="243"/>
        <v>1725.9388255207746</v>
      </c>
      <c r="Y238" s="130">
        <f t="shared" si="243"/>
        <v>1790.093386902571</v>
      </c>
      <c r="DA238" s="176" t="s">
        <v>449</v>
      </c>
    </row>
    <row r="239" spans="1:105" ht="11.45" customHeight="1" x14ac:dyDescent="0.25">
      <c r="A239" s="128" t="str">
        <f>$A$27</f>
        <v>Domestic coastal shipping</v>
      </c>
      <c r="B239" s="97">
        <f t="shared" ref="B239:Y239" si="244">IF(B27=0,0,B87/B27*1000)</f>
        <v>798.1746805553388</v>
      </c>
      <c r="C239" s="97">
        <f t="shared" si="244"/>
        <v>917.27544819655247</v>
      </c>
      <c r="D239" s="97">
        <f t="shared" si="244"/>
        <v>1389.7415140995606</v>
      </c>
      <c r="E239" s="97">
        <f t="shared" si="244"/>
        <v>1341.2410036303481</v>
      </c>
      <c r="F239" s="97">
        <f t="shared" si="244"/>
        <v>2071.9851704741973</v>
      </c>
      <c r="G239" s="97">
        <f t="shared" si="244"/>
        <v>1432.5658282698428</v>
      </c>
      <c r="H239" s="97">
        <f t="shared" si="244"/>
        <v>2271.6994480426515</v>
      </c>
      <c r="I239" s="97">
        <f t="shared" si="244"/>
        <v>2115.2530801356957</v>
      </c>
      <c r="J239" s="97">
        <f t="shared" si="244"/>
        <v>2047.3950235830598</v>
      </c>
      <c r="K239" s="97">
        <f t="shared" si="244"/>
        <v>1805.3109779466868</v>
      </c>
      <c r="L239" s="97">
        <f t="shared" si="244"/>
        <v>1959.6382169179046</v>
      </c>
      <c r="M239" s="97">
        <f t="shared" si="244"/>
        <v>1193.8561313076505</v>
      </c>
      <c r="N239" s="97">
        <f t="shared" si="244"/>
        <v>846.49037002582236</v>
      </c>
      <c r="O239" s="97">
        <f t="shared" si="244"/>
        <v>1061.7569414452914</v>
      </c>
      <c r="P239" s="97">
        <f t="shared" si="244"/>
        <v>1335.9266399259486</v>
      </c>
      <c r="Q239" s="97">
        <f t="shared" si="244"/>
        <v>1351.0846441710319</v>
      </c>
      <c r="R239" s="97">
        <f t="shared" si="244"/>
        <v>1898.2154385165352</v>
      </c>
      <c r="S239" s="97">
        <f t="shared" si="244"/>
        <v>1831.9514563016116</v>
      </c>
      <c r="T239" s="97">
        <f t="shared" si="244"/>
        <v>1572.3677268087629</v>
      </c>
      <c r="U239" s="97">
        <f t="shared" si="244"/>
        <v>1393.9650052034888</v>
      </c>
      <c r="V239" s="97">
        <f t="shared" si="244"/>
        <v>1682.4169255348709</v>
      </c>
      <c r="W239" s="97">
        <f t="shared" si="244"/>
        <v>1622.4197818246896</v>
      </c>
      <c r="X239" s="97">
        <f t="shared" si="244"/>
        <v>1725.9388255207746</v>
      </c>
      <c r="Y239" s="97">
        <f t="shared" si="244"/>
        <v>1790.093386902571</v>
      </c>
      <c r="DA239" s="175" t="s">
        <v>450</v>
      </c>
    </row>
    <row r="240" spans="1:105" ht="11.45" customHeight="1" x14ac:dyDescent="0.25">
      <c r="A240" s="138" t="str">
        <f>$A$28</f>
        <v>Inland waterways</v>
      </c>
      <c r="B240" s="98">
        <f t="shared" ref="B240:Y240" si="245">IF(B28=0,0,B88/B28*1000)</f>
        <v>0</v>
      </c>
      <c r="C240" s="98">
        <f t="shared" si="245"/>
        <v>0</v>
      </c>
      <c r="D240" s="98">
        <f t="shared" si="245"/>
        <v>0</v>
      </c>
      <c r="E240" s="98">
        <f t="shared" si="245"/>
        <v>0</v>
      </c>
      <c r="F240" s="98">
        <f t="shared" si="245"/>
        <v>0</v>
      </c>
      <c r="G240" s="98">
        <f t="shared" si="245"/>
        <v>0</v>
      </c>
      <c r="H240" s="98">
        <f t="shared" si="245"/>
        <v>0</v>
      </c>
      <c r="I240" s="98">
        <f t="shared" si="245"/>
        <v>0</v>
      </c>
      <c r="J240" s="98">
        <f t="shared" si="245"/>
        <v>0</v>
      </c>
      <c r="K240" s="98">
        <f t="shared" si="245"/>
        <v>0</v>
      </c>
      <c r="L240" s="98">
        <f t="shared" si="245"/>
        <v>0</v>
      </c>
      <c r="M240" s="98">
        <f t="shared" si="245"/>
        <v>0</v>
      </c>
      <c r="N240" s="98">
        <f t="shared" si="245"/>
        <v>0</v>
      </c>
      <c r="O240" s="98">
        <f t="shared" si="245"/>
        <v>0</v>
      </c>
      <c r="P240" s="98">
        <f t="shared" si="245"/>
        <v>0</v>
      </c>
      <c r="Q240" s="98">
        <f t="shared" si="245"/>
        <v>0</v>
      </c>
      <c r="R240" s="98">
        <f t="shared" si="245"/>
        <v>0</v>
      </c>
      <c r="S240" s="98">
        <f t="shared" si="245"/>
        <v>0</v>
      </c>
      <c r="T240" s="98">
        <f t="shared" si="245"/>
        <v>0</v>
      </c>
      <c r="U240" s="98">
        <f t="shared" si="245"/>
        <v>0</v>
      </c>
      <c r="V240" s="98">
        <f t="shared" si="245"/>
        <v>0</v>
      </c>
      <c r="W240" s="98">
        <f t="shared" si="245"/>
        <v>0</v>
      </c>
      <c r="X240" s="98">
        <f t="shared" si="245"/>
        <v>0</v>
      </c>
      <c r="Y240" s="98">
        <f t="shared" si="245"/>
        <v>0</v>
      </c>
      <c r="DA240" s="178" t="s">
        <v>451</v>
      </c>
    </row>
    <row r="241" spans="1:105" ht="11.45" customHeight="1" x14ac:dyDescent="0.25">
      <c r="A241" s="27" t="s">
        <v>172</v>
      </c>
      <c r="B241" s="32">
        <f t="shared" ref="B241:Y241" si="246">IF(B29=0,0,B89/B29*1000)</f>
        <v>10.261778891869149</v>
      </c>
      <c r="C241" s="32">
        <f t="shared" si="246"/>
        <v>9.8030161045777113</v>
      </c>
      <c r="D241" s="32">
        <f t="shared" si="246"/>
        <v>8.003410861802303</v>
      </c>
      <c r="E241" s="32">
        <f t="shared" si="246"/>
        <v>9.4820555717462192</v>
      </c>
      <c r="F241" s="32">
        <f t="shared" si="246"/>
        <v>8.2645711980976895</v>
      </c>
      <c r="G241" s="32">
        <f t="shared" si="246"/>
        <v>5.5750097037203625</v>
      </c>
      <c r="H241" s="32">
        <f t="shared" si="246"/>
        <v>13.603907029134831</v>
      </c>
      <c r="I241" s="32">
        <f t="shared" si="246"/>
        <v>5.5414792861195723</v>
      </c>
      <c r="J241" s="32">
        <f t="shared" si="246"/>
        <v>3.795213237493444</v>
      </c>
      <c r="K241" s="32">
        <f t="shared" si="246"/>
        <v>7.3386485385263072</v>
      </c>
      <c r="L241" s="32">
        <f t="shared" si="246"/>
        <v>9.6274749058398577</v>
      </c>
      <c r="M241" s="32">
        <f t="shared" si="246"/>
        <v>7.3668175443068842</v>
      </c>
      <c r="N241" s="32">
        <f t="shared" si="246"/>
        <v>7.9092739432661405</v>
      </c>
      <c r="O241" s="32">
        <f t="shared" si="246"/>
        <v>9.3354418509213843</v>
      </c>
      <c r="P241" s="32">
        <f t="shared" si="246"/>
        <v>8.3624435192318192</v>
      </c>
      <c r="Q241" s="32">
        <f t="shared" si="246"/>
        <v>9.2102535589824068</v>
      </c>
      <c r="R241" s="32">
        <f t="shared" si="246"/>
        <v>9.4252866537903692</v>
      </c>
      <c r="S241" s="32">
        <f t="shared" si="246"/>
        <v>8.8065315815476399</v>
      </c>
      <c r="T241" s="32">
        <f t="shared" si="246"/>
        <v>9.6820764367502328</v>
      </c>
      <c r="U241" s="32">
        <f t="shared" si="246"/>
        <v>8.2826826452995519</v>
      </c>
      <c r="V241" s="32">
        <f t="shared" si="246"/>
        <v>8.8970368534972124</v>
      </c>
      <c r="W241" s="32">
        <f t="shared" si="246"/>
        <v>9.0918525932819367</v>
      </c>
      <c r="X241" s="32">
        <f t="shared" si="246"/>
        <v>6.6139048528000277</v>
      </c>
      <c r="Y241" s="32">
        <f t="shared" si="246"/>
        <v>8.1105140254621553</v>
      </c>
      <c r="DA241" s="173" t="s">
        <v>452</v>
      </c>
    </row>
    <row r="242" spans="1:105" ht="11.45" customHeight="1" x14ac:dyDescent="0.25">
      <c r="A242" s="128" t="str">
        <f>$A$30</f>
        <v>Intra-EEA</v>
      </c>
      <c r="B242" s="97">
        <f t="shared" ref="B242:Y242" si="247">IF(B30=0,0,B90/B30*1000)</f>
        <v>18.631057770819524</v>
      </c>
      <c r="C242" s="97">
        <f t="shared" si="247"/>
        <v>18.4130219047323</v>
      </c>
      <c r="D242" s="97">
        <f t="shared" si="247"/>
        <v>14.897184907155587</v>
      </c>
      <c r="E242" s="97">
        <f t="shared" si="247"/>
        <v>16.86511864547839</v>
      </c>
      <c r="F242" s="97">
        <f t="shared" si="247"/>
        <v>13.983298862679254</v>
      </c>
      <c r="G242" s="97">
        <f t="shared" si="247"/>
        <v>9.6410317011820581</v>
      </c>
      <c r="H242" s="97">
        <f t="shared" si="247"/>
        <v>14.560779664015923</v>
      </c>
      <c r="I242" s="97">
        <f t="shared" si="247"/>
        <v>9.0626827275601816</v>
      </c>
      <c r="J242" s="97">
        <f t="shared" si="247"/>
        <v>6.2605060041351557</v>
      </c>
      <c r="K242" s="97">
        <f t="shared" si="247"/>
        <v>10.440554031731923</v>
      </c>
      <c r="L242" s="97">
        <f t="shared" si="247"/>
        <v>14.200980634863349</v>
      </c>
      <c r="M242" s="97">
        <f t="shared" si="247"/>
        <v>11.696181646088908</v>
      </c>
      <c r="N242" s="97">
        <f t="shared" si="247"/>
        <v>13.310564995092557</v>
      </c>
      <c r="O242" s="97">
        <f t="shared" si="247"/>
        <v>14.549602299738071</v>
      </c>
      <c r="P242" s="97">
        <f t="shared" si="247"/>
        <v>13.875584861076186</v>
      </c>
      <c r="Q242" s="97">
        <f t="shared" si="247"/>
        <v>15.122124445557722</v>
      </c>
      <c r="R242" s="97">
        <f t="shared" si="247"/>
        <v>14.705938090924818</v>
      </c>
      <c r="S242" s="97">
        <f t="shared" si="247"/>
        <v>13.909678232085746</v>
      </c>
      <c r="T242" s="97">
        <f t="shared" si="247"/>
        <v>14.8658469414374</v>
      </c>
      <c r="U242" s="97">
        <f t="shared" si="247"/>
        <v>12.449200113776914</v>
      </c>
      <c r="V242" s="97">
        <f t="shared" si="247"/>
        <v>12.871457520397799</v>
      </c>
      <c r="W242" s="97">
        <f t="shared" si="247"/>
        <v>13.151090571271741</v>
      </c>
      <c r="X242" s="97">
        <f t="shared" si="247"/>
        <v>10.482898295580164</v>
      </c>
      <c r="Y242" s="97">
        <f t="shared" si="247"/>
        <v>11.162142191684341</v>
      </c>
      <c r="DA242" s="175" t="s">
        <v>453</v>
      </c>
    </row>
    <row r="243" spans="1:105" ht="11.45" customHeight="1" x14ac:dyDescent="0.25">
      <c r="A243" s="138" t="str">
        <f>$A$31</f>
        <v>Extra-EEA</v>
      </c>
      <c r="B243" s="98">
        <f t="shared" ref="B243:Y243" si="248">IF(B31=0,0,B91/B31*1000)</f>
        <v>7.5598098525989874</v>
      </c>
      <c r="C243" s="98">
        <f t="shared" si="248"/>
        <v>7.1604140883547531</v>
      </c>
      <c r="D243" s="98">
        <f t="shared" si="248"/>
        <v>5.9670758085945428</v>
      </c>
      <c r="E243" s="98">
        <f t="shared" si="248"/>
        <v>7.0506265627439326</v>
      </c>
      <c r="F243" s="98">
        <f t="shared" si="248"/>
        <v>6.1292770171013435</v>
      </c>
      <c r="G243" s="98">
        <f t="shared" si="248"/>
        <v>4.1038017868758505</v>
      </c>
      <c r="H243" s="98">
        <f t="shared" si="248"/>
        <v>12.610797082451674</v>
      </c>
      <c r="I243" s="98">
        <f t="shared" si="248"/>
        <v>4.0465622414240965</v>
      </c>
      <c r="J243" s="98">
        <f t="shared" si="248"/>
        <v>2.7771269587343621</v>
      </c>
      <c r="K243" s="98">
        <f t="shared" si="248"/>
        <v>5.6469370288725109</v>
      </c>
      <c r="L243" s="98">
        <f t="shared" si="248"/>
        <v>7.2789952170960728</v>
      </c>
      <c r="M243" s="98">
        <f t="shared" si="248"/>
        <v>5.5296748324148162</v>
      </c>
      <c r="N243" s="98">
        <f t="shared" si="248"/>
        <v>5.7534795383298256</v>
      </c>
      <c r="O243" s="98">
        <f t="shared" si="248"/>
        <v>6.8204377052548395</v>
      </c>
      <c r="P243" s="98">
        <f t="shared" si="248"/>
        <v>6.0947717938548536</v>
      </c>
      <c r="Q243" s="98">
        <f t="shared" si="248"/>
        <v>6.673392945911008</v>
      </c>
      <c r="R243" s="98">
        <f t="shared" si="248"/>
        <v>7.0071957499017552</v>
      </c>
      <c r="S243" s="98">
        <f t="shared" si="248"/>
        <v>6.5427862581318319</v>
      </c>
      <c r="T243" s="98">
        <f t="shared" si="248"/>
        <v>7.1935352725285346</v>
      </c>
      <c r="U243" s="98">
        <f t="shared" si="248"/>
        <v>6.1950566159442513</v>
      </c>
      <c r="V243" s="98">
        <f t="shared" si="248"/>
        <v>7.0423896330648921</v>
      </c>
      <c r="W243" s="98">
        <f t="shared" si="248"/>
        <v>7.0639740386913896</v>
      </c>
      <c r="X243" s="98">
        <f t="shared" si="248"/>
        <v>4.8262941134225974</v>
      </c>
      <c r="Y243" s="98">
        <f t="shared" si="248"/>
        <v>6.0976513983204459</v>
      </c>
      <c r="DA243" s="178" t="s">
        <v>454</v>
      </c>
    </row>
    <row r="245" spans="1:105" x14ac:dyDescent="0.25">
      <c r="A245" s="18" t="s">
        <v>168</v>
      </c>
    </row>
    <row r="246" spans="1:105" x14ac:dyDescent="0.25">
      <c r="A246" s="18" t="s">
        <v>184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zoomScaleNormal="10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41691.038740831435</v>
      </c>
      <c r="C4" s="29">
        <f t="shared" si="0"/>
        <v>43878.423404630812</v>
      </c>
      <c r="D4" s="29">
        <f t="shared" si="0"/>
        <v>45180.384198213811</v>
      </c>
      <c r="E4" s="29">
        <f t="shared" si="0"/>
        <v>47623.58064602044</v>
      </c>
      <c r="F4" s="29">
        <f t="shared" si="0"/>
        <v>50622.817666747454</v>
      </c>
      <c r="G4" s="29">
        <f t="shared" si="0"/>
        <v>52459.551856137557</v>
      </c>
      <c r="H4" s="29">
        <f t="shared" si="0"/>
        <v>54177.079762288398</v>
      </c>
      <c r="I4" s="29">
        <f t="shared" si="0"/>
        <v>56420.638144959703</v>
      </c>
      <c r="J4" s="29">
        <f t="shared" si="0"/>
        <v>57632.19363109066</v>
      </c>
      <c r="K4" s="29">
        <f t="shared" si="0"/>
        <v>57968.784947191147</v>
      </c>
      <c r="L4" s="29">
        <f t="shared" ref="L4" si="1">L5+L6+L13</f>
        <v>56683.257713109044</v>
      </c>
      <c r="M4" s="29">
        <f t="shared" ref="M4:V4" si="2">M5+M6+M13</f>
        <v>55964.432806355537</v>
      </c>
      <c r="N4" s="29">
        <f t="shared" si="2"/>
        <v>54835.949516979192</v>
      </c>
      <c r="O4" s="29">
        <f t="shared" si="2"/>
        <v>56294.943862909713</v>
      </c>
      <c r="P4" s="29">
        <f t="shared" si="2"/>
        <v>55723.973974538399</v>
      </c>
      <c r="Q4" s="29">
        <f t="shared" si="2"/>
        <v>60554.718927382062</v>
      </c>
      <c r="R4" s="29">
        <f t="shared" si="2"/>
        <v>64142.327645634352</v>
      </c>
      <c r="S4" s="29">
        <f t="shared" si="2"/>
        <v>66494.558705901378</v>
      </c>
      <c r="T4" s="29">
        <f t="shared" si="2"/>
        <v>67782.356034348122</v>
      </c>
      <c r="U4" s="29">
        <f t="shared" si="2"/>
        <v>69513.374561882883</v>
      </c>
      <c r="V4" s="29">
        <f t="shared" si="2"/>
        <v>58328.478937873435</v>
      </c>
      <c r="W4" s="29">
        <f t="shared" ref="W4:Y4" si="3">W5+W6+W13</f>
        <v>62074.842545774591</v>
      </c>
      <c r="X4" s="29">
        <f t="shared" si="3"/>
        <v>67670.6897929978</v>
      </c>
      <c r="Y4" s="29">
        <f t="shared" si="3"/>
        <v>73212.772347459977</v>
      </c>
      <c r="DA4" s="173" t="s">
        <v>372</v>
      </c>
    </row>
    <row r="5" spans="1:105" ht="11.45" customHeight="1" x14ac:dyDescent="0.25">
      <c r="A5" s="136" t="s">
        <v>173</v>
      </c>
      <c r="B5" s="152">
        <f t="shared" ref="B5:K5" si="4">IF(B32=0,0,B32*B142)</f>
        <v>119.83874083142855</v>
      </c>
      <c r="C5" s="152">
        <f t="shared" si="4"/>
        <v>129.82340463081314</v>
      </c>
      <c r="D5" s="152">
        <f t="shared" si="4"/>
        <v>129.98419821380682</v>
      </c>
      <c r="E5" s="152">
        <f t="shared" si="4"/>
        <v>139.68064602044134</v>
      </c>
      <c r="F5" s="152">
        <f t="shared" si="4"/>
        <v>135.01766674745235</v>
      </c>
      <c r="G5" s="152">
        <f t="shared" si="4"/>
        <v>165.35185613755996</v>
      </c>
      <c r="H5" s="152">
        <f t="shared" si="4"/>
        <v>163.07976228839982</v>
      </c>
      <c r="I5" s="152">
        <f t="shared" si="4"/>
        <v>165.13814495970291</v>
      </c>
      <c r="J5" s="152">
        <f t="shared" si="4"/>
        <v>176.1936310906585</v>
      </c>
      <c r="K5" s="152">
        <f t="shared" si="4"/>
        <v>161.98494719114285</v>
      </c>
      <c r="L5" s="152">
        <f t="shared" ref="L5:L7" si="5">IF(L32=0,0,L32*L142)</f>
        <v>141.55771310904396</v>
      </c>
      <c r="M5" s="152">
        <f t="shared" ref="M5:V5" si="6">IF(M32=0,0,M32*M142)</f>
        <v>129.83280635554576</v>
      </c>
      <c r="N5" s="152">
        <f t="shared" si="6"/>
        <v>116.34951697918964</v>
      </c>
      <c r="O5" s="152">
        <f t="shared" si="6"/>
        <v>115.64386290971892</v>
      </c>
      <c r="P5" s="152">
        <f t="shared" si="6"/>
        <v>133.67397453839706</v>
      </c>
      <c r="Q5" s="152">
        <f t="shared" si="6"/>
        <v>127.61892738206613</v>
      </c>
      <c r="R5" s="152">
        <f t="shared" si="6"/>
        <v>132.82764563435552</v>
      </c>
      <c r="S5" s="152">
        <f t="shared" si="6"/>
        <v>126.41463345974572</v>
      </c>
      <c r="T5" s="152">
        <f t="shared" si="6"/>
        <v>120.0935839076265</v>
      </c>
      <c r="U5" s="152">
        <f t="shared" si="6"/>
        <v>128.6638591196706</v>
      </c>
      <c r="V5" s="152">
        <f t="shared" si="6"/>
        <v>116.26766391536509</v>
      </c>
      <c r="W5" s="152">
        <f t="shared" ref="W5:Y5" si="7">IF(W32=0,0,W32*W142)</f>
        <v>121.45263045438453</v>
      </c>
      <c r="X5" s="152">
        <f t="shared" si="7"/>
        <v>122.56195959347336</v>
      </c>
      <c r="Y5" s="152">
        <f t="shared" si="7"/>
        <v>132.72362482493099</v>
      </c>
      <c r="DA5" s="174" t="s">
        <v>373</v>
      </c>
    </row>
    <row r="6" spans="1:105" ht="11.45" customHeight="1" x14ac:dyDescent="0.25">
      <c r="A6" s="109" t="s">
        <v>20</v>
      </c>
      <c r="B6" s="116">
        <f t="shared" ref="B6:K6" si="8">SUM(B7:B12)</f>
        <v>34608.000000000007</v>
      </c>
      <c r="C6" s="116">
        <f t="shared" si="8"/>
        <v>36459</v>
      </c>
      <c r="D6" s="116">
        <f t="shared" si="8"/>
        <v>37788</v>
      </c>
      <c r="E6" s="116">
        <f t="shared" si="8"/>
        <v>39949.5</v>
      </c>
      <c r="F6" s="116">
        <f t="shared" si="8"/>
        <v>42627</v>
      </c>
      <c r="G6" s="116">
        <f t="shared" si="8"/>
        <v>44379</v>
      </c>
      <c r="H6" s="116">
        <f t="shared" si="8"/>
        <v>45990</v>
      </c>
      <c r="I6" s="116">
        <f t="shared" si="8"/>
        <v>47959.5</v>
      </c>
      <c r="J6" s="116">
        <f t="shared" si="8"/>
        <v>48888</v>
      </c>
      <c r="K6" s="116">
        <f t="shared" si="8"/>
        <v>48858</v>
      </c>
      <c r="L6" s="116">
        <f t="shared" ref="L6" si="9">SUM(L7:L12)</f>
        <v>48082.5</v>
      </c>
      <c r="M6" s="116">
        <f t="shared" ref="M6:V6" si="10">SUM(M7:M12)</f>
        <v>47456.999999999993</v>
      </c>
      <c r="N6" s="116">
        <f t="shared" si="10"/>
        <v>46614</v>
      </c>
      <c r="O6" s="116">
        <f t="shared" si="10"/>
        <v>48046.499999999993</v>
      </c>
      <c r="P6" s="116">
        <f t="shared" si="10"/>
        <v>47185.500000000007</v>
      </c>
      <c r="Q6" s="116">
        <f t="shared" si="10"/>
        <v>51913.5</v>
      </c>
      <c r="R6" s="116">
        <f t="shared" si="10"/>
        <v>55033.5</v>
      </c>
      <c r="S6" s="116">
        <f t="shared" si="10"/>
        <v>56548.944072441627</v>
      </c>
      <c r="T6" s="116">
        <f t="shared" si="10"/>
        <v>57163.062450440491</v>
      </c>
      <c r="U6" s="116">
        <f t="shared" si="10"/>
        <v>58722.310702763221</v>
      </c>
      <c r="V6" s="116">
        <f t="shared" si="10"/>
        <v>50841.011273958073</v>
      </c>
      <c r="W6" s="116">
        <f t="shared" ref="W6:Y6" si="11">SUM(W7:W12)</f>
        <v>53815.48704913773</v>
      </c>
      <c r="X6" s="116">
        <f t="shared" si="11"/>
        <v>56514.578519966461</v>
      </c>
      <c r="Y6" s="116">
        <f t="shared" si="11"/>
        <v>59839.789546509623</v>
      </c>
      <c r="DA6" s="176" t="s">
        <v>374</v>
      </c>
    </row>
    <row r="7" spans="1:105" ht="11.45" customHeight="1" x14ac:dyDescent="0.25">
      <c r="A7" s="111" t="s">
        <v>110</v>
      </c>
      <c r="B7" s="87">
        <f t="shared" ref="B7:K7" si="12">IF(B34=0,0,B34*B144)</f>
        <v>29610.888341440121</v>
      </c>
      <c r="C7" s="87">
        <f t="shared" si="12"/>
        <v>31260.496022213163</v>
      </c>
      <c r="D7" s="87">
        <f t="shared" si="12"/>
        <v>32300.422627077071</v>
      </c>
      <c r="E7" s="87">
        <f t="shared" si="12"/>
        <v>33961.839675291005</v>
      </c>
      <c r="F7" s="87">
        <f t="shared" si="12"/>
        <v>35788.547964946214</v>
      </c>
      <c r="G7" s="87">
        <f t="shared" si="12"/>
        <v>36167.369615309151</v>
      </c>
      <c r="H7" s="87">
        <f t="shared" si="12"/>
        <v>37235.881474839109</v>
      </c>
      <c r="I7" s="87">
        <f t="shared" si="12"/>
        <v>38390.949187240658</v>
      </c>
      <c r="J7" s="87">
        <f t="shared" si="12"/>
        <v>37494.593916934391</v>
      </c>
      <c r="K7" s="87">
        <f t="shared" si="12"/>
        <v>35692.451604251219</v>
      </c>
      <c r="L7" s="87">
        <f t="shared" si="5"/>
        <v>33018.011190575002</v>
      </c>
      <c r="M7" s="87">
        <f t="shared" ref="M7:V7" si="13">IF(M34=0,0,M34*M144)</f>
        <v>29852.37494511273</v>
      </c>
      <c r="N7" s="87">
        <f t="shared" si="13"/>
        <v>28055.757514006084</v>
      </c>
      <c r="O7" s="87">
        <f t="shared" si="13"/>
        <v>26782.00500070383</v>
      </c>
      <c r="P7" s="87">
        <f t="shared" si="13"/>
        <v>24856.285191356979</v>
      </c>
      <c r="Q7" s="87">
        <f t="shared" si="13"/>
        <v>24553.871923184131</v>
      </c>
      <c r="R7" s="87">
        <f t="shared" si="13"/>
        <v>23552.46331225042</v>
      </c>
      <c r="S7" s="87">
        <f t="shared" si="13"/>
        <v>22388.210639622517</v>
      </c>
      <c r="T7" s="87">
        <f t="shared" si="13"/>
        <v>21311.146727392275</v>
      </c>
      <c r="U7" s="87">
        <f t="shared" si="13"/>
        <v>21012.698693029688</v>
      </c>
      <c r="V7" s="87">
        <f t="shared" si="13"/>
        <v>16694.950439160093</v>
      </c>
      <c r="W7" s="87">
        <f t="shared" ref="W7:Y7" si="14">IF(W34=0,0,W34*W144)</f>
        <v>17427.508195033737</v>
      </c>
      <c r="X7" s="87">
        <f t="shared" si="14"/>
        <v>19112.901280523492</v>
      </c>
      <c r="Y7" s="87">
        <f t="shared" si="14"/>
        <v>21182.360630643099</v>
      </c>
      <c r="DA7" s="171" t="s">
        <v>456</v>
      </c>
    </row>
    <row r="8" spans="1:105" ht="11.45" customHeight="1" x14ac:dyDescent="0.25">
      <c r="A8" s="111" t="s">
        <v>111</v>
      </c>
      <c r="B8" s="87">
        <f t="shared" ref="B8:K8" si="15">IF(B35=0,0,B35*B145)</f>
        <v>4956.3396487145765</v>
      </c>
      <c r="C8" s="87">
        <f t="shared" si="15"/>
        <v>5168.3571884860066</v>
      </c>
      <c r="D8" s="87">
        <f t="shared" si="15"/>
        <v>5461.7867726314034</v>
      </c>
      <c r="E8" s="87">
        <f t="shared" si="15"/>
        <v>5965.4014495523224</v>
      </c>
      <c r="F8" s="87">
        <f t="shared" si="15"/>
        <v>6816.7254190343956</v>
      </c>
      <c r="G8" s="87">
        <f t="shared" si="15"/>
        <v>8191.1679249851004</v>
      </c>
      <c r="H8" s="87">
        <f t="shared" si="15"/>
        <v>8737.6514694941143</v>
      </c>
      <c r="I8" s="87">
        <f t="shared" si="15"/>
        <v>9545.5008831070736</v>
      </c>
      <c r="J8" s="87">
        <f t="shared" si="15"/>
        <v>11376.519989003813</v>
      </c>
      <c r="K8" s="87">
        <f t="shared" si="15"/>
        <v>13153.509009089554</v>
      </c>
      <c r="L8" s="87">
        <f t="shared" ref="L8" si="16">IF(L35=0,0,L35*L145)</f>
        <v>15053.654591230254</v>
      </c>
      <c r="M8" s="87">
        <f t="shared" ref="M8:V8" si="17">IF(M35=0,0,M35*M145)</f>
        <v>17580.400361975142</v>
      </c>
      <c r="N8" s="87">
        <f t="shared" si="17"/>
        <v>18520.410563112917</v>
      </c>
      <c r="O8" s="87">
        <f t="shared" si="17"/>
        <v>21229.597012706101</v>
      </c>
      <c r="P8" s="87">
        <f t="shared" si="17"/>
        <v>22267.755878686443</v>
      </c>
      <c r="Q8" s="87">
        <f t="shared" si="17"/>
        <v>27276.735343699627</v>
      </c>
      <c r="R8" s="87">
        <f t="shared" si="17"/>
        <v>31375.967720121131</v>
      </c>
      <c r="S8" s="87">
        <f t="shared" si="17"/>
        <v>34032.190640016735</v>
      </c>
      <c r="T8" s="87">
        <f t="shared" si="17"/>
        <v>35667.577948882128</v>
      </c>
      <c r="U8" s="87">
        <f t="shared" si="17"/>
        <v>37406.241068651121</v>
      </c>
      <c r="V8" s="87">
        <f t="shared" si="17"/>
        <v>33756.664883943493</v>
      </c>
      <c r="W8" s="87">
        <f t="shared" ref="W8:Y8" si="18">IF(W35=0,0,W35*W145)</f>
        <v>35549.469153991216</v>
      </c>
      <c r="X8" s="87">
        <f t="shared" si="18"/>
        <v>36035.081780781744</v>
      </c>
      <c r="Y8" s="87">
        <f t="shared" si="18"/>
        <v>36490.383705021042</v>
      </c>
      <c r="DA8" s="171" t="s">
        <v>457</v>
      </c>
    </row>
    <row r="9" spans="1:105" ht="11.45" customHeight="1" x14ac:dyDescent="0.25">
      <c r="A9" s="111" t="s">
        <v>112</v>
      </c>
      <c r="B9" s="87">
        <f t="shared" ref="B9:K9" si="19">IF(B36=0,0,B36*B146)</f>
        <v>40.772009845303437</v>
      </c>
      <c r="C9" s="87">
        <f t="shared" si="19"/>
        <v>30.146789300831117</v>
      </c>
      <c r="D9" s="87">
        <f t="shared" si="19"/>
        <v>25.790600291526818</v>
      </c>
      <c r="E9" s="87">
        <f t="shared" si="19"/>
        <v>22.258875156669905</v>
      </c>
      <c r="F9" s="87">
        <f t="shared" si="19"/>
        <v>21.726616019390129</v>
      </c>
      <c r="G9" s="87">
        <f t="shared" si="19"/>
        <v>20.462459705745047</v>
      </c>
      <c r="H9" s="87">
        <f t="shared" si="19"/>
        <v>16.46705566677495</v>
      </c>
      <c r="I9" s="87">
        <f t="shared" si="19"/>
        <v>23.049929652271302</v>
      </c>
      <c r="J9" s="87">
        <f t="shared" si="19"/>
        <v>16.886094061798385</v>
      </c>
      <c r="K9" s="87">
        <f t="shared" si="19"/>
        <v>11.996696083814559</v>
      </c>
      <c r="L9" s="87">
        <f t="shared" ref="L9" si="20">IF(L36=0,0,L36*L146)</f>
        <v>10.431936876456582</v>
      </c>
      <c r="M9" s="87">
        <f t="shared" ref="M9:V9" si="21">IF(M36=0,0,M36*M146)</f>
        <v>11.449648230914061</v>
      </c>
      <c r="N9" s="87">
        <f t="shared" si="21"/>
        <v>21.129410252555711</v>
      </c>
      <c r="O9" s="87">
        <f t="shared" si="21"/>
        <v>28.676594747073231</v>
      </c>
      <c r="P9" s="87">
        <f t="shared" si="21"/>
        <v>48.488040530824193</v>
      </c>
      <c r="Q9" s="87">
        <f t="shared" si="21"/>
        <v>57.140427851807935</v>
      </c>
      <c r="R9" s="87">
        <f t="shared" si="21"/>
        <v>57.145185720814894</v>
      </c>
      <c r="S9" s="87">
        <f t="shared" si="21"/>
        <v>49.970240824361831</v>
      </c>
      <c r="T9" s="87">
        <f t="shared" si="21"/>
        <v>43.070382992544964</v>
      </c>
      <c r="U9" s="87">
        <f t="shared" si="21"/>
        <v>38.562637508683757</v>
      </c>
      <c r="V9" s="87">
        <f t="shared" si="21"/>
        <v>33.335088618732598</v>
      </c>
      <c r="W9" s="87">
        <f t="shared" ref="W9:Y9" si="22">IF(W36=0,0,W36*W146)</f>
        <v>33.214220358579681</v>
      </c>
      <c r="X9" s="87">
        <f t="shared" si="22"/>
        <v>35.445779372581683</v>
      </c>
      <c r="Y9" s="87">
        <f t="shared" si="22"/>
        <v>32.053119800580816</v>
      </c>
      <c r="DA9" s="171" t="s">
        <v>458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0</v>
      </c>
      <c r="G10" s="87">
        <f t="shared" si="23"/>
        <v>0</v>
      </c>
      <c r="H10" s="87">
        <f t="shared" si="23"/>
        <v>0</v>
      </c>
      <c r="I10" s="87">
        <f t="shared" si="23"/>
        <v>0</v>
      </c>
      <c r="J10" s="87">
        <f t="shared" si="23"/>
        <v>0</v>
      </c>
      <c r="K10" s="87">
        <f t="shared" si="23"/>
        <v>0</v>
      </c>
      <c r="L10" s="87">
        <f t="shared" ref="L10" si="24">IF(L37=0,0,L37*L147)</f>
        <v>0</v>
      </c>
      <c r="M10" s="87">
        <f t="shared" ref="M10:V10" si="25">IF(M37=0,0,M37*M147)</f>
        <v>0</v>
      </c>
      <c r="N10" s="87">
        <f t="shared" si="25"/>
        <v>0</v>
      </c>
      <c r="O10" s="87">
        <f t="shared" si="25"/>
        <v>0</v>
      </c>
      <c r="P10" s="87">
        <f t="shared" si="25"/>
        <v>0.20994821673140371</v>
      </c>
      <c r="Q10" s="87">
        <f t="shared" si="25"/>
        <v>0.38360007508906024</v>
      </c>
      <c r="R10" s="87">
        <f t="shared" si="25"/>
        <v>0.39223388175687735</v>
      </c>
      <c r="S10" s="87">
        <f t="shared" si="25"/>
        <v>0.38054869919775669</v>
      </c>
      <c r="T10" s="87">
        <f t="shared" si="25"/>
        <v>0.33718807688139962</v>
      </c>
      <c r="U10" s="87">
        <f t="shared" si="25"/>
        <v>0.31990726951967152</v>
      </c>
      <c r="V10" s="87">
        <f t="shared" si="25"/>
        <v>0.26921626617219435</v>
      </c>
      <c r="W10" s="87">
        <f t="shared" ref="W10:Y10" si="26">IF(W37=0,0,W37*W147)</f>
        <v>0.25374695887503124</v>
      </c>
      <c r="X10" s="87">
        <f t="shared" si="26"/>
        <v>3.4526469517615372</v>
      </c>
      <c r="Y10" s="87">
        <f t="shared" si="26"/>
        <v>3.1814543932171264</v>
      </c>
      <c r="DA10" s="171" t="s">
        <v>459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</v>
      </c>
      <c r="N11" s="87">
        <f t="shared" si="29"/>
        <v>0</v>
      </c>
      <c r="O11" s="87">
        <f t="shared" si="29"/>
        <v>0.14977016264934351</v>
      </c>
      <c r="P11" s="87">
        <f t="shared" si="29"/>
        <v>0.70468429789653009</v>
      </c>
      <c r="Q11" s="87">
        <f t="shared" si="29"/>
        <v>2.8164960694973646</v>
      </c>
      <c r="R11" s="87">
        <f t="shared" si="29"/>
        <v>9.3994492164162757</v>
      </c>
      <c r="S11" s="87">
        <f t="shared" si="29"/>
        <v>16.447135743487674</v>
      </c>
      <c r="T11" s="87">
        <f t="shared" si="29"/>
        <v>36.41119275762501</v>
      </c>
      <c r="U11" s="87">
        <f t="shared" si="29"/>
        <v>66.684634739903188</v>
      </c>
      <c r="V11" s="87">
        <f t="shared" si="29"/>
        <v>104.4624126365384</v>
      </c>
      <c r="W11" s="87">
        <f t="shared" ref="W11:Y11" si="30">IF(W38=0,0,W38*W148)</f>
        <v>344.10689606737139</v>
      </c>
      <c r="X11" s="87">
        <f t="shared" si="30"/>
        <v>535.46586582634507</v>
      </c>
      <c r="Y11" s="87">
        <f t="shared" si="30"/>
        <v>806.98214523579998</v>
      </c>
      <c r="DA11" s="171" t="s">
        <v>460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0</v>
      </c>
      <c r="K12" s="87">
        <f t="shared" si="31"/>
        <v>4.2690575412385835E-2</v>
      </c>
      <c r="L12" s="87">
        <f t="shared" ref="L12" si="32">IF(L39=0,0,L39*L149)</f>
        <v>0.40228131828925057</v>
      </c>
      <c r="M12" s="87">
        <f t="shared" ref="M12:V12" si="33">IF(M39=0,0,M39*M149)</f>
        <v>12.775044681211876</v>
      </c>
      <c r="N12" s="87">
        <f t="shared" si="33"/>
        <v>16.702512628444303</v>
      </c>
      <c r="O12" s="87">
        <f t="shared" si="33"/>
        <v>6.0716216803377634</v>
      </c>
      <c r="P12" s="87">
        <f t="shared" si="33"/>
        <v>12.056256911132801</v>
      </c>
      <c r="Q12" s="87">
        <f t="shared" si="33"/>
        <v>22.552209119846175</v>
      </c>
      <c r="R12" s="87">
        <f t="shared" si="33"/>
        <v>38.132098809464452</v>
      </c>
      <c r="S12" s="87">
        <f t="shared" si="33"/>
        <v>61.744867535329483</v>
      </c>
      <c r="T12" s="87">
        <f t="shared" si="33"/>
        <v>104.51901033903476</v>
      </c>
      <c r="U12" s="87">
        <f t="shared" si="33"/>
        <v>197.80376156429816</v>
      </c>
      <c r="V12" s="87">
        <f t="shared" si="33"/>
        <v>251.32923333304788</v>
      </c>
      <c r="W12" s="87">
        <f t="shared" ref="W12:Y12" si="34">IF(W39=0,0,W39*W149)</f>
        <v>460.9348367279535</v>
      </c>
      <c r="X12" s="87">
        <f t="shared" si="34"/>
        <v>792.23116651054534</v>
      </c>
      <c r="Y12" s="87">
        <f t="shared" si="34"/>
        <v>1324.8284914158808</v>
      </c>
      <c r="DA12" s="171" t="s">
        <v>461</v>
      </c>
    </row>
    <row r="13" spans="1:105" ht="11.45" customHeight="1" x14ac:dyDescent="0.25">
      <c r="A13" s="109" t="s">
        <v>21</v>
      </c>
      <c r="B13" s="116">
        <f t="shared" ref="B13:K13" si="35">SUM(B14:B18)</f>
        <v>6963.2</v>
      </c>
      <c r="C13" s="116">
        <f t="shared" si="35"/>
        <v>7289.5999999999995</v>
      </c>
      <c r="D13" s="116">
        <f t="shared" si="35"/>
        <v>7262.4000000000015</v>
      </c>
      <c r="E13" s="116">
        <f t="shared" si="35"/>
        <v>7534.4</v>
      </c>
      <c r="F13" s="116">
        <f t="shared" si="35"/>
        <v>7860.8</v>
      </c>
      <c r="G13" s="116">
        <f t="shared" si="35"/>
        <v>7915.2</v>
      </c>
      <c r="H13" s="116">
        <f t="shared" si="35"/>
        <v>8023.9999999999991</v>
      </c>
      <c r="I13" s="116">
        <f t="shared" si="35"/>
        <v>8295.9999999999982</v>
      </c>
      <c r="J13" s="116">
        <f t="shared" si="35"/>
        <v>8568</v>
      </c>
      <c r="K13" s="116">
        <f t="shared" si="35"/>
        <v>8948.8000000000011</v>
      </c>
      <c r="L13" s="116">
        <f t="shared" ref="L13" si="36">SUM(L14:L18)</f>
        <v>8459.1999999999989</v>
      </c>
      <c r="M13" s="116">
        <f t="shared" ref="M13:V13" si="37">SUM(M14:M18)</f>
        <v>8377.5999999999985</v>
      </c>
      <c r="N13" s="116">
        <f t="shared" si="37"/>
        <v>8105.6</v>
      </c>
      <c r="O13" s="116">
        <f t="shared" si="37"/>
        <v>8132.7999999999993</v>
      </c>
      <c r="P13" s="116">
        <f t="shared" si="37"/>
        <v>8404.7999999999993</v>
      </c>
      <c r="Q13" s="116">
        <f t="shared" si="37"/>
        <v>8513.6</v>
      </c>
      <c r="R13" s="116">
        <f t="shared" si="37"/>
        <v>8976</v>
      </c>
      <c r="S13" s="116">
        <f t="shared" si="37"/>
        <v>9819.1999999999971</v>
      </c>
      <c r="T13" s="116">
        <f t="shared" si="37"/>
        <v>10499.2</v>
      </c>
      <c r="U13" s="116">
        <f t="shared" si="37"/>
        <v>10662.4</v>
      </c>
      <c r="V13" s="116">
        <f t="shared" si="37"/>
        <v>7371.2</v>
      </c>
      <c r="W13" s="116">
        <f t="shared" ref="W13:Y13" si="38">SUM(W14:W18)</f>
        <v>8137.9028661824814</v>
      </c>
      <c r="X13" s="116">
        <f t="shared" si="38"/>
        <v>11033.549313437858</v>
      </c>
      <c r="Y13" s="116">
        <f t="shared" si="38"/>
        <v>13240.25917612543</v>
      </c>
      <c r="DA13" s="176" t="s">
        <v>375</v>
      </c>
    </row>
    <row r="14" spans="1:105" ht="11.45" customHeight="1" x14ac:dyDescent="0.25">
      <c r="A14" s="111" t="s">
        <v>110</v>
      </c>
      <c r="B14" s="101">
        <f t="shared" ref="B14:K14" si="39">IF(B41=0,0,B41*B151)</f>
        <v>53.992796607194229</v>
      </c>
      <c r="C14" s="101">
        <f t="shared" si="39"/>
        <v>49.60255815354887</v>
      </c>
      <c r="D14" s="101">
        <f t="shared" si="39"/>
        <v>44.124503063368813</v>
      </c>
      <c r="E14" s="101">
        <f t="shared" si="39"/>
        <v>38.928261440499043</v>
      </c>
      <c r="F14" s="101">
        <f t="shared" si="39"/>
        <v>34.383149257023121</v>
      </c>
      <c r="G14" s="101">
        <f t="shared" si="39"/>
        <v>28.99945687256054</v>
      </c>
      <c r="H14" s="101">
        <f t="shared" si="39"/>
        <v>23.719546358059617</v>
      </c>
      <c r="I14" s="101">
        <f t="shared" si="39"/>
        <v>20.45952041416998</v>
      </c>
      <c r="J14" s="101">
        <f t="shared" si="39"/>
        <v>17.103755943223739</v>
      </c>
      <c r="K14" s="101">
        <f t="shared" si="39"/>
        <v>14.948619337336938</v>
      </c>
      <c r="L14" s="101">
        <f t="shared" ref="L14" si="40">IF(L41=0,0,L41*L151)</f>
        <v>11.489352389630433</v>
      </c>
      <c r="M14" s="101">
        <f t="shared" ref="M14:V14" si="41">IF(M41=0,0,M41*M151)</f>
        <v>9.2803242689260586</v>
      </c>
      <c r="N14" s="101">
        <f t="shared" si="41"/>
        <v>6.8897006806851664</v>
      </c>
      <c r="O14" s="101">
        <f t="shared" si="41"/>
        <v>6.9049805963200415</v>
      </c>
      <c r="P14" s="101">
        <f t="shared" si="41"/>
        <v>7.020565100154311</v>
      </c>
      <c r="Q14" s="101">
        <f t="shared" si="41"/>
        <v>6.0029096989966577</v>
      </c>
      <c r="R14" s="101">
        <f t="shared" si="41"/>
        <v>4.966334274761075</v>
      </c>
      <c r="S14" s="101">
        <f t="shared" si="41"/>
        <v>6.2578511466315607</v>
      </c>
      <c r="T14" s="101">
        <f t="shared" si="41"/>
        <v>4.247607809847997</v>
      </c>
      <c r="U14" s="101">
        <f t="shared" si="41"/>
        <v>5.2050010116016985</v>
      </c>
      <c r="V14" s="101">
        <f t="shared" si="41"/>
        <v>3.9754668745645612</v>
      </c>
      <c r="W14" s="101">
        <f t="shared" ref="W14:Y14" si="42">IF(W41=0,0,W41*W151)</f>
        <v>3.9496886954490384</v>
      </c>
      <c r="X14" s="101">
        <f t="shared" si="42"/>
        <v>13.929598262617002</v>
      </c>
      <c r="Y14" s="101">
        <f t="shared" si="42"/>
        <v>39.93520580564104</v>
      </c>
      <c r="DA14" s="175" t="s">
        <v>462</v>
      </c>
    </row>
    <row r="15" spans="1:105" ht="11.45" customHeight="1" x14ac:dyDescent="0.25">
      <c r="A15" s="111" t="s">
        <v>111</v>
      </c>
      <c r="B15" s="101">
        <f t="shared" ref="B15:K15" si="43">IF(B42=0,0,B42*B152)</f>
        <v>6909.2072033928052</v>
      </c>
      <c r="C15" s="101">
        <f t="shared" si="43"/>
        <v>7239.4749950386586</v>
      </c>
      <c r="D15" s="101">
        <f t="shared" si="43"/>
        <v>7217.7527337424344</v>
      </c>
      <c r="E15" s="101">
        <f t="shared" si="43"/>
        <v>7494.9476703992277</v>
      </c>
      <c r="F15" s="101">
        <f t="shared" si="43"/>
        <v>7825.8793158397857</v>
      </c>
      <c r="G15" s="101">
        <f t="shared" si="43"/>
        <v>7885.6695846730017</v>
      </c>
      <c r="H15" s="101">
        <f t="shared" si="43"/>
        <v>7999.766938647128</v>
      </c>
      <c r="I15" s="101">
        <f t="shared" si="43"/>
        <v>8275.0317214785155</v>
      </c>
      <c r="J15" s="101">
        <f t="shared" si="43"/>
        <v>8549.7938154840049</v>
      </c>
      <c r="K15" s="101">
        <f t="shared" si="43"/>
        <v>8932.6907664781284</v>
      </c>
      <c r="L15" s="101">
        <f t="shared" ref="L15" si="44">IF(L42=0,0,L42*L152)</f>
        <v>8446.5886414859451</v>
      </c>
      <c r="M15" s="101">
        <f t="shared" ref="M15:V15" si="45">IF(M42=0,0,M42*M152)</f>
        <v>8367.1801779152684</v>
      </c>
      <c r="N15" s="101">
        <f t="shared" si="45"/>
        <v>8097.5899697957457</v>
      </c>
      <c r="O15" s="101">
        <f t="shared" si="45"/>
        <v>8124.7739124991449</v>
      </c>
      <c r="P15" s="101">
        <f t="shared" si="45"/>
        <v>8396.641432374623</v>
      </c>
      <c r="Q15" s="101">
        <f t="shared" si="45"/>
        <v>8506.4744721788957</v>
      </c>
      <c r="R15" s="101">
        <f t="shared" si="45"/>
        <v>8969.9079679489369</v>
      </c>
      <c r="S15" s="101">
        <f t="shared" si="45"/>
        <v>9811.822479986693</v>
      </c>
      <c r="T15" s="101">
        <f t="shared" si="45"/>
        <v>10492.90351058005</v>
      </c>
      <c r="U15" s="101">
        <f t="shared" si="45"/>
        <v>10636.612349475179</v>
      </c>
      <c r="V15" s="101">
        <f t="shared" si="45"/>
        <v>7331.2055299180902</v>
      </c>
      <c r="W15" s="101">
        <f t="shared" ref="W15:Y15" si="46">IF(W42=0,0,W42*W152)</f>
        <v>8093.3207662976947</v>
      </c>
      <c r="X15" s="101">
        <f t="shared" si="46"/>
        <v>10942.940239452279</v>
      </c>
      <c r="Y15" s="101">
        <f t="shared" si="46"/>
        <v>13075.616180380968</v>
      </c>
      <c r="DA15" s="175" t="s">
        <v>463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0.52244680779264607</v>
      </c>
      <c r="D16" s="101">
        <f t="shared" si="47"/>
        <v>0.52276319419765693</v>
      </c>
      <c r="E16" s="101">
        <f t="shared" si="47"/>
        <v>0.52406816027248782</v>
      </c>
      <c r="F16" s="101">
        <f t="shared" si="47"/>
        <v>0.53753490319144315</v>
      </c>
      <c r="G16" s="101">
        <f t="shared" si="47"/>
        <v>0.53095845443736378</v>
      </c>
      <c r="H16" s="101">
        <f t="shared" si="47"/>
        <v>0.51351499481186724</v>
      </c>
      <c r="I16" s="101">
        <f t="shared" si="47"/>
        <v>0.50875810731386883</v>
      </c>
      <c r="J16" s="101">
        <f t="shared" si="47"/>
        <v>0</v>
      </c>
      <c r="K16" s="101">
        <f t="shared" si="47"/>
        <v>0</v>
      </c>
      <c r="L16" s="101">
        <f t="shared" ref="L16" si="48">IF(L43=0,0,L43*L153)</f>
        <v>0</v>
      </c>
      <c r="M16" s="101">
        <f t="shared" ref="M16:V16" si="49">IF(M43=0,0,M43*M153)</f>
        <v>0</v>
      </c>
      <c r="N16" s="101">
        <f t="shared" si="49"/>
        <v>0</v>
      </c>
      <c r="O16" s="101">
        <f t="shared" si="49"/>
        <v>0</v>
      </c>
      <c r="P16" s="101">
        <f t="shared" si="49"/>
        <v>0</v>
      </c>
      <c r="Q16" s="101">
        <f t="shared" si="49"/>
        <v>0</v>
      </c>
      <c r="R16" s="101">
        <f t="shared" si="49"/>
        <v>0</v>
      </c>
      <c r="S16" s="101">
        <f t="shared" si="49"/>
        <v>0</v>
      </c>
      <c r="T16" s="101">
        <f t="shared" si="49"/>
        <v>0</v>
      </c>
      <c r="U16" s="101">
        <f t="shared" si="49"/>
        <v>0</v>
      </c>
      <c r="V16" s="101">
        <f t="shared" si="49"/>
        <v>0</v>
      </c>
      <c r="W16" s="101">
        <f t="shared" ref="W16:Y16" si="50">IF(W43=0,0,W43*W153)</f>
        <v>0</v>
      </c>
      <c r="X16" s="101">
        <f t="shared" si="50"/>
        <v>0</v>
      </c>
      <c r="Y16" s="101">
        <f t="shared" si="50"/>
        <v>0</v>
      </c>
      <c r="DA16" s="175" t="s">
        <v>464</v>
      </c>
    </row>
    <row r="17" spans="1:105" ht="11.45" customHeight="1" x14ac:dyDescent="0.25">
      <c r="A17" s="111" t="s">
        <v>113</v>
      </c>
      <c r="B17" s="101">
        <f t="shared" ref="B17:K17" si="51">IF(B44=0,0,B44*B154)</f>
        <v>0</v>
      </c>
      <c r="C17" s="101">
        <f t="shared" si="51"/>
        <v>0</v>
      </c>
      <c r="D17" s="101">
        <f t="shared" si="51"/>
        <v>0</v>
      </c>
      <c r="E17" s="101">
        <f t="shared" si="51"/>
        <v>0</v>
      </c>
      <c r="F17" s="101">
        <f t="shared" si="51"/>
        <v>0</v>
      </c>
      <c r="G17" s="101">
        <f t="shared" si="51"/>
        <v>0</v>
      </c>
      <c r="H17" s="101">
        <f t="shared" si="51"/>
        <v>0</v>
      </c>
      <c r="I17" s="101">
        <f t="shared" si="51"/>
        <v>0</v>
      </c>
      <c r="J17" s="101">
        <f t="shared" si="51"/>
        <v>0</v>
      </c>
      <c r="K17" s="101">
        <f t="shared" si="51"/>
        <v>0</v>
      </c>
      <c r="L17" s="101">
        <f t="shared" ref="L17" si="52">IF(L44=0,0,L44*L154)</f>
        <v>0</v>
      </c>
      <c r="M17" s="101">
        <f t="shared" ref="M17:V17" si="53">IF(M44=0,0,M44*M154)</f>
        <v>0</v>
      </c>
      <c r="N17" s="101">
        <f t="shared" si="53"/>
        <v>0</v>
      </c>
      <c r="O17" s="101">
        <f t="shared" si="53"/>
        <v>0</v>
      </c>
      <c r="P17" s="101">
        <f t="shared" si="53"/>
        <v>0</v>
      </c>
      <c r="Q17" s="101">
        <f t="shared" si="53"/>
        <v>0</v>
      </c>
      <c r="R17" s="101">
        <f t="shared" si="53"/>
        <v>0</v>
      </c>
      <c r="S17" s="101">
        <f t="shared" si="53"/>
        <v>0</v>
      </c>
      <c r="T17" s="101">
        <f t="shared" si="53"/>
        <v>0.93088216249710076</v>
      </c>
      <c r="U17" s="101">
        <f t="shared" si="53"/>
        <v>19.465786897219871</v>
      </c>
      <c r="V17" s="101">
        <f t="shared" si="53"/>
        <v>32.569675973375233</v>
      </c>
      <c r="W17" s="101">
        <f t="shared" ref="W17:Y17" si="54">IF(W44=0,0,W44*W154)</f>
        <v>34.512729799653492</v>
      </c>
      <c r="X17" s="101">
        <f t="shared" si="54"/>
        <v>54.642790679565465</v>
      </c>
      <c r="Y17" s="101">
        <f t="shared" si="54"/>
        <v>61.791019060061664</v>
      </c>
      <c r="DA17" s="175" t="s">
        <v>465</v>
      </c>
    </row>
    <row r="18" spans="1:105" ht="11.45" customHeight="1" x14ac:dyDescent="0.25">
      <c r="A18" s="111" t="s">
        <v>115</v>
      </c>
      <c r="B18" s="101">
        <f t="shared" ref="B18:K18" si="55">IF(B45=0,0,B45*B155)</f>
        <v>0</v>
      </c>
      <c r="C18" s="101">
        <f t="shared" si="55"/>
        <v>0</v>
      </c>
      <c r="D18" s="101">
        <f t="shared" si="55"/>
        <v>0</v>
      </c>
      <c r="E18" s="101">
        <f t="shared" si="55"/>
        <v>0</v>
      </c>
      <c r="F18" s="101">
        <f t="shared" si="55"/>
        <v>0</v>
      </c>
      <c r="G18" s="101">
        <f t="shared" si="55"/>
        <v>0</v>
      </c>
      <c r="H18" s="101">
        <f t="shared" si="55"/>
        <v>0</v>
      </c>
      <c r="I18" s="101">
        <f t="shared" si="55"/>
        <v>0</v>
      </c>
      <c r="J18" s="101">
        <f t="shared" si="55"/>
        <v>1.1024285727705971</v>
      </c>
      <c r="K18" s="101">
        <f t="shared" si="55"/>
        <v>1.1606141845357734</v>
      </c>
      <c r="L18" s="101">
        <f t="shared" ref="L18" si="56">IF(L45=0,0,L45*L155)</f>
        <v>1.122006124423631</v>
      </c>
      <c r="M18" s="101">
        <f t="shared" ref="M18:V18" si="57">IF(M45=0,0,M45*M155)</f>
        <v>1.1394978158045892</v>
      </c>
      <c r="N18" s="101">
        <f t="shared" si="57"/>
        <v>1.1203295235692612</v>
      </c>
      <c r="O18" s="101">
        <f t="shared" si="57"/>
        <v>1.1211069045340645</v>
      </c>
      <c r="P18" s="101">
        <f t="shared" si="57"/>
        <v>1.1380025252219921</v>
      </c>
      <c r="Q18" s="101">
        <f t="shared" si="57"/>
        <v>1.1226181221082359</v>
      </c>
      <c r="R18" s="101">
        <f t="shared" si="57"/>
        <v>1.1256977763021692</v>
      </c>
      <c r="S18" s="101">
        <f t="shared" si="57"/>
        <v>1.1196688666734884</v>
      </c>
      <c r="T18" s="101">
        <f t="shared" si="57"/>
        <v>1.1179994476052857</v>
      </c>
      <c r="U18" s="101">
        <f t="shared" si="57"/>
        <v>1.1168626159997135</v>
      </c>
      <c r="V18" s="101">
        <f t="shared" si="57"/>
        <v>3.4493272339697567</v>
      </c>
      <c r="W18" s="101">
        <f t="shared" ref="W18:Y18" si="58">IF(W45=0,0,W45*W155)</f>
        <v>6.1196813896840325</v>
      </c>
      <c r="X18" s="101">
        <f t="shared" si="58"/>
        <v>22.036685043397135</v>
      </c>
      <c r="Y18" s="101">
        <f t="shared" si="58"/>
        <v>62.916770878759223</v>
      </c>
      <c r="DA18" s="175" t="s">
        <v>466</v>
      </c>
    </row>
    <row r="19" spans="1:105" ht="11.45" customHeight="1" x14ac:dyDescent="0.25">
      <c r="A19" s="27" t="s">
        <v>28</v>
      </c>
      <c r="B19" s="29">
        <f t="shared" ref="B19:K19" si="59">B20+B26</f>
        <v>11131.218040188469</v>
      </c>
      <c r="C19" s="29">
        <f t="shared" si="59"/>
        <v>12131.601479531972</v>
      </c>
      <c r="D19" s="29">
        <f t="shared" si="59"/>
        <v>13940.037527784869</v>
      </c>
      <c r="E19" s="29">
        <f t="shared" si="59"/>
        <v>15301.547064532197</v>
      </c>
      <c r="F19" s="29">
        <f t="shared" si="59"/>
        <v>16927.266937830449</v>
      </c>
      <c r="G19" s="29">
        <f t="shared" si="59"/>
        <v>17892.12050110571</v>
      </c>
      <c r="H19" s="29">
        <f t="shared" si="59"/>
        <v>17958.530251643566</v>
      </c>
      <c r="I19" s="29">
        <f t="shared" si="59"/>
        <v>18828.46395078344</v>
      </c>
      <c r="J19" s="29">
        <f t="shared" si="59"/>
        <v>17440.817548804021</v>
      </c>
      <c r="K19" s="29">
        <f t="shared" si="59"/>
        <v>12320.300611393221</v>
      </c>
      <c r="L19" s="29">
        <f t="shared" ref="L19" si="60">L20+L26</f>
        <v>12034.252742835679</v>
      </c>
      <c r="M19" s="29">
        <f t="shared" ref="M19:V19" si="61">M20+M26</f>
        <v>11360.030588572878</v>
      </c>
      <c r="N19" s="29">
        <f t="shared" si="61"/>
        <v>11033.733620633073</v>
      </c>
      <c r="O19" s="29">
        <f t="shared" si="61"/>
        <v>10825.563842676444</v>
      </c>
      <c r="P19" s="29">
        <f t="shared" si="61"/>
        <v>11227.30126070133</v>
      </c>
      <c r="Q19" s="29">
        <f t="shared" si="61"/>
        <v>11326.362845431577</v>
      </c>
      <c r="R19" s="29">
        <f t="shared" si="61"/>
        <v>12652.907070139909</v>
      </c>
      <c r="S19" s="29">
        <f t="shared" si="61"/>
        <v>12656.789855240633</v>
      </c>
      <c r="T19" s="29">
        <f t="shared" si="61"/>
        <v>12893.037354449338</v>
      </c>
      <c r="U19" s="29">
        <f t="shared" si="61"/>
        <v>13663.777645566119</v>
      </c>
      <c r="V19" s="29">
        <f t="shared" si="61"/>
        <v>11654.231861866556</v>
      </c>
      <c r="W19" s="29">
        <f t="shared" ref="W19:Y19" si="62">W20+W26</f>
        <v>12917.224492630494</v>
      </c>
      <c r="X19" s="29">
        <f t="shared" si="62"/>
        <v>12897.627768908773</v>
      </c>
      <c r="Y19" s="29">
        <f t="shared" si="62"/>
        <v>13310.798798064581</v>
      </c>
      <c r="DA19" s="173" t="s">
        <v>381</v>
      </c>
    </row>
    <row r="20" spans="1:105" ht="11.45" customHeight="1" x14ac:dyDescent="0.25">
      <c r="A20" s="136" t="s">
        <v>153</v>
      </c>
      <c r="B20" s="152">
        <f t="shared" ref="B20:K20" si="63">SUM(B21:B25)</f>
        <v>1617.0775601749015</v>
      </c>
      <c r="C20" s="152">
        <f t="shared" si="63"/>
        <v>1748.6470705437418</v>
      </c>
      <c r="D20" s="152">
        <f t="shared" si="63"/>
        <v>1873.6215710614629</v>
      </c>
      <c r="E20" s="152">
        <f t="shared" si="63"/>
        <v>2009.4867662832255</v>
      </c>
      <c r="F20" s="152">
        <f t="shared" si="63"/>
        <v>2136.3317192962159</v>
      </c>
      <c r="G20" s="152">
        <f t="shared" si="63"/>
        <v>2279.5014257618795</v>
      </c>
      <c r="H20" s="152">
        <f t="shared" si="63"/>
        <v>2443.1998601008399</v>
      </c>
      <c r="I20" s="152">
        <f t="shared" si="63"/>
        <v>2581.4918531908847</v>
      </c>
      <c r="J20" s="152">
        <f t="shared" si="63"/>
        <v>2593.8131756908369</v>
      </c>
      <c r="K20" s="152">
        <f t="shared" si="63"/>
        <v>2506.033691759681</v>
      </c>
      <c r="L20" s="152">
        <f t="shared" ref="L20" si="64">SUM(L21:L25)</f>
        <v>2378.4274489392592</v>
      </c>
      <c r="M20" s="152">
        <f t="shared" ref="M20:V20" si="65">SUM(M21:M25)</f>
        <v>2329.4249474074259</v>
      </c>
      <c r="N20" s="152">
        <f t="shared" si="65"/>
        <v>2216.6449434775323</v>
      </c>
      <c r="O20" s="152">
        <f t="shared" si="65"/>
        <v>2271.9757227580758</v>
      </c>
      <c r="P20" s="152">
        <f t="shared" si="65"/>
        <v>2215.7453594922345</v>
      </c>
      <c r="Q20" s="152">
        <f t="shared" si="65"/>
        <v>2107.1300225479276</v>
      </c>
      <c r="R20" s="152">
        <f t="shared" si="65"/>
        <v>2063.4010575801858</v>
      </c>
      <c r="S20" s="152">
        <f t="shared" si="65"/>
        <v>2045.9021024835129</v>
      </c>
      <c r="T20" s="152">
        <f t="shared" si="65"/>
        <v>2064.0373544493386</v>
      </c>
      <c r="U20" s="152">
        <f t="shared" si="65"/>
        <v>2037.7776455661194</v>
      </c>
      <c r="V20" s="152">
        <f t="shared" si="65"/>
        <v>2009.2318618665563</v>
      </c>
      <c r="W20" s="152">
        <f t="shared" ref="W20:Y20" si="66">SUM(W21:W25)</f>
        <v>2072.2244926304934</v>
      </c>
      <c r="X20" s="152">
        <f t="shared" si="66"/>
        <v>2134.6277689087729</v>
      </c>
      <c r="Y20" s="152">
        <f t="shared" si="66"/>
        <v>2250.7987980645817</v>
      </c>
      <c r="DA20" s="174" t="s">
        <v>382</v>
      </c>
    </row>
    <row r="21" spans="1:105" ht="11.45" customHeight="1" x14ac:dyDescent="0.25">
      <c r="A21" s="111" t="s">
        <v>110</v>
      </c>
      <c r="B21" s="87">
        <f t="shared" ref="B21:K21" si="67">IF(B48=0,0,B48*B158)</f>
        <v>17.598671730761147</v>
      </c>
      <c r="C21" s="87">
        <f t="shared" si="67"/>
        <v>16.176883962778778</v>
      </c>
      <c r="D21" s="87">
        <f t="shared" si="67"/>
        <v>15.041354030622763</v>
      </c>
      <c r="E21" s="87">
        <f t="shared" si="67"/>
        <v>13.53844043469336</v>
      </c>
      <c r="F21" s="87">
        <f t="shared" si="67"/>
        <v>11.763842264252116</v>
      </c>
      <c r="G21" s="87">
        <f t="shared" si="67"/>
        <v>9.0630564188759539</v>
      </c>
      <c r="H21" s="87">
        <f t="shared" si="67"/>
        <v>6.9855112240787527</v>
      </c>
      <c r="I21" s="87">
        <f t="shared" si="67"/>
        <v>5.5066631706184932</v>
      </c>
      <c r="J21" s="87">
        <f t="shared" si="67"/>
        <v>4.961996165298638</v>
      </c>
      <c r="K21" s="87">
        <f t="shared" si="67"/>
        <v>4.5403327325864611</v>
      </c>
      <c r="L21" s="87">
        <f t="shared" ref="L21" si="68">IF(L48=0,0,L48*L158)</f>
        <v>3.8624013964758102</v>
      </c>
      <c r="M21" s="87">
        <f t="shared" ref="M21:V21" si="69">IF(M48=0,0,M48*M158)</f>
        <v>3.2762352329628235</v>
      </c>
      <c r="N21" s="87">
        <f t="shared" si="69"/>
        <v>2.7005000717607768</v>
      </c>
      <c r="O21" s="87">
        <f t="shared" si="69"/>
        <v>2.5841944852691658</v>
      </c>
      <c r="P21" s="87">
        <f t="shared" si="69"/>
        <v>2.3835607049645233</v>
      </c>
      <c r="Q21" s="87">
        <f t="shared" si="69"/>
        <v>2.102482534439678</v>
      </c>
      <c r="R21" s="87">
        <f t="shared" si="69"/>
        <v>1.8587690122435558</v>
      </c>
      <c r="S21" s="87">
        <f t="shared" si="69"/>
        <v>2.003913749461796</v>
      </c>
      <c r="T21" s="87">
        <f t="shared" si="69"/>
        <v>2.0758460239648611</v>
      </c>
      <c r="U21" s="87">
        <f t="shared" si="69"/>
        <v>2.2977920984142601</v>
      </c>
      <c r="V21" s="87">
        <f t="shared" si="69"/>
        <v>3.0864851646759011</v>
      </c>
      <c r="W21" s="87">
        <f t="shared" ref="W21:Y21" si="70">IF(W48=0,0,W48*W158)</f>
        <v>3.5367399229535312</v>
      </c>
      <c r="X21" s="87">
        <f t="shared" si="70"/>
        <v>4.1414373809841392</v>
      </c>
      <c r="Y21" s="87">
        <f t="shared" si="70"/>
        <v>5.9111750647041159</v>
      </c>
      <c r="DA21" s="171" t="s">
        <v>467</v>
      </c>
    </row>
    <row r="22" spans="1:105" ht="11.45" customHeight="1" x14ac:dyDescent="0.25">
      <c r="A22" s="111" t="s">
        <v>111</v>
      </c>
      <c r="B22" s="87">
        <f t="shared" ref="B22:K22" si="71">IF(B49=0,0,B49*B159)</f>
        <v>1599.4788884441402</v>
      </c>
      <c r="C22" s="87">
        <f t="shared" si="71"/>
        <v>1732.4701865809632</v>
      </c>
      <c r="D22" s="87">
        <f t="shared" si="71"/>
        <v>1858.58021703084</v>
      </c>
      <c r="E22" s="87">
        <f t="shared" si="71"/>
        <v>1995.9483258485322</v>
      </c>
      <c r="F22" s="87">
        <f t="shared" si="71"/>
        <v>2124.5678770319637</v>
      </c>
      <c r="G22" s="87">
        <f t="shared" si="71"/>
        <v>2270.4383693430036</v>
      </c>
      <c r="H22" s="87">
        <f t="shared" si="71"/>
        <v>2436.2143488767611</v>
      </c>
      <c r="I22" s="87">
        <f t="shared" si="71"/>
        <v>2575.9851900202661</v>
      </c>
      <c r="J22" s="87">
        <f t="shared" si="71"/>
        <v>2588.8511795255381</v>
      </c>
      <c r="K22" s="87">
        <f t="shared" si="71"/>
        <v>2501.4933590270944</v>
      </c>
      <c r="L22" s="87">
        <f t="shared" ref="L22" si="72">IF(L49=0,0,L49*L159)</f>
        <v>2374.5650475427833</v>
      </c>
      <c r="M22" s="87">
        <f t="shared" ref="M22:V22" si="73">IF(M49=0,0,M49*M159)</f>
        <v>2325.9232091958402</v>
      </c>
      <c r="N22" s="87">
        <f t="shared" si="73"/>
        <v>2213.4335097694593</v>
      </c>
      <c r="O22" s="87">
        <f t="shared" si="73"/>
        <v>2268.8434173339815</v>
      </c>
      <c r="P22" s="87">
        <f t="shared" si="73"/>
        <v>2212.7302146102852</v>
      </c>
      <c r="Q22" s="87">
        <f t="shared" si="73"/>
        <v>2104.4224451636574</v>
      </c>
      <c r="R22" s="87">
        <f t="shared" si="73"/>
        <v>2060.911031021255</v>
      </c>
      <c r="S22" s="87">
        <f t="shared" si="73"/>
        <v>2042.8640440584811</v>
      </c>
      <c r="T22" s="87">
        <f t="shared" si="73"/>
        <v>2060.8412988064201</v>
      </c>
      <c r="U22" s="87">
        <f t="shared" si="73"/>
        <v>2032.4501823824046</v>
      </c>
      <c r="V22" s="87">
        <f t="shared" si="73"/>
        <v>2000.2574338514971</v>
      </c>
      <c r="W22" s="87">
        <f t="shared" ref="W22:Y22" si="74">IF(W49=0,0,W49*W159)</f>
        <v>2058.4008530889805</v>
      </c>
      <c r="X22" s="87">
        <f t="shared" si="74"/>
        <v>2115.7026078001427</v>
      </c>
      <c r="Y22" s="87">
        <f t="shared" si="74"/>
        <v>2223.6306162041797</v>
      </c>
      <c r="DA22" s="171" t="s">
        <v>468</v>
      </c>
    </row>
    <row r="23" spans="1:105" ht="11.45" customHeight="1" x14ac:dyDescent="0.25">
      <c r="A23" s="111" t="s">
        <v>112</v>
      </c>
      <c r="B23" s="87">
        <f t="shared" ref="B23:K23" si="75">IF(B50=0,0,B50*B160)</f>
        <v>0</v>
      </c>
      <c r="C23" s="87">
        <f t="shared" si="75"/>
        <v>0</v>
      </c>
      <c r="D23" s="87">
        <f t="shared" si="75"/>
        <v>0</v>
      </c>
      <c r="E23" s="87">
        <f t="shared" si="75"/>
        <v>0</v>
      </c>
      <c r="F23" s="87">
        <f t="shared" si="75"/>
        <v>0</v>
      </c>
      <c r="G23" s="87">
        <f t="shared" si="75"/>
        <v>0</v>
      </c>
      <c r="H23" s="87">
        <f t="shared" si="75"/>
        <v>0</v>
      </c>
      <c r="I23" s="87">
        <f t="shared" si="75"/>
        <v>0</v>
      </c>
      <c r="J23" s="87">
        <f t="shared" si="75"/>
        <v>0</v>
      </c>
      <c r="K23" s="87">
        <f t="shared" si="75"/>
        <v>0</v>
      </c>
      <c r="L23" s="87">
        <f t="shared" ref="L23" si="76">IF(L50=0,0,L50*L160)</f>
        <v>0</v>
      </c>
      <c r="M23" s="87">
        <f t="shared" ref="M23:V23" si="77">IF(M50=0,0,M50*M160)</f>
        <v>0</v>
      </c>
      <c r="N23" s="87">
        <f t="shared" si="77"/>
        <v>0</v>
      </c>
      <c r="O23" s="87">
        <f t="shared" si="77"/>
        <v>1.0411161965191705E-2</v>
      </c>
      <c r="P23" s="87">
        <f t="shared" si="77"/>
        <v>2.0719601939187406E-2</v>
      </c>
      <c r="Q23" s="87">
        <f t="shared" si="77"/>
        <v>2.0519439157734069E-2</v>
      </c>
      <c r="R23" s="87">
        <f t="shared" si="77"/>
        <v>2.0350735983106567E-2</v>
      </c>
      <c r="S23" s="87">
        <f t="shared" si="77"/>
        <v>2.5225080116584919E-2</v>
      </c>
      <c r="T23" s="87">
        <f t="shared" si="77"/>
        <v>2.5436929143574157E-2</v>
      </c>
      <c r="U23" s="87">
        <f t="shared" si="77"/>
        <v>2.5224197764703127E-2</v>
      </c>
      <c r="V23" s="87">
        <f t="shared" si="77"/>
        <v>2.0012778170667371E-2</v>
      </c>
      <c r="W23" s="87">
        <f t="shared" ref="W23:Y23" si="78">IF(W50=0,0,W50*W160)</f>
        <v>2.0185014214768832E-2</v>
      </c>
      <c r="X23" s="87">
        <f t="shared" si="78"/>
        <v>2.0368326960371681E-2</v>
      </c>
      <c r="Y23" s="87">
        <f t="shared" si="78"/>
        <v>2.057759928932764E-2</v>
      </c>
      <c r="DA23" s="171" t="s">
        <v>469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0</v>
      </c>
      <c r="I24" s="87">
        <f t="shared" si="79"/>
        <v>0</v>
      </c>
      <c r="J24" s="87">
        <f t="shared" si="79"/>
        <v>0</v>
      </c>
      <c r="K24" s="87">
        <f t="shared" si="79"/>
        <v>0</v>
      </c>
      <c r="L24" s="87">
        <f t="shared" ref="L24" si="80">IF(L51=0,0,L51*L161)</f>
        <v>0</v>
      </c>
      <c r="M24" s="87">
        <f t="shared" ref="M24:V24" si="81">IF(M51=0,0,M51*M161)</f>
        <v>0</v>
      </c>
      <c r="N24" s="87">
        <f t="shared" si="81"/>
        <v>0</v>
      </c>
      <c r="O24" s="87">
        <f t="shared" si="81"/>
        <v>0</v>
      </c>
      <c r="P24" s="87">
        <f t="shared" si="81"/>
        <v>0</v>
      </c>
      <c r="Q24" s="87">
        <f t="shared" si="81"/>
        <v>0</v>
      </c>
      <c r="R24" s="87">
        <f t="shared" si="81"/>
        <v>0</v>
      </c>
      <c r="S24" s="87">
        <f t="shared" si="81"/>
        <v>0</v>
      </c>
      <c r="T24" s="87">
        <f t="shared" si="81"/>
        <v>0</v>
      </c>
      <c r="U24" s="87">
        <f t="shared" si="81"/>
        <v>0</v>
      </c>
      <c r="V24" s="87">
        <f t="shared" si="81"/>
        <v>0</v>
      </c>
      <c r="W24" s="87">
        <f t="shared" ref="W24:Y24" si="82">IF(W51=0,0,W51*W161)</f>
        <v>0</v>
      </c>
      <c r="X24" s="87">
        <f t="shared" si="82"/>
        <v>0</v>
      </c>
      <c r="Y24" s="87">
        <f t="shared" si="82"/>
        <v>0</v>
      </c>
      <c r="DA24" s="171" t="s">
        <v>470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0</v>
      </c>
      <c r="I25" s="87">
        <f t="shared" si="83"/>
        <v>0</v>
      </c>
      <c r="J25" s="87">
        <f t="shared" si="83"/>
        <v>0</v>
      </c>
      <c r="K25" s="87">
        <f t="shared" si="83"/>
        <v>0</v>
      </c>
      <c r="L25" s="87">
        <f t="shared" ref="L25" si="84">IF(L52=0,0,L52*L162)</f>
        <v>0</v>
      </c>
      <c r="M25" s="87">
        <f t="shared" ref="M25:V25" si="85">IF(M52=0,0,M52*M162)</f>
        <v>0.22550297862275773</v>
      </c>
      <c r="N25" s="87">
        <f t="shared" si="85"/>
        <v>0.51093363631201871</v>
      </c>
      <c r="O25" s="87">
        <f t="shared" si="85"/>
        <v>0.53769977686002524</v>
      </c>
      <c r="P25" s="87">
        <f t="shared" si="85"/>
        <v>0.61086457504542335</v>
      </c>
      <c r="Q25" s="87">
        <f t="shared" si="85"/>
        <v>0.58457541067280028</v>
      </c>
      <c r="R25" s="87">
        <f t="shared" si="85"/>
        <v>0.61090681070447406</v>
      </c>
      <c r="S25" s="87">
        <f t="shared" si="85"/>
        <v>1.0089195954532462</v>
      </c>
      <c r="T25" s="87">
        <f t="shared" si="85"/>
        <v>1.0947726898097414</v>
      </c>
      <c r="U25" s="87">
        <f t="shared" si="85"/>
        <v>3.0044468875360359</v>
      </c>
      <c r="V25" s="87">
        <f t="shared" si="85"/>
        <v>5.8679300722127277</v>
      </c>
      <c r="W25" s="87">
        <f t="shared" ref="W25:Y25" si="86">IF(W52=0,0,W52*W162)</f>
        <v>10.26671460434466</v>
      </c>
      <c r="X25" s="87">
        <f t="shared" si="86"/>
        <v>14.763355400685843</v>
      </c>
      <c r="Y25" s="87">
        <f t="shared" si="86"/>
        <v>21.236429196408633</v>
      </c>
      <c r="DA25" s="171" t="s">
        <v>471</v>
      </c>
    </row>
    <row r="26" spans="1:105" ht="11.45" customHeight="1" x14ac:dyDescent="0.25">
      <c r="A26" s="109" t="s">
        <v>154</v>
      </c>
      <c r="B26" s="116">
        <f t="shared" ref="B26:K26" si="87">SUM(B27:B28)</f>
        <v>9514.1404800135679</v>
      </c>
      <c r="C26" s="116">
        <f t="shared" si="87"/>
        <v>10382.954408988229</v>
      </c>
      <c r="D26" s="116">
        <f t="shared" si="87"/>
        <v>12066.415956723406</v>
      </c>
      <c r="E26" s="116">
        <f t="shared" si="87"/>
        <v>13292.060298248971</v>
      </c>
      <c r="F26" s="116">
        <f t="shared" si="87"/>
        <v>14790.935218534232</v>
      </c>
      <c r="G26" s="116">
        <f t="shared" si="87"/>
        <v>15612.61907534383</v>
      </c>
      <c r="H26" s="116">
        <f t="shared" si="87"/>
        <v>15515.330391542726</v>
      </c>
      <c r="I26" s="116">
        <f t="shared" si="87"/>
        <v>16246.972097592554</v>
      </c>
      <c r="J26" s="116">
        <f t="shared" si="87"/>
        <v>14847.004373113185</v>
      </c>
      <c r="K26" s="116">
        <f t="shared" si="87"/>
        <v>9814.2669196335391</v>
      </c>
      <c r="L26" s="116">
        <f t="shared" ref="L26" si="88">SUM(L27:L28)</f>
        <v>9655.8252938964197</v>
      </c>
      <c r="M26" s="116">
        <f t="shared" ref="M26:V26" si="89">SUM(M27:M28)</f>
        <v>9030.6056411654517</v>
      </c>
      <c r="N26" s="116">
        <f t="shared" si="89"/>
        <v>8817.0886771555397</v>
      </c>
      <c r="O26" s="116">
        <f t="shared" si="89"/>
        <v>8553.5881199183677</v>
      </c>
      <c r="P26" s="116">
        <f t="shared" si="89"/>
        <v>9011.5559012090944</v>
      </c>
      <c r="Q26" s="116">
        <f t="shared" si="89"/>
        <v>9219.2328228836486</v>
      </c>
      <c r="R26" s="116">
        <f t="shared" si="89"/>
        <v>10589.506012559723</v>
      </c>
      <c r="S26" s="116">
        <f t="shared" si="89"/>
        <v>10610.88775275712</v>
      </c>
      <c r="T26" s="116">
        <f t="shared" si="89"/>
        <v>10829</v>
      </c>
      <c r="U26" s="116">
        <f t="shared" si="89"/>
        <v>11626</v>
      </c>
      <c r="V26" s="116">
        <f t="shared" si="89"/>
        <v>9645</v>
      </c>
      <c r="W26" s="116">
        <f t="shared" ref="W26:Y26" si="90">SUM(W27:W28)</f>
        <v>10845</v>
      </c>
      <c r="X26" s="116">
        <f t="shared" si="90"/>
        <v>10763</v>
      </c>
      <c r="Y26" s="116">
        <f t="shared" si="90"/>
        <v>11060</v>
      </c>
      <c r="DA26" s="176" t="s">
        <v>383</v>
      </c>
    </row>
    <row r="27" spans="1:105" ht="11.45" customHeight="1" x14ac:dyDescent="0.25">
      <c r="A27" s="128" t="s">
        <v>27</v>
      </c>
      <c r="B27" s="101">
        <f t="shared" ref="B27:K27" si="91">IF(B54=0,0,B54*B164)</f>
        <v>8337</v>
      </c>
      <c r="C27" s="101">
        <f t="shared" si="91"/>
        <v>9122</v>
      </c>
      <c r="D27" s="101">
        <f t="shared" si="91"/>
        <v>10731</v>
      </c>
      <c r="E27" s="101">
        <f t="shared" si="91"/>
        <v>11935</v>
      </c>
      <c r="F27" s="101">
        <f t="shared" si="91"/>
        <v>13216</v>
      </c>
      <c r="G27" s="101">
        <f t="shared" si="91"/>
        <v>13983</v>
      </c>
      <c r="H27" s="101">
        <f t="shared" si="91"/>
        <v>13832.000000000002</v>
      </c>
      <c r="I27" s="101">
        <f t="shared" si="91"/>
        <v>14428</v>
      </c>
      <c r="J27" s="101">
        <f t="shared" si="91"/>
        <v>13264.999999999998</v>
      </c>
      <c r="K27" s="101">
        <f t="shared" si="91"/>
        <v>8469</v>
      </c>
      <c r="L27" s="101">
        <f t="shared" ref="L27:V27" si="92">IF(L54=0,0,L54*L164)</f>
        <v>8221</v>
      </c>
      <c r="M27" s="101">
        <f t="shared" si="92"/>
        <v>7470</v>
      </c>
      <c r="N27" s="101">
        <f t="shared" si="92"/>
        <v>7419</v>
      </c>
      <c r="O27" s="101">
        <f t="shared" si="92"/>
        <v>7215.9999999999991</v>
      </c>
      <c r="P27" s="101">
        <f t="shared" si="92"/>
        <v>7704</v>
      </c>
      <c r="Q27" s="101">
        <f t="shared" si="92"/>
        <v>7760</v>
      </c>
      <c r="R27" s="101">
        <f t="shared" si="92"/>
        <v>9281</v>
      </c>
      <c r="S27" s="101">
        <f t="shared" si="92"/>
        <v>9326</v>
      </c>
      <c r="T27" s="101">
        <f t="shared" si="92"/>
        <v>9401</v>
      </c>
      <c r="U27" s="101">
        <f t="shared" si="92"/>
        <v>10002</v>
      </c>
      <c r="V27" s="101">
        <f t="shared" si="92"/>
        <v>9059</v>
      </c>
      <c r="W27" s="101">
        <f t="shared" ref="W27:Y27" si="93">IF(W54=0,0,W54*W164)</f>
        <v>10238</v>
      </c>
      <c r="X27" s="101">
        <f t="shared" si="93"/>
        <v>10182</v>
      </c>
      <c r="Y27" s="101">
        <f t="shared" si="93"/>
        <v>10448</v>
      </c>
      <c r="DA27" s="175" t="s">
        <v>472</v>
      </c>
    </row>
    <row r="28" spans="1:105" ht="11.45" customHeight="1" x14ac:dyDescent="0.25">
      <c r="A28" s="138" t="s">
        <v>116</v>
      </c>
      <c r="B28" s="88">
        <f t="shared" ref="B28:K28" si="94">IF(B55=0,0,B55*B165)</f>
        <v>1177.1404800135679</v>
      </c>
      <c r="C28" s="88">
        <f t="shared" si="94"/>
        <v>1260.9544089882293</v>
      </c>
      <c r="D28" s="88">
        <f t="shared" si="94"/>
        <v>1335.4159567234055</v>
      </c>
      <c r="E28" s="88">
        <f t="shared" si="94"/>
        <v>1357.0602982489709</v>
      </c>
      <c r="F28" s="88">
        <f t="shared" si="94"/>
        <v>1574.9352185342323</v>
      </c>
      <c r="G28" s="88">
        <f t="shared" si="94"/>
        <v>1629.6190753438295</v>
      </c>
      <c r="H28" s="88">
        <f t="shared" si="94"/>
        <v>1683.3303915427241</v>
      </c>
      <c r="I28" s="88">
        <f t="shared" si="94"/>
        <v>1818.9720975925538</v>
      </c>
      <c r="J28" s="88">
        <f t="shared" si="94"/>
        <v>1582.0043731131864</v>
      </c>
      <c r="K28" s="88">
        <f t="shared" si="94"/>
        <v>1345.2669196335391</v>
      </c>
      <c r="L28" s="88">
        <f t="shared" ref="L28:V28" si="95">IF(L55=0,0,L55*L165)</f>
        <v>1434.8252938964197</v>
      </c>
      <c r="M28" s="88">
        <f t="shared" si="95"/>
        <v>1560.6056411654517</v>
      </c>
      <c r="N28" s="88">
        <f t="shared" si="95"/>
        <v>1398.0886771555397</v>
      </c>
      <c r="O28" s="88">
        <f t="shared" si="95"/>
        <v>1337.5881199183677</v>
      </c>
      <c r="P28" s="88">
        <f t="shared" si="95"/>
        <v>1307.5559012090944</v>
      </c>
      <c r="Q28" s="88">
        <f t="shared" si="95"/>
        <v>1459.2328228836486</v>
      </c>
      <c r="R28" s="88">
        <f t="shared" si="95"/>
        <v>1308.5060125597229</v>
      </c>
      <c r="S28" s="88">
        <f t="shared" si="95"/>
        <v>1284.8877527571203</v>
      </c>
      <c r="T28" s="88">
        <f t="shared" si="95"/>
        <v>1428</v>
      </c>
      <c r="U28" s="88">
        <f t="shared" si="95"/>
        <v>1624</v>
      </c>
      <c r="V28" s="88">
        <f t="shared" si="95"/>
        <v>586</v>
      </c>
      <c r="W28" s="88">
        <f t="shared" ref="W28:Y28" si="96">IF(W55=0,0,W55*W165)</f>
        <v>607</v>
      </c>
      <c r="X28" s="88">
        <f t="shared" si="96"/>
        <v>581</v>
      </c>
      <c r="Y28" s="88">
        <f t="shared" si="96"/>
        <v>612</v>
      </c>
      <c r="DA28" s="178" t="s">
        <v>473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DA29" s="171"/>
    </row>
    <row r="30" spans="1:105" ht="11.45" customHeight="1" x14ac:dyDescent="0.25">
      <c r="A30" s="53" t="s">
        <v>134</v>
      </c>
      <c r="B30" s="62">
        <f t="shared" ref="B30" si="97">B31+B46</f>
        <v>27988.48772248107</v>
      </c>
      <c r="C30" s="62">
        <f t="shared" ref="C30:V30" si="98">C31+C46</f>
        <v>29845.185741578935</v>
      </c>
      <c r="D30" s="62">
        <f t="shared" si="98"/>
        <v>31297.567716169589</v>
      </c>
      <c r="E30" s="62">
        <f t="shared" si="98"/>
        <v>32709.15199577561</v>
      </c>
      <c r="F30" s="62">
        <f t="shared" si="98"/>
        <v>33986.79046457506</v>
      </c>
      <c r="G30" s="62">
        <f t="shared" si="98"/>
        <v>35870.616253963577</v>
      </c>
      <c r="H30" s="62">
        <f t="shared" si="98"/>
        <v>39353.543146677119</v>
      </c>
      <c r="I30" s="62">
        <f t="shared" si="98"/>
        <v>40262.852917301512</v>
      </c>
      <c r="J30" s="62">
        <f t="shared" si="98"/>
        <v>41628.114690512688</v>
      </c>
      <c r="K30" s="62">
        <f t="shared" si="98"/>
        <v>40037.990169506404</v>
      </c>
      <c r="L30" s="62">
        <f t="shared" si="98"/>
        <v>39396.479861956737</v>
      </c>
      <c r="M30" s="62">
        <f t="shared" si="98"/>
        <v>38522.731100179626</v>
      </c>
      <c r="N30" s="62">
        <f t="shared" si="98"/>
        <v>37180.898899733213</v>
      </c>
      <c r="O30" s="62">
        <f t="shared" si="98"/>
        <v>38325.0431941688</v>
      </c>
      <c r="P30" s="62">
        <f t="shared" si="98"/>
        <v>38043.702522320986</v>
      </c>
      <c r="Q30" s="62">
        <f t="shared" si="98"/>
        <v>40061.502822799252</v>
      </c>
      <c r="R30" s="62">
        <f t="shared" si="98"/>
        <v>41583.596070572916</v>
      </c>
      <c r="S30" s="62">
        <f t="shared" si="98"/>
        <v>42742.844214900288</v>
      </c>
      <c r="T30" s="62">
        <f t="shared" si="98"/>
        <v>42609.880530918301</v>
      </c>
      <c r="U30" s="62">
        <f t="shared" si="98"/>
        <v>43079.282019344049</v>
      </c>
      <c r="V30" s="62">
        <f t="shared" si="98"/>
        <v>37846.510518177049</v>
      </c>
      <c r="W30" s="62">
        <f t="shared" ref="W30:Y30" si="99">W31+W46</f>
        <v>39671.401110883475</v>
      </c>
      <c r="X30" s="62">
        <f t="shared" si="99"/>
        <v>43223.116289683952</v>
      </c>
      <c r="Y30" s="62">
        <f t="shared" si="99"/>
        <v>44291.004269262747</v>
      </c>
      <c r="DA30" s="172" t="s">
        <v>474</v>
      </c>
    </row>
    <row r="31" spans="1:105" ht="11.45" customHeight="1" x14ac:dyDescent="0.25">
      <c r="A31" s="27" t="s">
        <v>33</v>
      </c>
      <c r="B31" s="29">
        <f t="shared" ref="B31" si="100">B32+B33+B40</f>
        <v>22374.526240946387</v>
      </c>
      <c r="C31" s="29">
        <f t="shared" ref="C31:V31" si="101">C32+C33+C40</f>
        <v>23894.237324005473</v>
      </c>
      <c r="D31" s="29">
        <f t="shared" si="101"/>
        <v>24795.965904742578</v>
      </c>
      <c r="E31" s="29">
        <f t="shared" si="101"/>
        <v>25784.653069159263</v>
      </c>
      <c r="F31" s="29">
        <f t="shared" si="101"/>
        <v>26551.014148916925</v>
      </c>
      <c r="G31" s="29">
        <f t="shared" si="101"/>
        <v>27895.265529231652</v>
      </c>
      <c r="H31" s="29">
        <f t="shared" si="101"/>
        <v>31027.251123471298</v>
      </c>
      <c r="I31" s="29">
        <f t="shared" si="101"/>
        <v>31495.197879059324</v>
      </c>
      <c r="J31" s="29">
        <f t="shared" si="101"/>
        <v>33076.123089920598</v>
      </c>
      <c r="K31" s="29">
        <f t="shared" si="101"/>
        <v>32505.183561996218</v>
      </c>
      <c r="L31" s="29">
        <f t="shared" si="101"/>
        <v>32233.854412213364</v>
      </c>
      <c r="M31" s="29">
        <f t="shared" si="101"/>
        <v>31564.589804999905</v>
      </c>
      <c r="N31" s="29">
        <f t="shared" si="101"/>
        <v>30535.78253709841</v>
      </c>
      <c r="O31" s="29">
        <f t="shared" si="101"/>
        <v>31561.574317489642</v>
      </c>
      <c r="P31" s="29">
        <f t="shared" si="101"/>
        <v>31371.845145832354</v>
      </c>
      <c r="Q31" s="29">
        <f t="shared" si="101"/>
        <v>33645.35379541052</v>
      </c>
      <c r="R31" s="29">
        <f t="shared" si="101"/>
        <v>35043.960228096839</v>
      </c>
      <c r="S31" s="29">
        <f t="shared" si="101"/>
        <v>36227.342795530793</v>
      </c>
      <c r="T31" s="29">
        <f t="shared" si="101"/>
        <v>35999.761430848012</v>
      </c>
      <c r="U31" s="29">
        <f t="shared" si="101"/>
        <v>36413.091852455917</v>
      </c>
      <c r="V31" s="29">
        <f t="shared" si="101"/>
        <v>31564.036277608622</v>
      </c>
      <c r="W31" s="29">
        <f t="shared" ref="W31:Y31" si="102">W32+W33+W40</f>
        <v>33031.278909598826</v>
      </c>
      <c r="X31" s="29">
        <f t="shared" si="102"/>
        <v>36335.711192692681</v>
      </c>
      <c r="Y31" s="29">
        <f t="shared" si="102"/>
        <v>37115.086256502233</v>
      </c>
      <c r="DA31" s="173" t="s">
        <v>475</v>
      </c>
    </row>
    <row r="32" spans="1:105" ht="11.45" customHeight="1" x14ac:dyDescent="0.25">
      <c r="A32" s="136" t="s">
        <v>173</v>
      </c>
      <c r="B32" s="152">
        <v>108.47764199498566</v>
      </c>
      <c r="C32" s="152">
        <v>117.51798151017231</v>
      </c>
      <c r="D32" s="152">
        <v>117.6839832739675</v>
      </c>
      <c r="E32" s="152">
        <v>126.40978212133339</v>
      </c>
      <c r="F32" s="152">
        <v>122.17346477257254</v>
      </c>
      <c r="G32" s="152">
        <v>149.75757863691481</v>
      </c>
      <c r="H32" s="152">
        <v>147.65857658644785</v>
      </c>
      <c r="I32" s="152">
        <v>149.28270510604045</v>
      </c>
      <c r="J32" s="152">
        <v>159.19293935567725</v>
      </c>
      <c r="K32" s="152">
        <v>146.28503184141593</v>
      </c>
      <c r="L32" s="152">
        <v>128.05764938622798</v>
      </c>
      <c r="M32" s="152">
        <v>117.5539</v>
      </c>
      <c r="N32" s="152">
        <v>106</v>
      </c>
      <c r="O32" s="152">
        <v>105.41134281914596</v>
      </c>
      <c r="P32" s="152">
        <v>121.58210692469706</v>
      </c>
      <c r="Q32" s="152">
        <v>115.87451783145301</v>
      </c>
      <c r="R32" s="152">
        <v>120.5556560834298</v>
      </c>
      <c r="S32" s="152">
        <v>114.79193509962079</v>
      </c>
      <c r="T32" s="152">
        <v>109.10800331681202</v>
      </c>
      <c r="U32" s="152">
        <v>116.81376140725246</v>
      </c>
      <c r="V32" s="152">
        <v>105.6662653081615</v>
      </c>
      <c r="W32" s="152">
        <v>110.33031467528005</v>
      </c>
      <c r="X32" s="152">
        <v>111.34317169644547</v>
      </c>
      <c r="Y32" s="152">
        <v>120.43167073982993</v>
      </c>
      <c r="DA32" s="174" t="s">
        <v>476</v>
      </c>
    </row>
    <row r="33" spans="1:105" ht="11.45" customHeight="1" x14ac:dyDescent="0.25">
      <c r="A33" s="109" t="s">
        <v>20</v>
      </c>
      <c r="B33" s="116">
        <f t="shared" ref="B33" si="103">SUM(B34:B39)</f>
        <v>22056.291349868581</v>
      </c>
      <c r="C33" s="116">
        <f t="shared" ref="C33:V33" si="104">SUM(C34:C39)</f>
        <v>23557.126713821199</v>
      </c>
      <c r="D33" s="116">
        <f t="shared" si="104"/>
        <v>24454.490706183216</v>
      </c>
      <c r="E33" s="116">
        <f t="shared" si="104"/>
        <v>25420.787756303071</v>
      </c>
      <c r="F33" s="116">
        <f t="shared" si="104"/>
        <v>26181.400313791877</v>
      </c>
      <c r="G33" s="116">
        <f t="shared" si="104"/>
        <v>27487.031292017906</v>
      </c>
      <c r="H33" s="116">
        <f t="shared" si="104"/>
        <v>30601.490896118536</v>
      </c>
      <c r="I33" s="116">
        <f t="shared" si="104"/>
        <v>31047.983930868086</v>
      </c>
      <c r="J33" s="116">
        <f t="shared" si="104"/>
        <v>32597.337897981673</v>
      </c>
      <c r="K33" s="116">
        <f t="shared" si="104"/>
        <v>32041.70353969817</v>
      </c>
      <c r="L33" s="116">
        <f t="shared" si="104"/>
        <v>31795.512089764743</v>
      </c>
      <c r="M33" s="116">
        <f t="shared" si="104"/>
        <v>31144.280814677382</v>
      </c>
      <c r="N33" s="116">
        <f t="shared" si="104"/>
        <v>30131.893058517075</v>
      </c>
      <c r="O33" s="116">
        <f t="shared" si="104"/>
        <v>31157.162974670497</v>
      </c>
      <c r="P33" s="116">
        <f t="shared" si="104"/>
        <v>30945.531141357267</v>
      </c>
      <c r="Q33" s="116">
        <f t="shared" si="104"/>
        <v>33216.479277579063</v>
      </c>
      <c r="R33" s="116">
        <f t="shared" si="104"/>
        <v>34594.404572013409</v>
      </c>
      <c r="S33" s="116">
        <f t="shared" si="104"/>
        <v>35751.550860431169</v>
      </c>
      <c r="T33" s="116">
        <f t="shared" si="104"/>
        <v>35504.653427531201</v>
      </c>
      <c r="U33" s="116">
        <f t="shared" si="104"/>
        <v>35904.278091048662</v>
      </c>
      <c r="V33" s="116">
        <f t="shared" si="104"/>
        <v>31133.170012300459</v>
      </c>
      <c r="W33" s="116">
        <f t="shared" ref="W33:Y33" si="105">SUM(W34:W39)</f>
        <v>32595.94859492355</v>
      </c>
      <c r="X33" s="116">
        <f t="shared" si="105"/>
        <v>35813.118020996233</v>
      </c>
      <c r="Y33" s="116">
        <f t="shared" si="105"/>
        <v>36470.904585762401</v>
      </c>
      <c r="DA33" s="176" t="s">
        <v>477</v>
      </c>
    </row>
    <row r="34" spans="1:105" ht="11.45" customHeight="1" x14ac:dyDescent="0.25">
      <c r="A34" s="111" t="s">
        <v>110</v>
      </c>
      <c r="B34" s="87">
        <v>19031.263846510999</v>
      </c>
      <c r="C34" s="87">
        <v>20367.585987164919</v>
      </c>
      <c r="D34" s="87">
        <v>21082.012953630154</v>
      </c>
      <c r="E34" s="87">
        <v>21801.810289402332</v>
      </c>
      <c r="F34" s="87">
        <v>22189.59441845294</v>
      </c>
      <c r="G34" s="87">
        <v>22646.501525981621</v>
      </c>
      <c r="H34" s="87">
        <v>25056.215217057652</v>
      </c>
      <c r="I34" s="87">
        <v>25147.501886933995</v>
      </c>
      <c r="J34" s="87">
        <v>25347.078381574102</v>
      </c>
      <c r="K34" s="87">
        <v>23783.880208814891</v>
      </c>
      <c r="L34" s="87">
        <v>22243.086628359946</v>
      </c>
      <c r="M34" s="87">
        <v>20025.879143771315</v>
      </c>
      <c r="N34" s="87">
        <v>18567.75732723175</v>
      </c>
      <c r="O34" s="87">
        <v>17830.171259388877</v>
      </c>
      <c r="P34" s="87">
        <v>16765.567935148985</v>
      </c>
      <c r="Q34" s="87">
        <v>16209.810607454529</v>
      </c>
      <c r="R34" s="87">
        <v>15316.364986769146</v>
      </c>
      <c r="S34" s="87">
        <v>14670.065366416433</v>
      </c>
      <c r="T34" s="87">
        <v>13735.246602960291</v>
      </c>
      <c r="U34" s="87">
        <v>13337.886816073285</v>
      </c>
      <c r="V34" s="87">
        <v>10627.395028679613</v>
      </c>
      <c r="W34" s="87">
        <v>10961.544217280245</v>
      </c>
      <c r="X34" s="87">
        <v>12543.887588845535</v>
      </c>
      <c r="Y34" s="87">
        <v>13322.146278038083</v>
      </c>
      <c r="DA34" s="171" t="s">
        <v>478</v>
      </c>
    </row>
    <row r="35" spans="1:105" ht="11.45" customHeight="1" x14ac:dyDescent="0.25">
      <c r="A35" s="111" t="s">
        <v>111</v>
      </c>
      <c r="B35" s="87">
        <v>2998.2391281035539</v>
      </c>
      <c r="C35" s="87">
        <v>3169.4596544965752</v>
      </c>
      <c r="D35" s="87">
        <v>3355.2711775334456</v>
      </c>
      <c r="E35" s="87">
        <v>3604.3755747683203</v>
      </c>
      <c r="F35" s="87">
        <v>3978.0487458369257</v>
      </c>
      <c r="G35" s="87">
        <v>4827.4639533482596</v>
      </c>
      <c r="H35" s="87">
        <v>5533.9797125672112</v>
      </c>
      <c r="I35" s="87">
        <v>5885.0984917799287</v>
      </c>
      <c r="J35" s="87">
        <v>7238.6520527264483</v>
      </c>
      <c r="K35" s="87">
        <v>8249.6774736924635</v>
      </c>
      <c r="L35" s="87">
        <v>9544.9817754475807</v>
      </c>
      <c r="M35" s="87">
        <v>11100.191673719039</v>
      </c>
      <c r="N35" s="87">
        <v>11536.579837565436</v>
      </c>
      <c r="O35" s="87">
        <v>13302.803987062542</v>
      </c>
      <c r="P35" s="87">
        <v>14136.682750820071</v>
      </c>
      <c r="Q35" s="87">
        <v>16948.815737934448</v>
      </c>
      <c r="R35" s="87">
        <v>19204.610982500864</v>
      </c>
      <c r="S35" s="87">
        <v>20988.992087093622</v>
      </c>
      <c r="T35" s="87">
        <v>21636.76233998478</v>
      </c>
      <c r="U35" s="87">
        <v>22347.980143551176</v>
      </c>
      <c r="V35" s="87">
        <v>20225.079431486873</v>
      </c>
      <c r="W35" s="87">
        <v>21045.467533214895</v>
      </c>
      <c r="X35" s="87">
        <v>22259.738732801627</v>
      </c>
      <c r="Y35" s="87">
        <v>21600.673086650051</v>
      </c>
      <c r="DA35" s="171" t="s">
        <v>479</v>
      </c>
    </row>
    <row r="36" spans="1:105" ht="11.45" customHeight="1" x14ac:dyDescent="0.25">
      <c r="A36" s="111" t="s">
        <v>112</v>
      </c>
      <c r="B36" s="87">
        <v>26.788375254029905</v>
      </c>
      <c r="C36" s="87">
        <v>20.08107215970454</v>
      </c>
      <c r="D36" s="87">
        <v>17.206575019616459</v>
      </c>
      <c r="E36" s="87">
        <v>14.60189213241906</v>
      </c>
      <c r="F36" s="87">
        <v>13.757149502014389</v>
      </c>
      <c r="G36" s="87">
        <v>13.065812688026485</v>
      </c>
      <c r="H36" s="87">
        <v>11.295966493672779</v>
      </c>
      <c r="I36" s="87">
        <v>15.383552154160986</v>
      </c>
      <c r="J36" s="87">
        <v>11.607463681124788</v>
      </c>
      <c r="K36" s="87">
        <v>8.1109147226455143</v>
      </c>
      <c r="L36" s="87">
        <v>7.1116766141321301</v>
      </c>
      <c r="M36" s="87">
        <v>7.7463735425571709</v>
      </c>
      <c r="N36" s="87">
        <v>14.080746727555921</v>
      </c>
      <c r="O36" s="87">
        <v>19.171319023809534</v>
      </c>
      <c r="P36" s="87">
        <v>32.783270682600119</v>
      </c>
      <c r="Q36" s="87">
        <v>37.691640657433425</v>
      </c>
      <c r="R36" s="87">
        <v>37.032807742851176</v>
      </c>
      <c r="S36" s="87">
        <v>32.569425206508114</v>
      </c>
      <c r="T36" s="87">
        <v>27.578890434622625</v>
      </c>
      <c r="U36" s="87">
        <v>24.307374837274729</v>
      </c>
      <c r="V36" s="87">
        <v>21.044520874452722</v>
      </c>
      <c r="W36" s="87">
        <v>20.7399964382227</v>
      </c>
      <c r="X36" s="87">
        <v>23.156580950625852</v>
      </c>
      <c r="Y36" s="87">
        <v>20.139795214360067</v>
      </c>
      <c r="DA36" s="171" t="s">
        <v>480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0</v>
      </c>
      <c r="G37" s="87">
        <v>0</v>
      </c>
      <c r="H37" s="87">
        <v>0</v>
      </c>
      <c r="I37" s="87">
        <v>0</v>
      </c>
      <c r="J37" s="87">
        <v>0</v>
      </c>
      <c r="K37" s="87">
        <v>0</v>
      </c>
      <c r="L37" s="87">
        <v>0</v>
      </c>
      <c r="M37" s="87">
        <v>0</v>
      </c>
      <c r="N37" s="87">
        <v>0</v>
      </c>
      <c r="O37" s="87">
        <v>0</v>
      </c>
      <c r="P37" s="87">
        <v>0.14194818233703144</v>
      </c>
      <c r="Q37" s="87">
        <v>0.25303479042752508</v>
      </c>
      <c r="R37" s="87">
        <v>0.25418627571357771</v>
      </c>
      <c r="S37" s="87">
        <v>0.24803267287662864</v>
      </c>
      <c r="T37" s="87">
        <v>0.21590876101061923</v>
      </c>
      <c r="U37" s="87">
        <v>0.20164870495781467</v>
      </c>
      <c r="V37" s="87">
        <v>0.16995687031170004</v>
      </c>
      <c r="W37" s="87">
        <v>0.15844752538105447</v>
      </c>
      <c r="X37" s="87">
        <v>2.2555999627488057</v>
      </c>
      <c r="Y37" s="87">
        <v>1.998989189253835</v>
      </c>
      <c r="DA37" s="171" t="s">
        <v>481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0</v>
      </c>
      <c r="O38" s="87">
        <v>0.10232594648859847</v>
      </c>
      <c r="P38" s="87">
        <v>0.48690955127837732</v>
      </c>
      <c r="Q38" s="87">
        <v>1.8986580605838776</v>
      </c>
      <c r="R38" s="87">
        <v>6.225087376017842</v>
      </c>
      <c r="S38" s="87">
        <v>10.955317845909324</v>
      </c>
      <c r="T38" s="87">
        <v>23.82698083098845</v>
      </c>
      <c r="U38" s="87">
        <v>42.956922340228452</v>
      </c>
      <c r="V38" s="87">
        <v>67.395908854376628</v>
      </c>
      <c r="W38" s="87">
        <v>219.59075140380531</v>
      </c>
      <c r="X38" s="87">
        <v>357.50140393840132</v>
      </c>
      <c r="Y38" s="87">
        <v>518.18486395577645</v>
      </c>
      <c r="DA38" s="171" t="s">
        <v>482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</v>
      </c>
      <c r="K39" s="87">
        <v>3.4942468170361812E-2</v>
      </c>
      <c r="L39" s="87">
        <v>0.33200934308396068</v>
      </c>
      <c r="M39" s="87">
        <v>10.463623644471816</v>
      </c>
      <c r="N39" s="87">
        <v>13.475146992332292</v>
      </c>
      <c r="O39" s="87">
        <v>4.9140832487842365</v>
      </c>
      <c r="P39" s="87">
        <v>9.868326971997007</v>
      </c>
      <c r="Q39" s="87">
        <v>18.009598681642384</v>
      </c>
      <c r="R39" s="87">
        <v>29.916521348818954</v>
      </c>
      <c r="S39" s="87">
        <v>48.720631195823238</v>
      </c>
      <c r="T39" s="87">
        <v>81.022704559507474</v>
      </c>
      <c r="U39" s="87">
        <v>150.94518554174547</v>
      </c>
      <c r="V39" s="87">
        <v>192.08516553483048</v>
      </c>
      <c r="W39" s="87">
        <v>348.44764906099834</v>
      </c>
      <c r="X39" s="87">
        <v>626.57811449728752</v>
      </c>
      <c r="Y39" s="87">
        <v>1007.7615727148734</v>
      </c>
      <c r="DA39" s="171" t="s">
        <v>483</v>
      </c>
    </row>
    <row r="40" spans="1:105" ht="11.45" customHeight="1" x14ac:dyDescent="0.25">
      <c r="A40" s="109" t="s">
        <v>21</v>
      </c>
      <c r="B40" s="116">
        <f t="shared" ref="B40" si="106">SUM(B41:B45)</f>
        <v>209.7572490828195</v>
      </c>
      <c r="C40" s="116">
        <f t="shared" ref="C40:V40" si="107">SUM(C41:C45)</f>
        <v>219.59262867410033</v>
      </c>
      <c r="D40" s="116">
        <f t="shared" si="107"/>
        <v>223.79121528539338</v>
      </c>
      <c r="E40" s="116">
        <f t="shared" si="107"/>
        <v>237.45553073486056</v>
      </c>
      <c r="F40" s="116">
        <f t="shared" si="107"/>
        <v>247.44037035247524</v>
      </c>
      <c r="G40" s="116">
        <f t="shared" si="107"/>
        <v>258.47665857682898</v>
      </c>
      <c r="H40" s="116">
        <f t="shared" si="107"/>
        <v>278.10165076631557</v>
      </c>
      <c r="I40" s="116">
        <f t="shared" si="107"/>
        <v>297.93124308519691</v>
      </c>
      <c r="J40" s="116">
        <f t="shared" si="107"/>
        <v>319.59225258324483</v>
      </c>
      <c r="K40" s="116">
        <f t="shared" si="107"/>
        <v>317.19499045663088</v>
      </c>
      <c r="L40" s="116">
        <f t="shared" si="107"/>
        <v>310.28467306239247</v>
      </c>
      <c r="M40" s="116">
        <f t="shared" si="107"/>
        <v>302.75509032252245</v>
      </c>
      <c r="N40" s="116">
        <f t="shared" si="107"/>
        <v>297.88947858133719</v>
      </c>
      <c r="O40" s="116">
        <f t="shared" si="107"/>
        <v>299</v>
      </c>
      <c r="P40" s="116">
        <f t="shared" si="107"/>
        <v>304.731897550393</v>
      </c>
      <c r="Q40" s="116">
        <f t="shared" si="107"/>
        <v>312.99999999999994</v>
      </c>
      <c r="R40" s="116">
        <f t="shared" si="107"/>
        <v>329</v>
      </c>
      <c r="S40" s="116">
        <f t="shared" si="107"/>
        <v>361</v>
      </c>
      <c r="T40" s="116">
        <f t="shared" si="107"/>
        <v>386.00000000000006</v>
      </c>
      <c r="U40" s="116">
        <f t="shared" si="107"/>
        <v>391.99999999999994</v>
      </c>
      <c r="V40" s="116">
        <f t="shared" si="107"/>
        <v>325.2</v>
      </c>
      <c r="W40" s="116">
        <f t="shared" ref="W40:Y40" si="108">SUM(W41:W45)</f>
        <v>325</v>
      </c>
      <c r="X40" s="116">
        <f t="shared" si="108"/>
        <v>411.25</v>
      </c>
      <c r="Y40" s="116">
        <f t="shared" si="108"/>
        <v>523.75000000000011</v>
      </c>
      <c r="DA40" s="176" t="s">
        <v>484</v>
      </c>
    </row>
    <row r="41" spans="1:105" ht="11.45" customHeight="1" x14ac:dyDescent="0.25">
      <c r="A41" s="111" t="s">
        <v>110</v>
      </c>
      <c r="B41" s="101">
        <v>4.2288013076163908</v>
      </c>
      <c r="C41" s="101">
        <v>3.8850041083370939</v>
      </c>
      <c r="D41" s="101">
        <v>3.535216736544387</v>
      </c>
      <c r="E41" s="101">
        <v>3.189862570402644</v>
      </c>
      <c r="F41" s="101">
        <v>2.8139916908851275</v>
      </c>
      <c r="G41" s="101">
        <v>2.4621961610195573</v>
      </c>
      <c r="H41" s="101">
        <v>2.1374323272397526</v>
      </c>
      <c r="I41" s="101">
        <v>1.9103638994447472</v>
      </c>
      <c r="J41" s="101">
        <v>1.6587526275414606</v>
      </c>
      <c r="K41" s="101">
        <v>1.3776406486814581</v>
      </c>
      <c r="L41" s="101">
        <v>1.0957208565560872</v>
      </c>
      <c r="M41" s="101">
        <v>0.8719836315745102</v>
      </c>
      <c r="N41" s="101">
        <v>0.65833007953909006</v>
      </c>
      <c r="O41" s="101">
        <v>0.66003490994235692</v>
      </c>
      <c r="P41" s="101">
        <v>0.66181400207022512</v>
      </c>
      <c r="Q41" s="101">
        <v>0.57380754475703333</v>
      </c>
      <c r="R41" s="101">
        <v>0.47328457426811754</v>
      </c>
      <c r="S41" s="101">
        <v>0.59817694783978159</v>
      </c>
      <c r="T41" s="101">
        <v>0.406021334764882</v>
      </c>
      <c r="U41" s="101">
        <v>0.49753686140310355</v>
      </c>
      <c r="V41" s="101">
        <v>0.45600943561181728</v>
      </c>
      <c r="W41" s="101">
        <v>0.41011634109366851</v>
      </c>
      <c r="X41" s="101">
        <v>1.3499031471371974</v>
      </c>
      <c r="Y41" s="101">
        <v>4.1073037757366411</v>
      </c>
      <c r="DA41" s="175" t="s">
        <v>485</v>
      </c>
    </row>
    <row r="42" spans="1:105" ht="11.45" customHeight="1" x14ac:dyDescent="0.25">
      <c r="A42" s="111" t="s">
        <v>111</v>
      </c>
      <c r="B42" s="101">
        <v>205.52844777520312</v>
      </c>
      <c r="C42" s="101">
        <v>215.69205884757395</v>
      </c>
      <c r="D42" s="101">
        <v>220.24004713089724</v>
      </c>
      <c r="E42" s="101">
        <v>234.24928878474543</v>
      </c>
      <c r="F42" s="101">
        <v>244.609577203237</v>
      </c>
      <c r="G42" s="101">
        <v>255.99722559276205</v>
      </c>
      <c r="H42" s="101">
        <v>275.94650508952247</v>
      </c>
      <c r="I42" s="101">
        <v>296.00268061339409</v>
      </c>
      <c r="J42" s="101">
        <v>317.89251022028986</v>
      </c>
      <c r="K42" s="101">
        <v>315.77632135557297</v>
      </c>
      <c r="L42" s="101">
        <v>309.14788641742928</v>
      </c>
      <c r="M42" s="101">
        <v>301.84199985540243</v>
      </c>
      <c r="N42" s="101">
        <v>297.19003123513664</v>
      </c>
      <c r="O42" s="101">
        <v>298.29880396331873</v>
      </c>
      <c r="P42" s="101">
        <v>304.02887830762728</v>
      </c>
      <c r="Q42" s="101">
        <v>312.38496632502677</v>
      </c>
      <c r="R42" s="101">
        <v>328.48549143674791</v>
      </c>
      <c r="S42" s="101">
        <v>360.36070075727224</v>
      </c>
      <c r="T42" s="101">
        <v>385.5187009143383</v>
      </c>
      <c r="U42" s="101">
        <v>390.74633941344138</v>
      </c>
      <c r="V42" s="101">
        <v>323.1562888749512</v>
      </c>
      <c r="W42" s="101">
        <v>322.9684249004232</v>
      </c>
      <c r="X42" s="101">
        <v>407.04782741545336</v>
      </c>
      <c r="Y42" s="101">
        <v>514.73346124263071</v>
      </c>
      <c r="DA42" s="175" t="s">
        <v>486</v>
      </c>
    </row>
    <row r="43" spans="1:105" ht="11.45" customHeight="1" x14ac:dyDescent="0.25">
      <c r="A43" s="111" t="s">
        <v>112</v>
      </c>
      <c r="B43" s="101">
        <v>0</v>
      </c>
      <c r="C43" s="101">
        <v>1.556571818928381E-2</v>
      </c>
      <c r="D43" s="101">
        <v>1.5951417951760898E-2</v>
      </c>
      <c r="E43" s="101">
        <v>1.6379379712469846E-2</v>
      </c>
      <c r="F43" s="101">
        <v>1.6801458353122103E-2</v>
      </c>
      <c r="G43" s="101">
        <v>1.7236823047363643E-2</v>
      </c>
      <c r="H43" s="101">
        <v>1.7713349553326228E-2</v>
      </c>
      <c r="I43" s="101">
        <v>1.8198572358076124E-2</v>
      </c>
      <c r="J43" s="101">
        <v>0</v>
      </c>
      <c r="K43" s="101">
        <v>0</v>
      </c>
      <c r="L43" s="101">
        <v>0</v>
      </c>
      <c r="M43" s="101">
        <v>0</v>
      </c>
      <c r="N43" s="101">
        <v>0</v>
      </c>
      <c r="O43" s="101">
        <v>0</v>
      </c>
      <c r="P43" s="101">
        <v>0</v>
      </c>
      <c r="Q43" s="101">
        <v>0</v>
      </c>
      <c r="R43" s="101">
        <v>0</v>
      </c>
      <c r="S43" s="101">
        <v>0</v>
      </c>
      <c r="T43" s="101">
        <v>0</v>
      </c>
      <c r="U43" s="101">
        <v>0</v>
      </c>
      <c r="V43" s="101">
        <v>0</v>
      </c>
      <c r="W43" s="101">
        <v>0</v>
      </c>
      <c r="X43" s="101">
        <v>0</v>
      </c>
      <c r="Y43" s="101">
        <v>0</v>
      </c>
      <c r="DA43" s="175" t="s">
        <v>487</v>
      </c>
    </row>
    <row r="44" spans="1:105" ht="11.45" customHeight="1" x14ac:dyDescent="0.25">
      <c r="A44" s="111" t="s">
        <v>113</v>
      </c>
      <c r="B44" s="101">
        <v>0</v>
      </c>
      <c r="C44" s="101">
        <v>0</v>
      </c>
      <c r="D44" s="101">
        <v>0</v>
      </c>
      <c r="E44" s="101">
        <v>0</v>
      </c>
      <c r="F44" s="101">
        <v>0</v>
      </c>
      <c r="G44" s="101">
        <v>0</v>
      </c>
      <c r="H44" s="101">
        <v>0</v>
      </c>
      <c r="I44" s="101">
        <v>0</v>
      </c>
      <c r="J44" s="101">
        <v>0</v>
      </c>
      <c r="K44" s="101">
        <v>0</v>
      </c>
      <c r="L44" s="101">
        <v>0</v>
      </c>
      <c r="M44" s="101">
        <v>0</v>
      </c>
      <c r="N44" s="101">
        <v>0</v>
      </c>
      <c r="O44" s="101">
        <v>0</v>
      </c>
      <c r="P44" s="101">
        <v>0</v>
      </c>
      <c r="Q44" s="101">
        <v>0</v>
      </c>
      <c r="R44" s="101">
        <v>0</v>
      </c>
      <c r="S44" s="101">
        <v>0</v>
      </c>
      <c r="T44" s="101">
        <v>3.4201446875820329E-2</v>
      </c>
      <c r="U44" s="101">
        <v>0.71509468653956287</v>
      </c>
      <c r="V44" s="101">
        <v>1.4356568745022209</v>
      </c>
      <c r="W44" s="101">
        <v>1.377249500455298</v>
      </c>
      <c r="X44" s="101">
        <v>2.0325642600007279</v>
      </c>
      <c r="Y44" s="101">
        <v>2.4324593713768841</v>
      </c>
      <c r="DA44" s="175" t="s">
        <v>488</v>
      </c>
    </row>
    <row r="45" spans="1:105" ht="11.45" customHeight="1" x14ac:dyDescent="0.25">
      <c r="A45" s="111" t="s">
        <v>115</v>
      </c>
      <c r="B45" s="101">
        <v>0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4.0989735413493995E-2</v>
      </c>
      <c r="K45" s="101">
        <v>4.1028452376427854E-2</v>
      </c>
      <c r="L45" s="101">
        <v>4.1065788407088237E-2</v>
      </c>
      <c r="M45" s="101">
        <v>4.1106835545522691E-2</v>
      </c>
      <c r="N45" s="101">
        <v>4.1117266661452469E-2</v>
      </c>
      <c r="O45" s="101">
        <v>4.1161126738930062E-2</v>
      </c>
      <c r="P45" s="101">
        <v>4.1205240695462518E-2</v>
      </c>
      <c r="Q45" s="101">
        <v>4.1226130216178575E-2</v>
      </c>
      <c r="R45" s="101">
        <v>4.1223988983961152E-2</v>
      </c>
      <c r="S45" s="101">
        <v>4.1122294887983572E-2</v>
      </c>
      <c r="T45" s="101">
        <v>4.1076304021012693E-2</v>
      </c>
      <c r="U45" s="101">
        <v>4.1029038615959433E-2</v>
      </c>
      <c r="V45" s="101">
        <v>0.15204481493474389</v>
      </c>
      <c r="W45" s="101">
        <v>0.24420925802781723</v>
      </c>
      <c r="X45" s="101">
        <v>0.8197051774087355</v>
      </c>
      <c r="Y45" s="101">
        <v>2.4767756102557694</v>
      </c>
      <c r="DA45" s="175" t="s">
        <v>489</v>
      </c>
    </row>
    <row r="46" spans="1:105" ht="11.45" customHeight="1" x14ac:dyDescent="0.25">
      <c r="A46" s="27" t="s">
        <v>34</v>
      </c>
      <c r="B46" s="29">
        <f t="shared" ref="B46" si="109">B47+B53</f>
        <v>5613.9614815346813</v>
      </c>
      <c r="C46" s="29">
        <f t="shared" ref="C46:V46" si="110">C47+C53</f>
        <v>5950.9484175734624</v>
      </c>
      <c r="D46" s="29">
        <f t="shared" si="110"/>
        <v>6501.6018114270119</v>
      </c>
      <c r="E46" s="29">
        <f t="shared" si="110"/>
        <v>6924.4989266163466</v>
      </c>
      <c r="F46" s="29">
        <f t="shared" si="110"/>
        <v>7435.776315658135</v>
      </c>
      <c r="G46" s="29">
        <f t="shared" si="110"/>
        <v>7975.3507247319249</v>
      </c>
      <c r="H46" s="29">
        <f t="shared" si="110"/>
        <v>8326.2920232058204</v>
      </c>
      <c r="I46" s="29">
        <f t="shared" si="110"/>
        <v>8767.6550382421847</v>
      </c>
      <c r="J46" s="29">
        <f t="shared" si="110"/>
        <v>8551.9916005920913</v>
      </c>
      <c r="K46" s="29">
        <f t="shared" si="110"/>
        <v>7532.8066075101833</v>
      </c>
      <c r="L46" s="29">
        <f t="shared" si="110"/>
        <v>7162.6254497433729</v>
      </c>
      <c r="M46" s="29">
        <f t="shared" si="110"/>
        <v>6958.1412951797229</v>
      </c>
      <c r="N46" s="29">
        <f t="shared" si="110"/>
        <v>6645.1163626348025</v>
      </c>
      <c r="O46" s="29">
        <f t="shared" si="110"/>
        <v>6763.4688766791551</v>
      </c>
      <c r="P46" s="29">
        <f t="shared" si="110"/>
        <v>6671.8573764886296</v>
      </c>
      <c r="Q46" s="29">
        <f t="shared" si="110"/>
        <v>6416.1490273887302</v>
      </c>
      <c r="R46" s="29">
        <f t="shared" si="110"/>
        <v>6539.6358424760792</v>
      </c>
      <c r="S46" s="29">
        <f t="shared" si="110"/>
        <v>6515.5014193694933</v>
      </c>
      <c r="T46" s="29">
        <f t="shared" si="110"/>
        <v>6610.1191000702911</v>
      </c>
      <c r="U46" s="29">
        <f t="shared" si="110"/>
        <v>6666.1901668881319</v>
      </c>
      <c r="V46" s="29">
        <f t="shared" si="110"/>
        <v>6282.4742405684237</v>
      </c>
      <c r="W46" s="29">
        <f t="shared" ref="W46:Y46" si="111">W47+W53</f>
        <v>6640.1222012846501</v>
      </c>
      <c r="X46" s="29">
        <f t="shared" si="111"/>
        <v>6887.4050969912678</v>
      </c>
      <c r="Y46" s="29">
        <f t="shared" si="111"/>
        <v>7175.9180127605141</v>
      </c>
      <c r="DA46" s="173" t="s">
        <v>490</v>
      </c>
    </row>
    <row r="47" spans="1:105" ht="11.45" customHeight="1" x14ac:dyDescent="0.25">
      <c r="A47" s="136" t="s">
        <v>153</v>
      </c>
      <c r="B47" s="152">
        <f t="shared" ref="B47" si="112">SUM(B48:B52)</f>
        <v>3697.3981343657101</v>
      </c>
      <c r="C47" s="152">
        <f t="shared" ref="C47:V47" si="113">SUM(C48:C52)</f>
        <v>3991.4296923664228</v>
      </c>
      <c r="D47" s="152">
        <f t="shared" si="113"/>
        <v>4269.4675017251848</v>
      </c>
      <c r="E47" s="152">
        <f t="shared" si="113"/>
        <v>4571.2943678885786</v>
      </c>
      <c r="F47" s="152">
        <f t="shared" si="113"/>
        <v>4851.22577629855</v>
      </c>
      <c r="G47" s="152">
        <f t="shared" si="113"/>
        <v>5166.9444042487894</v>
      </c>
      <c r="H47" s="152">
        <f t="shared" si="113"/>
        <v>5528.8123989649112</v>
      </c>
      <c r="I47" s="152">
        <f t="shared" si="113"/>
        <v>5831.7894113027787</v>
      </c>
      <c r="J47" s="152">
        <f t="shared" si="113"/>
        <v>5847.3046843224365</v>
      </c>
      <c r="K47" s="152">
        <f t="shared" si="113"/>
        <v>5633.8393514174468</v>
      </c>
      <c r="L47" s="152">
        <f t="shared" si="113"/>
        <v>5322.4296225232883</v>
      </c>
      <c r="M47" s="152">
        <f t="shared" si="113"/>
        <v>5209.7200716868747</v>
      </c>
      <c r="N47" s="152">
        <f t="shared" si="113"/>
        <v>4934.8655903510935</v>
      </c>
      <c r="O47" s="152">
        <f t="shared" si="113"/>
        <v>5079.6392167961785</v>
      </c>
      <c r="P47" s="152">
        <f t="shared" si="113"/>
        <v>4957.3735503282969</v>
      </c>
      <c r="Q47" s="152">
        <f t="shared" si="113"/>
        <v>4692.9594622062732</v>
      </c>
      <c r="R47" s="152">
        <f t="shared" si="113"/>
        <v>4594.7235793277214</v>
      </c>
      <c r="S47" s="152">
        <f t="shared" si="113"/>
        <v>4545.802571399392</v>
      </c>
      <c r="T47" s="152">
        <f t="shared" si="113"/>
        <v>4596.1750772491459</v>
      </c>
      <c r="U47" s="152">
        <f t="shared" si="113"/>
        <v>4522.7019254474435</v>
      </c>
      <c r="V47" s="152">
        <f t="shared" si="113"/>
        <v>4441.200126935948</v>
      </c>
      <c r="W47" s="152">
        <f t="shared" ref="W47:Y47" si="114">SUM(W48:W52)</f>
        <v>4599.9079836695773</v>
      </c>
      <c r="X47" s="152">
        <f t="shared" si="114"/>
        <v>4755.8856224085512</v>
      </c>
      <c r="Y47" s="152">
        <f t="shared" si="114"/>
        <v>5028.6897431390298</v>
      </c>
      <c r="DA47" s="174" t="s">
        <v>491</v>
      </c>
    </row>
    <row r="48" spans="1:105" ht="11.45" customHeight="1" x14ac:dyDescent="0.25">
      <c r="A48" s="111" t="s">
        <v>110</v>
      </c>
      <c r="B48" s="87">
        <v>50.177276641621752</v>
      </c>
      <c r="C48" s="87">
        <v>46.063828280192659</v>
      </c>
      <c r="D48" s="87">
        <v>42.771090542857984</v>
      </c>
      <c r="E48" s="87">
        <v>38.444509527545364</v>
      </c>
      <c r="F48" s="87">
        <v>33.356253175763342</v>
      </c>
      <c r="G48" s="87">
        <v>25.661386796994744</v>
      </c>
      <c r="H48" s="87">
        <v>19.751673721690548</v>
      </c>
      <c r="I48" s="87">
        <v>15.546453625989599</v>
      </c>
      <c r="J48" s="87">
        <v>13.980063024798634</v>
      </c>
      <c r="K48" s="87">
        <v>12.760770129562712</v>
      </c>
      <c r="L48" s="87">
        <v>10.827595913134072</v>
      </c>
      <c r="M48" s="87">
        <v>9.1770625622834157</v>
      </c>
      <c r="N48" s="87">
        <v>7.5451970971796563</v>
      </c>
      <c r="O48" s="87">
        <v>7.236814909702046</v>
      </c>
      <c r="P48" s="87">
        <v>6.6663171326633872</v>
      </c>
      <c r="Q48" s="87">
        <v>5.8536089399093738</v>
      </c>
      <c r="R48" s="87">
        <v>5.1741853561049256</v>
      </c>
      <c r="S48" s="87">
        <v>5.5659288014501955</v>
      </c>
      <c r="T48" s="87">
        <v>5.7783657692854478</v>
      </c>
      <c r="U48" s="87">
        <v>6.3821260053654276</v>
      </c>
      <c r="V48" s="87">
        <v>8.5541327910723162</v>
      </c>
      <c r="W48" s="87">
        <v>9.8240291838914366</v>
      </c>
      <c r="X48" s="87">
        <v>11.532681041071468</v>
      </c>
      <c r="Y48" s="87">
        <v>16.505006120664106</v>
      </c>
      <c r="DA48" s="171" t="s">
        <v>492</v>
      </c>
    </row>
    <row r="49" spans="1:105" ht="11.45" customHeight="1" x14ac:dyDescent="0.25">
      <c r="A49" s="111" t="s">
        <v>111</v>
      </c>
      <c r="B49" s="87">
        <v>3647.2208577240885</v>
      </c>
      <c r="C49" s="87">
        <v>3945.36586408623</v>
      </c>
      <c r="D49" s="87">
        <v>4226.6964111823272</v>
      </c>
      <c r="E49" s="87">
        <v>4532.8498583610335</v>
      </c>
      <c r="F49" s="87">
        <v>4817.8695231227866</v>
      </c>
      <c r="G49" s="87">
        <v>5141.2830174517949</v>
      </c>
      <c r="H49" s="87">
        <v>5509.060725243221</v>
      </c>
      <c r="I49" s="87">
        <v>5816.242957676789</v>
      </c>
      <c r="J49" s="87">
        <v>5833.3246212976383</v>
      </c>
      <c r="K49" s="87">
        <v>5621.0785812878839</v>
      </c>
      <c r="L49" s="87">
        <v>5311.6020266101541</v>
      </c>
      <c r="M49" s="87">
        <v>5200.0483518248711</v>
      </c>
      <c r="N49" s="87">
        <v>4926.1994935999237</v>
      </c>
      <c r="O49" s="87">
        <v>5071.1935664830735</v>
      </c>
      <c r="P49" s="87">
        <v>4949.3090573462168</v>
      </c>
      <c r="Q49" s="87">
        <v>4685.765909893601</v>
      </c>
      <c r="R49" s="87">
        <v>4588.0924178200357</v>
      </c>
      <c r="S49" s="87">
        <v>4537.894979276567</v>
      </c>
      <c r="T49" s="87">
        <v>4587.8667546087217</v>
      </c>
      <c r="U49" s="87">
        <v>4509.6035686217356</v>
      </c>
      <c r="V49" s="87">
        <v>4419.6567287313292</v>
      </c>
      <c r="W49" s="87">
        <v>4567.4268372551387</v>
      </c>
      <c r="X49" s="87">
        <v>4711.835911214157</v>
      </c>
      <c r="Y49" s="87">
        <v>4965.475779863481</v>
      </c>
      <c r="DA49" s="171" t="s">
        <v>493</v>
      </c>
    </row>
    <row r="50" spans="1:105" ht="11.45" customHeight="1" x14ac:dyDescent="0.25">
      <c r="A50" s="111" t="s">
        <v>112</v>
      </c>
      <c r="B50" s="87">
        <v>0</v>
      </c>
      <c r="C50" s="87">
        <v>0</v>
      </c>
      <c r="D50" s="87">
        <v>0</v>
      </c>
      <c r="E50" s="87">
        <v>0</v>
      </c>
      <c r="F50" s="87">
        <v>0</v>
      </c>
      <c r="G50" s="87">
        <v>0</v>
      </c>
      <c r="H50" s="87">
        <v>0</v>
      </c>
      <c r="I50" s="87">
        <v>0</v>
      </c>
      <c r="J50" s="87">
        <v>0</v>
      </c>
      <c r="K50" s="87">
        <v>0</v>
      </c>
      <c r="L50" s="87">
        <v>0</v>
      </c>
      <c r="M50" s="87">
        <v>0</v>
      </c>
      <c r="N50" s="87">
        <v>0</v>
      </c>
      <c r="O50" s="87">
        <v>2.9092526552666594E-2</v>
      </c>
      <c r="P50" s="87">
        <v>5.7826471956756977E-2</v>
      </c>
      <c r="Q50" s="87">
        <v>5.7129022728195582E-2</v>
      </c>
      <c r="R50" s="87">
        <v>5.6542510461512117E-2</v>
      </c>
      <c r="S50" s="87">
        <v>6.9937986761958434E-2</v>
      </c>
      <c r="T50" s="87">
        <v>7.0672960441447705E-2</v>
      </c>
      <c r="U50" s="87">
        <v>6.9934928811095615E-2</v>
      </c>
      <c r="V50" s="87">
        <v>5.5371229100108298E-2</v>
      </c>
      <c r="W50" s="87">
        <v>5.5967545556596283E-2</v>
      </c>
      <c r="X50" s="87">
        <v>5.660361055287208E-2</v>
      </c>
      <c r="Y50" s="87">
        <v>5.7331501937420024E-2</v>
      </c>
      <c r="DA50" s="171" t="s">
        <v>494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</v>
      </c>
      <c r="O51" s="87">
        <v>0</v>
      </c>
      <c r="P51" s="87">
        <v>0</v>
      </c>
      <c r="Q51" s="87">
        <v>0</v>
      </c>
      <c r="R51" s="87">
        <v>5.9968421640691834E-2</v>
      </c>
      <c r="S51" s="87">
        <v>5.8153615462730179E-2</v>
      </c>
      <c r="T51" s="87">
        <v>5.7589452997405033E-2</v>
      </c>
      <c r="U51" s="87">
        <v>5.5848290224435986E-2</v>
      </c>
      <c r="V51" s="87">
        <v>8.1250765749379103E-2</v>
      </c>
      <c r="W51" s="87">
        <v>8.0525613194265613E-2</v>
      </c>
      <c r="X51" s="87">
        <v>7.9811962368204606E-2</v>
      </c>
      <c r="Y51" s="87">
        <v>7.9221534418737596E-2</v>
      </c>
      <c r="DA51" s="171" t="s">
        <v>495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0</v>
      </c>
      <c r="K52" s="87">
        <v>0</v>
      </c>
      <c r="L52" s="87">
        <v>0</v>
      </c>
      <c r="M52" s="87">
        <v>0.49465729972065614</v>
      </c>
      <c r="N52" s="87">
        <v>1.1208996539900056</v>
      </c>
      <c r="O52" s="87">
        <v>1.1797428768502258</v>
      </c>
      <c r="P52" s="87">
        <v>1.3403493774594157</v>
      </c>
      <c r="Q52" s="87">
        <v>1.2828143500348523</v>
      </c>
      <c r="R52" s="87">
        <v>1.3404652194784195</v>
      </c>
      <c r="S52" s="87">
        <v>2.2135717191504072</v>
      </c>
      <c r="T52" s="87">
        <v>2.4016944576995902</v>
      </c>
      <c r="U52" s="87">
        <v>6.5904476013073179</v>
      </c>
      <c r="V52" s="87">
        <v>12.852643418697284</v>
      </c>
      <c r="W52" s="87">
        <v>22.520624071795901</v>
      </c>
      <c r="X52" s="87">
        <v>32.380614580401549</v>
      </c>
      <c r="Y52" s="87">
        <v>46.572404118528524</v>
      </c>
      <c r="DA52" s="171" t="s">
        <v>496</v>
      </c>
    </row>
    <row r="53" spans="1:105" ht="11.45" customHeight="1" x14ac:dyDescent="0.25">
      <c r="A53" s="109" t="s">
        <v>154</v>
      </c>
      <c r="B53" s="116">
        <f t="shared" ref="B53" si="115">SUM(B54:B55)</f>
        <v>1916.5633471689707</v>
      </c>
      <c r="C53" s="116">
        <f t="shared" ref="C53:V53" si="116">SUM(C54:C55)</f>
        <v>1959.5187252070393</v>
      </c>
      <c r="D53" s="116">
        <f t="shared" si="116"/>
        <v>2232.1343097018275</v>
      </c>
      <c r="E53" s="116">
        <f t="shared" si="116"/>
        <v>2353.2045587277685</v>
      </c>
      <c r="F53" s="116">
        <f t="shared" si="116"/>
        <v>2584.5505393595849</v>
      </c>
      <c r="G53" s="116">
        <f t="shared" si="116"/>
        <v>2808.406320483135</v>
      </c>
      <c r="H53" s="116">
        <f t="shared" si="116"/>
        <v>2797.4796242409102</v>
      </c>
      <c r="I53" s="116">
        <f t="shared" si="116"/>
        <v>2935.865626939405</v>
      </c>
      <c r="J53" s="116">
        <f t="shared" si="116"/>
        <v>2704.6869162696548</v>
      </c>
      <c r="K53" s="116">
        <f t="shared" si="116"/>
        <v>1898.9672560927361</v>
      </c>
      <c r="L53" s="116">
        <f t="shared" si="116"/>
        <v>1840.1958272200841</v>
      </c>
      <c r="M53" s="116">
        <f t="shared" si="116"/>
        <v>1748.421223492848</v>
      </c>
      <c r="N53" s="116">
        <f t="shared" si="116"/>
        <v>1710.250772283709</v>
      </c>
      <c r="O53" s="116">
        <f t="shared" si="116"/>
        <v>1683.829659882977</v>
      </c>
      <c r="P53" s="116">
        <f t="shared" si="116"/>
        <v>1714.4838261603322</v>
      </c>
      <c r="Q53" s="116">
        <f t="shared" si="116"/>
        <v>1723.1895651824573</v>
      </c>
      <c r="R53" s="116">
        <f t="shared" si="116"/>
        <v>1944.9122631483576</v>
      </c>
      <c r="S53" s="116">
        <f t="shared" si="116"/>
        <v>1969.6988479701013</v>
      </c>
      <c r="T53" s="116">
        <f t="shared" si="116"/>
        <v>2013.9440228211452</v>
      </c>
      <c r="U53" s="116">
        <f t="shared" si="116"/>
        <v>2143.4882414406884</v>
      </c>
      <c r="V53" s="116">
        <f t="shared" si="116"/>
        <v>1841.274113632476</v>
      </c>
      <c r="W53" s="116">
        <f t="shared" ref="W53:Y53" si="117">SUM(W54:W55)</f>
        <v>2040.2142176150733</v>
      </c>
      <c r="X53" s="116">
        <f t="shared" si="117"/>
        <v>2131.5194745827166</v>
      </c>
      <c r="Y53" s="116">
        <f t="shared" si="117"/>
        <v>2147.2282696214838</v>
      </c>
      <c r="DA53" s="176" t="s">
        <v>497</v>
      </c>
    </row>
    <row r="54" spans="1:105" ht="11.45" customHeight="1" x14ac:dyDescent="0.25">
      <c r="A54" s="128" t="s">
        <v>27</v>
      </c>
      <c r="B54" s="101">
        <v>1834</v>
      </c>
      <c r="C54" s="101">
        <v>1871</v>
      </c>
      <c r="D54" s="101">
        <v>2139</v>
      </c>
      <c r="E54" s="101">
        <v>2258</v>
      </c>
      <c r="F54" s="101">
        <v>2472</v>
      </c>
      <c r="G54" s="101">
        <v>2692</v>
      </c>
      <c r="H54" s="101">
        <v>2678</v>
      </c>
      <c r="I54" s="101">
        <v>2807</v>
      </c>
      <c r="J54" s="101">
        <v>2591</v>
      </c>
      <c r="K54" s="101">
        <v>1801</v>
      </c>
      <c r="L54" s="101">
        <v>1739</v>
      </c>
      <c r="M54" s="101">
        <v>1638</v>
      </c>
      <c r="N54" s="101">
        <v>1611</v>
      </c>
      <c r="O54" s="101">
        <v>1589</v>
      </c>
      <c r="P54" s="101">
        <v>1622</v>
      </c>
      <c r="Q54" s="101">
        <v>1619</v>
      </c>
      <c r="R54" s="101">
        <v>1851</v>
      </c>
      <c r="S54" s="101">
        <v>1878</v>
      </c>
      <c r="T54" s="101">
        <v>1913</v>
      </c>
      <c r="U54" s="101">
        <v>2028</v>
      </c>
      <c r="V54" s="101">
        <v>1799</v>
      </c>
      <c r="W54" s="101">
        <v>1997</v>
      </c>
      <c r="X54" s="101">
        <v>2090</v>
      </c>
      <c r="Y54" s="101">
        <v>2103</v>
      </c>
      <c r="DA54" s="175" t="s">
        <v>498</v>
      </c>
    </row>
    <row r="55" spans="1:105" ht="11.45" customHeight="1" x14ac:dyDescent="0.25">
      <c r="A55" s="138" t="s">
        <v>116</v>
      </c>
      <c r="B55" s="88">
        <v>82.563347168970665</v>
      </c>
      <c r="C55" s="88">
        <v>88.518725207039225</v>
      </c>
      <c r="D55" s="88">
        <v>93.134309701827419</v>
      </c>
      <c r="E55" s="88">
        <v>95.204558727768628</v>
      </c>
      <c r="F55" s="88">
        <v>112.55053935958499</v>
      </c>
      <c r="G55" s="88">
        <v>116.40632048313498</v>
      </c>
      <c r="H55" s="88">
        <v>119.4796242409102</v>
      </c>
      <c r="I55" s="88">
        <v>128.8656269394049</v>
      </c>
      <c r="J55" s="88">
        <v>113.68691626965466</v>
      </c>
      <c r="K55" s="88">
        <v>97.967256092736122</v>
      </c>
      <c r="L55" s="88">
        <v>101.19582722008398</v>
      </c>
      <c r="M55" s="88">
        <v>110.42122349284803</v>
      </c>
      <c r="N55" s="88">
        <v>99.250772283709082</v>
      </c>
      <c r="O55" s="88">
        <v>94.829659882976927</v>
      </c>
      <c r="P55" s="88">
        <v>92.483826160332342</v>
      </c>
      <c r="Q55" s="88">
        <v>104.18956518245719</v>
      </c>
      <c r="R55" s="88">
        <v>93.912263148357709</v>
      </c>
      <c r="S55" s="88">
        <v>91.698847970101269</v>
      </c>
      <c r="T55" s="88">
        <v>100.94402282114521</v>
      </c>
      <c r="U55" s="88">
        <v>115.48824144068836</v>
      </c>
      <c r="V55" s="88">
        <v>42.27411363247603</v>
      </c>
      <c r="W55" s="88">
        <v>43.214217615073238</v>
      </c>
      <c r="X55" s="88">
        <v>41.519474582716413</v>
      </c>
      <c r="Y55" s="88">
        <v>44.228269621483612</v>
      </c>
      <c r="DA55" s="178" t="s">
        <v>499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1583440</v>
      </c>
      <c r="C57" s="54">
        <f t="shared" si="118"/>
        <v>1690626</v>
      </c>
      <c r="D57" s="54">
        <f t="shared" si="118"/>
        <v>1771616</v>
      </c>
      <c r="E57" s="54">
        <f t="shared" si="118"/>
        <v>1851944</v>
      </c>
      <c r="F57" s="54">
        <f t="shared" si="118"/>
        <v>1919961</v>
      </c>
      <c r="G57" s="54">
        <f t="shared" si="118"/>
        <v>2022535</v>
      </c>
      <c r="H57" s="54">
        <f t="shared" si="118"/>
        <v>2270456</v>
      </c>
      <c r="I57" s="54">
        <f t="shared" si="118"/>
        <v>2304505</v>
      </c>
      <c r="J57" s="54">
        <f t="shared" si="118"/>
        <v>2407906</v>
      </c>
      <c r="K57" s="54">
        <f t="shared" si="118"/>
        <v>2362982</v>
      </c>
      <c r="L57" s="54">
        <f t="shared" ref="L57" si="119">L58+L73</f>
        <v>2315088</v>
      </c>
      <c r="M57" s="54">
        <f t="shared" ref="M57:V57" si="120">M58+M73</f>
        <v>2331428</v>
      </c>
      <c r="N57" s="54">
        <f t="shared" si="120"/>
        <v>2309701</v>
      </c>
      <c r="O57" s="54">
        <f t="shared" si="120"/>
        <v>2341978</v>
      </c>
      <c r="P57" s="54">
        <f t="shared" si="120"/>
        <v>2376488</v>
      </c>
      <c r="Q57" s="54">
        <f t="shared" si="120"/>
        <v>2416963</v>
      </c>
      <c r="R57" s="54">
        <f t="shared" si="120"/>
        <v>2458623</v>
      </c>
      <c r="S57" s="54">
        <f t="shared" si="120"/>
        <v>2504926</v>
      </c>
      <c r="T57" s="54">
        <f t="shared" si="120"/>
        <v>2547945</v>
      </c>
      <c r="U57" s="54">
        <f t="shared" si="120"/>
        <v>2622519</v>
      </c>
      <c r="V57" s="54">
        <f t="shared" si="120"/>
        <v>2660997</v>
      </c>
      <c r="W57" s="54">
        <f t="shared" ref="W57:Y57" si="121">W58+W73</f>
        <v>2688317</v>
      </c>
      <c r="X57" s="54">
        <f t="shared" si="121"/>
        <v>2719127</v>
      </c>
      <c r="Y57" s="54">
        <f t="shared" si="121"/>
        <v>2801395</v>
      </c>
      <c r="DA57" s="172" t="s">
        <v>500</v>
      </c>
    </row>
    <row r="58" spans="1:105" ht="11.45" customHeight="1" x14ac:dyDescent="0.25">
      <c r="A58" s="27" t="s">
        <v>33</v>
      </c>
      <c r="B58" s="28">
        <f t="shared" ref="B58:K58" si="122">B59+B60+B67</f>
        <v>1360485</v>
      </c>
      <c r="C58" s="28">
        <f t="shared" si="122"/>
        <v>1445375</v>
      </c>
      <c r="D58" s="28">
        <f t="shared" si="122"/>
        <v>1511642</v>
      </c>
      <c r="E58" s="28">
        <f t="shared" si="122"/>
        <v>1575911</v>
      </c>
      <c r="F58" s="28">
        <f t="shared" si="122"/>
        <v>1626849</v>
      </c>
      <c r="G58" s="28">
        <f t="shared" si="122"/>
        <v>1705498</v>
      </c>
      <c r="H58" s="28">
        <f t="shared" si="122"/>
        <v>1924601</v>
      </c>
      <c r="I58" s="28">
        <f t="shared" si="122"/>
        <v>1930311</v>
      </c>
      <c r="J58" s="28">
        <f t="shared" si="122"/>
        <v>2050536</v>
      </c>
      <c r="K58" s="28">
        <f t="shared" si="122"/>
        <v>2021176</v>
      </c>
      <c r="L58" s="28">
        <f t="shared" ref="L58" si="123">L59+L60+L67</f>
        <v>1985217</v>
      </c>
      <c r="M58" s="28">
        <f t="shared" ref="M58:V58" si="124">M59+M60+M67</f>
        <v>2008939</v>
      </c>
      <c r="N58" s="28">
        <f t="shared" si="124"/>
        <v>1996167</v>
      </c>
      <c r="O58" s="28">
        <f t="shared" si="124"/>
        <v>2028609</v>
      </c>
      <c r="P58" s="28">
        <f t="shared" si="124"/>
        <v>2065290</v>
      </c>
      <c r="Q58" s="28">
        <f t="shared" si="124"/>
        <v>2108023</v>
      </c>
      <c r="R58" s="28">
        <f t="shared" si="124"/>
        <v>2152190</v>
      </c>
      <c r="S58" s="28">
        <f t="shared" si="124"/>
        <v>2194218</v>
      </c>
      <c r="T58" s="28">
        <f t="shared" si="124"/>
        <v>2235618</v>
      </c>
      <c r="U58" s="28">
        <f t="shared" si="124"/>
        <v>2308692</v>
      </c>
      <c r="V58" s="28">
        <f t="shared" si="124"/>
        <v>2348691</v>
      </c>
      <c r="W58" s="28">
        <f t="shared" ref="W58:Y58" si="125">W59+W60+W67</f>
        <v>2369038</v>
      </c>
      <c r="X58" s="28">
        <f t="shared" si="125"/>
        <v>2395720</v>
      </c>
      <c r="Y58" s="28">
        <f t="shared" si="125"/>
        <v>2466785</v>
      </c>
      <c r="DA58" s="173" t="s">
        <v>501</v>
      </c>
    </row>
    <row r="59" spans="1:105" ht="11.45" customHeight="1" x14ac:dyDescent="0.25">
      <c r="A59" s="136" t="s">
        <v>173</v>
      </c>
      <c r="B59" s="137">
        <v>30638</v>
      </c>
      <c r="C59" s="137">
        <v>32913</v>
      </c>
      <c r="D59" s="137">
        <v>33147</v>
      </c>
      <c r="E59" s="137">
        <v>35094</v>
      </c>
      <c r="F59" s="137">
        <v>34854</v>
      </c>
      <c r="G59" s="137">
        <v>34300</v>
      </c>
      <c r="H59" s="137">
        <v>34927</v>
      </c>
      <c r="I59" s="137">
        <v>37178</v>
      </c>
      <c r="J59" s="137">
        <v>39409</v>
      </c>
      <c r="K59" s="137">
        <v>39552</v>
      </c>
      <c r="L59" s="137">
        <v>38145</v>
      </c>
      <c r="M59" s="137">
        <v>36582</v>
      </c>
      <c r="N59" s="137">
        <v>35106</v>
      </c>
      <c r="O59" s="137">
        <v>36623</v>
      </c>
      <c r="P59" s="137">
        <v>36573</v>
      </c>
      <c r="Q59" s="137">
        <v>36974</v>
      </c>
      <c r="R59" s="137">
        <v>38023</v>
      </c>
      <c r="S59" s="137">
        <v>39873</v>
      </c>
      <c r="T59" s="137">
        <v>40198</v>
      </c>
      <c r="U59" s="137">
        <v>42492</v>
      </c>
      <c r="V59" s="137">
        <v>44819</v>
      </c>
      <c r="W59" s="137">
        <v>46636</v>
      </c>
      <c r="X59" s="137">
        <v>47250</v>
      </c>
      <c r="Y59" s="137">
        <v>48560</v>
      </c>
      <c r="DA59" s="174" t="s">
        <v>502</v>
      </c>
    </row>
    <row r="60" spans="1:105" ht="11.45" customHeight="1" x14ac:dyDescent="0.25">
      <c r="A60" s="109" t="s">
        <v>20</v>
      </c>
      <c r="B60" s="110">
        <f t="shared" ref="B60:K60" si="126">SUM(B61:B66)</f>
        <v>1321600</v>
      </c>
      <c r="C60" s="110">
        <f t="shared" si="126"/>
        <v>1404000</v>
      </c>
      <c r="D60" s="110">
        <f t="shared" si="126"/>
        <v>1470000</v>
      </c>
      <c r="E60" s="110">
        <f t="shared" si="126"/>
        <v>1532000</v>
      </c>
      <c r="F60" s="110">
        <f t="shared" si="126"/>
        <v>1583000</v>
      </c>
      <c r="G60" s="110">
        <f t="shared" si="126"/>
        <v>1662000</v>
      </c>
      <c r="H60" s="110">
        <f t="shared" si="126"/>
        <v>1880000</v>
      </c>
      <c r="I60" s="110">
        <f t="shared" si="126"/>
        <v>1883000</v>
      </c>
      <c r="J60" s="110">
        <f t="shared" si="126"/>
        <v>2000500</v>
      </c>
      <c r="K60" s="110">
        <f t="shared" si="126"/>
        <v>1971274</v>
      </c>
      <c r="L60" s="110">
        <f t="shared" ref="L60" si="127">SUM(L61:L66)</f>
        <v>1937130</v>
      </c>
      <c r="M60" s="110">
        <f t="shared" ref="M60:V60" si="128">SUM(M61:M66)</f>
        <v>1962460</v>
      </c>
      <c r="N60" s="110">
        <f t="shared" si="128"/>
        <v>1951130</v>
      </c>
      <c r="O60" s="110">
        <f t="shared" si="128"/>
        <v>1981830</v>
      </c>
      <c r="P60" s="110">
        <f t="shared" si="128"/>
        <v>2018310</v>
      </c>
      <c r="Q60" s="110">
        <f t="shared" si="128"/>
        <v>2060170</v>
      </c>
      <c r="R60" s="110">
        <f t="shared" si="128"/>
        <v>2102720</v>
      </c>
      <c r="S60" s="110">
        <f t="shared" si="128"/>
        <v>2142390</v>
      </c>
      <c r="T60" s="110">
        <f t="shared" si="128"/>
        <v>2182920</v>
      </c>
      <c r="U60" s="110">
        <f t="shared" si="128"/>
        <v>2253210</v>
      </c>
      <c r="V60" s="110">
        <f t="shared" si="128"/>
        <v>2291940</v>
      </c>
      <c r="W60" s="110">
        <f t="shared" ref="W60:Y60" si="129">SUM(W61:W66)</f>
        <v>2309760</v>
      </c>
      <c r="X60" s="110">
        <f t="shared" si="129"/>
        <v>2335130</v>
      </c>
      <c r="Y60" s="110">
        <f t="shared" si="129"/>
        <v>2404140</v>
      </c>
      <c r="DA60" s="176" t="s">
        <v>503</v>
      </c>
    </row>
    <row r="61" spans="1:105" ht="11.45" customHeight="1" x14ac:dyDescent="0.25">
      <c r="A61" s="111" t="s">
        <v>110</v>
      </c>
      <c r="B61" s="84">
        <v>1146869</v>
      </c>
      <c r="C61" s="84">
        <v>1221368</v>
      </c>
      <c r="D61" s="84">
        <v>1274051</v>
      </c>
      <c r="E61" s="84">
        <v>1323872</v>
      </c>
      <c r="F61" s="84">
        <v>1360374</v>
      </c>
      <c r="G61" s="84">
        <v>1388577</v>
      </c>
      <c r="H61" s="84">
        <v>1541639</v>
      </c>
      <c r="I61" s="84">
        <v>1544130</v>
      </c>
      <c r="J61" s="84">
        <v>1574499</v>
      </c>
      <c r="K61" s="84">
        <v>1505195</v>
      </c>
      <c r="L61" s="84">
        <v>1412432</v>
      </c>
      <c r="M61" s="84">
        <v>1350783</v>
      </c>
      <c r="N61" s="84">
        <v>1279510</v>
      </c>
      <c r="O61" s="84">
        <v>1235047</v>
      </c>
      <c r="P61" s="84">
        <v>1184836</v>
      </c>
      <c r="Q61" s="84">
        <v>1135409</v>
      </c>
      <c r="R61" s="84">
        <v>1069676</v>
      </c>
      <c r="S61" s="84">
        <v>1002675</v>
      </c>
      <c r="T61" s="84">
        <v>953040</v>
      </c>
      <c r="U61" s="84">
        <v>928872</v>
      </c>
      <c r="V61" s="84">
        <v>905847</v>
      </c>
      <c r="W61" s="84">
        <v>889797</v>
      </c>
      <c r="X61" s="84">
        <v>901250</v>
      </c>
      <c r="Y61" s="84">
        <v>933366</v>
      </c>
      <c r="DA61" s="171" t="s">
        <v>504</v>
      </c>
    </row>
    <row r="62" spans="1:105" ht="11.45" customHeight="1" x14ac:dyDescent="0.25">
      <c r="A62" s="111" t="s">
        <v>111</v>
      </c>
      <c r="B62" s="84">
        <v>173131</v>
      </c>
      <c r="C62" s="84">
        <v>181431</v>
      </c>
      <c r="D62" s="84">
        <v>194915</v>
      </c>
      <c r="E62" s="84">
        <v>207268</v>
      </c>
      <c r="F62" s="84">
        <v>221848</v>
      </c>
      <c r="G62" s="84">
        <v>272682</v>
      </c>
      <c r="H62" s="84">
        <v>337662</v>
      </c>
      <c r="I62" s="84">
        <v>337965</v>
      </c>
      <c r="J62" s="84">
        <v>425296</v>
      </c>
      <c r="K62" s="84">
        <v>465599</v>
      </c>
      <c r="L62" s="84">
        <v>524267</v>
      </c>
      <c r="M62" s="84">
        <v>610626</v>
      </c>
      <c r="N62" s="84">
        <v>669972</v>
      </c>
      <c r="O62" s="84">
        <v>745349</v>
      </c>
      <c r="P62" s="84">
        <v>830831</v>
      </c>
      <c r="Q62" s="84">
        <v>921445</v>
      </c>
      <c r="R62" s="84">
        <v>1028856</v>
      </c>
      <c r="S62" s="84">
        <v>1134374</v>
      </c>
      <c r="T62" s="84">
        <v>1222001</v>
      </c>
      <c r="U62" s="84">
        <v>1311285</v>
      </c>
      <c r="V62" s="84">
        <v>1366188</v>
      </c>
      <c r="W62" s="84">
        <v>1380936</v>
      </c>
      <c r="X62" s="84">
        <v>1371144</v>
      </c>
      <c r="Y62" s="84">
        <v>1376097</v>
      </c>
      <c r="DA62" s="171" t="s">
        <v>505</v>
      </c>
    </row>
    <row r="63" spans="1:105" ht="11.45" customHeight="1" x14ac:dyDescent="0.25">
      <c r="A63" s="111" t="s">
        <v>112</v>
      </c>
      <c r="B63" s="84">
        <v>1600</v>
      </c>
      <c r="C63" s="84">
        <v>1201</v>
      </c>
      <c r="D63" s="84">
        <v>1034</v>
      </c>
      <c r="E63" s="84">
        <v>860</v>
      </c>
      <c r="F63" s="84">
        <v>778</v>
      </c>
      <c r="G63" s="84">
        <v>741</v>
      </c>
      <c r="H63" s="84">
        <v>699</v>
      </c>
      <c r="I63" s="84">
        <v>905</v>
      </c>
      <c r="J63" s="84">
        <v>705</v>
      </c>
      <c r="K63" s="84">
        <v>478</v>
      </c>
      <c r="L63" s="84">
        <v>412</v>
      </c>
      <c r="M63" s="84">
        <v>454</v>
      </c>
      <c r="N63" s="84">
        <v>880</v>
      </c>
      <c r="O63" s="84">
        <v>1147</v>
      </c>
      <c r="P63" s="84">
        <v>2037</v>
      </c>
      <c r="Q63" s="84">
        <v>2145</v>
      </c>
      <c r="R63" s="84">
        <v>2056</v>
      </c>
      <c r="S63" s="84">
        <v>1816</v>
      </c>
      <c r="T63" s="84">
        <v>1623</v>
      </c>
      <c r="U63" s="84">
        <v>1501</v>
      </c>
      <c r="V63" s="84">
        <v>1511</v>
      </c>
      <c r="W63" s="84">
        <v>1461</v>
      </c>
      <c r="X63" s="84">
        <v>1516</v>
      </c>
      <c r="Y63" s="84">
        <v>1350</v>
      </c>
      <c r="DA63" s="171" t="s">
        <v>506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0</v>
      </c>
      <c r="K64" s="84">
        <v>0</v>
      </c>
      <c r="L64" s="84">
        <v>0</v>
      </c>
      <c r="M64" s="84">
        <v>0</v>
      </c>
      <c r="N64" s="84">
        <v>0</v>
      </c>
      <c r="O64" s="84">
        <v>0</v>
      </c>
      <c r="P64" s="84">
        <v>10</v>
      </c>
      <c r="Q64" s="84">
        <v>16</v>
      </c>
      <c r="R64" s="84">
        <v>16</v>
      </c>
      <c r="S64" s="84">
        <v>16</v>
      </c>
      <c r="T64" s="84">
        <v>15</v>
      </c>
      <c r="U64" s="84">
        <v>15</v>
      </c>
      <c r="V64" s="84">
        <v>15</v>
      </c>
      <c r="W64" s="84">
        <v>14</v>
      </c>
      <c r="X64" s="84">
        <v>189</v>
      </c>
      <c r="Y64" s="84">
        <v>175</v>
      </c>
      <c r="DA64" s="171" t="s">
        <v>507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0</v>
      </c>
      <c r="O65" s="84">
        <v>7</v>
      </c>
      <c r="P65" s="84">
        <v>36</v>
      </c>
      <c r="Q65" s="84">
        <v>135</v>
      </c>
      <c r="R65" s="84">
        <v>416</v>
      </c>
      <c r="S65" s="84">
        <v>739</v>
      </c>
      <c r="T65" s="84">
        <v>1631</v>
      </c>
      <c r="U65" s="84">
        <v>2947</v>
      </c>
      <c r="V65" s="84">
        <v>5659</v>
      </c>
      <c r="W65" s="84">
        <v>17570</v>
      </c>
      <c r="X65" s="84">
        <v>25318</v>
      </c>
      <c r="Y65" s="84">
        <v>35785</v>
      </c>
      <c r="DA65" s="171" t="s">
        <v>508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2</v>
      </c>
      <c r="L66" s="84">
        <v>19</v>
      </c>
      <c r="M66" s="84">
        <v>597</v>
      </c>
      <c r="N66" s="84">
        <v>768</v>
      </c>
      <c r="O66" s="84">
        <v>280</v>
      </c>
      <c r="P66" s="84">
        <v>560</v>
      </c>
      <c r="Q66" s="84">
        <v>1020</v>
      </c>
      <c r="R66" s="84">
        <v>1700</v>
      </c>
      <c r="S66" s="84">
        <v>2770</v>
      </c>
      <c r="T66" s="84">
        <v>4610</v>
      </c>
      <c r="U66" s="84">
        <v>8590</v>
      </c>
      <c r="V66" s="84">
        <v>12720</v>
      </c>
      <c r="W66" s="84">
        <v>19982</v>
      </c>
      <c r="X66" s="84">
        <v>35713</v>
      </c>
      <c r="Y66" s="84">
        <v>57367</v>
      </c>
      <c r="DA66" s="171" t="s">
        <v>509</v>
      </c>
    </row>
    <row r="67" spans="1:105" ht="11.45" customHeight="1" x14ac:dyDescent="0.25">
      <c r="A67" s="109" t="s">
        <v>21</v>
      </c>
      <c r="B67" s="110">
        <f t="shared" ref="B67:K67" si="130">SUM(B68:B72)</f>
        <v>8247</v>
      </c>
      <c r="C67" s="110">
        <f t="shared" si="130"/>
        <v>8462</v>
      </c>
      <c r="D67" s="110">
        <f t="shared" si="130"/>
        <v>8495</v>
      </c>
      <c r="E67" s="110">
        <f t="shared" si="130"/>
        <v>8817</v>
      </c>
      <c r="F67" s="110">
        <f t="shared" si="130"/>
        <v>8995</v>
      </c>
      <c r="G67" s="110">
        <f t="shared" si="130"/>
        <v>9198</v>
      </c>
      <c r="H67" s="110">
        <f t="shared" si="130"/>
        <v>9674</v>
      </c>
      <c r="I67" s="110">
        <f t="shared" si="130"/>
        <v>10133</v>
      </c>
      <c r="J67" s="110">
        <f t="shared" si="130"/>
        <v>10627</v>
      </c>
      <c r="K67" s="110">
        <f t="shared" si="130"/>
        <v>10350</v>
      </c>
      <c r="L67" s="110">
        <f t="shared" ref="L67" si="131">SUM(L68:L72)</f>
        <v>9942</v>
      </c>
      <c r="M67" s="110">
        <f t="shared" ref="M67:V67" si="132">SUM(M68:M72)</f>
        <v>9897</v>
      </c>
      <c r="N67" s="110">
        <f t="shared" si="132"/>
        <v>9931</v>
      </c>
      <c r="O67" s="110">
        <f t="shared" si="132"/>
        <v>10156</v>
      </c>
      <c r="P67" s="110">
        <f t="shared" si="132"/>
        <v>10407</v>
      </c>
      <c r="Q67" s="110">
        <f t="shared" si="132"/>
        <v>10879</v>
      </c>
      <c r="R67" s="110">
        <f t="shared" si="132"/>
        <v>11447</v>
      </c>
      <c r="S67" s="110">
        <f t="shared" si="132"/>
        <v>11955</v>
      </c>
      <c r="T67" s="110">
        <f t="shared" si="132"/>
        <v>12500</v>
      </c>
      <c r="U67" s="110">
        <f t="shared" si="132"/>
        <v>12990</v>
      </c>
      <c r="V67" s="110">
        <f t="shared" si="132"/>
        <v>11932</v>
      </c>
      <c r="W67" s="110">
        <f t="shared" ref="W67:Y67" si="133">SUM(W68:W72)</f>
        <v>12642</v>
      </c>
      <c r="X67" s="110">
        <f t="shared" si="133"/>
        <v>13340</v>
      </c>
      <c r="Y67" s="110">
        <f t="shared" si="133"/>
        <v>14085</v>
      </c>
      <c r="DA67" s="176" t="s">
        <v>510</v>
      </c>
    </row>
    <row r="68" spans="1:105" ht="11.45" customHeight="1" x14ac:dyDescent="0.25">
      <c r="A68" s="111" t="s">
        <v>110</v>
      </c>
      <c r="B68" s="102">
        <v>167</v>
      </c>
      <c r="C68" s="102">
        <v>153</v>
      </c>
      <c r="D68" s="102">
        <v>139</v>
      </c>
      <c r="E68" s="102">
        <v>125</v>
      </c>
      <c r="F68" s="102">
        <v>110</v>
      </c>
      <c r="G68" s="102">
        <v>96</v>
      </c>
      <c r="H68" s="102">
        <v>83</v>
      </c>
      <c r="I68" s="102">
        <v>71</v>
      </c>
      <c r="J68" s="102">
        <v>59</v>
      </c>
      <c r="K68" s="102">
        <v>49</v>
      </c>
      <c r="L68" s="102">
        <v>39</v>
      </c>
      <c r="M68" s="102">
        <v>31</v>
      </c>
      <c r="N68" s="102">
        <v>24</v>
      </c>
      <c r="O68" s="102">
        <v>24</v>
      </c>
      <c r="P68" s="102">
        <v>24</v>
      </c>
      <c r="Q68" s="102">
        <v>21</v>
      </c>
      <c r="R68" s="102">
        <v>17</v>
      </c>
      <c r="S68" s="102">
        <v>20</v>
      </c>
      <c r="T68" s="102">
        <v>13</v>
      </c>
      <c r="U68" s="102">
        <v>16</v>
      </c>
      <c r="V68" s="102">
        <v>16</v>
      </c>
      <c r="W68" s="102">
        <v>15</v>
      </c>
      <c r="X68" s="102">
        <v>40</v>
      </c>
      <c r="Y68" s="102">
        <v>98</v>
      </c>
      <c r="DA68" s="175" t="s">
        <v>511</v>
      </c>
    </row>
    <row r="69" spans="1:105" ht="11.45" customHeight="1" x14ac:dyDescent="0.25">
      <c r="A69" s="111" t="s">
        <v>111</v>
      </c>
      <c r="B69" s="102">
        <v>8080</v>
      </c>
      <c r="C69" s="102">
        <v>8308</v>
      </c>
      <c r="D69" s="102">
        <v>8355</v>
      </c>
      <c r="E69" s="102">
        <v>8691</v>
      </c>
      <c r="F69" s="102">
        <v>8884</v>
      </c>
      <c r="G69" s="102">
        <v>9101</v>
      </c>
      <c r="H69" s="102">
        <v>9590</v>
      </c>
      <c r="I69" s="102">
        <v>10061</v>
      </c>
      <c r="J69" s="102">
        <v>10567</v>
      </c>
      <c r="K69" s="102">
        <v>10300</v>
      </c>
      <c r="L69" s="102">
        <v>9902</v>
      </c>
      <c r="M69" s="102">
        <v>9865</v>
      </c>
      <c r="N69" s="102">
        <v>9906</v>
      </c>
      <c r="O69" s="102">
        <v>10131</v>
      </c>
      <c r="P69" s="102">
        <v>10382</v>
      </c>
      <c r="Q69" s="102">
        <v>10857</v>
      </c>
      <c r="R69" s="102">
        <v>11429</v>
      </c>
      <c r="S69" s="102">
        <v>11934</v>
      </c>
      <c r="T69" s="102">
        <v>12485</v>
      </c>
      <c r="U69" s="102">
        <v>12952</v>
      </c>
      <c r="V69" s="102">
        <v>11866</v>
      </c>
      <c r="W69" s="102">
        <v>12575</v>
      </c>
      <c r="X69" s="102">
        <v>13225</v>
      </c>
      <c r="Y69" s="102">
        <v>13873</v>
      </c>
      <c r="DA69" s="175" t="s">
        <v>512</v>
      </c>
    </row>
    <row r="70" spans="1:105" ht="11.45" customHeight="1" x14ac:dyDescent="0.25">
      <c r="A70" s="111" t="s">
        <v>112</v>
      </c>
      <c r="B70" s="102">
        <v>0</v>
      </c>
      <c r="C70" s="102">
        <v>1</v>
      </c>
      <c r="D70" s="102">
        <v>1</v>
      </c>
      <c r="E70" s="102">
        <v>1</v>
      </c>
      <c r="F70" s="102">
        <v>1</v>
      </c>
      <c r="G70" s="102">
        <v>1</v>
      </c>
      <c r="H70" s="102">
        <v>1</v>
      </c>
      <c r="I70" s="102">
        <v>1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X70" s="102">
        <v>0</v>
      </c>
      <c r="Y70" s="102">
        <v>0</v>
      </c>
      <c r="DA70" s="175" t="s">
        <v>513</v>
      </c>
    </row>
    <row r="71" spans="1:105" ht="11.45" customHeight="1" x14ac:dyDescent="0.25">
      <c r="A71" s="111" t="s">
        <v>113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1</v>
      </c>
      <c r="U71" s="102">
        <v>21</v>
      </c>
      <c r="V71" s="102">
        <v>46</v>
      </c>
      <c r="W71" s="102">
        <v>46</v>
      </c>
      <c r="X71" s="102">
        <v>55</v>
      </c>
      <c r="Y71" s="102">
        <v>53</v>
      </c>
      <c r="DA71" s="175" t="s">
        <v>514</v>
      </c>
    </row>
    <row r="72" spans="1:105" ht="11.45" customHeight="1" x14ac:dyDescent="0.25">
      <c r="A72" s="111" t="s">
        <v>115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1</v>
      </c>
      <c r="K72" s="102">
        <v>1</v>
      </c>
      <c r="L72" s="102">
        <v>1</v>
      </c>
      <c r="M72" s="102">
        <v>1</v>
      </c>
      <c r="N72" s="102">
        <v>1</v>
      </c>
      <c r="O72" s="102">
        <v>1</v>
      </c>
      <c r="P72" s="102">
        <v>1</v>
      </c>
      <c r="Q72" s="102">
        <v>1</v>
      </c>
      <c r="R72" s="102">
        <v>1</v>
      </c>
      <c r="S72" s="102">
        <v>1</v>
      </c>
      <c r="T72" s="102">
        <v>1</v>
      </c>
      <c r="U72" s="102">
        <v>1</v>
      </c>
      <c r="V72" s="102">
        <v>4</v>
      </c>
      <c r="W72" s="102">
        <v>6</v>
      </c>
      <c r="X72" s="102">
        <v>20</v>
      </c>
      <c r="Y72" s="102">
        <v>61</v>
      </c>
      <c r="DA72" s="175" t="s">
        <v>515</v>
      </c>
    </row>
    <row r="73" spans="1:105" ht="11.45" customHeight="1" x14ac:dyDescent="0.25">
      <c r="A73" s="27" t="s">
        <v>34</v>
      </c>
      <c r="B73" s="28">
        <f t="shared" ref="B73:K73" si="134">B74+B80</f>
        <v>222955</v>
      </c>
      <c r="C73" s="28">
        <f t="shared" si="134"/>
        <v>245251</v>
      </c>
      <c r="D73" s="28">
        <f t="shared" si="134"/>
        <v>259974</v>
      </c>
      <c r="E73" s="28">
        <f t="shared" si="134"/>
        <v>276033</v>
      </c>
      <c r="F73" s="28">
        <f t="shared" si="134"/>
        <v>293112</v>
      </c>
      <c r="G73" s="28">
        <f t="shared" si="134"/>
        <v>317037</v>
      </c>
      <c r="H73" s="28">
        <f t="shared" si="134"/>
        <v>345855</v>
      </c>
      <c r="I73" s="28">
        <f t="shared" si="134"/>
        <v>374194</v>
      </c>
      <c r="J73" s="28">
        <f t="shared" si="134"/>
        <v>357370</v>
      </c>
      <c r="K73" s="28">
        <f t="shared" si="134"/>
        <v>341806</v>
      </c>
      <c r="L73" s="28">
        <f t="shared" ref="L73" si="135">L74+L80</f>
        <v>329871</v>
      </c>
      <c r="M73" s="28">
        <f t="shared" ref="M73:V73" si="136">M74+M80</f>
        <v>322489</v>
      </c>
      <c r="N73" s="28">
        <f t="shared" si="136"/>
        <v>313534</v>
      </c>
      <c r="O73" s="28">
        <f t="shared" si="136"/>
        <v>313369</v>
      </c>
      <c r="P73" s="28">
        <f t="shared" si="136"/>
        <v>311198</v>
      </c>
      <c r="Q73" s="28">
        <f t="shared" si="136"/>
        <v>308940</v>
      </c>
      <c r="R73" s="28">
        <f t="shared" si="136"/>
        <v>306433</v>
      </c>
      <c r="S73" s="28">
        <f t="shared" si="136"/>
        <v>310708</v>
      </c>
      <c r="T73" s="28">
        <f t="shared" si="136"/>
        <v>312327</v>
      </c>
      <c r="U73" s="28">
        <f t="shared" si="136"/>
        <v>313827</v>
      </c>
      <c r="V73" s="28">
        <f t="shared" si="136"/>
        <v>312306</v>
      </c>
      <c r="W73" s="28">
        <f t="shared" ref="W73:Y73" si="137">W74+W80</f>
        <v>319279</v>
      </c>
      <c r="X73" s="28">
        <f t="shared" si="137"/>
        <v>323407</v>
      </c>
      <c r="Y73" s="28">
        <f t="shared" si="137"/>
        <v>334610</v>
      </c>
      <c r="DA73" s="173" t="s">
        <v>516</v>
      </c>
    </row>
    <row r="74" spans="1:105" ht="11.45" customHeight="1" x14ac:dyDescent="0.25">
      <c r="A74" s="136" t="s">
        <v>153</v>
      </c>
      <c r="B74" s="137">
        <f t="shared" ref="B74:K74" si="138">SUM(B75:B79)</f>
        <v>157329</v>
      </c>
      <c r="C74" s="137">
        <f t="shared" si="138"/>
        <v>170664</v>
      </c>
      <c r="D74" s="137">
        <f t="shared" si="138"/>
        <v>183596</v>
      </c>
      <c r="E74" s="137">
        <f t="shared" si="138"/>
        <v>197676</v>
      </c>
      <c r="F74" s="137">
        <f t="shared" si="138"/>
        <v>211065</v>
      </c>
      <c r="G74" s="137">
        <f t="shared" si="138"/>
        <v>226069</v>
      </c>
      <c r="H74" s="137">
        <f t="shared" si="138"/>
        <v>243303</v>
      </c>
      <c r="I74" s="137">
        <f t="shared" si="138"/>
        <v>258412</v>
      </c>
      <c r="J74" s="137">
        <f t="shared" si="138"/>
        <v>261710</v>
      </c>
      <c r="K74" s="137">
        <f t="shared" si="138"/>
        <v>255603</v>
      </c>
      <c r="L74" s="137">
        <f t="shared" ref="L74" si="139">SUM(L75:L79)</f>
        <v>246984</v>
      </c>
      <c r="M74" s="137">
        <f t="shared" ref="M74:V74" si="140">SUM(M75:M79)</f>
        <v>242353</v>
      </c>
      <c r="N74" s="137">
        <f t="shared" si="140"/>
        <v>234787</v>
      </c>
      <c r="O74" s="137">
        <f t="shared" si="140"/>
        <v>236544</v>
      </c>
      <c r="P74" s="137">
        <f t="shared" si="140"/>
        <v>230023</v>
      </c>
      <c r="Q74" s="137">
        <f t="shared" si="140"/>
        <v>222726</v>
      </c>
      <c r="R74" s="137">
        <f t="shared" si="140"/>
        <v>218233</v>
      </c>
      <c r="S74" s="137">
        <f t="shared" si="140"/>
        <v>218339</v>
      </c>
      <c r="T74" s="137">
        <f t="shared" si="140"/>
        <v>218365</v>
      </c>
      <c r="U74" s="137">
        <f t="shared" si="140"/>
        <v>218594</v>
      </c>
      <c r="V74" s="137">
        <f t="shared" si="140"/>
        <v>219394</v>
      </c>
      <c r="W74" s="137">
        <f t="shared" ref="W74:Y74" si="141">SUM(W75:W79)</f>
        <v>222720</v>
      </c>
      <c r="X74" s="137">
        <f t="shared" si="141"/>
        <v>226368</v>
      </c>
      <c r="Y74" s="137">
        <f t="shared" si="141"/>
        <v>236639</v>
      </c>
      <c r="DA74" s="174" t="s">
        <v>517</v>
      </c>
    </row>
    <row r="75" spans="1:105" ht="11.45" customHeight="1" x14ac:dyDescent="0.25">
      <c r="A75" s="111" t="s">
        <v>110</v>
      </c>
      <c r="B75" s="84">
        <v>3828</v>
      </c>
      <c r="C75" s="84">
        <v>3537</v>
      </c>
      <c r="D75" s="84">
        <v>3307</v>
      </c>
      <c r="E75" s="84">
        <v>2993</v>
      </c>
      <c r="F75" s="84">
        <v>2616</v>
      </c>
      <c r="G75" s="84">
        <v>2027</v>
      </c>
      <c r="H75" s="84">
        <v>1571</v>
      </c>
      <c r="I75" s="84">
        <v>1246</v>
      </c>
      <c r="J75" s="84">
        <v>1132</v>
      </c>
      <c r="K75" s="84">
        <v>1046</v>
      </c>
      <c r="L75" s="84">
        <v>899</v>
      </c>
      <c r="M75" s="84">
        <v>765</v>
      </c>
      <c r="N75" s="84">
        <v>637</v>
      </c>
      <c r="O75" s="84">
        <v>604</v>
      </c>
      <c r="P75" s="84">
        <v>560</v>
      </c>
      <c r="Q75" s="84">
        <v>503</v>
      </c>
      <c r="R75" s="84">
        <v>445</v>
      </c>
      <c r="S75" s="84">
        <v>484</v>
      </c>
      <c r="T75" s="84">
        <v>497</v>
      </c>
      <c r="U75" s="84">
        <v>555</v>
      </c>
      <c r="V75" s="84">
        <v>752</v>
      </c>
      <c r="W75" s="84">
        <v>854</v>
      </c>
      <c r="X75" s="84">
        <v>990</v>
      </c>
      <c r="Y75" s="84">
        <v>1398</v>
      </c>
      <c r="DA75" s="171" t="s">
        <v>518</v>
      </c>
    </row>
    <row r="76" spans="1:105" ht="11.45" customHeight="1" x14ac:dyDescent="0.25">
      <c r="A76" s="111" t="s">
        <v>111</v>
      </c>
      <c r="B76" s="84">
        <v>153501</v>
      </c>
      <c r="C76" s="84">
        <v>167127</v>
      </c>
      <c r="D76" s="84">
        <v>180289</v>
      </c>
      <c r="E76" s="84">
        <v>194683</v>
      </c>
      <c r="F76" s="84">
        <v>208449</v>
      </c>
      <c r="G76" s="84">
        <v>224042</v>
      </c>
      <c r="H76" s="84">
        <v>241732</v>
      </c>
      <c r="I76" s="84">
        <v>257166</v>
      </c>
      <c r="J76" s="84">
        <v>260578</v>
      </c>
      <c r="K76" s="84">
        <v>254557</v>
      </c>
      <c r="L76" s="84">
        <v>246085</v>
      </c>
      <c r="M76" s="84">
        <v>241554</v>
      </c>
      <c r="N76" s="84">
        <v>234073</v>
      </c>
      <c r="O76" s="84">
        <v>235857</v>
      </c>
      <c r="P76" s="84">
        <v>229367</v>
      </c>
      <c r="Q76" s="84">
        <v>222131</v>
      </c>
      <c r="R76" s="84">
        <v>217688</v>
      </c>
      <c r="S76" s="84">
        <v>217694</v>
      </c>
      <c r="T76" s="84">
        <v>217694</v>
      </c>
      <c r="U76" s="84">
        <v>217577</v>
      </c>
      <c r="V76" s="84">
        <v>217742</v>
      </c>
      <c r="W76" s="84">
        <v>220308</v>
      </c>
      <c r="X76" s="84">
        <v>223141</v>
      </c>
      <c r="Y76" s="84">
        <v>232026</v>
      </c>
      <c r="DA76" s="171" t="s">
        <v>519</v>
      </c>
    </row>
    <row r="77" spans="1:105" ht="11.45" customHeight="1" x14ac:dyDescent="0.25">
      <c r="A77" s="111" t="s">
        <v>112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2</v>
      </c>
      <c r="P77" s="84">
        <v>4</v>
      </c>
      <c r="Q77" s="84">
        <v>4</v>
      </c>
      <c r="R77" s="84">
        <v>4</v>
      </c>
      <c r="S77" s="84">
        <v>5</v>
      </c>
      <c r="T77" s="84">
        <v>5</v>
      </c>
      <c r="U77" s="84">
        <v>5</v>
      </c>
      <c r="V77" s="84">
        <v>4</v>
      </c>
      <c r="W77" s="84">
        <v>4</v>
      </c>
      <c r="X77" s="84">
        <v>4</v>
      </c>
      <c r="Y77" s="84">
        <v>4</v>
      </c>
      <c r="DA77" s="171" t="s">
        <v>520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4</v>
      </c>
      <c r="S78" s="84">
        <v>4</v>
      </c>
      <c r="T78" s="84">
        <v>4</v>
      </c>
      <c r="U78" s="84">
        <v>4</v>
      </c>
      <c r="V78" s="84">
        <v>6</v>
      </c>
      <c r="W78" s="84">
        <v>6</v>
      </c>
      <c r="X78" s="84">
        <v>6</v>
      </c>
      <c r="Y78" s="84">
        <v>6</v>
      </c>
      <c r="DA78" s="171" t="s">
        <v>521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34</v>
      </c>
      <c r="N79" s="84">
        <v>77</v>
      </c>
      <c r="O79" s="84">
        <v>81</v>
      </c>
      <c r="P79" s="84">
        <v>92</v>
      </c>
      <c r="Q79" s="84">
        <v>88</v>
      </c>
      <c r="R79" s="84">
        <v>92</v>
      </c>
      <c r="S79" s="84">
        <v>152</v>
      </c>
      <c r="T79" s="84">
        <v>165</v>
      </c>
      <c r="U79" s="84">
        <v>453</v>
      </c>
      <c r="V79" s="84">
        <v>890</v>
      </c>
      <c r="W79" s="84">
        <v>1548</v>
      </c>
      <c r="X79" s="84">
        <v>2227</v>
      </c>
      <c r="Y79" s="84">
        <v>3205</v>
      </c>
      <c r="DA79" s="171" t="s">
        <v>522</v>
      </c>
    </row>
    <row r="80" spans="1:105" ht="11.45" customHeight="1" x14ac:dyDescent="0.25">
      <c r="A80" s="109" t="s">
        <v>154</v>
      </c>
      <c r="B80" s="110">
        <f t="shared" ref="B80:K80" si="142">SUM(B81:B82)</f>
        <v>65626</v>
      </c>
      <c r="C80" s="110">
        <f t="shared" si="142"/>
        <v>74587</v>
      </c>
      <c r="D80" s="110">
        <f t="shared" si="142"/>
        <v>76378</v>
      </c>
      <c r="E80" s="110">
        <f t="shared" si="142"/>
        <v>78357</v>
      </c>
      <c r="F80" s="110">
        <f t="shared" si="142"/>
        <v>82047</v>
      </c>
      <c r="G80" s="110">
        <f t="shared" si="142"/>
        <v>90968</v>
      </c>
      <c r="H80" s="110">
        <f t="shared" si="142"/>
        <v>102552</v>
      </c>
      <c r="I80" s="110">
        <f t="shared" si="142"/>
        <v>115782</v>
      </c>
      <c r="J80" s="110">
        <f t="shared" si="142"/>
        <v>95660</v>
      </c>
      <c r="K80" s="110">
        <f t="shared" si="142"/>
        <v>86203</v>
      </c>
      <c r="L80" s="110">
        <f t="shared" ref="L80" si="143">SUM(L81:L82)</f>
        <v>82887</v>
      </c>
      <c r="M80" s="110">
        <f t="shared" ref="M80:V80" si="144">SUM(M81:M82)</f>
        <v>80136</v>
      </c>
      <c r="N80" s="110">
        <f t="shared" si="144"/>
        <v>78747</v>
      </c>
      <c r="O80" s="110">
        <f t="shared" si="144"/>
        <v>76825</v>
      </c>
      <c r="P80" s="110">
        <f t="shared" si="144"/>
        <v>81175</v>
      </c>
      <c r="Q80" s="110">
        <f t="shared" si="144"/>
        <v>86214</v>
      </c>
      <c r="R80" s="110">
        <f t="shared" si="144"/>
        <v>88200</v>
      </c>
      <c r="S80" s="110">
        <f t="shared" si="144"/>
        <v>92369</v>
      </c>
      <c r="T80" s="110">
        <f t="shared" si="144"/>
        <v>93962</v>
      </c>
      <c r="U80" s="110">
        <f t="shared" si="144"/>
        <v>95233</v>
      </c>
      <c r="V80" s="110">
        <f t="shared" si="144"/>
        <v>92912</v>
      </c>
      <c r="W80" s="110">
        <f t="shared" ref="W80:Y80" si="145">SUM(W81:W82)</f>
        <v>96559</v>
      </c>
      <c r="X80" s="110">
        <f t="shared" si="145"/>
        <v>97039</v>
      </c>
      <c r="Y80" s="110">
        <f t="shared" si="145"/>
        <v>97971</v>
      </c>
      <c r="DA80" s="176" t="s">
        <v>523</v>
      </c>
    </row>
    <row r="81" spans="1:105" ht="11.45" customHeight="1" x14ac:dyDescent="0.25">
      <c r="A81" s="128" t="s">
        <v>27</v>
      </c>
      <c r="B81" s="102">
        <v>64655</v>
      </c>
      <c r="C81" s="102">
        <v>73546</v>
      </c>
      <c r="D81" s="102">
        <v>75282</v>
      </c>
      <c r="E81" s="102">
        <v>77237</v>
      </c>
      <c r="F81" s="102">
        <v>80723</v>
      </c>
      <c r="G81" s="102">
        <v>89599</v>
      </c>
      <c r="H81" s="102">
        <v>101146</v>
      </c>
      <c r="I81" s="102">
        <v>114266</v>
      </c>
      <c r="J81" s="102">
        <v>94323</v>
      </c>
      <c r="K81" s="102">
        <v>85050</v>
      </c>
      <c r="L81" s="102">
        <v>81696</v>
      </c>
      <c r="M81" s="102">
        <v>78837</v>
      </c>
      <c r="N81" s="102">
        <v>77579</v>
      </c>
      <c r="O81" s="102">
        <v>75709</v>
      </c>
      <c r="P81" s="102">
        <v>80087</v>
      </c>
      <c r="Q81" s="102">
        <v>84988</v>
      </c>
      <c r="R81" s="102">
        <v>87095</v>
      </c>
      <c r="S81" s="102">
        <v>91290</v>
      </c>
      <c r="T81" s="102">
        <v>92774</v>
      </c>
      <c r="U81" s="102">
        <v>93874</v>
      </c>
      <c r="V81" s="102">
        <v>92415</v>
      </c>
      <c r="W81" s="102">
        <v>96051</v>
      </c>
      <c r="X81" s="102">
        <v>96551</v>
      </c>
      <c r="Y81" s="102">
        <v>97451</v>
      </c>
      <c r="DA81" s="175" t="s">
        <v>524</v>
      </c>
    </row>
    <row r="82" spans="1:105" ht="11.45" customHeight="1" x14ac:dyDescent="0.25">
      <c r="A82" s="138" t="s">
        <v>116</v>
      </c>
      <c r="B82" s="86">
        <v>971</v>
      </c>
      <c r="C82" s="86">
        <v>1041</v>
      </c>
      <c r="D82" s="86">
        <v>1096</v>
      </c>
      <c r="E82" s="86">
        <v>1120</v>
      </c>
      <c r="F82" s="86">
        <v>1324</v>
      </c>
      <c r="G82" s="86">
        <v>1369</v>
      </c>
      <c r="H82" s="86">
        <v>1406</v>
      </c>
      <c r="I82" s="86">
        <v>1516</v>
      </c>
      <c r="J82" s="86">
        <v>1337</v>
      </c>
      <c r="K82" s="86">
        <v>1153</v>
      </c>
      <c r="L82" s="86">
        <v>1191</v>
      </c>
      <c r="M82" s="86">
        <v>1299</v>
      </c>
      <c r="N82" s="86">
        <v>1168</v>
      </c>
      <c r="O82" s="86">
        <v>1116</v>
      </c>
      <c r="P82" s="86">
        <v>1088</v>
      </c>
      <c r="Q82" s="86">
        <v>1226</v>
      </c>
      <c r="R82" s="86">
        <v>1105</v>
      </c>
      <c r="S82" s="86">
        <v>1079</v>
      </c>
      <c r="T82" s="86">
        <v>1188</v>
      </c>
      <c r="U82" s="86">
        <v>1359</v>
      </c>
      <c r="V82" s="86">
        <v>497</v>
      </c>
      <c r="W82" s="86">
        <v>508</v>
      </c>
      <c r="X82" s="86">
        <v>488</v>
      </c>
      <c r="Y82" s="86">
        <v>520</v>
      </c>
      <c r="DA82" s="178" t="s">
        <v>525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DA83" s="171"/>
    </row>
    <row r="84" spans="1:105" ht="11.45" hidden="1" customHeight="1" x14ac:dyDescent="0.25">
      <c r="A84" s="53" t="s">
        <v>135</v>
      </c>
      <c r="B84" s="54">
        <f t="shared" ref="B84:C84" si="146">B85+B100</f>
        <v>1583440</v>
      </c>
      <c r="C84" s="54">
        <f t="shared" si="146"/>
        <v>1690626</v>
      </c>
      <c r="D84" s="54">
        <f t="shared" ref="D84:V84" si="147">D85+D100</f>
        <v>1771616</v>
      </c>
      <c r="E84" s="54">
        <f t="shared" si="147"/>
        <v>1851944</v>
      </c>
      <c r="F84" s="54">
        <f t="shared" si="147"/>
        <v>1919961</v>
      </c>
      <c r="G84" s="54">
        <f t="shared" si="147"/>
        <v>2022535</v>
      </c>
      <c r="H84" s="54">
        <f t="shared" si="147"/>
        <v>2270456</v>
      </c>
      <c r="I84" s="54">
        <f t="shared" si="147"/>
        <v>2304505</v>
      </c>
      <c r="J84" s="54">
        <f t="shared" si="147"/>
        <v>2407906</v>
      </c>
      <c r="K84" s="54">
        <f t="shared" si="147"/>
        <v>2362982</v>
      </c>
      <c r="L84" s="54">
        <f t="shared" si="147"/>
        <v>2315088</v>
      </c>
      <c r="M84" s="54">
        <f t="shared" si="147"/>
        <v>2331428</v>
      </c>
      <c r="N84" s="54">
        <f t="shared" si="147"/>
        <v>2309701</v>
      </c>
      <c r="O84" s="54">
        <f t="shared" si="147"/>
        <v>2341978</v>
      </c>
      <c r="P84" s="54">
        <f t="shared" si="147"/>
        <v>2376488</v>
      </c>
      <c r="Q84" s="54">
        <f t="shared" si="147"/>
        <v>2416963</v>
      </c>
      <c r="R84" s="54">
        <f t="shared" si="147"/>
        <v>2458623</v>
      </c>
      <c r="S84" s="54">
        <f t="shared" si="147"/>
        <v>2504926</v>
      </c>
      <c r="T84" s="54">
        <f t="shared" si="147"/>
        <v>2547945</v>
      </c>
      <c r="U84" s="54">
        <f t="shared" si="147"/>
        <v>2622519</v>
      </c>
      <c r="V84" s="54">
        <f t="shared" si="147"/>
        <v>2660997</v>
      </c>
      <c r="W84" s="54">
        <f t="shared" ref="W84:Y84" si="148">W85+W100</f>
        <v>2688317</v>
      </c>
      <c r="X84" s="54">
        <f t="shared" si="148"/>
        <v>2719127</v>
      </c>
      <c r="Y84" s="54">
        <f t="shared" si="148"/>
        <v>2801395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1360485</v>
      </c>
      <c r="C85" s="28">
        <f t="shared" si="149"/>
        <v>1445375</v>
      </c>
      <c r="D85" s="28">
        <f t="shared" ref="D85:V85" si="150">D86+D87+D94</f>
        <v>1511642</v>
      </c>
      <c r="E85" s="28">
        <f t="shared" si="150"/>
        <v>1575911</v>
      </c>
      <c r="F85" s="28">
        <f t="shared" si="150"/>
        <v>1626849</v>
      </c>
      <c r="G85" s="28">
        <f t="shared" si="150"/>
        <v>1705498</v>
      </c>
      <c r="H85" s="28">
        <f t="shared" si="150"/>
        <v>1924601</v>
      </c>
      <c r="I85" s="28">
        <f t="shared" si="150"/>
        <v>1930311</v>
      </c>
      <c r="J85" s="28">
        <f t="shared" si="150"/>
        <v>2050536</v>
      </c>
      <c r="K85" s="28">
        <f t="shared" si="150"/>
        <v>2021176</v>
      </c>
      <c r="L85" s="28">
        <f t="shared" si="150"/>
        <v>1985217</v>
      </c>
      <c r="M85" s="28">
        <f t="shared" si="150"/>
        <v>2008939</v>
      </c>
      <c r="N85" s="28">
        <f t="shared" si="150"/>
        <v>1996167</v>
      </c>
      <c r="O85" s="28">
        <f t="shared" si="150"/>
        <v>2028609</v>
      </c>
      <c r="P85" s="28">
        <f t="shared" si="150"/>
        <v>2065290</v>
      </c>
      <c r="Q85" s="28">
        <f t="shared" si="150"/>
        <v>2108023</v>
      </c>
      <c r="R85" s="28">
        <f t="shared" si="150"/>
        <v>2152190</v>
      </c>
      <c r="S85" s="28">
        <f t="shared" si="150"/>
        <v>2194218</v>
      </c>
      <c r="T85" s="28">
        <f t="shared" si="150"/>
        <v>2235618</v>
      </c>
      <c r="U85" s="28">
        <f t="shared" si="150"/>
        <v>2308692</v>
      </c>
      <c r="V85" s="28">
        <f t="shared" si="150"/>
        <v>2348691</v>
      </c>
      <c r="W85" s="28">
        <f t="shared" ref="W85:Y85" si="151">W86+W87+W94</f>
        <v>2369038</v>
      </c>
      <c r="X85" s="28">
        <f t="shared" si="151"/>
        <v>2395720</v>
      </c>
      <c r="Y85" s="28">
        <f t="shared" si="151"/>
        <v>2466785</v>
      </c>
      <c r="DA85" s="173"/>
    </row>
    <row r="86" spans="1:105" ht="11.45" hidden="1" customHeight="1" x14ac:dyDescent="0.25">
      <c r="A86" s="136" t="s">
        <v>173</v>
      </c>
      <c r="B86" s="137">
        <v>30638</v>
      </c>
      <c r="C86" s="137">
        <v>32913</v>
      </c>
      <c r="D86" s="137">
        <v>33147</v>
      </c>
      <c r="E86" s="137">
        <v>35094</v>
      </c>
      <c r="F86" s="137">
        <v>34854</v>
      </c>
      <c r="G86" s="137">
        <v>34300</v>
      </c>
      <c r="H86" s="137">
        <v>34927</v>
      </c>
      <c r="I86" s="137">
        <v>37178</v>
      </c>
      <c r="J86" s="137">
        <v>39409</v>
      </c>
      <c r="K86" s="137">
        <v>39552</v>
      </c>
      <c r="L86" s="137">
        <v>38145</v>
      </c>
      <c r="M86" s="137">
        <v>36582</v>
      </c>
      <c r="N86" s="137">
        <v>35106</v>
      </c>
      <c r="O86" s="137">
        <v>36623</v>
      </c>
      <c r="P86" s="137">
        <v>36573</v>
      </c>
      <c r="Q86" s="137">
        <v>36974</v>
      </c>
      <c r="R86" s="137">
        <v>38023</v>
      </c>
      <c r="S86" s="137">
        <v>39873</v>
      </c>
      <c r="T86" s="137">
        <v>40198</v>
      </c>
      <c r="U86" s="137">
        <v>42492</v>
      </c>
      <c r="V86" s="137">
        <v>44819</v>
      </c>
      <c r="W86" s="137">
        <v>46636</v>
      </c>
      <c r="X86" s="137">
        <v>47250</v>
      </c>
      <c r="Y86" s="137">
        <v>48560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1321600</v>
      </c>
      <c r="C87" s="110">
        <f t="shared" si="152"/>
        <v>1404000</v>
      </c>
      <c r="D87" s="110">
        <f t="shared" ref="D87:V87" si="153">SUM(D88:D93)</f>
        <v>1470000</v>
      </c>
      <c r="E87" s="110">
        <f t="shared" si="153"/>
        <v>1532000</v>
      </c>
      <c r="F87" s="110">
        <f t="shared" si="153"/>
        <v>1583000</v>
      </c>
      <c r="G87" s="110">
        <f t="shared" si="153"/>
        <v>1662000</v>
      </c>
      <c r="H87" s="110">
        <f t="shared" si="153"/>
        <v>1880000</v>
      </c>
      <c r="I87" s="110">
        <f t="shared" si="153"/>
        <v>1883000</v>
      </c>
      <c r="J87" s="110">
        <f t="shared" si="153"/>
        <v>2000500</v>
      </c>
      <c r="K87" s="110">
        <f t="shared" si="153"/>
        <v>1971274</v>
      </c>
      <c r="L87" s="110">
        <f t="shared" si="153"/>
        <v>1937130</v>
      </c>
      <c r="M87" s="110">
        <f t="shared" si="153"/>
        <v>1962460</v>
      </c>
      <c r="N87" s="110">
        <f t="shared" si="153"/>
        <v>1951130</v>
      </c>
      <c r="O87" s="110">
        <f t="shared" si="153"/>
        <v>1981830</v>
      </c>
      <c r="P87" s="110">
        <f t="shared" si="153"/>
        <v>2018310</v>
      </c>
      <c r="Q87" s="110">
        <f t="shared" si="153"/>
        <v>2060170</v>
      </c>
      <c r="R87" s="110">
        <f t="shared" si="153"/>
        <v>2102720</v>
      </c>
      <c r="S87" s="110">
        <f t="shared" si="153"/>
        <v>2142390</v>
      </c>
      <c r="T87" s="110">
        <f t="shared" si="153"/>
        <v>2182920</v>
      </c>
      <c r="U87" s="110">
        <f t="shared" si="153"/>
        <v>2253210</v>
      </c>
      <c r="V87" s="110">
        <f t="shared" si="153"/>
        <v>2291940</v>
      </c>
      <c r="W87" s="110">
        <f t="shared" ref="W87:Y87" si="154">SUM(W88:W93)</f>
        <v>2309760</v>
      </c>
      <c r="X87" s="110">
        <f t="shared" si="154"/>
        <v>2335130</v>
      </c>
      <c r="Y87" s="110">
        <f t="shared" si="154"/>
        <v>2404140</v>
      </c>
      <c r="DA87" s="176"/>
    </row>
    <row r="88" spans="1:105" ht="11.45" hidden="1" customHeight="1" x14ac:dyDescent="0.25">
      <c r="A88" s="111" t="s">
        <v>110</v>
      </c>
      <c r="B88" s="84">
        <v>1146869</v>
      </c>
      <c r="C88" s="84">
        <v>1221368</v>
      </c>
      <c r="D88" s="84">
        <v>1274051</v>
      </c>
      <c r="E88" s="84">
        <v>1323872</v>
      </c>
      <c r="F88" s="84">
        <v>1360374</v>
      </c>
      <c r="G88" s="84">
        <v>1388577</v>
      </c>
      <c r="H88" s="84">
        <v>1541639</v>
      </c>
      <c r="I88" s="84">
        <v>1544130</v>
      </c>
      <c r="J88" s="84">
        <v>1574499</v>
      </c>
      <c r="K88" s="84">
        <v>1505195</v>
      </c>
      <c r="L88" s="84">
        <v>1412432</v>
      </c>
      <c r="M88" s="84">
        <v>1350783</v>
      </c>
      <c r="N88" s="84">
        <v>1279510</v>
      </c>
      <c r="O88" s="84">
        <v>1235047</v>
      </c>
      <c r="P88" s="84">
        <v>1184836</v>
      </c>
      <c r="Q88" s="84">
        <v>1135409</v>
      </c>
      <c r="R88" s="84">
        <v>1069676</v>
      </c>
      <c r="S88" s="84">
        <v>1002675</v>
      </c>
      <c r="T88" s="84">
        <v>953040</v>
      </c>
      <c r="U88" s="84">
        <v>928872</v>
      </c>
      <c r="V88" s="84">
        <v>905847</v>
      </c>
      <c r="W88" s="84">
        <v>889797</v>
      </c>
      <c r="X88" s="84">
        <v>901250</v>
      </c>
      <c r="Y88" s="84">
        <v>933366</v>
      </c>
      <c r="DA88" s="171"/>
    </row>
    <row r="89" spans="1:105" ht="11.45" hidden="1" customHeight="1" x14ac:dyDescent="0.25">
      <c r="A89" s="111" t="s">
        <v>111</v>
      </c>
      <c r="B89" s="84">
        <v>173131</v>
      </c>
      <c r="C89" s="84">
        <v>181431</v>
      </c>
      <c r="D89" s="84">
        <v>194915</v>
      </c>
      <c r="E89" s="84">
        <v>207268</v>
      </c>
      <c r="F89" s="84">
        <v>221848</v>
      </c>
      <c r="G89" s="84">
        <v>272682</v>
      </c>
      <c r="H89" s="84">
        <v>337662</v>
      </c>
      <c r="I89" s="84">
        <v>337965</v>
      </c>
      <c r="J89" s="84">
        <v>425296</v>
      </c>
      <c r="K89" s="84">
        <v>465599</v>
      </c>
      <c r="L89" s="84">
        <v>524267</v>
      </c>
      <c r="M89" s="84">
        <v>610626</v>
      </c>
      <c r="N89" s="84">
        <v>669972</v>
      </c>
      <c r="O89" s="84">
        <v>745349</v>
      </c>
      <c r="P89" s="84">
        <v>830831</v>
      </c>
      <c r="Q89" s="84">
        <v>921445</v>
      </c>
      <c r="R89" s="84">
        <v>1028856</v>
      </c>
      <c r="S89" s="84">
        <v>1134374</v>
      </c>
      <c r="T89" s="84">
        <v>1222001</v>
      </c>
      <c r="U89" s="84">
        <v>1311285</v>
      </c>
      <c r="V89" s="84">
        <v>1366188</v>
      </c>
      <c r="W89" s="84">
        <v>1380936</v>
      </c>
      <c r="X89" s="84">
        <v>1371144</v>
      </c>
      <c r="Y89" s="84">
        <v>1376097</v>
      </c>
      <c r="DA89" s="171"/>
    </row>
    <row r="90" spans="1:105" ht="11.45" hidden="1" customHeight="1" x14ac:dyDescent="0.25">
      <c r="A90" s="111" t="s">
        <v>112</v>
      </c>
      <c r="B90" s="84">
        <v>1600</v>
      </c>
      <c r="C90" s="84">
        <v>1201</v>
      </c>
      <c r="D90" s="84">
        <v>1034</v>
      </c>
      <c r="E90" s="84">
        <v>860</v>
      </c>
      <c r="F90" s="84">
        <v>778</v>
      </c>
      <c r="G90" s="84">
        <v>741</v>
      </c>
      <c r="H90" s="84">
        <v>699</v>
      </c>
      <c r="I90" s="84">
        <v>905</v>
      </c>
      <c r="J90" s="84">
        <v>705</v>
      </c>
      <c r="K90" s="84">
        <v>478</v>
      </c>
      <c r="L90" s="84">
        <v>412</v>
      </c>
      <c r="M90" s="84">
        <v>454</v>
      </c>
      <c r="N90" s="84">
        <v>880</v>
      </c>
      <c r="O90" s="84">
        <v>1147</v>
      </c>
      <c r="P90" s="84">
        <v>2037</v>
      </c>
      <c r="Q90" s="84">
        <v>2145</v>
      </c>
      <c r="R90" s="84">
        <v>2056</v>
      </c>
      <c r="S90" s="84">
        <v>1816</v>
      </c>
      <c r="T90" s="84">
        <v>1623</v>
      </c>
      <c r="U90" s="84">
        <v>1501</v>
      </c>
      <c r="V90" s="84">
        <v>1511</v>
      </c>
      <c r="W90" s="84">
        <v>1461</v>
      </c>
      <c r="X90" s="84">
        <v>1516</v>
      </c>
      <c r="Y90" s="84">
        <v>1350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0</v>
      </c>
      <c r="G91" s="84">
        <v>0</v>
      </c>
      <c r="H91" s="84">
        <v>0</v>
      </c>
      <c r="I91" s="84">
        <v>0</v>
      </c>
      <c r="J91" s="84">
        <v>0</v>
      </c>
      <c r="K91" s="84">
        <v>0</v>
      </c>
      <c r="L91" s="84">
        <v>0</v>
      </c>
      <c r="M91" s="84">
        <v>0</v>
      </c>
      <c r="N91" s="84">
        <v>0</v>
      </c>
      <c r="O91" s="84">
        <v>0</v>
      </c>
      <c r="P91" s="84">
        <v>10</v>
      </c>
      <c r="Q91" s="84">
        <v>16</v>
      </c>
      <c r="R91" s="84">
        <v>16</v>
      </c>
      <c r="S91" s="84">
        <v>16</v>
      </c>
      <c r="T91" s="84">
        <v>15</v>
      </c>
      <c r="U91" s="84">
        <v>15</v>
      </c>
      <c r="V91" s="84">
        <v>15</v>
      </c>
      <c r="W91" s="84">
        <v>14</v>
      </c>
      <c r="X91" s="84">
        <v>189</v>
      </c>
      <c r="Y91" s="84">
        <v>175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0</v>
      </c>
      <c r="O92" s="84">
        <v>7</v>
      </c>
      <c r="P92" s="84">
        <v>36</v>
      </c>
      <c r="Q92" s="84">
        <v>135</v>
      </c>
      <c r="R92" s="84">
        <v>416</v>
      </c>
      <c r="S92" s="84">
        <v>739</v>
      </c>
      <c r="T92" s="84">
        <v>1631</v>
      </c>
      <c r="U92" s="84">
        <v>2947</v>
      </c>
      <c r="V92" s="84">
        <v>5659</v>
      </c>
      <c r="W92" s="84">
        <v>17570</v>
      </c>
      <c r="X92" s="84">
        <v>25318</v>
      </c>
      <c r="Y92" s="84">
        <v>35785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0</v>
      </c>
      <c r="K93" s="84">
        <v>2</v>
      </c>
      <c r="L93" s="84">
        <v>19</v>
      </c>
      <c r="M93" s="84">
        <v>597</v>
      </c>
      <c r="N93" s="84">
        <v>768</v>
      </c>
      <c r="O93" s="84">
        <v>280</v>
      </c>
      <c r="P93" s="84">
        <v>560</v>
      </c>
      <c r="Q93" s="84">
        <v>1020</v>
      </c>
      <c r="R93" s="84">
        <v>1700</v>
      </c>
      <c r="S93" s="84">
        <v>2770</v>
      </c>
      <c r="T93" s="84">
        <v>4610</v>
      </c>
      <c r="U93" s="84">
        <v>8590</v>
      </c>
      <c r="V93" s="84">
        <v>12720</v>
      </c>
      <c r="W93" s="84">
        <v>19982</v>
      </c>
      <c r="X93" s="84">
        <v>35713</v>
      </c>
      <c r="Y93" s="84">
        <v>57367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8247</v>
      </c>
      <c r="C94" s="110">
        <f t="shared" si="155"/>
        <v>8462</v>
      </c>
      <c r="D94" s="110">
        <f t="shared" ref="D94:V94" si="156">SUM(D95:D99)</f>
        <v>8495</v>
      </c>
      <c r="E94" s="110">
        <f t="shared" si="156"/>
        <v>8817</v>
      </c>
      <c r="F94" s="110">
        <f t="shared" si="156"/>
        <v>8995</v>
      </c>
      <c r="G94" s="110">
        <f t="shared" si="156"/>
        <v>9198</v>
      </c>
      <c r="H94" s="110">
        <f t="shared" si="156"/>
        <v>9674</v>
      </c>
      <c r="I94" s="110">
        <f t="shared" si="156"/>
        <v>10133</v>
      </c>
      <c r="J94" s="110">
        <f t="shared" si="156"/>
        <v>10627</v>
      </c>
      <c r="K94" s="110">
        <f t="shared" si="156"/>
        <v>10350</v>
      </c>
      <c r="L94" s="110">
        <f t="shared" si="156"/>
        <v>9942</v>
      </c>
      <c r="M94" s="110">
        <f t="shared" si="156"/>
        <v>9897</v>
      </c>
      <c r="N94" s="110">
        <f t="shared" si="156"/>
        <v>9931</v>
      </c>
      <c r="O94" s="110">
        <f t="shared" si="156"/>
        <v>10156</v>
      </c>
      <c r="P94" s="110">
        <f t="shared" si="156"/>
        <v>10407</v>
      </c>
      <c r="Q94" s="110">
        <f t="shared" si="156"/>
        <v>10879</v>
      </c>
      <c r="R94" s="110">
        <f t="shared" si="156"/>
        <v>11447</v>
      </c>
      <c r="S94" s="110">
        <f t="shared" si="156"/>
        <v>11955</v>
      </c>
      <c r="T94" s="110">
        <f t="shared" si="156"/>
        <v>12500</v>
      </c>
      <c r="U94" s="110">
        <f t="shared" si="156"/>
        <v>12990</v>
      </c>
      <c r="V94" s="110">
        <f t="shared" si="156"/>
        <v>11932</v>
      </c>
      <c r="W94" s="110">
        <f t="shared" ref="W94:Y94" si="157">SUM(W95:W99)</f>
        <v>12642</v>
      </c>
      <c r="X94" s="110">
        <f t="shared" si="157"/>
        <v>13340</v>
      </c>
      <c r="Y94" s="110">
        <f t="shared" si="157"/>
        <v>14085</v>
      </c>
      <c r="DA94" s="176"/>
    </row>
    <row r="95" spans="1:105" ht="11.45" hidden="1" customHeight="1" x14ac:dyDescent="0.25">
      <c r="A95" s="111" t="s">
        <v>110</v>
      </c>
      <c r="B95" s="102">
        <v>167</v>
      </c>
      <c r="C95" s="102">
        <v>153</v>
      </c>
      <c r="D95" s="102">
        <v>139</v>
      </c>
      <c r="E95" s="102">
        <v>125</v>
      </c>
      <c r="F95" s="102">
        <v>110</v>
      </c>
      <c r="G95" s="102">
        <v>96</v>
      </c>
      <c r="H95" s="102">
        <v>83</v>
      </c>
      <c r="I95" s="102">
        <v>71</v>
      </c>
      <c r="J95" s="102">
        <v>59</v>
      </c>
      <c r="K95" s="102">
        <v>49</v>
      </c>
      <c r="L95" s="102">
        <v>39</v>
      </c>
      <c r="M95" s="102">
        <v>31</v>
      </c>
      <c r="N95" s="102">
        <v>24</v>
      </c>
      <c r="O95" s="102">
        <v>24</v>
      </c>
      <c r="P95" s="102">
        <v>24</v>
      </c>
      <c r="Q95" s="102">
        <v>21</v>
      </c>
      <c r="R95" s="102">
        <v>17</v>
      </c>
      <c r="S95" s="102">
        <v>20</v>
      </c>
      <c r="T95" s="102">
        <v>13</v>
      </c>
      <c r="U95" s="102">
        <v>16</v>
      </c>
      <c r="V95" s="102">
        <v>16</v>
      </c>
      <c r="W95" s="102">
        <v>15</v>
      </c>
      <c r="X95" s="102">
        <v>40</v>
      </c>
      <c r="Y95" s="102">
        <v>98</v>
      </c>
      <c r="DA95" s="175"/>
    </row>
    <row r="96" spans="1:105" ht="11.45" hidden="1" customHeight="1" x14ac:dyDescent="0.25">
      <c r="A96" s="111" t="s">
        <v>111</v>
      </c>
      <c r="B96" s="102">
        <v>8080</v>
      </c>
      <c r="C96" s="102">
        <v>8308</v>
      </c>
      <c r="D96" s="102">
        <v>8355</v>
      </c>
      <c r="E96" s="102">
        <v>8691</v>
      </c>
      <c r="F96" s="102">
        <v>8884</v>
      </c>
      <c r="G96" s="102">
        <v>9101</v>
      </c>
      <c r="H96" s="102">
        <v>9590</v>
      </c>
      <c r="I96" s="102">
        <v>10061</v>
      </c>
      <c r="J96" s="102">
        <v>10567</v>
      </c>
      <c r="K96" s="102">
        <v>10300</v>
      </c>
      <c r="L96" s="102">
        <v>9902</v>
      </c>
      <c r="M96" s="102">
        <v>9865</v>
      </c>
      <c r="N96" s="102">
        <v>9906</v>
      </c>
      <c r="O96" s="102">
        <v>10131</v>
      </c>
      <c r="P96" s="102">
        <v>10382</v>
      </c>
      <c r="Q96" s="102">
        <v>10857</v>
      </c>
      <c r="R96" s="102">
        <v>11429</v>
      </c>
      <c r="S96" s="102">
        <v>11934</v>
      </c>
      <c r="T96" s="102">
        <v>12485</v>
      </c>
      <c r="U96" s="102">
        <v>12952</v>
      </c>
      <c r="V96" s="102">
        <v>11866</v>
      </c>
      <c r="W96" s="102">
        <v>12575</v>
      </c>
      <c r="X96" s="102">
        <v>13225</v>
      </c>
      <c r="Y96" s="102">
        <v>13873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1</v>
      </c>
      <c r="D97" s="102">
        <v>1</v>
      </c>
      <c r="E97" s="102">
        <v>1</v>
      </c>
      <c r="F97" s="102">
        <v>1</v>
      </c>
      <c r="G97" s="102">
        <v>1</v>
      </c>
      <c r="H97" s="102">
        <v>1</v>
      </c>
      <c r="I97" s="102">
        <v>1</v>
      </c>
      <c r="J97" s="102">
        <v>0</v>
      </c>
      <c r="K97" s="102">
        <v>0</v>
      </c>
      <c r="L97" s="102">
        <v>0</v>
      </c>
      <c r="M97" s="102">
        <v>0</v>
      </c>
      <c r="N97" s="102">
        <v>0</v>
      </c>
      <c r="O97" s="102">
        <v>0</v>
      </c>
      <c r="P97" s="102">
        <v>0</v>
      </c>
      <c r="Q97" s="102">
        <v>0</v>
      </c>
      <c r="R97" s="102">
        <v>0</v>
      </c>
      <c r="S97" s="102">
        <v>0</v>
      </c>
      <c r="T97" s="102">
        <v>0</v>
      </c>
      <c r="U97" s="102">
        <v>0</v>
      </c>
      <c r="V97" s="102">
        <v>0</v>
      </c>
      <c r="W97" s="102">
        <v>0</v>
      </c>
      <c r="X97" s="102">
        <v>0</v>
      </c>
      <c r="Y97" s="102">
        <v>0</v>
      </c>
      <c r="DA97" s="175"/>
    </row>
    <row r="98" spans="1:105" ht="11.45" hidden="1" customHeight="1" x14ac:dyDescent="0.25">
      <c r="A98" s="111" t="s">
        <v>113</v>
      </c>
      <c r="B98" s="102">
        <v>0</v>
      </c>
      <c r="C98" s="102">
        <v>0</v>
      </c>
      <c r="D98" s="102">
        <v>0</v>
      </c>
      <c r="E98" s="102">
        <v>0</v>
      </c>
      <c r="F98" s="102">
        <v>0</v>
      </c>
      <c r="G98" s="102">
        <v>0</v>
      </c>
      <c r="H98" s="102">
        <v>0</v>
      </c>
      <c r="I98" s="102">
        <v>0</v>
      </c>
      <c r="J98" s="102">
        <v>0</v>
      </c>
      <c r="K98" s="102">
        <v>0</v>
      </c>
      <c r="L98" s="102">
        <v>0</v>
      </c>
      <c r="M98" s="102">
        <v>0</v>
      </c>
      <c r="N98" s="102">
        <v>0</v>
      </c>
      <c r="O98" s="102">
        <v>0</v>
      </c>
      <c r="P98" s="102">
        <v>0</v>
      </c>
      <c r="Q98" s="102">
        <v>0</v>
      </c>
      <c r="R98" s="102">
        <v>0</v>
      </c>
      <c r="S98" s="102">
        <v>0</v>
      </c>
      <c r="T98" s="102">
        <v>1</v>
      </c>
      <c r="U98" s="102">
        <v>21</v>
      </c>
      <c r="V98" s="102">
        <v>46</v>
      </c>
      <c r="W98" s="102">
        <v>46</v>
      </c>
      <c r="X98" s="102">
        <v>55</v>
      </c>
      <c r="Y98" s="102">
        <v>53</v>
      </c>
      <c r="DA98" s="175"/>
    </row>
    <row r="99" spans="1:105" ht="11.45" hidden="1" customHeight="1" x14ac:dyDescent="0.25">
      <c r="A99" s="111" t="s">
        <v>115</v>
      </c>
      <c r="B99" s="102">
        <v>0</v>
      </c>
      <c r="C99" s="102">
        <v>0</v>
      </c>
      <c r="D99" s="102">
        <v>0</v>
      </c>
      <c r="E99" s="102">
        <v>0</v>
      </c>
      <c r="F99" s="102">
        <v>0</v>
      </c>
      <c r="G99" s="102">
        <v>0</v>
      </c>
      <c r="H99" s="102">
        <v>0</v>
      </c>
      <c r="I99" s="102">
        <v>0</v>
      </c>
      <c r="J99" s="102">
        <v>1</v>
      </c>
      <c r="K99" s="102">
        <v>1</v>
      </c>
      <c r="L99" s="102">
        <v>1</v>
      </c>
      <c r="M99" s="102">
        <v>1</v>
      </c>
      <c r="N99" s="102">
        <v>1</v>
      </c>
      <c r="O99" s="102">
        <v>1</v>
      </c>
      <c r="P99" s="102">
        <v>1</v>
      </c>
      <c r="Q99" s="102">
        <v>1</v>
      </c>
      <c r="R99" s="102">
        <v>1</v>
      </c>
      <c r="S99" s="102">
        <v>1</v>
      </c>
      <c r="T99" s="102">
        <v>1</v>
      </c>
      <c r="U99" s="102">
        <v>1</v>
      </c>
      <c r="V99" s="102">
        <v>4</v>
      </c>
      <c r="W99" s="102">
        <v>6</v>
      </c>
      <c r="X99" s="102">
        <v>20</v>
      </c>
      <c r="Y99" s="102">
        <v>61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222955</v>
      </c>
      <c r="C100" s="28">
        <f t="shared" si="158"/>
        <v>245251</v>
      </c>
      <c r="D100" s="28">
        <f t="shared" ref="D100:V100" si="159">D101+D107</f>
        <v>259974</v>
      </c>
      <c r="E100" s="28">
        <f t="shared" si="159"/>
        <v>276033</v>
      </c>
      <c r="F100" s="28">
        <f t="shared" si="159"/>
        <v>293112</v>
      </c>
      <c r="G100" s="28">
        <f t="shared" si="159"/>
        <v>317037</v>
      </c>
      <c r="H100" s="28">
        <f t="shared" si="159"/>
        <v>345855</v>
      </c>
      <c r="I100" s="28">
        <f t="shared" si="159"/>
        <v>374194</v>
      </c>
      <c r="J100" s="28">
        <f t="shared" si="159"/>
        <v>357370</v>
      </c>
      <c r="K100" s="28">
        <f t="shared" si="159"/>
        <v>341806</v>
      </c>
      <c r="L100" s="28">
        <f t="shared" si="159"/>
        <v>329871</v>
      </c>
      <c r="M100" s="28">
        <f t="shared" si="159"/>
        <v>322489</v>
      </c>
      <c r="N100" s="28">
        <f t="shared" si="159"/>
        <v>313534</v>
      </c>
      <c r="O100" s="28">
        <f t="shared" si="159"/>
        <v>313369</v>
      </c>
      <c r="P100" s="28">
        <f t="shared" si="159"/>
        <v>311198</v>
      </c>
      <c r="Q100" s="28">
        <f t="shared" si="159"/>
        <v>308940</v>
      </c>
      <c r="R100" s="28">
        <f t="shared" si="159"/>
        <v>306433</v>
      </c>
      <c r="S100" s="28">
        <f t="shared" si="159"/>
        <v>310708</v>
      </c>
      <c r="T100" s="28">
        <f t="shared" si="159"/>
        <v>312327</v>
      </c>
      <c r="U100" s="28">
        <f t="shared" si="159"/>
        <v>313827</v>
      </c>
      <c r="V100" s="28">
        <f t="shared" si="159"/>
        <v>312306</v>
      </c>
      <c r="W100" s="28">
        <f t="shared" ref="W100:Y100" si="160">W101+W107</f>
        <v>319279</v>
      </c>
      <c r="X100" s="28">
        <f t="shared" si="160"/>
        <v>323407</v>
      </c>
      <c r="Y100" s="28">
        <f t="shared" si="160"/>
        <v>334610</v>
      </c>
      <c r="DA100" s="173"/>
    </row>
    <row r="101" spans="1:105" ht="11.45" hidden="1" customHeight="1" x14ac:dyDescent="0.25">
      <c r="A101" s="136" t="s">
        <v>153</v>
      </c>
      <c r="B101" s="137">
        <f t="shared" ref="B101:C101" si="161">SUM(B102:B106)</f>
        <v>157329</v>
      </c>
      <c r="C101" s="137">
        <f t="shared" si="161"/>
        <v>170664</v>
      </c>
      <c r="D101" s="137">
        <f t="shared" ref="D101:V101" si="162">SUM(D102:D106)</f>
        <v>183596</v>
      </c>
      <c r="E101" s="137">
        <f t="shared" si="162"/>
        <v>197676</v>
      </c>
      <c r="F101" s="137">
        <f t="shared" si="162"/>
        <v>211065</v>
      </c>
      <c r="G101" s="137">
        <f t="shared" si="162"/>
        <v>226069</v>
      </c>
      <c r="H101" s="137">
        <f t="shared" si="162"/>
        <v>243303</v>
      </c>
      <c r="I101" s="137">
        <f t="shared" si="162"/>
        <v>258412</v>
      </c>
      <c r="J101" s="137">
        <f t="shared" si="162"/>
        <v>261710</v>
      </c>
      <c r="K101" s="137">
        <f t="shared" si="162"/>
        <v>255603</v>
      </c>
      <c r="L101" s="137">
        <f t="shared" si="162"/>
        <v>246984</v>
      </c>
      <c r="M101" s="137">
        <f t="shared" si="162"/>
        <v>242353</v>
      </c>
      <c r="N101" s="137">
        <f t="shared" si="162"/>
        <v>234787</v>
      </c>
      <c r="O101" s="137">
        <f t="shared" si="162"/>
        <v>236544</v>
      </c>
      <c r="P101" s="137">
        <f t="shared" si="162"/>
        <v>230023</v>
      </c>
      <c r="Q101" s="137">
        <f t="shared" si="162"/>
        <v>222726</v>
      </c>
      <c r="R101" s="137">
        <f t="shared" si="162"/>
        <v>218233</v>
      </c>
      <c r="S101" s="137">
        <f t="shared" si="162"/>
        <v>218339</v>
      </c>
      <c r="T101" s="137">
        <f t="shared" si="162"/>
        <v>218365</v>
      </c>
      <c r="U101" s="137">
        <f t="shared" si="162"/>
        <v>218594</v>
      </c>
      <c r="V101" s="137">
        <f t="shared" si="162"/>
        <v>219394</v>
      </c>
      <c r="W101" s="137">
        <f t="shared" ref="W101:Y101" si="163">SUM(W102:W106)</f>
        <v>222720</v>
      </c>
      <c r="X101" s="137">
        <f t="shared" si="163"/>
        <v>226368</v>
      </c>
      <c r="Y101" s="137">
        <f t="shared" si="163"/>
        <v>236639</v>
      </c>
      <c r="DA101" s="174"/>
    </row>
    <row r="102" spans="1:105" ht="11.45" hidden="1" customHeight="1" x14ac:dyDescent="0.25">
      <c r="A102" s="111" t="s">
        <v>110</v>
      </c>
      <c r="B102" s="84">
        <v>3828</v>
      </c>
      <c r="C102" s="84">
        <v>3537</v>
      </c>
      <c r="D102" s="84">
        <v>3307</v>
      </c>
      <c r="E102" s="84">
        <v>2993</v>
      </c>
      <c r="F102" s="84">
        <v>2616</v>
      </c>
      <c r="G102" s="84">
        <v>2027</v>
      </c>
      <c r="H102" s="84">
        <v>1571</v>
      </c>
      <c r="I102" s="84">
        <v>1246</v>
      </c>
      <c r="J102" s="84">
        <v>1132</v>
      </c>
      <c r="K102" s="84">
        <v>1046</v>
      </c>
      <c r="L102" s="84">
        <v>899</v>
      </c>
      <c r="M102" s="84">
        <v>765</v>
      </c>
      <c r="N102" s="84">
        <v>637</v>
      </c>
      <c r="O102" s="84">
        <v>604</v>
      </c>
      <c r="P102" s="84">
        <v>560</v>
      </c>
      <c r="Q102" s="84">
        <v>503</v>
      </c>
      <c r="R102" s="84">
        <v>445</v>
      </c>
      <c r="S102" s="84">
        <v>484</v>
      </c>
      <c r="T102" s="84">
        <v>497</v>
      </c>
      <c r="U102" s="84">
        <v>555</v>
      </c>
      <c r="V102" s="84">
        <v>752</v>
      </c>
      <c r="W102" s="84">
        <v>854</v>
      </c>
      <c r="X102" s="84">
        <v>990</v>
      </c>
      <c r="Y102" s="84">
        <v>1398</v>
      </c>
      <c r="DA102" s="171"/>
    </row>
    <row r="103" spans="1:105" ht="11.45" hidden="1" customHeight="1" x14ac:dyDescent="0.25">
      <c r="A103" s="111" t="s">
        <v>111</v>
      </c>
      <c r="B103" s="84">
        <v>153501</v>
      </c>
      <c r="C103" s="84">
        <v>167127</v>
      </c>
      <c r="D103" s="84">
        <v>180289</v>
      </c>
      <c r="E103" s="84">
        <v>194683</v>
      </c>
      <c r="F103" s="84">
        <v>208449</v>
      </c>
      <c r="G103" s="84">
        <v>224042</v>
      </c>
      <c r="H103" s="84">
        <v>241732</v>
      </c>
      <c r="I103" s="84">
        <v>257166</v>
      </c>
      <c r="J103" s="84">
        <v>260578</v>
      </c>
      <c r="K103" s="84">
        <v>254557</v>
      </c>
      <c r="L103" s="84">
        <v>246085</v>
      </c>
      <c r="M103" s="84">
        <v>241554</v>
      </c>
      <c r="N103" s="84">
        <v>234073</v>
      </c>
      <c r="O103" s="84">
        <v>235857</v>
      </c>
      <c r="P103" s="84">
        <v>229367</v>
      </c>
      <c r="Q103" s="84">
        <v>222131</v>
      </c>
      <c r="R103" s="84">
        <v>217688</v>
      </c>
      <c r="S103" s="84">
        <v>217694</v>
      </c>
      <c r="T103" s="84">
        <v>217694</v>
      </c>
      <c r="U103" s="84">
        <v>217577</v>
      </c>
      <c r="V103" s="84">
        <v>217742</v>
      </c>
      <c r="W103" s="84">
        <v>220308</v>
      </c>
      <c r="X103" s="84">
        <v>223141</v>
      </c>
      <c r="Y103" s="84">
        <v>232026</v>
      </c>
      <c r="DA103" s="171"/>
    </row>
    <row r="104" spans="1:105" ht="11.45" hidden="1" customHeight="1" x14ac:dyDescent="0.25">
      <c r="A104" s="111" t="s">
        <v>112</v>
      </c>
      <c r="B104" s="84">
        <v>0</v>
      </c>
      <c r="C104" s="84">
        <v>0</v>
      </c>
      <c r="D104" s="84">
        <v>0</v>
      </c>
      <c r="E104" s="84">
        <v>0</v>
      </c>
      <c r="F104" s="84">
        <v>0</v>
      </c>
      <c r="G104" s="84">
        <v>0</v>
      </c>
      <c r="H104" s="84">
        <v>0</v>
      </c>
      <c r="I104" s="84">
        <v>0</v>
      </c>
      <c r="J104" s="84">
        <v>0</v>
      </c>
      <c r="K104" s="84">
        <v>0</v>
      </c>
      <c r="L104" s="84">
        <v>0</v>
      </c>
      <c r="M104" s="84">
        <v>0</v>
      </c>
      <c r="N104" s="84">
        <v>0</v>
      </c>
      <c r="O104" s="84">
        <v>2</v>
      </c>
      <c r="P104" s="84">
        <v>4</v>
      </c>
      <c r="Q104" s="84">
        <v>4</v>
      </c>
      <c r="R104" s="84">
        <v>4</v>
      </c>
      <c r="S104" s="84">
        <v>5</v>
      </c>
      <c r="T104" s="84">
        <v>5</v>
      </c>
      <c r="U104" s="84">
        <v>5</v>
      </c>
      <c r="V104" s="84">
        <v>4</v>
      </c>
      <c r="W104" s="84">
        <v>4</v>
      </c>
      <c r="X104" s="84">
        <v>4</v>
      </c>
      <c r="Y104" s="84">
        <v>4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4">
        <v>0</v>
      </c>
      <c r="K105" s="84">
        <v>0</v>
      </c>
      <c r="L105" s="84">
        <v>0</v>
      </c>
      <c r="M105" s="84">
        <v>0</v>
      </c>
      <c r="N105" s="84">
        <v>0</v>
      </c>
      <c r="O105" s="84">
        <v>0</v>
      </c>
      <c r="P105" s="84">
        <v>0</v>
      </c>
      <c r="Q105" s="84">
        <v>0</v>
      </c>
      <c r="R105" s="84">
        <v>4</v>
      </c>
      <c r="S105" s="84">
        <v>4</v>
      </c>
      <c r="T105" s="84">
        <v>4</v>
      </c>
      <c r="U105" s="84">
        <v>4</v>
      </c>
      <c r="V105" s="84">
        <v>6</v>
      </c>
      <c r="W105" s="84">
        <v>6</v>
      </c>
      <c r="X105" s="84">
        <v>6</v>
      </c>
      <c r="Y105" s="84">
        <v>6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0</v>
      </c>
      <c r="J106" s="84">
        <v>0</v>
      </c>
      <c r="K106" s="84">
        <v>0</v>
      </c>
      <c r="L106" s="84">
        <v>0</v>
      </c>
      <c r="M106" s="84">
        <v>34</v>
      </c>
      <c r="N106" s="84">
        <v>77</v>
      </c>
      <c r="O106" s="84">
        <v>81</v>
      </c>
      <c r="P106" s="84">
        <v>92</v>
      </c>
      <c r="Q106" s="84">
        <v>88</v>
      </c>
      <c r="R106" s="84">
        <v>92</v>
      </c>
      <c r="S106" s="84">
        <v>152</v>
      </c>
      <c r="T106" s="84">
        <v>165</v>
      </c>
      <c r="U106" s="84">
        <v>453</v>
      </c>
      <c r="V106" s="84">
        <v>890</v>
      </c>
      <c r="W106" s="84">
        <v>1548</v>
      </c>
      <c r="X106" s="84">
        <v>2227</v>
      </c>
      <c r="Y106" s="84">
        <v>3205</v>
      </c>
      <c r="DA106" s="171"/>
    </row>
    <row r="107" spans="1:105" ht="11.45" hidden="1" customHeight="1" x14ac:dyDescent="0.25">
      <c r="A107" s="109" t="s">
        <v>154</v>
      </c>
      <c r="B107" s="110">
        <f t="shared" ref="B107:C107" si="164">SUM(B108:B109)</f>
        <v>65626</v>
      </c>
      <c r="C107" s="110">
        <f t="shared" si="164"/>
        <v>74587</v>
      </c>
      <c r="D107" s="110">
        <f t="shared" ref="D107:V107" si="165">SUM(D108:D109)</f>
        <v>76378</v>
      </c>
      <c r="E107" s="110">
        <f t="shared" si="165"/>
        <v>78357</v>
      </c>
      <c r="F107" s="110">
        <f t="shared" si="165"/>
        <v>82047</v>
      </c>
      <c r="G107" s="110">
        <f t="shared" si="165"/>
        <v>90968</v>
      </c>
      <c r="H107" s="110">
        <f t="shared" si="165"/>
        <v>102552</v>
      </c>
      <c r="I107" s="110">
        <f t="shared" si="165"/>
        <v>115782</v>
      </c>
      <c r="J107" s="110">
        <f t="shared" si="165"/>
        <v>95660</v>
      </c>
      <c r="K107" s="110">
        <f t="shared" si="165"/>
        <v>86203</v>
      </c>
      <c r="L107" s="110">
        <f t="shared" si="165"/>
        <v>82887</v>
      </c>
      <c r="M107" s="110">
        <f t="shared" si="165"/>
        <v>80136</v>
      </c>
      <c r="N107" s="110">
        <f t="shared" si="165"/>
        <v>78747</v>
      </c>
      <c r="O107" s="110">
        <f t="shared" si="165"/>
        <v>76825</v>
      </c>
      <c r="P107" s="110">
        <f t="shared" si="165"/>
        <v>81175</v>
      </c>
      <c r="Q107" s="110">
        <f t="shared" si="165"/>
        <v>86214</v>
      </c>
      <c r="R107" s="110">
        <f t="shared" si="165"/>
        <v>88200</v>
      </c>
      <c r="S107" s="110">
        <f t="shared" si="165"/>
        <v>92369</v>
      </c>
      <c r="T107" s="110">
        <f t="shared" si="165"/>
        <v>93962</v>
      </c>
      <c r="U107" s="110">
        <f t="shared" si="165"/>
        <v>95233</v>
      </c>
      <c r="V107" s="110">
        <f t="shared" si="165"/>
        <v>92912</v>
      </c>
      <c r="W107" s="110">
        <f t="shared" ref="W107:Y107" si="166">SUM(W108:W109)</f>
        <v>96559</v>
      </c>
      <c r="X107" s="110">
        <f t="shared" si="166"/>
        <v>97039</v>
      </c>
      <c r="Y107" s="110">
        <f t="shared" si="166"/>
        <v>97971</v>
      </c>
      <c r="DA107" s="176"/>
    </row>
    <row r="108" spans="1:105" ht="11.45" hidden="1" customHeight="1" x14ac:dyDescent="0.25">
      <c r="A108" s="128" t="s">
        <v>27</v>
      </c>
      <c r="B108" s="102">
        <v>64655</v>
      </c>
      <c r="C108" s="102">
        <v>73546</v>
      </c>
      <c r="D108" s="102">
        <v>75282</v>
      </c>
      <c r="E108" s="102">
        <v>77237</v>
      </c>
      <c r="F108" s="102">
        <v>80723</v>
      </c>
      <c r="G108" s="102">
        <v>89599</v>
      </c>
      <c r="H108" s="102">
        <v>101146</v>
      </c>
      <c r="I108" s="102">
        <v>114266</v>
      </c>
      <c r="J108" s="102">
        <v>94323</v>
      </c>
      <c r="K108" s="102">
        <v>85050</v>
      </c>
      <c r="L108" s="102">
        <v>81696</v>
      </c>
      <c r="M108" s="102">
        <v>78837</v>
      </c>
      <c r="N108" s="102">
        <v>77579</v>
      </c>
      <c r="O108" s="102">
        <v>75709</v>
      </c>
      <c r="P108" s="102">
        <v>80087</v>
      </c>
      <c r="Q108" s="102">
        <v>84988</v>
      </c>
      <c r="R108" s="102">
        <v>87095</v>
      </c>
      <c r="S108" s="102">
        <v>91290</v>
      </c>
      <c r="T108" s="102">
        <v>92774</v>
      </c>
      <c r="U108" s="102">
        <v>93874</v>
      </c>
      <c r="V108" s="102">
        <v>92415</v>
      </c>
      <c r="W108" s="102">
        <v>96051</v>
      </c>
      <c r="X108" s="102">
        <v>96551</v>
      </c>
      <c r="Y108" s="102">
        <v>97451</v>
      </c>
      <c r="DA108" s="175"/>
    </row>
    <row r="109" spans="1:105" ht="11.45" hidden="1" customHeight="1" x14ac:dyDescent="0.25">
      <c r="A109" s="138" t="s">
        <v>116</v>
      </c>
      <c r="B109" s="86">
        <v>971</v>
      </c>
      <c r="C109" s="86">
        <v>1041</v>
      </c>
      <c r="D109" s="86">
        <v>1096</v>
      </c>
      <c r="E109" s="86">
        <v>1120</v>
      </c>
      <c r="F109" s="86">
        <v>1324</v>
      </c>
      <c r="G109" s="86">
        <v>1369</v>
      </c>
      <c r="H109" s="86">
        <v>1406</v>
      </c>
      <c r="I109" s="86">
        <v>1516</v>
      </c>
      <c r="J109" s="86">
        <v>1337</v>
      </c>
      <c r="K109" s="86">
        <v>1153</v>
      </c>
      <c r="L109" s="86">
        <v>1191</v>
      </c>
      <c r="M109" s="86">
        <v>1299</v>
      </c>
      <c r="N109" s="86">
        <v>1168</v>
      </c>
      <c r="O109" s="86">
        <v>1116</v>
      </c>
      <c r="P109" s="86">
        <v>1088</v>
      </c>
      <c r="Q109" s="86">
        <v>1226</v>
      </c>
      <c r="R109" s="86">
        <v>1105</v>
      </c>
      <c r="S109" s="86">
        <v>1079</v>
      </c>
      <c r="T109" s="86">
        <v>1188</v>
      </c>
      <c r="U109" s="86">
        <v>1359</v>
      </c>
      <c r="V109" s="86">
        <v>497</v>
      </c>
      <c r="W109" s="86">
        <v>508</v>
      </c>
      <c r="X109" s="86">
        <v>488</v>
      </c>
      <c r="Y109" s="86">
        <v>520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263970</v>
      </c>
      <c r="C111" s="54">
        <f t="shared" si="167"/>
        <v>199545</v>
      </c>
      <c r="D111" s="54">
        <f t="shared" si="167"/>
        <v>185961</v>
      </c>
      <c r="E111" s="54">
        <f t="shared" si="167"/>
        <v>178407</v>
      </c>
      <c r="F111" s="54">
        <f t="shared" si="167"/>
        <v>185357</v>
      </c>
      <c r="G111" s="54">
        <f t="shared" si="167"/>
        <v>220541</v>
      </c>
      <c r="H111" s="54">
        <f t="shared" si="167"/>
        <v>267326</v>
      </c>
      <c r="I111" s="54">
        <f t="shared" si="167"/>
        <v>244705</v>
      </c>
      <c r="J111" s="54">
        <f t="shared" si="167"/>
        <v>222393</v>
      </c>
      <c r="K111" s="54">
        <f t="shared" si="167"/>
        <v>78471</v>
      </c>
      <c r="L111" s="54">
        <f t="shared" ref="L111" si="168">L112+L127</f>
        <v>120315</v>
      </c>
      <c r="M111" s="54">
        <f t="shared" ref="M111:V111" si="169">M112+M127</f>
        <v>139506</v>
      </c>
      <c r="N111" s="54">
        <f t="shared" si="169"/>
        <v>101117</v>
      </c>
      <c r="O111" s="54">
        <f t="shared" si="169"/>
        <v>200384</v>
      </c>
      <c r="P111" s="54">
        <f t="shared" si="169"/>
        <v>143385</v>
      </c>
      <c r="Q111" s="54">
        <f t="shared" si="169"/>
        <v>169772</v>
      </c>
      <c r="R111" s="54">
        <f t="shared" si="169"/>
        <v>198863</v>
      </c>
      <c r="S111" s="54">
        <f t="shared" si="169"/>
        <v>201559</v>
      </c>
      <c r="T111" s="54">
        <f t="shared" si="169"/>
        <v>217853</v>
      </c>
      <c r="U111" s="54">
        <f t="shared" si="169"/>
        <v>237893</v>
      </c>
      <c r="V111" s="54">
        <f t="shared" si="169"/>
        <v>195571</v>
      </c>
      <c r="W111" s="54">
        <f t="shared" ref="W111:Y111" si="170">W112+W127</f>
        <v>202027</v>
      </c>
      <c r="X111" s="54">
        <f t="shared" si="170"/>
        <v>184820</v>
      </c>
      <c r="Y111" s="54">
        <f t="shared" si="170"/>
        <v>215811</v>
      </c>
      <c r="DA111" s="172" t="s">
        <v>526</v>
      </c>
    </row>
    <row r="112" spans="1:105" ht="11.45" customHeight="1" x14ac:dyDescent="0.25">
      <c r="A112" s="27" t="s">
        <v>33</v>
      </c>
      <c r="B112" s="28">
        <f t="shared" ref="B112:K112" si="171">B113+B114+B121</f>
        <v>232481</v>
      </c>
      <c r="C112" s="28">
        <f t="shared" si="171"/>
        <v>168651</v>
      </c>
      <c r="D112" s="28">
        <f t="shared" si="171"/>
        <v>159122</v>
      </c>
      <c r="E112" s="28">
        <f t="shared" si="171"/>
        <v>149341</v>
      </c>
      <c r="F112" s="28">
        <f t="shared" si="171"/>
        <v>155848</v>
      </c>
      <c r="G112" s="28">
        <f t="shared" si="171"/>
        <v>183638</v>
      </c>
      <c r="H112" s="28">
        <f t="shared" si="171"/>
        <v>225914</v>
      </c>
      <c r="I112" s="28">
        <f t="shared" si="171"/>
        <v>201572</v>
      </c>
      <c r="J112" s="28">
        <f t="shared" si="171"/>
        <v>193355</v>
      </c>
      <c r="K112" s="28">
        <f t="shared" si="171"/>
        <v>69231</v>
      </c>
      <c r="L112" s="28">
        <f t="shared" ref="L112" si="172">L113+L114+L121</f>
        <v>109456</v>
      </c>
      <c r="M112" s="28">
        <f t="shared" ref="M112:V112" si="173">M113+M114+M121</f>
        <v>127537</v>
      </c>
      <c r="N112" s="28">
        <f t="shared" si="173"/>
        <v>89981</v>
      </c>
      <c r="O112" s="28">
        <f t="shared" si="173"/>
        <v>188275</v>
      </c>
      <c r="P112" s="28">
        <f t="shared" si="173"/>
        <v>125728</v>
      </c>
      <c r="Q112" s="28">
        <f t="shared" si="173"/>
        <v>146829</v>
      </c>
      <c r="R112" s="28">
        <f t="shared" si="173"/>
        <v>171579</v>
      </c>
      <c r="S112" s="28">
        <f t="shared" si="173"/>
        <v>175667</v>
      </c>
      <c r="T112" s="28">
        <f t="shared" si="173"/>
        <v>194416</v>
      </c>
      <c r="U112" s="28">
        <f t="shared" si="173"/>
        <v>214238</v>
      </c>
      <c r="V112" s="28">
        <f t="shared" si="173"/>
        <v>177821</v>
      </c>
      <c r="W112" s="28">
        <f t="shared" ref="W112:Y112" si="174">W113+W114+W121</f>
        <v>174765</v>
      </c>
      <c r="X112" s="28">
        <f t="shared" si="174"/>
        <v>162528</v>
      </c>
      <c r="Y112" s="28">
        <f t="shared" si="174"/>
        <v>190693</v>
      </c>
      <c r="DA112" s="173" t="s">
        <v>527</v>
      </c>
    </row>
    <row r="113" spans="1:105" ht="11.45" customHeight="1" x14ac:dyDescent="0.25">
      <c r="A113" s="136" t="s">
        <v>173</v>
      </c>
      <c r="B113" s="137">
        <v>3848</v>
      </c>
      <c r="C113" s="137">
        <v>4705</v>
      </c>
      <c r="D113" s="137">
        <v>5596</v>
      </c>
      <c r="E113" s="137">
        <v>2853</v>
      </c>
      <c r="F113" s="137">
        <v>2534</v>
      </c>
      <c r="G113" s="137">
        <v>2391</v>
      </c>
      <c r="H113" s="137">
        <v>2508</v>
      </c>
      <c r="I113" s="137">
        <v>2882</v>
      </c>
      <c r="J113" s="137">
        <v>2789</v>
      </c>
      <c r="K113" s="137">
        <v>1422</v>
      </c>
      <c r="L113" s="137">
        <v>1112</v>
      </c>
      <c r="M113" s="137">
        <v>831</v>
      </c>
      <c r="N113" s="137">
        <v>663</v>
      </c>
      <c r="O113" s="137">
        <v>3044</v>
      </c>
      <c r="P113" s="137">
        <v>1499</v>
      </c>
      <c r="Q113" s="137">
        <v>2022</v>
      </c>
      <c r="R113" s="137">
        <v>2604</v>
      </c>
      <c r="S113" s="137">
        <v>3420</v>
      </c>
      <c r="T113" s="137">
        <v>2371</v>
      </c>
      <c r="U113" s="137">
        <v>3897</v>
      </c>
      <c r="V113" s="137">
        <v>3964</v>
      </c>
      <c r="W113" s="137">
        <v>3489</v>
      </c>
      <c r="X113" s="137">
        <v>3776</v>
      </c>
      <c r="Y113" s="137">
        <v>3877</v>
      </c>
      <c r="DA113" s="174" t="s">
        <v>528</v>
      </c>
    </row>
    <row r="114" spans="1:105" ht="11.45" customHeight="1" x14ac:dyDescent="0.25">
      <c r="A114" s="109" t="s">
        <v>20</v>
      </c>
      <c r="B114" s="110">
        <f t="shared" ref="B114:K114" si="175">SUM(B115:B120)</f>
        <v>227432</v>
      </c>
      <c r="C114" s="110">
        <f t="shared" si="175"/>
        <v>163143</v>
      </c>
      <c r="D114" s="110">
        <f t="shared" si="175"/>
        <v>152879</v>
      </c>
      <c r="E114" s="110">
        <f t="shared" si="175"/>
        <v>145532</v>
      </c>
      <c r="F114" s="110">
        <f t="shared" si="175"/>
        <v>152487</v>
      </c>
      <c r="G114" s="110">
        <f t="shared" si="175"/>
        <v>180386</v>
      </c>
      <c r="H114" s="110">
        <f t="shared" si="175"/>
        <v>222270</v>
      </c>
      <c r="I114" s="110">
        <f t="shared" si="175"/>
        <v>197572</v>
      </c>
      <c r="J114" s="110">
        <f t="shared" si="175"/>
        <v>189414</v>
      </c>
      <c r="K114" s="110">
        <f t="shared" si="175"/>
        <v>67434</v>
      </c>
      <c r="L114" s="110">
        <f t="shared" ref="L114" si="176">SUM(L115:L120)</f>
        <v>108103</v>
      </c>
      <c r="M114" s="110">
        <f t="shared" ref="M114:V114" si="177">SUM(M115:M120)</f>
        <v>126109</v>
      </c>
      <c r="N114" s="110">
        <f t="shared" si="177"/>
        <v>88649</v>
      </c>
      <c r="O114" s="110">
        <f t="shared" si="177"/>
        <v>184381</v>
      </c>
      <c r="P114" s="110">
        <f t="shared" si="177"/>
        <v>123354</v>
      </c>
      <c r="Q114" s="110">
        <f t="shared" si="177"/>
        <v>143704</v>
      </c>
      <c r="R114" s="110">
        <f t="shared" si="177"/>
        <v>167878</v>
      </c>
      <c r="S114" s="110">
        <f t="shared" si="177"/>
        <v>171170</v>
      </c>
      <c r="T114" s="110">
        <f t="shared" si="177"/>
        <v>190883</v>
      </c>
      <c r="U114" s="110">
        <f t="shared" si="177"/>
        <v>209201</v>
      </c>
      <c r="V114" s="110">
        <f t="shared" si="177"/>
        <v>173582</v>
      </c>
      <c r="W114" s="110">
        <f t="shared" ref="W114:Y114" si="178">SUM(W115:W120)</f>
        <v>170481</v>
      </c>
      <c r="X114" s="110">
        <f t="shared" si="178"/>
        <v>157190</v>
      </c>
      <c r="Y114" s="110">
        <f t="shared" si="178"/>
        <v>185198</v>
      </c>
      <c r="DA114" s="176" t="s">
        <v>529</v>
      </c>
    </row>
    <row r="115" spans="1:105" ht="11.45" customHeight="1" x14ac:dyDescent="0.25">
      <c r="A115" s="111" t="s">
        <v>110</v>
      </c>
      <c r="B115" s="84">
        <v>201938</v>
      </c>
      <c r="C115" s="84">
        <v>139909</v>
      </c>
      <c r="D115" s="84">
        <v>125347</v>
      </c>
      <c r="E115" s="84">
        <v>117765</v>
      </c>
      <c r="F115" s="84">
        <v>121504</v>
      </c>
      <c r="G115" s="84">
        <v>129552</v>
      </c>
      <c r="H115" s="84">
        <v>153065</v>
      </c>
      <c r="I115" s="84">
        <v>131964</v>
      </c>
      <c r="J115" s="84">
        <v>96775</v>
      </c>
      <c r="K115" s="84">
        <v>21275</v>
      </c>
      <c r="L115" s="84">
        <v>35382</v>
      </c>
      <c r="M115" s="84">
        <v>31492</v>
      </c>
      <c r="N115" s="84">
        <v>19759</v>
      </c>
      <c r="O115" s="84">
        <v>18032</v>
      </c>
      <c r="P115" s="84">
        <v>26309</v>
      </c>
      <c r="Q115" s="84">
        <v>39089</v>
      </c>
      <c r="R115" s="84">
        <v>46686</v>
      </c>
      <c r="S115" s="84">
        <v>50143</v>
      </c>
      <c r="T115" s="84">
        <v>62142</v>
      </c>
      <c r="U115" s="84">
        <v>68121</v>
      </c>
      <c r="V115" s="84">
        <v>52593</v>
      </c>
      <c r="W115" s="84">
        <v>62836</v>
      </c>
      <c r="X115" s="84">
        <v>68237</v>
      </c>
      <c r="Y115" s="84">
        <v>75042</v>
      </c>
      <c r="DA115" s="171" t="s">
        <v>530</v>
      </c>
    </row>
    <row r="116" spans="1:105" ht="11.45" customHeight="1" x14ac:dyDescent="0.25">
      <c r="A116" s="111" t="s">
        <v>111</v>
      </c>
      <c r="B116" s="84">
        <v>25494</v>
      </c>
      <c r="C116" s="84">
        <v>23234</v>
      </c>
      <c r="D116" s="84">
        <v>27532</v>
      </c>
      <c r="E116" s="84">
        <v>27767</v>
      </c>
      <c r="F116" s="84">
        <v>30983</v>
      </c>
      <c r="G116" s="84">
        <v>50834</v>
      </c>
      <c r="H116" s="84">
        <v>69205</v>
      </c>
      <c r="I116" s="84">
        <v>65402</v>
      </c>
      <c r="J116" s="84">
        <v>92639</v>
      </c>
      <c r="K116" s="84">
        <v>46137</v>
      </c>
      <c r="L116" s="84">
        <v>72686</v>
      </c>
      <c r="M116" s="84">
        <v>93962</v>
      </c>
      <c r="N116" s="84">
        <v>67689</v>
      </c>
      <c r="O116" s="84">
        <v>165908</v>
      </c>
      <c r="P116" s="84">
        <v>95828</v>
      </c>
      <c r="Q116" s="84">
        <v>103908</v>
      </c>
      <c r="R116" s="84">
        <v>120214</v>
      </c>
      <c r="S116" s="84">
        <v>119609</v>
      </c>
      <c r="T116" s="84">
        <v>125981</v>
      </c>
      <c r="U116" s="84">
        <v>135532</v>
      </c>
      <c r="V116" s="84">
        <v>114083</v>
      </c>
      <c r="W116" s="84">
        <v>86189</v>
      </c>
      <c r="X116" s="84">
        <v>64085</v>
      </c>
      <c r="Y116" s="84">
        <v>75910</v>
      </c>
      <c r="DA116" s="171" t="s">
        <v>531</v>
      </c>
    </row>
    <row r="117" spans="1:105" ht="11.45" customHeight="1" x14ac:dyDescent="0.25">
      <c r="A117" s="111" t="s">
        <v>112</v>
      </c>
      <c r="B117" s="84">
        <v>0</v>
      </c>
      <c r="C117" s="84">
        <v>0</v>
      </c>
      <c r="D117" s="84">
        <v>0</v>
      </c>
      <c r="E117" s="84">
        <v>0</v>
      </c>
      <c r="F117" s="84">
        <v>0</v>
      </c>
      <c r="G117" s="84">
        <v>0</v>
      </c>
      <c r="H117" s="84">
        <v>0</v>
      </c>
      <c r="I117" s="84">
        <v>206</v>
      </c>
      <c r="J117" s="84">
        <v>0</v>
      </c>
      <c r="K117" s="84">
        <v>20</v>
      </c>
      <c r="L117" s="84">
        <v>16</v>
      </c>
      <c r="M117" s="84">
        <v>58</v>
      </c>
      <c r="N117" s="84">
        <v>433</v>
      </c>
      <c r="O117" s="84">
        <v>267</v>
      </c>
      <c r="P117" s="84">
        <v>890</v>
      </c>
      <c r="Q117" s="84">
        <v>108</v>
      </c>
      <c r="R117" s="84">
        <v>0</v>
      </c>
      <c r="S117" s="84">
        <v>8</v>
      </c>
      <c r="T117" s="84">
        <v>9</v>
      </c>
      <c r="U117" s="84">
        <v>11</v>
      </c>
      <c r="V117" s="84">
        <v>23</v>
      </c>
      <c r="W117" s="84">
        <v>334</v>
      </c>
      <c r="X117" s="84">
        <v>582</v>
      </c>
      <c r="Y117" s="84">
        <v>0</v>
      </c>
      <c r="DA117" s="171" t="s">
        <v>532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0</v>
      </c>
      <c r="G118" s="84">
        <v>0</v>
      </c>
      <c r="H118" s="84">
        <v>0</v>
      </c>
      <c r="I118" s="84">
        <v>0</v>
      </c>
      <c r="J118" s="84">
        <v>0</v>
      </c>
      <c r="K118" s="84">
        <v>0</v>
      </c>
      <c r="L118" s="84">
        <v>0</v>
      </c>
      <c r="M118" s="84">
        <v>0</v>
      </c>
      <c r="N118" s="84">
        <v>0</v>
      </c>
      <c r="O118" s="84">
        <v>0</v>
      </c>
      <c r="P118" s="84">
        <v>10</v>
      </c>
      <c r="Q118" s="84">
        <v>6</v>
      </c>
      <c r="R118" s="84">
        <v>0</v>
      </c>
      <c r="S118" s="84">
        <v>0</v>
      </c>
      <c r="T118" s="84">
        <v>0</v>
      </c>
      <c r="U118" s="84">
        <v>0</v>
      </c>
      <c r="V118" s="84">
        <v>0</v>
      </c>
      <c r="W118" s="84">
        <v>0</v>
      </c>
      <c r="X118" s="84">
        <v>176</v>
      </c>
      <c r="Y118" s="84">
        <v>0</v>
      </c>
      <c r="DA118" s="171" t="s">
        <v>533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0</v>
      </c>
      <c r="N119" s="84">
        <v>0</v>
      </c>
      <c r="O119" s="84">
        <v>7</v>
      </c>
      <c r="P119" s="84">
        <v>33</v>
      </c>
      <c r="Q119" s="84">
        <v>99</v>
      </c>
      <c r="R119" s="84">
        <v>289</v>
      </c>
      <c r="S119" s="84">
        <v>327</v>
      </c>
      <c r="T119" s="84">
        <v>893</v>
      </c>
      <c r="U119" s="84">
        <v>1533</v>
      </c>
      <c r="V119" s="84">
        <v>2718</v>
      </c>
      <c r="W119" s="84">
        <v>11923</v>
      </c>
      <c r="X119" s="84">
        <v>8238</v>
      </c>
      <c r="Y119" s="84">
        <v>11065</v>
      </c>
      <c r="DA119" s="171" t="s">
        <v>534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0</v>
      </c>
      <c r="K120" s="84">
        <v>2</v>
      </c>
      <c r="L120" s="84">
        <v>19</v>
      </c>
      <c r="M120" s="84">
        <v>597</v>
      </c>
      <c r="N120" s="84">
        <v>768</v>
      </c>
      <c r="O120" s="84">
        <v>167</v>
      </c>
      <c r="P120" s="84">
        <v>284</v>
      </c>
      <c r="Q120" s="84">
        <v>494</v>
      </c>
      <c r="R120" s="84">
        <v>689</v>
      </c>
      <c r="S120" s="84">
        <v>1083</v>
      </c>
      <c r="T120" s="84">
        <v>1858</v>
      </c>
      <c r="U120" s="84">
        <v>4004</v>
      </c>
      <c r="V120" s="84">
        <v>4165</v>
      </c>
      <c r="W120" s="84">
        <v>9199</v>
      </c>
      <c r="X120" s="84">
        <v>15872</v>
      </c>
      <c r="Y120" s="84">
        <v>23181</v>
      </c>
      <c r="DA120" s="171" t="s">
        <v>535</v>
      </c>
    </row>
    <row r="121" spans="1:105" ht="11.45" customHeight="1" x14ac:dyDescent="0.25">
      <c r="A121" s="109" t="s">
        <v>21</v>
      </c>
      <c r="B121" s="110">
        <f t="shared" ref="B121:K121" si="179">SUM(B122:B126)</f>
        <v>1201</v>
      </c>
      <c r="C121" s="110">
        <f t="shared" si="179"/>
        <v>803</v>
      </c>
      <c r="D121" s="110">
        <f t="shared" si="179"/>
        <v>647</v>
      </c>
      <c r="E121" s="110">
        <f t="shared" si="179"/>
        <v>956</v>
      </c>
      <c r="F121" s="110">
        <f t="shared" si="179"/>
        <v>827</v>
      </c>
      <c r="G121" s="110">
        <f t="shared" si="179"/>
        <v>861</v>
      </c>
      <c r="H121" s="110">
        <f t="shared" si="179"/>
        <v>1136</v>
      </c>
      <c r="I121" s="110">
        <f t="shared" si="179"/>
        <v>1118</v>
      </c>
      <c r="J121" s="110">
        <f t="shared" si="179"/>
        <v>1152</v>
      </c>
      <c r="K121" s="110">
        <f t="shared" si="179"/>
        <v>375</v>
      </c>
      <c r="L121" s="110">
        <f t="shared" ref="L121" si="180">SUM(L122:L126)</f>
        <v>241</v>
      </c>
      <c r="M121" s="110">
        <f t="shared" ref="M121:V121" si="181">SUM(M122:M126)</f>
        <v>597</v>
      </c>
      <c r="N121" s="110">
        <f t="shared" si="181"/>
        <v>669</v>
      </c>
      <c r="O121" s="110">
        <f t="shared" si="181"/>
        <v>850</v>
      </c>
      <c r="P121" s="110">
        <f t="shared" si="181"/>
        <v>875</v>
      </c>
      <c r="Q121" s="110">
        <f t="shared" si="181"/>
        <v>1103</v>
      </c>
      <c r="R121" s="110">
        <f t="shared" si="181"/>
        <v>1097</v>
      </c>
      <c r="S121" s="110">
        <f t="shared" si="181"/>
        <v>1077</v>
      </c>
      <c r="T121" s="110">
        <f t="shared" si="181"/>
        <v>1162</v>
      </c>
      <c r="U121" s="110">
        <f t="shared" si="181"/>
        <v>1140</v>
      </c>
      <c r="V121" s="110">
        <f t="shared" si="181"/>
        <v>275</v>
      </c>
      <c r="W121" s="110">
        <f t="shared" ref="W121:Y121" si="182">SUM(W122:W126)</f>
        <v>795</v>
      </c>
      <c r="X121" s="110">
        <f t="shared" si="182"/>
        <v>1562</v>
      </c>
      <c r="Y121" s="110">
        <f t="shared" si="182"/>
        <v>1618</v>
      </c>
      <c r="DA121" s="176" t="s">
        <v>536</v>
      </c>
    </row>
    <row r="122" spans="1:105" ht="11.45" customHeight="1" x14ac:dyDescent="0.25">
      <c r="A122" s="111" t="s">
        <v>110</v>
      </c>
      <c r="B122" s="102">
        <v>1</v>
      </c>
      <c r="C122" s="102">
        <v>0</v>
      </c>
      <c r="D122" s="102">
        <v>0</v>
      </c>
      <c r="E122" s="102">
        <v>0</v>
      </c>
      <c r="F122" s="102">
        <v>0</v>
      </c>
      <c r="G122" s="102">
        <v>0</v>
      </c>
      <c r="H122" s="102">
        <v>0</v>
      </c>
      <c r="I122" s="102">
        <v>1</v>
      </c>
      <c r="J122" s="102">
        <v>0</v>
      </c>
      <c r="K122" s="102">
        <v>0</v>
      </c>
      <c r="L122" s="102">
        <v>0</v>
      </c>
      <c r="M122" s="102">
        <v>0</v>
      </c>
      <c r="N122" s="102">
        <v>0</v>
      </c>
      <c r="O122" s="102">
        <v>0</v>
      </c>
      <c r="P122" s="102">
        <v>0</v>
      </c>
      <c r="Q122" s="102">
        <v>0</v>
      </c>
      <c r="R122" s="102">
        <v>0</v>
      </c>
      <c r="S122" s="102">
        <v>3</v>
      </c>
      <c r="T122" s="102">
        <v>0</v>
      </c>
      <c r="U122" s="102">
        <v>3</v>
      </c>
      <c r="V122" s="102">
        <v>0</v>
      </c>
      <c r="W122" s="102">
        <v>0</v>
      </c>
      <c r="X122" s="102">
        <v>25</v>
      </c>
      <c r="Y122" s="102">
        <v>58</v>
      </c>
      <c r="DA122" s="175" t="s">
        <v>537</v>
      </c>
    </row>
    <row r="123" spans="1:105" ht="11.45" customHeight="1" x14ac:dyDescent="0.25">
      <c r="A123" s="111" t="s">
        <v>111</v>
      </c>
      <c r="B123" s="102">
        <v>1200</v>
      </c>
      <c r="C123" s="102">
        <v>802</v>
      </c>
      <c r="D123" s="102">
        <v>647</v>
      </c>
      <c r="E123" s="102">
        <v>956</v>
      </c>
      <c r="F123" s="102">
        <v>827</v>
      </c>
      <c r="G123" s="102">
        <v>861</v>
      </c>
      <c r="H123" s="102">
        <v>1136</v>
      </c>
      <c r="I123" s="102">
        <v>1117</v>
      </c>
      <c r="J123" s="102">
        <v>1151</v>
      </c>
      <c r="K123" s="102">
        <v>375</v>
      </c>
      <c r="L123" s="102">
        <v>241</v>
      </c>
      <c r="M123" s="102">
        <v>597</v>
      </c>
      <c r="N123" s="102">
        <v>669</v>
      </c>
      <c r="O123" s="102">
        <v>850</v>
      </c>
      <c r="P123" s="102">
        <v>875</v>
      </c>
      <c r="Q123" s="102">
        <v>1103</v>
      </c>
      <c r="R123" s="102">
        <v>1097</v>
      </c>
      <c r="S123" s="102">
        <v>1074</v>
      </c>
      <c r="T123" s="102">
        <v>1161</v>
      </c>
      <c r="U123" s="102">
        <v>1116</v>
      </c>
      <c r="V123" s="102">
        <v>247</v>
      </c>
      <c r="W123" s="102">
        <v>792</v>
      </c>
      <c r="X123" s="102">
        <v>1508</v>
      </c>
      <c r="Y123" s="102">
        <v>1502</v>
      </c>
      <c r="DA123" s="175" t="s">
        <v>538</v>
      </c>
    </row>
    <row r="124" spans="1:105" ht="11.45" customHeight="1" x14ac:dyDescent="0.25">
      <c r="A124" s="111" t="s">
        <v>112</v>
      </c>
      <c r="B124" s="102">
        <v>0</v>
      </c>
      <c r="C124" s="102">
        <v>1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0</v>
      </c>
      <c r="L124" s="102">
        <v>0</v>
      </c>
      <c r="M124" s="102">
        <v>0</v>
      </c>
      <c r="N124" s="102">
        <v>0</v>
      </c>
      <c r="O124" s="102">
        <v>0</v>
      </c>
      <c r="P124" s="102">
        <v>0</v>
      </c>
      <c r="Q124" s="102">
        <v>0</v>
      </c>
      <c r="R124" s="102">
        <v>0</v>
      </c>
      <c r="S124" s="102">
        <v>0</v>
      </c>
      <c r="T124" s="102">
        <v>0</v>
      </c>
      <c r="U124" s="102">
        <v>0</v>
      </c>
      <c r="V124" s="102">
        <v>0</v>
      </c>
      <c r="W124" s="102">
        <v>0</v>
      </c>
      <c r="X124" s="102">
        <v>0</v>
      </c>
      <c r="Y124" s="102">
        <v>0</v>
      </c>
      <c r="DA124" s="175" t="s">
        <v>539</v>
      </c>
    </row>
    <row r="125" spans="1:105" ht="11.45" customHeight="1" x14ac:dyDescent="0.25">
      <c r="A125" s="111" t="s">
        <v>113</v>
      </c>
      <c r="B125" s="102">
        <v>0</v>
      </c>
      <c r="C125" s="102">
        <v>0</v>
      </c>
      <c r="D125" s="102">
        <v>0</v>
      </c>
      <c r="E125" s="102">
        <v>0</v>
      </c>
      <c r="F125" s="102">
        <v>0</v>
      </c>
      <c r="G125" s="102">
        <v>0</v>
      </c>
      <c r="H125" s="102">
        <v>0</v>
      </c>
      <c r="I125" s="102">
        <v>0</v>
      </c>
      <c r="J125" s="102">
        <v>0</v>
      </c>
      <c r="K125" s="102">
        <v>0</v>
      </c>
      <c r="L125" s="102">
        <v>0</v>
      </c>
      <c r="M125" s="102">
        <v>0</v>
      </c>
      <c r="N125" s="102">
        <v>0</v>
      </c>
      <c r="O125" s="102">
        <v>0</v>
      </c>
      <c r="P125" s="102">
        <v>0</v>
      </c>
      <c r="Q125" s="102">
        <v>0</v>
      </c>
      <c r="R125" s="102">
        <v>0</v>
      </c>
      <c r="S125" s="102">
        <v>0</v>
      </c>
      <c r="T125" s="102">
        <v>1</v>
      </c>
      <c r="U125" s="102">
        <v>20</v>
      </c>
      <c r="V125" s="102">
        <v>25</v>
      </c>
      <c r="W125" s="102">
        <v>0</v>
      </c>
      <c r="X125" s="102">
        <v>9</v>
      </c>
      <c r="Y125" s="102">
        <v>0</v>
      </c>
      <c r="DA125" s="175" t="s">
        <v>540</v>
      </c>
    </row>
    <row r="126" spans="1:105" ht="11.45" customHeight="1" x14ac:dyDescent="0.25">
      <c r="A126" s="111" t="s">
        <v>115</v>
      </c>
      <c r="B126" s="102">
        <v>0</v>
      </c>
      <c r="C126" s="102">
        <v>0</v>
      </c>
      <c r="D126" s="102">
        <v>0</v>
      </c>
      <c r="E126" s="102">
        <v>0</v>
      </c>
      <c r="F126" s="102">
        <v>0</v>
      </c>
      <c r="G126" s="102">
        <v>0</v>
      </c>
      <c r="H126" s="102">
        <v>0</v>
      </c>
      <c r="I126" s="102">
        <v>0</v>
      </c>
      <c r="J126" s="102">
        <v>1</v>
      </c>
      <c r="K126" s="102">
        <v>0</v>
      </c>
      <c r="L126" s="102">
        <v>0</v>
      </c>
      <c r="M126" s="102">
        <v>0</v>
      </c>
      <c r="N126" s="102">
        <v>0</v>
      </c>
      <c r="O126" s="102">
        <v>0</v>
      </c>
      <c r="P126" s="102">
        <v>0</v>
      </c>
      <c r="Q126" s="102">
        <v>0</v>
      </c>
      <c r="R126" s="102">
        <v>0</v>
      </c>
      <c r="S126" s="102">
        <v>0</v>
      </c>
      <c r="T126" s="102">
        <v>0</v>
      </c>
      <c r="U126" s="102">
        <v>1</v>
      </c>
      <c r="V126" s="102">
        <v>3</v>
      </c>
      <c r="W126" s="102">
        <v>3</v>
      </c>
      <c r="X126" s="102">
        <v>20</v>
      </c>
      <c r="Y126" s="102">
        <v>58</v>
      </c>
      <c r="DA126" s="175" t="s">
        <v>541</v>
      </c>
    </row>
    <row r="127" spans="1:105" ht="11.45" customHeight="1" x14ac:dyDescent="0.25">
      <c r="A127" s="27" t="s">
        <v>34</v>
      </c>
      <c r="B127" s="28">
        <f t="shared" ref="B127:K127" si="183">B128+B134</f>
        <v>31489</v>
      </c>
      <c r="C127" s="28">
        <f t="shared" si="183"/>
        <v>30894</v>
      </c>
      <c r="D127" s="28">
        <f t="shared" si="183"/>
        <v>26839</v>
      </c>
      <c r="E127" s="28">
        <f t="shared" si="183"/>
        <v>29066</v>
      </c>
      <c r="F127" s="28">
        <f t="shared" si="183"/>
        <v>29509</v>
      </c>
      <c r="G127" s="28">
        <f t="shared" si="183"/>
        <v>36903</v>
      </c>
      <c r="H127" s="28">
        <f t="shared" si="183"/>
        <v>41412</v>
      </c>
      <c r="I127" s="28">
        <f t="shared" si="183"/>
        <v>43133</v>
      </c>
      <c r="J127" s="28">
        <f t="shared" si="183"/>
        <v>29038</v>
      </c>
      <c r="K127" s="28">
        <f t="shared" si="183"/>
        <v>9240</v>
      </c>
      <c r="L127" s="28">
        <f t="shared" ref="L127" si="184">L128+L134</f>
        <v>10859</v>
      </c>
      <c r="M127" s="28">
        <f t="shared" ref="M127:V127" si="185">M128+M134</f>
        <v>11969</v>
      </c>
      <c r="N127" s="28">
        <f t="shared" si="185"/>
        <v>11136</v>
      </c>
      <c r="O127" s="28">
        <f t="shared" si="185"/>
        <v>12109</v>
      </c>
      <c r="P127" s="28">
        <f t="shared" si="185"/>
        <v>17657</v>
      </c>
      <c r="Q127" s="28">
        <f t="shared" si="185"/>
        <v>22943</v>
      </c>
      <c r="R127" s="28">
        <f t="shared" si="185"/>
        <v>27284</v>
      </c>
      <c r="S127" s="28">
        <f t="shared" si="185"/>
        <v>25892</v>
      </c>
      <c r="T127" s="28">
        <f t="shared" si="185"/>
        <v>23437</v>
      </c>
      <c r="U127" s="28">
        <f t="shared" si="185"/>
        <v>23655</v>
      </c>
      <c r="V127" s="28">
        <f t="shared" si="185"/>
        <v>17750</v>
      </c>
      <c r="W127" s="28">
        <f t="shared" ref="W127:Y127" si="186">W128+W134</f>
        <v>27262</v>
      </c>
      <c r="X127" s="28">
        <f t="shared" si="186"/>
        <v>22292</v>
      </c>
      <c r="Y127" s="28">
        <f t="shared" si="186"/>
        <v>25118</v>
      </c>
      <c r="DA127" s="173" t="s">
        <v>542</v>
      </c>
    </row>
    <row r="128" spans="1:105" ht="11.45" customHeight="1" x14ac:dyDescent="0.25">
      <c r="A128" s="136" t="s">
        <v>153</v>
      </c>
      <c r="B128" s="137">
        <f t="shared" ref="B128:K128" si="187">SUM(B129:B133)</f>
        <v>25683</v>
      </c>
      <c r="C128" s="137">
        <f t="shared" si="187"/>
        <v>21891</v>
      </c>
      <c r="D128" s="137">
        <f t="shared" si="187"/>
        <v>21603</v>
      </c>
      <c r="E128" s="137">
        <f t="shared" si="187"/>
        <v>22983</v>
      </c>
      <c r="F128" s="137">
        <f t="shared" si="187"/>
        <v>22746</v>
      </c>
      <c r="G128" s="137">
        <f t="shared" si="187"/>
        <v>27901</v>
      </c>
      <c r="H128" s="137">
        <f t="shared" si="187"/>
        <v>29739</v>
      </c>
      <c r="I128" s="137">
        <f t="shared" si="187"/>
        <v>29785</v>
      </c>
      <c r="J128" s="137">
        <f t="shared" si="187"/>
        <v>20266</v>
      </c>
      <c r="K128" s="137">
        <f t="shared" si="187"/>
        <v>6794</v>
      </c>
      <c r="L128" s="137">
        <f t="shared" ref="L128" si="188">SUM(L129:L133)</f>
        <v>8214</v>
      </c>
      <c r="M128" s="137">
        <f t="shared" ref="M128:V128" si="189">SUM(M129:M133)</f>
        <v>9189</v>
      </c>
      <c r="N128" s="137">
        <f t="shared" si="189"/>
        <v>8436</v>
      </c>
      <c r="O128" s="137">
        <f t="shared" si="189"/>
        <v>8692</v>
      </c>
      <c r="P128" s="137">
        <f t="shared" si="189"/>
        <v>12889</v>
      </c>
      <c r="Q128" s="137">
        <f t="shared" si="189"/>
        <v>15954</v>
      </c>
      <c r="R128" s="137">
        <f t="shared" si="189"/>
        <v>18038</v>
      </c>
      <c r="S128" s="137">
        <f t="shared" si="189"/>
        <v>14916</v>
      </c>
      <c r="T128" s="137">
        <f t="shared" si="189"/>
        <v>15453</v>
      </c>
      <c r="U128" s="137">
        <f t="shared" si="189"/>
        <v>15438</v>
      </c>
      <c r="V128" s="137">
        <f t="shared" si="189"/>
        <v>13815</v>
      </c>
      <c r="W128" s="137">
        <f t="shared" ref="W128:Y128" si="190">SUM(W129:W133)</f>
        <v>17946</v>
      </c>
      <c r="X128" s="137">
        <f t="shared" si="190"/>
        <v>14755</v>
      </c>
      <c r="Y128" s="137">
        <f t="shared" si="190"/>
        <v>17259</v>
      </c>
      <c r="DA128" s="174" t="s">
        <v>543</v>
      </c>
    </row>
    <row r="129" spans="1:105" ht="11.45" customHeight="1" x14ac:dyDescent="0.25">
      <c r="A129" s="111" t="s">
        <v>110</v>
      </c>
      <c r="B129" s="84">
        <v>273</v>
      </c>
      <c r="C129" s="84">
        <v>134</v>
      </c>
      <c r="D129" s="84">
        <v>205</v>
      </c>
      <c r="E129" s="84">
        <v>153</v>
      </c>
      <c r="F129" s="84">
        <v>144</v>
      </c>
      <c r="G129" s="84">
        <v>141</v>
      </c>
      <c r="H129" s="84">
        <v>120</v>
      </c>
      <c r="I129" s="84">
        <v>82</v>
      </c>
      <c r="J129" s="84">
        <v>75</v>
      </c>
      <c r="K129" s="84">
        <v>62</v>
      </c>
      <c r="L129" s="84">
        <v>41</v>
      </c>
      <c r="M129" s="84">
        <v>20</v>
      </c>
      <c r="N129" s="84">
        <v>2</v>
      </c>
      <c r="O129" s="84">
        <v>10</v>
      </c>
      <c r="P129" s="84">
        <v>20</v>
      </c>
      <c r="Q129" s="84">
        <v>17</v>
      </c>
      <c r="R129" s="84">
        <v>20</v>
      </c>
      <c r="S129" s="84">
        <v>74</v>
      </c>
      <c r="T129" s="84">
        <v>32</v>
      </c>
      <c r="U129" s="84">
        <v>89</v>
      </c>
      <c r="V129" s="84">
        <v>240</v>
      </c>
      <c r="W129" s="84">
        <v>174</v>
      </c>
      <c r="X129" s="84">
        <v>346</v>
      </c>
      <c r="Y129" s="84">
        <v>620</v>
      </c>
      <c r="DA129" s="171" t="s">
        <v>544</v>
      </c>
    </row>
    <row r="130" spans="1:105" ht="11.45" customHeight="1" x14ac:dyDescent="0.25">
      <c r="A130" s="111" t="s">
        <v>111</v>
      </c>
      <c r="B130" s="84">
        <v>25410</v>
      </c>
      <c r="C130" s="84">
        <v>21757</v>
      </c>
      <c r="D130" s="84">
        <v>21398</v>
      </c>
      <c r="E130" s="84">
        <v>22830</v>
      </c>
      <c r="F130" s="84">
        <v>22602</v>
      </c>
      <c r="G130" s="84">
        <v>27760</v>
      </c>
      <c r="H130" s="84">
        <v>29619</v>
      </c>
      <c r="I130" s="84">
        <v>29703</v>
      </c>
      <c r="J130" s="84">
        <v>20191</v>
      </c>
      <c r="K130" s="84">
        <v>6732</v>
      </c>
      <c r="L130" s="84">
        <v>8173</v>
      </c>
      <c r="M130" s="84">
        <v>9135</v>
      </c>
      <c r="N130" s="84">
        <v>8389</v>
      </c>
      <c r="O130" s="84">
        <v>8673</v>
      </c>
      <c r="P130" s="84">
        <v>12856</v>
      </c>
      <c r="Q130" s="84">
        <v>15917</v>
      </c>
      <c r="R130" s="84">
        <v>18003</v>
      </c>
      <c r="S130" s="84">
        <v>14780</v>
      </c>
      <c r="T130" s="84">
        <v>15337</v>
      </c>
      <c r="U130" s="84">
        <v>15017</v>
      </c>
      <c r="V130" s="84">
        <v>12840</v>
      </c>
      <c r="W130" s="84">
        <v>17111</v>
      </c>
      <c r="X130" s="84">
        <v>13724</v>
      </c>
      <c r="Y130" s="84">
        <v>15650</v>
      </c>
      <c r="DA130" s="171" t="s">
        <v>545</v>
      </c>
    </row>
    <row r="131" spans="1:105" ht="11.45" customHeight="1" x14ac:dyDescent="0.25">
      <c r="A131" s="111" t="s">
        <v>112</v>
      </c>
      <c r="B131" s="84">
        <v>0</v>
      </c>
      <c r="C131" s="84">
        <v>0</v>
      </c>
      <c r="D131" s="84">
        <v>0</v>
      </c>
      <c r="E131" s="84">
        <v>0</v>
      </c>
      <c r="F131" s="84">
        <v>0</v>
      </c>
      <c r="G131" s="84">
        <v>0</v>
      </c>
      <c r="H131" s="84">
        <v>0</v>
      </c>
      <c r="I131" s="84">
        <v>0</v>
      </c>
      <c r="J131" s="84">
        <v>0</v>
      </c>
      <c r="K131" s="84">
        <v>0</v>
      </c>
      <c r="L131" s="84">
        <v>0</v>
      </c>
      <c r="M131" s="84">
        <v>0</v>
      </c>
      <c r="N131" s="84">
        <v>0</v>
      </c>
      <c r="O131" s="84">
        <v>2</v>
      </c>
      <c r="P131" s="84">
        <v>2</v>
      </c>
      <c r="Q131" s="84">
        <v>0</v>
      </c>
      <c r="R131" s="84">
        <v>0</v>
      </c>
      <c r="S131" s="84">
        <v>1</v>
      </c>
      <c r="T131" s="84">
        <v>0</v>
      </c>
      <c r="U131" s="84">
        <v>0</v>
      </c>
      <c r="V131" s="84">
        <v>0</v>
      </c>
      <c r="W131" s="84">
        <v>0</v>
      </c>
      <c r="X131" s="84">
        <v>0</v>
      </c>
      <c r="Y131" s="84">
        <v>0</v>
      </c>
      <c r="DA131" s="171" t="s">
        <v>546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0</v>
      </c>
      <c r="I132" s="84">
        <v>0</v>
      </c>
      <c r="J132" s="84">
        <v>0</v>
      </c>
      <c r="K132" s="84">
        <v>0</v>
      </c>
      <c r="L132" s="84">
        <v>0</v>
      </c>
      <c r="M132" s="84">
        <v>0</v>
      </c>
      <c r="N132" s="84">
        <v>0</v>
      </c>
      <c r="O132" s="84">
        <v>0</v>
      </c>
      <c r="P132" s="84">
        <v>0</v>
      </c>
      <c r="Q132" s="84">
        <v>0</v>
      </c>
      <c r="R132" s="84">
        <v>4</v>
      </c>
      <c r="S132" s="84">
        <v>0</v>
      </c>
      <c r="T132" s="84">
        <v>0</v>
      </c>
      <c r="U132" s="84">
        <v>0</v>
      </c>
      <c r="V132" s="84">
        <v>2</v>
      </c>
      <c r="W132" s="84">
        <v>0</v>
      </c>
      <c r="X132" s="84">
        <v>0</v>
      </c>
      <c r="Y132" s="84">
        <v>1</v>
      </c>
      <c r="DA132" s="171" t="s">
        <v>547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0</v>
      </c>
      <c r="J133" s="84">
        <v>0</v>
      </c>
      <c r="K133" s="84">
        <v>0</v>
      </c>
      <c r="L133" s="84">
        <v>0</v>
      </c>
      <c r="M133" s="84">
        <v>34</v>
      </c>
      <c r="N133" s="84">
        <v>45</v>
      </c>
      <c r="O133" s="84">
        <v>7</v>
      </c>
      <c r="P133" s="84">
        <v>11</v>
      </c>
      <c r="Q133" s="84">
        <v>20</v>
      </c>
      <c r="R133" s="84">
        <v>11</v>
      </c>
      <c r="S133" s="84">
        <v>61</v>
      </c>
      <c r="T133" s="84">
        <v>84</v>
      </c>
      <c r="U133" s="84">
        <v>332</v>
      </c>
      <c r="V133" s="84">
        <v>733</v>
      </c>
      <c r="W133" s="84">
        <v>661</v>
      </c>
      <c r="X133" s="84">
        <v>685</v>
      </c>
      <c r="Y133" s="84">
        <v>988</v>
      </c>
      <c r="DA133" s="171" t="s">
        <v>548</v>
      </c>
    </row>
    <row r="134" spans="1:105" ht="11.45" customHeight="1" x14ac:dyDescent="0.25">
      <c r="A134" s="109" t="s">
        <v>154</v>
      </c>
      <c r="B134" s="110">
        <f t="shared" ref="B134:K134" si="191">SUM(B135:B136)</f>
        <v>5806</v>
      </c>
      <c r="C134" s="110">
        <f t="shared" si="191"/>
        <v>9003</v>
      </c>
      <c r="D134" s="110">
        <f t="shared" si="191"/>
        <v>5236</v>
      </c>
      <c r="E134" s="110">
        <f t="shared" si="191"/>
        <v>6083</v>
      </c>
      <c r="F134" s="110">
        <f t="shared" si="191"/>
        <v>6763</v>
      </c>
      <c r="G134" s="110">
        <f t="shared" si="191"/>
        <v>9002</v>
      </c>
      <c r="H134" s="110">
        <f t="shared" si="191"/>
        <v>11673</v>
      </c>
      <c r="I134" s="110">
        <f t="shared" si="191"/>
        <v>13348</v>
      </c>
      <c r="J134" s="110">
        <f t="shared" si="191"/>
        <v>8772</v>
      </c>
      <c r="K134" s="110">
        <f t="shared" si="191"/>
        <v>2446</v>
      </c>
      <c r="L134" s="110">
        <f t="shared" ref="L134" si="192">SUM(L135:L136)</f>
        <v>2645</v>
      </c>
      <c r="M134" s="110">
        <f t="shared" ref="M134:V134" si="193">SUM(M135:M136)</f>
        <v>2780</v>
      </c>
      <c r="N134" s="110">
        <f t="shared" si="193"/>
        <v>2700</v>
      </c>
      <c r="O134" s="110">
        <f t="shared" si="193"/>
        <v>3417</v>
      </c>
      <c r="P134" s="110">
        <f t="shared" si="193"/>
        <v>4768</v>
      </c>
      <c r="Q134" s="110">
        <f t="shared" si="193"/>
        <v>6989</v>
      </c>
      <c r="R134" s="110">
        <f t="shared" si="193"/>
        <v>9246</v>
      </c>
      <c r="S134" s="110">
        <f t="shared" si="193"/>
        <v>10976</v>
      </c>
      <c r="T134" s="110">
        <f t="shared" si="193"/>
        <v>7984</v>
      </c>
      <c r="U134" s="110">
        <f t="shared" si="193"/>
        <v>8217</v>
      </c>
      <c r="V134" s="110">
        <f t="shared" si="193"/>
        <v>3935</v>
      </c>
      <c r="W134" s="110">
        <f t="shared" ref="W134:Y134" si="194">SUM(W135:W136)</f>
        <v>9316</v>
      </c>
      <c r="X134" s="110">
        <f t="shared" si="194"/>
        <v>7537</v>
      </c>
      <c r="Y134" s="110">
        <f t="shared" si="194"/>
        <v>7859</v>
      </c>
      <c r="DA134" s="176" t="s">
        <v>549</v>
      </c>
    </row>
    <row r="135" spans="1:105" ht="11.45" customHeight="1" x14ac:dyDescent="0.25">
      <c r="A135" s="128" t="s">
        <v>27</v>
      </c>
      <c r="B135" s="102">
        <v>5709</v>
      </c>
      <c r="C135" s="102">
        <v>8891</v>
      </c>
      <c r="D135" s="102">
        <v>5129</v>
      </c>
      <c r="E135" s="102">
        <v>5998</v>
      </c>
      <c r="F135" s="102">
        <v>6490</v>
      </c>
      <c r="G135" s="102">
        <v>8876</v>
      </c>
      <c r="H135" s="102">
        <v>11547</v>
      </c>
      <c r="I135" s="102">
        <v>13140</v>
      </c>
      <c r="J135" s="102">
        <v>8772</v>
      </c>
      <c r="K135" s="102">
        <v>2446</v>
      </c>
      <c r="L135" s="102">
        <v>2508</v>
      </c>
      <c r="M135" s="102">
        <v>2572</v>
      </c>
      <c r="N135" s="102">
        <v>2700</v>
      </c>
      <c r="O135" s="102">
        <v>3375</v>
      </c>
      <c r="P135" s="102">
        <v>4704</v>
      </c>
      <c r="Q135" s="102">
        <v>6755</v>
      </c>
      <c r="R135" s="102">
        <v>9246</v>
      </c>
      <c r="S135" s="102">
        <v>10904</v>
      </c>
      <c r="T135" s="102">
        <v>7776</v>
      </c>
      <c r="U135" s="102">
        <v>7945</v>
      </c>
      <c r="V135" s="102">
        <v>3935</v>
      </c>
      <c r="W135" s="102">
        <v>9287</v>
      </c>
      <c r="X135" s="102">
        <v>7536</v>
      </c>
      <c r="Y135" s="102">
        <v>7802</v>
      </c>
      <c r="DA135" s="175" t="s">
        <v>550</v>
      </c>
    </row>
    <row r="136" spans="1:105" ht="11.45" customHeight="1" x14ac:dyDescent="0.25">
      <c r="A136" s="138" t="s">
        <v>116</v>
      </c>
      <c r="B136" s="86">
        <v>97</v>
      </c>
      <c r="C136" s="86">
        <v>112</v>
      </c>
      <c r="D136" s="86">
        <v>107</v>
      </c>
      <c r="E136" s="86">
        <v>85</v>
      </c>
      <c r="F136" s="86">
        <v>273</v>
      </c>
      <c r="G136" s="86">
        <v>126</v>
      </c>
      <c r="H136" s="86">
        <v>126</v>
      </c>
      <c r="I136" s="86">
        <v>208</v>
      </c>
      <c r="J136" s="86">
        <v>0</v>
      </c>
      <c r="K136" s="86">
        <v>0</v>
      </c>
      <c r="L136" s="86">
        <v>137</v>
      </c>
      <c r="M136" s="86">
        <v>208</v>
      </c>
      <c r="N136" s="86">
        <v>0</v>
      </c>
      <c r="O136" s="86">
        <v>42</v>
      </c>
      <c r="P136" s="86">
        <v>64</v>
      </c>
      <c r="Q136" s="86">
        <v>234</v>
      </c>
      <c r="R136" s="86">
        <v>0</v>
      </c>
      <c r="S136" s="86">
        <v>72</v>
      </c>
      <c r="T136" s="86">
        <v>208</v>
      </c>
      <c r="U136" s="86">
        <v>272</v>
      </c>
      <c r="V136" s="86">
        <v>0</v>
      </c>
      <c r="W136" s="86">
        <v>29</v>
      </c>
      <c r="X136" s="86">
        <v>1</v>
      </c>
      <c r="Y136" s="86">
        <v>57</v>
      </c>
      <c r="DA136" s="178" t="s">
        <v>551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1.8633261009359368</v>
      </c>
      <c r="C141" s="32">
        <f t="shared" si="195"/>
        <v>1.8363600733365162</v>
      </c>
      <c r="D141" s="32">
        <f t="shared" si="195"/>
        <v>1.8220860752826098</v>
      </c>
      <c r="E141" s="32">
        <f t="shared" si="195"/>
        <v>1.8469738769912896</v>
      </c>
      <c r="F141" s="32">
        <f t="shared" si="195"/>
        <v>1.9066246352330942</v>
      </c>
      <c r="G141" s="32">
        <f t="shared" si="195"/>
        <v>1.8805898012035343</v>
      </c>
      <c r="H141" s="32">
        <f t="shared" si="195"/>
        <v>1.7461127815252981</v>
      </c>
      <c r="I141" s="32">
        <f t="shared" si="195"/>
        <v>1.7914044662177824</v>
      </c>
      <c r="J141" s="32">
        <f t="shared" si="195"/>
        <v>1.7424107860045157</v>
      </c>
      <c r="K141" s="32">
        <f t="shared" si="195"/>
        <v>1.7833704841761291</v>
      </c>
      <c r="L141" s="32">
        <f t="shared" ref="L141" si="196">IF(L4=0,0,L4/L31)</f>
        <v>1.7585007671819672</v>
      </c>
      <c r="M141" s="32">
        <f t="shared" ref="M141:V141" si="197">IF(M4=0,0,M4/M31)</f>
        <v>1.7730131502450457</v>
      </c>
      <c r="N141" s="32">
        <f t="shared" si="197"/>
        <v>1.7957931633275852</v>
      </c>
      <c r="O141" s="32">
        <f t="shared" si="197"/>
        <v>1.7836544938036958</v>
      </c>
      <c r="P141" s="32">
        <f t="shared" si="197"/>
        <v>1.7762415221516272</v>
      </c>
      <c r="Q141" s="32">
        <f t="shared" si="197"/>
        <v>1.7997943875282472</v>
      </c>
      <c r="R141" s="32">
        <f t="shared" si="197"/>
        <v>1.8303390150011531</v>
      </c>
      <c r="S141" s="32">
        <f t="shared" si="197"/>
        <v>1.8354798772076797</v>
      </c>
      <c r="T141" s="32">
        <f t="shared" si="197"/>
        <v>1.8828557007121098</v>
      </c>
      <c r="U141" s="32">
        <f t="shared" si="197"/>
        <v>1.9090214817117894</v>
      </c>
      <c r="V141" s="32">
        <f t="shared" si="197"/>
        <v>1.8479410689073179</v>
      </c>
      <c r="W141" s="32">
        <f t="shared" ref="W141:Y141" si="198">IF(W4=0,0,W4/W31)</f>
        <v>1.8792745723126016</v>
      </c>
      <c r="X141" s="32">
        <f t="shared" si="198"/>
        <v>1.8623741650227219</v>
      </c>
      <c r="Y141" s="32">
        <f t="shared" si="198"/>
        <v>1.9725879617114928</v>
      </c>
      <c r="DA141" s="173" t="s">
        <v>552</v>
      </c>
    </row>
    <row r="142" spans="1:105" ht="11.45" customHeight="1" x14ac:dyDescent="0.25">
      <c r="A142" s="136" t="s">
        <v>173</v>
      </c>
      <c r="B142" s="141">
        <v>1.104732169943075</v>
      </c>
      <c r="C142" s="141">
        <v>1.1047109809282734</v>
      </c>
      <c r="D142" s="141">
        <v>1.1045190228750543</v>
      </c>
      <c r="E142" s="141">
        <v>1.1049828872133489</v>
      </c>
      <c r="F142" s="141">
        <v>1.1051308645358422</v>
      </c>
      <c r="G142" s="141">
        <v>1.1041301391394238</v>
      </c>
      <c r="H142" s="141">
        <v>1.1044381305743085</v>
      </c>
      <c r="I142" s="141">
        <v>1.1062108289262298</v>
      </c>
      <c r="J142" s="141">
        <v>1.1067930010199598</v>
      </c>
      <c r="K142" s="141">
        <v>1.1073241407688712</v>
      </c>
      <c r="L142" s="141">
        <v>1.1054217673643154</v>
      </c>
      <c r="M142" s="141">
        <v>1.1044534154591703</v>
      </c>
      <c r="N142" s="141">
        <v>1.0976369526338645</v>
      </c>
      <c r="O142" s="141">
        <v>1.0970722866905214</v>
      </c>
      <c r="P142" s="141">
        <v>1.0994543351777017</v>
      </c>
      <c r="Q142" s="141">
        <v>1.101354549476496</v>
      </c>
      <c r="R142" s="141">
        <v>1.1017952201465602</v>
      </c>
      <c r="S142" s="141">
        <v>1.101250130072625</v>
      </c>
      <c r="T142" s="141">
        <v>1.1006853783119479</v>
      </c>
      <c r="U142" s="141">
        <v>1.1014443638288873</v>
      </c>
      <c r="V142" s="141">
        <v>1.1003290745280534</v>
      </c>
      <c r="W142" s="141">
        <v>1.1008092455082654</v>
      </c>
      <c r="X142" s="141">
        <v>1.100758652067265</v>
      </c>
      <c r="Y142" s="141">
        <v>1.1020657939027976</v>
      </c>
      <c r="DA142" s="174" t="s">
        <v>553</v>
      </c>
    </row>
    <row r="143" spans="1:105" ht="11.45" customHeight="1" x14ac:dyDescent="0.25">
      <c r="A143" s="109" t="s">
        <v>20</v>
      </c>
      <c r="B143" s="130">
        <f t="shared" ref="B143:K143" si="199">IF(B6=0,0,B6/B33)</f>
        <v>1.5690761176042505</v>
      </c>
      <c r="C143" s="130">
        <f t="shared" si="199"/>
        <v>1.547684505114503</v>
      </c>
      <c r="D143" s="130">
        <f t="shared" si="199"/>
        <v>1.5452376601916089</v>
      </c>
      <c r="E143" s="130">
        <f t="shared" si="199"/>
        <v>1.5715287969427518</v>
      </c>
      <c r="F143" s="130">
        <f t="shared" si="199"/>
        <v>1.6281405688428698</v>
      </c>
      <c r="G143" s="130">
        <f t="shared" si="199"/>
        <v>1.6145432196196261</v>
      </c>
      <c r="H143" s="130">
        <f t="shared" si="199"/>
        <v>1.5028679535948142</v>
      </c>
      <c r="I143" s="130">
        <f t="shared" si="199"/>
        <v>1.544689668314289</v>
      </c>
      <c r="J143" s="130">
        <f t="shared" si="199"/>
        <v>1.4997543711392149</v>
      </c>
      <c r="K143" s="130">
        <f t="shared" si="199"/>
        <v>1.5248252933701614</v>
      </c>
      <c r="L143" s="130">
        <f t="shared" ref="L143" si="200">IF(L6=0,0,L6/L33)</f>
        <v>1.5122417234310934</v>
      </c>
      <c r="M143" s="130">
        <f t="shared" ref="M143:V143" si="201">IF(M6=0,0,M6/M33)</f>
        <v>1.5237789654669087</v>
      </c>
      <c r="N143" s="130">
        <f t="shared" si="201"/>
        <v>1.5469987202421753</v>
      </c>
      <c r="O143" s="130">
        <f t="shared" si="201"/>
        <v>1.5420691556243371</v>
      </c>
      <c r="P143" s="130">
        <f t="shared" si="201"/>
        <v>1.5247920542859508</v>
      </c>
      <c r="Q143" s="130">
        <f t="shared" si="201"/>
        <v>1.5628838796001272</v>
      </c>
      <c r="R143" s="130">
        <f t="shared" si="201"/>
        <v>1.5908208474997616</v>
      </c>
      <c r="S143" s="130">
        <f t="shared" si="201"/>
        <v>1.5817200292429394</v>
      </c>
      <c r="T143" s="130">
        <f t="shared" si="201"/>
        <v>1.6100160664042651</v>
      </c>
      <c r="U143" s="130">
        <f t="shared" si="201"/>
        <v>1.6355240607776862</v>
      </c>
      <c r="V143" s="130">
        <f t="shared" si="201"/>
        <v>1.6330174940062707</v>
      </c>
      <c r="W143" s="130">
        <f t="shared" ref="W143:Y143" si="202">IF(W6=0,0,W6/W33)</f>
        <v>1.6509869897610185</v>
      </c>
      <c r="X143" s="130">
        <f t="shared" si="202"/>
        <v>1.5780412776914186</v>
      </c>
      <c r="Y143" s="130">
        <f t="shared" si="202"/>
        <v>1.6407541909412915</v>
      </c>
      <c r="DA143" s="176" t="s">
        <v>554</v>
      </c>
    </row>
    <row r="144" spans="1:105" ht="11.45" customHeight="1" x14ac:dyDescent="0.25">
      <c r="A144" s="111" t="s">
        <v>110</v>
      </c>
      <c r="B144" s="96">
        <v>1.555907614977903</v>
      </c>
      <c r="C144" s="96">
        <v>1.5348159591378503</v>
      </c>
      <c r="D144" s="96">
        <v>1.5321318081969586</v>
      </c>
      <c r="E144" s="96">
        <v>1.5577531968434546</v>
      </c>
      <c r="F144" s="96">
        <v>1.6128527313317786</v>
      </c>
      <c r="G144" s="96">
        <v>1.5970400361316499</v>
      </c>
      <c r="H144" s="96">
        <v>1.4860936159859388</v>
      </c>
      <c r="I144" s="96">
        <v>1.5266307309509588</v>
      </c>
      <c r="J144" s="96">
        <v>1.4792471681545298</v>
      </c>
      <c r="K144" s="96">
        <v>1.5006992673559933</v>
      </c>
      <c r="L144" s="96">
        <v>1.4844167872132019</v>
      </c>
      <c r="M144" s="96">
        <v>1.4906898583974411</v>
      </c>
      <c r="N144" s="96">
        <v>1.5109933321273588</v>
      </c>
      <c r="O144" s="96">
        <v>1.5020610072155736</v>
      </c>
      <c r="P144" s="96">
        <v>1.4825793726465908</v>
      </c>
      <c r="Q144" s="96">
        <v>1.5147537820023853</v>
      </c>
      <c r="R144" s="96">
        <v>1.537731918284523</v>
      </c>
      <c r="S144" s="96">
        <v>1.5261152612772204</v>
      </c>
      <c r="T144" s="96">
        <v>1.5515663710616734</v>
      </c>
      <c r="U144" s="96">
        <v>1.5754143803130496</v>
      </c>
      <c r="V144" s="96">
        <v>1.5709353415494836</v>
      </c>
      <c r="W144" s="96">
        <v>1.5898771057786065</v>
      </c>
      <c r="X144" s="96">
        <v>1.5236824425562738</v>
      </c>
      <c r="Y144" s="96">
        <v>1.5900111129662937</v>
      </c>
      <c r="DA144" s="171" t="s">
        <v>555</v>
      </c>
    </row>
    <row r="145" spans="1:105" ht="11.45" customHeight="1" x14ac:dyDescent="0.25">
      <c r="A145" s="111" t="s">
        <v>111</v>
      </c>
      <c r="B145" s="96">
        <v>1.6530835056673949</v>
      </c>
      <c r="C145" s="96">
        <v>1.6306745476799351</v>
      </c>
      <c r="D145" s="96">
        <v>1.627822755192776</v>
      </c>
      <c r="E145" s="96">
        <v>1.6550443553418437</v>
      </c>
      <c r="F145" s="96">
        <v>1.7135851907717767</v>
      </c>
      <c r="G145" s="96">
        <v>1.6967848966130186</v>
      </c>
      <c r="H145" s="96">
        <v>1.5789091979595857</v>
      </c>
      <c r="I145" s="96">
        <v>1.6219781022254511</v>
      </c>
      <c r="J145" s="96">
        <v>1.5716351478337505</v>
      </c>
      <c r="K145" s="96">
        <v>1.5944270610620841</v>
      </c>
      <c r="L145" s="96">
        <v>1.577127641034638</v>
      </c>
      <c r="M145" s="96">
        <v>1.5837925036554759</v>
      </c>
      <c r="N145" s="96">
        <v>1.6053640527677637</v>
      </c>
      <c r="O145" s="96">
        <v>1.595873849855463</v>
      </c>
      <c r="P145" s="96">
        <v>1.5751754687566069</v>
      </c>
      <c r="Q145" s="96">
        <v>1.6093593656015428</v>
      </c>
      <c r="R145" s="96">
        <v>1.6337726262047556</v>
      </c>
      <c r="S145" s="96">
        <v>1.6214304383364615</v>
      </c>
      <c r="T145" s="96">
        <v>1.6484711246732313</v>
      </c>
      <c r="U145" s="96">
        <v>1.6738085871015604</v>
      </c>
      <c r="V145" s="96">
        <v>1.6690498051340326</v>
      </c>
      <c r="W145" s="96">
        <v>1.6891745977078181</v>
      </c>
      <c r="X145" s="96">
        <v>1.618845675294516</v>
      </c>
      <c r="Y145" s="96">
        <v>1.6893169744591587</v>
      </c>
      <c r="DA145" s="171" t="s">
        <v>556</v>
      </c>
    </row>
    <row r="146" spans="1:105" ht="11.45" customHeight="1" x14ac:dyDescent="0.25">
      <c r="A146" s="111" t="s">
        <v>112</v>
      </c>
      <c r="B146" s="96">
        <v>1.5220038340761224</v>
      </c>
      <c r="C146" s="96">
        <v>1.5012539699610679</v>
      </c>
      <c r="D146" s="96">
        <v>1.4988805303858606</v>
      </c>
      <c r="E146" s="96">
        <v>1.5243829330344691</v>
      </c>
      <c r="F146" s="96">
        <v>1.5792963517775838</v>
      </c>
      <c r="G146" s="96">
        <v>1.5661069230310376</v>
      </c>
      <c r="H146" s="96">
        <v>1.4577819149869697</v>
      </c>
      <c r="I146" s="96">
        <v>1.4983489782648602</v>
      </c>
      <c r="J146" s="96">
        <v>1.4547617400050386</v>
      </c>
      <c r="K146" s="96">
        <v>1.4790805345690565</v>
      </c>
      <c r="L146" s="96">
        <v>1.4668744717281605</v>
      </c>
      <c r="M146" s="96">
        <v>1.4780655965029017</v>
      </c>
      <c r="N146" s="96">
        <v>1.50058875863491</v>
      </c>
      <c r="O146" s="96">
        <v>1.4958070809556068</v>
      </c>
      <c r="P146" s="96">
        <v>1.4790482926573723</v>
      </c>
      <c r="Q146" s="96">
        <v>1.5159973632121233</v>
      </c>
      <c r="R146" s="96">
        <v>1.5430962220747688</v>
      </c>
      <c r="S146" s="96">
        <v>1.5342684283656511</v>
      </c>
      <c r="T146" s="96">
        <v>1.5617155844121369</v>
      </c>
      <c r="U146" s="96">
        <v>1.5864583389543552</v>
      </c>
      <c r="V146" s="96">
        <v>1.5840269691860829</v>
      </c>
      <c r="W146" s="96">
        <v>1.6014573800681882</v>
      </c>
      <c r="X146" s="96">
        <v>1.5307000393606764</v>
      </c>
      <c r="Y146" s="96">
        <v>1.5915315652130522</v>
      </c>
      <c r="DA146" s="171" t="s">
        <v>557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0</v>
      </c>
      <c r="G147" s="96">
        <v>0</v>
      </c>
      <c r="H147" s="96">
        <v>0</v>
      </c>
      <c r="I147" s="96">
        <v>0</v>
      </c>
      <c r="J147" s="96">
        <v>0</v>
      </c>
      <c r="K147" s="96">
        <v>0</v>
      </c>
      <c r="L147" s="96">
        <v>0</v>
      </c>
      <c r="M147" s="96">
        <v>0</v>
      </c>
      <c r="N147" s="96">
        <v>0</v>
      </c>
      <c r="O147" s="96">
        <v>0</v>
      </c>
      <c r="P147" s="96">
        <v>1.4790482926573723</v>
      </c>
      <c r="Q147" s="96">
        <v>1.5159973632121233</v>
      </c>
      <c r="R147" s="96">
        <v>1.5430962220747688</v>
      </c>
      <c r="S147" s="96">
        <v>1.5342684283656511</v>
      </c>
      <c r="T147" s="96">
        <v>1.5617155844121369</v>
      </c>
      <c r="U147" s="96">
        <v>1.5864583389543552</v>
      </c>
      <c r="V147" s="96">
        <v>1.5840269691860829</v>
      </c>
      <c r="W147" s="96">
        <v>1.6014573800681882</v>
      </c>
      <c r="X147" s="96">
        <v>1.5307000393606764</v>
      </c>
      <c r="Y147" s="96">
        <v>1.5915315652130524</v>
      </c>
      <c r="DA147" s="171" t="s">
        <v>558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0</v>
      </c>
      <c r="O148" s="96">
        <v>1.4636577308965468</v>
      </c>
      <c r="P148" s="96">
        <v>1.4472591388819276</v>
      </c>
      <c r="Q148" s="96">
        <v>1.4834140638421394</v>
      </c>
      <c r="R148" s="96">
        <v>1.5099304875024995</v>
      </c>
      <c r="S148" s="96">
        <v>1.5012924293774803</v>
      </c>
      <c r="T148" s="96">
        <v>1.5281496642776502</v>
      </c>
      <c r="U148" s="96">
        <v>1.5523606233180751</v>
      </c>
      <c r="V148" s="96">
        <v>1.5499815109289785</v>
      </c>
      <c r="W148" s="96">
        <v>1.5670372903574314</v>
      </c>
      <c r="X148" s="96">
        <v>1.497800735682167</v>
      </c>
      <c r="Y148" s="96">
        <v>1.557324810831739</v>
      </c>
      <c r="DA148" s="171" t="s">
        <v>559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1.2217389797494604</v>
      </c>
      <c r="L149" s="96">
        <v>1.2116566195172376</v>
      </c>
      <c r="M149" s="96">
        <v>1.2209006282408903</v>
      </c>
      <c r="N149" s="96">
        <v>1.2395050412398816</v>
      </c>
      <c r="O149" s="96">
        <v>1.2355553158037984</v>
      </c>
      <c r="P149" s="96">
        <v>1.2217123475280462</v>
      </c>
      <c r="Q149" s="96">
        <v>1.2522327409124436</v>
      </c>
      <c r="R149" s="96">
        <v>1.2746167365133791</v>
      </c>
      <c r="S149" s="96">
        <v>1.2673248687431373</v>
      </c>
      <c r="T149" s="96">
        <v>1.289996562164502</v>
      </c>
      <c r="U149" s="96">
        <v>1.3104343861937449</v>
      </c>
      <c r="V149" s="96">
        <v>1.3084260444228566</v>
      </c>
      <c r="W149" s="96">
        <v>1.3228237813344048</v>
      </c>
      <c r="X149" s="96">
        <v>1.2643773348932936</v>
      </c>
      <c r="Y149" s="96">
        <v>1.31462493439479</v>
      </c>
      <c r="DA149" s="171" t="s">
        <v>560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33.196468920369398</v>
      </c>
      <c r="C150" s="130">
        <f t="shared" si="203"/>
        <v>33.196014110376034</v>
      </c>
      <c r="D150" s="130">
        <f t="shared" si="203"/>
        <v>32.451675954923019</v>
      </c>
      <c r="E150" s="130">
        <f t="shared" si="203"/>
        <v>31.729730517049116</v>
      </c>
      <c r="F150" s="130">
        <f t="shared" si="203"/>
        <v>31.768461988649644</v>
      </c>
      <c r="G150" s="130">
        <f t="shared" si="203"/>
        <v>30.622494284710449</v>
      </c>
      <c r="H150" s="130">
        <f t="shared" si="203"/>
        <v>28.85275933418475</v>
      </c>
      <c r="I150" s="130">
        <f t="shared" si="203"/>
        <v>27.845350873884886</v>
      </c>
      <c r="J150" s="130">
        <f t="shared" si="203"/>
        <v>26.809160518583834</v>
      </c>
      <c r="K150" s="130">
        <f t="shared" si="203"/>
        <v>28.212299277228162</v>
      </c>
      <c r="L150" s="130">
        <f t="shared" ref="L150" si="204">IF(L13=0,0,L13/L40)</f>
        <v>27.262706586538393</v>
      </c>
      <c r="M150" s="130">
        <f t="shared" ref="M150:V150" si="205">IF(M13=0,0,M13/M40)</f>
        <v>27.671211047435772</v>
      </c>
      <c r="N150" s="130">
        <f t="shared" si="205"/>
        <v>27.210091603778508</v>
      </c>
      <c r="O150" s="130">
        <f t="shared" si="205"/>
        <v>27.2</v>
      </c>
      <c r="P150" s="130">
        <f t="shared" si="205"/>
        <v>27.580965653948688</v>
      </c>
      <c r="Q150" s="130">
        <f t="shared" si="205"/>
        <v>27.200000000000006</v>
      </c>
      <c r="R150" s="130">
        <f t="shared" si="205"/>
        <v>27.282674772036476</v>
      </c>
      <c r="S150" s="130">
        <f t="shared" si="205"/>
        <v>27.199999999999992</v>
      </c>
      <c r="T150" s="130">
        <f t="shared" si="205"/>
        <v>27.2</v>
      </c>
      <c r="U150" s="130">
        <f t="shared" si="205"/>
        <v>27.200000000000003</v>
      </c>
      <c r="V150" s="130">
        <f t="shared" si="205"/>
        <v>22.666666666666668</v>
      </c>
      <c r="W150" s="130">
        <f t="shared" ref="W150:Y150" si="206">IF(W13=0,0,W13/W40)</f>
        <v>25.039701126715329</v>
      </c>
      <c r="X150" s="130">
        <f t="shared" si="206"/>
        <v>26.829299242402087</v>
      </c>
      <c r="Y150" s="130">
        <f t="shared" si="206"/>
        <v>25.279731123867162</v>
      </c>
      <c r="DA150" s="176" t="s">
        <v>561</v>
      </c>
    </row>
    <row r="151" spans="1:105" ht="11.45" customHeight="1" x14ac:dyDescent="0.25">
      <c r="A151" s="111" t="s">
        <v>110</v>
      </c>
      <c r="B151" s="97">
        <v>12.767872661680538</v>
      </c>
      <c r="C151" s="97">
        <v>12.767697734760016</v>
      </c>
      <c r="D151" s="97">
        <v>12.481413828816546</v>
      </c>
      <c r="E151" s="97">
        <v>12.203742506557353</v>
      </c>
      <c r="F151" s="97">
        <v>12.21863922640371</v>
      </c>
      <c r="G151" s="97">
        <v>11.777882417196327</v>
      </c>
      <c r="H151" s="97">
        <v>11.097215128532596</v>
      </c>
      <c r="I151" s="97">
        <v>10.709750336109575</v>
      </c>
      <c r="J151" s="97">
        <v>10.311215584070705</v>
      </c>
      <c r="K151" s="97">
        <v>10.850884337395447</v>
      </c>
      <c r="L151" s="97">
        <v>10.485656379437843</v>
      </c>
      <c r="M151" s="97">
        <v>10.64277347978299</v>
      </c>
      <c r="N151" s="97">
        <v>10.465419847607119</v>
      </c>
      <c r="O151" s="97">
        <v>10.461538461538462</v>
      </c>
      <c r="P151" s="97">
        <v>10.60806371305719</v>
      </c>
      <c r="Q151" s="97">
        <v>10.461538461538463</v>
      </c>
      <c r="R151" s="97">
        <v>10.493336450783261</v>
      </c>
      <c r="S151" s="97">
        <v>10.46153846153846</v>
      </c>
      <c r="T151" s="97">
        <v>10.461538461538463</v>
      </c>
      <c r="U151" s="97">
        <v>10.461538461538462</v>
      </c>
      <c r="V151" s="97">
        <v>8.717948717948719</v>
      </c>
      <c r="W151" s="97">
        <v>9.6306542795058956</v>
      </c>
      <c r="X151" s="97">
        <v>10.318961247077727</v>
      </c>
      <c r="Y151" s="97">
        <v>9.7229735091796812</v>
      </c>
      <c r="DA151" s="175" t="s">
        <v>562</v>
      </c>
    </row>
    <row r="152" spans="1:105" ht="11.45" customHeight="1" x14ac:dyDescent="0.25">
      <c r="A152" s="111" t="s">
        <v>111</v>
      </c>
      <c r="B152" s="97">
        <v>33.616792605516856</v>
      </c>
      <c r="C152" s="97">
        <v>33.563938485814525</v>
      </c>
      <c r="D152" s="97">
        <v>32.772208450594107</v>
      </c>
      <c r="E152" s="97">
        <v>31.995604807519513</v>
      </c>
      <c r="F152" s="97">
        <v>31.993347951938748</v>
      </c>
      <c r="G152" s="97">
        <v>30.803730651430769</v>
      </c>
      <c r="H152" s="97">
        <v>28.99028177962191</v>
      </c>
      <c r="I152" s="97">
        <v>27.955935075758468</v>
      </c>
      <c r="J152" s="97">
        <v>26.895235152156484</v>
      </c>
      <c r="K152" s="97">
        <v>28.288032263254053</v>
      </c>
      <c r="L152" s="97">
        <v>27.322162022097331</v>
      </c>
      <c r="M152" s="97">
        <v>27.720397366581093</v>
      </c>
      <c r="N152" s="97">
        <v>27.247178972126878</v>
      </c>
      <c r="O152" s="97">
        <v>27.237031474984505</v>
      </c>
      <c r="P152" s="97">
        <v>27.617907480086814</v>
      </c>
      <c r="Q152" s="97">
        <v>27.230742158469226</v>
      </c>
      <c r="R152" s="97">
        <v>27.306861952154598</v>
      </c>
      <c r="S152" s="97">
        <v>27.227781662561565</v>
      </c>
      <c r="T152" s="97">
        <v>27.21762520389785</v>
      </c>
      <c r="U152" s="97">
        <v>27.221271900952548</v>
      </c>
      <c r="V152" s="97">
        <v>22.686253624960333</v>
      </c>
      <c r="W152" s="97">
        <v>25.059170316085872</v>
      </c>
      <c r="X152" s="97">
        <v>26.883671899035509</v>
      </c>
      <c r="Y152" s="97">
        <v>25.402693170198809</v>
      </c>
      <c r="DA152" s="175" t="s">
        <v>563</v>
      </c>
    </row>
    <row r="153" spans="1:105" ht="11.45" customHeight="1" x14ac:dyDescent="0.25">
      <c r="A153" s="111" t="s">
        <v>112</v>
      </c>
      <c r="B153" s="97">
        <v>0</v>
      </c>
      <c r="C153" s="97">
        <v>33.563938485814525</v>
      </c>
      <c r="D153" s="97">
        <v>32.7722084505941</v>
      </c>
      <c r="E153" s="97">
        <v>31.995604807519513</v>
      </c>
      <c r="F153" s="97">
        <v>31.993347951938745</v>
      </c>
      <c r="G153" s="97">
        <v>30.803730651430772</v>
      </c>
      <c r="H153" s="97">
        <v>28.99028177962191</v>
      </c>
      <c r="I153" s="97">
        <v>27.955935075758468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X153" s="97">
        <v>0</v>
      </c>
      <c r="Y153" s="97">
        <v>0</v>
      </c>
      <c r="DA153" s="175" t="s">
        <v>564</v>
      </c>
    </row>
    <row r="154" spans="1:105" ht="11.45" customHeight="1" x14ac:dyDescent="0.25">
      <c r="A154" s="111" t="s">
        <v>113</v>
      </c>
      <c r="B154" s="97">
        <v>0</v>
      </c>
      <c r="C154" s="97">
        <v>0</v>
      </c>
      <c r="D154" s="97">
        <v>0</v>
      </c>
      <c r="E154" s="97">
        <v>0</v>
      </c>
      <c r="F154" s="97">
        <v>0</v>
      </c>
      <c r="G154" s="97">
        <v>0</v>
      </c>
      <c r="H154" s="97">
        <v>0</v>
      </c>
      <c r="I154" s="97">
        <v>0</v>
      </c>
      <c r="J154" s="97">
        <v>0</v>
      </c>
      <c r="K154" s="97">
        <v>0</v>
      </c>
      <c r="L154" s="97">
        <v>0</v>
      </c>
      <c r="M154" s="97">
        <v>0</v>
      </c>
      <c r="N154" s="97">
        <v>0</v>
      </c>
      <c r="O154" s="97">
        <v>0</v>
      </c>
      <c r="P154" s="97">
        <v>0</v>
      </c>
      <c r="Q154" s="97">
        <v>0</v>
      </c>
      <c r="R154" s="97">
        <v>0</v>
      </c>
      <c r="S154" s="97">
        <v>0</v>
      </c>
      <c r="T154" s="97">
        <v>27.21762520389785</v>
      </c>
      <c r="U154" s="97">
        <v>27.221271900952544</v>
      </c>
      <c r="V154" s="97">
        <v>22.686253624960333</v>
      </c>
      <c r="W154" s="97">
        <v>25.059170316085865</v>
      </c>
      <c r="X154" s="97">
        <v>26.883671899035505</v>
      </c>
      <c r="Y154" s="97">
        <v>25.402693170198809</v>
      </c>
      <c r="DA154" s="175" t="s">
        <v>565</v>
      </c>
    </row>
    <row r="155" spans="1:105" ht="11.45" customHeight="1" x14ac:dyDescent="0.25">
      <c r="A155" s="111" t="s">
        <v>115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26.895235152156484</v>
      </c>
      <c r="K155" s="97">
        <v>28.288032263254049</v>
      </c>
      <c r="L155" s="97">
        <v>27.322162022097331</v>
      </c>
      <c r="M155" s="97">
        <v>27.720397366581093</v>
      </c>
      <c r="N155" s="97">
        <v>27.247178972126878</v>
      </c>
      <c r="O155" s="97">
        <v>27.237031474984505</v>
      </c>
      <c r="P155" s="97">
        <v>27.617907480086821</v>
      </c>
      <c r="Q155" s="97">
        <v>27.230742158469223</v>
      </c>
      <c r="R155" s="97">
        <v>27.306861952154602</v>
      </c>
      <c r="S155" s="97">
        <v>27.227781662561569</v>
      </c>
      <c r="T155" s="97">
        <v>27.21762520389785</v>
      </c>
      <c r="U155" s="97">
        <v>27.221271900952548</v>
      </c>
      <c r="V155" s="97">
        <v>22.686253624960333</v>
      </c>
      <c r="W155" s="97">
        <v>25.059170316085869</v>
      </c>
      <c r="X155" s="97">
        <v>26.883671899035505</v>
      </c>
      <c r="Y155" s="97">
        <v>25.402693170198809</v>
      </c>
      <c r="DA155" s="175" t="s">
        <v>566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1.9827742097627543</v>
      </c>
      <c r="C156" s="32">
        <f t="shared" si="207"/>
        <v>2.0385996698789586</v>
      </c>
      <c r="D156" s="32">
        <f t="shared" si="207"/>
        <v>2.1440927839173871</v>
      </c>
      <c r="E156" s="32">
        <f t="shared" si="207"/>
        <v>2.2097695770759964</v>
      </c>
      <c r="F156" s="32">
        <f t="shared" si="207"/>
        <v>2.2764626340608567</v>
      </c>
      <c r="G156" s="32">
        <f t="shared" si="207"/>
        <v>2.2434274201410895</v>
      </c>
      <c r="H156" s="32">
        <f t="shared" si="207"/>
        <v>2.1568460728487762</v>
      </c>
      <c r="I156" s="32">
        <f t="shared" si="207"/>
        <v>2.1474914180198326</v>
      </c>
      <c r="J156" s="32">
        <f t="shared" si="207"/>
        <v>2.0393866555711444</v>
      </c>
      <c r="K156" s="32">
        <f t="shared" si="207"/>
        <v>1.6355524910343406</v>
      </c>
      <c r="L156" s="32">
        <f t="shared" ref="L156" si="208">IF(L19=0,0,L19/L46)</f>
        <v>1.6801454756044587</v>
      </c>
      <c r="M156" s="32">
        <f t="shared" ref="M156:V156" si="209">IF(M19=0,0,M19/M46)</f>
        <v>1.6326243039132562</v>
      </c>
      <c r="N156" s="32">
        <f t="shared" si="209"/>
        <v>1.6604274505522991</v>
      </c>
      <c r="O156" s="32">
        <f t="shared" si="209"/>
        <v>1.6005934292096227</v>
      </c>
      <c r="P156" s="32">
        <f t="shared" si="209"/>
        <v>1.6827849618407478</v>
      </c>
      <c r="Q156" s="32">
        <f t="shared" si="209"/>
        <v>1.7652898642289212</v>
      </c>
      <c r="R156" s="32">
        <f t="shared" si="209"/>
        <v>1.9348030035490758</v>
      </c>
      <c r="S156" s="32">
        <f t="shared" si="209"/>
        <v>1.9425657429241161</v>
      </c>
      <c r="T156" s="32">
        <f t="shared" si="209"/>
        <v>1.9505000075281904</v>
      </c>
      <c r="U156" s="32">
        <f t="shared" si="209"/>
        <v>2.0497131500142238</v>
      </c>
      <c r="V156" s="32">
        <f t="shared" si="209"/>
        <v>1.8550385430330245</v>
      </c>
      <c r="W156" s="32">
        <f t="shared" ref="W156:Y156" si="210">IF(W19=0,0,W19/W46)</f>
        <v>1.9453293329649002</v>
      </c>
      <c r="X156" s="32">
        <f t="shared" si="210"/>
        <v>1.8726396352877579</v>
      </c>
      <c r="Y156" s="32">
        <f t="shared" si="210"/>
        <v>1.8549262650987328</v>
      </c>
      <c r="DA156" s="173" t="s">
        <v>567</v>
      </c>
    </row>
    <row r="157" spans="1:105" ht="11.45" customHeight="1" x14ac:dyDescent="0.25">
      <c r="A157" s="136" t="s">
        <v>153</v>
      </c>
      <c r="B157" s="141">
        <f t="shared" ref="B157:K157" si="211">IF(B20=0,0,B20/B47)</f>
        <v>0.43735554068274868</v>
      </c>
      <c r="C157" s="141">
        <f t="shared" si="211"/>
        <v>0.43810043150403361</v>
      </c>
      <c r="D157" s="141">
        <f t="shared" si="211"/>
        <v>0.43884197977953443</v>
      </c>
      <c r="E157" s="141">
        <f t="shared" si="211"/>
        <v>0.4395881351240527</v>
      </c>
      <c r="F157" s="141">
        <f t="shared" si="211"/>
        <v>0.44036946903885832</v>
      </c>
      <c r="G157" s="141">
        <f t="shared" si="211"/>
        <v>0.44117010895016417</v>
      </c>
      <c r="H157" s="141">
        <f t="shared" si="211"/>
        <v>0.44190319435657627</v>
      </c>
      <c r="I157" s="141">
        <f t="shared" si="211"/>
        <v>0.44265862004338025</v>
      </c>
      <c r="J157" s="141">
        <f t="shared" si="211"/>
        <v>0.44359124686032986</v>
      </c>
      <c r="K157" s="141">
        <f t="shared" si="211"/>
        <v>0.44481809569688474</v>
      </c>
      <c r="L157" s="141">
        <f t="shared" ref="L157" si="212">IF(L20=0,0,L20/L47)</f>
        <v>0.44686874559586576</v>
      </c>
      <c r="M157" s="141">
        <f t="shared" ref="M157:V157" si="213">IF(M20=0,0,M20/M47)</f>
        <v>0.44713053971308148</v>
      </c>
      <c r="N157" s="141">
        <f t="shared" si="213"/>
        <v>0.44918040884672361</v>
      </c>
      <c r="O157" s="141">
        <f t="shared" si="213"/>
        <v>0.44727108083692851</v>
      </c>
      <c r="P157" s="141">
        <f t="shared" si="213"/>
        <v>0.44695953149334472</v>
      </c>
      <c r="Q157" s="141">
        <f t="shared" si="213"/>
        <v>0.44899812996835797</v>
      </c>
      <c r="R157" s="141">
        <f t="shared" si="213"/>
        <v>0.44908056425063397</v>
      </c>
      <c r="S157" s="141">
        <f t="shared" si="213"/>
        <v>0.45006400307739208</v>
      </c>
      <c r="T157" s="141">
        <f t="shared" si="213"/>
        <v>0.44907718260477675</v>
      </c>
      <c r="U157" s="141">
        <f t="shared" si="213"/>
        <v>0.45056642669735886</v>
      </c>
      <c r="V157" s="141">
        <f t="shared" si="213"/>
        <v>0.45240741341074314</v>
      </c>
      <c r="W157" s="141">
        <f t="shared" ref="W157:Y157" si="214">IF(W20=0,0,W20/W47)</f>
        <v>0.45049259680568132</v>
      </c>
      <c r="X157" s="141">
        <f t="shared" si="214"/>
        <v>0.44883917284531344</v>
      </c>
      <c r="Y157" s="141">
        <f t="shared" si="214"/>
        <v>0.44759150256495611</v>
      </c>
      <c r="DA157" s="174" t="s">
        <v>568</v>
      </c>
    </row>
    <row r="158" spans="1:105" ht="11.45" customHeight="1" x14ac:dyDescent="0.25">
      <c r="A158" s="111" t="s">
        <v>110</v>
      </c>
      <c r="B158" s="96">
        <v>0.3507299102032802</v>
      </c>
      <c r="C158" s="96">
        <v>0.35118409751746144</v>
      </c>
      <c r="D158" s="96">
        <v>0.35167104321436116</v>
      </c>
      <c r="E158" s="96">
        <v>0.35215536889586568</v>
      </c>
      <c r="F158" s="96">
        <v>0.35267277179679535</v>
      </c>
      <c r="G158" s="96">
        <v>0.35317874636211583</v>
      </c>
      <c r="H158" s="96">
        <v>0.35366679920433913</v>
      </c>
      <c r="I158" s="96">
        <v>0.35420703030386264</v>
      </c>
      <c r="J158" s="96">
        <v>0.35493374790204923</v>
      </c>
      <c r="K158" s="96">
        <v>0.35580397471998426</v>
      </c>
      <c r="L158" s="96">
        <v>0.35671828053636973</v>
      </c>
      <c r="M158" s="96">
        <v>0.35700260412604601</v>
      </c>
      <c r="N158" s="96">
        <v>0.35790981162973268</v>
      </c>
      <c r="O158" s="96">
        <v>0.35709003443001724</v>
      </c>
      <c r="P158" s="96">
        <v>0.35755285227665451</v>
      </c>
      <c r="Q158" s="96">
        <v>0.35917714285714292</v>
      </c>
      <c r="R158" s="96">
        <v>0.35923896890366108</v>
      </c>
      <c r="S158" s="96">
        <v>0.3600322283928028</v>
      </c>
      <c r="T158" s="96">
        <v>0.35924448310262647</v>
      </c>
      <c r="U158" s="96">
        <v>0.36003552679507039</v>
      </c>
      <c r="V158" s="96">
        <v>0.36081800926648816</v>
      </c>
      <c r="W158" s="96">
        <v>0.36000910184110207</v>
      </c>
      <c r="X158" s="96">
        <v>0.35910447590071998</v>
      </c>
      <c r="Y158" s="96">
        <v>0.35814437277326316</v>
      </c>
      <c r="DA158" s="171" t="s">
        <v>569</v>
      </c>
    </row>
    <row r="159" spans="1:105" ht="11.45" customHeight="1" x14ac:dyDescent="0.25">
      <c r="A159" s="111" t="s">
        <v>111</v>
      </c>
      <c r="B159" s="96">
        <v>0.43854730789246338</v>
      </c>
      <c r="C159" s="96">
        <v>0.43911521675372267</v>
      </c>
      <c r="D159" s="96">
        <v>0.43972408619500125</v>
      </c>
      <c r="E159" s="96">
        <v>0.44032967960915825</v>
      </c>
      <c r="F159" s="96">
        <v>0.44097663227186934</v>
      </c>
      <c r="G159" s="96">
        <v>0.44160929511877267</v>
      </c>
      <c r="H159" s="96">
        <v>0.44221954891760684</v>
      </c>
      <c r="I159" s="96">
        <v>0.44289504561020004</v>
      </c>
      <c r="J159" s="96">
        <v>0.44380372216446978</v>
      </c>
      <c r="K159" s="96">
        <v>0.44502017234812613</v>
      </c>
      <c r="L159" s="96">
        <v>0.44705251553987796</v>
      </c>
      <c r="M159" s="96">
        <v>0.44728876576303289</v>
      </c>
      <c r="N159" s="96">
        <v>0.44931869134515018</v>
      </c>
      <c r="O159" s="96">
        <v>0.44739830724060659</v>
      </c>
      <c r="P159" s="96">
        <v>0.447078610159927</v>
      </c>
      <c r="Q159" s="96">
        <v>0.44910959822392027</v>
      </c>
      <c r="R159" s="96">
        <v>0.44918690456555066</v>
      </c>
      <c r="S159" s="96">
        <v>0.45017878408110612</v>
      </c>
      <c r="T159" s="96">
        <v>0.44919379943548077</v>
      </c>
      <c r="U159" s="96">
        <v>0.4506937586541736</v>
      </c>
      <c r="V159" s="96">
        <v>0.45258207970049175</v>
      </c>
      <c r="W159" s="96">
        <v>0.45066969355682251</v>
      </c>
      <c r="X159" s="96">
        <v>0.44901873657458574</v>
      </c>
      <c r="Y159" s="96">
        <v>0.44781823832908019</v>
      </c>
      <c r="DA159" s="171" t="s">
        <v>570</v>
      </c>
    </row>
    <row r="160" spans="1:105" ht="11.45" customHeight="1" x14ac:dyDescent="0.25">
      <c r="A160" s="111" t="s">
        <v>112</v>
      </c>
      <c r="B160" s="96">
        <v>0</v>
      </c>
      <c r="C160" s="96">
        <v>0</v>
      </c>
      <c r="D160" s="96">
        <v>0</v>
      </c>
      <c r="E160" s="96">
        <v>0</v>
      </c>
      <c r="F160" s="96">
        <v>0</v>
      </c>
      <c r="G160" s="96">
        <v>0</v>
      </c>
      <c r="H160" s="96">
        <v>0</v>
      </c>
      <c r="I160" s="96">
        <v>0</v>
      </c>
      <c r="J160" s="96">
        <v>0</v>
      </c>
      <c r="K160" s="96">
        <v>0</v>
      </c>
      <c r="L160" s="96">
        <v>0</v>
      </c>
      <c r="M160" s="96">
        <v>0</v>
      </c>
      <c r="N160" s="96">
        <v>0</v>
      </c>
      <c r="O160" s="96">
        <v>0.35786379523773015</v>
      </c>
      <c r="P160" s="96">
        <v>0.35830652014671865</v>
      </c>
      <c r="Q160" s="96">
        <v>0.35917714285714292</v>
      </c>
      <c r="R160" s="96">
        <v>0.35991921506490404</v>
      </c>
      <c r="S160" s="96">
        <v>0.36067781308091168</v>
      </c>
      <c r="T160" s="96">
        <v>0.35992448858355891</v>
      </c>
      <c r="U160" s="96">
        <v>0.36068096720077236</v>
      </c>
      <c r="V160" s="96">
        <v>0.36142918436008187</v>
      </c>
      <c r="W160" s="96">
        <v>0.3606556981198516</v>
      </c>
      <c r="X160" s="96">
        <v>0.35984147939372368</v>
      </c>
      <c r="Y160" s="96">
        <v>0.35892308057425459</v>
      </c>
      <c r="DA160" s="171" t="s">
        <v>571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0</v>
      </c>
      <c r="I161" s="96">
        <v>0</v>
      </c>
      <c r="J161" s="96">
        <v>0</v>
      </c>
      <c r="K161" s="96">
        <v>0</v>
      </c>
      <c r="L161" s="96">
        <v>0</v>
      </c>
      <c r="M161" s="96">
        <v>0</v>
      </c>
      <c r="N161" s="96">
        <v>0</v>
      </c>
      <c r="O161" s="96">
        <v>0</v>
      </c>
      <c r="P161" s="96">
        <v>0</v>
      </c>
      <c r="Q161" s="96">
        <v>0</v>
      </c>
      <c r="R161" s="96">
        <v>0</v>
      </c>
      <c r="S161" s="96">
        <v>0</v>
      </c>
      <c r="T161" s="96">
        <v>0</v>
      </c>
      <c r="U161" s="96">
        <v>0</v>
      </c>
      <c r="V161" s="96">
        <v>0</v>
      </c>
      <c r="W161" s="96">
        <v>0</v>
      </c>
      <c r="X161" s="96">
        <v>0</v>
      </c>
      <c r="Y161" s="96">
        <v>0</v>
      </c>
      <c r="DA161" s="171" t="s">
        <v>572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0.45587718760059587</v>
      </c>
      <c r="N162" s="96">
        <v>0.45582459990354712</v>
      </c>
      <c r="O162" s="96">
        <v>0.45577709127231192</v>
      </c>
      <c r="P162" s="96">
        <v>0.45575025834181776</v>
      </c>
      <c r="Q162" s="96">
        <v>0.45569759229534512</v>
      </c>
      <c r="R162" s="96">
        <v>0.45574238094904129</v>
      </c>
      <c r="S162" s="96">
        <v>0.45578807622301953</v>
      </c>
      <c r="T162" s="96">
        <v>0.45583345804043079</v>
      </c>
      <c r="U162" s="96">
        <v>0.45587903421613685</v>
      </c>
      <c r="V162" s="96">
        <v>0.45655433524876304</v>
      </c>
      <c r="W162" s="96">
        <v>0.45588055515754383</v>
      </c>
      <c r="X162" s="96">
        <v>0.45593190839624775</v>
      </c>
      <c r="Y162" s="96">
        <v>0.45598739421656481</v>
      </c>
      <c r="DA162" s="171" t="s">
        <v>573</v>
      </c>
    </row>
    <row r="163" spans="1:105" ht="11.45" customHeight="1" x14ac:dyDescent="0.25">
      <c r="A163" s="109" t="s">
        <v>154</v>
      </c>
      <c r="B163" s="130">
        <f t="shared" ref="B163:K163" si="215">IF(B26=0,0,B26/B53)</f>
        <v>4.9641669783924804</v>
      </c>
      <c r="C163" s="130">
        <f t="shared" si="215"/>
        <v>5.2987268125703597</v>
      </c>
      <c r="D163" s="130">
        <f t="shared" si="215"/>
        <v>5.40577504869555</v>
      </c>
      <c r="E163" s="130">
        <f t="shared" si="215"/>
        <v>5.6484933487614706</v>
      </c>
      <c r="F163" s="130">
        <f t="shared" si="215"/>
        <v>5.7228268487252008</v>
      </c>
      <c r="G163" s="130">
        <f t="shared" si="215"/>
        <v>5.5592450997824141</v>
      </c>
      <c r="H163" s="130">
        <f t="shared" si="215"/>
        <v>5.5461817334068257</v>
      </c>
      <c r="I163" s="130">
        <f t="shared" si="215"/>
        <v>5.5339631175592237</v>
      </c>
      <c r="J163" s="130">
        <f t="shared" si="215"/>
        <v>5.4893615537543985</v>
      </c>
      <c r="K163" s="130">
        <f t="shared" si="215"/>
        <v>5.1682128210188889</v>
      </c>
      <c r="L163" s="130">
        <f t="shared" ref="L163" si="216">IF(L26=0,0,L26/L53)</f>
        <v>5.2471726927471183</v>
      </c>
      <c r="M163" s="130">
        <f t="shared" ref="M163:V163" si="217">IF(M26=0,0,M26/M53)</f>
        <v>5.1650057319281863</v>
      </c>
      <c r="N163" s="130">
        <f t="shared" si="217"/>
        <v>5.1554361617869784</v>
      </c>
      <c r="O163" s="130">
        <f t="shared" si="217"/>
        <v>5.0798416987813519</v>
      </c>
      <c r="P163" s="130">
        <f t="shared" si="217"/>
        <v>5.2561335159345894</v>
      </c>
      <c r="Q163" s="130">
        <f t="shared" si="217"/>
        <v>5.3500978703451496</v>
      </c>
      <c r="R163" s="130">
        <f t="shared" si="217"/>
        <v>5.4447217045244969</v>
      </c>
      <c r="S163" s="130">
        <f t="shared" si="217"/>
        <v>5.3870609528417548</v>
      </c>
      <c r="T163" s="130">
        <f t="shared" si="217"/>
        <v>5.3770114150594264</v>
      </c>
      <c r="U163" s="130">
        <f t="shared" si="217"/>
        <v>5.4238692684340988</v>
      </c>
      <c r="V163" s="130">
        <f t="shared" si="217"/>
        <v>5.2382206041947166</v>
      </c>
      <c r="W163" s="130">
        <f t="shared" ref="W163:Y163" si="218">IF(W26=0,0,W26/W53)</f>
        <v>5.3156182847688225</v>
      </c>
      <c r="X163" s="130">
        <f t="shared" si="218"/>
        <v>5.0494495257225136</v>
      </c>
      <c r="Y163" s="130">
        <f t="shared" si="218"/>
        <v>5.1508263729918529</v>
      </c>
      <c r="DA163" s="176" t="s">
        <v>574</v>
      </c>
    </row>
    <row r="164" spans="1:105" ht="11.45" customHeight="1" x14ac:dyDescent="0.25">
      <c r="A164" s="128" t="s">
        <v>27</v>
      </c>
      <c r="B164" s="97">
        <v>4.5458015267175576</v>
      </c>
      <c r="C164" s="97">
        <v>4.875467664350615</v>
      </c>
      <c r="D164" s="97">
        <v>5.0168302945301546</v>
      </c>
      <c r="E164" s="97">
        <v>5.2856510186005314</v>
      </c>
      <c r="F164" s="97">
        <v>5.3462783171521036</v>
      </c>
      <c r="G164" s="97">
        <v>5.1942793462109957</v>
      </c>
      <c r="H164" s="97">
        <v>5.1650485436893208</v>
      </c>
      <c r="I164" s="97">
        <v>5.1400071250445318</v>
      </c>
      <c r="J164" s="97">
        <v>5.1196449247394824</v>
      </c>
      <c r="K164" s="97">
        <v>4.7023875624652973</v>
      </c>
      <c r="L164" s="97">
        <v>4.7274295572167917</v>
      </c>
      <c r="M164" s="97">
        <v>4.5604395604395602</v>
      </c>
      <c r="N164" s="97">
        <v>4.605214152700186</v>
      </c>
      <c r="O164" s="97">
        <v>4.5412208936438008</v>
      </c>
      <c r="P164" s="97">
        <v>4.7496917385943282</v>
      </c>
      <c r="Q164" s="97">
        <v>4.7930821494749845</v>
      </c>
      <c r="R164" s="97">
        <v>5.0140464613722315</v>
      </c>
      <c r="S164" s="97">
        <v>4.9659211927582536</v>
      </c>
      <c r="T164" s="97">
        <v>4.9142707788813382</v>
      </c>
      <c r="U164" s="97">
        <v>4.9319526627218933</v>
      </c>
      <c r="V164" s="97">
        <v>5.0355753196220121</v>
      </c>
      <c r="W164" s="97">
        <v>5.1266900350525786</v>
      </c>
      <c r="X164" s="97">
        <v>4.8717703349282298</v>
      </c>
      <c r="Y164" s="97">
        <v>4.9681407513076561</v>
      </c>
      <c r="DA164" s="175" t="s">
        <v>575</v>
      </c>
    </row>
    <row r="165" spans="1:105" ht="11.45" customHeight="1" x14ac:dyDescent="0.25">
      <c r="A165" s="138" t="s">
        <v>116</v>
      </c>
      <c r="B165" s="98">
        <v>14.257421972058397</v>
      </c>
      <c r="C165" s="98">
        <v>14.245058387803748</v>
      </c>
      <c r="D165" s="98">
        <v>14.338603689647607</v>
      </c>
      <c r="E165" s="98">
        <v>14.254152494203543</v>
      </c>
      <c r="F165" s="98">
        <v>13.993137904941619</v>
      </c>
      <c r="G165" s="98">
        <v>13.999403714336369</v>
      </c>
      <c r="H165" s="98">
        <v>14.088849058887034</v>
      </c>
      <c r="I165" s="98">
        <v>14.115262081857324</v>
      </c>
      <c r="J165" s="98">
        <v>13.915448013039786</v>
      </c>
      <c r="K165" s="98">
        <v>13.731801555818866</v>
      </c>
      <c r="L165" s="98">
        <v>14.178700182725073</v>
      </c>
      <c r="M165" s="98">
        <v>14.133203670456812</v>
      </c>
      <c r="N165" s="98">
        <v>14.086426180736334</v>
      </c>
      <c r="O165" s="98">
        <v>14.105166269382361</v>
      </c>
      <c r="P165" s="98">
        <v>14.138211571635042</v>
      </c>
      <c r="Q165" s="98">
        <v>14.005556317739059</v>
      </c>
      <c r="R165" s="98">
        <v>13.933281647068958</v>
      </c>
      <c r="S165" s="98">
        <v>14.0120381138928</v>
      </c>
      <c r="T165" s="98">
        <v>14.146454243557947</v>
      </c>
      <c r="U165" s="98">
        <v>14.062037656310167</v>
      </c>
      <c r="V165" s="98">
        <v>13.861910981613583</v>
      </c>
      <c r="W165" s="98">
        <v>14.046303126595927</v>
      </c>
      <c r="X165" s="98">
        <v>13.993433342768185</v>
      </c>
      <c r="Y165" s="98">
        <v>13.837303725369457</v>
      </c>
      <c r="DA165" s="178" t="s">
        <v>576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DA166" s="171"/>
    </row>
    <row r="167" spans="1:105" ht="11.45" customHeight="1" x14ac:dyDescent="0.25">
      <c r="A167" s="53" t="s">
        <v>136</v>
      </c>
      <c r="B167" s="54">
        <f t="shared" ref="B167:V180" si="219">IF(B30=0,0,B30*1000000/B57)</f>
        <v>17675.748826909181</v>
      </c>
      <c r="C167" s="54">
        <f t="shared" si="219"/>
        <v>17653.334174192834</v>
      </c>
      <c r="D167" s="54">
        <f t="shared" si="219"/>
        <v>17666.112586570449</v>
      </c>
      <c r="E167" s="54">
        <f t="shared" si="219"/>
        <v>17662.06321345333</v>
      </c>
      <c r="F167" s="54">
        <f t="shared" si="219"/>
        <v>17701.81293504142</v>
      </c>
      <c r="G167" s="54">
        <f t="shared" si="219"/>
        <v>17735.473677322556</v>
      </c>
      <c r="H167" s="54">
        <f t="shared" si="219"/>
        <v>17332.880772266504</v>
      </c>
      <c r="I167" s="54">
        <f t="shared" si="219"/>
        <v>17471.367134070664</v>
      </c>
      <c r="J167" s="54">
        <f t="shared" si="219"/>
        <v>17288.09791184236</v>
      </c>
      <c r="K167" s="54">
        <f t="shared" si="219"/>
        <v>16943.840524179363</v>
      </c>
      <c r="L167" s="54">
        <f t="shared" si="219"/>
        <v>17017.270990112142</v>
      </c>
      <c r="M167" s="54">
        <f>IF(M30=0,0,M30*1000000/M57)</f>
        <v>16523.234301114866</v>
      </c>
      <c r="N167" s="54">
        <f t="shared" ref="N167:V167" si="220">IF(N30=0,0,N30*1000000/N57)</f>
        <v>16097.710872417345</v>
      </c>
      <c r="O167" s="54">
        <f t="shared" si="220"/>
        <v>16364.390781710503</v>
      </c>
      <c r="P167" s="54">
        <f t="shared" si="220"/>
        <v>16008.371396077315</v>
      </c>
      <c r="Q167" s="54">
        <f t="shared" si="220"/>
        <v>16575.141126611892</v>
      </c>
      <c r="R167" s="54">
        <f t="shared" si="220"/>
        <v>16913.368202678048</v>
      </c>
      <c r="S167" s="54">
        <f t="shared" si="220"/>
        <v>17063.515734556742</v>
      </c>
      <c r="T167" s="54">
        <f t="shared" si="220"/>
        <v>16723.234030137348</v>
      </c>
      <c r="U167" s="54">
        <f t="shared" si="220"/>
        <v>16426.680614837889</v>
      </c>
      <c r="V167" s="54">
        <f t="shared" si="220"/>
        <v>14222.680641194653</v>
      </c>
      <c r="W167" s="54">
        <f t="shared" ref="W167:Y191" si="221">IF(W30=0,0,W30*1000000/W57)</f>
        <v>14756.965458643261</v>
      </c>
      <c r="X167" s="54">
        <f t="shared" si="221"/>
        <v>15895.953476863697</v>
      </c>
      <c r="Y167" s="54">
        <f t="shared" si="221"/>
        <v>15810.33887376209</v>
      </c>
      <c r="DA167" s="172" t="s">
        <v>577</v>
      </c>
    </row>
    <row r="168" spans="1:105" ht="11.45" customHeight="1" x14ac:dyDescent="0.25">
      <c r="A168" s="27" t="s">
        <v>33</v>
      </c>
      <c r="B168" s="28">
        <f t="shared" si="219"/>
        <v>16445.992598923465</v>
      </c>
      <c r="C168" s="28">
        <f t="shared" si="219"/>
        <v>16531.514191130656</v>
      </c>
      <c r="D168" s="28">
        <f t="shared" si="219"/>
        <v>16403.332207455587</v>
      </c>
      <c r="E168" s="28">
        <f t="shared" si="219"/>
        <v>16361.744457116718</v>
      </c>
      <c r="F168" s="28">
        <f t="shared" si="219"/>
        <v>16320.515394432383</v>
      </c>
      <c r="G168" s="28">
        <f t="shared" si="219"/>
        <v>16356.082228904197</v>
      </c>
      <c r="H168" s="28">
        <f t="shared" si="219"/>
        <v>16121.394056987032</v>
      </c>
      <c r="I168" s="28">
        <f t="shared" si="219"/>
        <v>16316.12619886605</v>
      </c>
      <c r="J168" s="28">
        <f t="shared" si="219"/>
        <v>16130.476660697786</v>
      </c>
      <c r="K168" s="28">
        <f t="shared" si="219"/>
        <v>16082.312258801916</v>
      </c>
      <c r="L168" s="28">
        <f t="shared" si="219"/>
        <v>16236.942567091337</v>
      </c>
      <c r="M168" s="28">
        <f t="shared" ref="M168:M192" si="222">IF(M31=0,0,M31*1000000/M58)</f>
        <v>15712.069806499801</v>
      </c>
      <c r="N168" s="28">
        <f t="shared" si="219"/>
        <v>15297.208368387221</v>
      </c>
      <c r="O168" s="28">
        <f t="shared" si="219"/>
        <v>15558.234394843779</v>
      </c>
      <c r="P168" s="28">
        <f t="shared" si="219"/>
        <v>15190.043599607006</v>
      </c>
      <c r="Q168" s="28">
        <f t="shared" si="219"/>
        <v>15960.619877207468</v>
      </c>
      <c r="R168" s="28">
        <f t="shared" si="219"/>
        <v>16282.930516402752</v>
      </c>
      <c r="S168" s="28">
        <f t="shared" si="219"/>
        <v>16510.366242338179</v>
      </c>
      <c r="T168" s="28">
        <f t="shared" si="219"/>
        <v>16102.823215257711</v>
      </c>
      <c r="U168" s="28">
        <f t="shared" si="219"/>
        <v>15772.173963636516</v>
      </c>
      <c r="V168" s="28">
        <f t="shared" si="219"/>
        <v>13438.990602684058</v>
      </c>
      <c r="W168" s="28">
        <f t="shared" si="221"/>
        <v>13942.908011437059</v>
      </c>
      <c r="X168" s="28">
        <f t="shared" si="221"/>
        <v>15166.927350730753</v>
      </c>
      <c r="Y168" s="28">
        <f t="shared" si="221"/>
        <v>15045.934792250737</v>
      </c>
      <c r="DA168" s="173" t="s">
        <v>578</v>
      </c>
    </row>
    <row r="169" spans="1:105" ht="11.45" customHeight="1" x14ac:dyDescent="0.25">
      <c r="A169" s="136" t="s">
        <v>173</v>
      </c>
      <c r="B169" s="137">
        <f t="shared" si="219"/>
        <v>3540.6241267375694</v>
      </c>
      <c r="C169" s="137">
        <f t="shared" si="219"/>
        <v>3570.5642606317356</v>
      </c>
      <c r="D169" s="137">
        <f t="shared" si="219"/>
        <v>3550.3660444072616</v>
      </c>
      <c r="E169" s="137">
        <f t="shared" si="219"/>
        <v>3602.034026367282</v>
      </c>
      <c r="F169" s="137">
        <f t="shared" si="219"/>
        <v>3505.2924993565316</v>
      </c>
      <c r="G169" s="137">
        <f t="shared" si="219"/>
        <v>4366.1101643415395</v>
      </c>
      <c r="H169" s="137">
        <f t="shared" si="219"/>
        <v>4227.634110758092</v>
      </c>
      <c r="I169" s="137">
        <f t="shared" si="219"/>
        <v>4015.3506134283834</v>
      </c>
      <c r="J169" s="137">
        <f t="shared" si="219"/>
        <v>4039.5072028135005</v>
      </c>
      <c r="K169" s="137">
        <f t="shared" si="219"/>
        <v>3698.5495510066735</v>
      </c>
      <c r="L169" s="137">
        <f t="shared" si="219"/>
        <v>3357.1280478759463</v>
      </c>
      <c r="M169" s="137">
        <f t="shared" si="222"/>
        <v>3213.4355694057185</v>
      </c>
      <c r="N169" s="137">
        <f t="shared" si="219"/>
        <v>3019.4268785962513</v>
      </c>
      <c r="O169" s="137">
        <f t="shared" si="219"/>
        <v>2878.2825770457353</v>
      </c>
      <c r="P169" s="137">
        <f t="shared" si="219"/>
        <v>3324.3678922893132</v>
      </c>
      <c r="Q169" s="137">
        <f t="shared" si="219"/>
        <v>3133.9459574688431</v>
      </c>
      <c r="R169" s="137">
        <f t="shared" si="219"/>
        <v>3170.5982190629302</v>
      </c>
      <c r="S169" s="137">
        <f t="shared" si="219"/>
        <v>2878.939008843598</v>
      </c>
      <c r="T169" s="137">
        <f t="shared" si="219"/>
        <v>2714.2644737751139</v>
      </c>
      <c r="U169" s="137">
        <f t="shared" si="219"/>
        <v>2749.076565171149</v>
      </c>
      <c r="V169" s="137">
        <f t="shared" si="219"/>
        <v>2357.6221091091165</v>
      </c>
      <c r="W169" s="137">
        <f t="shared" si="221"/>
        <v>2365.7756813466003</v>
      </c>
      <c r="X169" s="137">
        <f t="shared" si="221"/>
        <v>2356.4692422528142</v>
      </c>
      <c r="Y169" s="137">
        <f t="shared" si="221"/>
        <v>2480.0591173770576</v>
      </c>
      <c r="DA169" s="174" t="s">
        <v>579</v>
      </c>
    </row>
    <row r="170" spans="1:105" ht="11.45" customHeight="1" x14ac:dyDescent="0.25">
      <c r="A170" s="109" t="s">
        <v>20</v>
      </c>
      <c r="B170" s="110">
        <f t="shared" si="219"/>
        <v>16689.082437854555</v>
      </c>
      <c r="C170" s="110">
        <f t="shared" si="219"/>
        <v>16778.580280499427</v>
      </c>
      <c r="D170" s="110">
        <f t="shared" si="219"/>
        <v>16635.707963389941</v>
      </c>
      <c r="E170" s="110">
        <f t="shared" si="219"/>
        <v>16593.203496281378</v>
      </c>
      <c r="F170" s="110">
        <f t="shared" si="219"/>
        <v>16539.103167272191</v>
      </c>
      <c r="G170" s="110">
        <f t="shared" si="219"/>
        <v>16538.52664983027</v>
      </c>
      <c r="H170" s="110">
        <f t="shared" si="219"/>
        <v>16277.388774531135</v>
      </c>
      <c r="I170" s="110">
        <f t="shared" si="219"/>
        <v>16488.573516127501</v>
      </c>
      <c r="J170" s="110">
        <f t="shared" si="219"/>
        <v>16294.595300165796</v>
      </c>
      <c r="K170" s="110">
        <f t="shared" si="219"/>
        <v>16254.312459707869</v>
      </c>
      <c r="L170" s="110">
        <f t="shared" si="219"/>
        <v>16413.721376347868</v>
      </c>
      <c r="M170" s="110">
        <f t="shared" si="222"/>
        <v>15870.020695798836</v>
      </c>
      <c r="N170" s="110">
        <f t="shared" si="219"/>
        <v>15443.30365404513</v>
      </c>
      <c r="O170" s="110">
        <f t="shared" si="219"/>
        <v>15721.410501743589</v>
      </c>
      <c r="P170" s="110">
        <f t="shared" si="219"/>
        <v>15332.397471824082</v>
      </c>
      <c r="Q170" s="110">
        <f t="shared" si="219"/>
        <v>16123.173950489068</v>
      </c>
      <c r="R170" s="110">
        <f t="shared" si="219"/>
        <v>16452.216449176976</v>
      </c>
      <c r="S170" s="110">
        <f t="shared" si="219"/>
        <v>16687.694985708094</v>
      </c>
      <c r="T170" s="110">
        <f t="shared" si="219"/>
        <v>16264.752454295716</v>
      </c>
      <c r="U170" s="110">
        <f t="shared" si="219"/>
        <v>15934.723390650965</v>
      </c>
      <c r="V170" s="110">
        <f t="shared" si="219"/>
        <v>13583.763105622513</v>
      </c>
      <c r="W170" s="110">
        <f t="shared" si="221"/>
        <v>14112.266467045732</v>
      </c>
      <c r="X170" s="110">
        <f t="shared" si="221"/>
        <v>15336.669916020192</v>
      </c>
      <c r="Y170" s="110">
        <f t="shared" si="221"/>
        <v>15170.041921752643</v>
      </c>
      <c r="DA170" s="176" t="s">
        <v>580</v>
      </c>
    </row>
    <row r="171" spans="1:105" ht="11.45" customHeight="1" x14ac:dyDescent="0.25">
      <c r="A171" s="111" t="s">
        <v>110</v>
      </c>
      <c r="B171" s="84">
        <f t="shared" si="219"/>
        <v>16594.104336686229</v>
      </c>
      <c r="C171" s="84">
        <f t="shared" si="219"/>
        <v>16676.043573406969</v>
      </c>
      <c r="D171" s="84">
        <f t="shared" si="219"/>
        <v>16547.228449748207</v>
      </c>
      <c r="E171" s="84">
        <f t="shared" si="219"/>
        <v>16468.216179058349</v>
      </c>
      <c r="F171" s="84">
        <f t="shared" si="219"/>
        <v>16311.392615893084</v>
      </c>
      <c r="G171" s="84">
        <f t="shared" si="219"/>
        <v>16309.143479966628</v>
      </c>
      <c r="H171" s="84">
        <f t="shared" si="219"/>
        <v>16252.971815747818</v>
      </c>
      <c r="I171" s="84">
        <f t="shared" si="219"/>
        <v>16285.870935046916</v>
      </c>
      <c r="J171" s="84">
        <f t="shared" si="219"/>
        <v>16098.503956861263</v>
      </c>
      <c r="K171" s="84">
        <f t="shared" si="219"/>
        <v>15801.19533270765</v>
      </c>
      <c r="L171" s="84">
        <f t="shared" si="219"/>
        <v>15748.076104449592</v>
      </c>
      <c r="M171" s="84">
        <f t="shared" si="222"/>
        <v>14825.385827161963</v>
      </c>
      <c r="N171" s="84">
        <f t="shared" si="219"/>
        <v>14511.615639761902</v>
      </c>
      <c r="O171" s="84">
        <f t="shared" si="219"/>
        <v>14436.836217074231</v>
      </c>
      <c r="P171" s="84">
        <f t="shared" si="219"/>
        <v>14150.116923480537</v>
      </c>
      <c r="Q171" s="84">
        <f t="shared" si="219"/>
        <v>14276.626843238453</v>
      </c>
      <c r="R171" s="84">
        <f t="shared" si="219"/>
        <v>14318.695555260794</v>
      </c>
      <c r="S171" s="84">
        <f t="shared" si="219"/>
        <v>14630.927634992828</v>
      </c>
      <c r="T171" s="84">
        <f t="shared" si="219"/>
        <v>14412.035804331708</v>
      </c>
      <c r="U171" s="84">
        <f t="shared" si="219"/>
        <v>14359.230137277566</v>
      </c>
      <c r="V171" s="84">
        <f t="shared" si="219"/>
        <v>11731.997819366419</v>
      </c>
      <c r="W171" s="84">
        <f t="shared" si="221"/>
        <v>12319.151691093861</v>
      </c>
      <c r="X171" s="84">
        <f t="shared" si="221"/>
        <v>13918.321873892412</v>
      </c>
      <c r="Y171" s="84">
        <f t="shared" si="221"/>
        <v>14273.228592040081</v>
      </c>
      <c r="DA171" s="171" t="s">
        <v>581</v>
      </c>
    </row>
    <row r="172" spans="1:105" ht="11.45" customHeight="1" x14ac:dyDescent="0.25">
      <c r="A172" s="111" t="s">
        <v>111</v>
      </c>
      <c r="B172" s="84">
        <f t="shared" si="219"/>
        <v>17317.748572488774</v>
      </c>
      <c r="C172" s="84">
        <f t="shared" si="219"/>
        <v>17469.228822508696</v>
      </c>
      <c r="D172" s="84">
        <f t="shared" si="219"/>
        <v>17214.02240737473</v>
      </c>
      <c r="E172" s="84">
        <f t="shared" si="219"/>
        <v>17389.927894167555</v>
      </c>
      <c r="F172" s="84">
        <f t="shared" si="219"/>
        <v>17931.415860575373</v>
      </c>
      <c r="G172" s="84">
        <f t="shared" si="219"/>
        <v>17703.639966511393</v>
      </c>
      <c r="H172" s="84">
        <f t="shared" si="219"/>
        <v>16389.110153251509</v>
      </c>
      <c r="I172" s="84">
        <f t="shared" si="219"/>
        <v>17413.337155563237</v>
      </c>
      <c r="J172" s="84">
        <f t="shared" si="219"/>
        <v>17020.268360686317</v>
      </c>
      <c r="K172" s="84">
        <f t="shared" si="219"/>
        <v>17718.41750882726</v>
      </c>
      <c r="L172" s="84">
        <f t="shared" si="219"/>
        <v>18206.33718209916</v>
      </c>
      <c r="M172" s="84">
        <f t="shared" si="222"/>
        <v>18178.380340370437</v>
      </c>
      <c r="N172" s="84">
        <f t="shared" si="219"/>
        <v>17219.495497670701</v>
      </c>
      <c r="O172" s="84">
        <f t="shared" si="219"/>
        <v>17847.751841167752</v>
      </c>
      <c r="P172" s="84">
        <f t="shared" si="219"/>
        <v>17015.112280138888</v>
      </c>
      <c r="Q172" s="84">
        <f t="shared" si="219"/>
        <v>18393.735641231378</v>
      </c>
      <c r="R172" s="84">
        <f t="shared" si="219"/>
        <v>18665.985310384414</v>
      </c>
      <c r="S172" s="84">
        <f t="shared" si="219"/>
        <v>18502.709059881152</v>
      </c>
      <c r="T172" s="84">
        <f t="shared" si="219"/>
        <v>17706.010338767956</v>
      </c>
      <c r="U172" s="84">
        <f t="shared" si="219"/>
        <v>17042.809262327548</v>
      </c>
      <c r="V172" s="84">
        <f t="shared" si="219"/>
        <v>14804.023627412094</v>
      </c>
      <c r="W172" s="84">
        <f t="shared" si="221"/>
        <v>15240.002095111498</v>
      </c>
      <c r="X172" s="84">
        <f t="shared" si="221"/>
        <v>16234.42813650618</v>
      </c>
      <c r="Y172" s="84">
        <f t="shared" si="221"/>
        <v>15697.057029155685</v>
      </c>
      <c r="DA172" s="171" t="s">
        <v>582</v>
      </c>
    </row>
    <row r="173" spans="1:105" ht="11.45" customHeight="1" x14ac:dyDescent="0.25">
      <c r="A173" s="111" t="s">
        <v>112</v>
      </c>
      <c r="B173" s="84">
        <f t="shared" si="219"/>
        <v>16742.734533768689</v>
      </c>
      <c r="C173" s="84">
        <f t="shared" si="219"/>
        <v>16720.293222068725</v>
      </c>
      <c r="D173" s="84">
        <f t="shared" si="219"/>
        <v>16640.78822013197</v>
      </c>
      <c r="E173" s="84">
        <f t="shared" si="219"/>
        <v>16978.944340022164</v>
      </c>
      <c r="F173" s="84">
        <f t="shared" si="219"/>
        <v>17682.711442177879</v>
      </c>
      <c r="G173" s="84">
        <f t="shared" si="219"/>
        <v>17632.675692343433</v>
      </c>
      <c r="H173" s="84">
        <f t="shared" si="219"/>
        <v>16160.180963766494</v>
      </c>
      <c r="I173" s="84">
        <f t="shared" si="219"/>
        <v>16998.40017034363</v>
      </c>
      <c r="J173" s="84">
        <f t="shared" si="219"/>
        <v>16464.487490957144</v>
      </c>
      <c r="K173" s="84">
        <f t="shared" si="219"/>
        <v>16968.440842354634</v>
      </c>
      <c r="L173" s="84">
        <f t="shared" si="219"/>
        <v>17261.351005175075</v>
      </c>
      <c r="M173" s="84">
        <f t="shared" si="222"/>
        <v>17062.496789773504</v>
      </c>
      <c r="N173" s="84">
        <f t="shared" si="219"/>
        <v>16000.84855404082</v>
      </c>
      <c r="O173" s="84">
        <f t="shared" si="219"/>
        <v>16714.314754847022</v>
      </c>
      <c r="P173" s="84">
        <f t="shared" si="219"/>
        <v>16093.898224153225</v>
      </c>
      <c r="Q173" s="84">
        <f t="shared" si="219"/>
        <v>17571.86044635591</v>
      </c>
      <c r="R173" s="84">
        <f t="shared" si="219"/>
        <v>18012.066022787538</v>
      </c>
      <c r="S173" s="84">
        <f t="shared" si="219"/>
        <v>17934.705510191692</v>
      </c>
      <c r="T173" s="84">
        <f t="shared" si="219"/>
        <v>16992.538776723737</v>
      </c>
      <c r="U173" s="84">
        <f t="shared" si="219"/>
        <v>16194.120477864577</v>
      </c>
      <c r="V173" s="84">
        <f t="shared" si="219"/>
        <v>13927.545251126883</v>
      </c>
      <c r="W173" s="84">
        <f t="shared" si="221"/>
        <v>14195.753893376248</v>
      </c>
      <c r="X173" s="84">
        <f t="shared" si="221"/>
        <v>15274.789545267713</v>
      </c>
      <c r="Y173" s="84">
        <f t="shared" si="221"/>
        <v>14918.3668254519</v>
      </c>
      <c r="DA173" s="171" t="s">
        <v>583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0</v>
      </c>
      <c r="G174" s="84">
        <f t="shared" si="219"/>
        <v>0</v>
      </c>
      <c r="H174" s="84">
        <f t="shared" si="219"/>
        <v>0</v>
      </c>
      <c r="I174" s="84">
        <f t="shared" si="219"/>
        <v>0</v>
      </c>
      <c r="J174" s="84">
        <f t="shared" si="219"/>
        <v>0</v>
      </c>
      <c r="K174" s="84">
        <f t="shared" si="219"/>
        <v>0</v>
      </c>
      <c r="L174" s="84">
        <f t="shared" si="219"/>
        <v>0</v>
      </c>
      <c r="M174" s="84">
        <f t="shared" si="222"/>
        <v>0</v>
      </c>
      <c r="N174" s="84">
        <f t="shared" si="219"/>
        <v>0</v>
      </c>
      <c r="O174" s="84">
        <f t="shared" si="219"/>
        <v>0</v>
      </c>
      <c r="P174" s="84">
        <f t="shared" si="219"/>
        <v>14194.818233703143</v>
      </c>
      <c r="Q174" s="84">
        <f t="shared" si="219"/>
        <v>15814.674401720318</v>
      </c>
      <c r="R174" s="84">
        <f t="shared" si="219"/>
        <v>15886.642232098608</v>
      </c>
      <c r="S174" s="84">
        <f t="shared" si="219"/>
        <v>15502.04205478929</v>
      </c>
      <c r="T174" s="84">
        <f t="shared" si="219"/>
        <v>14393.917400707949</v>
      </c>
      <c r="U174" s="84">
        <f t="shared" si="219"/>
        <v>13443.246997187645</v>
      </c>
      <c r="V174" s="84">
        <f t="shared" si="219"/>
        <v>11330.458020780003</v>
      </c>
      <c r="W174" s="84">
        <f t="shared" si="221"/>
        <v>11317.680384361034</v>
      </c>
      <c r="X174" s="84">
        <f t="shared" si="221"/>
        <v>11934.391337295267</v>
      </c>
      <c r="Y174" s="84">
        <f t="shared" si="221"/>
        <v>11422.795367164772</v>
      </c>
      <c r="DA174" s="171" t="s">
        <v>584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0</v>
      </c>
      <c r="N175" s="84">
        <f t="shared" si="219"/>
        <v>0</v>
      </c>
      <c r="O175" s="84">
        <f t="shared" si="219"/>
        <v>14617.992355514067</v>
      </c>
      <c r="P175" s="84">
        <f t="shared" si="219"/>
        <v>13525.265313288259</v>
      </c>
      <c r="Q175" s="84">
        <f t="shared" si="219"/>
        <v>14064.133782102797</v>
      </c>
      <c r="R175" s="84">
        <f t="shared" si="219"/>
        <v>14964.152346196737</v>
      </c>
      <c r="S175" s="84">
        <f t="shared" si="219"/>
        <v>14824.516706237244</v>
      </c>
      <c r="T175" s="84">
        <f t="shared" si="219"/>
        <v>14608.817186381639</v>
      </c>
      <c r="U175" s="84">
        <f t="shared" si="219"/>
        <v>14576.492141238023</v>
      </c>
      <c r="V175" s="84">
        <f t="shared" si="219"/>
        <v>11909.508544685745</v>
      </c>
      <c r="W175" s="84">
        <f t="shared" si="221"/>
        <v>12498.050734422613</v>
      </c>
      <c r="X175" s="84">
        <f t="shared" si="221"/>
        <v>14120.444108476237</v>
      </c>
      <c r="Y175" s="84">
        <f t="shared" si="221"/>
        <v>14480.504791275016</v>
      </c>
      <c r="DA175" s="171" t="s">
        <v>585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0</v>
      </c>
      <c r="K176" s="84">
        <f t="shared" si="219"/>
        <v>17471.234085180906</v>
      </c>
      <c r="L176" s="84">
        <f t="shared" si="219"/>
        <v>17474.175951787405</v>
      </c>
      <c r="M176" s="84">
        <f t="shared" si="222"/>
        <v>17527.007779684784</v>
      </c>
      <c r="N176" s="84">
        <f t="shared" si="219"/>
        <v>17545.764312932672</v>
      </c>
      <c r="O176" s="84">
        <f t="shared" si="219"/>
        <v>17550.297317086559</v>
      </c>
      <c r="P176" s="84">
        <f t="shared" si="219"/>
        <v>17622.012449994658</v>
      </c>
      <c r="Q176" s="84">
        <f t="shared" si="219"/>
        <v>17656.469295727828</v>
      </c>
      <c r="R176" s="84">
        <f t="shared" si="219"/>
        <v>17597.953734599385</v>
      </c>
      <c r="S176" s="84">
        <f t="shared" si="219"/>
        <v>17588.675521957848</v>
      </c>
      <c r="T176" s="84">
        <f t="shared" si="219"/>
        <v>17575.423982539582</v>
      </c>
      <c r="U176" s="84">
        <f t="shared" si="219"/>
        <v>17572.198549679335</v>
      </c>
      <c r="V176" s="84">
        <f t="shared" si="219"/>
        <v>15101.03502632315</v>
      </c>
      <c r="W176" s="84">
        <f t="shared" si="221"/>
        <v>17438.076722099806</v>
      </c>
      <c r="X176" s="84">
        <f t="shared" si="221"/>
        <v>17544.818819401549</v>
      </c>
      <c r="Y176" s="84">
        <f t="shared" si="221"/>
        <v>17566.92127381375</v>
      </c>
      <c r="DA176" s="171" t="s">
        <v>586</v>
      </c>
    </row>
    <row r="177" spans="1:105" ht="11.45" customHeight="1" x14ac:dyDescent="0.25">
      <c r="A177" s="109" t="s">
        <v>21</v>
      </c>
      <c r="B177" s="110">
        <f t="shared" si="219"/>
        <v>25434.369962752455</v>
      </c>
      <c r="C177" s="110">
        <f t="shared" si="219"/>
        <v>25950.440637449814</v>
      </c>
      <c r="D177" s="110">
        <f t="shared" si="219"/>
        <v>26343.874665732004</v>
      </c>
      <c r="E177" s="110">
        <f t="shared" si="219"/>
        <v>26931.556168181985</v>
      </c>
      <c r="F177" s="110">
        <f t="shared" si="219"/>
        <v>27508.657070869955</v>
      </c>
      <c r="G177" s="110">
        <f t="shared" si="219"/>
        <v>28101.39797530213</v>
      </c>
      <c r="H177" s="110">
        <f t="shared" si="219"/>
        <v>28747.327968401445</v>
      </c>
      <c r="I177" s="110">
        <f t="shared" si="219"/>
        <v>29402.076688561818</v>
      </c>
      <c r="J177" s="110">
        <f t="shared" si="219"/>
        <v>30073.609916556394</v>
      </c>
      <c r="K177" s="110">
        <f t="shared" si="219"/>
        <v>30646.858981316993</v>
      </c>
      <c r="L177" s="110">
        <f t="shared" si="219"/>
        <v>31209.482303600129</v>
      </c>
      <c r="M177" s="110">
        <f t="shared" si="222"/>
        <v>30590.592131203644</v>
      </c>
      <c r="N177" s="110">
        <f t="shared" si="219"/>
        <v>29995.919704091957</v>
      </c>
      <c r="O177" s="110">
        <f t="shared" si="219"/>
        <v>29440.724694761717</v>
      </c>
      <c r="P177" s="110">
        <f t="shared" si="219"/>
        <v>29281.435336830305</v>
      </c>
      <c r="Q177" s="110">
        <f t="shared" si="219"/>
        <v>28771.026748782053</v>
      </c>
      <c r="R177" s="110">
        <f t="shared" si="219"/>
        <v>28741.154887743513</v>
      </c>
      <c r="S177" s="110">
        <f t="shared" si="219"/>
        <v>30196.570472605603</v>
      </c>
      <c r="T177" s="110">
        <f t="shared" si="219"/>
        <v>30880.000000000004</v>
      </c>
      <c r="U177" s="110">
        <f t="shared" si="219"/>
        <v>30177.059276366432</v>
      </c>
      <c r="V177" s="110">
        <f t="shared" si="219"/>
        <v>27254.441837076767</v>
      </c>
      <c r="W177" s="110">
        <f t="shared" si="221"/>
        <v>25707.95760164531</v>
      </c>
      <c r="X177" s="110">
        <f t="shared" si="221"/>
        <v>30828.335832083958</v>
      </c>
      <c r="Y177" s="110">
        <f t="shared" si="221"/>
        <v>37184.948526801571</v>
      </c>
      <c r="DA177" s="176" t="s">
        <v>587</v>
      </c>
    </row>
    <row r="178" spans="1:105" ht="11.45" customHeight="1" x14ac:dyDescent="0.25">
      <c r="A178" s="111" t="s">
        <v>110</v>
      </c>
      <c r="B178" s="102">
        <f t="shared" si="219"/>
        <v>25322.163518661026</v>
      </c>
      <c r="C178" s="102">
        <f t="shared" si="219"/>
        <v>25392.183714621529</v>
      </c>
      <c r="D178" s="102">
        <f t="shared" si="219"/>
        <v>25433.213931974005</v>
      </c>
      <c r="E178" s="102">
        <f t="shared" si="219"/>
        <v>25518.900563221152</v>
      </c>
      <c r="F178" s="102">
        <f t="shared" si="219"/>
        <v>25581.742644410249</v>
      </c>
      <c r="G178" s="102">
        <f t="shared" si="219"/>
        <v>25647.876677287055</v>
      </c>
      <c r="H178" s="102">
        <f t="shared" si="219"/>
        <v>25752.196713731963</v>
      </c>
      <c r="I178" s="102">
        <f t="shared" si="219"/>
        <v>26906.533794996441</v>
      </c>
      <c r="J178" s="102">
        <f t="shared" si="219"/>
        <v>28114.451314262042</v>
      </c>
      <c r="K178" s="102">
        <f t="shared" si="219"/>
        <v>28115.115279213431</v>
      </c>
      <c r="L178" s="102">
        <f t="shared" si="219"/>
        <v>28095.406578361213</v>
      </c>
      <c r="M178" s="102">
        <f t="shared" si="222"/>
        <v>28128.504244339041</v>
      </c>
      <c r="N178" s="102">
        <f t="shared" si="219"/>
        <v>27430.419980795417</v>
      </c>
      <c r="O178" s="102">
        <f t="shared" si="219"/>
        <v>27501.454580931535</v>
      </c>
      <c r="P178" s="102">
        <f t="shared" si="219"/>
        <v>27575.583419592713</v>
      </c>
      <c r="Q178" s="102">
        <f t="shared" si="219"/>
        <v>27324.168797953967</v>
      </c>
      <c r="R178" s="102">
        <f t="shared" si="219"/>
        <v>27840.269074595151</v>
      </c>
      <c r="S178" s="102">
        <f t="shared" si="219"/>
        <v>29908.847391989082</v>
      </c>
      <c r="T178" s="102">
        <f t="shared" si="219"/>
        <v>31232.410366529384</v>
      </c>
      <c r="U178" s="102">
        <f t="shared" si="219"/>
        <v>31096.053837693973</v>
      </c>
      <c r="V178" s="102">
        <f t="shared" si="219"/>
        <v>28500.58972573858</v>
      </c>
      <c r="W178" s="102">
        <f t="shared" si="221"/>
        <v>27341.08940624457</v>
      </c>
      <c r="X178" s="102">
        <f t="shared" si="221"/>
        <v>33747.578678429934</v>
      </c>
      <c r="Y178" s="102">
        <f t="shared" si="221"/>
        <v>41911.263017720827</v>
      </c>
      <c r="DA178" s="175" t="s">
        <v>588</v>
      </c>
    </row>
    <row r="179" spans="1:105" ht="11.45" customHeight="1" x14ac:dyDescent="0.25">
      <c r="A179" s="111" t="s">
        <v>111</v>
      </c>
      <c r="B179" s="102">
        <f t="shared" si="219"/>
        <v>25436.689081089495</v>
      </c>
      <c r="C179" s="102">
        <f t="shared" si="219"/>
        <v>25961.971454931867</v>
      </c>
      <c r="D179" s="102">
        <f t="shared" si="219"/>
        <v>26360.268956420972</v>
      </c>
      <c r="E179" s="102">
        <f t="shared" si="219"/>
        <v>26953.088112385849</v>
      </c>
      <c r="F179" s="102">
        <f t="shared" si="219"/>
        <v>27533.720981904211</v>
      </c>
      <c r="G179" s="102">
        <f t="shared" si="219"/>
        <v>28128.47221104956</v>
      </c>
      <c r="H179" s="102">
        <f t="shared" si="219"/>
        <v>28774.400947812563</v>
      </c>
      <c r="I179" s="102">
        <f t="shared" si="219"/>
        <v>29420.80117417693</v>
      </c>
      <c r="J179" s="102">
        <f t="shared" si="219"/>
        <v>30083.515682813464</v>
      </c>
      <c r="K179" s="102">
        <f t="shared" si="219"/>
        <v>30657.895277240095</v>
      </c>
      <c r="L179" s="102">
        <f t="shared" si="219"/>
        <v>31220.752011455188</v>
      </c>
      <c r="M179" s="102">
        <f t="shared" si="222"/>
        <v>30597.263036533441</v>
      </c>
      <c r="N179" s="102">
        <f t="shared" si="219"/>
        <v>30001.012642351769</v>
      </c>
      <c r="O179" s="102">
        <f t="shared" si="219"/>
        <v>29444.161875759422</v>
      </c>
      <c r="P179" s="102">
        <f t="shared" si="219"/>
        <v>29284.230235756815</v>
      </c>
      <c r="Q179" s="102">
        <f t="shared" si="219"/>
        <v>28772.678117806645</v>
      </c>
      <c r="R179" s="102">
        <f t="shared" si="219"/>
        <v>28741.402698114263</v>
      </c>
      <c r="S179" s="102">
        <f t="shared" si="219"/>
        <v>30196.13715076858</v>
      </c>
      <c r="T179" s="102">
        <f t="shared" si="219"/>
        <v>30878.550333547319</v>
      </c>
      <c r="U179" s="102">
        <f t="shared" si="219"/>
        <v>30168.803228338587</v>
      </c>
      <c r="V179" s="102">
        <f t="shared" si="219"/>
        <v>27233.801523255621</v>
      </c>
      <c r="W179" s="102">
        <f t="shared" si="221"/>
        <v>25683.373749536637</v>
      </c>
      <c r="X179" s="102">
        <f t="shared" si="221"/>
        <v>30778.663698711029</v>
      </c>
      <c r="Y179" s="102">
        <f t="shared" si="221"/>
        <v>37103.255333571018</v>
      </c>
      <c r="DA179" s="175" t="s">
        <v>589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15565.718189283811</v>
      </c>
      <c r="D180" s="102">
        <f t="shared" si="219"/>
        <v>15951.417951760899</v>
      </c>
      <c r="E180" s="102">
        <f t="shared" si="219"/>
        <v>16379.379712469847</v>
      </c>
      <c r="F180" s="102">
        <f t="shared" ref="B180:V192" si="223">IF(F43=0,0,F43*1000000/F70)</f>
        <v>16801.458353122103</v>
      </c>
      <c r="G180" s="102">
        <f t="shared" si="223"/>
        <v>17236.823047363643</v>
      </c>
      <c r="H180" s="102">
        <f t="shared" si="223"/>
        <v>17713.349553326228</v>
      </c>
      <c r="I180" s="102">
        <f t="shared" si="223"/>
        <v>18198.572358076122</v>
      </c>
      <c r="J180" s="102">
        <f t="shared" si="223"/>
        <v>0</v>
      </c>
      <c r="K180" s="102">
        <f t="shared" si="223"/>
        <v>0</v>
      </c>
      <c r="L180" s="102">
        <f t="shared" si="223"/>
        <v>0</v>
      </c>
      <c r="M180" s="102">
        <f t="shared" si="222"/>
        <v>0</v>
      </c>
      <c r="N180" s="102">
        <f t="shared" si="223"/>
        <v>0</v>
      </c>
      <c r="O180" s="102">
        <f t="shared" si="223"/>
        <v>0</v>
      </c>
      <c r="P180" s="102">
        <f t="shared" si="223"/>
        <v>0</v>
      </c>
      <c r="Q180" s="102">
        <f t="shared" si="223"/>
        <v>0</v>
      </c>
      <c r="R180" s="102">
        <f t="shared" si="223"/>
        <v>0</v>
      </c>
      <c r="S180" s="102">
        <f t="shared" si="223"/>
        <v>0</v>
      </c>
      <c r="T180" s="102">
        <f t="shared" si="223"/>
        <v>0</v>
      </c>
      <c r="U180" s="102">
        <f t="shared" si="223"/>
        <v>0</v>
      </c>
      <c r="V180" s="102">
        <f t="shared" si="223"/>
        <v>0</v>
      </c>
      <c r="W180" s="102">
        <f t="shared" si="221"/>
        <v>0</v>
      </c>
      <c r="X180" s="102">
        <f t="shared" si="221"/>
        <v>0</v>
      </c>
      <c r="Y180" s="102">
        <f t="shared" si="221"/>
        <v>0</v>
      </c>
      <c r="DA180" s="175" t="s">
        <v>590</v>
      </c>
    </row>
    <row r="181" spans="1:105" ht="11.45" customHeight="1" x14ac:dyDescent="0.25">
      <c r="A181" s="111" t="s">
        <v>113</v>
      </c>
      <c r="B181" s="102">
        <f t="shared" si="223"/>
        <v>0</v>
      </c>
      <c r="C181" s="102">
        <f t="shared" si="223"/>
        <v>0</v>
      </c>
      <c r="D181" s="102">
        <f t="shared" si="223"/>
        <v>0</v>
      </c>
      <c r="E181" s="102">
        <f t="shared" si="223"/>
        <v>0</v>
      </c>
      <c r="F181" s="102">
        <f t="shared" si="223"/>
        <v>0</v>
      </c>
      <c r="G181" s="102">
        <f t="shared" si="223"/>
        <v>0</v>
      </c>
      <c r="H181" s="102">
        <f t="shared" si="223"/>
        <v>0</v>
      </c>
      <c r="I181" s="102">
        <f t="shared" si="223"/>
        <v>0</v>
      </c>
      <c r="J181" s="102">
        <f t="shared" si="223"/>
        <v>0</v>
      </c>
      <c r="K181" s="102">
        <f t="shared" si="223"/>
        <v>0</v>
      </c>
      <c r="L181" s="102">
        <f t="shared" si="223"/>
        <v>0</v>
      </c>
      <c r="M181" s="102">
        <f t="shared" si="222"/>
        <v>0</v>
      </c>
      <c r="N181" s="102">
        <f t="shared" si="223"/>
        <v>0</v>
      </c>
      <c r="O181" s="102">
        <f t="shared" si="223"/>
        <v>0</v>
      </c>
      <c r="P181" s="102">
        <f t="shared" si="223"/>
        <v>0</v>
      </c>
      <c r="Q181" s="102">
        <f t="shared" si="223"/>
        <v>0</v>
      </c>
      <c r="R181" s="102">
        <f t="shared" si="223"/>
        <v>0</v>
      </c>
      <c r="S181" s="102">
        <f t="shared" si="223"/>
        <v>0</v>
      </c>
      <c r="T181" s="102">
        <f t="shared" si="223"/>
        <v>34201.446875820329</v>
      </c>
      <c r="U181" s="102">
        <f t="shared" si="223"/>
        <v>34052.127930455375</v>
      </c>
      <c r="V181" s="102">
        <f t="shared" si="223"/>
        <v>31209.932054396108</v>
      </c>
      <c r="W181" s="102">
        <f t="shared" si="221"/>
        <v>29940.206531636912</v>
      </c>
      <c r="X181" s="102">
        <f t="shared" si="221"/>
        <v>36955.71381819505</v>
      </c>
      <c r="Y181" s="102">
        <f t="shared" si="221"/>
        <v>45895.459837299699</v>
      </c>
      <c r="DA181" s="175" t="s">
        <v>591</v>
      </c>
    </row>
    <row r="182" spans="1:105" ht="11.45" customHeight="1" x14ac:dyDescent="0.25">
      <c r="A182" s="111" t="s">
        <v>115</v>
      </c>
      <c r="B182" s="102">
        <f t="shared" si="223"/>
        <v>0</v>
      </c>
      <c r="C182" s="102">
        <f t="shared" si="223"/>
        <v>0</v>
      </c>
      <c r="D182" s="102">
        <f t="shared" si="223"/>
        <v>0</v>
      </c>
      <c r="E182" s="102">
        <f t="shared" si="223"/>
        <v>0</v>
      </c>
      <c r="F182" s="102">
        <f t="shared" si="223"/>
        <v>0</v>
      </c>
      <c r="G182" s="102">
        <f t="shared" si="223"/>
        <v>0</v>
      </c>
      <c r="H182" s="102">
        <f t="shared" si="223"/>
        <v>0</v>
      </c>
      <c r="I182" s="102">
        <f t="shared" si="223"/>
        <v>0</v>
      </c>
      <c r="J182" s="102">
        <f t="shared" si="223"/>
        <v>40989.735413493996</v>
      </c>
      <c r="K182" s="102">
        <f t="shared" si="223"/>
        <v>41028.452376427857</v>
      </c>
      <c r="L182" s="102">
        <f t="shared" si="223"/>
        <v>41065.788407088236</v>
      </c>
      <c r="M182" s="102">
        <f t="shared" si="222"/>
        <v>41106.835545522692</v>
      </c>
      <c r="N182" s="102">
        <f t="shared" si="223"/>
        <v>41117.266661452471</v>
      </c>
      <c r="O182" s="102">
        <f t="shared" si="223"/>
        <v>41161.126738930063</v>
      </c>
      <c r="P182" s="102">
        <f t="shared" si="223"/>
        <v>41205.240695462518</v>
      </c>
      <c r="Q182" s="102">
        <f t="shared" si="223"/>
        <v>41226.130216178572</v>
      </c>
      <c r="R182" s="102">
        <f t="shared" si="223"/>
        <v>41223.98898396115</v>
      </c>
      <c r="S182" s="102">
        <f t="shared" si="223"/>
        <v>41122.294887983575</v>
      </c>
      <c r="T182" s="102">
        <f t="shared" si="223"/>
        <v>41076.304021012693</v>
      </c>
      <c r="U182" s="102">
        <f t="shared" si="223"/>
        <v>41029.038615959435</v>
      </c>
      <c r="V182" s="102">
        <f t="shared" si="223"/>
        <v>38011.203733685972</v>
      </c>
      <c r="W182" s="102">
        <f t="shared" si="221"/>
        <v>40701.543004636209</v>
      </c>
      <c r="X182" s="102">
        <f t="shared" si="221"/>
        <v>40985.258870436774</v>
      </c>
      <c r="Y182" s="102">
        <f t="shared" si="221"/>
        <v>40602.878856651958</v>
      </c>
      <c r="DA182" s="175" t="s">
        <v>592</v>
      </c>
    </row>
    <row r="183" spans="1:105" ht="11.45" customHeight="1" x14ac:dyDescent="0.25">
      <c r="A183" s="27" t="s">
        <v>34</v>
      </c>
      <c r="B183" s="28">
        <f t="shared" si="223"/>
        <v>25179.796288644262</v>
      </c>
      <c r="C183" s="28">
        <f t="shared" si="223"/>
        <v>24264.726413239754</v>
      </c>
      <c r="D183" s="28">
        <f t="shared" si="223"/>
        <v>25008.661679348748</v>
      </c>
      <c r="E183" s="28">
        <f t="shared" si="223"/>
        <v>25085.764841944067</v>
      </c>
      <c r="F183" s="28">
        <f t="shared" si="223"/>
        <v>25368.379034833564</v>
      </c>
      <c r="G183" s="28">
        <f t="shared" si="223"/>
        <v>25155.898916315524</v>
      </c>
      <c r="H183" s="28">
        <f t="shared" si="223"/>
        <v>24074.51684435911</v>
      </c>
      <c r="I183" s="28">
        <f t="shared" si="223"/>
        <v>23430.773978851037</v>
      </c>
      <c r="J183" s="28">
        <f t="shared" si="223"/>
        <v>23930.356774749114</v>
      </c>
      <c r="K183" s="28">
        <f t="shared" si="223"/>
        <v>22038.251544765695</v>
      </c>
      <c r="L183" s="28">
        <f t="shared" si="223"/>
        <v>21713.413576044491</v>
      </c>
      <c r="M183" s="28">
        <f t="shared" si="222"/>
        <v>21576.367861166498</v>
      </c>
      <c r="N183" s="28">
        <f t="shared" si="223"/>
        <v>21194.244843094537</v>
      </c>
      <c r="O183" s="28">
        <f t="shared" si="223"/>
        <v>21583.082170473645</v>
      </c>
      <c r="P183" s="28">
        <f t="shared" si="223"/>
        <v>21439.268171674077</v>
      </c>
      <c r="Q183" s="28">
        <f t="shared" si="223"/>
        <v>20768.269008185183</v>
      </c>
      <c r="R183" s="28">
        <f t="shared" si="223"/>
        <v>21341.160522776852</v>
      </c>
      <c r="S183" s="28">
        <f t="shared" si="223"/>
        <v>20969.85407317962</v>
      </c>
      <c r="T183" s="28">
        <f t="shared" si="223"/>
        <v>21164.097564636715</v>
      </c>
      <c r="U183" s="28">
        <f t="shared" si="223"/>
        <v>21241.608169112704</v>
      </c>
      <c r="V183" s="28">
        <f t="shared" si="223"/>
        <v>20116.40583456105</v>
      </c>
      <c r="W183" s="28">
        <f t="shared" si="221"/>
        <v>20797.240661880831</v>
      </c>
      <c r="X183" s="28">
        <f t="shared" si="221"/>
        <v>21296.400810716121</v>
      </c>
      <c r="Y183" s="28">
        <f t="shared" si="221"/>
        <v>21445.617323930888</v>
      </c>
      <c r="DA183" s="173" t="s">
        <v>593</v>
      </c>
    </row>
    <row r="184" spans="1:105" ht="11.45" customHeight="1" x14ac:dyDescent="0.25">
      <c r="A184" s="136" t="s">
        <v>153</v>
      </c>
      <c r="B184" s="137">
        <f t="shared" si="223"/>
        <v>23501.0591459026</v>
      </c>
      <c r="C184" s="137">
        <f t="shared" si="223"/>
        <v>23387.648785721783</v>
      </c>
      <c r="D184" s="137">
        <f t="shared" si="223"/>
        <v>23254.686930680324</v>
      </c>
      <c r="E184" s="137">
        <f t="shared" si="223"/>
        <v>23125.186506650167</v>
      </c>
      <c r="F184" s="137">
        <f t="shared" si="223"/>
        <v>22984.510820356525</v>
      </c>
      <c r="G184" s="137">
        <f t="shared" si="223"/>
        <v>22855.607819952271</v>
      </c>
      <c r="H184" s="137">
        <f t="shared" si="223"/>
        <v>22723.979560321539</v>
      </c>
      <c r="I184" s="137">
        <f t="shared" si="223"/>
        <v>22567.796430904054</v>
      </c>
      <c r="J184" s="137">
        <f t="shared" si="223"/>
        <v>22342.687265761477</v>
      </c>
      <c r="K184" s="137">
        <f t="shared" si="223"/>
        <v>22041.366304063125</v>
      </c>
      <c r="L184" s="137">
        <f t="shared" si="223"/>
        <v>21549.693998490951</v>
      </c>
      <c r="M184" s="137">
        <f t="shared" si="222"/>
        <v>21496.412553947648</v>
      </c>
      <c r="N184" s="137">
        <f t="shared" si="223"/>
        <v>21018.478835502363</v>
      </c>
      <c r="O184" s="137">
        <f t="shared" si="223"/>
        <v>21474.394686807438</v>
      </c>
      <c r="P184" s="137">
        <f t="shared" si="223"/>
        <v>21551.642880617575</v>
      </c>
      <c r="Q184" s="137">
        <f t="shared" si="223"/>
        <v>21070.550641623668</v>
      </c>
      <c r="R184" s="137">
        <f t="shared" si="223"/>
        <v>21054.210771641876</v>
      </c>
      <c r="S184" s="137">
        <f t="shared" si="223"/>
        <v>20819.929428088395</v>
      </c>
      <c r="T184" s="137">
        <f t="shared" si="223"/>
        <v>21048.130777593229</v>
      </c>
      <c r="U184" s="137">
        <f t="shared" si="223"/>
        <v>20689.963701873996</v>
      </c>
      <c r="V184" s="137">
        <f t="shared" si="223"/>
        <v>20243.033660610356</v>
      </c>
      <c r="W184" s="137">
        <f t="shared" si="221"/>
        <v>20653.322484148608</v>
      </c>
      <c r="X184" s="137">
        <f t="shared" si="221"/>
        <v>21009.531481519258</v>
      </c>
      <c r="Y184" s="137">
        <f t="shared" si="221"/>
        <v>21250.46903992592</v>
      </c>
      <c r="DA184" s="174" t="s">
        <v>594</v>
      </c>
    </row>
    <row r="185" spans="1:105" ht="11.45" customHeight="1" x14ac:dyDescent="0.25">
      <c r="A185" s="111" t="s">
        <v>110</v>
      </c>
      <c r="B185" s="84">
        <f t="shared" si="223"/>
        <v>13107.96150512585</v>
      </c>
      <c r="C185" s="84">
        <f t="shared" si="223"/>
        <v>13023.417664742057</v>
      </c>
      <c r="D185" s="84">
        <f t="shared" si="223"/>
        <v>12933.50182729301</v>
      </c>
      <c r="E185" s="84">
        <f t="shared" si="223"/>
        <v>12844.807727211948</v>
      </c>
      <c r="F185" s="84">
        <f t="shared" si="223"/>
        <v>12750.861305719933</v>
      </c>
      <c r="G185" s="84">
        <f t="shared" si="223"/>
        <v>12659.786283667856</v>
      </c>
      <c r="H185" s="84">
        <f t="shared" si="223"/>
        <v>12572.675825391818</v>
      </c>
      <c r="I185" s="84">
        <f t="shared" si="223"/>
        <v>12477.089587471588</v>
      </c>
      <c r="J185" s="84">
        <f t="shared" si="223"/>
        <v>12349.878997171938</v>
      </c>
      <c r="K185" s="84">
        <f t="shared" si="223"/>
        <v>12199.589033998767</v>
      </c>
      <c r="L185" s="84">
        <f t="shared" si="223"/>
        <v>12044.044397257032</v>
      </c>
      <c r="M185" s="84">
        <f t="shared" si="222"/>
        <v>11996.160212135184</v>
      </c>
      <c r="N185" s="84">
        <f t="shared" si="223"/>
        <v>11844.893402165864</v>
      </c>
      <c r="O185" s="84">
        <f t="shared" si="223"/>
        <v>11981.481638579546</v>
      </c>
      <c r="P185" s="84">
        <f t="shared" si="223"/>
        <v>11904.137736898905</v>
      </c>
      <c r="Q185" s="84">
        <f t="shared" si="223"/>
        <v>11637.393518706507</v>
      </c>
      <c r="R185" s="84">
        <f t="shared" si="223"/>
        <v>11627.382822707697</v>
      </c>
      <c r="S185" s="84">
        <f t="shared" si="223"/>
        <v>11499.852895558255</v>
      </c>
      <c r="T185" s="84">
        <f t="shared" si="223"/>
        <v>11626.490481459654</v>
      </c>
      <c r="U185" s="84">
        <f t="shared" si="223"/>
        <v>11499.326135793563</v>
      </c>
      <c r="V185" s="84">
        <f t="shared" si="223"/>
        <v>11375.176583872761</v>
      </c>
      <c r="W185" s="84">
        <f t="shared" si="221"/>
        <v>11503.547053737044</v>
      </c>
      <c r="X185" s="84">
        <f t="shared" si="221"/>
        <v>11649.172768759059</v>
      </c>
      <c r="Y185" s="84">
        <f t="shared" si="221"/>
        <v>11806.156023364883</v>
      </c>
      <c r="DA185" s="171" t="s">
        <v>595</v>
      </c>
    </row>
    <row r="186" spans="1:105" ht="11.45" customHeight="1" x14ac:dyDescent="0.25">
      <c r="A186" s="111" t="s">
        <v>111</v>
      </c>
      <c r="B186" s="84">
        <f t="shared" si="223"/>
        <v>23760.241677409846</v>
      </c>
      <c r="C186" s="84">
        <f t="shared" si="223"/>
        <v>23606.992670760737</v>
      </c>
      <c r="D186" s="84">
        <f t="shared" si="223"/>
        <v>23444.006074593166</v>
      </c>
      <c r="E186" s="84">
        <f t="shared" si="223"/>
        <v>23283.234069543993</v>
      </c>
      <c r="F186" s="84">
        <f t="shared" si="223"/>
        <v>23112.941405920807</v>
      </c>
      <c r="G186" s="84">
        <f t="shared" si="223"/>
        <v>22947.853605358792</v>
      </c>
      <c r="H186" s="84">
        <f t="shared" si="223"/>
        <v>22789.952200135776</v>
      </c>
      <c r="I186" s="84">
        <f t="shared" si="223"/>
        <v>22616.687111347492</v>
      </c>
      <c r="J186" s="84">
        <f t="shared" si="223"/>
        <v>22386.097910405475</v>
      </c>
      <c r="K186" s="84">
        <f t="shared" si="223"/>
        <v>22081.807144521201</v>
      </c>
      <c r="L186" s="84">
        <f t="shared" si="223"/>
        <v>21584.42012560763</v>
      </c>
      <c r="M186" s="84">
        <f t="shared" si="222"/>
        <v>21527.47771440287</v>
      </c>
      <c r="N186" s="84">
        <f t="shared" si="223"/>
        <v>21045.569089984423</v>
      </c>
      <c r="O186" s="84">
        <f t="shared" si="223"/>
        <v>21501.136563608768</v>
      </c>
      <c r="P186" s="84">
        <f t="shared" si="223"/>
        <v>21578.121775783864</v>
      </c>
      <c r="Q186" s="84">
        <f t="shared" si="223"/>
        <v>21094.605930255577</v>
      </c>
      <c r="R186" s="84">
        <f t="shared" si="223"/>
        <v>21076.459969405922</v>
      </c>
      <c r="S186" s="84">
        <f t="shared" si="223"/>
        <v>20845.291920202519</v>
      </c>
      <c r="T186" s="84">
        <f t="shared" si="223"/>
        <v>21074.84246055804</v>
      </c>
      <c r="U186" s="84">
        <f t="shared" si="223"/>
        <v>20726.471863394272</v>
      </c>
      <c r="V186" s="84">
        <f t="shared" si="223"/>
        <v>20297.676740047071</v>
      </c>
      <c r="W186" s="84">
        <f t="shared" si="221"/>
        <v>20732.006269654932</v>
      </c>
      <c r="X186" s="84">
        <f t="shared" si="221"/>
        <v>21115.957673462774</v>
      </c>
      <c r="Y186" s="84">
        <f t="shared" si="221"/>
        <v>21400.514510716388</v>
      </c>
      <c r="DA186" s="171" t="s">
        <v>596</v>
      </c>
    </row>
    <row r="187" spans="1:105" ht="11.45" customHeight="1" x14ac:dyDescent="0.25">
      <c r="A187" s="111" t="s">
        <v>112</v>
      </c>
      <c r="B187" s="84">
        <f t="shared" si="223"/>
        <v>0</v>
      </c>
      <c r="C187" s="84">
        <f t="shared" si="223"/>
        <v>0</v>
      </c>
      <c r="D187" s="84">
        <f t="shared" si="223"/>
        <v>0</v>
      </c>
      <c r="E187" s="84">
        <f t="shared" si="223"/>
        <v>0</v>
      </c>
      <c r="F187" s="84">
        <f t="shared" si="223"/>
        <v>0</v>
      </c>
      <c r="G187" s="84">
        <f t="shared" si="223"/>
        <v>0</v>
      </c>
      <c r="H187" s="84">
        <f t="shared" si="223"/>
        <v>0</v>
      </c>
      <c r="I187" s="84">
        <f t="shared" si="223"/>
        <v>0</v>
      </c>
      <c r="J187" s="84">
        <f t="shared" si="223"/>
        <v>0</v>
      </c>
      <c r="K187" s="84">
        <f t="shared" si="223"/>
        <v>0</v>
      </c>
      <c r="L187" s="84">
        <f t="shared" si="223"/>
        <v>0</v>
      </c>
      <c r="M187" s="84">
        <f t="shared" si="222"/>
        <v>0</v>
      </c>
      <c r="N187" s="84">
        <f t="shared" si="223"/>
        <v>0</v>
      </c>
      <c r="O187" s="84">
        <f t="shared" si="223"/>
        <v>14546.263276333297</v>
      </c>
      <c r="P187" s="84">
        <f t="shared" si="223"/>
        <v>14456.617989189244</v>
      </c>
      <c r="Q187" s="84">
        <f t="shared" si="223"/>
        <v>14282.255682048895</v>
      </c>
      <c r="R187" s="84">
        <f t="shared" si="223"/>
        <v>14135.627615378029</v>
      </c>
      <c r="S187" s="84">
        <f t="shared" si="223"/>
        <v>13987.597352391687</v>
      </c>
      <c r="T187" s="84">
        <f t="shared" si="223"/>
        <v>14134.592088289541</v>
      </c>
      <c r="U187" s="84">
        <f t="shared" si="223"/>
        <v>13986.985762219123</v>
      </c>
      <c r="V187" s="84">
        <f t="shared" si="223"/>
        <v>13842.807275027075</v>
      </c>
      <c r="W187" s="84">
        <f t="shared" si="221"/>
        <v>13991.886389149071</v>
      </c>
      <c r="X187" s="84">
        <f t="shared" si="221"/>
        <v>14150.90263821802</v>
      </c>
      <c r="Y187" s="84">
        <f t="shared" si="221"/>
        <v>14332.875484355005</v>
      </c>
      <c r="DA187" s="171" t="s">
        <v>597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0</v>
      </c>
      <c r="I188" s="84">
        <f t="shared" si="223"/>
        <v>0</v>
      </c>
      <c r="J188" s="84">
        <f t="shared" si="223"/>
        <v>0</v>
      </c>
      <c r="K188" s="84">
        <f t="shared" si="223"/>
        <v>0</v>
      </c>
      <c r="L188" s="84">
        <f t="shared" si="223"/>
        <v>0</v>
      </c>
      <c r="M188" s="84">
        <f t="shared" si="222"/>
        <v>0</v>
      </c>
      <c r="N188" s="84">
        <f t="shared" si="223"/>
        <v>0</v>
      </c>
      <c r="O188" s="84">
        <f t="shared" si="223"/>
        <v>0</v>
      </c>
      <c r="P188" s="84">
        <f t="shared" si="223"/>
        <v>0</v>
      </c>
      <c r="Q188" s="84">
        <f t="shared" si="223"/>
        <v>0</v>
      </c>
      <c r="R188" s="84">
        <f t="shared" si="223"/>
        <v>14992.105410172959</v>
      </c>
      <c r="S188" s="84">
        <f t="shared" si="223"/>
        <v>14538.403865682545</v>
      </c>
      <c r="T188" s="84">
        <f t="shared" si="223"/>
        <v>14397.363249351258</v>
      </c>
      <c r="U188" s="84">
        <f t="shared" si="223"/>
        <v>13962.072556108997</v>
      </c>
      <c r="V188" s="84">
        <f t="shared" si="223"/>
        <v>13541.794291563185</v>
      </c>
      <c r="W188" s="84">
        <f t="shared" si="221"/>
        <v>13420.935532377602</v>
      </c>
      <c r="X188" s="84">
        <f t="shared" si="221"/>
        <v>13301.993728034102</v>
      </c>
      <c r="Y188" s="84">
        <f t="shared" si="221"/>
        <v>13203.589069789601</v>
      </c>
      <c r="DA188" s="171" t="s">
        <v>598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0</v>
      </c>
      <c r="I189" s="84">
        <f t="shared" si="223"/>
        <v>0</v>
      </c>
      <c r="J189" s="84">
        <f t="shared" si="223"/>
        <v>0</v>
      </c>
      <c r="K189" s="84">
        <f t="shared" si="223"/>
        <v>0</v>
      </c>
      <c r="L189" s="84">
        <f t="shared" si="223"/>
        <v>0</v>
      </c>
      <c r="M189" s="84">
        <f t="shared" si="222"/>
        <v>14548.744109431063</v>
      </c>
      <c r="N189" s="84">
        <f t="shared" si="223"/>
        <v>14557.138363506567</v>
      </c>
      <c r="O189" s="84">
        <f t="shared" si="223"/>
        <v>14564.726874694144</v>
      </c>
      <c r="P189" s="84">
        <f t="shared" si="223"/>
        <v>14569.014972384954</v>
      </c>
      <c r="Q189" s="84">
        <f t="shared" si="223"/>
        <v>14577.435795850593</v>
      </c>
      <c r="R189" s="84">
        <f t="shared" si="223"/>
        <v>14570.27412476543</v>
      </c>
      <c r="S189" s="84">
        <f t="shared" si="223"/>
        <v>14562.971836515837</v>
      </c>
      <c r="T189" s="84">
        <f t="shared" si="223"/>
        <v>14555.723986058123</v>
      </c>
      <c r="U189" s="84">
        <f t="shared" si="223"/>
        <v>14548.449451009532</v>
      </c>
      <c r="V189" s="84">
        <f t="shared" si="223"/>
        <v>14441.172380558744</v>
      </c>
      <c r="W189" s="84">
        <f t="shared" si="221"/>
        <v>14548.206764726034</v>
      </c>
      <c r="X189" s="84">
        <f t="shared" si="221"/>
        <v>14540.015527795935</v>
      </c>
      <c r="Y189" s="84">
        <f t="shared" si="221"/>
        <v>14531.171331834172</v>
      </c>
      <c r="DA189" s="171" t="s">
        <v>599</v>
      </c>
    </row>
    <row r="190" spans="1:105" ht="11.45" customHeight="1" x14ac:dyDescent="0.25">
      <c r="A190" s="109" t="s">
        <v>154</v>
      </c>
      <c r="B190" s="110">
        <f t="shared" si="223"/>
        <v>29204.329795644575</v>
      </c>
      <c r="C190" s="110">
        <f t="shared" si="223"/>
        <v>26271.585198587414</v>
      </c>
      <c r="D190" s="110">
        <f t="shared" si="223"/>
        <v>29224.833194137416</v>
      </c>
      <c r="E190" s="110">
        <f t="shared" si="223"/>
        <v>30031.835812087858</v>
      </c>
      <c r="F190" s="110">
        <f t="shared" si="223"/>
        <v>31500.85364924476</v>
      </c>
      <c r="G190" s="110">
        <f t="shared" si="223"/>
        <v>30872.464168533279</v>
      </c>
      <c r="H190" s="110">
        <f t="shared" si="223"/>
        <v>27278.64521648442</v>
      </c>
      <c r="I190" s="110">
        <f t="shared" si="223"/>
        <v>25356.839810500813</v>
      </c>
      <c r="J190" s="110">
        <f t="shared" si="223"/>
        <v>28273.958982538727</v>
      </c>
      <c r="K190" s="110">
        <f t="shared" si="223"/>
        <v>22029.015882193613</v>
      </c>
      <c r="L190" s="110">
        <f t="shared" si="223"/>
        <v>22201.259874528987</v>
      </c>
      <c r="M190" s="110">
        <f t="shared" si="222"/>
        <v>21818.174397185383</v>
      </c>
      <c r="N190" s="110">
        <f t="shared" si="223"/>
        <v>21718.2974879514</v>
      </c>
      <c r="O190" s="110">
        <f t="shared" si="223"/>
        <v>21917.730685102208</v>
      </c>
      <c r="P190" s="110">
        <f t="shared" si="223"/>
        <v>21120.835554793128</v>
      </c>
      <c r="Q190" s="110">
        <f t="shared" si="223"/>
        <v>19987.351998311842</v>
      </c>
      <c r="R190" s="110">
        <f t="shared" si="223"/>
        <v>22051.159446126505</v>
      </c>
      <c r="S190" s="110">
        <f t="shared" si="223"/>
        <v>21324.241336055402</v>
      </c>
      <c r="T190" s="110">
        <f t="shared" si="223"/>
        <v>21433.601060228018</v>
      </c>
      <c r="U190" s="110">
        <f t="shared" si="223"/>
        <v>22507.830704069896</v>
      </c>
      <c r="V190" s="110">
        <f t="shared" si="223"/>
        <v>19817.398329951739</v>
      </c>
      <c r="W190" s="110">
        <f t="shared" si="221"/>
        <v>21129.197875030532</v>
      </c>
      <c r="X190" s="110">
        <f t="shared" si="221"/>
        <v>21965.596044711063</v>
      </c>
      <c r="Y190" s="110">
        <f t="shared" si="221"/>
        <v>21916.978183559255</v>
      </c>
      <c r="DA190" s="176" t="s">
        <v>600</v>
      </c>
    </row>
    <row r="191" spans="1:105" ht="11.45" customHeight="1" x14ac:dyDescent="0.25">
      <c r="A191" s="128" t="s">
        <v>27</v>
      </c>
      <c r="B191" s="102">
        <f t="shared" si="223"/>
        <v>28365.942309179492</v>
      </c>
      <c r="C191" s="102">
        <f t="shared" si="223"/>
        <v>25439.860767410872</v>
      </c>
      <c r="D191" s="102">
        <f t="shared" si="223"/>
        <v>28413.166493982626</v>
      </c>
      <c r="E191" s="102">
        <f t="shared" si="223"/>
        <v>29234.693216981497</v>
      </c>
      <c r="F191" s="102">
        <f t="shared" si="223"/>
        <v>30623.242446390745</v>
      </c>
      <c r="G191" s="102">
        <f t="shared" si="223"/>
        <v>30044.978180560051</v>
      </c>
      <c r="H191" s="102">
        <f t="shared" si="223"/>
        <v>26476.578411405295</v>
      </c>
      <c r="I191" s="102">
        <f t="shared" si="223"/>
        <v>24565.487546601787</v>
      </c>
      <c r="J191" s="102">
        <f t="shared" si="223"/>
        <v>27469.440115348323</v>
      </c>
      <c r="K191" s="102">
        <f t="shared" si="223"/>
        <v>21175.778953556732</v>
      </c>
      <c r="L191" s="102">
        <f t="shared" si="223"/>
        <v>21286.231884057972</v>
      </c>
      <c r="M191" s="102">
        <f t="shared" si="222"/>
        <v>20777.046310742418</v>
      </c>
      <c r="N191" s="102">
        <f t="shared" si="223"/>
        <v>20765.928924064501</v>
      </c>
      <c r="O191" s="102">
        <f t="shared" si="223"/>
        <v>20988.25767081853</v>
      </c>
      <c r="P191" s="102">
        <f t="shared" si="223"/>
        <v>20252.974889807334</v>
      </c>
      <c r="Q191" s="102">
        <f t="shared" si="223"/>
        <v>19049.748199745845</v>
      </c>
      <c r="R191" s="102">
        <f t="shared" si="223"/>
        <v>21252.655146678913</v>
      </c>
      <c r="S191" s="102">
        <f t="shared" si="223"/>
        <v>20571.804140650675</v>
      </c>
      <c r="T191" s="102">
        <f t="shared" si="223"/>
        <v>20620.001293465841</v>
      </c>
      <c r="U191" s="102">
        <f t="shared" si="223"/>
        <v>21603.425868717644</v>
      </c>
      <c r="V191" s="102">
        <f t="shared" si="223"/>
        <v>19466.536817616186</v>
      </c>
      <c r="W191" s="102">
        <f t="shared" si="221"/>
        <v>20791.038094345713</v>
      </c>
      <c r="X191" s="102">
        <f t="shared" si="221"/>
        <v>21646.590920860479</v>
      </c>
      <c r="Y191" s="102">
        <f t="shared" si="221"/>
        <v>21580.076140829751</v>
      </c>
      <c r="DA191" s="175" t="s">
        <v>601</v>
      </c>
    </row>
    <row r="192" spans="1:105" ht="11.45" customHeight="1" x14ac:dyDescent="0.25">
      <c r="A192" s="138" t="s">
        <v>116</v>
      </c>
      <c r="B192" s="86">
        <f t="shared" si="223"/>
        <v>85029.193788847231</v>
      </c>
      <c r="C192" s="86">
        <f t="shared" si="223"/>
        <v>85032.39693279464</v>
      </c>
      <c r="D192" s="86">
        <f t="shared" si="223"/>
        <v>84976.559946922833</v>
      </c>
      <c r="E192" s="86">
        <f t="shared" si="223"/>
        <v>85004.070292650562</v>
      </c>
      <c r="F192" s="86">
        <f t="shared" si="223"/>
        <v>85007.960241378387</v>
      </c>
      <c r="G192" s="86">
        <f t="shared" si="223"/>
        <v>85030.182967958346</v>
      </c>
      <c r="H192" s="86">
        <f t="shared" si="223"/>
        <v>84978.395619424045</v>
      </c>
      <c r="I192" s="86">
        <f t="shared" si="223"/>
        <v>85003.71170145442</v>
      </c>
      <c r="J192" s="86">
        <f t="shared" si="223"/>
        <v>85031.350987026672</v>
      </c>
      <c r="K192" s="86">
        <f t="shared" si="223"/>
        <v>84967.26460775033</v>
      </c>
      <c r="L192" s="86">
        <f t="shared" si="223"/>
        <v>84967.109336762369</v>
      </c>
      <c r="M192" s="86">
        <f t="shared" si="222"/>
        <v>85004.790987565837</v>
      </c>
      <c r="N192" s="86">
        <f t="shared" si="223"/>
        <v>84974.976270298866</v>
      </c>
      <c r="O192" s="86">
        <f t="shared" si="223"/>
        <v>84972.8135152123</v>
      </c>
      <c r="P192" s="86">
        <f t="shared" si="223"/>
        <v>85003.516691481927</v>
      </c>
      <c r="Q192" s="86">
        <f t="shared" si="223"/>
        <v>84983.332122722015</v>
      </c>
      <c r="R192" s="86">
        <f t="shared" si="223"/>
        <v>84988.47343742779</v>
      </c>
      <c r="S192" s="86">
        <f t="shared" si="223"/>
        <v>84985.030556164289</v>
      </c>
      <c r="T192" s="86">
        <f t="shared" si="223"/>
        <v>84969.716179415162</v>
      </c>
      <c r="U192" s="86">
        <f t="shared" si="223"/>
        <v>84980.310110881794</v>
      </c>
      <c r="V192" s="86">
        <f t="shared" ref="V192:W192" si="224">IF(V55=0,0,V55*1000000/V82)</f>
        <v>85058.578737376316</v>
      </c>
      <c r="W192" s="86">
        <f t="shared" si="224"/>
        <v>85067.357509986701</v>
      </c>
      <c r="X192" s="86">
        <f t="shared" ref="X192:Y192" si="225">IF(X55=0,0,X55*1000000/X82)</f>
        <v>85080.890538353298</v>
      </c>
      <c r="Y192" s="86">
        <f t="shared" si="225"/>
        <v>85054.364656699254</v>
      </c>
      <c r="DA192" s="178" t="s">
        <v>602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DA193" s="171"/>
    </row>
    <row r="194" spans="1:105" ht="11.45" customHeight="1" x14ac:dyDescent="0.25">
      <c r="A194" s="53" t="s">
        <v>137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DA194" s="172"/>
    </row>
    <row r="195" spans="1:105" ht="11.45" customHeight="1" x14ac:dyDescent="0.25">
      <c r="A195" s="27" t="s">
        <v>107</v>
      </c>
      <c r="B195" s="28">
        <f t="shared" ref="B195:L195" si="226">IF(B4=0,0,B4*1000000/B58)</f>
        <v>30644.247265373331</v>
      </c>
      <c r="C195" s="28">
        <f t="shared" si="226"/>
        <v>30357.812612388352</v>
      </c>
      <c r="D195" s="28">
        <f t="shared" si="226"/>
        <v>29888.28320343958</v>
      </c>
      <c r="E195" s="28">
        <f t="shared" si="226"/>
        <v>30219.714594301608</v>
      </c>
      <c r="F195" s="28">
        <f t="shared" si="226"/>
        <v>31117.096710725735</v>
      </c>
      <c r="G195" s="28">
        <f t="shared" si="226"/>
        <v>30759.081427323606</v>
      </c>
      <c r="H195" s="28">
        <f t="shared" si="226"/>
        <v>28149.772218911035</v>
      </c>
      <c r="I195" s="28">
        <f t="shared" si="226"/>
        <v>29228.781344021612</v>
      </c>
      <c r="J195" s="28">
        <f t="shared" si="226"/>
        <v>28105.916516993926</v>
      </c>
      <c r="K195" s="28">
        <f t="shared" si="226"/>
        <v>28680.720999651265</v>
      </c>
      <c r="L195" s="28">
        <f t="shared" si="226"/>
        <v>28552.67596091966</v>
      </c>
      <c r="M195" s="28">
        <f>IF(M4=0,0,M4*1000000/M58)</f>
        <v>27857.706384492281</v>
      </c>
      <c r="N195" s="28">
        <f t="shared" ref="N195:V195" si="227">IF(N4=0,0,N4*1000000/N58)</f>
        <v>27470.622205947297</v>
      </c>
      <c r="O195" s="28">
        <f t="shared" si="227"/>
        <v>27750.514694014328</v>
      </c>
      <c r="P195" s="28">
        <f t="shared" si="227"/>
        <v>26981.186164915533</v>
      </c>
      <c r="Q195" s="28">
        <f t="shared" si="227"/>
        <v>28725.834076469786</v>
      </c>
      <c r="R195" s="28">
        <f t="shared" si="227"/>
        <v>29803.283002724831</v>
      </c>
      <c r="S195" s="28">
        <f t="shared" si="227"/>
        <v>30304.445003140696</v>
      </c>
      <c r="T195" s="28">
        <f t="shared" si="227"/>
        <v>30319.292488407285</v>
      </c>
      <c r="U195" s="28">
        <f t="shared" si="227"/>
        <v>30109.418909877491</v>
      </c>
      <c r="V195" s="28">
        <f t="shared" si="227"/>
        <v>24834.462659359378</v>
      </c>
      <c r="W195" s="28">
        <f t="shared" ref="W195:Y195" si="228">IF(W4=0,0,W4*1000000/W58)</f>
        <v>26202.552489987323</v>
      </c>
      <c r="X195" s="28">
        <f t="shared" si="228"/>
        <v>28246.493660777473</v>
      </c>
      <c r="Y195" s="28">
        <f t="shared" si="228"/>
        <v>29679.429843889913</v>
      </c>
      <c r="DA195" s="173" t="s">
        <v>603</v>
      </c>
    </row>
    <row r="196" spans="1:105" ht="11.45" customHeight="1" x14ac:dyDescent="0.25">
      <c r="A196" s="136" t="s">
        <v>173</v>
      </c>
      <c r="B196" s="137">
        <f t="shared" ref="B196:L196" si="229">IF(B5=0,0,B5*1000000/B59)</f>
        <v>3911.4413744836006</v>
      </c>
      <c r="C196" s="137">
        <f t="shared" si="229"/>
        <v>3944.4415468299194</v>
      </c>
      <c r="D196" s="137">
        <f t="shared" si="229"/>
        <v>3921.4468342174805</v>
      </c>
      <c r="E196" s="137">
        <f t="shared" si="229"/>
        <v>3980.1859582960437</v>
      </c>
      <c r="F196" s="137">
        <f t="shared" si="229"/>
        <v>3873.8069302648864</v>
      </c>
      <c r="G196" s="137">
        <f t="shared" si="229"/>
        <v>4820.7538232524766</v>
      </c>
      <c r="H196" s="137">
        <f t="shared" si="229"/>
        <v>4669.1603140378447</v>
      </c>
      <c r="I196" s="137">
        <f t="shared" si="229"/>
        <v>4441.8243305100568</v>
      </c>
      <c r="J196" s="137">
        <f t="shared" si="229"/>
        <v>4470.898299643698</v>
      </c>
      <c r="K196" s="137">
        <f t="shared" si="229"/>
        <v>4095.4932036595583</v>
      </c>
      <c r="L196" s="137">
        <f t="shared" si="229"/>
        <v>3711.0424199513423</v>
      </c>
      <c r="M196" s="137">
        <f>IF(M5=0,0,M5*1000000/M59)</f>
        <v>3549.0898899881295</v>
      </c>
      <c r="N196" s="137">
        <f t="shared" ref="N196:V196" si="230">IF(N5=0,0,N5*1000000/N59)</f>
        <v>3314.2345177231714</v>
      </c>
      <c r="O196" s="137">
        <f t="shared" si="230"/>
        <v>3157.6840485410512</v>
      </c>
      <c r="P196" s="137">
        <f t="shared" si="230"/>
        <v>3654.9906909030447</v>
      </c>
      <c r="Q196" s="137">
        <f t="shared" si="230"/>
        <v>3451.5856380717837</v>
      </c>
      <c r="R196" s="137">
        <f t="shared" si="230"/>
        <v>3493.3499627687324</v>
      </c>
      <c r="S196" s="137">
        <f t="shared" si="230"/>
        <v>3170.4319579601665</v>
      </c>
      <c r="T196" s="137">
        <f t="shared" si="230"/>
        <v>2987.551219155841</v>
      </c>
      <c r="U196" s="137">
        <f t="shared" si="230"/>
        <v>3027.9548884418386</v>
      </c>
      <c r="V196" s="137">
        <f t="shared" si="230"/>
        <v>2594.1601534029114</v>
      </c>
      <c r="W196" s="137">
        <f t="shared" ref="W196:Y196" si="231">IF(W5=0,0,W5*1000000/W59)</f>
        <v>2604.2677428249535</v>
      </c>
      <c r="X196" s="137">
        <f t="shared" si="231"/>
        <v>2593.9039067401768</v>
      </c>
      <c r="Y196" s="137">
        <f t="shared" si="231"/>
        <v>2733.188320118019</v>
      </c>
      <c r="DA196" s="174" t="s">
        <v>604</v>
      </c>
    </row>
    <row r="197" spans="1:105" ht="11.45" customHeight="1" x14ac:dyDescent="0.25">
      <c r="A197" s="109" t="s">
        <v>20</v>
      </c>
      <c r="B197" s="110">
        <f t="shared" ref="B197:V210" si="232">IF(B6=0,0,B6*1000000/B60)</f>
        <v>26186.440677966108</v>
      </c>
      <c r="C197" s="110">
        <f t="shared" si="232"/>
        <v>25967.948717948719</v>
      </c>
      <c r="D197" s="110">
        <f t="shared" si="232"/>
        <v>25706.122448979593</v>
      </c>
      <c r="E197" s="110">
        <f t="shared" si="232"/>
        <v>26076.697127937336</v>
      </c>
      <c r="F197" s="110">
        <f t="shared" si="232"/>
        <v>26927.984838913457</v>
      </c>
      <c r="G197" s="110">
        <f t="shared" si="232"/>
        <v>26702.16606498195</v>
      </c>
      <c r="H197" s="110">
        <f t="shared" si="232"/>
        <v>24462.765957446809</v>
      </c>
      <c r="I197" s="110">
        <f t="shared" si="232"/>
        <v>25469.729155602763</v>
      </c>
      <c r="J197" s="110">
        <f t="shared" si="232"/>
        <v>24437.890527368159</v>
      </c>
      <c r="K197" s="110">
        <f t="shared" si="232"/>
        <v>24784.986764904319</v>
      </c>
      <c r="L197" s="110">
        <f t="shared" si="232"/>
        <v>24821.514302086074</v>
      </c>
      <c r="M197" s="110">
        <f>IF(M6=0,0,M6*1000000/M60)</f>
        <v>24182.403717782778</v>
      </c>
      <c r="N197" s="110">
        <f t="shared" ref="N197:V197" si="233">IF(N6=0,0,N6*1000000/N60)</f>
        <v>23890.770989119126</v>
      </c>
      <c r="O197" s="110">
        <f t="shared" si="233"/>
        <v>24243.502217647321</v>
      </c>
      <c r="P197" s="110">
        <f t="shared" si="233"/>
        <v>23378.717838191362</v>
      </c>
      <c r="Q197" s="110">
        <f t="shared" si="233"/>
        <v>25198.648655208064</v>
      </c>
      <c r="R197" s="110">
        <f t="shared" si="233"/>
        <v>26172.528914929233</v>
      </c>
      <c r="S197" s="110">
        <f t="shared" si="233"/>
        <v>26395.261400791467</v>
      </c>
      <c r="T197" s="110">
        <f t="shared" si="233"/>
        <v>26186.5127675043</v>
      </c>
      <c r="U197" s="110">
        <f t="shared" si="233"/>
        <v>26061.623507246648</v>
      </c>
      <c r="V197" s="110">
        <f t="shared" si="233"/>
        <v>22182.522785918514</v>
      </c>
      <c r="W197" s="110">
        <f t="shared" ref="W197:Y209" si="234">IF(W6=0,0,W6*1000000/W60)</f>
        <v>23299.168333133195</v>
      </c>
      <c r="X197" s="110">
        <f t="shared" si="234"/>
        <v>24201.898189808046</v>
      </c>
      <c r="Y197" s="110">
        <f t="shared" si="234"/>
        <v>24890.309859870733</v>
      </c>
      <c r="DA197" s="176" t="s">
        <v>605</v>
      </c>
    </row>
    <row r="198" spans="1:105" ht="11.45" customHeight="1" x14ac:dyDescent="0.25">
      <c r="A198" s="111" t="s">
        <v>110</v>
      </c>
      <c r="B198" s="84">
        <f t="shared" si="232"/>
        <v>25818.893301187949</v>
      </c>
      <c r="C198" s="84">
        <f t="shared" si="232"/>
        <v>25594.657811743193</v>
      </c>
      <c r="D198" s="84">
        <f t="shared" si="232"/>
        <v>25352.535045360877</v>
      </c>
      <c r="E198" s="84">
        <f t="shared" si="232"/>
        <v>25653.416399237241</v>
      </c>
      <c r="F198" s="84">
        <f t="shared" si="232"/>
        <v>26307.874132368168</v>
      </c>
      <c r="G198" s="84">
        <f t="shared" si="232"/>
        <v>26046.355092522164</v>
      </c>
      <c r="H198" s="84">
        <f t="shared" si="232"/>
        <v>24153.437656182225</v>
      </c>
      <c r="I198" s="84">
        <f t="shared" si="232"/>
        <v>24862.511049743651</v>
      </c>
      <c r="J198" s="84">
        <f t="shared" si="232"/>
        <v>23813.666389711514</v>
      </c>
      <c r="K198" s="84">
        <f t="shared" si="232"/>
        <v>23712.842259143315</v>
      </c>
      <c r="L198" s="84">
        <f t="shared" si="232"/>
        <v>23376.708535756057</v>
      </c>
      <c r="M198" s="84">
        <f t="shared" ref="M198:M219" si="235">IF(M7=0,0,M7*1000000/M61)</f>
        <v>22100.052299379491</v>
      </c>
      <c r="N198" s="84">
        <f t="shared" si="232"/>
        <v>21926.954470075329</v>
      </c>
      <c r="O198" s="84">
        <f t="shared" si="232"/>
        <v>21685.008749224791</v>
      </c>
      <c r="P198" s="84">
        <f t="shared" si="232"/>
        <v>20978.671471289679</v>
      </c>
      <c r="Q198" s="84">
        <f t="shared" si="232"/>
        <v>21625.574505032222</v>
      </c>
      <c r="R198" s="84">
        <f t="shared" si="232"/>
        <v>22018.315183523253</v>
      </c>
      <c r="S198" s="84">
        <f t="shared" si="232"/>
        <v>22328.481950405181</v>
      </c>
      <c r="T198" s="84">
        <f t="shared" si="232"/>
        <v>22361.230092537855</v>
      </c>
      <c r="U198" s="84">
        <f t="shared" si="232"/>
        <v>22621.737648491599</v>
      </c>
      <c r="V198" s="84">
        <f t="shared" si="232"/>
        <v>18430.210001424184</v>
      </c>
      <c r="W198" s="84">
        <f t="shared" si="234"/>
        <v>19585.937236283935</v>
      </c>
      <c r="X198" s="84">
        <f t="shared" si="234"/>
        <v>21207.102669096799</v>
      </c>
      <c r="Y198" s="84">
        <f t="shared" si="234"/>
        <v>22694.592079251976</v>
      </c>
      <c r="DA198" s="171" t="s">
        <v>606</v>
      </c>
    </row>
    <row r="199" spans="1:105" ht="11.45" customHeight="1" x14ac:dyDescent="0.25">
      <c r="A199" s="111" t="s">
        <v>111</v>
      </c>
      <c r="B199" s="84">
        <f t="shared" si="232"/>
        <v>28627.684520476269</v>
      </c>
      <c r="C199" s="84">
        <f t="shared" si="232"/>
        <v>28486.626808461657</v>
      </c>
      <c r="D199" s="84">
        <f t="shared" si="232"/>
        <v>28021.377383122915</v>
      </c>
      <c r="E199" s="84">
        <f t="shared" si="232"/>
        <v>28781.102001043684</v>
      </c>
      <c r="F199" s="84">
        <f t="shared" si="232"/>
        <v>30727.008668252114</v>
      </c>
      <c r="G199" s="84">
        <f t="shared" si="232"/>
        <v>30039.268910251139</v>
      </c>
      <c r="H199" s="84">
        <f t="shared" si="232"/>
        <v>25876.916767341641</v>
      </c>
      <c r="I199" s="84">
        <f t="shared" si="232"/>
        <v>28244.05155299239</v>
      </c>
      <c r="J199" s="84">
        <f t="shared" si="232"/>
        <v>26749.651981217346</v>
      </c>
      <c r="K199" s="84">
        <f t="shared" si="232"/>
        <v>28250.724355270424</v>
      </c>
      <c r="L199" s="84">
        <f t="shared" si="232"/>
        <v>28713.717611885266</v>
      </c>
      <c r="M199" s="84">
        <f t="shared" si="235"/>
        <v>28790.782511676778</v>
      </c>
      <c r="N199" s="84">
        <f t="shared" si="232"/>
        <v>27643.559078756894</v>
      </c>
      <c r="O199" s="84">
        <f t="shared" si="232"/>
        <v>28482.760442029306</v>
      </c>
      <c r="P199" s="84">
        <f t="shared" si="232"/>
        <v>26801.787461814067</v>
      </c>
      <c r="Q199" s="84">
        <f t="shared" si="232"/>
        <v>29602.13072261462</v>
      </c>
      <c r="R199" s="84">
        <f t="shared" si="232"/>
        <v>30495.975841246134</v>
      </c>
      <c r="S199" s="84">
        <f t="shared" si="232"/>
        <v>30000.855661375117</v>
      </c>
      <c r="T199" s="84">
        <f t="shared" si="232"/>
        <v>29187.846776624672</v>
      </c>
      <c r="U199" s="84">
        <f t="shared" si="232"/>
        <v>28526.400491617856</v>
      </c>
      <c r="V199" s="84">
        <f t="shared" si="232"/>
        <v>24708.652750531768</v>
      </c>
      <c r="W199" s="84">
        <f t="shared" si="234"/>
        <v>25743.024408076275</v>
      </c>
      <c r="X199" s="84">
        <f t="shared" si="234"/>
        <v>26281.033779662637</v>
      </c>
      <c r="Y199" s="84">
        <f t="shared" si="234"/>
        <v>26517.304888406154</v>
      </c>
      <c r="DA199" s="171" t="s">
        <v>607</v>
      </c>
    </row>
    <row r="200" spans="1:105" ht="11.45" customHeight="1" x14ac:dyDescent="0.25">
      <c r="A200" s="111" t="s">
        <v>112</v>
      </c>
      <c r="B200" s="84">
        <f t="shared" si="232"/>
        <v>25482.506153314651</v>
      </c>
      <c r="C200" s="84">
        <f t="shared" si="232"/>
        <v>25101.406578543811</v>
      </c>
      <c r="D200" s="84">
        <f t="shared" si="232"/>
        <v>24942.553473430191</v>
      </c>
      <c r="E200" s="84">
        <f t="shared" si="232"/>
        <v>25882.412972871982</v>
      </c>
      <c r="F200" s="84">
        <f t="shared" si="232"/>
        <v>27926.241670167259</v>
      </c>
      <c r="G200" s="84">
        <f t="shared" si="232"/>
        <v>27614.655473340146</v>
      </c>
      <c r="H200" s="84">
        <f t="shared" si="232"/>
        <v>23558.019551895493</v>
      </c>
      <c r="I200" s="84">
        <f t="shared" si="232"/>
        <v>25469.535527371601</v>
      </c>
      <c r="J200" s="84">
        <f t="shared" si="232"/>
        <v>23951.906470636008</v>
      </c>
      <c r="K200" s="84">
        <f t="shared" si="232"/>
        <v>25097.690551913303</v>
      </c>
      <c r="L200" s="84">
        <f t="shared" si="232"/>
        <v>25320.23513703054</v>
      </c>
      <c r="M200" s="84">
        <f t="shared" si="235"/>
        <v>25219.489495405422</v>
      </c>
      <c r="N200" s="84">
        <f t="shared" si="232"/>
        <v>24010.693468813311</v>
      </c>
      <c r="O200" s="84">
        <f t="shared" si="232"/>
        <v>25001.390363620954</v>
      </c>
      <c r="P200" s="84">
        <f t="shared" si="232"/>
        <v>23803.652690635343</v>
      </c>
      <c r="Q200" s="84">
        <f t="shared" si="232"/>
        <v>26638.894103406965</v>
      </c>
      <c r="R200" s="84">
        <f t="shared" si="232"/>
        <v>27794.351031524751</v>
      </c>
      <c r="S200" s="84">
        <f t="shared" si="232"/>
        <v>27516.652436322594</v>
      </c>
      <c r="T200" s="84">
        <f t="shared" si="232"/>
        <v>26537.512626337008</v>
      </c>
      <c r="U200" s="84">
        <f t="shared" si="232"/>
        <v>25691.297474139745</v>
      </c>
      <c r="V200" s="84">
        <f t="shared" si="232"/>
        <v>22061.607292344539</v>
      </c>
      <c r="W200" s="84">
        <f t="shared" si="234"/>
        <v>22733.894838179109</v>
      </c>
      <c r="X200" s="84">
        <f t="shared" si="234"/>
        <v>23381.120958167336</v>
      </c>
      <c r="Y200" s="84">
        <f t="shared" si="234"/>
        <v>23743.051704133941</v>
      </c>
      <c r="DA200" s="171" t="s">
        <v>608</v>
      </c>
    </row>
    <row r="201" spans="1:105" ht="11.45" customHeight="1" x14ac:dyDescent="0.25">
      <c r="A201" s="111" t="s">
        <v>113</v>
      </c>
      <c r="B201" s="84">
        <f t="shared" si="232"/>
        <v>0</v>
      </c>
      <c r="C201" s="84">
        <f t="shared" si="232"/>
        <v>0</v>
      </c>
      <c r="D201" s="84">
        <f t="shared" si="232"/>
        <v>0</v>
      </c>
      <c r="E201" s="84">
        <f t="shared" si="232"/>
        <v>0</v>
      </c>
      <c r="F201" s="84">
        <f t="shared" si="232"/>
        <v>0</v>
      </c>
      <c r="G201" s="84">
        <f t="shared" si="232"/>
        <v>0</v>
      </c>
      <c r="H201" s="84">
        <f t="shared" si="232"/>
        <v>0</v>
      </c>
      <c r="I201" s="84">
        <f t="shared" si="232"/>
        <v>0</v>
      </c>
      <c r="J201" s="84">
        <f t="shared" si="232"/>
        <v>0</v>
      </c>
      <c r="K201" s="84">
        <f t="shared" si="232"/>
        <v>0</v>
      </c>
      <c r="L201" s="84">
        <f t="shared" si="232"/>
        <v>0</v>
      </c>
      <c r="M201" s="84">
        <f t="shared" si="235"/>
        <v>0</v>
      </c>
      <c r="N201" s="84">
        <f t="shared" si="232"/>
        <v>0</v>
      </c>
      <c r="O201" s="84">
        <f t="shared" si="232"/>
        <v>0</v>
      </c>
      <c r="P201" s="84">
        <f t="shared" si="232"/>
        <v>20994.821673140374</v>
      </c>
      <c r="Q201" s="84">
        <f t="shared" si="232"/>
        <v>23975.004693066265</v>
      </c>
      <c r="R201" s="84">
        <f t="shared" si="232"/>
        <v>24514.617609804835</v>
      </c>
      <c r="S201" s="84">
        <f t="shared" si="232"/>
        <v>23784.293699859794</v>
      </c>
      <c r="T201" s="84">
        <f t="shared" si="232"/>
        <v>22479.205125426641</v>
      </c>
      <c r="U201" s="84">
        <f t="shared" si="232"/>
        <v>21327.151301311435</v>
      </c>
      <c r="V201" s="84">
        <f t="shared" si="232"/>
        <v>17947.751078146288</v>
      </c>
      <c r="W201" s="84">
        <f t="shared" si="234"/>
        <v>18124.782776787946</v>
      </c>
      <c r="X201" s="84">
        <f t="shared" si="234"/>
        <v>18267.973289743582</v>
      </c>
      <c r="Y201" s="84">
        <f t="shared" si="234"/>
        <v>18179.739389812152</v>
      </c>
      <c r="DA201" s="171" t="s">
        <v>609</v>
      </c>
    </row>
    <row r="202" spans="1:105" ht="11.45" customHeight="1" x14ac:dyDescent="0.25">
      <c r="A202" s="111" t="s">
        <v>114</v>
      </c>
      <c r="B202" s="84">
        <f t="shared" si="232"/>
        <v>0</v>
      </c>
      <c r="C202" s="84">
        <f t="shared" si="232"/>
        <v>0</v>
      </c>
      <c r="D202" s="84">
        <f t="shared" si="232"/>
        <v>0</v>
      </c>
      <c r="E202" s="84">
        <f t="shared" si="232"/>
        <v>0</v>
      </c>
      <c r="F202" s="84">
        <f t="shared" si="232"/>
        <v>0</v>
      </c>
      <c r="G202" s="84">
        <f t="shared" si="232"/>
        <v>0</v>
      </c>
      <c r="H202" s="84">
        <f t="shared" si="232"/>
        <v>0</v>
      </c>
      <c r="I202" s="84">
        <f t="shared" si="232"/>
        <v>0</v>
      </c>
      <c r="J202" s="84">
        <f t="shared" si="232"/>
        <v>0</v>
      </c>
      <c r="K202" s="84">
        <f t="shared" si="232"/>
        <v>0</v>
      </c>
      <c r="L202" s="84">
        <f t="shared" si="232"/>
        <v>0</v>
      </c>
      <c r="M202" s="84">
        <f t="shared" si="235"/>
        <v>0</v>
      </c>
      <c r="N202" s="84">
        <f t="shared" si="232"/>
        <v>0</v>
      </c>
      <c r="O202" s="84">
        <f t="shared" si="232"/>
        <v>21395.737521334788</v>
      </c>
      <c r="P202" s="84">
        <f t="shared" si="232"/>
        <v>19574.56383045917</v>
      </c>
      <c r="Q202" s="84">
        <f t="shared" si="232"/>
        <v>20862.933848128625</v>
      </c>
      <c r="R202" s="84">
        <f t="shared" si="232"/>
        <v>22594.829847154506</v>
      </c>
      <c r="S202" s="84">
        <f t="shared" si="232"/>
        <v>22255.934700253958</v>
      </c>
      <c r="T202" s="84">
        <f t="shared" si="232"/>
        <v>22324.459078862667</v>
      </c>
      <c r="U202" s="84">
        <f t="shared" si="232"/>
        <v>22627.97242616328</v>
      </c>
      <c r="V202" s="84">
        <f t="shared" si="232"/>
        <v>18459.51804851359</v>
      </c>
      <c r="W202" s="84">
        <f t="shared" si="234"/>
        <v>19584.911557619314</v>
      </c>
      <c r="X202" s="84">
        <f t="shared" si="234"/>
        <v>21149.611573834627</v>
      </c>
      <c r="Y202" s="84">
        <f t="shared" si="234"/>
        <v>22550.849384820456</v>
      </c>
      <c r="DA202" s="171" t="s">
        <v>610</v>
      </c>
    </row>
    <row r="203" spans="1:105" ht="11.45" customHeight="1" x14ac:dyDescent="0.25">
      <c r="A203" s="111" t="s">
        <v>115</v>
      </c>
      <c r="B203" s="84">
        <f t="shared" si="232"/>
        <v>0</v>
      </c>
      <c r="C203" s="84">
        <f t="shared" si="232"/>
        <v>0</v>
      </c>
      <c r="D203" s="84">
        <f t="shared" si="232"/>
        <v>0</v>
      </c>
      <c r="E203" s="84">
        <f t="shared" si="232"/>
        <v>0</v>
      </c>
      <c r="F203" s="84">
        <f t="shared" si="232"/>
        <v>0</v>
      </c>
      <c r="G203" s="84">
        <f t="shared" si="232"/>
        <v>0</v>
      </c>
      <c r="H203" s="84">
        <f t="shared" si="232"/>
        <v>0</v>
      </c>
      <c r="I203" s="84">
        <f t="shared" si="232"/>
        <v>0</v>
      </c>
      <c r="J203" s="84">
        <f t="shared" si="232"/>
        <v>0</v>
      </c>
      <c r="K203" s="84">
        <f t="shared" si="232"/>
        <v>21345.287706192918</v>
      </c>
      <c r="L203" s="84">
        <f t="shared" si="232"/>
        <v>21172.700962592135</v>
      </c>
      <c r="M203" s="84">
        <f t="shared" si="235"/>
        <v>21398.734809400128</v>
      </c>
      <c r="N203" s="84">
        <f t="shared" si="232"/>
        <v>21748.063318286851</v>
      </c>
      <c r="O203" s="84">
        <f t="shared" si="232"/>
        <v>21684.363144063442</v>
      </c>
      <c r="P203" s="84">
        <f t="shared" si="232"/>
        <v>21529.03019845143</v>
      </c>
      <c r="Q203" s="84">
        <f t="shared" si="232"/>
        <v>22110.008941025662</v>
      </c>
      <c r="R203" s="84">
        <f t="shared" si="232"/>
        <v>22430.646358508504</v>
      </c>
      <c r="S203" s="84">
        <f t="shared" si="232"/>
        <v>22290.565897230859</v>
      </c>
      <c r="T203" s="84">
        <f t="shared" si="232"/>
        <v>22672.236516059602</v>
      </c>
      <c r="U203" s="84">
        <f t="shared" si="232"/>
        <v>23027.213220523648</v>
      </c>
      <c r="V203" s="84">
        <f t="shared" si="232"/>
        <v>19758.587526183008</v>
      </c>
      <c r="W203" s="84">
        <f t="shared" si="234"/>
        <v>23067.50258872753</v>
      </c>
      <c r="X203" s="84">
        <f t="shared" si="234"/>
        <v>22183.271260060632</v>
      </c>
      <c r="Y203" s="84">
        <f t="shared" si="234"/>
        <v>23093.912727105839</v>
      </c>
      <c r="DA203" s="171" t="s">
        <v>611</v>
      </c>
    </row>
    <row r="204" spans="1:105" ht="11.45" customHeight="1" x14ac:dyDescent="0.25">
      <c r="A204" s="109" t="s">
        <v>21</v>
      </c>
      <c r="B204" s="110">
        <f t="shared" si="232"/>
        <v>844331.27197768888</v>
      </c>
      <c r="C204" s="110">
        <f t="shared" si="232"/>
        <v>861451.19357125962</v>
      </c>
      <c r="D204" s="110">
        <f t="shared" si="232"/>
        <v>854902.88404944108</v>
      </c>
      <c r="E204" s="110">
        <f t="shared" si="232"/>
        <v>854531.01962118631</v>
      </c>
      <c r="F204" s="110">
        <f t="shared" si="232"/>
        <v>873907.72651473037</v>
      </c>
      <c r="G204" s="110">
        <f t="shared" si="232"/>
        <v>860534.89889106329</v>
      </c>
      <c r="H204" s="110">
        <f t="shared" si="232"/>
        <v>829439.73537316511</v>
      </c>
      <c r="I204" s="110">
        <f t="shared" si="232"/>
        <v>818711.14181387529</v>
      </c>
      <c r="J204" s="110">
        <f t="shared" si="232"/>
        <v>806248.23562623502</v>
      </c>
      <c r="K204" s="110">
        <f t="shared" si="232"/>
        <v>864618.35748792288</v>
      </c>
      <c r="L204" s="110">
        <f t="shared" si="232"/>
        <v>850854.95876081265</v>
      </c>
      <c r="M204" s="110">
        <f t="shared" si="235"/>
        <v>846478.73092856398</v>
      </c>
      <c r="N204" s="110">
        <f t="shared" si="232"/>
        <v>816191.72288792673</v>
      </c>
      <c r="O204" s="110">
        <f t="shared" si="232"/>
        <v>800787.71169751859</v>
      </c>
      <c r="P204" s="110">
        <f t="shared" si="232"/>
        <v>807610.26232343609</v>
      </c>
      <c r="Q204" s="110">
        <f t="shared" si="232"/>
        <v>782571.92756687198</v>
      </c>
      <c r="R204" s="110">
        <f t="shared" si="232"/>
        <v>784135.58137503278</v>
      </c>
      <c r="S204" s="110">
        <f t="shared" si="232"/>
        <v>821346.71685487207</v>
      </c>
      <c r="T204" s="110">
        <f t="shared" si="232"/>
        <v>839936</v>
      </c>
      <c r="U204" s="110">
        <f t="shared" si="232"/>
        <v>820816.01231716701</v>
      </c>
      <c r="V204" s="110">
        <f t="shared" si="232"/>
        <v>617767.34830707347</v>
      </c>
      <c r="W204" s="110">
        <f t="shared" si="234"/>
        <v>643719.57492346794</v>
      </c>
      <c r="X204" s="110">
        <f t="shared" si="234"/>
        <v>827102.64718424715</v>
      </c>
      <c r="Y204" s="110">
        <f t="shared" si="234"/>
        <v>940025.50061238406</v>
      </c>
      <c r="DA204" s="176" t="s">
        <v>612</v>
      </c>
    </row>
    <row r="205" spans="1:105" ht="11.45" customHeight="1" x14ac:dyDescent="0.25">
      <c r="A205" s="111" t="s">
        <v>110</v>
      </c>
      <c r="B205" s="102">
        <f t="shared" si="232"/>
        <v>323310.15932451637</v>
      </c>
      <c r="C205" s="102">
        <f t="shared" si="232"/>
        <v>324199.72649378347</v>
      </c>
      <c r="D205" s="102">
        <f t="shared" si="232"/>
        <v>317442.46808179002</v>
      </c>
      <c r="E205" s="102">
        <f t="shared" si="232"/>
        <v>311426.09152399236</v>
      </c>
      <c r="F205" s="102">
        <f t="shared" si="232"/>
        <v>312574.08415475563</v>
      </c>
      <c r="G205" s="102">
        <f t="shared" si="232"/>
        <v>302077.67575583892</v>
      </c>
      <c r="H205" s="102">
        <f t="shared" si="232"/>
        <v>285777.66696457373</v>
      </c>
      <c r="I205" s="102">
        <f t="shared" si="232"/>
        <v>288162.25935450674</v>
      </c>
      <c r="J205" s="102">
        <f t="shared" si="232"/>
        <v>289894.16852921591</v>
      </c>
      <c r="K205" s="102">
        <f t="shared" si="232"/>
        <v>305073.86402728443</v>
      </c>
      <c r="L205" s="102">
        <f t="shared" si="232"/>
        <v>294598.77922129317</v>
      </c>
      <c r="M205" s="102">
        <f t="shared" si="235"/>
        <v>299365.29899761477</v>
      </c>
      <c r="N205" s="102">
        <f t="shared" si="232"/>
        <v>287070.86169521528</v>
      </c>
      <c r="O205" s="102">
        <f t="shared" si="232"/>
        <v>287707.52484666841</v>
      </c>
      <c r="P205" s="102">
        <f t="shared" si="232"/>
        <v>292523.54583976296</v>
      </c>
      <c r="Q205" s="102">
        <f t="shared" si="232"/>
        <v>285852.84280936467</v>
      </c>
      <c r="R205" s="102">
        <f t="shared" si="232"/>
        <v>292137.31028006325</v>
      </c>
      <c r="S205" s="102">
        <f t="shared" si="232"/>
        <v>312892.55733157799</v>
      </c>
      <c r="T205" s="102">
        <f t="shared" si="232"/>
        <v>326739.06229599973</v>
      </c>
      <c r="U205" s="102">
        <f t="shared" si="232"/>
        <v>325312.56322510616</v>
      </c>
      <c r="V205" s="102">
        <f t="shared" si="232"/>
        <v>248466.67966028507</v>
      </c>
      <c r="W205" s="102">
        <f t="shared" si="234"/>
        <v>263312.57969660254</v>
      </c>
      <c r="X205" s="102">
        <f t="shared" si="234"/>
        <v>348239.95656542509</v>
      </c>
      <c r="Y205" s="102">
        <f t="shared" si="234"/>
        <v>407502.10005756165</v>
      </c>
      <c r="DA205" s="175" t="s">
        <v>613</v>
      </c>
    </row>
    <row r="206" spans="1:105" ht="11.45" customHeight="1" x14ac:dyDescent="0.25">
      <c r="A206" s="111" t="s">
        <v>111</v>
      </c>
      <c r="B206" s="102">
        <f t="shared" si="232"/>
        <v>855099.90141000063</v>
      </c>
      <c r="C206" s="102">
        <f t="shared" si="232"/>
        <v>871386.01288380579</v>
      </c>
      <c r="D206" s="102">
        <f t="shared" si="232"/>
        <v>863884.22905355284</v>
      </c>
      <c r="E206" s="102">
        <f t="shared" si="232"/>
        <v>862380.35558614985</v>
      </c>
      <c r="F206" s="102">
        <f t="shared" si="232"/>
        <v>880895.91578565794</v>
      </c>
      <c r="G206" s="102">
        <f t="shared" si="232"/>
        <v>866461.88162542589</v>
      </c>
      <c r="H206" s="102">
        <f t="shared" si="232"/>
        <v>834177.99151690595</v>
      </c>
      <c r="I206" s="102">
        <f t="shared" si="232"/>
        <v>822486.00750208879</v>
      </c>
      <c r="J206" s="102">
        <f t="shared" si="232"/>
        <v>809103.22849285556</v>
      </c>
      <c r="K206" s="102">
        <f t="shared" si="232"/>
        <v>867251.53072603187</v>
      </c>
      <c r="L206" s="102">
        <f t="shared" si="232"/>
        <v>853018.44490869972</v>
      </c>
      <c r="M206" s="102">
        <f t="shared" si="235"/>
        <v>848168.28970251069</v>
      </c>
      <c r="N206" s="102">
        <f t="shared" si="232"/>
        <v>817442.96081119985</v>
      </c>
      <c r="O206" s="102">
        <f t="shared" si="232"/>
        <v>801971.56376459822</v>
      </c>
      <c r="P206" s="102">
        <f t="shared" si="232"/>
        <v>808769.16127669264</v>
      </c>
      <c r="Q206" s="102">
        <f t="shared" si="232"/>
        <v>783501.37903462246</v>
      </c>
      <c r="R206" s="102">
        <f t="shared" si="232"/>
        <v>784837.51578868984</v>
      </c>
      <c r="S206" s="102">
        <f t="shared" si="232"/>
        <v>822173.8293938908</v>
      </c>
      <c r="T206" s="102">
        <f t="shared" si="232"/>
        <v>840440.80981818575</v>
      </c>
      <c r="U206" s="102">
        <f t="shared" si="232"/>
        <v>821233.19560493971</v>
      </c>
      <c r="V206" s="102">
        <f t="shared" si="232"/>
        <v>617832.92852840805</v>
      </c>
      <c r="W206" s="102">
        <f t="shared" si="234"/>
        <v>643604.03708132764</v>
      </c>
      <c r="X206" s="102">
        <f t="shared" si="234"/>
        <v>827443.49636690191</v>
      </c>
      <c r="Y206" s="102">
        <f t="shared" si="234"/>
        <v>942522.610854247</v>
      </c>
      <c r="DA206" s="175" t="s">
        <v>614</v>
      </c>
    </row>
    <row r="207" spans="1:105" ht="11.45" customHeight="1" x14ac:dyDescent="0.25">
      <c r="A207" s="111" t="s">
        <v>112</v>
      </c>
      <c r="B207" s="102">
        <f t="shared" si="232"/>
        <v>0</v>
      </c>
      <c r="C207" s="102">
        <f t="shared" si="232"/>
        <v>522446.80779264605</v>
      </c>
      <c r="D207" s="102">
        <f t="shared" si="232"/>
        <v>522763.19419765694</v>
      </c>
      <c r="E207" s="102">
        <f t="shared" si="232"/>
        <v>524068.16027248779</v>
      </c>
      <c r="F207" s="102">
        <f t="shared" si="232"/>
        <v>537534.90319144318</v>
      </c>
      <c r="G207" s="102">
        <f t="shared" si="232"/>
        <v>530958.45443736378</v>
      </c>
      <c r="H207" s="102">
        <f t="shared" si="232"/>
        <v>513514.99481186725</v>
      </c>
      <c r="I207" s="102">
        <f t="shared" si="232"/>
        <v>508758.10731386882</v>
      </c>
      <c r="J207" s="102">
        <f t="shared" si="232"/>
        <v>0</v>
      </c>
      <c r="K207" s="102">
        <f t="shared" si="232"/>
        <v>0</v>
      </c>
      <c r="L207" s="102">
        <f t="shared" si="232"/>
        <v>0</v>
      </c>
      <c r="M207" s="102">
        <f t="shared" si="235"/>
        <v>0</v>
      </c>
      <c r="N207" s="102">
        <f t="shared" si="232"/>
        <v>0</v>
      </c>
      <c r="O207" s="102">
        <f t="shared" si="232"/>
        <v>0</v>
      </c>
      <c r="P207" s="102">
        <f t="shared" si="232"/>
        <v>0</v>
      </c>
      <c r="Q207" s="102">
        <f t="shared" si="232"/>
        <v>0</v>
      </c>
      <c r="R207" s="102">
        <f t="shared" si="232"/>
        <v>0</v>
      </c>
      <c r="S207" s="102">
        <f t="shared" si="232"/>
        <v>0</v>
      </c>
      <c r="T207" s="102">
        <f t="shared" si="232"/>
        <v>0</v>
      </c>
      <c r="U207" s="102">
        <f t="shared" si="232"/>
        <v>0</v>
      </c>
      <c r="V207" s="102">
        <f t="shared" si="232"/>
        <v>0</v>
      </c>
      <c r="W207" s="102">
        <f t="shared" si="234"/>
        <v>0</v>
      </c>
      <c r="X207" s="102">
        <f t="shared" si="234"/>
        <v>0</v>
      </c>
      <c r="Y207" s="102">
        <f t="shared" si="234"/>
        <v>0</v>
      </c>
      <c r="DA207" s="175" t="s">
        <v>615</v>
      </c>
    </row>
    <row r="208" spans="1:105" ht="11.45" customHeight="1" x14ac:dyDescent="0.25">
      <c r="A208" s="111" t="s">
        <v>113</v>
      </c>
      <c r="B208" s="102">
        <f t="shared" si="232"/>
        <v>0</v>
      </c>
      <c r="C208" s="102">
        <f t="shared" si="232"/>
        <v>0</v>
      </c>
      <c r="D208" s="102">
        <f t="shared" si="232"/>
        <v>0</v>
      </c>
      <c r="E208" s="102">
        <f t="shared" si="232"/>
        <v>0</v>
      </c>
      <c r="F208" s="102">
        <f t="shared" si="232"/>
        <v>0</v>
      </c>
      <c r="G208" s="102">
        <f t="shared" si="232"/>
        <v>0</v>
      </c>
      <c r="H208" s="102">
        <f t="shared" si="232"/>
        <v>0</v>
      </c>
      <c r="I208" s="102">
        <f t="shared" si="232"/>
        <v>0</v>
      </c>
      <c r="J208" s="102">
        <f t="shared" si="232"/>
        <v>0</v>
      </c>
      <c r="K208" s="102">
        <f t="shared" si="232"/>
        <v>0</v>
      </c>
      <c r="L208" s="102">
        <f t="shared" si="232"/>
        <v>0</v>
      </c>
      <c r="M208" s="102">
        <f t="shared" si="235"/>
        <v>0</v>
      </c>
      <c r="N208" s="102">
        <f t="shared" si="232"/>
        <v>0</v>
      </c>
      <c r="O208" s="102">
        <f t="shared" si="232"/>
        <v>0</v>
      </c>
      <c r="P208" s="102">
        <f t="shared" si="232"/>
        <v>0</v>
      </c>
      <c r="Q208" s="102">
        <f t="shared" si="232"/>
        <v>0</v>
      </c>
      <c r="R208" s="102">
        <f t="shared" si="232"/>
        <v>0</v>
      </c>
      <c r="S208" s="102">
        <f t="shared" si="232"/>
        <v>0</v>
      </c>
      <c r="T208" s="102">
        <f t="shared" si="232"/>
        <v>930882.16249710077</v>
      </c>
      <c r="U208" s="102">
        <f t="shared" si="232"/>
        <v>926942.23320094624</v>
      </c>
      <c r="V208" s="102">
        <f t="shared" si="232"/>
        <v>708036.43420380948</v>
      </c>
      <c r="W208" s="102">
        <f t="shared" si="234"/>
        <v>750276.73477507592</v>
      </c>
      <c r="X208" s="102">
        <f t="shared" si="234"/>
        <v>993505.28508300846</v>
      </c>
      <c r="Y208" s="102">
        <f t="shared" si="234"/>
        <v>1165868.2841521068</v>
      </c>
      <c r="DA208" s="175" t="s">
        <v>616</v>
      </c>
    </row>
    <row r="209" spans="1:105" ht="11.45" customHeight="1" x14ac:dyDescent="0.25">
      <c r="A209" s="111" t="s">
        <v>115</v>
      </c>
      <c r="B209" s="102">
        <f t="shared" si="232"/>
        <v>0</v>
      </c>
      <c r="C209" s="102">
        <f t="shared" si="232"/>
        <v>0</v>
      </c>
      <c r="D209" s="102">
        <f t="shared" si="232"/>
        <v>0</v>
      </c>
      <c r="E209" s="102">
        <f t="shared" si="232"/>
        <v>0</v>
      </c>
      <c r="F209" s="102">
        <f t="shared" si="232"/>
        <v>0</v>
      </c>
      <c r="G209" s="102">
        <f t="shared" si="232"/>
        <v>0</v>
      </c>
      <c r="H209" s="102">
        <f t="shared" si="232"/>
        <v>0</v>
      </c>
      <c r="I209" s="102">
        <f t="shared" si="232"/>
        <v>0</v>
      </c>
      <c r="J209" s="102">
        <f t="shared" si="232"/>
        <v>1102428.5727705972</v>
      </c>
      <c r="K209" s="102">
        <f t="shared" si="232"/>
        <v>1160614.1845357735</v>
      </c>
      <c r="L209" s="102">
        <f t="shared" si="232"/>
        <v>1122006.124423631</v>
      </c>
      <c r="M209" s="102">
        <f t="shared" si="235"/>
        <v>1139497.8158045893</v>
      </c>
      <c r="N209" s="102">
        <f t="shared" si="232"/>
        <v>1120329.5235692612</v>
      </c>
      <c r="O209" s="102">
        <f t="shared" si="232"/>
        <v>1121106.9045340645</v>
      </c>
      <c r="P209" s="102">
        <f t="shared" si="232"/>
        <v>1138002.5252219921</v>
      </c>
      <c r="Q209" s="102">
        <f t="shared" si="232"/>
        <v>1122618.122108236</v>
      </c>
      <c r="R209" s="102">
        <f t="shared" si="232"/>
        <v>1125697.7763021691</v>
      </c>
      <c r="S209" s="102">
        <f t="shared" si="232"/>
        <v>1119668.8666734884</v>
      </c>
      <c r="T209" s="102">
        <f t="shared" si="232"/>
        <v>1117999.4476052858</v>
      </c>
      <c r="U209" s="102">
        <f t="shared" si="232"/>
        <v>1116862.6159997135</v>
      </c>
      <c r="V209" s="102">
        <f t="shared" si="232"/>
        <v>862331.80849243922</v>
      </c>
      <c r="W209" s="102">
        <f t="shared" si="234"/>
        <v>1019946.8982806721</v>
      </c>
      <c r="X209" s="102">
        <f t="shared" si="234"/>
        <v>1101834.2521698568</v>
      </c>
      <c r="Y209" s="102">
        <f t="shared" si="234"/>
        <v>1031422.4734222823</v>
      </c>
      <c r="DA209" s="175" t="s">
        <v>617</v>
      </c>
    </row>
    <row r="210" spans="1:105" ht="11.45" customHeight="1" x14ac:dyDescent="0.25">
      <c r="A210" s="27" t="s">
        <v>108</v>
      </c>
      <c r="B210" s="28">
        <f t="shared" si="232"/>
        <v>49925.850688203762</v>
      </c>
      <c r="C210" s="28">
        <f t="shared" si="232"/>
        <v>49466.063255733803</v>
      </c>
      <c r="D210" s="28">
        <f t="shared" si="232"/>
        <v>53620.891042122938</v>
      </c>
      <c r="E210" s="28">
        <f t="shared" si="232"/>
        <v>55433.759965410645</v>
      </c>
      <c r="F210" s="28">
        <f t="shared" ref="B210:V219" si="236">IF(F19=0,0,F19*1000000/F73)</f>
        <v>57750.16695949142</v>
      </c>
      <c r="G210" s="28">
        <f t="shared" si="236"/>
        <v>56435.433407159762</v>
      </c>
      <c r="H210" s="28">
        <f t="shared" si="236"/>
        <v>51925.027111487667</v>
      </c>
      <c r="I210" s="28">
        <f t="shared" si="236"/>
        <v>50317.386037145006</v>
      </c>
      <c r="J210" s="28">
        <f t="shared" si="236"/>
        <v>48803.250269479868</v>
      </c>
      <c r="K210" s="28">
        <f t="shared" si="236"/>
        <v>36044.717212082942</v>
      </c>
      <c r="L210" s="28">
        <f t="shared" si="236"/>
        <v>36481.693579719584</v>
      </c>
      <c r="M210" s="28">
        <f t="shared" si="235"/>
        <v>35226.102560313309</v>
      </c>
      <c r="N210" s="28">
        <f t="shared" si="236"/>
        <v>35191.505931200678</v>
      </c>
      <c r="O210" s="28">
        <f t="shared" si="236"/>
        <v>34545.739504151476</v>
      </c>
      <c r="P210" s="28">
        <f t="shared" si="236"/>
        <v>36077.678072164119</v>
      </c>
      <c r="Q210" s="28">
        <f t="shared" si="236"/>
        <v>36662.014777728931</v>
      </c>
      <c r="R210" s="28">
        <f t="shared" si="236"/>
        <v>41290.941478691617</v>
      </c>
      <c r="S210" s="28">
        <f t="shared" si="236"/>
        <v>40735.320156676469</v>
      </c>
      <c r="T210" s="28">
        <f t="shared" si="236"/>
        <v>41280.572459151263</v>
      </c>
      <c r="U210" s="28">
        <f t="shared" si="236"/>
        <v>43539.20359167987</v>
      </c>
      <c r="V210" s="28">
        <f t="shared" si="236"/>
        <v>37316.708170405167</v>
      </c>
      <c r="W210" s="28">
        <f t="shared" ref="W210:Y210" si="237">IF(W19=0,0,W19*1000000/W73)</f>
        <v>40457.482304287136</v>
      </c>
      <c r="X210" s="28">
        <f t="shared" si="237"/>
        <v>39880.484247121349</v>
      </c>
      <c r="Y210" s="28">
        <f t="shared" si="237"/>
        <v>39780.038845415802</v>
      </c>
      <c r="DA210" s="173" t="s">
        <v>618</v>
      </c>
    </row>
    <row r="211" spans="1:105" ht="11.45" customHeight="1" x14ac:dyDescent="0.25">
      <c r="A211" s="136" t="s">
        <v>153</v>
      </c>
      <c r="B211" s="137">
        <f t="shared" si="236"/>
        <v>10278.318429373488</v>
      </c>
      <c r="C211" s="137">
        <f t="shared" si="236"/>
        <v>10246.139024889502</v>
      </c>
      <c r="D211" s="137">
        <f t="shared" si="236"/>
        <v>10205.132851813018</v>
      </c>
      <c r="E211" s="137">
        <f t="shared" si="236"/>
        <v>10165.557610854254</v>
      </c>
      <c r="F211" s="137">
        <f t="shared" si="236"/>
        <v>10121.676826078297</v>
      </c>
      <c r="G211" s="137">
        <f t="shared" si="236"/>
        <v>10083.210992050566</v>
      </c>
      <c r="H211" s="137">
        <f t="shared" si="236"/>
        <v>10041.799156199637</v>
      </c>
      <c r="I211" s="137">
        <f t="shared" si="236"/>
        <v>9989.8296255239093</v>
      </c>
      <c r="J211" s="137">
        <f t="shared" si="236"/>
        <v>9911.0205024295483</v>
      </c>
      <c r="K211" s="137">
        <f t="shared" si="236"/>
        <v>9804.3985859308432</v>
      </c>
      <c r="L211" s="137">
        <f t="shared" si="236"/>
        <v>9629.8847250804065</v>
      </c>
      <c r="M211" s="137">
        <f t="shared" si="235"/>
        <v>9611.7025471416728</v>
      </c>
      <c r="N211" s="137">
        <f t="shared" si="236"/>
        <v>9441.0889166671604</v>
      </c>
      <c r="O211" s="137">
        <f t="shared" si="236"/>
        <v>9604.8757218871579</v>
      </c>
      <c r="P211" s="137">
        <f t="shared" si="236"/>
        <v>9632.7122048327092</v>
      </c>
      <c r="Q211" s="137">
        <f t="shared" si="236"/>
        <v>9460.6378354926128</v>
      </c>
      <c r="R211" s="137">
        <f t="shared" si="236"/>
        <v>9455.0368531807108</v>
      </c>
      <c r="S211" s="137">
        <f t="shared" si="236"/>
        <v>9370.300782194261</v>
      </c>
      <c r="T211" s="137">
        <f t="shared" si="236"/>
        <v>9452.2352686984577</v>
      </c>
      <c r="U211" s="137">
        <f t="shared" si="236"/>
        <v>9322.203013651424</v>
      </c>
      <c r="V211" s="137">
        <f t="shared" si="236"/>
        <v>9158.0984979833374</v>
      </c>
      <c r="W211" s="137">
        <f t="shared" ref="W211:Y211" si="238">IF(W20=0,0,W20*1000000/W74)</f>
        <v>9304.1688785492697</v>
      </c>
      <c r="X211" s="137">
        <f t="shared" si="238"/>
        <v>9429.9007320326764</v>
      </c>
      <c r="Y211" s="137">
        <f t="shared" si="238"/>
        <v>9511.5293677905247</v>
      </c>
      <c r="DA211" s="174" t="s">
        <v>619</v>
      </c>
    </row>
    <row r="212" spans="1:105" ht="11.45" customHeight="1" x14ac:dyDescent="0.25">
      <c r="A212" s="111" t="s">
        <v>110</v>
      </c>
      <c r="B212" s="84">
        <f t="shared" si="236"/>
        <v>4597.3541616408429</v>
      </c>
      <c r="C212" s="84">
        <f t="shared" si="236"/>
        <v>4573.6171791854049</v>
      </c>
      <c r="D212" s="84">
        <f t="shared" si="236"/>
        <v>4548.3380800189789</v>
      </c>
      <c r="E212" s="84">
        <f t="shared" si="236"/>
        <v>4523.3680035727903</v>
      </c>
      <c r="F212" s="84">
        <f t="shared" si="236"/>
        <v>4496.8815994847537</v>
      </c>
      <c r="G212" s="84">
        <f t="shared" si="236"/>
        <v>4471.1674488781218</v>
      </c>
      <c r="H212" s="84">
        <f t="shared" si="236"/>
        <v>4446.5380166000978</v>
      </c>
      <c r="I212" s="84">
        <f t="shared" si="236"/>
        <v>4419.4728496135576</v>
      </c>
      <c r="J212" s="84">
        <f t="shared" si="236"/>
        <v>4383.3888386030367</v>
      </c>
      <c r="K212" s="84">
        <f t="shared" si="236"/>
        <v>4340.6622682470952</v>
      </c>
      <c r="L212" s="84">
        <f t="shared" si="236"/>
        <v>4296.3308080932256</v>
      </c>
      <c r="M212" s="84">
        <f t="shared" si="235"/>
        <v>4282.6604352455206</v>
      </c>
      <c r="N212" s="84">
        <f t="shared" si="236"/>
        <v>4239.4035663434488</v>
      </c>
      <c r="O212" s="84">
        <f t="shared" si="236"/>
        <v>4278.4676908429901</v>
      </c>
      <c r="P212" s="84">
        <f t="shared" si="236"/>
        <v>4256.3584017223629</v>
      </c>
      <c r="Q212" s="84">
        <f t="shared" si="236"/>
        <v>4179.8857543532358</v>
      </c>
      <c r="R212" s="84">
        <f t="shared" si="236"/>
        <v>4177.0090162776532</v>
      </c>
      <c r="S212" s="84">
        <f t="shared" si="236"/>
        <v>4140.3176641772643</v>
      </c>
      <c r="T212" s="84">
        <f t="shared" si="236"/>
        <v>4176.7525633095802</v>
      </c>
      <c r="U212" s="84">
        <f t="shared" si="236"/>
        <v>4140.1659430887566</v>
      </c>
      <c r="V212" s="84">
        <f t="shared" si="236"/>
        <v>4104.3685700477408</v>
      </c>
      <c r="W212" s="84">
        <f t="shared" ref="W212:Y212" si="239">IF(W21=0,0,W21*1000000/W75)</f>
        <v>4141.3816428027294</v>
      </c>
      <c r="X212" s="84">
        <f t="shared" si="239"/>
        <v>4183.2700818021603</v>
      </c>
      <c r="Y212" s="84">
        <f t="shared" si="239"/>
        <v>4228.3083438512986</v>
      </c>
      <c r="DA212" s="171" t="s">
        <v>620</v>
      </c>
    </row>
    <row r="213" spans="1:105" ht="11.45" customHeight="1" x14ac:dyDescent="0.25">
      <c r="A213" s="111" t="s">
        <v>111</v>
      </c>
      <c r="B213" s="84">
        <f t="shared" si="236"/>
        <v>10419.990022502396</v>
      </c>
      <c r="C213" s="84">
        <f t="shared" si="236"/>
        <v>10366.189703524644</v>
      </c>
      <c r="D213" s="84">
        <f t="shared" si="236"/>
        <v>10308.894147900537</v>
      </c>
      <c r="E213" s="84">
        <f t="shared" si="236"/>
        <v>10252.298998107344</v>
      </c>
      <c r="F213" s="84">
        <f t="shared" si="236"/>
        <v>10192.267063080004</v>
      </c>
      <c r="G213" s="84">
        <f t="shared" si="236"/>
        <v>10133.985455151284</v>
      </c>
      <c r="H213" s="84">
        <f t="shared" si="236"/>
        <v>10078.162381797863</v>
      </c>
      <c r="I213" s="84">
        <f t="shared" si="236"/>
        <v>10016.818669731871</v>
      </c>
      <c r="J213" s="84">
        <f t="shared" si="236"/>
        <v>9935.033577376209</v>
      </c>
      <c r="K213" s="84">
        <f t="shared" si="236"/>
        <v>9826.8496212129085</v>
      </c>
      <c r="L213" s="84">
        <f t="shared" si="236"/>
        <v>9649.369313622461</v>
      </c>
      <c r="M213" s="84">
        <f t="shared" si="235"/>
        <v>9628.9989368664574</v>
      </c>
      <c r="N213" s="84">
        <f t="shared" si="236"/>
        <v>9456.1675621257436</v>
      </c>
      <c r="O213" s="84">
        <f t="shared" si="236"/>
        <v>9619.5721023076767</v>
      </c>
      <c r="P213" s="84">
        <f t="shared" si="236"/>
        <v>9647.1166933791046</v>
      </c>
      <c r="Q213" s="84">
        <f t="shared" si="236"/>
        <v>9473.7899940290081</v>
      </c>
      <c r="R213" s="84">
        <f t="shared" si="236"/>
        <v>9467.2698128571865</v>
      </c>
      <c r="S213" s="84">
        <f t="shared" si="236"/>
        <v>9384.108170452475</v>
      </c>
      <c r="T213" s="84">
        <f t="shared" si="236"/>
        <v>9466.6885573622603</v>
      </c>
      <c r="U213" s="84">
        <f t="shared" si="236"/>
        <v>9341.2915077531379</v>
      </c>
      <c r="V213" s="84">
        <f t="shared" si="236"/>
        <v>9186.3647520988015</v>
      </c>
      <c r="W213" s="84">
        <f t="shared" ref="W213:Y213" si="240">IF(W22=0,0,W22*1000000/W76)</f>
        <v>9343.2869123635119</v>
      </c>
      <c r="X213" s="84">
        <f t="shared" si="240"/>
        <v>9481.4606361006845</v>
      </c>
      <c r="Y213" s="84">
        <f t="shared" si="240"/>
        <v>9583.5407075249313</v>
      </c>
      <c r="DA213" s="171" t="s">
        <v>621</v>
      </c>
    </row>
    <row r="214" spans="1:105" ht="11.45" customHeight="1" x14ac:dyDescent="0.25">
      <c r="A214" s="111" t="s">
        <v>112</v>
      </c>
      <c r="B214" s="84">
        <f t="shared" si="236"/>
        <v>0</v>
      </c>
      <c r="C214" s="84">
        <f t="shared" si="236"/>
        <v>0</v>
      </c>
      <c r="D214" s="84">
        <f t="shared" si="236"/>
        <v>0</v>
      </c>
      <c r="E214" s="84">
        <f t="shared" si="236"/>
        <v>0</v>
      </c>
      <c r="F214" s="84">
        <f t="shared" si="236"/>
        <v>0</v>
      </c>
      <c r="G214" s="84">
        <f t="shared" si="236"/>
        <v>0</v>
      </c>
      <c r="H214" s="84">
        <f t="shared" si="236"/>
        <v>0</v>
      </c>
      <c r="I214" s="84">
        <f t="shared" si="236"/>
        <v>0</v>
      </c>
      <c r="J214" s="84">
        <f t="shared" si="236"/>
        <v>0</v>
      </c>
      <c r="K214" s="84">
        <f t="shared" si="236"/>
        <v>0</v>
      </c>
      <c r="L214" s="84">
        <f t="shared" si="236"/>
        <v>0</v>
      </c>
      <c r="M214" s="84">
        <f t="shared" si="235"/>
        <v>0</v>
      </c>
      <c r="N214" s="84">
        <f t="shared" si="236"/>
        <v>0</v>
      </c>
      <c r="O214" s="84">
        <f t="shared" si="236"/>
        <v>5205.5809825958522</v>
      </c>
      <c r="P214" s="84">
        <f t="shared" si="236"/>
        <v>5179.9004847968517</v>
      </c>
      <c r="Q214" s="84">
        <f t="shared" si="236"/>
        <v>5129.8597894335171</v>
      </c>
      <c r="R214" s="84">
        <f t="shared" si="236"/>
        <v>5087.6839957766415</v>
      </c>
      <c r="S214" s="84">
        <f t="shared" si="236"/>
        <v>5045.0160233169836</v>
      </c>
      <c r="T214" s="84">
        <f t="shared" si="236"/>
        <v>5087.3858287148314</v>
      </c>
      <c r="U214" s="84">
        <f t="shared" si="236"/>
        <v>5044.8395529406253</v>
      </c>
      <c r="V214" s="84">
        <f t="shared" si="236"/>
        <v>5003.1945426668426</v>
      </c>
      <c r="W214" s="84">
        <f t="shared" ref="W214:Y214" si="241">IF(W23=0,0,W23*1000000/W77)</f>
        <v>5046.2535536922078</v>
      </c>
      <c r="X214" s="84">
        <f t="shared" si="241"/>
        <v>5092.08174009292</v>
      </c>
      <c r="Y214" s="84">
        <f t="shared" si="241"/>
        <v>5144.3998223319104</v>
      </c>
      <c r="DA214" s="171" t="s">
        <v>622</v>
      </c>
    </row>
    <row r="215" spans="1:105" ht="11.45" customHeight="1" x14ac:dyDescent="0.25">
      <c r="A215" s="111" t="s">
        <v>113</v>
      </c>
      <c r="B215" s="84">
        <f t="shared" si="236"/>
        <v>0</v>
      </c>
      <c r="C215" s="84">
        <f t="shared" si="236"/>
        <v>0</v>
      </c>
      <c r="D215" s="84">
        <f t="shared" si="236"/>
        <v>0</v>
      </c>
      <c r="E215" s="84">
        <f t="shared" si="236"/>
        <v>0</v>
      </c>
      <c r="F215" s="84">
        <f t="shared" si="236"/>
        <v>0</v>
      </c>
      <c r="G215" s="84">
        <f t="shared" si="236"/>
        <v>0</v>
      </c>
      <c r="H215" s="84">
        <f t="shared" si="236"/>
        <v>0</v>
      </c>
      <c r="I215" s="84">
        <f t="shared" si="236"/>
        <v>0</v>
      </c>
      <c r="J215" s="84">
        <f t="shared" si="236"/>
        <v>0</v>
      </c>
      <c r="K215" s="84">
        <f t="shared" si="236"/>
        <v>0</v>
      </c>
      <c r="L215" s="84">
        <f t="shared" si="236"/>
        <v>0</v>
      </c>
      <c r="M215" s="84">
        <f t="shared" si="235"/>
        <v>0</v>
      </c>
      <c r="N215" s="84">
        <f t="shared" si="236"/>
        <v>0</v>
      </c>
      <c r="O215" s="84">
        <f t="shared" si="236"/>
        <v>0</v>
      </c>
      <c r="P215" s="84">
        <f t="shared" si="236"/>
        <v>0</v>
      </c>
      <c r="Q215" s="84">
        <f t="shared" si="236"/>
        <v>0</v>
      </c>
      <c r="R215" s="84">
        <f t="shared" si="236"/>
        <v>0</v>
      </c>
      <c r="S215" s="84">
        <f t="shared" si="236"/>
        <v>0</v>
      </c>
      <c r="T215" s="84">
        <f t="shared" si="236"/>
        <v>0</v>
      </c>
      <c r="U215" s="84">
        <f t="shared" si="236"/>
        <v>0</v>
      </c>
      <c r="V215" s="84">
        <f t="shared" si="236"/>
        <v>0</v>
      </c>
      <c r="W215" s="84">
        <f t="shared" ref="W215:Y215" si="242">IF(W24=0,0,W24*1000000/W78)</f>
        <v>0</v>
      </c>
      <c r="X215" s="84">
        <f t="shared" si="242"/>
        <v>0</v>
      </c>
      <c r="Y215" s="84">
        <f t="shared" si="242"/>
        <v>0</v>
      </c>
      <c r="DA215" s="171" t="s">
        <v>623</v>
      </c>
    </row>
    <row r="216" spans="1:105" ht="11.45" customHeight="1" x14ac:dyDescent="0.25">
      <c r="A216" s="111" t="s">
        <v>115</v>
      </c>
      <c r="B216" s="84">
        <f t="shared" si="236"/>
        <v>0</v>
      </c>
      <c r="C216" s="84">
        <f t="shared" si="236"/>
        <v>0</v>
      </c>
      <c r="D216" s="84">
        <f t="shared" si="236"/>
        <v>0</v>
      </c>
      <c r="E216" s="84">
        <f t="shared" si="236"/>
        <v>0</v>
      </c>
      <c r="F216" s="84">
        <f t="shared" si="236"/>
        <v>0</v>
      </c>
      <c r="G216" s="84">
        <f t="shared" si="236"/>
        <v>0</v>
      </c>
      <c r="H216" s="84">
        <f t="shared" si="236"/>
        <v>0</v>
      </c>
      <c r="I216" s="84">
        <f t="shared" si="236"/>
        <v>0</v>
      </c>
      <c r="J216" s="84">
        <f t="shared" si="236"/>
        <v>0</v>
      </c>
      <c r="K216" s="84">
        <f t="shared" si="236"/>
        <v>0</v>
      </c>
      <c r="L216" s="84">
        <f t="shared" si="236"/>
        <v>0</v>
      </c>
      <c r="M216" s="84">
        <f t="shared" si="235"/>
        <v>6632.440547728168</v>
      </c>
      <c r="N216" s="84">
        <f t="shared" si="236"/>
        <v>6635.5017702859577</v>
      </c>
      <c r="O216" s="84">
        <f t="shared" si="236"/>
        <v>6638.2688501237681</v>
      </c>
      <c r="P216" s="84">
        <f t="shared" si="236"/>
        <v>6639.8323374502534</v>
      </c>
      <c r="Q216" s="84">
        <f t="shared" si="236"/>
        <v>6642.9023940090938</v>
      </c>
      <c r="R216" s="84">
        <f t="shared" si="236"/>
        <v>6640.2914207008052</v>
      </c>
      <c r="S216" s="84">
        <f t="shared" si="236"/>
        <v>6637.6289174555668</v>
      </c>
      <c r="T216" s="84">
        <f t="shared" si="236"/>
        <v>6634.9859988469179</v>
      </c>
      <c r="U216" s="84">
        <f t="shared" si="236"/>
        <v>6632.3330850685115</v>
      </c>
      <c r="V216" s="84">
        <f t="shared" si="236"/>
        <v>6593.1798564187948</v>
      </c>
      <c r="W216" s="84">
        <f t="shared" ref="W216:Y216" si="243">IF(W25=0,0,W25*1000000/W79)</f>
        <v>6632.2445764500389</v>
      </c>
      <c r="X216" s="84">
        <f t="shared" si="243"/>
        <v>6629.2570276990764</v>
      </c>
      <c r="Y216" s="84">
        <f t="shared" si="243"/>
        <v>6626.0309505175146</v>
      </c>
      <c r="DA216" s="171" t="s">
        <v>624</v>
      </c>
    </row>
    <row r="217" spans="1:105" ht="11.45" customHeight="1" x14ac:dyDescent="0.25">
      <c r="A217" s="109" t="s">
        <v>154</v>
      </c>
      <c r="B217" s="110">
        <f t="shared" si="236"/>
        <v>144975.16959762239</v>
      </c>
      <c r="C217" s="110">
        <f t="shared" si="236"/>
        <v>139205.95290048173</v>
      </c>
      <c r="D217" s="110">
        <f t="shared" si="236"/>
        <v>157982.87408315754</v>
      </c>
      <c r="E217" s="110">
        <f t="shared" si="236"/>
        <v>169634.6248356748</v>
      </c>
      <c r="F217" s="110">
        <f t="shared" si="236"/>
        <v>180273.93102166115</v>
      </c>
      <c r="G217" s="110">
        <f t="shared" si="236"/>
        <v>171627.59514712679</v>
      </c>
      <c r="H217" s="110">
        <f t="shared" si="236"/>
        <v>151292.32381175138</v>
      </c>
      <c r="I217" s="110">
        <f t="shared" si="236"/>
        <v>140323.8162891689</v>
      </c>
      <c r="J217" s="110">
        <f t="shared" si="236"/>
        <v>155205.98341117692</v>
      </c>
      <c r="K217" s="110">
        <f t="shared" si="236"/>
        <v>113850.64231678177</v>
      </c>
      <c r="L217" s="110">
        <f t="shared" si="236"/>
        <v>116493.84455821081</v>
      </c>
      <c r="M217" s="110">
        <f t="shared" si="235"/>
        <v>112690.9958216713</v>
      </c>
      <c r="N217" s="110">
        <f t="shared" si="236"/>
        <v>111967.29624183195</v>
      </c>
      <c r="O217" s="110">
        <f t="shared" si="236"/>
        <v>111338.60227684175</v>
      </c>
      <c r="P217" s="110">
        <f t="shared" si="236"/>
        <v>111013.93164409111</v>
      </c>
      <c r="Q217" s="110">
        <f t="shared" si="236"/>
        <v>106934.28936000705</v>
      </c>
      <c r="R217" s="110">
        <f t="shared" si="236"/>
        <v>120062.42644625535</v>
      </c>
      <c r="S217" s="110">
        <f t="shared" si="236"/>
        <v>114874.98785043813</v>
      </c>
      <c r="T217" s="110">
        <f t="shared" si="236"/>
        <v>115248.71756667588</v>
      </c>
      <c r="U217" s="110">
        <f t="shared" si="236"/>
        <v>122079.53125492214</v>
      </c>
      <c r="V217" s="110">
        <f t="shared" si="236"/>
        <v>103807.90425348717</v>
      </c>
      <c r="W217" s="110">
        <f t="shared" ref="W217:Y217" si="244">IF(W26=0,0,W26*1000000/W80)</f>
        <v>112314.75056701084</v>
      </c>
      <c r="X217" s="110">
        <f t="shared" si="244"/>
        <v>110914.16853017859</v>
      </c>
      <c r="Y217" s="110">
        <f t="shared" si="244"/>
        <v>112890.5492441641</v>
      </c>
      <c r="DA217" s="176" t="s">
        <v>625</v>
      </c>
    </row>
    <row r="218" spans="1:105" ht="11.45" customHeight="1" x14ac:dyDescent="0.25">
      <c r="A218" s="111" t="s">
        <v>27</v>
      </c>
      <c r="B218" s="163">
        <f t="shared" si="236"/>
        <v>128945.94385585029</v>
      </c>
      <c r="C218" s="163">
        <f t="shared" si="236"/>
        <v>124031.21855709353</v>
      </c>
      <c r="D218" s="163">
        <f t="shared" si="236"/>
        <v>142544.03443054116</v>
      </c>
      <c r="E218" s="163">
        <f t="shared" si="236"/>
        <v>154524.38598081231</v>
      </c>
      <c r="F218" s="163">
        <f t="shared" si="236"/>
        <v>163720.37709203077</v>
      </c>
      <c r="G218" s="163">
        <f t="shared" si="236"/>
        <v>156062.00962064308</v>
      </c>
      <c r="H218" s="163">
        <f t="shared" si="236"/>
        <v>136752.81276570505</v>
      </c>
      <c r="I218" s="163">
        <f t="shared" si="236"/>
        <v>126266.78101972591</v>
      </c>
      <c r="J218" s="163">
        <f t="shared" si="236"/>
        <v>140633.77967197818</v>
      </c>
      <c r="K218" s="163">
        <f t="shared" si="236"/>
        <v>99576.719576719581</v>
      </c>
      <c r="L218" s="163">
        <f t="shared" si="236"/>
        <v>100629.16177046612</v>
      </c>
      <c r="M218" s="163">
        <f t="shared" si="235"/>
        <v>94752.46394459455</v>
      </c>
      <c r="N218" s="163">
        <f t="shared" si="236"/>
        <v>95631.549775067993</v>
      </c>
      <c r="O218" s="163">
        <f t="shared" si="236"/>
        <v>95312.31425590087</v>
      </c>
      <c r="P218" s="163">
        <f t="shared" si="236"/>
        <v>96195.387516076269</v>
      </c>
      <c r="Q218" s="163">
        <f t="shared" si="236"/>
        <v>91307.008048195043</v>
      </c>
      <c r="R218" s="163">
        <f t="shared" si="236"/>
        <v>106561.80033296974</v>
      </c>
      <c r="S218" s="163">
        <f t="shared" si="236"/>
        <v>102157.95815532916</v>
      </c>
      <c r="T218" s="163">
        <f t="shared" si="236"/>
        <v>101332.26981697459</v>
      </c>
      <c r="U218" s="163">
        <f t="shared" si="236"/>
        <v>106547.07373713702</v>
      </c>
      <c r="V218" s="163">
        <f t="shared" si="236"/>
        <v>98025.212357301309</v>
      </c>
      <c r="W218" s="163">
        <f t="shared" ref="W218:Y218" si="245">IF(W27=0,0,W27*1000000/W81)</f>
        <v>106589.20781668072</v>
      </c>
      <c r="X218" s="163">
        <f t="shared" si="245"/>
        <v>105457.21950057482</v>
      </c>
      <c r="Y218" s="163">
        <f t="shared" si="245"/>
        <v>107212.85569157833</v>
      </c>
      <c r="DA218" s="207" t="s">
        <v>626</v>
      </c>
    </row>
    <row r="219" spans="1:105" ht="11.45" customHeight="1" x14ac:dyDescent="0.25">
      <c r="A219" s="138" t="s">
        <v>116</v>
      </c>
      <c r="B219" s="86">
        <f t="shared" si="236"/>
        <v>1212297.0957915222</v>
      </c>
      <c r="C219" s="86">
        <f t="shared" si="236"/>
        <v>1211291.4591625642</v>
      </c>
      <c r="D219" s="86">
        <f t="shared" si="236"/>
        <v>1218445.2159885087</v>
      </c>
      <c r="E219" s="86">
        <f t="shared" si="236"/>
        <v>1211660.9805794384</v>
      </c>
      <c r="F219" s="86">
        <f t="shared" si="236"/>
        <v>1189528.110675402</v>
      </c>
      <c r="G219" s="86">
        <f t="shared" si="236"/>
        <v>1190371.8592723373</v>
      </c>
      <c r="H219" s="86">
        <f t="shared" si="236"/>
        <v>1197247.7891484525</v>
      </c>
      <c r="I219" s="86">
        <f t="shared" si="236"/>
        <v>1199849.6685966714</v>
      </c>
      <c r="J219" s="86">
        <f t="shared" si="236"/>
        <v>1183249.3441385089</v>
      </c>
      <c r="K219" s="86">
        <f t="shared" si="236"/>
        <v>1166753.6163343792</v>
      </c>
      <c r="L219" s="86">
        <f t="shared" si="236"/>
        <v>1204723.168678774</v>
      </c>
      <c r="M219" s="86">
        <f t="shared" si="235"/>
        <v>1201390.0239918798</v>
      </c>
      <c r="N219" s="86">
        <f t="shared" si="236"/>
        <v>1196993.7304413868</v>
      </c>
      <c r="O219" s="86">
        <f t="shared" si="236"/>
        <v>1198555.6630092899</v>
      </c>
      <c r="P219" s="86">
        <f t="shared" si="236"/>
        <v>1201797.7033171821</v>
      </c>
      <c r="Q219" s="86">
        <f t="shared" si="236"/>
        <v>1190238.8441139059</v>
      </c>
      <c r="R219" s="86">
        <f t="shared" si="236"/>
        <v>1184168.3371581202</v>
      </c>
      <c r="S219" s="86">
        <f t="shared" si="236"/>
        <v>1190813.4872633182</v>
      </c>
      <c r="T219" s="86">
        <f t="shared" si="236"/>
        <v>1202020.2020202021</v>
      </c>
      <c r="U219" s="86">
        <f t="shared" si="236"/>
        <v>1194996.3208241353</v>
      </c>
      <c r="V219" s="86">
        <f t="shared" si="236"/>
        <v>1179074.4466800804</v>
      </c>
      <c r="W219" s="86">
        <f t="shared" ref="W219:Y219" si="246">IF(W28=0,0,W28*1000000/W82)</f>
        <v>1194881.8897637795</v>
      </c>
      <c r="X219" s="86">
        <f t="shared" si="246"/>
        <v>1190573.7704918033</v>
      </c>
      <c r="Y219" s="86">
        <f t="shared" si="246"/>
        <v>1176923.076923077</v>
      </c>
      <c r="DA219" s="178" t="s">
        <v>627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DA221" s="183"/>
    </row>
    <row r="222" spans="1:105" ht="11.45" customHeight="1" x14ac:dyDescent="0.25">
      <c r="A222" s="27" t="s">
        <v>38</v>
      </c>
      <c r="B222" s="46">
        <f t="shared" ref="B222:K222" si="247">IF(B4=0,0,B4/B$4)</f>
        <v>1</v>
      </c>
      <c r="C222" s="46">
        <f t="shared" si="247"/>
        <v>1</v>
      </c>
      <c r="D222" s="46">
        <f t="shared" si="247"/>
        <v>1</v>
      </c>
      <c r="E222" s="46">
        <f t="shared" si="247"/>
        <v>1</v>
      </c>
      <c r="F222" s="46">
        <f t="shared" si="247"/>
        <v>1</v>
      </c>
      <c r="G222" s="46">
        <f t="shared" si="247"/>
        <v>1</v>
      </c>
      <c r="H222" s="46">
        <f t="shared" si="247"/>
        <v>1</v>
      </c>
      <c r="I222" s="46">
        <f t="shared" si="247"/>
        <v>1</v>
      </c>
      <c r="J222" s="46">
        <f t="shared" si="247"/>
        <v>1</v>
      </c>
      <c r="K222" s="46">
        <f t="shared" si="247"/>
        <v>1</v>
      </c>
      <c r="L222" s="46">
        <f t="shared" ref="L222" si="248">IF(L4=0,0,L4/L$4)</f>
        <v>1</v>
      </c>
      <c r="M222" s="46">
        <f t="shared" ref="M222:V222" si="249">IF(M4=0,0,M4/M$4)</f>
        <v>1</v>
      </c>
      <c r="N222" s="46">
        <f t="shared" si="249"/>
        <v>1</v>
      </c>
      <c r="O222" s="46">
        <f t="shared" si="249"/>
        <v>1</v>
      </c>
      <c r="P222" s="46">
        <f t="shared" si="249"/>
        <v>1</v>
      </c>
      <c r="Q222" s="46">
        <f t="shared" si="249"/>
        <v>1</v>
      </c>
      <c r="R222" s="46">
        <f t="shared" si="249"/>
        <v>1</v>
      </c>
      <c r="S222" s="46">
        <f t="shared" si="249"/>
        <v>1</v>
      </c>
      <c r="T222" s="46">
        <f t="shared" si="249"/>
        <v>1</v>
      </c>
      <c r="U222" s="46">
        <f t="shared" si="249"/>
        <v>1</v>
      </c>
      <c r="V222" s="46">
        <f t="shared" si="249"/>
        <v>1</v>
      </c>
      <c r="W222" s="46">
        <f t="shared" ref="W222:Y222" si="250">IF(W4=0,0,W4/W$4)</f>
        <v>1</v>
      </c>
      <c r="X222" s="46">
        <f t="shared" si="250"/>
        <v>1</v>
      </c>
      <c r="Y222" s="46">
        <f t="shared" si="250"/>
        <v>1</v>
      </c>
      <c r="DA222" s="211"/>
    </row>
    <row r="223" spans="1:105" ht="11.45" customHeight="1" x14ac:dyDescent="0.25">
      <c r="A223" s="153" t="s">
        <v>173</v>
      </c>
      <c r="B223" s="154">
        <f t="shared" ref="B223:K223" si="251">IF(B5=0,0,B5/B$4)</f>
        <v>2.8744484294669467E-3</v>
      </c>
      <c r="C223" s="154">
        <f t="shared" si="251"/>
        <v>2.9587071402641129E-3</v>
      </c>
      <c r="D223" s="154">
        <f t="shared" si="251"/>
        <v>2.8770051543507169E-3</v>
      </c>
      <c r="E223" s="154">
        <f t="shared" si="251"/>
        <v>2.9330143623317296E-3</v>
      </c>
      <c r="F223" s="154">
        <f t="shared" si="251"/>
        <v>2.6671306136351481E-3</v>
      </c>
      <c r="G223" s="154">
        <f t="shared" si="251"/>
        <v>3.1519875844729403E-3</v>
      </c>
      <c r="H223" s="154">
        <f t="shared" si="251"/>
        <v>3.0101246321127192E-3</v>
      </c>
      <c r="I223" s="154">
        <f t="shared" si="251"/>
        <v>2.9269102652724147E-3</v>
      </c>
      <c r="J223" s="154">
        <f t="shared" si="251"/>
        <v>3.0572084800119057E-3</v>
      </c>
      <c r="K223" s="154">
        <f t="shared" si="251"/>
        <v>2.7943478087165212E-3</v>
      </c>
      <c r="L223" s="154">
        <f t="shared" ref="L223" si="252">IF(L5=0,0,L5/L$4)</f>
        <v>2.4973461092428731E-3</v>
      </c>
      <c r="M223" s="154">
        <f t="shared" ref="M223:V223" si="253">IF(M5=0,0,M5/M$4)</f>
        <v>2.3199164155703091E-3</v>
      </c>
      <c r="N223" s="154">
        <f t="shared" si="253"/>
        <v>2.1217744564296023E-3</v>
      </c>
      <c r="O223" s="154">
        <f t="shared" si="253"/>
        <v>2.0542495466615365E-3</v>
      </c>
      <c r="P223" s="154">
        <f t="shared" si="253"/>
        <v>2.3988593239864025E-3</v>
      </c>
      <c r="Q223" s="154">
        <f t="shared" si="253"/>
        <v>2.1074976425059172E-3</v>
      </c>
      <c r="R223" s="154">
        <f t="shared" si="253"/>
        <v>2.0708267147426483E-3</v>
      </c>
      <c r="S223" s="154">
        <f t="shared" si="253"/>
        <v>1.9011274895268451E-3</v>
      </c>
      <c r="T223" s="154">
        <f t="shared" si="253"/>
        <v>1.771752871009236E-3</v>
      </c>
      <c r="U223" s="154">
        <f t="shared" si="253"/>
        <v>1.8509223574684926E-3</v>
      </c>
      <c r="V223" s="154">
        <f t="shared" si="253"/>
        <v>1.9933258338384512E-3</v>
      </c>
      <c r="W223" s="154">
        <f t="shared" ref="W223:Y223" si="254">IF(W5=0,0,W5/W$4)</f>
        <v>1.9565515670027546E-3</v>
      </c>
      <c r="X223" s="154">
        <f t="shared" si="254"/>
        <v>1.8111528043882215E-3</v>
      </c>
      <c r="Y223" s="154">
        <f t="shared" si="254"/>
        <v>1.8128479576628909E-3</v>
      </c>
      <c r="DA223" s="212"/>
    </row>
    <row r="224" spans="1:105" ht="11.45" customHeight="1" x14ac:dyDescent="0.25">
      <c r="A224" s="155" t="s">
        <v>20</v>
      </c>
      <c r="B224" s="156">
        <f t="shared" ref="B224:K224" si="255">IF(B6=0,0,B6/B$4)</f>
        <v>0.83010644601919137</v>
      </c>
      <c r="C224" s="156">
        <f t="shared" si="255"/>
        <v>0.83090952616479408</v>
      </c>
      <c r="D224" s="156">
        <f t="shared" si="255"/>
        <v>0.83638066985481574</v>
      </c>
      <c r="E224" s="156">
        <f t="shared" si="255"/>
        <v>0.83885964595856766</v>
      </c>
      <c r="F224" s="156">
        <f t="shared" si="255"/>
        <v>0.84205111380041464</v>
      </c>
      <c r="G224" s="156">
        <f t="shared" si="255"/>
        <v>0.84596605250656243</v>
      </c>
      <c r="H224" s="156">
        <f t="shared" si="255"/>
        <v>0.84888296308677635</v>
      </c>
      <c r="I224" s="156">
        <f t="shared" si="255"/>
        <v>0.85003469611207205</v>
      </c>
      <c r="J224" s="156">
        <f t="shared" si="255"/>
        <v>0.84827588401262144</v>
      </c>
      <c r="K224" s="156">
        <f t="shared" si="255"/>
        <v>0.84283291506815328</v>
      </c>
      <c r="L224" s="156">
        <f t="shared" ref="L224" si="256">IF(L6=0,0,L6/L$4)</f>
        <v>0.84826634776991727</v>
      </c>
      <c r="M224" s="156">
        <f t="shared" ref="M224:V224" si="257">IF(M6=0,0,M6/M$4)</f>
        <v>0.84798500798190157</v>
      </c>
      <c r="N224" s="156">
        <f t="shared" si="257"/>
        <v>0.85006278564697091</v>
      </c>
      <c r="O224" s="156">
        <f t="shared" si="257"/>
        <v>0.85347806930944892</v>
      </c>
      <c r="P224" s="156">
        <f t="shared" si="257"/>
        <v>0.84677198402181753</v>
      </c>
      <c r="Q224" s="156">
        <f t="shared" si="257"/>
        <v>0.85729900030178141</v>
      </c>
      <c r="R224" s="156">
        <f t="shared" si="257"/>
        <v>0.85799037889679208</v>
      </c>
      <c r="S224" s="156">
        <f t="shared" si="257"/>
        <v>0.85042964677082544</v>
      </c>
      <c r="T224" s="156">
        <f t="shared" si="257"/>
        <v>0.84333248052743404</v>
      </c>
      <c r="U224" s="156">
        <f t="shared" si="257"/>
        <v>0.84476276792585958</v>
      </c>
      <c r="V224" s="156">
        <f t="shared" si="257"/>
        <v>0.87163272898149158</v>
      </c>
      <c r="W224" s="156">
        <f t="shared" ref="W224:Y224" si="258">IF(W6=0,0,W6/W$4)</f>
        <v>0.86694520424201915</v>
      </c>
      <c r="X224" s="156">
        <f t="shared" si="258"/>
        <v>0.83514116219063994</v>
      </c>
      <c r="Y224" s="156">
        <f t="shared" si="258"/>
        <v>0.81734084952440256</v>
      </c>
      <c r="DA224" s="213"/>
    </row>
    <row r="225" spans="1:105" ht="11.45" customHeight="1" x14ac:dyDescent="0.25">
      <c r="A225" s="157" t="s">
        <v>110</v>
      </c>
      <c r="B225" s="103">
        <f t="shared" ref="B225:K225" si="259">IF(B7=0,0,B7/B$4)</f>
        <v>0.71024587623046587</v>
      </c>
      <c r="C225" s="103">
        <f t="shared" si="259"/>
        <v>0.71243434920029536</v>
      </c>
      <c r="D225" s="103">
        <f t="shared" si="259"/>
        <v>0.71492138015847273</v>
      </c>
      <c r="E225" s="103">
        <f t="shared" si="259"/>
        <v>0.7131307477219051</v>
      </c>
      <c r="F225" s="103">
        <f t="shared" si="259"/>
        <v>0.70696475649664581</v>
      </c>
      <c r="G225" s="103">
        <f t="shared" si="259"/>
        <v>0.68943344606703338</v>
      </c>
      <c r="H225" s="103">
        <f t="shared" si="259"/>
        <v>0.68729953032201407</v>
      </c>
      <c r="I225" s="103">
        <f t="shared" si="259"/>
        <v>0.68044159813655503</v>
      </c>
      <c r="J225" s="103">
        <f t="shared" si="259"/>
        <v>0.65058418836077925</v>
      </c>
      <c r="K225" s="103">
        <f t="shared" si="259"/>
        <v>0.61571847049695116</v>
      </c>
      <c r="L225" s="103">
        <f t="shared" ref="L225" si="260">IF(L7=0,0,L7/L$4)</f>
        <v>0.58250023944793461</v>
      </c>
      <c r="M225" s="103">
        <f t="shared" ref="M225:V225" si="261">IF(M7=0,0,M7/M$4)</f>
        <v>0.53341691228080457</v>
      </c>
      <c r="N225" s="103">
        <f t="shared" si="261"/>
        <v>0.51163074153241406</v>
      </c>
      <c r="O225" s="103">
        <f t="shared" si="261"/>
        <v>0.47574441260522027</v>
      </c>
      <c r="P225" s="103">
        <f t="shared" si="261"/>
        <v>0.4460608857996094</v>
      </c>
      <c r="Q225" s="103">
        <f t="shared" si="261"/>
        <v>0.40548238614779841</v>
      </c>
      <c r="R225" s="103">
        <f t="shared" si="261"/>
        <v>0.36719065516877053</v>
      </c>
      <c r="S225" s="103">
        <f t="shared" si="261"/>
        <v>0.33669237115540956</v>
      </c>
      <c r="T225" s="103">
        <f t="shared" si="261"/>
        <v>0.31440551751539936</v>
      </c>
      <c r="U225" s="103">
        <f t="shared" si="261"/>
        <v>0.30228281716238009</v>
      </c>
      <c r="V225" s="103">
        <f t="shared" si="261"/>
        <v>0.28622296934816599</v>
      </c>
      <c r="W225" s="103">
        <f t="shared" ref="W225:Y225" si="262">IF(W7=0,0,W7/W$4)</f>
        <v>0.28074993798304881</v>
      </c>
      <c r="X225" s="103">
        <f t="shared" si="262"/>
        <v>0.28243987668796</v>
      </c>
      <c r="Y225" s="103">
        <f t="shared" si="262"/>
        <v>0.28932602811588509</v>
      </c>
      <c r="DA225" s="191"/>
    </row>
    <row r="226" spans="1:105" ht="11.45" customHeight="1" x14ac:dyDescent="0.25">
      <c r="A226" s="157" t="s">
        <v>111</v>
      </c>
      <c r="B226" s="103">
        <f t="shared" ref="B226:K226" si="263">IF(B8=0,0,B8/B$4)</f>
        <v>0.11888261358814331</v>
      </c>
      <c r="C226" s="103">
        <f t="shared" si="263"/>
        <v>0.11778812426383925</v>
      </c>
      <c r="D226" s="103">
        <f t="shared" si="263"/>
        <v>0.12088845346399983</v>
      </c>
      <c r="E226" s="103">
        <f t="shared" si="263"/>
        <v>0.12526150635107292</v>
      </c>
      <c r="F226" s="103">
        <f t="shared" si="263"/>
        <v>0.13465717107864758</v>
      </c>
      <c r="G226" s="103">
        <f t="shared" si="263"/>
        <v>0.15614254478284809</v>
      </c>
      <c r="H226" s="103">
        <f t="shared" si="263"/>
        <v>0.16127948401486605</v>
      </c>
      <c r="I226" s="103">
        <f t="shared" si="263"/>
        <v>0.16918456077334912</v>
      </c>
      <c r="J226" s="103">
        <f t="shared" si="263"/>
        <v>0.19739869805799926</v>
      </c>
      <c r="K226" s="103">
        <f t="shared" si="263"/>
        <v>0.2269067571637432</v>
      </c>
      <c r="L226" s="103">
        <f t="shared" ref="L226" si="264">IF(L8=0,0,L8/L$4)</f>
        <v>0.26557497219763393</v>
      </c>
      <c r="M226" s="103">
        <f t="shared" ref="M226:V226" si="265">IF(M8=0,0,M8/M$4)</f>
        <v>0.31413523697820167</v>
      </c>
      <c r="N226" s="103">
        <f t="shared" si="265"/>
        <v>0.33774213314895418</v>
      </c>
      <c r="O226" s="103">
        <f t="shared" si="265"/>
        <v>0.37711374336574049</v>
      </c>
      <c r="P226" s="103">
        <f t="shared" si="265"/>
        <v>0.39960818101130235</v>
      </c>
      <c r="Q226" s="103">
        <f t="shared" si="265"/>
        <v>0.45044772441946618</v>
      </c>
      <c r="R226" s="103">
        <f t="shared" si="265"/>
        <v>0.48916166393996835</v>
      </c>
      <c r="S226" s="103">
        <f t="shared" si="265"/>
        <v>0.51180414311098188</v>
      </c>
      <c r="T226" s="103">
        <f t="shared" si="265"/>
        <v>0.52620740906096408</v>
      </c>
      <c r="U226" s="103">
        <f t="shared" si="265"/>
        <v>0.5381157410988725</v>
      </c>
      <c r="V226" s="103">
        <f t="shared" si="265"/>
        <v>0.57873384491816149</v>
      </c>
      <c r="W226" s="103">
        <f t="shared" ref="W226:Y226" si="266">IF(W8=0,0,W8/W$4)</f>
        <v>0.57268722232805813</v>
      </c>
      <c r="X226" s="103">
        <f t="shared" si="266"/>
        <v>0.53250649418547025</v>
      </c>
      <c r="Y226" s="103">
        <f t="shared" si="266"/>
        <v>0.49841554328582982</v>
      </c>
      <c r="DA226" s="191"/>
    </row>
    <row r="227" spans="1:105" ht="11.45" customHeight="1" x14ac:dyDescent="0.25">
      <c r="A227" s="157" t="s">
        <v>112</v>
      </c>
      <c r="B227" s="103">
        <f t="shared" ref="B227:K227" si="267">IF(B9=0,0,B9/B$4)</f>
        <v>9.7795620058207101E-4</v>
      </c>
      <c r="C227" s="103">
        <f t="shared" si="267"/>
        <v>6.8705270065946595E-4</v>
      </c>
      <c r="D227" s="103">
        <f t="shared" si="267"/>
        <v>5.7083623234320438E-4</v>
      </c>
      <c r="E227" s="103">
        <f t="shared" si="267"/>
        <v>4.6739188558955866E-4</v>
      </c>
      <c r="F227" s="103">
        <f t="shared" si="267"/>
        <v>4.2918622512119991E-4</v>
      </c>
      <c r="G227" s="103">
        <f t="shared" si="267"/>
        <v>3.9006165668094669E-4</v>
      </c>
      <c r="H227" s="103">
        <f t="shared" si="267"/>
        <v>3.0394874989621247E-4</v>
      </c>
      <c r="I227" s="103">
        <f t="shared" si="267"/>
        <v>4.0853720216793489E-4</v>
      </c>
      <c r="J227" s="103">
        <f t="shared" si="267"/>
        <v>2.9299759384291243E-4</v>
      </c>
      <c r="K227" s="103">
        <f t="shared" si="267"/>
        <v>2.0695096670981464E-4</v>
      </c>
      <c r="L227" s="103">
        <f t="shared" ref="L227" si="268">IF(L9=0,0,L9/L$4)</f>
        <v>1.8403912014471258E-4</v>
      </c>
      <c r="M227" s="103">
        <f t="shared" ref="M227:V227" si="269">IF(M9=0,0,M9/M$4)</f>
        <v>2.0458794374869096E-4</v>
      </c>
      <c r="N227" s="103">
        <f t="shared" si="269"/>
        <v>3.8532040456440501E-4</v>
      </c>
      <c r="O227" s="103">
        <f t="shared" si="269"/>
        <v>5.093991179191315E-4</v>
      </c>
      <c r="P227" s="103">
        <f t="shared" si="269"/>
        <v>8.7014685192731453E-4</v>
      </c>
      <c r="Q227" s="103">
        <f t="shared" si="269"/>
        <v>9.4361643260752997E-4</v>
      </c>
      <c r="R227" s="103">
        <f t="shared" si="269"/>
        <v>8.9091225433108061E-4</v>
      </c>
      <c r="S227" s="103">
        <f t="shared" si="269"/>
        <v>7.5149368304518096E-4</v>
      </c>
      <c r="T227" s="103">
        <f t="shared" si="269"/>
        <v>6.3542174560470314E-4</v>
      </c>
      <c r="U227" s="103">
        <f t="shared" si="269"/>
        <v>5.5475133744735904E-4</v>
      </c>
      <c r="V227" s="103">
        <f t="shared" si="269"/>
        <v>5.7150622175898525E-4</v>
      </c>
      <c r="W227" s="103">
        <f t="shared" ref="W227:Y227" si="270">IF(W9=0,0,W9/W$4)</f>
        <v>5.3506733156974493E-4</v>
      </c>
      <c r="X227" s="103">
        <f t="shared" si="270"/>
        <v>5.2379810935885304E-4</v>
      </c>
      <c r="Y227" s="103">
        <f t="shared" si="270"/>
        <v>4.3780775912241301E-4</v>
      </c>
      <c r="DA227" s="191"/>
    </row>
    <row r="228" spans="1:105" ht="11.45" customHeight="1" x14ac:dyDescent="0.25">
      <c r="A228" s="157" t="s">
        <v>113</v>
      </c>
      <c r="B228" s="103">
        <f t="shared" ref="B228:K228" si="271">IF(B10=0,0,B10/B$4)</f>
        <v>0</v>
      </c>
      <c r="C228" s="103">
        <f t="shared" si="271"/>
        <v>0</v>
      </c>
      <c r="D228" s="103">
        <f t="shared" si="271"/>
        <v>0</v>
      </c>
      <c r="E228" s="103">
        <f t="shared" si="271"/>
        <v>0</v>
      </c>
      <c r="F228" s="103">
        <f t="shared" si="271"/>
        <v>0</v>
      </c>
      <c r="G228" s="103">
        <f t="shared" si="271"/>
        <v>0</v>
      </c>
      <c r="H228" s="103">
        <f t="shared" si="271"/>
        <v>0</v>
      </c>
      <c r="I228" s="103">
        <f t="shared" si="271"/>
        <v>0</v>
      </c>
      <c r="J228" s="103">
        <f t="shared" si="271"/>
        <v>0</v>
      </c>
      <c r="K228" s="103">
        <f t="shared" si="271"/>
        <v>0</v>
      </c>
      <c r="L228" s="103">
        <f t="shared" ref="L228" si="272">IF(L10=0,0,L10/L$4)</f>
        <v>0</v>
      </c>
      <c r="M228" s="103">
        <f t="shared" ref="M228:V228" si="273">IF(M10=0,0,M10/M$4)</f>
        <v>0</v>
      </c>
      <c r="N228" s="103">
        <f t="shared" si="273"/>
        <v>0</v>
      </c>
      <c r="O228" s="103">
        <f t="shared" si="273"/>
        <v>0</v>
      </c>
      <c r="P228" s="103">
        <f t="shared" si="273"/>
        <v>3.7676461629842481E-6</v>
      </c>
      <c r="Q228" s="103">
        <f t="shared" si="273"/>
        <v>6.3347676594631377E-6</v>
      </c>
      <c r="R228" s="103">
        <f t="shared" si="273"/>
        <v>6.115055317665472E-6</v>
      </c>
      <c r="S228" s="103">
        <f t="shared" si="273"/>
        <v>5.723005109047864E-6</v>
      </c>
      <c r="T228" s="103">
        <f t="shared" si="273"/>
        <v>4.9745700298545607E-6</v>
      </c>
      <c r="U228" s="103">
        <f t="shared" si="273"/>
        <v>4.6020966689637623E-6</v>
      </c>
      <c r="V228" s="103">
        <f t="shared" si="273"/>
        <v>4.6155200868334105E-6</v>
      </c>
      <c r="W228" s="103">
        <f t="shared" ref="W228:Y228" si="274">IF(W10=0,0,W10/W$4)</f>
        <v>4.0877583972591758E-6</v>
      </c>
      <c r="X228" s="103">
        <f t="shared" si="274"/>
        <v>5.1021305713345906E-5</v>
      </c>
      <c r="Y228" s="103">
        <f t="shared" si="274"/>
        <v>4.3454909453753294E-5</v>
      </c>
      <c r="DA228" s="191"/>
    </row>
    <row r="229" spans="1:105" ht="11.45" customHeight="1" x14ac:dyDescent="0.25">
      <c r="A229" s="157" t="s">
        <v>114</v>
      </c>
      <c r="B229" s="103">
        <f t="shared" ref="B229:K229" si="275">IF(B11=0,0,B11/B$4)</f>
        <v>0</v>
      </c>
      <c r="C229" s="103">
        <f t="shared" si="275"/>
        <v>0</v>
      </c>
      <c r="D229" s="103">
        <f t="shared" si="275"/>
        <v>0</v>
      </c>
      <c r="E229" s="103">
        <f t="shared" si="275"/>
        <v>0</v>
      </c>
      <c r="F229" s="103">
        <f t="shared" si="275"/>
        <v>0</v>
      </c>
      <c r="G229" s="103">
        <f t="shared" si="275"/>
        <v>0</v>
      </c>
      <c r="H229" s="103">
        <f t="shared" si="275"/>
        <v>0</v>
      </c>
      <c r="I229" s="103">
        <f t="shared" si="275"/>
        <v>0</v>
      </c>
      <c r="J229" s="103">
        <f t="shared" si="275"/>
        <v>0</v>
      </c>
      <c r="K229" s="103">
        <f t="shared" si="275"/>
        <v>0</v>
      </c>
      <c r="L229" s="103">
        <f t="shared" ref="L229" si="276">IF(L11=0,0,L11/L$4)</f>
        <v>0</v>
      </c>
      <c r="M229" s="103">
        <f t="shared" ref="M229:V229" si="277">IF(M11=0,0,M11/M$4)</f>
        <v>0</v>
      </c>
      <c r="N229" s="103">
        <f t="shared" si="277"/>
        <v>0</v>
      </c>
      <c r="O229" s="103">
        <f t="shared" si="277"/>
        <v>2.6604549604679602E-6</v>
      </c>
      <c r="P229" s="103">
        <f t="shared" si="277"/>
        <v>1.2645980672852173E-5</v>
      </c>
      <c r="Q229" s="103">
        <f t="shared" si="277"/>
        <v>4.6511586865343067E-5</v>
      </c>
      <c r="R229" s="103">
        <f t="shared" si="277"/>
        <v>1.4654050704778282E-4</v>
      </c>
      <c r="S229" s="103">
        <f t="shared" si="277"/>
        <v>2.4734558832447735E-4</v>
      </c>
      <c r="T229" s="103">
        <f t="shared" si="277"/>
        <v>5.3717803404729626E-4</v>
      </c>
      <c r="U229" s="103">
        <f t="shared" si="277"/>
        <v>9.5930653863651131E-4</v>
      </c>
      <c r="V229" s="103">
        <f t="shared" si="277"/>
        <v>1.7909332548822837E-3</v>
      </c>
      <c r="W229" s="103">
        <f t="shared" ref="W229:Y229" si="278">IF(W11=0,0,W11/W$4)</f>
        <v>5.54341955541206E-3</v>
      </c>
      <c r="X229" s="103">
        <f t="shared" si="278"/>
        <v>7.9128182003806342E-3</v>
      </c>
      <c r="Y229" s="103">
        <f t="shared" si="278"/>
        <v>1.1022422992069595E-2</v>
      </c>
      <c r="DA229" s="191"/>
    </row>
    <row r="230" spans="1:105" ht="11.45" customHeight="1" x14ac:dyDescent="0.25">
      <c r="A230" s="157" t="s">
        <v>115</v>
      </c>
      <c r="B230" s="103">
        <f t="shared" ref="B230:K230" si="279">IF(B12=0,0,B12/B$4)</f>
        <v>0</v>
      </c>
      <c r="C230" s="103">
        <f t="shared" si="279"/>
        <v>0</v>
      </c>
      <c r="D230" s="103">
        <f t="shared" si="279"/>
        <v>0</v>
      </c>
      <c r="E230" s="103">
        <f t="shared" si="279"/>
        <v>0</v>
      </c>
      <c r="F230" s="103">
        <f t="shared" si="279"/>
        <v>0</v>
      </c>
      <c r="G230" s="103">
        <f t="shared" si="279"/>
        <v>0</v>
      </c>
      <c r="H230" s="103">
        <f t="shared" si="279"/>
        <v>0</v>
      </c>
      <c r="I230" s="103">
        <f t="shared" si="279"/>
        <v>0</v>
      </c>
      <c r="J230" s="103">
        <f t="shared" si="279"/>
        <v>0</v>
      </c>
      <c r="K230" s="103">
        <f t="shared" si="279"/>
        <v>7.3644074912517883E-7</v>
      </c>
      <c r="L230" s="103">
        <f t="shared" ref="L230" si="280">IF(L12=0,0,L12/L$4)</f>
        <v>7.0970042040511663E-6</v>
      </c>
      <c r="M230" s="103">
        <f t="shared" ref="M230:V230" si="281">IF(M12=0,0,M12/M$4)</f>
        <v>2.2827077914673501E-4</v>
      </c>
      <c r="N230" s="103">
        <f t="shared" si="281"/>
        <v>3.045905610382948E-4</v>
      </c>
      <c r="O230" s="103">
        <f t="shared" si="281"/>
        <v>1.0785376560856811E-4</v>
      </c>
      <c r="P230" s="103">
        <f t="shared" si="281"/>
        <v>2.1635673214264275E-4</v>
      </c>
      <c r="Q230" s="103">
        <f t="shared" si="281"/>
        <v>3.7242694738441525E-4</v>
      </c>
      <c r="R230" s="103">
        <f t="shared" si="281"/>
        <v>5.9449197135676124E-4</v>
      </c>
      <c r="S230" s="103">
        <f t="shared" si="281"/>
        <v>9.2857022795535358E-4</v>
      </c>
      <c r="T230" s="103">
        <f t="shared" si="281"/>
        <v>1.5419796013887547E-3</v>
      </c>
      <c r="U230" s="103">
        <f t="shared" si="281"/>
        <v>2.8455496918540091E-3</v>
      </c>
      <c r="V230" s="103">
        <f t="shared" si="281"/>
        <v>4.3088597184360406E-3</v>
      </c>
      <c r="W230" s="103">
        <f t="shared" ref="W230:Y230" si="282">IF(W12=0,0,W12/W$4)</f>
        <v>7.4254692855331159E-3</v>
      </c>
      <c r="X230" s="103">
        <f t="shared" si="282"/>
        <v>1.1707153701757022E-2</v>
      </c>
      <c r="Y230" s="103">
        <f t="shared" si="282"/>
        <v>1.8095592462041822E-2</v>
      </c>
      <c r="DA230" s="191"/>
    </row>
    <row r="231" spans="1:105" ht="11.45" customHeight="1" x14ac:dyDescent="0.25">
      <c r="A231" s="155" t="s">
        <v>21</v>
      </c>
      <c r="B231" s="156">
        <f t="shared" ref="B231:K231" si="283">IF(B13=0,0,B13/B$4)</f>
        <v>0.16701910555134167</v>
      </c>
      <c r="C231" s="156">
        <f t="shared" si="283"/>
        <v>0.16613176669494178</v>
      </c>
      <c r="D231" s="156">
        <f t="shared" si="283"/>
        <v>0.16074232499083346</v>
      </c>
      <c r="E231" s="156">
        <f t="shared" si="283"/>
        <v>0.15820733967910067</v>
      </c>
      <c r="F231" s="156">
        <f t="shared" si="283"/>
        <v>0.1552817555859502</v>
      </c>
      <c r="G231" s="156">
        <f t="shared" si="283"/>
        <v>0.15088195990896466</v>
      </c>
      <c r="H231" s="156">
        <f t="shared" si="283"/>
        <v>0.14810691228111095</v>
      </c>
      <c r="I231" s="156">
        <f t="shared" si="283"/>
        <v>0.14703839362265553</v>
      </c>
      <c r="J231" s="156">
        <f t="shared" si="283"/>
        <v>0.14866690750736664</v>
      </c>
      <c r="K231" s="156">
        <f t="shared" si="283"/>
        <v>0.15437273712313013</v>
      </c>
      <c r="L231" s="156">
        <f t="shared" ref="L231" si="284">IF(L13=0,0,L13/L$4)</f>
        <v>0.14923630612083988</v>
      </c>
      <c r="M231" s="156">
        <f t="shared" ref="M231:V231" si="285">IF(M13=0,0,M13/M$4)</f>
        <v>0.14969507560252815</v>
      </c>
      <c r="N231" s="156">
        <f t="shared" si="285"/>
        <v>0.14781543989659948</v>
      </c>
      <c r="O231" s="156">
        <f t="shared" si="285"/>
        <v>0.1444676811438895</v>
      </c>
      <c r="P231" s="156">
        <f t="shared" si="285"/>
        <v>0.15082915665419611</v>
      </c>
      <c r="Q231" s="156">
        <f t="shared" si="285"/>
        <v>0.1405935020557128</v>
      </c>
      <c r="R231" s="156">
        <f t="shared" si="285"/>
        <v>0.13993879438846532</v>
      </c>
      <c r="S231" s="156">
        <f t="shared" si="285"/>
        <v>0.14766922573964755</v>
      </c>
      <c r="T231" s="156">
        <f t="shared" si="285"/>
        <v>0.15489576660155663</v>
      </c>
      <c r="U231" s="156">
        <f t="shared" si="285"/>
        <v>0.15338630971667205</v>
      </c>
      <c r="V231" s="156">
        <f t="shared" si="285"/>
        <v>0.12637394518467007</v>
      </c>
      <c r="W231" s="156">
        <f t="shared" ref="W231:Y231" si="286">IF(W13=0,0,W13/W$4)</f>
        <v>0.13109824419097821</v>
      </c>
      <c r="X231" s="156">
        <f t="shared" si="286"/>
        <v>0.16304768500497169</v>
      </c>
      <c r="Y231" s="156">
        <f t="shared" si="286"/>
        <v>0.18084630251793468</v>
      </c>
      <c r="DA231" s="213"/>
    </row>
    <row r="232" spans="1:105" ht="11.45" customHeight="1" x14ac:dyDescent="0.25">
      <c r="A232" s="157" t="s">
        <v>110</v>
      </c>
      <c r="B232" s="103">
        <f t="shared" ref="B232:K232" si="287">IF(B14=0,0,B14/B$4)</f>
        <v>1.2950695938001343E-3</v>
      </c>
      <c r="C232" s="103">
        <f t="shared" si="287"/>
        <v>1.1304544307832616E-3</v>
      </c>
      <c r="D232" s="103">
        <f t="shared" si="287"/>
        <v>9.7662965568834749E-4</v>
      </c>
      <c r="E232" s="103">
        <f t="shared" si="287"/>
        <v>8.1741567753687995E-4</v>
      </c>
      <c r="F232" s="103">
        <f t="shared" si="287"/>
        <v>6.79202597598757E-4</v>
      </c>
      <c r="G232" s="103">
        <f t="shared" si="287"/>
        <v>5.5279650409685533E-4</v>
      </c>
      <c r="H232" s="103">
        <f t="shared" si="287"/>
        <v>4.3781515102204397E-4</v>
      </c>
      <c r="I232" s="103">
        <f t="shared" si="287"/>
        <v>3.6262476084733395E-4</v>
      </c>
      <c r="J232" s="103">
        <f t="shared" si="287"/>
        <v>2.9677433506533803E-4</v>
      </c>
      <c r="K232" s="103">
        <f t="shared" si="287"/>
        <v>2.5787360130033682E-4</v>
      </c>
      <c r="L232" s="103">
        <f t="shared" ref="L232" si="288">IF(L14=0,0,L14/L$4)</f>
        <v>2.0269393209157964E-4</v>
      </c>
      <c r="M232" s="103">
        <f t="shared" ref="M232:V232" si="289">IF(M14=0,0,M14/M$4)</f>
        <v>1.6582539665928946E-4</v>
      </c>
      <c r="N232" s="103">
        <f t="shared" si="289"/>
        <v>1.2564204215250921E-4</v>
      </c>
      <c r="O232" s="103">
        <f t="shared" si="289"/>
        <v>1.2265720724644744E-4</v>
      </c>
      <c r="P232" s="103">
        <f t="shared" si="289"/>
        <v>1.2598823449602094E-4</v>
      </c>
      <c r="Q232" s="103">
        <f t="shared" si="289"/>
        <v>9.9131988477981674E-5</v>
      </c>
      <c r="R232" s="103">
        <f t="shared" si="289"/>
        <v>7.7426785978183837E-5</v>
      </c>
      <c r="S232" s="103">
        <f t="shared" si="289"/>
        <v>9.4110725274670906E-5</v>
      </c>
      <c r="T232" s="103">
        <f t="shared" si="289"/>
        <v>6.2665390499196547E-5</v>
      </c>
      <c r="U232" s="103">
        <f t="shared" si="289"/>
        <v>7.4877691442933056E-5</v>
      </c>
      <c r="V232" s="103">
        <f t="shared" si="289"/>
        <v>6.8156532571317222E-5</v>
      </c>
      <c r="W232" s="103">
        <f t="shared" ref="W232:Y232" si="290">IF(W14=0,0,W14/W$4)</f>
        <v>6.3627848794566011E-5</v>
      </c>
      <c r="X232" s="103">
        <f t="shared" si="290"/>
        <v>2.0584389349697987E-4</v>
      </c>
      <c r="Y232" s="103">
        <f t="shared" si="290"/>
        <v>5.454677445639243E-4</v>
      </c>
      <c r="DA232" s="191"/>
    </row>
    <row r="233" spans="1:105" ht="11.45" customHeight="1" x14ac:dyDescent="0.25">
      <c r="A233" s="157" t="s">
        <v>111</v>
      </c>
      <c r="B233" s="103">
        <f t="shared" ref="B233:K233" si="291">IF(B15=0,0,B15/B$4)</f>
        <v>0.16572403595754151</v>
      </c>
      <c r="C233" s="103">
        <f t="shared" si="291"/>
        <v>0.16498940557364292</v>
      </c>
      <c r="D233" s="103">
        <f t="shared" si="291"/>
        <v>0.15975412475637571</v>
      </c>
      <c r="E233" s="103">
        <f t="shared" si="291"/>
        <v>0.15737891961774458</v>
      </c>
      <c r="F233" s="103">
        <f t="shared" si="291"/>
        <v>0.15459193455721768</v>
      </c>
      <c r="G233" s="103">
        <f t="shared" si="291"/>
        <v>0.15031904211264074</v>
      </c>
      <c r="H233" s="103">
        <f t="shared" si="291"/>
        <v>0.14765961867541647</v>
      </c>
      <c r="I233" s="103">
        <f t="shared" si="291"/>
        <v>0.14666675162761802</v>
      </c>
      <c r="J233" s="103">
        <f t="shared" si="291"/>
        <v>0.14835100447871333</v>
      </c>
      <c r="K233" s="103">
        <f t="shared" si="291"/>
        <v>0.15409484215713165</v>
      </c>
      <c r="L233" s="103">
        <f t="shared" ref="L233" si="292">IF(L15=0,0,L15/L$4)</f>
        <v>0.14901381787611187</v>
      </c>
      <c r="M233" s="103">
        <f t="shared" ref="M233:V233" si="293">IF(M15=0,0,M15/M$4)</f>
        <v>0.14950888909866802</v>
      </c>
      <c r="N233" s="103">
        <f t="shared" si="293"/>
        <v>0.14766936728775781</v>
      </c>
      <c r="O233" s="103">
        <f t="shared" si="293"/>
        <v>0.14432510905925611</v>
      </c>
      <c r="P233" s="103">
        <f t="shared" si="293"/>
        <v>0.15068274628459283</v>
      </c>
      <c r="Q233" s="103">
        <f t="shared" si="293"/>
        <v>0.14047583116321555</v>
      </c>
      <c r="R233" s="103">
        <f t="shared" si="293"/>
        <v>0.13984381760363893</v>
      </c>
      <c r="S233" s="103">
        <f t="shared" si="293"/>
        <v>0.14755827651076503</v>
      </c>
      <c r="T233" s="103">
        <f t="shared" si="293"/>
        <v>0.15480287385205174</v>
      </c>
      <c r="U233" s="103">
        <f t="shared" si="293"/>
        <v>0.15301533577550819</v>
      </c>
      <c r="V233" s="103">
        <f t="shared" si="293"/>
        <v>0.12568826863677812</v>
      </c>
      <c r="W233" s="103">
        <f t="shared" ref="W233:Y233" si="294">IF(W15=0,0,W15/W$4)</f>
        <v>0.13038004502918557</v>
      </c>
      <c r="X233" s="103">
        <f t="shared" si="294"/>
        <v>0.16170871425910299</v>
      </c>
      <c r="Y233" s="103">
        <f t="shared" si="294"/>
        <v>0.17859747365289616</v>
      </c>
      <c r="DA233" s="191"/>
    </row>
    <row r="234" spans="1:105" ht="11.45" customHeight="1" x14ac:dyDescent="0.25">
      <c r="A234" s="157" t="s">
        <v>112</v>
      </c>
      <c r="B234" s="103">
        <f t="shared" ref="B234:K234" si="295">IF(B16=0,0,B16/B$4)</f>
        <v>0</v>
      </c>
      <c r="C234" s="103">
        <f t="shared" si="295"/>
        <v>1.1906690515628427E-5</v>
      </c>
      <c r="D234" s="103">
        <f t="shared" si="295"/>
        <v>1.1570578769410379E-5</v>
      </c>
      <c r="E234" s="103">
        <f t="shared" si="295"/>
        <v>1.100438381918014E-5</v>
      </c>
      <c r="F234" s="103">
        <f t="shared" si="295"/>
        <v>1.0618431133763876E-5</v>
      </c>
      <c r="G234" s="103">
        <f t="shared" si="295"/>
        <v>1.0121292227075016E-5</v>
      </c>
      <c r="H234" s="103">
        <f t="shared" si="295"/>
        <v>9.4784546724372357E-6</v>
      </c>
      <c r="I234" s="103">
        <f t="shared" si="295"/>
        <v>9.0172341902041811E-6</v>
      </c>
      <c r="J234" s="103">
        <f t="shared" si="295"/>
        <v>0</v>
      </c>
      <c r="K234" s="103">
        <f t="shared" si="295"/>
        <v>0</v>
      </c>
      <c r="L234" s="103">
        <f t="shared" ref="L234" si="296">IF(L16=0,0,L16/L$4)</f>
        <v>0</v>
      </c>
      <c r="M234" s="103">
        <f t="shared" ref="M234:V234" si="297">IF(M16=0,0,M16/M$4)</f>
        <v>0</v>
      </c>
      <c r="N234" s="103">
        <f t="shared" si="297"/>
        <v>0</v>
      </c>
      <c r="O234" s="103">
        <f t="shared" si="297"/>
        <v>0</v>
      </c>
      <c r="P234" s="103">
        <f t="shared" si="297"/>
        <v>0</v>
      </c>
      <c r="Q234" s="103">
        <f t="shared" si="297"/>
        <v>0</v>
      </c>
      <c r="R234" s="103">
        <f t="shared" si="297"/>
        <v>0</v>
      </c>
      <c r="S234" s="103">
        <f t="shared" si="297"/>
        <v>0</v>
      </c>
      <c r="T234" s="103">
        <f t="shared" si="297"/>
        <v>0</v>
      </c>
      <c r="U234" s="103">
        <f t="shared" si="297"/>
        <v>0</v>
      </c>
      <c r="V234" s="103">
        <f t="shared" si="297"/>
        <v>0</v>
      </c>
      <c r="W234" s="103">
        <f t="shared" ref="W234:Y234" si="298">IF(W16=0,0,W16/W$4)</f>
        <v>0</v>
      </c>
      <c r="X234" s="103">
        <f t="shared" si="298"/>
        <v>0</v>
      </c>
      <c r="Y234" s="103">
        <f t="shared" si="298"/>
        <v>0</v>
      </c>
      <c r="DA234" s="191"/>
    </row>
    <row r="235" spans="1:105" ht="11.45" customHeight="1" x14ac:dyDescent="0.25">
      <c r="A235" s="157" t="s">
        <v>113</v>
      </c>
      <c r="B235" s="103">
        <f t="shared" ref="B235:K235" si="299">IF(B17=0,0,B17/B$4)</f>
        <v>0</v>
      </c>
      <c r="C235" s="103">
        <f t="shared" si="299"/>
        <v>0</v>
      </c>
      <c r="D235" s="103">
        <f t="shared" si="299"/>
        <v>0</v>
      </c>
      <c r="E235" s="103">
        <f t="shared" si="299"/>
        <v>0</v>
      </c>
      <c r="F235" s="103">
        <f t="shared" si="299"/>
        <v>0</v>
      </c>
      <c r="G235" s="103">
        <f t="shared" si="299"/>
        <v>0</v>
      </c>
      <c r="H235" s="103">
        <f t="shared" si="299"/>
        <v>0</v>
      </c>
      <c r="I235" s="103">
        <f t="shared" si="299"/>
        <v>0</v>
      </c>
      <c r="J235" s="103">
        <f t="shared" si="299"/>
        <v>0</v>
      </c>
      <c r="K235" s="103">
        <f t="shared" si="299"/>
        <v>0</v>
      </c>
      <c r="L235" s="103">
        <f t="shared" ref="L235" si="300">IF(L17=0,0,L17/L$4)</f>
        <v>0</v>
      </c>
      <c r="M235" s="103">
        <f t="shared" ref="M235:V235" si="301">IF(M17=0,0,M17/M$4)</f>
        <v>0</v>
      </c>
      <c r="N235" s="103">
        <f t="shared" si="301"/>
        <v>0</v>
      </c>
      <c r="O235" s="103">
        <f t="shared" si="301"/>
        <v>0</v>
      </c>
      <c r="P235" s="103">
        <f t="shared" si="301"/>
        <v>0</v>
      </c>
      <c r="Q235" s="103">
        <f t="shared" si="301"/>
        <v>0</v>
      </c>
      <c r="R235" s="103">
        <f t="shared" si="301"/>
        <v>0</v>
      </c>
      <c r="S235" s="103">
        <f t="shared" si="301"/>
        <v>0</v>
      </c>
      <c r="T235" s="103">
        <f t="shared" si="301"/>
        <v>1.3733399323348753E-5</v>
      </c>
      <c r="U235" s="103">
        <f t="shared" si="301"/>
        <v>2.8002937592809345E-4</v>
      </c>
      <c r="V235" s="103">
        <f t="shared" si="301"/>
        <v>5.5838377009737733E-4</v>
      </c>
      <c r="W235" s="103">
        <f t="shared" ref="W235:Y235" si="302">IF(W17=0,0,W17/W$4)</f>
        <v>5.5598578078073211E-4</v>
      </c>
      <c r="X235" s="103">
        <f t="shared" si="302"/>
        <v>8.0748091746538704E-4</v>
      </c>
      <c r="Y235" s="103">
        <f t="shared" si="302"/>
        <v>8.4399234011803444E-4</v>
      </c>
      <c r="DA235" s="191"/>
    </row>
    <row r="236" spans="1:105" ht="11.45" customHeight="1" x14ac:dyDescent="0.25">
      <c r="A236" s="157" t="s">
        <v>115</v>
      </c>
      <c r="B236" s="103">
        <f t="shared" ref="B236:K236" si="303">IF(B18=0,0,B18/B$4)</f>
        <v>0</v>
      </c>
      <c r="C236" s="103">
        <f t="shared" si="303"/>
        <v>0</v>
      </c>
      <c r="D236" s="103">
        <f t="shared" si="303"/>
        <v>0</v>
      </c>
      <c r="E236" s="103">
        <f t="shared" si="303"/>
        <v>0</v>
      </c>
      <c r="F236" s="103">
        <f t="shared" si="303"/>
        <v>0</v>
      </c>
      <c r="G236" s="103">
        <f t="shared" si="303"/>
        <v>0</v>
      </c>
      <c r="H236" s="103">
        <f t="shared" si="303"/>
        <v>0</v>
      </c>
      <c r="I236" s="103">
        <f t="shared" si="303"/>
        <v>0</v>
      </c>
      <c r="J236" s="103">
        <f t="shared" si="303"/>
        <v>1.9128693587951047E-5</v>
      </c>
      <c r="K236" s="103">
        <f t="shared" si="303"/>
        <v>2.0021364698140191E-5</v>
      </c>
      <c r="L236" s="103">
        <f t="shared" ref="L236" si="304">IF(L18=0,0,L18/L$4)</f>
        <v>1.9794312636412683E-5</v>
      </c>
      <c r="M236" s="103">
        <f t="shared" ref="M236:V236" si="305">IF(M18=0,0,M18/M$4)</f>
        <v>2.0361107200843167E-5</v>
      </c>
      <c r="N236" s="103">
        <f t="shared" si="305"/>
        <v>2.0430566689145532E-5</v>
      </c>
      <c r="O236" s="103">
        <f t="shared" si="305"/>
        <v>1.9914877386931954E-5</v>
      </c>
      <c r="P236" s="103">
        <f t="shared" si="305"/>
        <v>2.042213510726949E-5</v>
      </c>
      <c r="Q236" s="103">
        <f t="shared" si="305"/>
        <v>1.8538904019263847E-5</v>
      </c>
      <c r="R236" s="103">
        <f t="shared" si="305"/>
        <v>1.7549998848206536E-5</v>
      </c>
      <c r="S236" s="103">
        <f t="shared" si="305"/>
        <v>1.6838503607876684E-5</v>
      </c>
      <c r="T236" s="103">
        <f t="shared" si="305"/>
        <v>1.6493959682350806E-5</v>
      </c>
      <c r="U236" s="103">
        <f t="shared" si="305"/>
        <v>1.6066873792833189E-5</v>
      </c>
      <c r="V236" s="103">
        <f t="shared" si="305"/>
        <v>5.9136245223258581E-5</v>
      </c>
      <c r="W236" s="103">
        <f t="shared" ref="W236:Y236" si="306">IF(W18=0,0,W18/W$4)</f>
        <v>9.8585532217360358E-5</v>
      </c>
      <c r="X236" s="103">
        <f t="shared" si="306"/>
        <v>3.2564593490633182E-4</v>
      </c>
      <c r="Y236" s="103">
        <f t="shared" si="306"/>
        <v>8.5936878035656084E-4</v>
      </c>
      <c r="DA236" s="191"/>
    </row>
    <row r="237" spans="1:105" ht="11.45" customHeight="1" x14ac:dyDescent="0.25">
      <c r="A237" s="27" t="s">
        <v>39</v>
      </c>
      <c r="B237" s="46">
        <f t="shared" ref="B237:K237" si="307">IF(B19=0,0,B19/B$19)</f>
        <v>1</v>
      </c>
      <c r="C237" s="46">
        <f t="shared" si="307"/>
        <v>1</v>
      </c>
      <c r="D237" s="46">
        <f t="shared" si="307"/>
        <v>1</v>
      </c>
      <c r="E237" s="46">
        <f t="shared" si="307"/>
        <v>1</v>
      </c>
      <c r="F237" s="46">
        <f t="shared" si="307"/>
        <v>1</v>
      </c>
      <c r="G237" s="46">
        <f t="shared" si="307"/>
        <v>1</v>
      </c>
      <c r="H237" s="46">
        <f t="shared" si="307"/>
        <v>1</v>
      </c>
      <c r="I237" s="46">
        <f t="shared" si="307"/>
        <v>1</v>
      </c>
      <c r="J237" s="46">
        <f t="shared" si="307"/>
        <v>1</v>
      </c>
      <c r="K237" s="46">
        <f t="shared" si="307"/>
        <v>1</v>
      </c>
      <c r="L237" s="46">
        <f t="shared" ref="L237" si="308">IF(L19=0,0,L19/L$19)</f>
        <v>1</v>
      </c>
      <c r="M237" s="46">
        <f t="shared" ref="M237:V237" si="309">IF(M19=0,0,M19/M$19)</f>
        <v>1</v>
      </c>
      <c r="N237" s="46">
        <f t="shared" si="309"/>
        <v>1</v>
      </c>
      <c r="O237" s="46">
        <f t="shared" si="309"/>
        <v>1</v>
      </c>
      <c r="P237" s="46">
        <f t="shared" si="309"/>
        <v>1</v>
      </c>
      <c r="Q237" s="46">
        <f t="shared" si="309"/>
        <v>1</v>
      </c>
      <c r="R237" s="46">
        <f t="shared" si="309"/>
        <v>1</v>
      </c>
      <c r="S237" s="46">
        <f t="shared" si="309"/>
        <v>1</v>
      </c>
      <c r="T237" s="46">
        <f t="shared" si="309"/>
        <v>1</v>
      </c>
      <c r="U237" s="46">
        <f t="shared" si="309"/>
        <v>1</v>
      </c>
      <c r="V237" s="46">
        <f t="shared" si="309"/>
        <v>1</v>
      </c>
      <c r="W237" s="46">
        <f t="shared" ref="W237:Y237" si="310">IF(W19=0,0,W19/W$19)</f>
        <v>1</v>
      </c>
      <c r="X237" s="46">
        <f t="shared" si="310"/>
        <v>1</v>
      </c>
      <c r="Y237" s="46">
        <f t="shared" si="310"/>
        <v>1</v>
      </c>
      <c r="DA237" s="211"/>
    </row>
    <row r="238" spans="1:105" ht="11.45" customHeight="1" x14ac:dyDescent="0.25">
      <c r="A238" s="153" t="s">
        <v>153</v>
      </c>
      <c r="B238" s="154">
        <f t="shared" ref="B238:K238" si="311">IF(B20=0,0,B20/B$19)</f>
        <v>0.14527408899336608</v>
      </c>
      <c r="C238" s="154">
        <f t="shared" si="311"/>
        <v>0.14413983788488274</v>
      </c>
      <c r="D238" s="154">
        <f t="shared" si="311"/>
        <v>0.1344057766937152</v>
      </c>
      <c r="E238" s="154">
        <f t="shared" si="311"/>
        <v>0.13132572528833117</v>
      </c>
      <c r="F238" s="154">
        <f t="shared" si="311"/>
        <v>0.12620653571202128</v>
      </c>
      <c r="G238" s="154">
        <f t="shared" si="311"/>
        <v>0.12740253038319349</v>
      </c>
      <c r="H238" s="154">
        <f t="shared" si="311"/>
        <v>0.13604676027857224</v>
      </c>
      <c r="I238" s="154">
        <f t="shared" si="311"/>
        <v>0.13710581277042891</v>
      </c>
      <c r="J238" s="154">
        <f t="shared" si="311"/>
        <v>0.14872084800111357</v>
      </c>
      <c r="K238" s="154">
        <f t="shared" si="311"/>
        <v>0.20340686244637746</v>
      </c>
      <c r="L238" s="154">
        <f t="shared" ref="L238" si="312">IF(L20=0,0,L20/L$19)</f>
        <v>0.19763815001768201</v>
      </c>
      <c r="M238" s="154">
        <f t="shared" ref="M238:V238" si="313">IF(M20=0,0,M20/M$19)</f>
        <v>0.20505446083486856</v>
      </c>
      <c r="N238" s="154">
        <f t="shared" si="313"/>
        <v>0.20089708703248083</v>
      </c>
      <c r="O238" s="154">
        <f t="shared" si="313"/>
        <v>0.20987135227095635</v>
      </c>
      <c r="P238" s="154">
        <f t="shared" si="313"/>
        <v>0.19735333612610523</v>
      </c>
      <c r="Q238" s="154">
        <f t="shared" si="313"/>
        <v>0.18603765845253903</v>
      </c>
      <c r="R238" s="154">
        <f t="shared" si="313"/>
        <v>0.16307723167031604</v>
      </c>
      <c r="S238" s="154">
        <f t="shared" si="313"/>
        <v>0.16164462915818995</v>
      </c>
      <c r="T238" s="154">
        <f t="shared" si="313"/>
        <v>0.16008930228818791</v>
      </c>
      <c r="U238" s="154">
        <f t="shared" si="313"/>
        <v>0.14913720776387021</v>
      </c>
      <c r="V238" s="154">
        <f t="shared" si="313"/>
        <v>0.17240362862874734</v>
      </c>
      <c r="W238" s="154">
        <f t="shared" ref="W238:Y238" si="314">IF(W20=0,0,W20/W$19)</f>
        <v>0.16042335517298892</v>
      </c>
      <c r="X238" s="154">
        <f t="shared" si="314"/>
        <v>0.1655054562866623</v>
      </c>
      <c r="Y238" s="154">
        <f t="shared" si="314"/>
        <v>0.16909569682563699</v>
      </c>
      <c r="DA238" s="212"/>
    </row>
    <row r="239" spans="1:105" ht="11.45" customHeight="1" x14ac:dyDescent="0.25">
      <c r="A239" s="157" t="s">
        <v>110</v>
      </c>
      <c r="B239" s="103">
        <f t="shared" ref="B239:K239" si="315">IF(B21=0,0,B21/B$19)</f>
        <v>1.5810194057130494E-3</v>
      </c>
      <c r="C239" s="103">
        <f t="shared" si="315"/>
        <v>1.3334499975186187E-3</v>
      </c>
      <c r="D239" s="103">
        <f t="shared" si="315"/>
        <v>1.0790038406024935E-3</v>
      </c>
      <c r="E239" s="103">
        <f t="shared" si="315"/>
        <v>8.8477592347994787E-4</v>
      </c>
      <c r="F239" s="103">
        <f t="shared" si="315"/>
        <v>6.9496406640585982E-4</v>
      </c>
      <c r="G239" s="103">
        <f t="shared" si="315"/>
        <v>5.0653897721714255E-4</v>
      </c>
      <c r="H239" s="103">
        <f t="shared" si="315"/>
        <v>3.8898011842809007E-4</v>
      </c>
      <c r="I239" s="103">
        <f t="shared" si="315"/>
        <v>2.9246481205331487E-4</v>
      </c>
      <c r="J239" s="103">
        <f t="shared" si="315"/>
        <v>2.8450479178591601E-4</v>
      </c>
      <c r="K239" s="103">
        <f t="shared" si="315"/>
        <v>3.6852450892211025E-4</v>
      </c>
      <c r="L239" s="103">
        <f t="shared" ref="L239" si="316">IF(L21=0,0,L21/L$19)</f>
        <v>3.209506629961053E-4</v>
      </c>
      <c r="M239" s="103">
        <f t="shared" ref="M239:V239" si="317">IF(M21=0,0,M21/M$19)</f>
        <v>2.8840021225456979E-4</v>
      </c>
      <c r="N239" s="103">
        <f t="shared" si="317"/>
        <v>2.4474943519669931E-4</v>
      </c>
      <c r="O239" s="103">
        <f t="shared" si="317"/>
        <v>2.387122299424051E-4</v>
      </c>
      <c r="P239" s="103">
        <f t="shared" si="317"/>
        <v>2.1230041393007306E-4</v>
      </c>
      <c r="Q239" s="103">
        <f t="shared" si="317"/>
        <v>1.8562733360495353E-4</v>
      </c>
      <c r="R239" s="103">
        <f t="shared" si="317"/>
        <v>1.4690450201994588E-4</v>
      </c>
      <c r="S239" s="103">
        <f t="shared" si="317"/>
        <v>1.5832717240162294E-4</v>
      </c>
      <c r="T239" s="103">
        <f t="shared" si="317"/>
        <v>1.610051973710054E-4</v>
      </c>
      <c r="U239" s="103">
        <f t="shared" si="317"/>
        <v>1.6816667820702507E-4</v>
      </c>
      <c r="V239" s="103">
        <f t="shared" si="317"/>
        <v>2.6483814645691852E-4</v>
      </c>
      <c r="W239" s="103">
        <f t="shared" ref="W239:Y239" si="318">IF(W21=0,0,W21/W$19)</f>
        <v>2.7380029858359311E-4</v>
      </c>
      <c r="X239" s="103">
        <f t="shared" si="318"/>
        <v>3.2110070589628538E-4</v>
      </c>
      <c r="Y239" s="103">
        <f t="shared" si="318"/>
        <v>4.4408867975403651E-4</v>
      </c>
      <c r="DA239" s="191"/>
    </row>
    <row r="240" spans="1:105" ht="11.45" customHeight="1" x14ac:dyDescent="0.25">
      <c r="A240" s="157" t="s">
        <v>111</v>
      </c>
      <c r="B240" s="103">
        <f t="shared" ref="B240:K240" si="319">IF(B22=0,0,B22/B$19)</f>
        <v>0.14369306958765302</v>
      </c>
      <c r="C240" s="103">
        <f t="shared" si="319"/>
        <v>0.14280638788736411</v>
      </c>
      <c r="D240" s="103">
        <f t="shared" si="319"/>
        <v>0.1333267728531127</v>
      </c>
      <c r="E240" s="103">
        <f t="shared" si="319"/>
        <v>0.13044094936485123</v>
      </c>
      <c r="F240" s="103">
        <f t="shared" si="319"/>
        <v>0.12551157164561544</v>
      </c>
      <c r="G240" s="103">
        <f t="shared" si="319"/>
        <v>0.12689599140597635</v>
      </c>
      <c r="H240" s="103">
        <f t="shared" si="319"/>
        <v>0.13565778016014415</v>
      </c>
      <c r="I240" s="103">
        <f t="shared" si="319"/>
        <v>0.1368133479583756</v>
      </c>
      <c r="J240" s="103">
        <f t="shared" si="319"/>
        <v>0.14843634320932764</v>
      </c>
      <c r="K240" s="103">
        <f t="shared" si="319"/>
        <v>0.20303833793745535</v>
      </c>
      <c r="L240" s="103">
        <f t="shared" ref="L240" si="320">IF(L22=0,0,L22/L$19)</f>
        <v>0.19731719935468592</v>
      </c>
      <c r="M240" s="103">
        <f t="shared" ref="M240:V240" si="321">IF(M22=0,0,M22/M$19)</f>
        <v>0.20474621006174931</v>
      </c>
      <c r="N240" s="103">
        <f t="shared" si="321"/>
        <v>0.20060603109271558</v>
      </c>
      <c r="O240" s="103">
        <f t="shared" si="321"/>
        <v>0.2095820088732715</v>
      </c>
      <c r="P240" s="103">
        <f t="shared" si="321"/>
        <v>0.19708478139403413</v>
      </c>
      <c r="Q240" s="103">
        <f t="shared" si="321"/>
        <v>0.18579860753908869</v>
      </c>
      <c r="R240" s="103">
        <f t="shared" si="321"/>
        <v>0.16288043685113912</v>
      </c>
      <c r="S240" s="103">
        <f t="shared" si="321"/>
        <v>0.16140459527441856</v>
      </c>
      <c r="T240" s="103">
        <f t="shared" si="321"/>
        <v>0.15984141224063325</v>
      </c>
      <c r="U240" s="103">
        <f t="shared" si="321"/>
        <v>0.14874731096359231</v>
      </c>
      <c r="V240" s="103">
        <f t="shared" si="321"/>
        <v>0.17163357118339789</v>
      </c>
      <c r="W240" s="103">
        <f t="shared" ref="W240:Y240" si="322">IF(W22=0,0,W22/W$19)</f>
        <v>0.15935318413513172</v>
      </c>
      <c r="X240" s="103">
        <f t="shared" si="322"/>
        <v>0.16403811969983265</v>
      </c>
      <c r="Y240" s="103">
        <f t="shared" si="322"/>
        <v>0.16705463360527245</v>
      </c>
      <c r="DA240" s="191"/>
    </row>
    <row r="241" spans="1:105" ht="11.45" customHeight="1" x14ac:dyDescent="0.25">
      <c r="A241" s="157" t="s">
        <v>112</v>
      </c>
      <c r="B241" s="103">
        <f t="shared" ref="B241:K241" si="323">IF(B23=0,0,B23/B$19)</f>
        <v>0</v>
      </c>
      <c r="C241" s="103">
        <f t="shared" si="323"/>
        <v>0</v>
      </c>
      <c r="D241" s="103">
        <f t="shared" si="323"/>
        <v>0</v>
      </c>
      <c r="E241" s="103">
        <f t="shared" si="323"/>
        <v>0</v>
      </c>
      <c r="F241" s="103">
        <f t="shared" si="323"/>
        <v>0</v>
      </c>
      <c r="G241" s="103">
        <f t="shared" si="323"/>
        <v>0</v>
      </c>
      <c r="H241" s="103">
        <f t="shared" si="323"/>
        <v>0</v>
      </c>
      <c r="I241" s="103">
        <f t="shared" si="323"/>
        <v>0</v>
      </c>
      <c r="J241" s="103">
        <f t="shared" si="323"/>
        <v>0</v>
      </c>
      <c r="K241" s="103">
        <f t="shared" si="323"/>
        <v>0</v>
      </c>
      <c r="L241" s="103">
        <f t="shared" ref="L241" si="324">IF(L23=0,0,L23/L$19)</f>
        <v>0</v>
      </c>
      <c r="M241" s="103">
        <f t="shared" ref="M241:V241" si="325">IF(M23=0,0,M23/M$19)</f>
        <v>0</v>
      </c>
      <c r="N241" s="103">
        <f t="shared" si="325"/>
        <v>0</v>
      </c>
      <c r="O241" s="103">
        <f t="shared" si="325"/>
        <v>9.6172006525414534E-7</v>
      </c>
      <c r="P241" s="103">
        <f t="shared" si="325"/>
        <v>1.8454659279262205E-6</v>
      </c>
      <c r="Q241" s="103">
        <f t="shared" si="325"/>
        <v>1.8116529937949557E-6</v>
      </c>
      <c r="R241" s="103">
        <f t="shared" si="325"/>
        <v>1.6083842132321564E-6</v>
      </c>
      <c r="S241" s="103">
        <f t="shared" si="325"/>
        <v>1.9930077377511563E-6</v>
      </c>
      <c r="T241" s="103">
        <f t="shared" si="325"/>
        <v>1.9729198360536796E-6</v>
      </c>
      <c r="U241" s="103">
        <f t="shared" si="325"/>
        <v>1.8460632497842464E-6</v>
      </c>
      <c r="V241" s="103">
        <f t="shared" si="325"/>
        <v>1.7172112592122482E-6</v>
      </c>
      <c r="W241" s="103">
        <f t="shared" ref="W241:Y241" si="326">IF(W23=0,0,W23/W$19)</f>
        <v>1.5626432927820323E-6</v>
      </c>
      <c r="X241" s="103">
        <f t="shared" si="326"/>
        <v>1.5792304852735705E-6</v>
      </c>
      <c r="Y241" s="103">
        <f t="shared" si="326"/>
        <v>1.5459327123417767E-6</v>
      </c>
      <c r="DA241" s="191"/>
    </row>
    <row r="242" spans="1:105" ht="11.45" customHeight="1" x14ac:dyDescent="0.25">
      <c r="A242" s="157" t="s">
        <v>113</v>
      </c>
      <c r="B242" s="103">
        <f t="shared" ref="B242:K242" si="327">IF(B24=0,0,B24/B$19)</f>
        <v>0</v>
      </c>
      <c r="C242" s="103">
        <f t="shared" si="327"/>
        <v>0</v>
      </c>
      <c r="D242" s="103">
        <f t="shared" si="327"/>
        <v>0</v>
      </c>
      <c r="E242" s="103">
        <f t="shared" si="327"/>
        <v>0</v>
      </c>
      <c r="F242" s="103">
        <f t="shared" si="327"/>
        <v>0</v>
      </c>
      <c r="G242" s="103">
        <f t="shared" si="327"/>
        <v>0</v>
      </c>
      <c r="H242" s="103">
        <f t="shared" si="327"/>
        <v>0</v>
      </c>
      <c r="I242" s="103">
        <f t="shared" si="327"/>
        <v>0</v>
      </c>
      <c r="J242" s="103">
        <f t="shared" si="327"/>
        <v>0</v>
      </c>
      <c r="K242" s="103">
        <f t="shared" si="327"/>
        <v>0</v>
      </c>
      <c r="L242" s="103">
        <f t="shared" ref="L242" si="328">IF(L24=0,0,L24/L$19)</f>
        <v>0</v>
      </c>
      <c r="M242" s="103">
        <f t="shared" ref="M242:V242" si="329">IF(M24=0,0,M24/M$19)</f>
        <v>0</v>
      </c>
      <c r="N242" s="103">
        <f t="shared" si="329"/>
        <v>0</v>
      </c>
      <c r="O242" s="103">
        <f t="shared" si="329"/>
        <v>0</v>
      </c>
      <c r="P242" s="103">
        <f t="shared" si="329"/>
        <v>0</v>
      </c>
      <c r="Q242" s="103">
        <f t="shared" si="329"/>
        <v>0</v>
      </c>
      <c r="R242" s="103">
        <f t="shared" si="329"/>
        <v>0</v>
      </c>
      <c r="S242" s="103">
        <f t="shared" si="329"/>
        <v>0</v>
      </c>
      <c r="T242" s="103">
        <f t="shared" si="329"/>
        <v>0</v>
      </c>
      <c r="U242" s="103">
        <f t="shared" si="329"/>
        <v>0</v>
      </c>
      <c r="V242" s="103">
        <f t="shared" si="329"/>
        <v>0</v>
      </c>
      <c r="W242" s="103">
        <f t="shared" ref="W242:Y242" si="330">IF(W24=0,0,W24/W$19)</f>
        <v>0</v>
      </c>
      <c r="X242" s="103">
        <f t="shared" si="330"/>
        <v>0</v>
      </c>
      <c r="Y242" s="103">
        <f t="shared" si="330"/>
        <v>0</v>
      </c>
      <c r="DA242" s="191"/>
    </row>
    <row r="243" spans="1:105" ht="11.45" customHeight="1" x14ac:dyDescent="0.25">
      <c r="A243" s="157" t="s">
        <v>115</v>
      </c>
      <c r="B243" s="103">
        <f t="shared" ref="B243:K243" si="331">IF(B25=0,0,B25/B$19)</f>
        <v>0</v>
      </c>
      <c r="C243" s="103">
        <f t="shared" si="331"/>
        <v>0</v>
      </c>
      <c r="D243" s="103">
        <f t="shared" si="331"/>
        <v>0</v>
      </c>
      <c r="E243" s="103">
        <f t="shared" si="331"/>
        <v>0</v>
      </c>
      <c r="F243" s="103">
        <f t="shared" si="331"/>
        <v>0</v>
      </c>
      <c r="G243" s="103">
        <f t="shared" si="331"/>
        <v>0</v>
      </c>
      <c r="H243" s="103">
        <f t="shared" si="331"/>
        <v>0</v>
      </c>
      <c r="I243" s="103">
        <f t="shared" si="331"/>
        <v>0</v>
      </c>
      <c r="J243" s="103">
        <f t="shared" si="331"/>
        <v>0</v>
      </c>
      <c r="K243" s="103">
        <f t="shared" si="331"/>
        <v>0</v>
      </c>
      <c r="L243" s="103">
        <f t="shared" ref="L243" si="332">IF(L25=0,0,L25/L$19)</f>
        <v>0</v>
      </c>
      <c r="M243" s="103">
        <f t="shared" ref="M243:V243" si="333">IF(M25=0,0,M25/M$19)</f>
        <v>1.9850560864650534E-5</v>
      </c>
      <c r="N243" s="103">
        <f t="shared" si="333"/>
        <v>4.6306504568550868E-5</v>
      </c>
      <c r="O243" s="103">
        <f t="shared" si="333"/>
        <v>4.9669447677201795E-5</v>
      </c>
      <c r="P243" s="103">
        <f t="shared" si="333"/>
        <v>5.4408852213097628E-5</v>
      </c>
      <c r="Q243" s="103">
        <f t="shared" si="333"/>
        <v>5.1611926851574017E-5</v>
      </c>
      <c r="R243" s="103">
        <f t="shared" si="333"/>
        <v>4.8281932943787837E-5</v>
      </c>
      <c r="S243" s="103">
        <f t="shared" si="333"/>
        <v>7.9713703632007125E-5</v>
      </c>
      <c r="T243" s="103">
        <f t="shared" si="333"/>
        <v>8.4911930347579385E-5</v>
      </c>
      <c r="U243" s="103">
        <f t="shared" si="333"/>
        <v>2.1988405882109591E-4</v>
      </c>
      <c r="V243" s="103">
        <f t="shared" si="333"/>
        <v>5.0350208763333393E-4</v>
      </c>
      <c r="W243" s="103">
        <f t="shared" ref="W243:Y243" si="334">IF(W25=0,0,W25/W$19)</f>
        <v>7.9480809598083573E-4</v>
      </c>
      <c r="X243" s="103">
        <f t="shared" si="334"/>
        <v>1.1446566504481252E-3</v>
      </c>
      <c r="Y243" s="103">
        <f t="shared" si="334"/>
        <v>1.5954286078981568E-3</v>
      </c>
      <c r="DA243" s="191"/>
    </row>
    <row r="244" spans="1:105" ht="11.45" customHeight="1" x14ac:dyDescent="0.25">
      <c r="A244" s="155" t="s">
        <v>154</v>
      </c>
      <c r="B244" s="156">
        <f t="shared" ref="B244:K244" si="335">IF(B26=0,0,B26/B$19)</f>
        <v>0.85472591100663398</v>
      </c>
      <c r="C244" s="156">
        <f t="shared" si="335"/>
        <v>0.85586016211511728</v>
      </c>
      <c r="D244" s="156">
        <f t="shared" si="335"/>
        <v>0.86559422330628477</v>
      </c>
      <c r="E244" s="156">
        <f t="shared" si="335"/>
        <v>0.8686742747116688</v>
      </c>
      <c r="F244" s="156">
        <f t="shared" si="335"/>
        <v>0.87379346428797866</v>
      </c>
      <c r="G244" s="156">
        <f t="shared" si="335"/>
        <v>0.8725974696168064</v>
      </c>
      <c r="H244" s="156">
        <f t="shared" si="335"/>
        <v>0.86395323972142779</v>
      </c>
      <c r="I244" s="156">
        <f t="shared" si="335"/>
        <v>0.86289418722957101</v>
      </c>
      <c r="J244" s="156">
        <f t="shared" si="335"/>
        <v>0.85127915199888649</v>
      </c>
      <c r="K244" s="156">
        <f t="shared" si="335"/>
        <v>0.79659313755362249</v>
      </c>
      <c r="L244" s="156">
        <f t="shared" ref="L244" si="336">IF(L26=0,0,L26/L$19)</f>
        <v>0.80236184998231797</v>
      </c>
      <c r="M244" s="156">
        <f t="shared" ref="M244:V244" si="337">IF(M26=0,0,M26/M$19)</f>
        <v>0.79494553916513144</v>
      </c>
      <c r="N244" s="156">
        <f t="shared" si="337"/>
        <v>0.79910291296751912</v>
      </c>
      <c r="O244" s="156">
        <f t="shared" si="337"/>
        <v>0.79012864772904368</v>
      </c>
      <c r="P244" s="156">
        <f t="shared" si="337"/>
        <v>0.80264666387389472</v>
      </c>
      <c r="Q244" s="156">
        <f t="shared" si="337"/>
        <v>0.81396234154746094</v>
      </c>
      <c r="R244" s="156">
        <f t="shared" si="337"/>
        <v>0.83692276832968393</v>
      </c>
      <c r="S244" s="156">
        <f t="shared" si="337"/>
        <v>0.83835537084181</v>
      </c>
      <c r="T244" s="156">
        <f t="shared" si="337"/>
        <v>0.83991069771181215</v>
      </c>
      <c r="U244" s="156">
        <f t="shared" si="337"/>
        <v>0.85086279223612982</v>
      </c>
      <c r="V244" s="156">
        <f t="shared" si="337"/>
        <v>0.82759637137125275</v>
      </c>
      <c r="W244" s="156">
        <f t="shared" ref="W244:Y244" si="338">IF(W26=0,0,W26/W$19)</f>
        <v>0.839576644827011</v>
      </c>
      <c r="X244" s="156">
        <f t="shared" si="338"/>
        <v>0.83449454371333764</v>
      </c>
      <c r="Y244" s="156">
        <f t="shared" si="338"/>
        <v>0.83090430317436303</v>
      </c>
      <c r="DA244" s="213"/>
    </row>
    <row r="245" spans="1:105" ht="11.45" customHeight="1" x14ac:dyDescent="0.25">
      <c r="A245" s="157" t="s">
        <v>27</v>
      </c>
      <c r="B245" s="103">
        <f t="shared" ref="B245:K245" si="339">IF(B27=0,0,B27/B$19)</f>
        <v>0.74897463780691886</v>
      </c>
      <c r="C245" s="103">
        <f t="shared" si="339"/>
        <v>0.75192051234046309</v>
      </c>
      <c r="D245" s="103">
        <f t="shared" si="339"/>
        <v>0.76979706680210069</v>
      </c>
      <c r="E245" s="103">
        <f t="shared" si="339"/>
        <v>0.77998649088655925</v>
      </c>
      <c r="F245" s="103">
        <f t="shared" si="339"/>
        <v>0.78075214673101156</v>
      </c>
      <c r="G245" s="103">
        <f t="shared" si="339"/>
        <v>0.78151720468995656</v>
      </c>
      <c r="H245" s="103">
        <f t="shared" si="339"/>
        <v>0.77021893251726969</v>
      </c>
      <c r="I245" s="103">
        <f t="shared" si="339"/>
        <v>0.76628661996613168</v>
      </c>
      <c r="J245" s="103">
        <f t="shared" si="339"/>
        <v>0.76057214421749553</v>
      </c>
      <c r="K245" s="103">
        <f t="shared" si="339"/>
        <v>0.68740205836928014</v>
      </c>
      <c r="L245" s="103">
        <f t="shared" ref="L245" si="340">IF(L27=0,0,L27/L$19)</f>
        <v>0.68313340060887351</v>
      </c>
      <c r="M245" s="103">
        <f t="shared" ref="M245:V245" si="341">IF(M27=0,0,M27/M$19)</f>
        <v>0.65756865192899372</v>
      </c>
      <c r="N245" s="103">
        <f t="shared" si="341"/>
        <v>0.67239252415215789</v>
      </c>
      <c r="O245" s="103">
        <f t="shared" si="341"/>
        <v>0.66657036112550061</v>
      </c>
      <c r="P245" s="103">
        <f t="shared" si="341"/>
        <v>0.68618449092179779</v>
      </c>
      <c r="Q245" s="103">
        <f t="shared" si="341"/>
        <v>0.68512726511582234</v>
      </c>
      <c r="R245" s="103">
        <f t="shared" si="341"/>
        <v>0.73350732353852466</v>
      </c>
      <c r="S245" s="103">
        <f t="shared" si="341"/>
        <v>0.7368377058214729</v>
      </c>
      <c r="T245" s="103">
        <f t="shared" si="341"/>
        <v>0.72915324306849627</v>
      </c>
      <c r="U245" s="103">
        <f t="shared" si="341"/>
        <v>0.73200839910078885</v>
      </c>
      <c r="V245" s="103">
        <f t="shared" si="341"/>
        <v>0.77731420718011179</v>
      </c>
      <c r="W245" s="103">
        <f t="shared" ref="W245:Y245" si="342">IF(W27=0,0,W27/W$19)</f>
        <v>0.79258512584038165</v>
      </c>
      <c r="X245" s="103">
        <f t="shared" si="342"/>
        <v>0.78944750014765441</v>
      </c>
      <c r="Y245" s="103">
        <f t="shared" si="342"/>
        <v>0.78492659670576359</v>
      </c>
      <c r="DA245" s="191"/>
    </row>
    <row r="246" spans="1:105" ht="11.45" customHeight="1" x14ac:dyDescent="0.25">
      <c r="A246" s="158" t="s">
        <v>116</v>
      </c>
      <c r="B246" s="105">
        <f t="shared" ref="B246:K246" si="343">IF(B28=0,0,B28/B$19)</f>
        <v>0.10575127319971508</v>
      </c>
      <c r="C246" s="105">
        <f t="shared" si="343"/>
        <v>0.10393964977465416</v>
      </c>
      <c r="D246" s="105">
        <f t="shared" si="343"/>
        <v>9.5797156504184022E-2</v>
      </c>
      <c r="E246" s="105">
        <f t="shared" si="343"/>
        <v>8.8687783825109542E-2</v>
      </c>
      <c r="F246" s="105">
        <f t="shared" si="343"/>
        <v>9.3041317556967068E-2</v>
      </c>
      <c r="G246" s="105">
        <f t="shared" si="343"/>
        <v>9.1080264926849855E-2</v>
      </c>
      <c r="H246" s="105">
        <f t="shared" si="343"/>
        <v>9.3734307204158068E-2</v>
      </c>
      <c r="I246" s="105">
        <f t="shared" si="343"/>
        <v>9.6607567263439331E-2</v>
      </c>
      <c r="J246" s="105">
        <f t="shared" si="343"/>
        <v>9.0707007781390958E-2</v>
      </c>
      <c r="K246" s="105">
        <f t="shared" si="343"/>
        <v>0.1091910791843424</v>
      </c>
      <c r="L246" s="105">
        <f t="shared" ref="L246" si="344">IF(L28=0,0,L28/L$19)</f>
        <v>0.11922844937344453</v>
      </c>
      <c r="M246" s="105">
        <f t="shared" ref="M246:V246" si="345">IF(M28=0,0,M28/M$19)</f>
        <v>0.13737688723613775</v>
      </c>
      <c r="N246" s="105">
        <f t="shared" si="345"/>
        <v>0.1267103888153612</v>
      </c>
      <c r="O246" s="105">
        <f t="shared" si="345"/>
        <v>0.12355828660354296</v>
      </c>
      <c r="P246" s="105">
        <f t="shared" si="345"/>
        <v>0.11646217295209695</v>
      </c>
      <c r="Q246" s="105">
        <f t="shared" si="345"/>
        <v>0.12883507643163858</v>
      </c>
      <c r="R246" s="105">
        <f t="shared" si="345"/>
        <v>0.1034154447911593</v>
      </c>
      <c r="S246" s="105">
        <f t="shared" si="345"/>
        <v>0.10151766502033717</v>
      </c>
      <c r="T246" s="105">
        <f t="shared" si="345"/>
        <v>0.11075745464331589</v>
      </c>
      <c r="U246" s="105">
        <f t="shared" si="345"/>
        <v>0.11885439313534103</v>
      </c>
      <c r="V246" s="105">
        <f t="shared" si="345"/>
        <v>5.0282164191140913E-2</v>
      </c>
      <c r="W246" s="105">
        <f t="shared" ref="W246:Y246" si="346">IF(W28=0,0,W28/W$19)</f>
        <v>4.6991518986629385E-2</v>
      </c>
      <c r="X246" s="105">
        <f t="shared" si="346"/>
        <v>4.5047043565683287E-2</v>
      </c>
      <c r="Y246" s="105">
        <f t="shared" si="346"/>
        <v>4.5977706468599472E-2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DA248" s="183"/>
    </row>
    <row r="249" spans="1:105" ht="11.45" customHeight="1" x14ac:dyDescent="0.25">
      <c r="A249" s="27" t="s">
        <v>33</v>
      </c>
      <c r="B249" s="46">
        <f t="shared" ref="B249:K249" si="347">IF(B31=0,0,B31/B$31)</f>
        <v>1</v>
      </c>
      <c r="C249" s="46">
        <f t="shared" si="347"/>
        <v>1</v>
      </c>
      <c r="D249" s="46">
        <f t="shared" si="347"/>
        <v>1</v>
      </c>
      <c r="E249" s="46">
        <f t="shared" si="347"/>
        <v>1</v>
      </c>
      <c r="F249" s="46">
        <f t="shared" si="347"/>
        <v>1</v>
      </c>
      <c r="G249" s="46">
        <f t="shared" si="347"/>
        <v>1</v>
      </c>
      <c r="H249" s="46">
        <f t="shared" si="347"/>
        <v>1</v>
      </c>
      <c r="I249" s="46">
        <f t="shared" si="347"/>
        <v>1</v>
      </c>
      <c r="J249" s="46">
        <f t="shared" si="347"/>
        <v>1</v>
      </c>
      <c r="K249" s="46">
        <f t="shared" si="347"/>
        <v>1</v>
      </c>
      <c r="L249" s="46">
        <f t="shared" ref="L249" si="348">IF(L31=0,0,L31/L$31)</f>
        <v>1</v>
      </c>
      <c r="M249" s="46">
        <f t="shared" ref="M249:V249" si="349">IF(M31=0,0,M31/M$31)</f>
        <v>1</v>
      </c>
      <c r="N249" s="46">
        <f t="shared" si="349"/>
        <v>1</v>
      </c>
      <c r="O249" s="46">
        <f t="shared" si="349"/>
        <v>1</v>
      </c>
      <c r="P249" s="46">
        <f t="shared" si="349"/>
        <v>1</v>
      </c>
      <c r="Q249" s="46">
        <f t="shared" si="349"/>
        <v>1</v>
      </c>
      <c r="R249" s="46">
        <f t="shared" si="349"/>
        <v>1</v>
      </c>
      <c r="S249" s="46">
        <f t="shared" si="349"/>
        <v>1</v>
      </c>
      <c r="T249" s="46">
        <f t="shared" si="349"/>
        <v>1</v>
      </c>
      <c r="U249" s="46">
        <f t="shared" si="349"/>
        <v>1</v>
      </c>
      <c r="V249" s="46">
        <f t="shared" si="349"/>
        <v>1</v>
      </c>
      <c r="W249" s="46">
        <f t="shared" ref="W249:Y249" si="350">IF(W31=0,0,W31/W$31)</f>
        <v>1</v>
      </c>
      <c r="X249" s="46">
        <f t="shared" si="350"/>
        <v>1</v>
      </c>
      <c r="Y249" s="46">
        <f t="shared" si="350"/>
        <v>1</v>
      </c>
      <c r="DA249" s="211"/>
    </row>
    <row r="250" spans="1:105" ht="11.45" customHeight="1" x14ac:dyDescent="0.25">
      <c r="A250" s="153" t="s">
        <v>173</v>
      </c>
      <c r="B250" s="154">
        <f t="shared" ref="B250:K250" si="351">IF(B32=0,0,B32/B$31)</f>
        <v>4.8482654259050509E-3</v>
      </c>
      <c r="C250" s="154">
        <f t="shared" si="351"/>
        <v>4.9182562270823028E-3</v>
      </c>
      <c r="D250" s="154">
        <f t="shared" si="351"/>
        <v>4.7460939302009118E-3</v>
      </c>
      <c r="E250" s="154">
        <f t="shared" si="351"/>
        <v>4.9025201844786785E-3</v>
      </c>
      <c r="F250" s="154">
        <f t="shared" si="351"/>
        <v>4.6014613260095105E-3</v>
      </c>
      <c r="G250" s="154">
        <f t="shared" si="351"/>
        <v>5.3685661633148017E-3</v>
      </c>
      <c r="H250" s="154">
        <f t="shared" si="351"/>
        <v>4.7589964060576421E-3</v>
      </c>
      <c r="I250" s="154">
        <f t="shared" si="351"/>
        <v>4.7398560783546064E-3</v>
      </c>
      <c r="J250" s="154">
        <f t="shared" si="351"/>
        <v>4.8129261982396195E-3</v>
      </c>
      <c r="K250" s="154">
        <f t="shared" si="351"/>
        <v>4.5003601214068092E-3</v>
      </c>
      <c r="L250" s="154">
        <f t="shared" ref="L250" si="352">IF(L32=0,0,L32/L$31)</f>
        <v>3.9727687464427806E-3</v>
      </c>
      <c r="M250" s="154">
        <f t="shared" ref="M250:V250" si="353">IF(M32=0,0,M32/M$31)</f>
        <v>3.72423341238476E-3</v>
      </c>
      <c r="N250" s="154">
        <f t="shared" si="353"/>
        <v>3.4713372703391145E-3</v>
      </c>
      <c r="O250" s="154">
        <f t="shared" si="353"/>
        <v>3.3398632704051442E-3</v>
      </c>
      <c r="P250" s="154">
        <f t="shared" si="353"/>
        <v>3.8755166092246519E-3</v>
      </c>
      <c r="Q250" s="154">
        <f t="shared" si="353"/>
        <v>3.4439976032369485E-3</v>
      </c>
      <c r="R250" s="154">
        <f t="shared" si="353"/>
        <v>3.4401264953717505E-3</v>
      </c>
      <c r="S250" s="154">
        <f t="shared" si="353"/>
        <v>3.1686545642475926E-3</v>
      </c>
      <c r="T250" s="154">
        <f t="shared" si="353"/>
        <v>3.0307979547697203E-3</v>
      </c>
      <c r="U250" s="154">
        <f t="shared" si="353"/>
        <v>3.2080154544573188E-3</v>
      </c>
      <c r="V250" s="154">
        <f t="shared" si="353"/>
        <v>3.3476791237602474E-3</v>
      </c>
      <c r="W250" s="154">
        <f t="shared" ref="W250:Y250" si="354">IF(W32=0,0,W32/W$31)</f>
        <v>3.340176896487598E-3</v>
      </c>
      <c r="X250" s="154">
        <f t="shared" si="354"/>
        <v>3.0642904195814177E-3</v>
      </c>
      <c r="Y250" s="154">
        <f t="shared" si="354"/>
        <v>3.2448172128047089E-3</v>
      </c>
      <c r="DA250" s="212"/>
    </row>
    <row r="251" spans="1:105" ht="11.45" customHeight="1" x14ac:dyDescent="0.25">
      <c r="A251" s="155" t="s">
        <v>20</v>
      </c>
      <c r="B251" s="156">
        <f t="shared" ref="B251:K251" si="355">IF(B33=0,0,B33/B$31)</f>
        <v>0.98577691041808868</v>
      </c>
      <c r="C251" s="156">
        <f t="shared" si="355"/>
        <v>0.98589155177405075</v>
      </c>
      <c r="D251" s="156">
        <f t="shared" si="355"/>
        <v>0.9862285986409568</v>
      </c>
      <c r="E251" s="156">
        <f t="shared" si="355"/>
        <v>0.98588829906377884</v>
      </c>
      <c r="F251" s="156">
        <f t="shared" si="355"/>
        <v>0.98607910669430587</v>
      </c>
      <c r="G251" s="156">
        <f t="shared" si="355"/>
        <v>0.98536546508991085</v>
      </c>
      <c r="H251" s="156">
        <f t="shared" si="355"/>
        <v>0.98627786181706933</v>
      </c>
      <c r="I251" s="156">
        <f t="shared" si="355"/>
        <v>0.98580056712427944</v>
      </c>
      <c r="J251" s="156">
        <f t="shared" si="355"/>
        <v>0.98552474875494622</v>
      </c>
      <c r="K251" s="156">
        <f t="shared" si="355"/>
        <v>0.98574135040911037</v>
      </c>
      <c r="L251" s="156">
        <f t="shared" ref="L251" si="356">IF(L33=0,0,L33/L$31)</f>
        <v>0.98640118191132198</v>
      </c>
      <c r="M251" s="156">
        <f t="shared" ref="M251:V251" si="357">IF(M33=0,0,M33/M$31)</f>
        <v>0.98668416117810775</v>
      </c>
      <c r="N251" s="156">
        <f t="shared" si="357"/>
        <v>0.98677323962172436</v>
      </c>
      <c r="O251" s="156">
        <f t="shared" si="357"/>
        <v>0.98718659155747368</v>
      </c>
      <c r="P251" s="156">
        <f t="shared" si="357"/>
        <v>0.98641093622343978</v>
      </c>
      <c r="Q251" s="156">
        <f t="shared" si="357"/>
        <v>0.98725308342901241</v>
      </c>
      <c r="R251" s="156">
        <f t="shared" si="357"/>
        <v>0.98717166515549815</v>
      </c>
      <c r="S251" s="156">
        <f t="shared" si="357"/>
        <v>0.98686649645310665</v>
      </c>
      <c r="T251" s="156">
        <f t="shared" si="357"/>
        <v>0.98624690876721877</v>
      </c>
      <c r="U251" s="156">
        <f t="shared" si="357"/>
        <v>0.98602662571283584</v>
      </c>
      <c r="V251" s="156">
        <f t="shared" si="357"/>
        <v>0.98634945602271351</v>
      </c>
      <c r="W251" s="156">
        <f t="shared" ref="W251:Y251" si="358">IF(W33=0,0,W33/W$31)</f>
        <v>0.98682066425987613</v>
      </c>
      <c r="X251" s="156">
        <f t="shared" si="358"/>
        <v>0.98561764295942711</v>
      </c>
      <c r="Y251" s="156">
        <f t="shared" si="358"/>
        <v>0.98264367038546285</v>
      </c>
      <c r="DA251" s="213"/>
    </row>
    <row r="252" spans="1:105" ht="11.45" customHeight="1" x14ac:dyDescent="0.25">
      <c r="A252" s="157" t="s">
        <v>110</v>
      </c>
      <c r="B252" s="103">
        <f t="shared" ref="B252:K252" si="359">IF(B34=0,0,B34/B$31)</f>
        <v>0.85057728783025277</v>
      </c>
      <c r="C252" s="103">
        <f t="shared" si="359"/>
        <v>0.85240577930907702</v>
      </c>
      <c r="D252" s="103">
        <f t="shared" si="359"/>
        <v>0.85021946854661234</v>
      </c>
      <c r="E252" s="103">
        <f t="shared" si="359"/>
        <v>0.8455343661567134</v>
      </c>
      <c r="F252" s="103">
        <f t="shared" si="359"/>
        <v>0.83573434498576782</v>
      </c>
      <c r="G252" s="103">
        <f t="shared" si="359"/>
        <v>0.81184032832561448</v>
      </c>
      <c r="H252" s="103">
        <f t="shared" si="359"/>
        <v>0.80755511074273945</v>
      </c>
      <c r="I252" s="103">
        <f t="shared" si="359"/>
        <v>0.79845511634820321</v>
      </c>
      <c r="J252" s="103">
        <f t="shared" si="359"/>
        <v>0.76632555492267485</v>
      </c>
      <c r="K252" s="103">
        <f t="shared" si="359"/>
        <v>0.73169499761330581</v>
      </c>
      <c r="L252" s="103">
        <f t="shared" ref="L252" si="360">IF(L34=0,0,L34/L$31)</f>
        <v>0.69005357981427351</v>
      </c>
      <c r="M252" s="103">
        <f t="shared" ref="M252:V252" si="361">IF(M34=0,0,M34/M$31)</f>
        <v>0.63444129220393575</v>
      </c>
      <c r="N252" s="103">
        <f t="shared" si="361"/>
        <v>0.60806554751539388</v>
      </c>
      <c r="O252" s="103">
        <f t="shared" si="361"/>
        <v>0.56493288579424261</v>
      </c>
      <c r="P252" s="103">
        <f t="shared" si="361"/>
        <v>0.53441446804337023</v>
      </c>
      <c r="Q252" s="103">
        <f t="shared" si="361"/>
        <v>0.48178451937294442</v>
      </c>
      <c r="R252" s="103">
        <f t="shared" si="361"/>
        <v>0.43706147613103097</v>
      </c>
      <c r="S252" s="103">
        <f t="shared" si="361"/>
        <v>0.40494455939578916</v>
      </c>
      <c r="T252" s="103">
        <f t="shared" si="361"/>
        <v>0.38153715627655876</v>
      </c>
      <c r="U252" s="103">
        <f t="shared" si="361"/>
        <v>0.36629371848229081</v>
      </c>
      <c r="V252" s="103">
        <f t="shared" si="361"/>
        <v>0.33669315721255322</v>
      </c>
      <c r="W252" s="103">
        <f t="shared" ref="W252:Y252" si="362">IF(W34=0,0,W34/W$31)</f>
        <v>0.33185346069342903</v>
      </c>
      <c r="X252" s="103">
        <f t="shared" si="362"/>
        <v>0.34522201925053231</v>
      </c>
      <c r="Y252" s="103">
        <f t="shared" si="362"/>
        <v>0.35894154161380026</v>
      </c>
      <c r="DA252" s="191"/>
    </row>
    <row r="253" spans="1:105" ht="11.45" customHeight="1" x14ac:dyDescent="0.25">
      <c r="A253" s="157" t="s">
        <v>111</v>
      </c>
      <c r="B253" s="103">
        <f t="shared" ref="B253:K253" si="363">IF(B35=0,0,B35/B$31)</f>
        <v>0.13400235141589911</v>
      </c>
      <c r="C253" s="103">
        <f t="shared" si="363"/>
        <v>0.13264535760312218</v>
      </c>
      <c r="D253" s="103">
        <f t="shared" si="363"/>
        <v>0.13531520370786213</v>
      </c>
      <c r="E253" s="103">
        <f t="shared" si="363"/>
        <v>0.1397876312355536</v>
      </c>
      <c r="F253" s="103">
        <f t="shared" si="363"/>
        <v>0.14982662144373116</v>
      </c>
      <c r="G253" s="103">
        <f t="shared" si="363"/>
        <v>0.17305674858299969</v>
      </c>
      <c r="H253" s="103">
        <f t="shared" si="363"/>
        <v>0.17835868509733693</v>
      </c>
      <c r="I253" s="103">
        <f t="shared" si="363"/>
        <v>0.18685700957900128</v>
      </c>
      <c r="J253" s="103">
        <f t="shared" si="363"/>
        <v>0.21884826202416413</v>
      </c>
      <c r="K253" s="103">
        <f t="shared" si="363"/>
        <v>0.25379575100562307</v>
      </c>
      <c r="L253" s="103">
        <f t="shared" ref="L253" si="364">IF(L35=0,0,L35/L$31)</f>
        <v>0.29611667451817364</v>
      </c>
      <c r="M253" s="103">
        <f t="shared" ref="M253:V253" si="365">IF(M35=0,0,M35/M$31)</f>
        <v>0.35166595676655182</v>
      </c>
      <c r="N253" s="103">
        <f t="shared" si="365"/>
        <v>0.37780527889041193</v>
      </c>
      <c r="O253" s="103">
        <f t="shared" si="365"/>
        <v>0.42148733942244698</v>
      </c>
      <c r="P253" s="103">
        <f t="shared" si="365"/>
        <v>0.45061687271199868</v>
      </c>
      <c r="Q253" s="103">
        <f t="shared" si="365"/>
        <v>0.50374907159532956</v>
      </c>
      <c r="R253" s="103">
        <f t="shared" si="365"/>
        <v>0.54801486069212513</v>
      </c>
      <c r="S253" s="103">
        <f t="shared" si="365"/>
        <v>0.57936879901892613</v>
      </c>
      <c r="T253" s="103">
        <f t="shared" si="365"/>
        <v>0.60102515905686948</v>
      </c>
      <c r="U253" s="103">
        <f t="shared" si="365"/>
        <v>0.61373475875391492</v>
      </c>
      <c r="V253" s="103">
        <f t="shared" si="365"/>
        <v>0.64076340723998115</v>
      </c>
      <c r="W253" s="103">
        <f t="shared" ref="W253:Y253" si="366">IF(W35=0,0,W35/W$31)</f>
        <v>0.63713753230121284</v>
      </c>
      <c r="X253" s="103">
        <f t="shared" si="366"/>
        <v>0.61261326673243122</v>
      </c>
      <c r="Y253" s="103">
        <f t="shared" si="366"/>
        <v>0.58199172534230081</v>
      </c>
      <c r="DA253" s="191"/>
    </row>
    <row r="254" spans="1:105" ht="11.45" customHeight="1" x14ac:dyDescent="0.25">
      <c r="A254" s="157" t="s">
        <v>112</v>
      </c>
      <c r="B254" s="103">
        <f t="shared" ref="B254:K254" si="367">IF(B36=0,0,B36/B$31)</f>
        <v>1.1972711719368599E-3</v>
      </c>
      <c r="C254" s="103">
        <f t="shared" si="367"/>
        <v>8.404148618516475E-4</v>
      </c>
      <c r="D254" s="103">
        <f t="shared" si="367"/>
        <v>6.9392638648230513E-4</v>
      </c>
      <c r="E254" s="103">
        <f t="shared" si="367"/>
        <v>5.6630167151188945E-4</v>
      </c>
      <c r="F254" s="103">
        <f t="shared" si="367"/>
        <v>5.1814026480700634E-4</v>
      </c>
      <c r="G254" s="103">
        <f t="shared" si="367"/>
        <v>4.68388181296741E-4</v>
      </c>
      <c r="H254" s="103">
        <f t="shared" si="367"/>
        <v>3.6406597699296917E-4</v>
      </c>
      <c r="I254" s="103">
        <f t="shared" si="367"/>
        <v>4.8844119707497618E-4</v>
      </c>
      <c r="J254" s="103">
        <f t="shared" si="367"/>
        <v>3.5093180810727995E-4</v>
      </c>
      <c r="K254" s="103">
        <f t="shared" si="367"/>
        <v>2.4952680876807836E-4</v>
      </c>
      <c r="L254" s="103">
        <f t="shared" ref="L254" si="368">IF(L36=0,0,L36/L$31)</f>
        <v>2.2062755893808111E-4</v>
      </c>
      <c r="M254" s="103">
        <f t="shared" ref="M254:V254" si="369">IF(M36=0,0,M36/M$31)</f>
        <v>2.4541340756882346E-4</v>
      </c>
      <c r="N254" s="103">
        <f t="shared" si="369"/>
        <v>4.6112283876953197E-4</v>
      </c>
      <c r="O254" s="103">
        <f t="shared" si="369"/>
        <v>6.0742594241206373E-4</v>
      </c>
      <c r="P254" s="103">
        <f t="shared" si="369"/>
        <v>1.0449901983835103E-3</v>
      </c>
      <c r="Q254" s="103">
        <f t="shared" si="369"/>
        <v>1.1202628715580589E-3</v>
      </c>
      <c r="R254" s="103">
        <f t="shared" si="369"/>
        <v>1.0567529326539916E-3</v>
      </c>
      <c r="S254" s="103">
        <f t="shared" si="369"/>
        <v>8.9902881893192733E-4</v>
      </c>
      <c r="T254" s="103">
        <f t="shared" si="369"/>
        <v>7.6608536663774708E-4</v>
      </c>
      <c r="U254" s="103">
        <f t="shared" si="369"/>
        <v>6.6754492960298547E-4</v>
      </c>
      <c r="V254" s="103">
        <f t="shared" si="369"/>
        <v>6.6672464476229254E-4</v>
      </c>
      <c r="W254" s="103">
        <f t="shared" ref="W254:Y254" si="370">IF(W36=0,0,W36/W$31)</f>
        <v>6.2788959806808135E-4</v>
      </c>
      <c r="X254" s="103">
        <f t="shared" si="370"/>
        <v>6.3729538216064348E-4</v>
      </c>
      <c r="Y254" s="103">
        <f t="shared" si="370"/>
        <v>5.4263096885115696E-4</v>
      </c>
      <c r="DA254" s="191"/>
    </row>
    <row r="255" spans="1:105" ht="11.45" customHeight="1" x14ac:dyDescent="0.25">
      <c r="A255" s="157" t="s">
        <v>113</v>
      </c>
      <c r="B255" s="103">
        <f t="shared" ref="B255:K255" si="371">IF(B37=0,0,B37/B$31)</f>
        <v>0</v>
      </c>
      <c r="C255" s="103">
        <f t="shared" si="371"/>
        <v>0</v>
      </c>
      <c r="D255" s="103">
        <f t="shared" si="371"/>
        <v>0</v>
      </c>
      <c r="E255" s="103">
        <f t="shared" si="371"/>
        <v>0</v>
      </c>
      <c r="F255" s="103">
        <f t="shared" si="371"/>
        <v>0</v>
      </c>
      <c r="G255" s="103">
        <f t="shared" si="371"/>
        <v>0</v>
      </c>
      <c r="H255" s="103">
        <f t="shared" si="371"/>
        <v>0</v>
      </c>
      <c r="I255" s="103">
        <f t="shared" si="371"/>
        <v>0</v>
      </c>
      <c r="J255" s="103">
        <f t="shared" si="371"/>
        <v>0</v>
      </c>
      <c r="K255" s="103">
        <f t="shared" si="371"/>
        <v>0</v>
      </c>
      <c r="L255" s="103">
        <f t="shared" ref="L255" si="372">IF(L37=0,0,L37/L$31)</f>
        <v>0</v>
      </c>
      <c r="M255" s="103">
        <f t="shared" ref="M255:V255" si="373">IF(M37=0,0,M37/M$31)</f>
        <v>0</v>
      </c>
      <c r="N255" s="103">
        <f t="shared" si="373"/>
        <v>0</v>
      </c>
      <c r="O255" s="103">
        <f t="shared" si="373"/>
        <v>0</v>
      </c>
      <c r="P255" s="103">
        <f t="shared" si="373"/>
        <v>4.5246998280523126E-6</v>
      </c>
      <c r="Q255" s="103">
        <f t="shared" si="373"/>
        <v>7.5206458510191362E-6</v>
      </c>
      <c r="R255" s="103">
        <f t="shared" si="373"/>
        <v>7.253354759539459E-6</v>
      </c>
      <c r="S255" s="103">
        <f t="shared" si="373"/>
        <v>6.8465599112951594E-6</v>
      </c>
      <c r="T255" s="103">
        <f t="shared" si="373"/>
        <v>5.9975053286216532E-6</v>
      </c>
      <c r="U255" s="103">
        <f t="shared" si="373"/>
        <v>5.5378078240344287E-6</v>
      </c>
      <c r="V255" s="103">
        <f t="shared" si="373"/>
        <v>5.3845100422808292E-6</v>
      </c>
      <c r="W255" s="103">
        <f t="shared" ref="W255:Y255" si="374">IF(W37=0,0,W37/W$31)</f>
        <v>4.7968934480163263E-6</v>
      </c>
      <c r="X255" s="103">
        <f t="shared" si="374"/>
        <v>6.2076670270387322E-5</v>
      </c>
      <c r="Y255" s="103">
        <f t="shared" si="374"/>
        <v>5.3859209040734206E-5</v>
      </c>
      <c r="DA255" s="191"/>
    </row>
    <row r="256" spans="1:105" ht="11.45" customHeight="1" x14ac:dyDescent="0.25">
      <c r="A256" s="157" t="s">
        <v>114</v>
      </c>
      <c r="B256" s="103">
        <f t="shared" ref="B256:K256" si="375">IF(B38=0,0,B38/B$31)</f>
        <v>0</v>
      </c>
      <c r="C256" s="103">
        <f t="shared" si="375"/>
        <v>0</v>
      </c>
      <c r="D256" s="103">
        <f t="shared" si="375"/>
        <v>0</v>
      </c>
      <c r="E256" s="103">
        <f t="shared" si="375"/>
        <v>0</v>
      </c>
      <c r="F256" s="103">
        <f t="shared" si="375"/>
        <v>0</v>
      </c>
      <c r="G256" s="103">
        <f t="shared" si="375"/>
        <v>0</v>
      </c>
      <c r="H256" s="103">
        <f t="shared" si="375"/>
        <v>0</v>
      </c>
      <c r="I256" s="103">
        <f t="shared" si="375"/>
        <v>0</v>
      </c>
      <c r="J256" s="103">
        <f t="shared" si="375"/>
        <v>0</v>
      </c>
      <c r="K256" s="103">
        <f t="shared" si="375"/>
        <v>0</v>
      </c>
      <c r="L256" s="103">
        <f t="shared" ref="L256" si="376">IF(L38=0,0,L38/L$31)</f>
        <v>0</v>
      </c>
      <c r="M256" s="103">
        <f t="shared" ref="M256:V256" si="377">IF(M38=0,0,M38/M$31)</f>
        <v>0</v>
      </c>
      <c r="N256" s="103">
        <f t="shared" si="377"/>
        <v>0</v>
      </c>
      <c r="O256" s="103">
        <f t="shared" si="377"/>
        <v>3.2421052720394623E-6</v>
      </c>
      <c r="P256" s="103">
        <f t="shared" si="377"/>
        <v>1.5520590166595976E-5</v>
      </c>
      <c r="Q256" s="103">
        <f t="shared" si="377"/>
        <v>5.6431508259035427E-5</v>
      </c>
      <c r="R256" s="103">
        <f t="shared" si="377"/>
        <v>1.776365266796193E-4</v>
      </c>
      <c r="S256" s="103">
        <f t="shared" si="377"/>
        <v>3.0240467559936062E-4</v>
      </c>
      <c r="T256" s="103">
        <f t="shared" si="377"/>
        <v>6.6186496476532846E-4</v>
      </c>
      <c r="U256" s="103">
        <f t="shared" si="377"/>
        <v>1.1797109268910154E-3</v>
      </c>
      <c r="V256" s="103">
        <f t="shared" si="377"/>
        <v>2.1352119944871234E-3</v>
      </c>
      <c r="W256" s="103">
        <f t="shared" ref="W256:Y256" si="378">IF(W38=0,0,W38/W$31)</f>
        <v>6.6479639497092754E-3</v>
      </c>
      <c r="X256" s="103">
        <f t="shared" si="378"/>
        <v>9.8388442720311175E-3</v>
      </c>
      <c r="Y256" s="103">
        <f t="shared" si="378"/>
        <v>1.3961569707115932E-2</v>
      </c>
      <c r="DA256" s="191"/>
    </row>
    <row r="257" spans="1:105" ht="11.45" customHeight="1" x14ac:dyDescent="0.25">
      <c r="A257" s="157" t="s">
        <v>115</v>
      </c>
      <c r="B257" s="103">
        <f t="shared" ref="B257:K257" si="379">IF(B39=0,0,B39/B$31)</f>
        <v>0</v>
      </c>
      <c r="C257" s="103">
        <f t="shared" si="379"/>
        <v>0</v>
      </c>
      <c r="D257" s="103">
        <f t="shared" si="379"/>
        <v>0</v>
      </c>
      <c r="E257" s="103">
        <f t="shared" si="379"/>
        <v>0</v>
      </c>
      <c r="F257" s="103">
        <f t="shared" si="379"/>
        <v>0</v>
      </c>
      <c r="G257" s="103">
        <f t="shared" si="379"/>
        <v>0</v>
      </c>
      <c r="H257" s="103">
        <f t="shared" si="379"/>
        <v>0</v>
      </c>
      <c r="I257" s="103">
        <f t="shared" si="379"/>
        <v>0</v>
      </c>
      <c r="J257" s="103">
        <f t="shared" si="379"/>
        <v>0</v>
      </c>
      <c r="K257" s="103">
        <f t="shared" si="379"/>
        <v>1.0749814134633951E-6</v>
      </c>
      <c r="L257" s="103">
        <f t="shared" ref="L257" si="380">IF(L39=0,0,L39/L$31)</f>
        <v>1.0300019936745846E-5</v>
      </c>
      <c r="M257" s="103">
        <f t="shared" ref="M257:V257" si="381">IF(M39=0,0,M39/M$31)</f>
        <v>3.3149880005139032E-4</v>
      </c>
      <c r="N257" s="103">
        <f t="shared" si="381"/>
        <v>4.4129037714887837E-4</v>
      </c>
      <c r="O257" s="103">
        <f t="shared" si="381"/>
        <v>1.5569829310007292E-4</v>
      </c>
      <c r="P257" s="103">
        <f t="shared" si="381"/>
        <v>3.1455997969274632E-4</v>
      </c>
      <c r="Q257" s="103">
        <f t="shared" si="381"/>
        <v>5.3527743507036712E-4</v>
      </c>
      <c r="R257" s="103">
        <f t="shared" si="381"/>
        <v>8.5368551824896455E-4</v>
      </c>
      <c r="S257" s="103">
        <f t="shared" si="381"/>
        <v>1.3448579839488997E-3</v>
      </c>
      <c r="T257" s="103">
        <f t="shared" si="381"/>
        <v>2.250645597058861E-3</v>
      </c>
      <c r="U257" s="103">
        <f t="shared" si="381"/>
        <v>4.1453548123122326E-3</v>
      </c>
      <c r="V257" s="103">
        <f t="shared" si="381"/>
        <v>6.0855704208873564E-3</v>
      </c>
      <c r="W257" s="103">
        <f t="shared" ref="W257:Y257" si="382">IF(W39=0,0,W39/W$31)</f>
        <v>1.0549020824008729E-2</v>
      </c>
      <c r="X257" s="103">
        <f t="shared" si="382"/>
        <v>1.7244140652001218E-2</v>
      </c>
      <c r="Y257" s="103">
        <f t="shared" si="382"/>
        <v>2.7152343544353814E-2</v>
      </c>
      <c r="DA257" s="191"/>
    </row>
    <row r="258" spans="1:105" ht="11.45" customHeight="1" x14ac:dyDescent="0.25">
      <c r="A258" s="155" t="s">
        <v>21</v>
      </c>
      <c r="B258" s="156">
        <f t="shared" ref="B258:K258" si="383">IF(B40=0,0,B40/B$31)</f>
        <v>9.3748241560062326E-3</v>
      </c>
      <c r="C258" s="156">
        <f t="shared" si="383"/>
        <v>9.1901919988668316E-3</v>
      </c>
      <c r="D258" s="156">
        <f t="shared" si="383"/>
        <v>9.025307428842293E-3</v>
      </c>
      <c r="E258" s="156">
        <f t="shared" si="383"/>
        <v>9.2091807517425354E-3</v>
      </c>
      <c r="F258" s="156">
        <f t="shared" si="383"/>
        <v>9.3194319796846212E-3</v>
      </c>
      <c r="G258" s="156">
        <f t="shared" si="383"/>
        <v>9.2659687467742304E-3</v>
      </c>
      <c r="H258" s="156">
        <f t="shared" si="383"/>
        <v>8.9631417768730078E-3</v>
      </c>
      <c r="I258" s="156">
        <f t="shared" si="383"/>
        <v>9.4595767973658876E-3</v>
      </c>
      <c r="J258" s="156">
        <f t="shared" si="383"/>
        <v>9.6623250468140659E-3</v>
      </c>
      <c r="K258" s="156">
        <f t="shared" si="383"/>
        <v>9.7582894694827321E-3</v>
      </c>
      <c r="L258" s="156">
        <f t="shared" ref="L258" si="384">IF(L40=0,0,L40/L$31)</f>
        <v>9.6260493422352256E-3</v>
      </c>
      <c r="M258" s="156">
        <f t="shared" ref="M258:V258" si="385">IF(M40=0,0,M40/M$31)</f>
        <v>9.5916054095075021E-3</v>
      </c>
      <c r="N258" s="156">
        <f t="shared" si="385"/>
        <v>9.7554231079366154E-3</v>
      </c>
      <c r="O258" s="156">
        <f t="shared" si="385"/>
        <v>9.4735451721212494E-3</v>
      </c>
      <c r="P258" s="156">
        <f t="shared" si="385"/>
        <v>9.7135471673356656E-3</v>
      </c>
      <c r="Q258" s="156">
        <f t="shared" si="385"/>
        <v>9.3029189677504738E-3</v>
      </c>
      <c r="R258" s="156">
        <f t="shared" si="385"/>
        <v>9.3882083491300446E-3</v>
      </c>
      <c r="S258" s="156">
        <f t="shared" si="385"/>
        <v>9.9648489826456438E-3</v>
      </c>
      <c r="T258" s="156">
        <f t="shared" si="385"/>
        <v>1.0722293278011521E-2</v>
      </c>
      <c r="U258" s="156">
        <f t="shared" si="385"/>
        <v>1.076535883270679E-2</v>
      </c>
      <c r="V258" s="156">
        <f t="shared" si="385"/>
        <v>1.0302864853526205E-2</v>
      </c>
      <c r="W258" s="156">
        <f t="shared" ref="W258:Y258" si="386">IF(W40=0,0,W40/W$31)</f>
        <v>9.8391588436364062E-3</v>
      </c>
      <c r="X258" s="156">
        <f t="shared" si="386"/>
        <v>1.1318066620991437E-2</v>
      </c>
      <c r="Y258" s="156">
        <f t="shared" si="386"/>
        <v>1.411151240173243E-2</v>
      </c>
      <c r="DA258" s="213"/>
    </row>
    <row r="259" spans="1:105" ht="11.45" customHeight="1" x14ac:dyDescent="0.25">
      <c r="A259" s="157" t="s">
        <v>110</v>
      </c>
      <c r="B259" s="103">
        <f t="shared" ref="B259:K259" si="387">IF(B41=0,0,B41/B$31)</f>
        <v>1.8900070830896499E-4</v>
      </c>
      <c r="C259" s="103">
        <f t="shared" si="387"/>
        <v>1.6259167663133586E-4</v>
      </c>
      <c r="D259" s="103">
        <f t="shared" si="387"/>
        <v>1.4257225349177574E-4</v>
      </c>
      <c r="E259" s="103">
        <f t="shared" si="387"/>
        <v>1.237116730578781E-4</v>
      </c>
      <c r="F259" s="103">
        <f t="shared" si="387"/>
        <v>1.0598433924603653E-4</v>
      </c>
      <c r="G259" s="103">
        <f t="shared" si="387"/>
        <v>8.8265736651239407E-5</v>
      </c>
      <c r="H259" s="103">
        <f t="shared" si="387"/>
        <v>6.8888871873758786E-5</v>
      </c>
      <c r="I259" s="103">
        <f t="shared" si="387"/>
        <v>6.0655719858642924E-5</v>
      </c>
      <c r="J259" s="103">
        <f t="shared" si="387"/>
        <v>5.0149548150851394E-5</v>
      </c>
      <c r="K259" s="103">
        <f t="shared" si="387"/>
        <v>4.2382183323282053E-5</v>
      </c>
      <c r="L259" s="103">
        <f t="shared" ref="L259" si="388">IF(L41=0,0,L41/L$31)</f>
        <v>3.3992858643083029E-5</v>
      </c>
      <c r="M259" s="103">
        <f t="shared" ref="M259:V259" si="389">IF(M41=0,0,M41/M$31)</f>
        <v>2.7625375047211478E-5</v>
      </c>
      <c r="N259" s="103">
        <f t="shared" si="389"/>
        <v>2.1559299446126012E-5</v>
      </c>
      <c r="O259" s="103">
        <f t="shared" si="389"/>
        <v>2.0912610483330767E-5</v>
      </c>
      <c r="P259" s="103">
        <f t="shared" si="389"/>
        <v>2.1095794620742762E-5</v>
      </c>
      <c r="Q259" s="103">
        <f t="shared" si="389"/>
        <v>1.7054584958333978E-5</v>
      </c>
      <c r="R259" s="103">
        <f t="shared" si="389"/>
        <v>1.3505453470086323E-5</v>
      </c>
      <c r="S259" s="103">
        <f t="shared" si="389"/>
        <v>1.6511753324441339E-5</v>
      </c>
      <c r="T259" s="103">
        <f t="shared" si="389"/>
        <v>1.1278445151499376E-5</v>
      </c>
      <c r="U259" s="103">
        <f t="shared" si="389"/>
        <v>1.3663680728324274E-5</v>
      </c>
      <c r="V259" s="103">
        <f t="shared" si="389"/>
        <v>1.4447120501357052E-5</v>
      </c>
      <c r="W259" s="103">
        <f t="shared" ref="W259:Y259" si="390">IF(W41=0,0,W41/W$31)</f>
        <v>1.241599945966638E-5</v>
      </c>
      <c r="X259" s="103">
        <f t="shared" si="390"/>
        <v>3.7150866264279163E-5</v>
      </c>
      <c r="Y259" s="103">
        <f t="shared" si="390"/>
        <v>1.1066399650403824E-4</v>
      </c>
      <c r="DA259" s="191"/>
    </row>
    <row r="260" spans="1:105" ht="11.45" customHeight="1" x14ac:dyDescent="0.25">
      <c r="A260" s="157" t="s">
        <v>111</v>
      </c>
      <c r="B260" s="103">
        <f t="shared" ref="B260:K260" si="391">IF(B42=0,0,B42/B$31)</f>
        <v>9.1858234476972674E-3</v>
      </c>
      <c r="C260" s="103">
        <f t="shared" si="391"/>
        <v>9.026948879882337E-3</v>
      </c>
      <c r="D260" s="103">
        <f t="shared" si="391"/>
        <v>8.8820918683701379E-3</v>
      </c>
      <c r="E260" s="103">
        <f t="shared" si="391"/>
        <v>9.0848338411397278E-3</v>
      </c>
      <c r="F260" s="103">
        <f t="shared" si="391"/>
        <v>9.212814841319918E-3</v>
      </c>
      <c r="G260" s="103">
        <f t="shared" si="391"/>
        <v>9.1770850979891443E-3</v>
      </c>
      <c r="H260" s="103">
        <f t="shared" si="391"/>
        <v>8.8936820084837033E-3</v>
      </c>
      <c r="I260" s="103">
        <f t="shared" si="391"/>
        <v>9.3983432569636829E-3</v>
      </c>
      <c r="J260" s="103">
        <f t="shared" si="391"/>
        <v>9.6109362441320206E-3</v>
      </c>
      <c r="K260" s="103">
        <f t="shared" si="391"/>
        <v>9.7146450735557822E-3</v>
      </c>
      <c r="L260" s="103">
        <f t="shared" ref="L260" si="392">IF(L42=0,0,L42/L$31)</f>
        <v>9.5907824880009859E-3</v>
      </c>
      <c r="M260" s="103">
        <f t="shared" ref="M260:V260" si="393">IF(M42=0,0,M42/M$31)</f>
        <v>9.5626777258987199E-3</v>
      </c>
      <c r="N260" s="103">
        <f t="shared" si="393"/>
        <v>9.7325172811299574E-3</v>
      </c>
      <c r="O260" s="103">
        <f t="shared" si="393"/>
        <v>9.4513284084824113E-3</v>
      </c>
      <c r="P260" s="103">
        <f t="shared" si="393"/>
        <v>9.6911379261992985E-3</v>
      </c>
      <c r="Q260" s="103">
        <f t="shared" si="393"/>
        <v>9.2846390685788673E-3</v>
      </c>
      <c r="R260" s="103">
        <f t="shared" si="393"/>
        <v>9.3735265449074855E-3</v>
      </c>
      <c r="S260" s="103">
        <f t="shared" si="393"/>
        <v>9.9472021117079645E-3</v>
      </c>
      <c r="T260" s="103">
        <f t="shared" si="393"/>
        <v>1.0708923770366691E-2</v>
      </c>
      <c r="U260" s="103">
        <f t="shared" si="393"/>
        <v>1.0730929990694736E-2</v>
      </c>
      <c r="V260" s="103">
        <f t="shared" si="393"/>
        <v>1.0238116761518132E-2</v>
      </c>
      <c r="W260" s="103">
        <f t="shared" ref="W260:Y260" si="394">IF(W42=0,0,W42/W$31)</f>
        <v>9.7776542586902136E-3</v>
      </c>
      <c r="X260" s="103">
        <f t="shared" si="394"/>
        <v>1.1202418063508635E-2</v>
      </c>
      <c r="Y260" s="103">
        <f t="shared" si="394"/>
        <v>1.3868577798400077E-2</v>
      </c>
      <c r="DA260" s="191"/>
    </row>
    <row r="261" spans="1:105" ht="11.45" customHeight="1" x14ac:dyDescent="0.25">
      <c r="A261" s="157" t="s">
        <v>112</v>
      </c>
      <c r="B261" s="103">
        <f t="shared" ref="B261:K261" si="395">IF(B43=0,0,B43/B$31)</f>
        <v>0</v>
      </c>
      <c r="C261" s="103">
        <f t="shared" si="395"/>
        <v>6.5144235315875211E-7</v>
      </c>
      <c r="D261" s="103">
        <f t="shared" si="395"/>
        <v>6.4330698037901258E-7</v>
      </c>
      <c r="E261" s="103">
        <f t="shared" si="395"/>
        <v>6.352375449278796E-7</v>
      </c>
      <c r="F261" s="103">
        <f t="shared" si="395"/>
        <v>6.3279911866596142E-7</v>
      </c>
      <c r="G261" s="103">
        <f t="shared" si="395"/>
        <v>6.1791213384583314E-7</v>
      </c>
      <c r="H261" s="103">
        <f t="shared" si="395"/>
        <v>5.7089651554489616E-7</v>
      </c>
      <c r="I261" s="103">
        <f t="shared" si="395"/>
        <v>5.7782054356216876E-7</v>
      </c>
      <c r="J261" s="103">
        <f t="shared" si="395"/>
        <v>0</v>
      </c>
      <c r="K261" s="103">
        <f t="shared" si="395"/>
        <v>0</v>
      </c>
      <c r="L261" s="103">
        <f t="shared" ref="L261" si="396">IF(L43=0,0,L43/L$31)</f>
        <v>0</v>
      </c>
      <c r="M261" s="103">
        <f t="shared" ref="M261:V261" si="397">IF(M43=0,0,M43/M$31)</f>
        <v>0</v>
      </c>
      <c r="N261" s="103">
        <f t="shared" si="397"/>
        <v>0</v>
      </c>
      <c r="O261" s="103">
        <f t="shared" si="397"/>
        <v>0</v>
      </c>
      <c r="P261" s="103">
        <f t="shared" si="397"/>
        <v>0</v>
      </c>
      <c r="Q261" s="103">
        <f t="shared" si="397"/>
        <v>0</v>
      </c>
      <c r="R261" s="103">
        <f t="shared" si="397"/>
        <v>0</v>
      </c>
      <c r="S261" s="103">
        <f t="shared" si="397"/>
        <v>0</v>
      </c>
      <c r="T261" s="103">
        <f t="shared" si="397"/>
        <v>0</v>
      </c>
      <c r="U261" s="103">
        <f t="shared" si="397"/>
        <v>0</v>
      </c>
      <c r="V261" s="103">
        <f t="shared" si="397"/>
        <v>0</v>
      </c>
      <c r="W261" s="103">
        <f t="shared" ref="W261:Y261" si="398">IF(W43=0,0,W43/W$31)</f>
        <v>0</v>
      </c>
      <c r="X261" s="103">
        <f t="shared" si="398"/>
        <v>0</v>
      </c>
      <c r="Y261" s="103">
        <f t="shared" si="398"/>
        <v>0</v>
      </c>
      <c r="DA261" s="191"/>
    </row>
    <row r="262" spans="1:105" ht="11.45" customHeight="1" x14ac:dyDescent="0.25">
      <c r="A262" s="157" t="s">
        <v>113</v>
      </c>
      <c r="B262" s="103">
        <f t="shared" ref="B262:K262" si="399">IF(B44=0,0,B44/B$31)</f>
        <v>0</v>
      </c>
      <c r="C262" s="103">
        <f t="shared" si="399"/>
        <v>0</v>
      </c>
      <c r="D262" s="103">
        <f t="shared" si="399"/>
        <v>0</v>
      </c>
      <c r="E262" s="103">
        <f t="shared" si="399"/>
        <v>0</v>
      </c>
      <c r="F262" s="103">
        <f t="shared" si="399"/>
        <v>0</v>
      </c>
      <c r="G262" s="103">
        <f t="shared" si="399"/>
        <v>0</v>
      </c>
      <c r="H262" s="103">
        <f t="shared" si="399"/>
        <v>0</v>
      </c>
      <c r="I262" s="103">
        <f t="shared" si="399"/>
        <v>0</v>
      </c>
      <c r="J262" s="103">
        <f t="shared" si="399"/>
        <v>0</v>
      </c>
      <c r="K262" s="103">
        <f t="shared" si="399"/>
        <v>0</v>
      </c>
      <c r="L262" s="103">
        <f t="shared" ref="L262" si="400">IF(L44=0,0,L44/L$31)</f>
        <v>0</v>
      </c>
      <c r="M262" s="103">
        <f t="shared" ref="M262:V262" si="401">IF(M44=0,0,M44/M$31)</f>
        <v>0</v>
      </c>
      <c r="N262" s="103">
        <f t="shared" si="401"/>
        <v>0</v>
      </c>
      <c r="O262" s="103">
        <f t="shared" si="401"/>
        <v>0</v>
      </c>
      <c r="P262" s="103">
        <f t="shared" si="401"/>
        <v>0</v>
      </c>
      <c r="Q262" s="103">
        <f t="shared" si="401"/>
        <v>0</v>
      </c>
      <c r="R262" s="103">
        <f t="shared" si="401"/>
        <v>0</v>
      </c>
      <c r="S262" s="103">
        <f t="shared" si="401"/>
        <v>0</v>
      </c>
      <c r="T262" s="103">
        <f t="shared" si="401"/>
        <v>9.5004648687791818E-7</v>
      </c>
      <c r="U262" s="103">
        <f t="shared" si="401"/>
        <v>1.9638395152960145E-5</v>
      </c>
      <c r="V262" s="103">
        <f t="shared" si="401"/>
        <v>4.5483944508094144E-5</v>
      </c>
      <c r="W262" s="103">
        <f t="shared" ref="W262:Y262" si="402">IF(W44=0,0,W44/W$31)</f>
        <v>4.169531262245713E-5</v>
      </c>
      <c r="X262" s="103">
        <f t="shared" si="402"/>
        <v>5.5938474665372402E-5</v>
      </c>
      <c r="Y262" s="103">
        <f t="shared" si="402"/>
        <v>6.5538292288105322E-5</v>
      </c>
      <c r="DA262" s="191"/>
    </row>
    <row r="263" spans="1:105" ht="11.45" customHeight="1" x14ac:dyDescent="0.25">
      <c r="A263" s="157" t="s">
        <v>115</v>
      </c>
      <c r="B263" s="103">
        <f t="shared" ref="B263:K263" si="403">IF(B45=0,0,B45/B$31)</f>
        <v>0</v>
      </c>
      <c r="C263" s="103">
        <f t="shared" si="403"/>
        <v>0</v>
      </c>
      <c r="D263" s="103">
        <f t="shared" si="403"/>
        <v>0</v>
      </c>
      <c r="E263" s="103">
        <f t="shared" si="403"/>
        <v>0</v>
      </c>
      <c r="F263" s="103">
        <f t="shared" si="403"/>
        <v>0</v>
      </c>
      <c r="G263" s="103">
        <f t="shared" si="403"/>
        <v>0</v>
      </c>
      <c r="H263" s="103">
        <f t="shared" si="403"/>
        <v>0</v>
      </c>
      <c r="I263" s="103">
        <f t="shared" si="403"/>
        <v>0</v>
      </c>
      <c r="J263" s="103">
        <f t="shared" si="403"/>
        <v>1.2392545311933773E-6</v>
      </c>
      <c r="K263" s="103">
        <f t="shared" si="403"/>
        <v>1.2622126036659797E-6</v>
      </c>
      <c r="L263" s="103">
        <f t="shared" ref="L263" si="404">IF(L45=0,0,L45/L$31)</f>
        <v>1.2739955911548842E-6</v>
      </c>
      <c r="M263" s="103">
        <f t="shared" ref="M263:V263" si="405">IF(M45=0,0,M45/M$31)</f>
        <v>1.3023085615708293E-6</v>
      </c>
      <c r="N263" s="103">
        <f t="shared" si="405"/>
        <v>1.3465273605318104E-6</v>
      </c>
      <c r="O263" s="103">
        <f t="shared" si="405"/>
        <v>1.30415315550723E-6</v>
      </c>
      <c r="P263" s="103">
        <f t="shared" si="405"/>
        <v>1.3134465156231493E-6</v>
      </c>
      <c r="Q263" s="103">
        <f t="shared" si="405"/>
        <v>1.2253142132748841E-6</v>
      </c>
      <c r="R263" s="103">
        <f t="shared" si="405"/>
        <v>1.1763507524731585E-6</v>
      </c>
      <c r="S263" s="103">
        <f t="shared" si="405"/>
        <v>1.1351176132370561E-6</v>
      </c>
      <c r="T263" s="103">
        <f t="shared" si="405"/>
        <v>1.1410160064509377E-6</v>
      </c>
      <c r="U263" s="103">
        <f t="shared" si="405"/>
        <v>1.1267661307698646E-6</v>
      </c>
      <c r="V263" s="103">
        <f t="shared" si="405"/>
        <v>4.8170269986225994E-6</v>
      </c>
      <c r="W263" s="103">
        <f t="shared" ref="W263:Y263" si="406">IF(W45=0,0,W45/W$31)</f>
        <v>7.3932728640685629E-6</v>
      </c>
      <c r="X263" s="103">
        <f t="shared" si="406"/>
        <v>2.2559216553151789E-5</v>
      </c>
      <c r="Y263" s="103">
        <f t="shared" si="406"/>
        <v>6.6732314540205606E-5</v>
      </c>
      <c r="DA263" s="191"/>
    </row>
    <row r="264" spans="1:105" ht="11.45" customHeight="1" x14ac:dyDescent="0.25">
      <c r="A264" s="27" t="s">
        <v>34</v>
      </c>
      <c r="B264" s="46">
        <f t="shared" ref="B264:K264" si="407">IF(B46=0,0,B46/B$46)</f>
        <v>1</v>
      </c>
      <c r="C264" s="46">
        <f t="shared" si="407"/>
        <v>1</v>
      </c>
      <c r="D264" s="46">
        <f t="shared" si="407"/>
        <v>1</v>
      </c>
      <c r="E264" s="46">
        <f t="shared" si="407"/>
        <v>1</v>
      </c>
      <c r="F264" s="46">
        <f t="shared" si="407"/>
        <v>1</v>
      </c>
      <c r="G264" s="46">
        <f t="shared" si="407"/>
        <v>1</v>
      </c>
      <c r="H264" s="46">
        <f t="shared" si="407"/>
        <v>1</v>
      </c>
      <c r="I264" s="46">
        <f t="shared" si="407"/>
        <v>1</v>
      </c>
      <c r="J264" s="46">
        <f t="shared" si="407"/>
        <v>1</v>
      </c>
      <c r="K264" s="46">
        <f t="shared" si="407"/>
        <v>1</v>
      </c>
      <c r="L264" s="46">
        <f t="shared" ref="L264" si="408">IF(L46=0,0,L46/L$46)</f>
        <v>1</v>
      </c>
      <c r="M264" s="46">
        <f t="shared" ref="M264:V264" si="409">IF(M46=0,0,M46/M$46)</f>
        <v>1</v>
      </c>
      <c r="N264" s="46">
        <f t="shared" si="409"/>
        <v>1</v>
      </c>
      <c r="O264" s="46">
        <f t="shared" si="409"/>
        <v>1</v>
      </c>
      <c r="P264" s="46">
        <f t="shared" si="409"/>
        <v>1</v>
      </c>
      <c r="Q264" s="46">
        <f t="shared" si="409"/>
        <v>1</v>
      </c>
      <c r="R264" s="46">
        <f t="shared" si="409"/>
        <v>1</v>
      </c>
      <c r="S264" s="46">
        <f t="shared" si="409"/>
        <v>1</v>
      </c>
      <c r="T264" s="46">
        <f t="shared" si="409"/>
        <v>1</v>
      </c>
      <c r="U264" s="46">
        <f t="shared" si="409"/>
        <v>1</v>
      </c>
      <c r="V264" s="46">
        <f t="shared" si="409"/>
        <v>1</v>
      </c>
      <c r="W264" s="46">
        <f t="shared" ref="W264:Y264" si="410">IF(W46=0,0,W46/W$46)</f>
        <v>1</v>
      </c>
      <c r="X264" s="46">
        <f t="shared" si="410"/>
        <v>1</v>
      </c>
      <c r="Y264" s="46">
        <f t="shared" si="410"/>
        <v>1</v>
      </c>
      <c r="DA264" s="211"/>
    </row>
    <row r="265" spans="1:105" ht="11.45" customHeight="1" x14ac:dyDescent="0.25">
      <c r="A265" s="153" t="s">
        <v>153</v>
      </c>
      <c r="B265" s="154">
        <f t="shared" ref="B265:K265" si="411">IF(B47=0,0,B47/B$46)</f>
        <v>0.65860767775609275</v>
      </c>
      <c r="C265" s="154">
        <f t="shared" si="411"/>
        <v>0.67072160810191561</v>
      </c>
      <c r="D265" s="154">
        <f t="shared" si="411"/>
        <v>0.6566793269654414</v>
      </c>
      <c r="E265" s="154">
        <f t="shared" si="411"/>
        <v>0.6601624776512659</v>
      </c>
      <c r="F265" s="154">
        <f t="shared" si="411"/>
        <v>0.65241685203506172</v>
      </c>
      <c r="G265" s="154">
        <f t="shared" si="411"/>
        <v>0.64786422347870676</v>
      </c>
      <c r="H265" s="154">
        <f t="shared" si="411"/>
        <v>0.66401855514505326</v>
      </c>
      <c r="I265" s="154">
        <f t="shared" si="411"/>
        <v>0.66514813663015493</v>
      </c>
      <c r="J265" s="154">
        <f t="shared" si="411"/>
        <v>0.68373601815951301</v>
      </c>
      <c r="K265" s="154">
        <f t="shared" si="411"/>
        <v>0.74790707434338322</v>
      </c>
      <c r="L265" s="154">
        <f t="shared" ref="L265" si="412">IF(L47=0,0,L47/L$46)</f>
        <v>0.74308361645714471</v>
      </c>
      <c r="M265" s="154">
        <f t="shared" ref="M265:V265" si="413">IF(M47=0,0,M47/M$46)</f>
        <v>0.74872294923012372</v>
      </c>
      <c r="N265" s="154">
        <f t="shared" si="413"/>
        <v>0.74263042526984568</v>
      </c>
      <c r="O265" s="154">
        <f t="shared" si="413"/>
        <v>0.75104052512329555</v>
      </c>
      <c r="P265" s="154">
        <f t="shared" si="413"/>
        <v>0.74302750652283001</v>
      </c>
      <c r="Q265" s="154">
        <f t="shared" si="413"/>
        <v>0.73142931097350661</v>
      </c>
      <c r="R265" s="154">
        <f t="shared" si="413"/>
        <v>0.70259624388932906</v>
      </c>
      <c r="S265" s="154">
        <f t="shared" si="413"/>
        <v>0.69769036622192782</v>
      </c>
      <c r="T265" s="154">
        <f t="shared" si="413"/>
        <v>0.69532409441764387</v>
      </c>
      <c r="U265" s="154">
        <f t="shared" si="413"/>
        <v>0.67845378127859535</v>
      </c>
      <c r="V265" s="154">
        <f t="shared" si="413"/>
        <v>0.70691895531498727</v>
      </c>
      <c r="W265" s="154">
        <f t="shared" ref="W265:Y265" si="414">IF(W47=0,0,W47/W$46)</f>
        <v>0.69274447731995703</v>
      </c>
      <c r="X265" s="154">
        <f t="shared" si="414"/>
        <v>0.69051922392166809</v>
      </c>
      <c r="Y265" s="154">
        <f t="shared" si="414"/>
        <v>0.70077302084511084</v>
      </c>
      <c r="DA265" s="212"/>
    </row>
    <row r="266" spans="1:105" ht="11.45" customHeight="1" x14ac:dyDescent="0.25">
      <c r="A266" s="157" t="s">
        <v>110</v>
      </c>
      <c r="B266" s="103">
        <f t="shared" ref="B266:K266" si="415">IF(B48=0,0,B48/B$46)</f>
        <v>8.9379445880887753E-3</v>
      </c>
      <c r="C266" s="103">
        <f t="shared" si="415"/>
        <v>7.7405860457744448E-3</v>
      </c>
      <c r="D266" s="103">
        <f t="shared" si="415"/>
        <v>6.5785466079581884E-3</v>
      </c>
      <c r="E266" s="103">
        <f t="shared" si="415"/>
        <v>5.5519554461583628E-3</v>
      </c>
      <c r="F266" s="103">
        <f t="shared" si="415"/>
        <v>4.4859140135135988E-3</v>
      </c>
      <c r="G266" s="103">
        <f t="shared" si="415"/>
        <v>3.2175872488488335E-3</v>
      </c>
      <c r="H266" s="103">
        <f t="shared" si="415"/>
        <v>2.3722052585522556E-3</v>
      </c>
      <c r="I266" s="103">
        <f t="shared" si="415"/>
        <v>1.77315981960742E-3</v>
      </c>
      <c r="J266" s="103">
        <f t="shared" si="415"/>
        <v>1.6347143072299947E-3</v>
      </c>
      <c r="K266" s="103">
        <f t="shared" si="415"/>
        <v>1.6940259845301571E-3</v>
      </c>
      <c r="L266" s="103">
        <f t="shared" ref="L266" si="416">IF(L48=0,0,L48/L$46)</f>
        <v>1.5116797589244332E-3</v>
      </c>
      <c r="M266" s="103">
        <f t="shared" ref="M266:V266" si="417">IF(M48=0,0,M48/M$46)</f>
        <v>1.3188956896636834E-3</v>
      </c>
      <c r="N266" s="103">
        <f t="shared" si="417"/>
        <v>1.1354499583492576E-3</v>
      </c>
      <c r="O266" s="103">
        <f t="shared" si="417"/>
        <v>1.0699856895409125E-3</v>
      </c>
      <c r="P266" s="103">
        <f t="shared" si="417"/>
        <v>9.9916960997326379E-4</v>
      </c>
      <c r="Q266" s="103">
        <f t="shared" si="417"/>
        <v>9.123243420503434E-4</v>
      </c>
      <c r="R266" s="103">
        <f t="shared" si="417"/>
        <v>7.9120389586491749E-4</v>
      </c>
      <c r="S266" s="103">
        <f t="shared" si="417"/>
        <v>8.5425947186560693E-4</v>
      </c>
      <c r="T266" s="103">
        <f t="shared" si="417"/>
        <v>8.7416969071313724E-4</v>
      </c>
      <c r="U266" s="103">
        <f t="shared" si="417"/>
        <v>9.57387330032424E-4</v>
      </c>
      <c r="V266" s="103">
        <f t="shared" si="417"/>
        <v>1.361586608001493E-3</v>
      </c>
      <c r="W266" s="103">
        <f t="shared" ref="W266:Y266" si="418">IF(W48=0,0,W48/W$46)</f>
        <v>1.4794952391073168E-3</v>
      </c>
      <c r="X266" s="103">
        <f t="shared" si="418"/>
        <v>1.6744595212076997E-3</v>
      </c>
      <c r="Y266" s="103">
        <f t="shared" si="418"/>
        <v>2.3000550022051845E-3</v>
      </c>
      <c r="DA266" s="191"/>
    </row>
    <row r="267" spans="1:105" ht="11.45" customHeight="1" x14ac:dyDescent="0.25">
      <c r="A267" s="157" t="s">
        <v>111</v>
      </c>
      <c r="B267" s="103">
        <f t="shared" ref="B267:K267" si="419">IF(B49=0,0,B49/B$46)</f>
        <v>0.64966973316800392</v>
      </c>
      <c r="C267" s="103">
        <f t="shared" si="419"/>
        <v>0.66298102205614118</v>
      </c>
      <c r="D267" s="103">
        <f t="shared" si="419"/>
        <v>0.65010078035748331</v>
      </c>
      <c r="E267" s="103">
        <f t="shared" si="419"/>
        <v>0.65461052220510763</v>
      </c>
      <c r="F267" s="103">
        <f t="shared" si="419"/>
        <v>0.64793093802154811</v>
      </c>
      <c r="G267" s="103">
        <f t="shared" si="419"/>
        <v>0.64464663622985796</v>
      </c>
      <c r="H267" s="103">
        <f t="shared" si="419"/>
        <v>0.66164634988650106</v>
      </c>
      <c r="I267" s="103">
        <f t="shared" si="419"/>
        <v>0.66337497681054747</v>
      </c>
      <c r="J267" s="103">
        <f t="shared" si="419"/>
        <v>0.68210130385228307</v>
      </c>
      <c r="K267" s="103">
        <f t="shared" si="419"/>
        <v>0.74621304835885305</v>
      </c>
      <c r="L267" s="103">
        <f t="shared" ref="L267" si="420">IF(L49=0,0,L49/L$46)</f>
        <v>0.7415719366982203</v>
      </c>
      <c r="M267" s="103">
        <f t="shared" ref="M267:V267" si="421">IF(M49=0,0,M49/M$46)</f>
        <v>0.74733296310427366</v>
      </c>
      <c r="N267" s="103">
        <f t="shared" si="421"/>
        <v>0.74132629509691161</v>
      </c>
      <c r="O267" s="103">
        <f t="shared" si="421"/>
        <v>0.74979180934340539</v>
      </c>
      <c r="P267" s="103">
        <f t="shared" si="421"/>
        <v>0.74181877370271621</v>
      </c>
      <c r="Q267" s="103">
        <f t="shared" si="421"/>
        <v>0.73030814744037087</v>
      </c>
      <c r="R267" s="103">
        <f t="shared" si="421"/>
        <v>0.70158224836000382</v>
      </c>
      <c r="S267" s="103">
        <f t="shared" si="421"/>
        <v>0.69647670796082806</v>
      </c>
      <c r="T267" s="103">
        <f t="shared" si="421"/>
        <v>0.69406718474405926</v>
      </c>
      <c r="U267" s="103">
        <f t="shared" si="421"/>
        <v>0.67648888731400825</v>
      </c>
      <c r="V267" s="103">
        <f t="shared" si="421"/>
        <v>0.70348982892629397</v>
      </c>
      <c r="W267" s="103">
        <f t="shared" ref="W267:Y267" si="422">IF(W49=0,0,W49/W$46)</f>
        <v>0.6878528284270865</v>
      </c>
      <c r="X267" s="103">
        <f t="shared" si="422"/>
        <v>0.68412353344403998</v>
      </c>
      <c r="Y267" s="103">
        <f t="shared" si="422"/>
        <v>0.69196383947442919</v>
      </c>
      <c r="DA267" s="191"/>
    </row>
    <row r="268" spans="1:105" ht="11.45" customHeight="1" x14ac:dyDescent="0.25">
      <c r="A268" s="157" t="s">
        <v>112</v>
      </c>
      <c r="B268" s="103">
        <f t="shared" ref="B268:K268" si="423">IF(B50=0,0,B50/B$46)</f>
        <v>0</v>
      </c>
      <c r="C268" s="103">
        <f t="shared" si="423"/>
        <v>0</v>
      </c>
      <c r="D268" s="103">
        <f t="shared" si="423"/>
        <v>0</v>
      </c>
      <c r="E268" s="103">
        <f t="shared" si="423"/>
        <v>0</v>
      </c>
      <c r="F268" s="103">
        <f t="shared" si="423"/>
        <v>0</v>
      </c>
      <c r="G268" s="103">
        <f t="shared" si="423"/>
        <v>0</v>
      </c>
      <c r="H268" s="103">
        <f t="shared" si="423"/>
        <v>0</v>
      </c>
      <c r="I268" s="103">
        <f t="shared" si="423"/>
        <v>0</v>
      </c>
      <c r="J268" s="103">
        <f t="shared" si="423"/>
        <v>0</v>
      </c>
      <c r="K268" s="103">
        <f t="shared" si="423"/>
        <v>0</v>
      </c>
      <c r="L268" s="103">
        <f t="shared" ref="L268" si="424">IF(L50=0,0,L50/L$46)</f>
        <v>0</v>
      </c>
      <c r="M268" s="103">
        <f t="shared" ref="M268:V268" si="425">IF(M50=0,0,M50/M$46)</f>
        <v>0</v>
      </c>
      <c r="N268" s="103">
        <f t="shared" si="425"/>
        <v>0</v>
      </c>
      <c r="O268" s="103">
        <f t="shared" si="425"/>
        <v>4.3014209251378923E-6</v>
      </c>
      <c r="P268" s="103">
        <f t="shared" si="425"/>
        <v>8.6672224380178225E-6</v>
      </c>
      <c r="Q268" s="103">
        <f t="shared" si="425"/>
        <v>8.9039426117329724E-6</v>
      </c>
      <c r="R268" s="103">
        <f t="shared" si="425"/>
        <v>8.6461252313559451E-6</v>
      </c>
      <c r="S268" s="103">
        <f t="shared" si="425"/>
        <v>1.0734091247995822E-5</v>
      </c>
      <c r="T268" s="103">
        <f t="shared" si="425"/>
        <v>1.0691631931517873E-5</v>
      </c>
      <c r="U268" s="103">
        <f t="shared" si="425"/>
        <v>1.0490989164766385E-5</v>
      </c>
      <c r="V268" s="103">
        <f t="shared" si="425"/>
        <v>8.8136022496605474E-6</v>
      </c>
      <c r="W268" s="103">
        <f t="shared" ref="W268:Y268" si="426">IF(W50=0,0,W50/W$46)</f>
        <v>8.4286921023484116E-6</v>
      </c>
      <c r="X268" s="103">
        <f t="shared" si="426"/>
        <v>8.2184233039521831E-6</v>
      </c>
      <c r="Y268" s="103">
        <f t="shared" si="426"/>
        <v>7.9894310157210229E-6</v>
      </c>
      <c r="DA268" s="191"/>
    </row>
    <row r="269" spans="1:105" ht="11.45" customHeight="1" x14ac:dyDescent="0.25">
      <c r="A269" s="157" t="s">
        <v>113</v>
      </c>
      <c r="B269" s="103">
        <f t="shared" ref="B269:K269" si="427">IF(B51=0,0,B51/B$46)</f>
        <v>0</v>
      </c>
      <c r="C269" s="103">
        <f t="shared" si="427"/>
        <v>0</v>
      </c>
      <c r="D269" s="103">
        <f t="shared" si="427"/>
        <v>0</v>
      </c>
      <c r="E269" s="103">
        <f t="shared" si="427"/>
        <v>0</v>
      </c>
      <c r="F269" s="103">
        <f t="shared" si="427"/>
        <v>0</v>
      </c>
      <c r="G269" s="103">
        <f t="shared" si="427"/>
        <v>0</v>
      </c>
      <c r="H269" s="103">
        <f t="shared" si="427"/>
        <v>0</v>
      </c>
      <c r="I269" s="103">
        <f t="shared" si="427"/>
        <v>0</v>
      </c>
      <c r="J269" s="103">
        <f t="shared" si="427"/>
        <v>0</v>
      </c>
      <c r="K269" s="103">
        <f t="shared" si="427"/>
        <v>0</v>
      </c>
      <c r="L269" s="103">
        <f t="shared" ref="L269" si="428">IF(L51=0,0,L51/L$46)</f>
        <v>0</v>
      </c>
      <c r="M269" s="103">
        <f t="shared" ref="M269:V269" si="429">IF(M51=0,0,M51/M$46)</f>
        <v>0</v>
      </c>
      <c r="N269" s="103">
        <f t="shared" si="429"/>
        <v>0</v>
      </c>
      <c r="O269" s="103">
        <f t="shared" si="429"/>
        <v>0</v>
      </c>
      <c r="P269" s="103">
        <f t="shared" si="429"/>
        <v>0</v>
      </c>
      <c r="Q269" s="103">
        <f t="shared" si="429"/>
        <v>0</v>
      </c>
      <c r="R269" s="103">
        <f t="shared" si="429"/>
        <v>9.1699940310416744E-6</v>
      </c>
      <c r="S269" s="103">
        <f t="shared" si="429"/>
        <v>8.9254244178121471E-6</v>
      </c>
      <c r="T269" s="103">
        <f t="shared" si="429"/>
        <v>8.7123169984626499E-6</v>
      </c>
      <c r="U269" s="103">
        <f t="shared" si="429"/>
        <v>8.3778423396683158E-6</v>
      </c>
      <c r="V269" s="103">
        <f t="shared" si="429"/>
        <v>1.2932924615068174E-5</v>
      </c>
      <c r="W269" s="103">
        <f t="shared" ref="W269:Y269" si="430">IF(W51=0,0,W51/W$46)</f>
        <v>1.2127128199340442E-5</v>
      </c>
      <c r="X269" s="103">
        <f t="shared" si="430"/>
        <v>1.1588103392244215E-5</v>
      </c>
      <c r="Y269" s="103">
        <f t="shared" si="430"/>
        <v>1.1039916325390366E-5</v>
      </c>
      <c r="DA269" s="191"/>
    </row>
    <row r="270" spans="1:105" ht="11.45" customHeight="1" x14ac:dyDescent="0.25">
      <c r="A270" s="157" t="s">
        <v>115</v>
      </c>
      <c r="B270" s="103">
        <f t="shared" ref="B270:K270" si="431">IF(B52=0,0,B52/B$46)</f>
        <v>0</v>
      </c>
      <c r="C270" s="103">
        <f t="shared" si="431"/>
        <v>0</v>
      </c>
      <c r="D270" s="103">
        <f t="shared" si="431"/>
        <v>0</v>
      </c>
      <c r="E270" s="103">
        <f t="shared" si="431"/>
        <v>0</v>
      </c>
      <c r="F270" s="103">
        <f t="shared" si="431"/>
        <v>0</v>
      </c>
      <c r="G270" s="103">
        <f t="shared" si="431"/>
        <v>0</v>
      </c>
      <c r="H270" s="103">
        <f t="shared" si="431"/>
        <v>0</v>
      </c>
      <c r="I270" s="103">
        <f t="shared" si="431"/>
        <v>0</v>
      </c>
      <c r="J270" s="103">
        <f t="shared" si="431"/>
        <v>0</v>
      </c>
      <c r="K270" s="103">
        <f t="shared" si="431"/>
        <v>0</v>
      </c>
      <c r="L270" s="103">
        <f t="shared" ref="L270" si="432">IF(L52=0,0,L52/L$46)</f>
        <v>0</v>
      </c>
      <c r="M270" s="103">
        <f t="shared" ref="M270:V270" si="433">IF(M52=0,0,M52/M$46)</f>
        <v>7.1090436186360819E-5</v>
      </c>
      <c r="N270" s="103">
        <f t="shared" si="433"/>
        <v>1.6868021458477011E-4</v>
      </c>
      <c r="O270" s="103">
        <f t="shared" si="433"/>
        <v>1.7442866942406579E-4</v>
      </c>
      <c r="P270" s="103">
        <f t="shared" si="433"/>
        <v>2.0089598770242837E-4</v>
      </c>
      <c r="Q270" s="103">
        <f t="shared" si="433"/>
        <v>1.9993524847363735E-4</v>
      </c>
      <c r="R270" s="103">
        <f t="shared" si="433"/>
        <v>2.0497551419787984E-4</v>
      </c>
      <c r="S270" s="103">
        <f t="shared" si="433"/>
        <v>3.3973927356839025E-4</v>
      </c>
      <c r="T270" s="103">
        <f t="shared" si="433"/>
        <v>3.6333603394136287E-4</v>
      </c>
      <c r="U270" s="103">
        <f t="shared" si="433"/>
        <v>9.8863780305022842E-4</v>
      </c>
      <c r="V270" s="103">
        <f t="shared" si="433"/>
        <v>2.0457932538270793E-3</v>
      </c>
      <c r="W270" s="103">
        <f t="shared" ref="W270:Y270" si="434">IF(W52=0,0,W52/W$46)</f>
        <v>3.3915978334613907E-3</v>
      </c>
      <c r="X270" s="103">
        <f t="shared" si="434"/>
        <v>4.7014244297241756E-3</v>
      </c>
      <c r="Y270" s="103">
        <f t="shared" si="434"/>
        <v>6.4900970211353515E-3</v>
      </c>
      <c r="DA270" s="191"/>
    </row>
    <row r="271" spans="1:105" ht="11.45" customHeight="1" x14ac:dyDescent="0.25">
      <c r="A271" s="155" t="s">
        <v>154</v>
      </c>
      <c r="B271" s="156">
        <f t="shared" ref="B271:K271" si="435">IF(B53=0,0,B53/B$46)</f>
        <v>0.3413923222439072</v>
      </c>
      <c r="C271" s="156">
        <f t="shared" si="435"/>
        <v>0.32927839189808433</v>
      </c>
      <c r="D271" s="156">
        <f t="shared" si="435"/>
        <v>0.34332067303455865</v>
      </c>
      <c r="E271" s="156">
        <f t="shared" si="435"/>
        <v>0.33983752234873416</v>
      </c>
      <c r="F271" s="156">
        <f t="shared" si="435"/>
        <v>0.34758314796493828</v>
      </c>
      <c r="G271" s="156">
        <f t="shared" si="435"/>
        <v>0.35213577652129324</v>
      </c>
      <c r="H271" s="156">
        <f t="shared" si="435"/>
        <v>0.33598144485494685</v>
      </c>
      <c r="I271" s="156">
        <f t="shared" si="435"/>
        <v>0.33485186336984496</v>
      </c>
      <c r="J271" s="156">
        <f t="shared" si="435"/>
        <v>0.31626398184048704</v>
      </c>
      <c r="K271" s="156">
        <f t="shared" si="435"/>
        <v>0.25209292565661673</v>
      </c>
      <c r="L271" s="156">
        <f t="shared" ref="L271" si="436">IF(L53=0,0,L53/L$46)</f>
        <v>0.25691638354285518</v>
      </c>
      <c r="M271" s="156">
        <f t="shared" ref="M271:V271" si="437">IF(M53=0,0,M53/M$46)</f>
        <v>0.25127705076987628</v>
      </c>
      <c r="N271" s="156">
        <f t="shared" si="437"/>
        <v>0.25736957473015432</v>
      </c>
      <c r="O271" s="156">
        <f t="shared" si="437"/>
        <v>0.2489594748767045</v>
      </c>
      <c r="P271" s="156">
        <f t="shared" si="437"/>
        <v>0.25697249347716988</v>
      </c>
      <c r="Q271" s="156">
        <f t="shared" si="437"/>
        <v>0.2685706890264935</v>
      </c>
      <c r="R271" s="156">
        <f t="shared" si="437"/>
        <v>0.29740375611067088</v>
      </c>
      <c r="S271" s="156">
        <f t="shared" si="437"/>
        <v>0.30230963377807224</v>
      </c>
      <c r="T271" s="156">
        <f t="shared" si="437"/>
        <v>0.30467590558235619</v>
      </c>
      <c r="U271" s="156">
        <f t="shared" si="437"/>
        <v>0.32154621872140465</v>
      </c>
      <c r="V271" s="156">
        <f t="shared" si="437"/>
        <v>0.29308104468501278</v>
      </c>
      <c r="W271" s="156">
        <f t="shared" ref="W271:Y271" si="438">IF(W53=0,0,W53/W$46)</f>
        <v>0.30725552268004308</v>
      </c>
      <c r="X271" s="156">
        <f t="shared" si="438"/>
        <v>0.30948077607833197</v>
      </c>
      <c r="Y271" s="156">
        <f t="shared" si="438"/>
        <v>0.29922697915488916</v>
      </c>
      <c r="DA271" s="213"/>
    </row>
    <row r="272" spans="1:105" ht="11.45" customHeight="1" x14ac:dyDescent="0.25">
      <c r="A272" s="162" t="s">
        <v>27</v>
      </c>
      <c r="B272" s="104">
        <f t="shared" ref="B272:K272" si="439">IF(B54=0,0,B54/B$46)</f>
        <v>0.32668553320722854</v>
      </c>
      <c r="C272" s="104">
        <f t="shared" si="439"/>
        <v>0.3144036662248389</v>
      </c>
      <c r="D272" s="104">
        <f t="shared" si="439"/>
        <v>0.328995847798701</v>
      </c>
      <c r="E272" s="104">
        <f t="shared" si="439"/>
        <v>0.32608857679516901</v>
      </c>
      <c r="F272" s="104">
        <f t="shared" si="439"/>
        <v>0.33244679439784963</v>
      </c>
      <c r="G272" s="104">
        <f t="shared" si="439"/>
        <v>0.33754001459170763</v>
      </c>
      <c r="H272" s="104">
        <f t="shared" si="439"/>
        <v>0.32163176508057501</v>
      </c>
      <c r="I272" s="104">
        <f t="shared" si="439"/>
        <v>0.32015401926246079</v>
      </c>
      <c r="J272" s="104">
        <f t="shared" si="439"/>
        <v>0.30297036304626562</v>
      </c>
      <c r="K272" s="104">
        <f t="shared" si="439"/>
        <v>0.23908751330538724</v>
      </c>
      <c r="L272" s="104">
        <f t="shared" ref="L272" si="440">IF(L54=0,0,L54/L$46)</f>
        <v>0.24278806873285633</v>
      </c>
      <c r="M272" s="104">
        <f t="shared" ref="M272:V272" si="441">IF(M54=0,0,M54/M$46)</f>
        <v>0.23540769445638166</v>
      </c>
      <c r="N272" s="104">
        <f t="shared" si="441"/>
        <v>0.24243367792001089</v>
      </c>
      <c r="O272" s="104">
        <f t="shared" si="441"/>
        <v>0.23493861345011388</v>
      </c>
      <c r="P272" s="104">
        <f t="shared" si="441"/>
        <v>0.24311071242557822</v>
      </c>
      <c r="Q272" s="104">
        <f t="shared" si="441"/>
        <v>0.25233204420423305</v>
      </c>
      <c r="R272" s="104">
        <f t="shared" si="441"/>
        <v>0.28304328323259698</v>
      </c>
      <c r="S272" s="104">
        <f t="shared" si="441"/>
        <v>0.28823568273917044</v>
      </c>
      <c r="T272" s="104">
        <f t="shared" si="441"/>
        <v>0.28940477032851913</v>
      </c>
      <c r="U272" s="104">
        <f t="shared" si="441"/>
        <v>0.30422174423906329</v>
      </c>
      <c r="V272" s="104">
        <f t="shared" si="441"/>
        <v>0.28635214902802858</v>
      </c>
      <c r="W272" s="104">
        <f t="shared" ref="W272:Y272" si="442">IF(W54=0,0,W54/W$46)</f>
        <v>0.3007474771493881</v>
      </c>
      <c r="X272" s="104">
        <f t="shared" si="442"/>
        <v>0.30345245713991864</v>
      </c>
      <c r="Y272" s="104">
        <f t="shared" si="442"/>
        <v>0.29306354897873116</v>
      </c>
      <c r="DA272" s="195"/>
    </row>
    <row r="273" spans="1:105" ht="11.45" customHeight="1" x14ac:dyDescent="0.25">
      <c r="A273" s="158" t="s">
        <v>116</v>
      </c>
      <c r="B273" s="105">
        <f t="shared" ref="B273:K273" si="443">IF(B55=0,0,B55/B$46)</f>
        <v>1.4706789036678682E-2</v>
      </c>
      <c r="C273" s="105">
        <f t="shared" si="443"/>
        <v>1.4874725673245427E-2</v>
      </c>
      <c r="D273" s="105">
        <f t="shared" si="443"/>
        <v>1.4324825235857642E-2</v>
      </c>
      <c r="E273" s="105">
        <f t="shared" si="443"/>
        <v>1.3748945553565173E-2</v>
      </c>
      <c r="F273" s="105">
        <f t="shared" si="443"/>
        <v>1.5136353567088607E-2</v>
      </c>
      <c r="G273" s="105">
        <f t="shared" si="443"/>
        <v>1.4595761929585577E-2</v>
      </c>
      <c r="H273" s="105">
        <f t="shared" si="443"/>
        <v>1.4349679774371847E-2</v>
      </c>
      <c r="I273" s="105">
        <f t="shared" si="443"/>
        <v>1.4697844107384157E-2</v>
      </c>
      <c r="J273" s="105">
        <f t="shared" si="443"/>
        <v>1.3293618794221409E-2</v>
      </c>
      <c r="K273" s="105">
        <f t="shared" si="443"/>
        <v>1.30054123512295E-2</v>
      </c>
      <c r="L273" s="105">
        <f t="shared" ref="L273" si="444">IF(L55=0,0,L55/L$46)</f>
        <v>1.4128314809998852E-2</v>
      </c>
      <c r="M273" s="105">
        <f t="shared" ref="M273:V273" si="445">IF(M55=0,0,M55/M$46)</f>
        <v>1.5869356313494627E-2</v>
      </c>
      <c r="N273" s="105">
        <f t="shared" si="445"/>
        <v>1.4935896810143434E-2</v>
      </c>
      <c r="O273" s="105">
        <f t="shared" si="445"/>
        <v>1.4020861426590616E-2</v>
      </c>
      <c r="P273" s="105">
        <f t="shared" si="445"/>
        <v>1.3861781051591691E-2</v>
      </c>
      <c r="Q273" s="105">
        <f t="shared" si="445"/>
        <v>1.6238644822260413E-2</v>
      </c>
      <c r="R273" s="105">
        <f t="shared" si="445"/>
        <v>1.4360472878073903E-2</v>
      </c>
      <c r="S273" s="105">
        <f t="shared" si="445"/>
        <v>1.4073951038901775E-2</v>
      </c>
      <c r="T273" s="105">
        <f t="shared" si="445"/>
        <v>1.5271135253837073E-2</v>
      </c>
      <c r="U273" s="105">
        <f t="shared" si="445"/>
        <v>1.7324474482341364E-2</v>
      </c>
      <c r="V273" s="105">
        <f t="shared" si="445"/>
        <v>6.7288956569842087E-3</v>
      </c>
      <c r="W273" s="105">
        <f t="shared" ref="W273:Y273" si="446">IF(W55=0,0,W55/W$46)</f>
        <v>6.5080455306549441E-3</v>
      </c>
      <c r="X273" s="105">
        <f t="shared" si="446"/>
        <v>6.0283189384132511E-3</v>
      </c>
      <c r="Y273" s="105">
        <f t="shared" si="446"/>
        <v>6.1634301761579599E-3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Y2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3383.7805674978495</v>
      </c>
      <c r="C4" s="145">
        <f t="shared" si="0"/>
        <v>3536.998452278589</v>
      </c>
      <c r="D4" s="145">
        <f t="shared" si="0"/>
        <v>3606.1160791057609</v>
      </c>
      <c r="E4" s="145">
        <f t="shared" si="0"/>
        <v>3664.8339638865</v>
      </c>
      <c r="F4" s="145">
        <f t="shared" si="0"/>
        <v>3882.2401547721411</v>
      </c>
      <c r="G4" s="145">
        <f t="shared" si="0"/>
        <v>4112.0191745485818</v>
      </c>
      <c r="H4" s="145">
        <f t="shared" si="0"/>
        <v>4465.8077386070499</v>
      </c>
      <c r="I4" s="145">
        <f t="shared" si="0"/>
        <v>4611.718830610489</v>
      </c>
      <c r="J4" s="145">
        <f t="shared" si="0"/>
        <v>4374.8640278751327</v>
      </c>
      <c r="K4" s="145">
        <f t="shared" si="0"/>
        <v>3998.3817245686314</v>
      </c>
      <c r="L4" s="145">
        <f t="shared" ref="L4" si="1">L5+L9+L10+L15</f>
        <v>3749.5279566850431</v>
      </c>
      <c r="M4" s="145">
        <f t="shared" ref="M4:V4" si="2">M5+M9+M10+M15</f>
        <v>3575.0410997403701</v>
      </c>
      <c r="N4" s="145">
        <f t="shared" si="2"/>
        <v>3493.0303229865531</v>
      </c>
      <c r="O4" s="145">
        <f t="shared" si="2"/>
        <v>3555.7734079790621</v>
      </c>
      <c r="P4" s="145">
        <f t="shared" si="2"/>
        <v>3700.8353799589904</v>
      </c>
      <c r="Q4" s="145">
        <f t="shared" si="2"/>
        <v>3763.1704421144168</v>
      </c>
      <c r="R4" s="145">
        <f t="shared" si="2"/>
        <v>3946.662864404846</v>
      </c>
      <c r="S4" s="145">
        <f t="shared" si="2"/>
        <v>3908.8020367515983</v>
      </c>
      <c r="T4" s="145">
        <f t="shared" si="2"/>
        <v>3943.1950446390406</v>
      </c>
      <c r="U4" s="145">
        <f t="shared" si="2"/>
        <v>3969.2432744414377</v>
      </c>
      <c r="V4" s="145">
        <f t="shared" si="2"/>
        <v>3324.33971194986</v>
      </c>
      <c r="W4" s="145">
        <f t="shared" ref="W4:Y4" si="3">W5+W9+W10+W15</f>
        <v>3540.8312076078091</v>
      </c>
      <c r="X4" s="145">
        <f t="shared" si="3"/>
        <v>3820.7326888758257</v>
      </c>
      <c r="Y4" s="145">
        <f t="shared" si="3"/>
        <v>3959.6340768772966</v>
      </c>
      <c r="DA4" s="206" t="s">
        <v>629</v>
      </c>
    </row>
    <row r="5" spans="1:105" ht="11.45" customHeight="1" x14ac:dyDescent="0.25">
      <c r="A5" s="92" t="s">
        <v>46</v>
      </c>
      <c r="B5" s="97">
        <f t="shared" ref="B5:K5" si="4">SUM(B6:B8)</f>
        <v>3383.7805674978495</v>
      </c>
      <c r="C5" s="97">
        <f t="shared" si="4"/>
        <v>3536.998452278589</v>
      </c>
      <c r="D5" s="97">
        <f t="shared" si="4"/>
        <v>3606.1160791057609</v>
      </c>
      <c r="E5" s="97">
        <f t="shared" si="4"/>
        <v>3664.8339638865</v>
      </c>
      <c r="F5" s="97">
        <f t="shared" si="4"/>
        <v>3882.2401547721411</v>
      </c>
      <c r="G5" s="97">
        <f t="shared" si="4"/>
        <v>4110.9313843508171</v>
      </c>
      <c r="H5" s="97">
        <f t="shared" si="4"/>
        <v>4463.133877901977</v>
      </c>
      <c r="I5" s="97">
        <f t="shared" si="4"/>
        <v>4590.1536543422171</v>
      </c>
      <c r="J5" s="97">
        <f t="shared" si="4"/>
        <v>4318.9957867583835</v>
      </c>
      <c r="K5" s="97">
        <f t="shared" si="4"/>
        <v>3920.9071367153911</v>
      </c>
      <c r="L5" s="97">
        <f t="shared" ref="L5" si="5">SUM(L6:L8)</f>
        <v>3656.8566638005163</v>
      </c>
      <c r="M5" s="97">
        <f t="shared" ref="M5:V5" si="6">SUM(M6:M8)</f>
        <v>3482.8854686156496</v>
      </c>
      <c r="N5" s="97">
        <f t="shared" si="6"/>
        <v>3407.8762682717106</v>
      </c>
      <c r="O5" s="97">
        <f t="shared" si="6"/>
        <v>3454.232416165089</v>
      </c>
      <c r="P5" s="97">
        <f t="shared" si="6"/>
        <v>3586.2246775580388</v>
      </c>
      <c r="Q5" s="97">
        <f t="shared" si="6"/>
        <v>3640.386586414445</v>
      </c>
      <c r="R5" s="97">
        <f t="shared" si="6"/>
        <v>3833.6184006878766</v>
      </c>
      <c r="S5" s="97">
        <f t="shared" si="6"/>
        <v>3747.2745485812552</v>
      </c>
      <c r="T5" s="97">
        <f t="shared" si="6"/>
        <v>3787.1975064488388</v>
      </c>
      <c r="U5" s="97">
        <f t="shared" si="6"/>
        <v>3776.8223559759235</v>
      </c>
      <c r="V5" s="97">
        <f t="shared" si="6"/>
        <v>3143.3508168529656</v>
      </c>
      <c r="W5" s="97">
        <f t="shared" ref="W5:Y5" si="7">SUM(W6:W8)</f>
        <v>3349.0039552880476</v>
      </c>
      <c r="X5" s="97">
        <f t="shared" si="7"/>
        <v>3576.1606190885632</v>
      </c>
      <c r="Y5" s="97">
        <f t="shared" si="7"/>
        <v>3629.2005159071368</v>
      </c>
      <c r="DA5" s="175"/>
    </row>
    <row r="6" spans="1:105" ht="11.45" customHeight="1" x14ac:dyDescent="0.25">
      <c r="A6" s="128" t="s">
        <v>52</v>
      </c>
      <c r="B6" s="97">
        <v>2.1804815133276012</v>
      </c>
      <c r="C6" s="97">
        <v>1.567841788478074</v>
      </c>
      <c r="D6" s="97">
        <v>1.375236457437661</v>
      </c>
      <c r="E6" s="97">
        <v>1.193895098882201</v>
      </c>
      <c r="F6" s="97">
        <v>1.065520206362855</v>
      </c>
      <c r="G6" s="97">
        <v>1.018142734307824</v>
      </c>
      <c r="H6" s="97">
        <v>0.87179707652622518</v>
      </c>
      <c r="I6" s="97">
        <v>1.168013757523646</v>
      </c>
      <c r="J6" s="97">
        <v>0.89991401547721395</v>
      </c>
      <c r="K6" s="97">
        <v>0.5868443680137575</v>
      </c>
      <c r="L6" s="97">
        <v>0.51470335339638862</v>
      </c>
      <c r="M6" s="97">
        <v>0.54961306964746348</v>
      </c>
      <c r="N6" s="97">
        <v>1.0001719690455719</v>
      </c>
      <c r="O6" s="97">
        <v>1.3030954428202921</v>
      </c>
      <c r="P6" s="97">
        <v>2.1084264832330182</v>
      </c>
      <c r="Q6" s="97">
        <v>2.529664660361135</v>
      </c>
      <c r="R6" s="97">
        <v>2.5488392089423901</v>
      </c>
      <c r="S6" s="97">
        <v>2.2537403267411862</v>
      </c>
      <c r="T6" s="97">
        <v>1.8516766981943249</v>
      </c>
      <c r="U6" s="97">
        <v>1.628632846087704</v>
      </c>
      <c r="V6" s="97">
        <v>1.149957007738607</v>
      </c>
      <c r="W6" s="97">
        <v>1.1645743766122101</v>
      </c>
      <c r="X6" s="97">
        <v>1.621840068787618</v>
      </c>
      <c r="Y6" s="97">
        <v>1.1736027515047289</v>
      </c>
      <c r="DA6" s="175" t="s">
        <v>630</v>
      </c>
    </row>
    <row r="7" spans="1:105" ht="11.45" customHeight="1" x14ac:dyDescent="0.25">
      <c r="A7" s="128" t="s">
        <v>53</v>
      </c>
      <c r="B7" s="97">
        <v>1590.030008598452</v>
      </c>
      <c r="C7" s="97">
        <v>1651.7994840928629</v>
      </c>
      <c r="D7" s="97">
        <v>1688.009114359415</v>
      </c>
      <c r="E7" s="97">
        <v>1685.8791057609631</v>
      </c>
      <c r="F7" s="97">
        <v>1732.7386930352541</v>
      </c>
      <c r="G7" s="97">
        <v>1821.1328460877039</v>
      </c>
      <c r="H7" s="97">
        <v>1992.596216680997</v>
      </c>
      <c r="I7" s="97">
        <v>1937.216766981943</v>
      </c>
      <c r="J7" s="97">
        <v>1814.7429062768699</v>
      </c>
      <c r="K7" s="97">
        <v>1646.4744625967321</v>
      </c>
      <c r="L7" s="97">
        <v>1525.065606190886</v>
      </c>
      <c r="M7" s="97">
        <v>1356.7972484952711</v>
      </c>
      <c r="N7" s="97">
        <v>1280.117970765262</v>
      </c>
      <c r="O7" s="97">
        <v>1184.268873602751</v>
      </c>
      <c r="P7" s="97">
        <v>1176.8139294926909</v>
      </c>
      <c r="Q7" s="97">
        <v>1018.130438521066</v>
      </c>
      <c r="R7" s="97">
        <v>1002.15554600172</v>
      </c>
      <c r="S7" s="97">
        <v>903.53645743766128</v>
      </c>
      <c r="T7" s="97">
        <v>823.57730008598446</v>
      </c>
      <c r="U7" s="97">
        <v>780.17747205503008</v>
      </c>
      <c r="V7" s="97">
        <v>577.66981943250209</v>
      </c>
      <c r="W7" s="97">
        <v>611.97239896818564</v>
      </c>
      <c r="X7" s="97">
        <v>697.19690455717966</v>
      </c>
      <c r="Y7" s="97">
        <v>742.85984522785884</v>
      </c>
      <c r="DA7" s="175" t="s">
        <v>631</v>
      </c>
    </row>
    <row r="8" spans="1:105" ht="11.45" customHeight="1" x14ac:dyDescent="0.25">
      <c r="A8" s="128" t="s">
        <v>54</v>
      </c>
      <c r="B8" s="97">
        <v>1791.5700773860699</v>
      </c>
      <c r="C8" s="97">
        <v>1883.631126397248</v>
      </c>
      <c r="D8" s="97">
        <v>1916.731728288908</v>
      </c>
      <c r="E8" s="97">
        <v>1977.760963026655</v>
      </c>
      <c r="F8" s="97">
        <v>2148.4359415305239</v>
      </c>
      <c r="G8" s="97">
        <v>2288.780395528805</v>
      </c>
      <c r="H8" s="97">
        <v>2469.6658641444542</v>
      </c>
      <c r="I8" s="97">
        <v>2651.7688736027508</v>
      </c>
      <c r="J8" s="97">
        <v>2503.3529664660359</v>
      </c>
      <c r="K8" s="97">
        <v>2273.845829750645</v>
      </c>
      <c r="L8" s="97">
        <v>2131.2763542562338</v>
      </c>
      <c r="M8" s="97">
        <v>2125.5386070507311</v>
      </c>
      <c r="N8" s="97">
        <v>2126.758125537403</v>
      </c>
      <c r="O8" s="97">
        <v>2268.6604471195178</v>
      </c>
      <c r="P8" s="97">
        <v>2407.3023215821149</v>
      </c>
      <c r="Q8" s="97">
        <v>2619.7264832330179</v>
      </c>
      <c r="R8" s="97">
        <v>2828.914015477214</v>
      </c>
      <c r="S8" s="97">
        <v>2841.4843508168528</v>
      </c>
      <c r="T8" s="97">
        <v>2961.76852966466</v>
      </c>
      <c r="U8" s="97">
        <v>2995.016251074806</v>
      </c>
      <c r="V8" s="97">
        <v>2564.5310404127249</v>
      </c>
      <c r="W8" s="97">
        <v>2735.8669819432498</v>
      </c>
      <c r="X8" s="97">
        <v>2877.341874462596</v>
      </c>
      <c r="Y8" s="97">
        <v>2885.1670679277731</v>
      </c>
      <c r="DA8" s="175" t="s">
        <v>632</v>
      </c>
    </row>
    <row r="9" spans="1:105" ht="11.45" customHeight="1" x14ac:dyDescent="0.25">
      <c r="A9" s="92" t="s">
        <v>55</v>
      </c>
      <c r="B9" s="97">
        <v>0</v>
      </c>
      <c r="C9" s="97">
        <v>0</v>
      </c>
      <c r="D9" s="97">
        <v>0</v>
      </c>
      <c r="E9" s="97">
        <v>0</v>
      </c>
      <c r="F9" s="97">
        <v>0</v>
      </c>
      <c r="G9" s="97">
        <v>0</v>
      </c>
      <c r="H9" s="97">
        <v>0</v>
      </c>
      <c r="I9" s="97">
        <v>0</v>
      </c>
      <c r="J9" s="97">
        <v>0</v>
      </c>
      <c r="K9" s="97">
        <v>0</v>
      </c>
      <c r="L9" s="97">
        <v>0</v>
      </c>
      <c r="M9" s="97">
        <v>0</v>
      </c>
      <c r="N9" s="97">
        <v>0</v>
      </c>
      <c r="O9" s="97">
        <v>0</v>
      </c>
      <c r="P9" s="97">
        <v>2.321582115219261E-2</v>
      </c>
      <c r="Q9" s="97">
        <v>1.2725709372312981E-2</v>
      </c>
      <c r="R9" s="97">
        <v>1.2811693895098879E-2</v>
      </c>
      <c r="S9" s="97">
        <v>1.418744625967326E-2</v>
      </c>
      <c r="T9" s="97">
        <v>2.9664660361134989E-2</v>
      </c>
      <c r="U9" s="97">
        <v>0.40386930352536538</v>
      </c>
      <c r="V9" s="97">
        <v>0.97625154644779277</v>
      </c>
      <c r="W9" s="97">
        <v>2.0159855063728038</v>
      </c>
      <c r="X9" s="97">
        <v>1.8999418402299879</v>
      </c>
      <c r="Y9" s="97">
        <v>2.0704209638447564</v>
      </c>
      <c r="DA9" s="175" t="s">
        <v>633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0</v>
      </c>
      <c r="D10" s="97">
        <f t="shared" si="8"/>
        <v>0</v>
      </c>
      <c r="E10" s="97">
        <f t="shared" si="8"/>
        <v>0</v>
      </c>
      <c r="F10" s="97">
        <f t="shared" si="8"/>
        <v>0</v>
      </c>
      <c r="G10" s="97">
        <f t="shared" si="8"/>
        <v>1.0877901977644024</v>
      </c>
      <c r="H10" s="97">
        <f t="shared" si="8"/>
        <v>2.6738607050730869</v>
      </c>
      <c r="I10" s="97">
        <f t="shared" si="8"/>
        <v>21.56517626827171</v>
      </c>
      <c r="J10" s="97">
        <f t="shared" si="8"/>
        <v>55.853654342218391</v>
      </c>
      <c r="K10" s="97">
        <f t="shared" si="8"/>
        <v>77.459501289767829</v>
      </c>
      <c r="L10" s="97">
        <f t="shared" si="8"/>
        <v>92.652106620808254</v>
      </c>
      <c r="M10" s="97">
        <f t="shared" si="8"/>
        <v>91.988134135855546</v>
      </c>
      <c r="N10" s="97">
        <f t="shared" si="8"/>
        <v>84.948151332760091</v>
      </c>
      <c r="O10" s="97">
        <f t="shared" si="8"/>
        <v>101.44256233877901</v>
      </c>
      <c r="P10" s="97">
        <f t="shared" si="8"/>
        <v>114.4133276010318</v>
      </c>
      <c r="Q10" s="97">
        <f t="shared" si="8"/>
        <v>122.46629406706792</v>
      </c>
      <c r="R10" s="97">
        <f t="shared" si="8"/>
        <v>112.53611349957006</v>
      </c>
      <c r="S10" s="97">
        <f t="shared" si="8"/>
        <v>160.7140154772141</v>
      </c>
      <c r="T10" s="97">
        <f t="shared" si="8"/>
        <v>154.55098882201202</v>
      </c>
      <c r="U10" s="97">
        <f t="shared" si="8"/>
        <v>189.11427343078245</v>
      </c>
      <c r="V10" s="97">
        <f t="shared" si="8"/>
        <v>175.86416117926157</v>
      </c>
      <c r="W10" s="97">
        <f t="shared" si="8"/>
        <v>180.38306866387651</v>
      </c>
      <c r="X10" s="97">
        <f t="shared" ref="X10:Y10" si="9">SUM(X11:X13)</f>
        <v>225.89756460860923</v>
      </c>
      <c r="Y10" s="97">
        <f t="shared" si="9"/>
        <v>301.90361171027394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1.6725263299068034E-5</v>
      </c>
      <c r="W11" s="97">
        <v>1.7958391094507407E-4</v>
      </c>
      <c r="X11" s="97">
        <v>1.3479276118001239E-3</v>
      </c>
      <c r="Y11" s="97">
        <v>2.3219424321136448E-3</v>
      </c>
      <c r="DA11" s="175" t="s">
        <v>634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8.856405846947548E-3</v>
      </c>
      <c r="H12" s="97">
        <v>0.64496990541702492</v>
      </c>
      <c r="I12" s="97">
        <v>3.5109200343938092</v>
      </c>
      <c r="J12" s="97">
        <v>18.118572656921749</v>
      </c>
      <c r="K12" s="97">
        <v>22.810576096302661</v>
      </c>
      <c r="L12" s="97">
        <v>30.1609630266552</v>
      </c>
      <c r="M12" s="97">
        <v>23.642304385210661</v>
      </c>
      <c r="N12" s="97">
        <v>28.643766122098022</v>
      </c>
      <c r="O12" s="97">
        <v>27.708942390369732</v>
      </c>
      <c r="P12" s="97">
        <v>24.80051590713671</v>
      </c>
      <c r="Q12" s="97">
        <v>24.139724849527081</v>
      </c>
      <c r="R12" s="97">
        <v>26.766466036113499</v>
      </c>
      <c r="S12" s="97">
        <v>29.609630266552021</v>
      </c>
      <c r="T12" s="97">
        <v>27.276612209802231</v>
      </c>
      <c r="U12" s="97">
        <v>26.19432502149613</v>
      </c>
      <c r="V12" s="97">
        <v>19.438865004299231</v>
      </c>
      <c r="W12" s="97">
        <v>20.327515047291481</v>
      </c>
      <c r="X12" s="97">
        <v>23.285296646603609</v>
      </c>
      <c r="Y12" s="97">
        <v>32.781341358555458</v>
      </c>
      <c r="DA12" s="175" t="s">
        <v>635</v>
      </c>
    </row>
    <row r="13" spans="1:105" ht="11.45" customHeight="1" x14ac:dyDescent="0.25">
      <c r="A13" s="128" t="s">
        <v>177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1.0789337919174549</v>
      </c>
      <c r="H13" s="97">
        <v>2.0288907996560619</v>
      </c>
      <c r="I13" s="97">
        <v>18.054256233877901</v>
      </c>
      <c r="J13" s="97">
        <v>37.735081685296642</v>
      </c>
      <c r="K13" s="97">
        <v>54.648925193465168</v>
      </c>
      <c r="L13" s="97">
        <v>62.491143594153051</v>
      </c>
      <c r="M13" s="97">
        <v>68.345829750644882</v>
      </c>
      <c r="N13" s="97">
        <v>56.304385210662076</v>
      </c>
      <c r="O13" s="97">
        <v>73.733619948409284</v>
      </c>
      <c r="P13" s="97">
        <v>89.612811693895082</v>
      </c>
      <c r="Q13" s="97">
        <v>98.326569217540836</v>
      </c>
      <c r="R13" s="97">
        <v>85.769647463456565</v>
      </c>
      <c r="S13" s="97">
        <v>131.10438521066209</v>
      </c>
      <c r="T13" s="97">
        <v>127.27437661220978</v>
      </c>
      <c r="U13" s="97">
        <v>162.91994840928632</v>
      </c>
      <c r="V13" s="97">
        <v>156.42527944969905</v>
      </c>
      <c r="W13" s="97">
        <v>160.05537403267408</v>
      </c>
      <c r="X13" s="97">
        <v>202.61092003439381</v>
      </c>
      <c r="Y13" s="97">
        <v>269.11994840928634</v>
      </c>
      <c r="DA13" s="175" t="s">
        <v>636</v>
      </c>
    </row>
    <row r="14" spans="1:105" ht="11.45" hidden="1" customHeight="1" x14ac:dyDescent="0.25">
      <c r="A14" s="92" t="s">
        <v>178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X14" s="97">
        <v>0</v>
      </c>
      <c r="Y14" s="97">
        <v>0</v>
      </c>
      <c r="DA14" s="175" t="s">
        <v>637</v>
      </c>
    </row>
    <row r="15" spans="1:105" ht="11.45" customHeight="1" x14ac:dyDescent="0.25">
      <c r="A15" s="85" t="s">
        <v>91</v>
      </c>
      <c r="B15" s="98">
        <v>0</v>
      </c>
      <c r="C15" s="98">
        <v>0</v>
      </c>
      <c r="D15" s="98">
        <v>0</v>
      </c>
      <c r="E15" s="98">
        <v>0</v>
      </c>
      <c r="F15" s="98">
        <v>0</v>
      </c>
      <c r="G15" s="98">
        <v>0</v>
      </c>
      <c r="H15" s="98">
        <v>0</v>
      </c>
      <c r="I15" s="98">
        <v>0</v>
      </c>
      <c r="J15" s="98">
        <v>1.4586774530340836E-2</v>
      </c>
      <c r="K15" s="98">
        <v>1.5086563472356039E-2</v>
      </c>
      <c r="L15" s="98">
        <v>1.9186263718294034E-2</v>
      </c>
      <c r="M15" s="98">
        <v>0.16749698886512959</v>
      </c>
      <c r="N15" s="98">
        <v>0.20590338208261985</v>
      </c>
      <c r="O15" s="98">
        <v>9.8429475193770932E-2</v>
      </c>
      <c r="P15" s="98">
        <v>0.17415897876811348</v>
      </c>
      <c r="Q15" s="98">
        <v>0.3048359235315749</v>
      </c>
      <c r="R15" s="98">
        <v>0.49553852350423527</v>
      </c>
      <c r="S15" s="98">
        <v>0.79928524686907276</v>
      </c>
      <c r="T15" s="98">
        <v>1.4168847078286362</v>
      </c>
      <c r="U15" s="98">
        <v>2.9027757312064995</v>
      </c>
      <c r="V15" s="98">
        <v>4.1484823711852599</v>
      </c>
      <c r="W15" s="98">
        <v>9.428198149512113</v>
      </c>
      <c r="X15" s="98">
        <v>16.774563338423579</v>
      </c>
      <c r="Y15" s="98">
        <v>26.459528296041334</v>
      </c>
      <c r="DA15" s="178" t="s">
        <v>638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X16" s="96"/>
      <c r="Y16" s="96"/>
      <c r="DA16" s="171"/>
    </row>
    <row r="17" spans="1:105" ht="11.45" customHeight="1" x14ac:dyDescent="0.25">
      <c r="A17" s="53" t="s">
        <v>61</v>
      </c>
      <c r="B17" s="79">
        <f t="shared" ref="B17:K17" si="10">B18+B42</f>
        <v>3383.780567497849</v>
      </c>
      <c r="C17" s="79">
        <f t="shared" si="10"/>
        <v>3536.9984522785894</v>
      </c>
      <c r="D17" s="79">
        <f t="shared" si="10"/>
        <v>3606.1160791057605</v>
      </c>
      <c r="E17" s="79">
        <f t="shared" si="10"/>
        <v>3664.8339638865009</v>
      </c>
      <c r="F17" s="79">
        <f t="shared" si="10"/>
        <v>3882.2401547721406</v>
      </c>
      <c r="G17" s="79">
        <f t="shared" si="10"/>
        <v>4112.0191745485808</v>
      </c>
      <c r="H17" s="79">
        <f t="shared" si="10"/>
        <v>4465.8077386070509</v>
      </c>
      <c r="I17" s="79">
        <f t="shared" si="10"/>
        <v>4611.718830610489</v>
      </c>
      <c r="J17" s="79">
        <f t="shared" si="10"/>
        <v>4374.8640278751318</v>
      </c>
      <c r="K17" s="79">
        <f t="shared" si="10"/>
        <v>3998.3817245686314</v>
      </c>
      <c r="L17" s="79">
        <f t="shared" ref="L17" si="11">L18+L42</f>
        <v>3749.5279566850427</v>
      </c>
      <c r="M17" s="79">
        <f t="shared" ref="M17:V17" si="12">M18+M42</f>
        <v>3575.0410997403706</v>
      </c>
      <c r="N17" s="79">
        <f t="shared" si="12"/>
        <v>3493.0303229865531</v>
      </c>
      <c r="O17" s="79">
        <f t="shared" si="12"/>
        <v>3555.7734079790616</v>
      </c>
      <c r="P17" s="79">
        <f t="shared" si="12"/>
        <v>3700.8353799589904</v>
      </c>
      <c r="Q17" s="79">
        <f t="shared" si="12"/>
        <v>3763.1704421144168</v>
      </c>
      <c r="R17" s="79">
        <f t="shared" si="12"/>
        <v>3946.6628644048446</v>
      </c>
      <c r="S17" s="79">
        <f t="shared" si="12"/>
        <v>3908.8020367515987</v>
      </c>
      <c r="T17" s="79">
        <f t="shared" si="12"/>
        <v>3943.1950446390406</v>
      </c>
      <c r="U17" s="79">
        <f t="shared" si="12"/>
        <v>3969.2432744414382</v>
      </c>
      <c r="V17" s="79">
        <f t="shared" si="12"/>
        <v>3324.33971194986</v>
      </c>
      <c r="W17" s="79">
        <f t="shared" ref="W17:Y17" si="13">W18+W42</f>
        <v>3540.8312076078096</v>
      </c>
      <c r="X17" s="79">
        <f t="shared" si="13"/>
        <v>3820.7326888758262</v>
      </c>
      <c r="Y17" s="79">
        <f t="shared" si="13"/>
        <v>3959.634076877298</v>
      </c>
      <c r="DA17" s="172" t="s">
        <v>639</v>
      </c>
    </row>
    <row r="18" spans="1:105" ht="11.45" customHeight="1" x14ac:dyDescent="0.25">
      <c r="A18" s="27" t="s">
        <v>33</v>
      </c>
      <c r="B18" s="32">
        <f t="shared" ref="B18:K18" si="14">B19+B21+B33</f>
        <v>2096.891780386452</v>
      </c>
      <c r="C18" s="32">
        <f t="shared" si="14"/>
        <v>2177.2506846192427</v>
      </c>
      <c r="D18" s="32">
        <f t="shared" si="14"/>
        <v>2192.905741212021</v>
      </c>
      <c r="E18" s="32">
        <f t="shared" si="14"/>
        <v>2206.9862093566126</v>
      </c>
      <c r="F18" s="32">
        <f t="shared" si="14"/>
        <v>2295.6026629162302</v>
      </c>
      <c r="G18" s="32">
        <f t="shared" si="14"/>
        <v>2456.3264163472959</v>
      </c>
      <c r="H18" s="32">
        <f t="shared" si="14"/>
        <v>2732.9261792315892</v>
      </c>
      <c r="I18" s="32">
        <f t="shared" si="14"/>
        <v>2743.5633853493555</v>
      </c>
      <c r="J18" s="32">
        <f t="shared" si="14"/>
        <v>2724.2486412558369</v>
      </c>
      <c r="K18" s="32">
        <f t="shared" si="14"/>
        <v>2672.6602262453271</v>
      </c>
      <c r="L18" s="32">
        <f t="shared" ref="L18" si="15">L19+L21+L33</f>
        <v>2565.2298064239417</v>
      </c>
      <c r="M18" s="32">
        <f t="shared" ref="M18:V18" si="16">M19+M21+M33</f>
        <v>2467.2825258974412</v>
      </c>
      <c r="N18" s="32">
        <f t="shared" si="16"/>
        <v>2424.4342492064779</v>
      </c>
      <c r="O18" s="32">
        <f t="shared" si="16"/>
        <v>2476.6611941307901</v>
      </c>
      <c r="P18" s="32">
        <f t="shared" si="16"/>
        <v>2586.1299906786408</v>
      </c>
      <c r="Q18" s="32">
        <f t="shared" si="16"/>
        <v>2654.5092179830335</v>
      </c>
      <c r="R18" s="32">
        <f t="shared" si="16"/>
        <v>2785.3411094984203</v>
      </c>
      <c r="S18" s="32">
        <f t="shared" si="16"/>
        <v>2773.9063640064783</v>
      </c>
      <c r="T18" s="32">
        <f t="shared" si="16"/>
        <v>2774.5350565846834</v>
      </c>
      <c r="U18" s="32">
        <f t="shared" si="16"/>
        <v>2767.6681456572996</v>
      </c>
      <c r="V18" s="32">
        <f t="shared" si="16"/>
        <v>2274.5736034268962</v>
      </c>
      <c r="W18" s="32">
        <f t="shared" ref="W18:Y18" si="17">W19+W21+W33</f>
        <v>2387.3589103404306</v>
      </c>
      <c r="X18" s="32">
        <f t="shared" si="17"/>
        <v>2596.7179903885008</v>
      </c>
      <c r="Y18" s="32">
        <f t="shared" si="17"/>
        <v>2688.309530262215</v>
      </c>
      <c r="DA18" s="173" t="s">
        <v>391</v>
      </c>
    </row>
    <row r="19" spans="1:105" ht="11.45" customHeight="1" x14ac:dyDescent="0.25">
      <c r="A19" s="107" t="s">
        <v>174</v>
      </c>
      <c r="B19" s="129">
        <v>4.3913926231090299</v>
      </c>
      <c r="C19" s="129">
        <v>4.6886837022671655</v>
      </c>
      <c r="D19" s="129">
        <v>4.6048946825741508</v>
      </c>
      <c r="E19" s="129">
        <v>4.9189578298332446</v>
      </c>
      <c r="F19" s="129">
        <v>4.7198967042099573</v>
      </c>
      <c r="G19" s="129">
        <v>5.7451139208879107</v>
      </c>
      <c r="H19" s="129">
        <v>5.6288612942283285</v>
      </c>
      <c r="I19" s="129">
        <v>5.6879715958313293</v>
      </c>
      <c r="J19" s="129">
        <v>6.0601181805208402</v>
      </c>
      <c r="K19" s="129">
        <v>5.5445584485263639</v>
      </c>
      <c r="L19" s="129">
        <v>4.8153136021623784</v>
      </c>
      <c r="M19" s="129">
        <v>4.3850852200276513</v>
      </c>
      <c r="N19" s="129">
        <v>3.9247739052666177</v>
      </c>
      <c r="O19" s="129">
        <v>3.8641828852689444</v>
      </c>
      <c r="P19" s="129">
        <v>4.4359450989986735</v>
      </c>
      <c r="Q19" s="129">
        <v>4.2015202019073952</v>
      </c>
      <c r="R19" s="129">
        <v>4.3205316829041678</v>
      </c>
      <c r="S19" s="129">
        <v>4.0756226864594476</v>
      </c>
      <c r="T19" s="129">
        <v>3.8485555769238924</v>
      </c>
      <c r="U19" s="129">
        <v>4.075872825705896</v>
      </c>
      <c r="V19" s="129">
        <v>3.665716153287621</v>
      </c>
      <c r="W19" s="129">
        <v>3.8101677521945567</v>
      </c>
      <c r="X19" s="129">
        <v>3.8102285159377467</v>
      </c>
      <c r="Y19" s="129">
        <v>4.0963648358608173</v>
      </c>
      <c r="DA19" s="203" t="s">
        <v>392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2.7939100208766772E-5</v>
      </c>
      <c r="H20" s="97">
        <v>1.8213782461325861E-3</v>
      </c>
      <c r="I20" s="97">
        <v>1.0289961628552289E-2</v>
      </c>
      <c r="J20" s="97">
        <v>5.9906704803012342E-2</v>
      </c>
      <c r="K20" s="97">
        <v>7.5765713751038952E-2</v>
      </c>
      <c r="L20" s="97">
        <v>9.3384782893491267E-2</v>
      </c>
      <c r="M20" s="97">
        <v>7.5101817613565741E-2</v>
      </c>
      <c r="N20" s="97">
        <v>8.5898221697664034E-2</v>
      </c>
      <c r="O20" s="97">
        <v>8.8345198683387138E-2</v>
      </c>
      <c r="P20" s="97">
        <v>9.1554930462154641E-2</v>
      </c>
      <c r="Q20" s="97">
        <v>9.7310222616160111E-2</v>
      </c>
      <c r="R20" s="97">
        <v>0.11239468414070085</v>
      </c>
      <c r="S20" s="97">
        <v>0.12932346011216186</v>
      </c>
      <c r="T20" s="97">
        <v>0.12337671193916015</v>
      </c>
      <c r="U20" s="97">
        <v>0.13240137853270173</v>
      </c>
      <c r="V20" s="97">
        <v>0.11933733892188782</v>
      </c>
      <c r="W20" s="97">
        <v>0.12249130610121164</v>
      </c>
      <c r="X20" s="97">
        <v>0.1231429466775463</v>
      </c>
      <c r="Y20" s="97">
        <v>0.17312687404406654</v>
      </c>
      <c r="DA20" s="175" t="s">
        <v>640</v>
      </c>
    </row>
    <row r="21" spans="1:105" ht="11.45" customHeight="1" x14ac:dyDescent="0.25">
      <c r="A21" s="109" t="s">
        <v>20</v>
      </c>
      <c r="B21" s="130">
        <f t="shared" ref="B21:K21" si="18">B22+B24+B26+B27+B29+B32</f>
        <v>1963.2613451163909</v>
      </c>
      <c r="C21" s="130">
        <f t="shared" si="18"/>
        <v>2045.0655330146376</v>
      </c>
      <c r="D21" s="130">
        <f t="shared" si="18"/>
        <v>2060.3279277064321</v>
      </c>
      <c r="E21" s="130">
        <f t="shared" si="18"/>
        <v>2068.5092012181112</v>
      </c>
      <c r="F21" s="130">
        <f t="shared" si="18"/>
        <v>2153.3382258279385</v>
      </c>
      <c r="G21" s="130">
        <f t="shared" si="18"/>
        <v>2308.2387609482935</v>
      </c>
      <c r="H21" s="130">
        <f t="shared" si="18"/>
        <v>2575.4527582327501</v>
      </c>
      <c r="I21" s="130">
        <f t="shared" si="18"/>
        <v>2576.0067450767488</v>
      </c>
      <c r="J21" s="130">
        <f t="shared" si="18"/>
        <v>2545.0283207411085</v>
      </c>
      <c r="K21" s="130">
        <f t="shared" si="18"/>
        <v>2495.7032060860065</v>
      </c>
      <c r="L21" s="130">
        <f t="shared" ref="L21" si="19">L22+L24+L26+L27+L29+L32</f>
        <v>2393.1441397207113</v>
      </c>
      <c r="M21" s="130">
        <f t="shared" ref="M21:V21" si="20">M22+M24+M26+M27+M29+M32</f>
        <v>2299.9913451832685</v>
      </c>
      <c r="N21" s="130">
        <f t="shared" si="20"/>
        <v>2260.253908534633</v>
      </c>
      <c r="O21" s="130">
        <f t="shared" si="20"/>
        <v>2312.106247649539</v>
      </c>
      <c r="P21" s="130">
        <f t="shared" si="20"/>
        <v>2417.5040693672049</v>
      </c>
      <c r="Q21" s="130">
        <f t="shared" si="20"/>
        <v>2480.6742216175367</v>
      </c>
      <c r="R21" s="130">
        <f t="shared" si="20"/>
        <v>2601.7480641764964</v>
      </c>
      <c r="S21" s="130">
        <f t="shared" si="20"/>
        <v>2572.5151674605695</v>
      </c>
      <c r="T21" s="130">
        <f t="shared" si="20"/>
        <v>2559.4652435049243</v>
      </c>
      <c r="U21" s="130">
        <f t="shared" si="20"/>
        <v>2549.77401800917</v>
      </c>
      <c r="V21" s="130">
        <f t="shared" si="20"/>
        <v>2093.305292131537</v>
      </c>
      <c r="W21" s="130">
        <f t="shared" ref="W21:Y21" si="21">W22+W24+W26+W27+W29+W32</f>
        <v>2206.3599000370064</v>
      </c>
      <c r="X21" s="130">
        <f t="shared" si="21"/>
        <v>2373.9188491669038</v>
      </c>
      <c r="Y21" s="130">
        <f t="shared" si="21"/>
        <v>2412.7539638964226</v>
      </c>
      <c r="DA21" s="176" t="s">
        <v>393</v>
      </c>
    </row>
    <row r="22" spans="1:105" ht="11.45" customHeight="1" x14ac:dyDescent="0.25">
      <c r="A22" s="111" t="s">
        <v>110</v>
      </c>
      <c r="B22" s="96">
        <v>1580.1682294160444</v>
      </c>
      <c r="C22" s="96">
        <v>1642.1447213638223</v>
      </c>
      <c r="D22" s="96">
        <v>1678.839315428176</v>
      </c>
      <c r="E22" s="96">
        <v>1676.8828600545382</v>
      </c>
      <c r="F22" s="96">
        <v>1724.5060667387502</v>
      </c>
      <c r="G22" s="96">
        <v>1812.6828232538701</v>
      </c>
      <c r="H22" s="96">
        <v>1985.5214891546736</v>
      </c>
      <c r="I22" s="96">
        <v>1933.3860494132755</v>
      </c>
      <c r="J22" s="96">
        <v>1825.3363313980981</v>
      </c>
      <c r="K22" s="96">
        <v>1662.4332373411967</v>
      </c>
      <c r="L22" s="96">
        <v>1549.3193587112257</v>
      </c>
      <c r="M22" s="96">
        <v>1375.1426594684478</v>
      </c>
      <c r="N22" s="96">
        <v>1304.1002867605887</v>
      </c>
      <c r="O22" s="96">
        <v>1207.3993703910887</v>
      </c>
      <c r="P22" s="96">
        <v>1196.506195790922</v>
      </c>
      <c r="Q22" s="96">
        <v>1037.456609508293</v>
      </c>
      <c r="R22" s="96">
        <v>1023.975363280135</v>
      </c>
      <c r="S22" s="96">
        <v>928.29643547796366</v>
      </c>
      <c r="T22" s="96">
        <v>846.00725951864229</v>
      </c>
      <c r="U22" s="96">
        <v>800.86922121410407</v>
      </c>
      <c r="V22" s="96">
        <v>591.59991515915772</v>
      </c>
      <c r="W22" s="96">
        <v>624.23817257145288</v>
      </c>
      <c r="X22" s="96">
        <v>710.20735570033014</v>
      </c>
      <c r="Y22" s="96">
        <v>762.21052412656593</v>
      </c>
      <c r="DA22" s="171" t="s">
        <v>641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8.8152694172812813E-3</v>
      </c>
      <c r="H23" s="96">
        <v>0.64247197764194997</v>
      </c>
      <c r="I23" s="96">
        <v>3.4976384685572985</v>
      </c>
      <c r="J23" s="96">
        <v>18.044183547899266</v>
      </c>
      <c r="K23" s="96">
        <v>22.716947068000085</v>
      </c>
      <c r="L23" s="96">
        <v>30.046402768234923</v>
      </c>
      <c r="M23" s="96">
        <v>23.55158634827669</v>
      </c>
      <c r="N23" s="96">
        <v>28.541744888241798</v>
      </c>
      <c r="O23" s="96">
        <v>27.604267301642803</v>
      </c>
      <c r="P23" s="96">
        <v>24.695085062685486</v>
      </c>
      <c r="Q23" s="96">
        <v>24.02823948818034</v>
      </c>
      <c r="R23" s="96">
        <v>26.637783488343636</v>
      </c>
      <c r="S23" s="96">
        <v>29.455746098539375</v>
      </c>
      <c r="T23" s="96">
        <v>27.121238571146652</v>
      </c>
      <c r="U23" s="96">
        <v>26.015578367510606</v>
      </c>
      <c r="V23" s="96">
        <v>19.259527096278433</v>
      </c>
      <c r="W23" s="96">
        <v>20.068341881396087</v>
      </c>
      <c r="X23" s="96">
        <v>22.95322345292001</v>
      </c>
      <c r="Y23" s="96">
        <v>32.213714035017524</v>
      </c>
      <c r="DA23" s="171" t="s">
        <v>642</v>
      </c>
    </row>
    <row r="24" spans="1:105" ht="11.45" customHeight="1" x14ac:dyDescent="0.25">
      <c r="A24" s="111" t="s">
        <v>111</v>
      </c>
      <c r="B24" s="96">
        <v>380.91263418701902</v>
      </c>
      <c r="C24" s="96">
        <v>401.35972999449524</v>
      </c>
      <c r="D24" s="96">
        <v>380.12030346091524</v>
      </c>
      <c r="E24" s="96">
        <v>390.43955956695078</v>
      </c>
      <c r="F24" s="96">
        <v>427.77393569223284</v>
      </c>
      <c r="G24" s="96">
        <v>494.54528084675241</v>
      </c>
      <c r="H24" s="96">
        <v>589.0671648418346</v>
      </c>
      <c r="I24" s="96">
        <v>641.46058547665086</v>
      </c>
      <c r="J24" s="96">
        <v>718.79207532753321</v>
      </c>
      <c r="K24" s="96">
        <v>832.68263836583014</v>
      </c>
      <c r="L24" s="96">
        <v>843.30550523143017</v>
      </c>
      <c r="M24" s="96">
        <v>924.15431055288752</v>
      </c>
      <c r="N24" s="96">
        <v>954.98060436359276</v>
      </c>
      <c r="O24" s="96">
        <v>1103.3387853629126</v>
      </c>
      <c r="P24" s="96">
        <v>1218.7246707145227</v>
      </c>
      <c r="Q24" s="96">
        <v>1440.3773325360764</v>
      </c>
      <c r="R24" s="96">
        <v>1574.638249943901</v>
      </c>
      <c r="S24" s="96">
        <v>1641.0050214155381</v>
      </c>
      <c r="T24" s="96">
        <v>1709.7885612126724</v>
      </c>
      <c r="U24" s="96">
        <v>1743.7397757257236</v>
      </c>
      <c r="V24" s="96">
        <v>1495.6387271869905</v>
      </c>
      <c r="W24" s="96">
        <v>1568.7389276337528</v>
      </c>
      <c r="X24" s="96">
        <v>1640.9603574230164</v>
      </c>
      <c r="Y24" s="96">
        <v>1617.5652206143116</v>
      </c>
      <c r="DA24" s="171" t="s">
        <v>643</v>
      </c>
    </row>
    <row r="25" spans="1:105" ht="11.45" customHeight="1" x14ac:dyDescent="0.25">
      <c r="A25" s="160" t="s">
        <v>131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0.23301938608480113</v>
      </c>
      <c r="H25" s="96">
        <v>0.48353582040679771</v>
      </c>
      <c r="I25" s="96">
        <v>4.3377756543885591</v>
      </c>
      <c r="J25" s="96">
        <v>10.674040868816455</v>
      </c>
      <c r="K25" s="96">
        <v>19.542758736016008</v>
      </c>
      <c r="L25" s="96">
        <v>24.022201747813082</v>
      </c>
      <c r="M25" s="96">
        <v>28.790073037967698</v>
      </c>
      <c r="N25" s="96">
        <v>24.630350964331068</v>
      </c>
      <c r="O25" s="96">
        <v>34.730775584708383</v>
      </c>
      <c r="P25" s="96">
        <v>43.739309745844025</v>
      </c>
      <c r="Q25" s="96">
        <v>52.106179958222711</v>
      </c>
      <c r="R25" s="96">
        <v>46.336475308576816</v>
      </c>
      <c r="S25" s="96">
        <v>72.375620566942118</v>
      </c>
      <c r="T25" s="96">
        <v>70.446503939730462</v>
      </c>
      <c r="U25" s="96">
        <v>89.960650359835256</v>
      </c>
      <c r="V25" s="96">
        <v>85.982896582421574</v>
      </c>
      <c r="W25" s="96">
        <v>86.702979209337556</v>
      </c>
      <c r="X25" s="96">
        <v>107.9485660791578</v>
      </c>
      <c r="Y25" s="96">
        <v>138.00870576004118</v>
      </c>
      <c r="DA25" s="171" t="s">
        <v>644</v>
      </c>
    </row>
    <row r="26" spans="1:105" ht="11.45" customHeight="1" x14ac:dyDescent="0.25">
      <c r="A26" s="111" t="s">
        <v>112</v>
      </c>
      <c r="B26" s="96">
        <v>2.1804815133276012</v>
      </c>
      <c r="C26" s="96">
        <v>1.5610816563200247</v>
      </c>
      <c r="D26" s="96">
        <v>1.3683088173409503</v>
      </c>
      <c r="E26" s="96">
        <v>1.1867815966218687</v>
      </c>
      <c r="F26" s="96">
        <v>1.0582233969555475</v>
      </c>
      <c r="G26" s="96">
        <v>1.0106568476710411</v>
      </c>
      <c r="H26" s="96">
        <v>0.86410423624182087</v>
      </c>
      <c r="I26" s="96">
        <v>1.1601101868221597</v>
      </c>
      <c r="J26" s="96">
        <v>0.89991401547721395</v>
      </c>
      <c r="K26" s="96">
        <v>0.5868443680137575</v>
      </c>
      <c r="L26" s="96">
        <v>0.51470335339638862</v>
      </c>
      <c r="M26" s="96">
        <v>0.54961306964746348</v>
      </c>
      <c r="N26" s="96">
        <v>1.0001719690455719</v>
      </c>
      <c r="O26" s="96">
        <v>1.3006432138685267</v>
      </c>
      <c r="P26" s="96">
        <v>2.1035100944236933</v>
      </c>
      <c r="Q26" s="96">
        <v>2.5248075684700959</v>
      </c>
      <c r="R26" s="96">
        <v>2.5440319821433564</v>
      </c>
      <c r="S26" s="96">
        <v>2.2480560840227204</v>
      </c>
      <c r="T26" s="96">
        <v>1.845932720144899</v>
      </c>
      <c r="U26" s="96">
        <v>1.6229488519056305</v>
      </c>
      <c r="V26" s="96">
        <v>1.1454961226091089</v>
      </c>
      <c r="W26" s="96">
        <v>1.1600654503021848</v>
      </c>
      <c r="X26" s="96">
        <v>1.617279899026266</v>
      </c>
      <c r="Y26" s="96">
        <v>1.1689839404615057</v>
      </c>
      <c r="DA26" s="171" t="s">
        <v>645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0</v>
      </c>
      <c r="G27" s="96">
        <v>0</v>
      </c>
      <c r="H27" s="96">
        <v>0</v>
      </c>
      <c r="I27" s="96">
        <v>0</v>
      </c>
      <c r="J27" s="96">
        <v>0</v>
      </c>
      <c r="K27" s="96">
        <v>0</v>
      </c>
      <c r="L27" s="96">
        <v>0</v>
      </c>
      <c r="M27" s="96">
        <v>0</v>
      </c>
      <c r="N27" s="96">
        <v>0</v>
      </c>
      <c r="O27" s="96">
        <v>0</v>
      </c>
      <c r="P27" s="96">
        <v>2.321582115219261E-2</v>
      </c>
      <c r="Q27" s="96">
        <v>1.2725709372312981E-2</v>
      </c>
      <c r="R27" s="96">
        <v>7.9184750386085793E-3</v>
      </c>
      <c r="S27" s="96">
        <v>9.4423094031409402E-3</v>
      </c>
      <c r="T27" s="96">
        <v>1.1837827118978596E-2</v>
      </c>
      <c r="U27" s="96">
        <v>1.3087553388630681E-2</v>
      </c>
      <c r="V27" s="96">
        <v>1.355538372937057E-2</v>
      </c>
      <c r="W27" s="96">
        <v>2.7216232462366315E-2</v>
      </c>
      <c r="X27" s="96">
        <v>0.2040997616636418</v>
      </c>
      <c r="Y27" s="96">
        <v>0.16869225561633353</v>
      </c>
      <c r="DA27" s="171" t="s">
        <v>646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0</v>
      </c>
      <c r="T28" s="96">
        <v>0</v>
      </c>
      <c r="U28" s="96">
        <v>0</v>
      </c>
      <c r="V28" s="96">
        <v>2.3222854676641407E-7</v>
      </c>
      <c r="W28" s="96">
        <v>2.4242049871492222E-6</v>
      </c>
      <c r="X28" s="96">
        <v>1.4469740960134386E-4</v>
      </c>
      <c r="Y28" s="96">
        <v>1.8897360839994356E-4</v>
      </c>
      <c r="DA28" s="171" t="s">
        <v>647</v>
      </c>
    </row>
    <row r="29" spans="1:105" ht="11.45" customHeight="1" x14ac:dyDescent="0.25">
      <c r="A29" s="111" t="s">
        <v>185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0</v>
      </c>
      <c r="O29" s="96">
        <v>4.21692566459344E-3</v>
      </c>
      <c r="P29" s="96">
        <v>1.497371145649775E-2</v>
      </c>
      <c r="Q29" s="96">
        <v>5.729622123494936E-2</v>
      </c>
      <c r="R29" s="96">
        <v>0.19579390910888611</v>
      </c>
      <c r="S29" s="96">
        <v>0.33716983236454223</v>
      </c>
      <c r="T29" s="96">
        <v>0.74422711552645282</v>
      </c>
      <c r="U29" s="96">
        <v>1.3980882103841004</v>
      </c>
      <c r="V29" s="96">
        <v>2.0410928662920025</v>
      </c>
      <c r="W29" s="96">
        <v>6.8330111788686896</v>
      </c>
      <c r="X29" s="96">
        <v>11.09331667912315</v>
      </c>
      <c r="Y29" s="96">
        <v>15.829249826750036</v>
      </c>
      <c r="DA29" s="171" t="s">
        <v>648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0</v>
      </c>
      <c r="O30" s="96">
        <v>7.0077694970348088E-5</v>
      </c>
      <c r="P30" s="96">
        <v>1.877640967009262E-4</v>
      </c>
      <c r="Q30" s="96">
        <v>7.9420684897008129E-4</v>
      </c>
      <c r="R30" s="96">
        <v>3.2381407743344668E-3</v>
      </c>
      <c r="S30" s="96">
        <v>6.6620221798161898E-3</v>
      </c>
      <c r="T30" s="96">
        <v>1.460733364500353E-2</v>
      </c>
      <c r="U30" s="96">
        <v>2.6847781603770715E-2</v>
      </c>
      <c r="V30" s="96">
        <v>3.6306640298361892E-2</v>
      </c>
      <c r="W30" s="96">
        <v>0.11025530302810144</v>
      </c>
      <c r="X30" s="96">
        <v>0.17158725650039916</v>
      </c>
      <c r="Y30" s="96">
        <v>0.308458230830017</v>
      </c>
      <c r="DA30" s="171" t="s">
        <v>649</v>
      </c>
    </row>
    <row r="31" spans="1:105" ht="11.45" customHeight="1" x14ac:dyDescent="0.25">
      <c r="A31" s="160" t="s">
        <v>133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0</v>
      </c>
      <c r="N31" s="96">
        <v>0</v>
      </c>
      <c r="O31" s="96">
        <v>1.1517559261225488E-3</v>
      </c>
      <c r="P31" s="96">
        <v>5.8763180083897778E-3</v>
      </c>
      <c r="Q31" s="96">
        <v>2.3005105350821644E-2</v>
      </c>
      <c r="R31" s="96">
        <v>7.1317472201051946E-2</v>
      </c>
      <c r="S31" s="96">
        <v>0.12721652064363614</v>
      </c>
      <c r="T31" s="96">
        <v>0.2885727665015877</v>
      </c>
      <c r="U31" s="96">
        <v>0.57160026379321105</v>
      </c>
      <c r="V31" s="96">
        <v>0.92585233038209513</v>
      </c>
      <c r="W31" s="96">
        <v>3.4034518617445855</v>
      </c>
      <c r="X31" s="96">
        <v>5.784148145083547</v>
      </c>
      <c r="Y31" s="96">
        <v>8.5308020434076095</v>
      </c>
      <c r="DA31" s="171" t="s">
        <v>650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4.8601096557503691E-4</v>
      </c>
      <c r="L32" s="96">
        <v>4.5724246592675254E-3</v>
      </c>
      <c r="M32" s="96">
        <v>0.14476209228583264</v>
      </c>
      <c r="N32" s="96">
        <v>0.17284544140625144</v>
      </c>
      <c r="O32" s="96">
        <v>6.3231756004995143E-2</v>
      </c>
      <c r="P32" s="96">
        <v>0.13150323472793551</v>
      </c>
      <c r="Q32" s="96">
        <v>0.24545007408994923</v>
      </c>
      <c r="R32" s="96">
        <v>0.38670658617020026</v>
      </c>
      <c r="S32" s="96">
        <v>0.61904234127733881</v>
      </c>
      <c r="T32" s="96">
        <v>1.0674251108191455</v>
      </c>
      <c r="U32" s="96">
        <v>2.1308964536637656</v>
      </c>
      <c r="V32" s="96">
        <v>2.8665054127581326</v>
      </c>
      <c r="W32" s="96">
        <v>5.3625069701674226</v>
      </c>
      <c r="X32" s="96">
        <v>9.8364397037441513</v>
      </c>
      <c r="Y32" s="96">
        <v>15.811293132716692</v>
      </c>
      <c r="DA32" s="171" t="s">
        <v>651</v>
      </c>
    </row>
    <row r="33" spans="1:105" ht="11.45" customHeight="1" x14ac:dyDescent="0.25">
      <c r="A33" s="109" t="s">
        <v>21</v>
      </c>
      <c r="B33" s="130">
        <f t="shared" ref="B33:K33" si="22">B34+B36+B38+B39+B41</f>
        <v>129.2390426469521</v>
      </c>
      <c r="C33" s="130">
        <f t="shared" si="22"/>
        <v>127.49646790233761</v>
      </c>
      <c r="D33" s="130">
        <f t="shared" si="22"/>
        <v>127.97291882301469</v>
      </c>
      <c r="E33" s="130">
        <f t="shared" si="22"/>
        <v>133.55805030866793</v>
      </c>
      <c r="F33" s="130">
        <f t="shared" si="22"/>
        <v>137.54454038408176</v>
      </c>
      <c r="G33" s="130">
        <f t="shared" si="22"/>
        <v>142.34254147811473</v>
      </c>
      <c r="H33" s="130">
        <f t="shared" si="22"/>
        <v>151.84455970461048</v>
      </c>
      <c r="I33" s="130">
        <f t="shared" si="22"/>
        <v>161.86866867677534</v>
      </c>
      <c r="J33" s="130">
        <f t="shared" si="22"/>
        <v>173.16020233420758</v>
      </c>
      <c r="K33" s="130">
        <f t="shared" si="22"/>
        <v>171.41246171079419</v>
      </c>
      <c r="L33" s="130">
        <f t="shared" ref="L33" si="23">L34+L36+L38+L39+L41</f>
        <v>167.27035310106783</v>
      </c>
      <c r="M33" s="130">
        <f t="shared" ref="M33:V33" si="24">M34+M36+M38+M39+M41</f>
        <v>162.90609549414495</v>
      </c>
      <c r="N33" s="130">
        <f t="shared" si="24"/>
        <v>160.25556676657845</v>
      </c>
      <c r="O33" s="130">
        <f t="shared" si="24"/>
        <v>160.69076359598242</v>
      </c>
      <c r="P33" s="130">
        <f t="shared" si="24"/>
        <v>164.18997621243716</v>
      </c>
      <c r="Q33" s="130">
        <f t="shared" si="24"/>
        <v>169.63347616358956</v>
      </c>
      <c r="R33" s="130">
        <f t="shared" si="24"/>
        <v>179.27251363902019</v>
      </c>
      <c r="S33" s="130">
        <f t="shared" si="24"/>
        <v>197.31557385944924</v>
      </c>
      <c r="T33" s="130">
        <f t="shared" si="24"/>
        <v>211.22125750283519</v>
      </c>
      <c r="U33" s="130">
        <f t="shared" si="24"/>
        <v>213.8182548224238</v>
      </c>
      <c r="V33" s="130">
        <f t="shared" si="24"/>
        <v>177.60259514207166</v>
      </c>
      <c r="W33" s="130">
        <f t="shared" ref="W33:Y33" si="25">W34+W36+W38+W39+W41</f>
        <v>177.18884255122956</v>
      </c>
      <c r="X33" s="130">
        <f t="shared" si="25"/>
        <v>218.98891270565943</v>
      </c>
      <c r="Y33" s="130">
        <f t="shared" si="25"/>
        <v>271.45920152993182</v>
      </c>
      <c r="DA33" s="176" t="s">
        <v>394</v>
      </c>
    </row>
    <row r="34" spans="1:105" ht="11.45" customHeight="1" x14ac:dyDescent="0.25">
      <c r="A34" s="111" t="s">
        <v>110</v>
      </c>
      <c r="B34" s="97">
        <v>0.78929631889382701</v>
      </c>
      <c r="C34" s="97">
        <v>0.72385491601110696</v>
      </c>
      <c r="D34" s="97">
        <v>0.65856644271345377</v>
      </c>
      <c r="E34" s="97">
        <v>0.59410332100937024</v>
      </c>
      <c r="F34" s="97">
        <v>0.52394573684021173</v>
      </c>
      <c r="G34" s="97">
        <v>0.4582818217200153</v>
      </c>
      <c r="H34" s="97">
        <v>0.3976616968956847</v>
      </c>
      <c r="I34" s="97">
        <v>0.35364676495179398</v>
      </c>
      <c r="J34" s="97">
        <v>0.30656982126683213</v>
      </c>
      <c r="K34" s="97">
        <v>0.25412081331563513</v>
      </c>
      <c r="L34" s="97">
        <v>0.20153294531018021</v>
      </c>
      <c r="M34" s="97">
        <v>0.1598061748052447</v>
      </c>
      <c r="N34" s="97">
        <v>0.12005089128022056</v>
      </c>
      <c r="O34" s="97">
        <v>0.12036177850192717</v>
      </c>
      <c r="P34" s="97">
        <v>0.12068620784559281</v>
      </c>
      <c r="Q34" s="97">
        <v>0.1043162316081709</v>
      </c>
      <c r="R34" s="97">
        <v>8.5557683115754998E-2</v>
      </c>
      <c r="S34" s="97">
        <v>0.10537833092775456</v>
      </c>
      <c r="T34" s="97">
        <v>7.1883843263754757E-2</v>
      </c>
      <c r="U34" s="97">
        <v>8.6316737396925108E-2</v>
      </c>
      <c r="V34" s="97">
        <v>7.9112222144149522E-2</v>
      </c>
      <c r="W34" s="97">
        <v>7.1461657205171822E-2</v>
      </c>
      <c r="X34" s="97">
        <v>0.22471547855627527</v>
      </c>
      <c r="Y34" s="97">
        <v>0.67497680692983553</v>
      </c>
      <c r="DA34" s="175" t="s">
        <v>652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2.228673254735536E-6</v>
      </c>
      <c r="H35" s="97">
        <v>1.2867475785708891E-4</v>
      </c>
      <c r="I35" s="97">
        <v>6.3977317398747444E-4</v>
      </c>
      <c r="J35" s="97">
        <v>3.0305659455911677E-3</v>
      </c>
      <c r="K35" s="97">
        <v>3.4725298648390773E-3</v>
      </c>
      <c r="L35" s="97">
        <v>3.9083872616781628E-3</v>
      </c>
      <c r="M35" s="97">
        <v>2.7369443446459206E-3</v>
      </c>
      <c r="N35" s="97">
        <v>2.6274527713183067E-3</v>
      </c>
      <c r="O35" s="97">
        <v>2.7517810495396662E-3</v>
      </c>
      <c r="P35" s="97">
        <v>2.4908823532416072E-3</v>
      </c>
      <c r="Q35" s="97">
        <v>2.4160387746467783E-3</v>
      </c>
      <c r="R35" s="97">
        <v>2.2257049537805114E-3</v>
      </c>
      <c r="S35" s="97">
        <v>3.3437566293116317E-3</v>
      </c>
      <c r="T35" s="97">
        <v>2.3044469661838E-3</v>
      </c>
      <c r="U35" s="97">
        <v>2.8039282653081329E-3</v>
      </c>
      <c r="V35" s="97">
        <v>2.5754973031430141E-3</v>
      </c>
      <c r="W35" s="97">
        <v>2.2973874896129736E-3</v>
      </c>
      <c r="X35" s="97">
        <v>7.2625896524907601E-3</v>
      </c>
      <c r="Y35" s="97">
        <v>2.8526908446486404E-2</v>
      </c>
      <c r="DA35" s="175" t="s">
        <v>653</v>
      </c>
    </row>
    <row r="36" spans="1:105" ht="11.45" customHeight="1" x14ac:dyDescent="0.25">
      <c r="A36" s="111" t="s">
        <v>111</v>
      </c>
      <c r="B36" s="97">
        <v>128.44974632805827</v>
      </c>
      <c r="C36" s="97">
        <v>126.76585285416846</v>
      </c>
      <c r="D36" s="97">
        <v>127.30742474020454</v>
      </c>
      <c r="E36" s="97">
        <v>132.95683348539825</v>
      </c>
      <c r="F36" s="97">
        <v>137.01329783783424</v>
      </c>
      <c r="G36" s="97">
        <v>141.87677376975793</v>
      </c>
      <c r="H36" s="97">
        <v>151.4392051674304</v>
      </c>
      <c r="I36" s="97">
        <v>161.50711834112207</v>
      </c>
      <c r="J36" s="97">
        <v>172.83904573841042</v>
      </c>
      <c r="K36" s="97">
        <v>171.14374034497177</v>
      </c>
      <c r="L36" s="97">
        <v>167.05420631669861</v>
      </c>
      <c r="M36" s="97">
        <v>162.73166087307845</v>
      </c>
      <c r="N36" s="97">
        <v>160.12088371697752</v>
      </c>
      <c r="O36" s="97">
        <v>160.55575405093361</v>
      </c>
      <c r="P36" s="97">
        <v>164.05462653947208</v>
      </c>
      <c r="Q36" s="97">
        <v>169.51448903303179</v>
      </c>
      <c r="R36" s="97">
        <v>179.17228581894247</v>
      </c>
      <c r="S36" s="97">
        <v>197.19556158083557</v>
      </c>
      <c r="T36" s="97">
        <v>211.12162834826279</v>
      </c>
      <c r="U36" s="97">
        <v>213.33267954551201</v>
      </c>
      <c r="V36" s="97">
        <v>176.52251677574594</v>
      </c>
      <c r="W36" s="97">
        <v>175.074466326638</v>
      </c>
      <c r="X36" s="97">
        <v>216.81620286854971</v>
      </c>
      <c r="Y36" s="97">
        <v>268.10711633115028</v>
      </c>
      <c r="DA36" s="175" t="s">
        <v>654</v>
      </c>
    </row>
    <row r="37" spans="1:105" ht="11.45" customHeight="1" x14ac:dyDescent="0.25">
      <c r="A37" s="160" t="s">
        <v>131</v>
      </c>
      <c r="B37" s="97">
        <v>0</v>
      </c>
      <c r="C37" s="97">
        <v>0</v>
      </c>
      <c r="D37" s="97">
        <v>0</v>
      </c>
      <c r="E37" s="97">
        <v>0</v>
      </c>
      <c r="F37" s="97">
        <v>0</v>
      </c>
      <c r="G37" s="97">
        <v>6.6849366486555789E-2</v>
      </c>
      <c r="H37" s="97">
        <v>0.1243088813684738</v>
      </c>
      <c r="I37" s="97">
        <v>1.0921663182625463</v>
      </c>
      <c r="J37" s="97">
        <v>2.5666546714477407</v>
      </c>
      <c r="K37" s="97">
        <v>4.0166813533005703</v>
      </c>
      <c r="L37" s="97">
        <v>4.7586667252447548</v>
      </c>
      <c r="M37" s="97">
        <v>5.0695607309593376</v>
      </c>
      <c r="N37" s="97">
        <v>4.1297525254936511</v>
      </c>
      <c r="O37" s="97">
        <v>5.053956170807921</v>
      </c>
      <c r="P37" s="97">
        <v>5.8878238029281444</v>
      </c>
      <c r="Q37" s="97">
        <v>6.1322490097296036</v>
      </c>
      <c r="R37" s="97">
        <v>5.2724568313556937</v>
      </c>
      <c r="S37" s="97">
        <v>8.6972013834231916</v>
      </c>
      <c r="T37" s="97">
        <v>8.6986080972782052</v>
      </c>
      <c r="U37" s="97">
        <v>11.005969389517016</v>
      </c>
      <c r="V37" s="97">
        <v>10.148117341775773</v>
      </c>
      <c r="W37" s="97">
        <v>9.6762294519590402</v>
      </c>
      <c r="X37" s="97">
        <v>14.262988192562561</v>
      </c>
      <c r="Y37" s="97">
        <v>22.874574489099572</v>
      </c>
      <c r="DA37" s="175" t="s">
        <v>655</v>
      </c>
    </row>
    <row r="38" spans="1:105" ht="11.45" customHeight="1" x14ac:dyDescent="0.25">
      <c r="A38" s="111" t="s">
        <v>112</v>
      </c>
      <c r="B38" s="97">
        <v>0</v>
      </c>
      <c r="C38" s="97">
        <v>6.7601321580492268E-3</v>
      </c>
      <c r="D38" s="97">
        <v>6.9276400967107632E-3</v>
      </c>
      <c r="E38" s="97">
        <v>7.1135022603323337E-3</v>
      </c>
      <c r="F38" s="97">
        <v>7.2968094073076264E-3</v>
      </c>
      <c r="G38" s="97">
        <v>7.485886636782825E-3</v>
      </c>
      <c r="H38" s="97">
        <v>7.6928402844043189E-3</v>
      </c>
      <c r="I38" s="97">
        <v>7.9035707014863173E-3</v>
      </c>
      <c r="J38" s="97">
        <v>0</v>
      </c>
      <c r="K38" s="97">
        <v>0</v>
      </c>
      <c r="L38" s="97">
        <v>0</v>
      </c>
      <c r="M38" s="97">
        <v>0</v>
      </c>
      <c r="N38" s="97">
        <v>0</v>
      </c>
      <c r="O38" s="97">
        <v>0</v>
      </c>
      <c r="P38" s="97">
        <v>0</v>
      </c>
      <c r="Q38" s="97">
        <v>0</v>
      </c>
      <c r="R38" s="97">
        <v>0</v>
      </c>
      <c r="S38" s="97">
        <v>0</v>
      </c>
      <c r="T38" s="97">
        <v>0</v>
      </c>
      <c r="U38" s="97">
        <v>0</v>
      </c>
      <c r="V38" s="97">
        <v>0</v>
      </c>
      <c r="W38" s="97">
        <v>0</v>
      </c>
      <c r="X38" s="97">
        <v>0</v>
      </c>
      <c r="Y38" s="97">
        <v>0</v>
      </c>
      <c r="DA38" s="175" t="s">
        <v>656</v>
      </c>
    </row>
    <row r="39" spans="1:105" ht="11.45" customHeight="1" x14ac:dyDescent="0.25">
      <c r="A39" s="111" t="s">
        <v>113</v>
      </c>
      <c r="B39" s="97">
        <v>0</v>
      </c>
      <c r="C39" s="97">
        <v>0</v>
      </c>
      <c r="D39" s="97">
        <v>0</v>
      </c>
      <c r="E39" s="97">
        <v>0</v>
      </c>
      <c r="F39" s="97">
        <v>0</v>
      </c>
      <c r="G39" s="97">
        <v>0</v>
      </c>
      <c r="H39" s="97">
        <v>0</v>
      </c>
      <c r="I39" s="97">
        <v>0</v>
      </c>
      <c r="J39" s="97">
        <v>0</v>
      </c>
      <c r="K39" s="97">
        <v>0</v>
      </c>
      <c r="L39" s="97">
        <v>0</v>
      </c>
      <c r="M39" s="97">
        <v>0</v>
      </c>
      <c r="N39" s="97">
        <v>0</v>
      </c>
      <c r="O39" s="97">
        <v>0</v>
      </c>
      <c r="P39" s="97">
        <v>0</v>
      </c>
      <c r="Q39" s="97">
        <v>0</v>
      </c>
      <c r="R39" s="97">
        <v>0</v>
      </c>
      <c r="S39" s="97">
        <v>0</v>
      </c>
      <c r="T39" s="97">
        <v>1.3127730120345214E-2</v>
      </c>
      <c r="U39" s="97">
        <v>0.3853873494087719</v>
      </c>
      <c r="V39" s="97">
        <v>0.94988639836704714</v>
      </c>
      <c r="W39" s="97">
        <v>1.9615843437368461</v>
      </c>
      <c r="X39" s="97">
        <v>1.6814273648404581</v>
      </c>
      <c r="Y39" s="97">
        <v>1.8875781162657008</v>
      </c>
      <c r="DA39" s="175" t="s">
        <v>657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0</v>
      </c>
      <c r="T40" s="97">
        <v>0</v>
      </c>
      <c r="U40" s="97">
        <v>0</v>
      </c>
      <c r="V40" s="97">
        <v>1.6273293496517296E-5</v>
      </c>
      <c r="W40" s="97">
        <v>1.7472229322615246E-4</v>
      </c>
      <c r="X40" s="97">
        <v>1.1920552093842498E-3</v>
      </c>
      <c r="Y40" s="97">
        <v>2.1145158470034717E-3</v>
      </c>
      <c r="DA40" s="175" t="s">
        <v>658</v>
      </c>
    </row>
    <row r="41" spans="1:105" ht="11.45" customHeight="1" x14ac:dyDescent="0.25">
      <c r="A41" s="111" t="s">
        <v>115</v>
      </c>
      <c r="B41" s="97">
        <v>0</v>
      </c>
      <c r="C41" s="97">
        <v>0</v>
      </c>
      <c r="D41" s="97">
        <v>0</v>
      </c>
      <c r="E41" s="97">
        <v>0</v>
      </c>
      <c r="F41" s="97">
        <v>0</v>
      </c>
      <c r="G41" s="97">
        <v>0</v>
      </c>
      <c r="H41" s="97">
        <v>0</v>
      </c>
      <c r="I41" s="97">
        <v>0</v>
      </c>
      <c r="J41" s="97">
        <v>1.4586774530340836E-2</v>
      </c>
      <c r="K41" s="97">
        <v>1.4600552506781002E-2</v>
      </c>
      <c r="L41" s="97">
        <v>1.4613839059026508E-2</v>
      </c>
      <c r="M41" s="97">
        <v>1.4628446261230159E-2</v>
      </c>
      <c r="N41" s="97">
        <v>1.4632158320716092E-2</v>
      </c>
      <c r="O41" s="97">
        <v>1.4647766546887719E-2</v>
      </c>
      <c r="P41" s="97">
        <v>1.4663465119495931E-2</v>
      </c>
      <c r="Q41" s="97">
        <v>1.4670898949591641E-2</v>
      </c>
      <c r="R41" s="97">
        <v>1.4670136961956015E-2</v>
      </c>
      <c r="S41" s="97">
        <v>1.4633947685930499E-2</v>
      </c>
      <c r="T41" s="97">
        <v>1.4617581188313675E-2</v>
      </c>
      <c r="U41" s="97">
        <v>1.3871190106094201E-2</v>
      </c>
      <c r="V41" s="97">
        <v>5.1079745814518483E-2</v>
      </c>
      <c r="W41" s="97">
        <v>8.1330223649517405E-2</v>
      </c>
      <c r="X41" s="97">
        <v>0.26656699371299075</v>
      </c>
      <c r="Y41" s="97">
        <v>0.78953027558596001</v>
      </c>
      <c r="DA41" s="175" t="s">
        <v>659</v>
      </c>
    </row>
    <row r="42" spans="1:105" ht="11.45" customHeight="1" x14ac:dyDescent="0.25">
      <c r="A42" s="27" t="s">
        <v>34</v>
      </c>
      <c r="B42" s="32">
        <f t="shared" ref="B42:K42" si="26">B43+B52</f>
        <v>1286.8887871113973</v>
      </c>
      <c r="C42" s="32">
        <f t="shared" si="26"/>
        <v>1359.7477676593467</v>
      </c>
      <c r="D42" s="32">
        <f t="shared" si="26"/>
        <v>1413.2103378937395</v>
      </c>
      <c r="E42" s="32">
        <f t="shared" si="26"/>
        <v>1457.8477545298881</v>
      </c>
      <c r="F42" s="32">
        <f t="shared" si="26"/>
        <v>1586.6374918559104</v>
      </c>
      <c r="G42" s="32">
        <f t="shared" si="26"/>
        <v>1655.6927582012852</v>
      </c>
      <c r="H42" s="32">
        <f t="shared" si="26"/>
        <v>1732.8815593754616</v>
      </c>
      <c r="I42" s="32">
        <f t="shared" si="26"/>
        <v>1868.155445261134</v>
      </c>
      <c r="J42" s="32">
        <f t="shared" si="26"/>
        <v>1650.6153866192949</v>
      </c>
      <c r="K42" s="32">
        <f t="shared" si="26"/>
        <v>1325.7214983233043</v>
      </c>
      <c r="L42" s="32">
        <f t="shared" ref="L42" si="27">L43+L52</f>
        <v>1184.298150261101</v>
      </c>
      <c r="M42" s="32">
        <f t="shared" ref="M42:V42" si="28">M43+M52</f>
        <v>1107.7585738429293</v>
      </c>
      <c r="N42" s="32">
        <f t="shared" si="28"/>
        <v>1068.5960737800749</v>
      </c>
      <c r="O42" s="32">
        <f t="shared" si="28"/>
        <v>1079.1122138482713</v>
      </c>
      <c r="P42" s="32">
        <f t="shared" si="28"/>
        <v>1114.7053892803499</v>
      </c>
      <c r="Q42" s="32">
        <f t="shared" si="28"/>
        <v>1108.6612241313835</v>
      </c>
      <c r="R42" s="32">
        <f t="shared" si="28"/>
        <v>1161.3217549064243</v>
      </c>
      <c r="S42" s="32">
        <f t="shared" si="28"/>
        <v>1134.8956727451205</v>
      </c>
      <c r="T42" s="32">
        <f t="shared" si="28"/>
        <v>1168.6599880543572</v>
      </c>
      <c r="U42" s="32">
        <f t="shared" si="28"/>
        <v>1201.5751287841385</v>
      </c>
      <c r="V42" s="32">
        <f t="shared" si="28"/>
        <v>1049.7661085229638</v>
      </c>
      <c r="W42" s="32">
        <f t="shared" ref="W42:Y42" si="29">W43+W52</f>
        <v>1153.472297267379</v>
      </c>
      <c r="X42" s="32">
        <f t="shared" si="29"/>
        <v>1224.0146984873252</v>
      </c>
      <c r="Y42" s="32">
        <f t="shared" si="29"/>
        <v>1271.3245466150827</v>
      </c>
      <c r="DA42" s="173" t="s">
        <v>399</v>
      </c>
    </row>
    <row r="43" spans="1:105" ht="11.45" customHeight="1" x14ac:dyDescent="0.25">
      <c r="A43" s="136" t="s">
        <v>153</v>
      </c>
      <c r="B43" s="141">
        <f t="shared" ref="B43:K43" si="30">B44+B46+B48+B49+B51</f>
        <v>415.97285230061425</v>
      </c>
      <c r="C43" s="141">
        <f t="shared" si="30"/>
        <v>428.87671589022597</v>
      </c>
      <c r="D43" s="141">
        <f t="shared" si="30"/>
        <v>451.11723712326733</v>
      </c>
      <c r="E43" s="141">
        <f t="shared" si="30"/>
        <v>476.64936592429837</v>
      </c>
      <c r="F43" s="141">
        <f t="shared" si="30"/>
        <v>509.32472277729818</v>
      </c>
      <c r="G43" s="141">
        <f t="shared" si="30"/>
        <v>539.43949704514398</v>
      </c>
      <c r="H43" s="141">
        <f t="shared" si="30"/>
        <v>579.57322329307669</v>
      </c>
      <c r="I43" s="141">
        <f t="shared" si="30"/>
        <v>615.36290115622739</v>
      </c>
      <c r="J43" s="141">
        <f t="shared" si="30"/>
        <v>600.71886773516633</v>
      </c>
      <c r="K43" s="141">
        <f t="shared" si="30"/>
        <v>571.58661176085582</v>
      </c>
      <c r="L43" s="141">
        <f t="shared" ref="L43" si="31">L44+L46+L48+L49+L51</f>
        <v>532.236711701574</v>
      </c>
      <c r="M43" s="141">
        <f t="shared" ref="M43:V43" si="32">M44+M46+M48+M49+M51</f>
        <v>514.67026172449323</v>
      </c>
      <c r="N43" s="141">
        <f t="shared" si="32"/>
        <v>484.70008273081618</v>
      </c>
      <c r="O43" s="141">
        <f t="shared" si="32"/>
        <v>494.57301190867196</v>
      </c>
      <c r="P43" s="141">
        <f t="shared" si="32"/>
        <v>483.78863853381858</v>
      </c>
      <c r="Q43" s="141">
        <f t="shared" si="32"/>
        <v>468.30680913158398</v>
      </c>
      <c r="R43" s="141">
        <f t="shared" si="32"/>
        <v>452.35440718759429</v>
      </c>
      <c r="S43" s="141">
        <f t="shared" si="32"/>
        <v>441.11694509455594</v>
      </c>
      <c r="T43" s="141">
        <f t="shared" si="32"/>
        <v>441.94033544786168</v>
      </c>
      <c r="U43" s="141">
        <f t="shared" si="32"/>
        <v>428.05856329036374</v>
      </c>
      <c r="V43" s="141">
        <f t="shared" si="32"/>
        <v>417.01577387266377</v>
      </c>
      <c r="W43" s="141">
        <f t="shared" ref="W43:Y43" si="33">W44+W46+W48+W49+W51</f>
        <v>433.99285270194054</v>
      </c>
      <c r="X43" s="141">
        <f t="shared" si="33"/>
        <v>469.55214225808862</v>
      </c>
      <c r="Y43" s="141">
        <f t="shared" si="33"/>
        <v>493.83342024488383</v>
      </c>
      <c r="DA43" s="174" t="s">
        <v>400</v>
      </c>
    </row>
    <row r="44" spans="1:105" ht="11.45" customHeight="1" x14ac:dyDescent="0.25">
      <c r="A44" s="111" t="s">
        <v>110</v>
      </c>
      <c r="B44" s="96">
        <v>4.6810902404046892</v>
      </c>
      <c r="C44" s="96">
        <v>4.2422241107624332</v>
      </c>
      <c r="D44" s="96">
        <v>3.9063378059512761</v>
      </c>
      <c r="E44" s="96">
        <v>3.483184555582024</v>
      </c>
      <c r="F44" s="96">
        <v>2.9887838554536841</v>
      </c>
      <c r="G44" s="96">
        <v>2.2554834970729889</v>
      </c>
      <c r="H44" s="96">
        <v>1.6931744406163167</v>
      </c>
      <c r="I44" s="96">
        <v>1.3000192422781884</v>
      </c>
      <c r="J44" s="96">
        <v>1.1584595339059656</v>
      </c>
      <c r="K44" s="96">
        <v>1.0531220899960712</v>
      </c>
      <c r="L44" s="96">
        <v>0.89036395884271069</v>
      </c>
      <c r="M44" s="96">
        <v>0.75200201720122817</v>
      </c>
      <c r="N44" s="96">
        <v>0.6166253302245589</v>
      </c>
      <c r="O44" s="96">
        <v>0.59083576852264486</v>
      </c>
      <c r="P44" s="96">
        <v>0.54252090861329916</v>
      </c>
      <c r="Q44" s="96">
        <v>0.47342631290028592</v>
      </c>
      <c r="R44" s="96">
        <v>0.41608295477084178</v>
      </c>
      <c r="S44" s="96">
        <v>0.4586978971416516</v>
      </c>
      <c r="T44" s="96">
        <v>0.47055900793197969</v>
      </c>
      <c r="U44" s="96">
        <v>0.51389835272833106</v>
      </c>
      <c r="V44" s="96">
        <v>0.64870036630189121</v>
      </c>
      <c r="W44" s="96">
        <v>0.75055271750051589</v>
      </c>
      <c r="X44" s="96">
        <v>0.93073297491956286</v>
      </c>
      <c r="Y44" s="96">
        <v>1.3608730337154145</v>
      </c>
      <c r="DA44" s="171" t="s">
        <v>660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1.0968656202765561E-5</v>
      </c>
      <c r="H45" s="96">
        <v>5.4787477108530331E-4</v>
      </c>
      <c r="I45" s="96">
        <v>2.3518310339710885E-3</v>
      </c>
      <c r="J45" s="96">
        <v>1.1451838273882534E-2</v>
      </c>
      <c r="K45" s="96">
        <v>1.4390784686694932E-2</v>
      </c>
      <c r="L45" s="96">
        <v>1.7267088265108622E-2</v>
      </c>
      <c r="M45" s="96">
        <v>1.2879274975760685E-2</v>
      </c>
      <c r="N45" s="96">
        <v>1.3495559387242282E-2</v>
      </c>
      <c r="O45" s="96">
        <v>1.3508031299028923E-2</v>
      </c>
      <c r="P45" s="96">
        <v>1.1197267539124339E-2</v>
      </c>
      <c r="Q45" s="96">
        <v>1.0964893106966453E-2</v>
      </c>
      <c r="R45" s="96">
        <v>1.0824017901047658E-2</v>
      </c>
      <c r="S45" s="96">
        <v>1.4554929091353988E-2</v>
      </c>
      <c r="T45" s="96">
        <v>1.5085146105231605E-2</v>
      </c>
      <c r="U45" s="96">
        <v>1.6693565583742593E-2</v>
      </c>
      <c r="V45" s="96">
        <v>2.1118431497401176E-2</v>
      </c>
      <c r="W45" s="96">
        <v>2.4129169276470595E-2</v>
      </c>
      <c r="X45" s="96">
        <v>3.008040085316142E-2</v>
      </c>
      <c r="Y45" s="96">
        <v>5.7515310217358867E-2</v>
      </c>
      <c r="DA45" s="171" t="s">
        <v>661</v>
      </c>
    </row>
    <row r="46" spans="1:105" ht="11.45" customHeight="1" x14ac:dyDescent="0.25">
      <c r="A46" s="111" t="s">
        <v>111</v>
      </c>
      <c r="B46" s="96">
        <v>411.29176206020958</v>
      </c>
      <c r="C46" s="96">
        <v>424.63449177946353</v>
      </c>
      <c r="D46" s="96">
        <v>447.21089931731603</v>
      </c>
      <c r="E46" s="96">
        <v>473.16618136871637</v>
      </c>
      <c r="F46" s="96">
        <v>506.3359389218445</v>
      </c>
      <c r="G46" s="96">
        <v>537.18401354807099</v>
      </c>
      <c r="H46" s="96">
        <v>577.88004885246039</v>
      </c>
      <c r="I46" s="96">
        <v>614.06288191394924</v>
      </c>
      <c r="J46" s="96">
        <v>599.56040820126032</v>
      </c>
      <c r="K46" s="96">
        <v>570.53348967085969</v>
      </c>
      <c r="L46" s="96">
        <v>531.34634774273127</v>
      </c>
      <c r="M46" s="96">
        <v>513.9101532569739</v>
      </c>
      <c r="N46" s="96">
        <v>484.06503161823593</v>
      </c>
      <c r="O46" s="96">
        <v>493.96032571448177</v>
      </c>
      <c r="P46" s="96">
        <v>483.21908527548368</v>
      </c>
      <c r="Q46" s="96">
        <v>467.8068158816514</v>
      </c>
      <c r="R46" s="96">
        <v>451.90577945899696</v>
      </c>
      <c r="S46" s="96">
        <v>440.60942538057714</v>
      </c>
      <c r="T46" s="96">
        <v>441.41306410943884</v>
      </c>
      <c r="U46" s="96">
        <v>427.34717871908197</v>
      </c>
      <c r="V46" s="96">
        <v>416.04474124938719</v>
      </c>
      <c r="W46" s="96">
        <v>432.62951745009485</v>
      </c>
      <c r="X46" s="96">
        <v>467.71367797618711</v>
      </c>
      <c r="Y46" s="96">
        <v>491.12355302139935</v>
      </c>
      <c r="DA46" s="171" t="s">
        <v>662</v>
      </c>
    </row>
    <row r="47" spans="1:105" ht="11.45" customHeight="1" x14ac:dyDescent="0.25">
      <c r="A47" s="160" t="s">
        <v>131</v>
      </c>
      <c r="B47" s="96">
        <v>0</v>
      </c>
      <c r="C47" s="96">
        <v>0</v>
      </c>
      <c r="D47" s="96">
        <v>0</v>
      </c>
      <c r="E47" s="96">
        <v>0</v>
      </c>
      <c r="F47" s="96">
        <v>0</v>
      </c>
      <c r="G47" s="96">
        <v>0.25310986455521245</v>
      </c>
      <c r="H47" s="96">
        <v>0.47435287552247285</v>
      </c>
      <c r="I47" s="96">
        <v>4.1525030216014152</v>
      </c>
      <c r="J47" s="96">
        <v>8.903454170037076</v>
      </c>
      <c r="K47" s="96">
        <v>13.390213540823639</v>
      </c>
      <c r="L47" s="96">
        <v>15.135806755982998</v>
      </c>
      <c r="M47" s="96">
        <v>16.009783948710737</v>
      </c>
      <c r="N47" s="96">
        <v>12.484747400982608</v>
      </c>
      <c r="O47" s="96">
        <v>15.548828200121919</v>
      </c>
      <c r="P47" s="96">
        <v>17.342448014592353</v>
      </c>
      <c r="Q47" s="96">
        <v>16.923083683283359</v>
      </c>
      <c r="R47" s="96">
        <v>13.29811529248129</v>
      </c>
      <c r="S47" s="96">
        <v>19.432835471798331</v>
      </c>
      <c r="T47" s="96">
        <v>18.187048308347059</v>
      </c>
      <c r="U47" s="96">
        <v>22.047114289750745</v>
      </c>
      <c r="V47" s="96">
        <v>23.918030009685591</v>
      </c>
      <c r="W47" s="96">
        <v>23.911096611467958</v>
      </c>
      <c r="X47" s="96">
        <v>30.767971112005974</v>
      </c>
      <c r="Y47" s="96">
        <v>41.902066795807691</v>
      </c>
      <c r="DA47" s="171" t="s">
        <v>663</v>
      </c>
    </row>
    <row r="48" spans="1:105" ht="11.45" customHeight="1" x14ac:dyDescent="0.25">
      <c r="A48" s="111" t="s">
        <v>112</v>
      </c>
      <c r="B48" s="96">
        <v>0</v>
      </c>
      <c r="C48" s="96">
        <v>0</v>
      </c>
      <c r="D48" s="96">
        <v>0</v>
      </c>
      <c r="E48" s="96">
        <v>0</v>
      </c>
      <c r="F48" s="96">
        <v>0</v>
      </c>
      <c r="G48" s="96">
        <v>0</v>
      </c>
      <c r="H48" s="96">
        <v>0</v>
      </c>
      <c r="I48" s="96">
        <v>0</v>
      </c>
      <c r="J48" s="96">
        <v>0</v>
      </c>
      <c r="K48" s="96">
        <v>0</v>
      </c>
      <c r="L48" s="96">
        <v>0</v>
      </c>
      <c r="M48" s="96">
        <v>0</v>
      </c>
      <c r="N48" s="96">
        <v>0</v>
      </c>
      <c r="O48" s="96">
        <v>2.4522289517655321E-3</v>
      </c>
      <c r="P48" s="96">
        <v>4.9163888093246635E-3</v>
      </c>
      <c r="Q48" s="96">
        <v>4.857091891038944E-3</v>
      </c>
      <c r="R48" s="96">
        <v>4.8072267990338395E-3</v>
      </c>
      <c r="S48" s="96">
        <v>5.6842427184659464E-3</v>
      </c>
      <c r="T48" s="96">
        <v>5.7439780494259358E-3</v>
      </c>
      <c r="U48" s="96">
        <v>5.6839941820734903E-3</v>
      </c>
      <c r="V48" s="96">
        <v>4.4608851294979908E-3</v>
      </c>
      <c r="W48" s="96">
        <v>4.5089263100253872E-3</v>
      </c>
      <c r="X48" s="96">
        <v>4.5601697613519062E-3</v>
      </c>
      <c r="Y48" s="96">
        <v>4.6188110432232032E-3</v>
      </c>
      <c r="DA48" s="171" t="s">
        <v>664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0</v>
      </c>
      <c r="K49" s="96">
        <v>0</v>
      </c>
      <c r="L49" s="96">
        <v>0</v>
      </c>
      <c r="M49" s="96">
        <v>0</v>
      </c>
      <c r="N49" s="96">
        <v>0</v>
      </c>
      <c r="O49" s="96">
        <v>0</v>
      </c>
      <c r="P49" s="96">
        <v>0</v>
      </c>
      <c r="Q49" s="96">
        <v>0</v>
      </c>
      <c r="R49" s="96">
        <v>4.8932188564902992E-3</v>
      </c>
      <c r="S49" s="96">
        <v>4.7451368565323195E-3</v>
      </c>
      <c r="T49" s="96">
        <v>4.6991031218111788E-3</v>
      </c>
      <c r="U49" s="96">
        <v>5.3944007279628026E-3</v>
      </c>
      <c r="V49" s="96">
        <v>1.2826489614674195E-2</v>
      </c>
      <c r="W49" s="96">
        <v>2.7364514084536478E-2</v>
      </c>
      <c r="X49" s="96">
        <v>1.576264133768826E-2</v>
      </c>
      <c r="Y49" s="96">
        <v>1.6472534394835852E-2</v>
      </c>
      <c r="DA49" s="171" t="s">
        <v>665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0</v>
      </c>
      <c r="U50" s="96">
        <v>0</v>
      </c>
      <c r="V50" s="96">
        <v>2.1974125578432464E-7</v>
      </c>
      <c r="W50" s="96">
        <v>2.4374127317723821E-6</v>
      </c>
      <c r="X50" s="96">
        <v>1.1174992814530344E-5</v>
      </c>
      <c r="Y50" s="96">
        <v>1.8452976710229664E-5</v>
      </c>
      <c r="DA50" s="171" t="s">
        <v>666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0</v>
      </c>
      <c r="J51" s="96">
        <v>0</v>
      </c>
      <c r="K51" s="96">
        <v>0</v>
      </c>
      <c r="L51" s="96">
        <v>0</v>
      </c>
      <c r="M51" s="96">
        <v>8.1064503180668032E-3</v>
      </c>
      <c r="N51" s="96">
        <v>1.8425782355652322E-2</v>
      </c>
      <c r="O51" s="96">
        <v>1.9398196715765516E-2</v>
      </c>
      <c r="P51" s="96">
        <v>2.2115960912292242E-2</v>
      </c>
      <c r="Q51" s="96">
        <v>2.1709845141212391E-2</v>
      </c>
      <c r="R51" s="96">
        <v>2.284432817102704E-2</v>
      </c>
      <c r="S51" s="96">
        <v>3.8392437262167359E-2</v>
      </c>
      <c r="T51" s="96">
        <v>4.6269249319589319E-2</v>
      </c>
      <c r="U51" s="96">
        <v>0.18640782364342862</v>
      </c>
      <c r="V51" s="96">
        <v>0.30504488223051385</v>
      </c>
      <c r="W51" s="96">
        <v>0.58090909395058643</v>
      </c>
      <c r="X51" s="96">
        <v>0.88740849588288984</v>
      </c>
      <c r="Y51" s="96">
        <v>1.3279028443310728</v>
      </c>
      <c r="DA51" s="171" t="s">
        <v>667</v>
      </c>
    </row>
    <row r="52" spans="1:105" ht="11.45" customHeight="1" x14ac:dyDescent="0.25">
      <c r="A52" s="109" t="s">
        <v>186</v>
      </c>
      <c r="B52" s="130">
        <f t="shared" ref="B52:K52" si="34">B53+B55</f>
        <v>870.91593481078303</v>
      </c>
      <c r="C52" s="130">
        <f t="shared" si="34"/>
        <v>930.87105176912064</v>
      </c>
      <c r="D52" s="130">
        <f t="shared" si="34"/>
        <v>962.09310077047212</v>
      </c>
      <c r="E52" s="130">
        <f t="shared" si="34"/>
        <v>981.1983886055898</v>
      </c>
      <c r="F52" s="130">
        <f t="shared" si="34"/>
        <v>1077.3127690786123</v>
      </c>
      <c r="G52" s="130">
        <f t="shared" si="34"/>
        <v>1116.2532611561412</v>
      </c>
      <c r="H52" s="130">
        <f t="shared" si="34"/>
        <v>1153.308336082385</v>
      </c>
      <c r="I52" s="130">
        <f t="shared" si="34"/>
        <v>1252.7925441049065</v>
      </c>
      <c r="J52" s="130">
        <f t="shared" si="34"/>
        <v>1049.8965188841285</v>
      </c>
      <c r="K52" s="130">
        <f t="shared" si="34"/>
        <v>754.1348865624484</v>
      </c>
      <c r="L52" s="130">
        <f t="shared" ref="L52" si="35">L53+L55</f>
        <v>652.06143855952701</v>
      </c>
      <c r="M52" s="130">
        <f t="shared" ref="M52:V52" si="36">M53+M55</f>
        <v>593.08831211843619</v>
      </c>
      <c r="N52" s="130">
        <f t="shared" si="36"/>
        <v>583.89599104925878</v>
      </c>
      <c r="O52" s="130">
        <f t="shared" si="36"/>
        <v>584.53920193959937</v>
      </c>
      <c r="P52" s="130">
        <f t="shared" si="36"/>
        <v>630.91675074653131</v>
      </c>
      <c r="Q52" s="130">
        <f t="shared" si="36"/>
        <v>640.35441499979947</v>
      </c>
      <c r="R52" s="130">
        <f t="shared" si="36"/>
        <v>708.96734771883007</v>
      </c>
      <c r="S52" s="130">
        <f t="shared" si="36"/>
        <v>693.77872765056452</v>
      </c>
      <c r="T52" s="130">
        <f t="shared" si="36"/>
        <v>726.71965260649563</v>
      </c>
      <c r="U52" s="130">
        <f t="shared" si="36"/>
        <v>773.51656549377481</v>
      </c>
      <c r="V52" s="130">
        <f t="shared" si="36"/>
        <v>632.75033465030003</v>
      </c>
      <c r="W52" s="130">
        <f t="shared" ref="W52:Y52" si="37">W53+W55</f>
        <v>719.47944456543837</v>
      </c>
      <c r="X52" s="130">
        <f t="shared" si="37"/>
        <v>754.46255622923661</v>
      </c>
      <c r="Y52" s="130">
        <f t="shared" si="37"/>
        <v>777.4911263701988</v>
      </c>
      <c r="DA52" s="176" t="s">
        <v>401</v>
      </c>
    </row>
    <row r="53" spans="1:105" ht="11.45" customHeight="1" x14ac:dyDescent="0.25">
      <c r="A53" s="128" t="s">
        <v>27</v>
      </c>
      <c r="B53" s="97">
        <v>815.37967390813958</v>
      </c>
      <c r="C53" s="97">
        <v>868.8022936106006</v>
      </c>
      <c r="D53" s="97">
        <v>903.26285818859731</v>
      </c>
      <c r="E53" s="97">
        <v>923.20975290499018</v>
      </c>
      <c r="F53" s="97">
        <v>1009.7863120798804</v>
      </c>
      <c r="G53" s="97">
        <v>1049.9350931587608</v>
      </c>
      <c r="H53" s="97">
        <v>1082.6954762312464</v>
      </c>
      <c r="I53" s="97">
        <v>1174.1355167501113</v>
      </c>
      <c r="J53" s="97">
        <v>986.84366692776848</v>
      </c>
      <c r="K53" s="97">
        <v>699.10766277716243</v>
      </c>
      <c r="L53" s="97">
        <v>602.1785517418316</v>
      </c>
      <c r="M53" s="97">
        <v>541.68998455055862</v>
      </c>
      <c r="N53" s="97">
        <v>537.38618210907964</v>
      </c>
      <c r="O53" s="97">
        <v>539.37693678143444</v>
      </c>
      <c r="P53" s="97">
        <v>583.83846045238806</v>
      </c>
      <c r="Q53" s="97">
        <v>587.1054982066297</v>
      </c>
      <c r="R53" s="97">
        <v>661.1989821348094</v>
      </c>
      <c r="S53" s="97">
        <v>648.6425863519479</v>
      </c>
      <c r="T53" s="97">
        <v>675.91140441126129</v>
      </c>
      <c r="U53" s="97">
        <v>715.66032897752552</v>
      </c>
      <c r="V53" s="97">
        <v>611.8343295978741</v>
      </c>
      <c r="W53" s="97">
        <v>697.27928692955209</v>
      </c>
      <c r="X53" s="97">
        <v>732.88411072739768</v>
      </c>
      <c r="Y53" s="97">
        <v>753.95610376597551</v>
      </c>
      <c r="DA53" s="175" t="s">
        <v>668</v>
      </c>
    </row>
    <row r="54" spans="1:105" ht="11.45" customHeight="1" x14ac:dyDescent="0.25">
      <c r="A54" s="160" t="s">
        <v>131</v>
      </c>
      <c r="B54" s="97">
        <v>0</v>
      </c>
      <c r="C54" s="97">
        <v>0</v>
      </c>
      <c r="D54" s="97">
        <v>0</v>
      </c>
      <c r="E54" s="97">
        <v>0</v>
      </c>
      <c r="F54" s="97">
        <v>0</v>
      </c>
      <c r="G54" s="97">
        <v>0.49470744199165789</v>
      </c>
      <c r="H54" s="97">
        <v>0.88873065177681476</v>
      </c>
      <c r="I54" s="97">
        <v>7.9399055449790428</v>
      </c>
      <c r="J54" s="97">
        <v>14.654599005031921</v>
      </c>
      <c r="K54" s="97">
        <v>16.4078026305043</v>
      </c>
      <c r="L54" s="97">
        <v>17.153516214955015</v>
      </c>
      <c r="M54" s="97">
        <v>16.875205840695681</v>
      </c>
      <c r="N54" s="97">
        <v>13.859978106622545</v>
      </c>
      <c r="O54" s="97">
        <v>16.97844723256215</v>
      </c>
      <c r="P54" s="97">
        <v>20.953618054102321</v>
      </c>
      <c r="Q54" s="97">
        <v>21.238757409597316</v>
      </c>
      <c r="R54" s="97">
        <v>19.456932607116098</v>
      </c>
      <c r="S54" s="97">
        <v>28.608023193538319</v>
      </c>
      <c r="T54" s="97">
        <v>27.848820897477044</v>
      </c>
      <c r="U54" s="97">
        <v>36.921374122326903</v>
      </c>
      <c r="V54" s="97">
        <v>35.173793598092686</v>
      </c>
      <c r="W54" s="97">
        <v>38.538083331013695</v>
      </c>
      <c r="X54" s="97">
        <v>48.21188305820047</v>
      </c>
      <c r="Y54" s="97">
        <v>64.326621736531195</v>
      </c>
      <c r="DA54" s="175" t="s">
        <v>669</v>
      </c>
    </row>
    <row r="55" spans="1:105" ht="11.45" customHeight="1" x14ac:dyDescent="0.25">
      <c r="A55" s="128" t="s">
        <v>116</v>
      </c>
      <c r="B55" s="97">
        <v>55.536260902643463</v>
      </c>
      <c r="C55" s="97">
        <v>62.068758158520083</v>
      </c>
      <c r="D55" s="97">
        <v>58.830242581874835</v>
      </c>
      <c r="E55" s="97">
        <v>57.988635700599559</v>
      </c>
      <c r="F55" s="97">
        <v>67.526456998731831</v>
      </c>
      <c r="G55" s="97">
        <v>66.318167997380385</v>
      </c>
      <c r="H55" s="97">
        <v>70.612859851138651</v>
      </c>
      <c r="I55" s="97">
        <v>78.657027354795119</v>
      </c>
      <c r="J55" s="97">
        <v>63.052851956360037</v>
      </c>
      <c r="K55" s="97">
        <v>55.02722378528594</v>
      </c>
      <c r="L55" s="97">
        <v>49.882886817695358</v>
      </c>
      <c r="M55" s="97">
        <v>51.39832756787753</v>
      </c>
      <c r="N55" s="97">
        <v>46.509808940179198</v>
      </c>
      <c r="O55" s="97">
        <v>45.162265158164914</v>
      </c>
      <c r="P55" s="97">
        <v>47.078290294143251</v>
      </c>
      <c r="Q55" s="97">
        <v>53.248916793169748</v>
      </c>
      <c r="R55" s="97">
        <v>47.768365584020643</v>
      </c>
      <c r="S55" s="97">
        <v>45.136141298616614</v>
      </c>
      <c r="T55" s="97">
        <v>50.808248195234341</v>
      </c>
      <c r="U55" s="97">
        <v>57.85623651624929</v>
      </c>
      <c r="V55" s="97">
        <v>20.916005052425902</v>
      </c>
      <c r="W55" s="97">
        <v>22.200157635886246</v>
      </c>
      <c r="X55" s="97">
        <v>21.578445501838928</v>
      </c>
      <c r="Y55" s="97">
        <v>23.535022604223254</v>
      </c>
      <c r="DA55" s="175" t="s">
        <v>670</v>
      </c>
    </row>
    <row r="56" spans="1:105" ht="11.45" customHeight="1" x14ac:dyDescent="0.25">
      <c r="A56" s="161" t="s">
        <v>131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3.1247732799227594E-2</v>
      </c>
      <c r="H56" s="98">
        <v>5.7962570581502747E-2</v>
      </c>
      <c r="I56" s="98">
        <v>0.53190569464633897</v>
      </c>
      <c r="J56" s="98">
        <v>0.93633296996344961</v>
      </c>
      <c r="K56" s="98">
        <v>1.2914689328206541</v>
      </c>
      <c r="L56" s="98">
        <v>1.4209521501571984</v>
      </c>
      <c r="M56" s="98">
        <v>1.6012061923114289</v>
      </c>
      <c r="N56" s="98">
        <v>1.1995562132322073</v>
      </c>
      <c r="O56" s="98">
        <v>1.4216127602089133</v>
      </c>
      <c r="P56" s="98">
        <v>1.6896120764282456</v>
      </c>
      <c r="Q56" s="98">
        <v>1.9262991567078376</v>
      </c>
      <c r="R56" s="98">
        <v>1.4056674239266689</v>
      </c>
      <c r="S56" s="98">
        <v>1.990704594960133</v>
      </c>
      <c r="T56" s="98">
        <v>2.0933953693770038</v>
      </c>
      <c r="U56" s="98">
        <v>2.9848402478564009</v>
      </c>
      <c r="V56" s="98">
        <v>1.2024419177234222</v>
      </c>
      <c r="W56" s="98">
        <v>1.2269854288958151</v>
      </c>
      <c r="X56" s="98">
        <v>1.4195115924670008</v>
      </c>
      <c r="Y56" s="98">
        <v>2.0079796278066846</v>
      </c>
      <c r="DA56" s="178" t="s">
        <v>671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12.089901394636302</v>
      </c>
      <c r="C60" s="79">
        <f>IF(C17=0,0,C17/TrRoad_act!C30*100)</f>
        <v>11.851152420040082</v>
      </c>
      <c r="D60" s="79">
        <f>IF(D17=0,0,D17/TrRoad_act!D30*100)</f>
        <v>11.522032995690893</v>
      </c>
      <c r="E60" s="79">
        <f>IF(E17=0,0,E17/TrRoad_act!E30*100)</f>
        <v>11.204307480547996</v>
      </c>
      <c r="F60" s="79">
        <f>IF(F17=0,0,F17/TrRoad_act!F30*100)</f>
        <v>11.422791330704374</v>
      </c>
      <c r="G60" s="79">
        <f>IF(G17=0,0,G17/TrRoad_act!G30*100)</f>
        <v>11.463475133617804</v>
      </c>
      <c r="H60" s="79">
        <f>IF(H17=0,0,H17/TrRoad_act!H30*100)</f>
        <v>11.347917827785549</v>
      </c>
      <c r="I60" s="79">
        <f>IF(I17=0,0,I17/TrRoad_act!I30*100)</f>
        <v>11.454028953394827</v>
      </c>
      <c r="J60" s="79">
        <f>IF(J17=0,0,J17/TrRoad_act!J30*100)</f>
        <v>10.509397459866687</v>
      </c>
      <c r="K60" s="79">
        <f>IF(K17=0,0,K17/TrRoad_act!K30*100)</f>
        <v>9.9864696195811185</v>
      </c>
      <c r="L60" s="79">
        <f>IF(L17=0,0,L17/TrRoad_act!L30*100)</f>
        <v>9.5174187384842455</v>
      </c>
      <c r="M60" s="79">
        <f>IF(M17=0,0,M17/TrRoad_act!M30*100)</f>
        <v>9.2803417557373056</v>
      </c>
      <c r="N60" s="79">
        <f>IF(N17=0,0,N17/TrRoad_act!N30*100)</f>
        <v>9.3946903554061656</v>
      </c>
      <c r="O60" s="79">
        <f>IF(O17=0,0,O17/TrRoad_act!O30*100)</f>
        <v>9.2779371179419226</v>
      </c>
      <c r="P60" s="79">
        <f>IF(P17=0,0,P17/TrRoad_act!P30*100)</f>
        <v>9.72785279715516</v>
      </c>
      <c r="Q60" s="79">
        <f>IF(Q17=0,0,Q17/TrRoad_act!Q30*100)</f>
        <v>9.3934829623335361</v>
      </c>
      <c r="R60" s="79">
        <f>IF(R17=0,0,R17/TrRoad_act!R30*100)</f>
        <v>9.4909128534887426</v>
      </c>
      <c r="S60" s="79">
        <f>IF(S17=0,0,S17/TrRoad_act!S30*100)</f>
        <v>9.1449273171881664</v>
      </c>
      <c r="T60" s="79">
        <f>IF(T17=0,0,T17/TrRoad_act!T30*100)</f>
        <v>9.25418000592094</v>
      </c>
      <c r="U60" s="79">
        <f>IF(U17=0,0,U17/TrRoad_act!U30*100)</f>
        <v>9.2138101852744771</v>
      </c>
      <c r="V60" s="79">
        <f>IF(V17=0,0,V17/TrRoad_act!V30*100)</f>
        <v>8.7837416618719306</v>
      </c>
      <c r="W60" s="79">
        <f>IF(W17=0,0,W17/TrRoad_act!W30*100)</f>
        <v>8.9253999315804755</v>
      </c>
      <c r="X60" s="79">
        <f>IF(X17=0,0,X17/TrRoad_act!X30*100)</f>
        <v>8.839558590058715</v>
      </c>
      <c r="Y60" s="79">
        <f>IF(Y17=0,0,Y17/TrRoad_act!Y30*100)</f>
        <v>8.9400413068195466</v>
      </c>
      <c r="DA60" s="172" t="s">
        <v>672</v>
      </c>
    </row>
    <row r="61" spans="1:105" ht="11.45" customHeight="1" x14ac:dyDescent="0.25">
      <c r="A61" s="27" t="s">
        <v>33</v>
      </c>
      <c r="B61" s="32">
        <f>IF(B18=0,0,B18/TrRoad_act!B31*100)</f>
        <v>9.3717818102849755</v>
      </c>
      <c r="C61" s="32">
        <f>IF(C18=0,0,C18/TrRoad_act!C31*100)</f>
        <v>9.1120325587117872</v>
      </c>
      <c r="D61" s="32">
        <f>IF(D18=0,0,D18/TrRoad_act!D31*100)</f>
        <v>8.8438004376857009</v>
      </c>
      <c r="E61" s="32">
        <f>IF(E18=0,0,E18/TrRoad_act!E31*100)</f>
        <v>8.5593015482390342</v>
      </c>
      <c r="F61" s="32">
        <f>IF(F18=0,0,F18/TrRoad_act!F31*100)</f>
        <v>8.646007455839019</v>
      </c>
      <c r="G61" s="32">
        <f>IF(G18=0,0,G18/TrRoad_act!G31*100)</f>
        <v>8.8055315830325895</v>
      </c>
      <c r="H61" s="32">
        <f>IF(H18=0,0,H18/TrRoad_act!H31*100)</f>
        <v>8.8081479353618999</v>
      </c>
      <c r="I61" s="32">
        <f>IF(I18=0,0,I18/TrRoad_act!I31*100)</f>
        <v>8.7110530179380419</v>
      </c>
      <c r="J61" s="32">
        <f>IF(J18=0,0,J18/TrRoad_act!J31*100)</f>
        <v>8.2362997436238423</v>
      </c>
      <c r="K61" s="32">
        <f>IF(K18=0,0,K18/TrRoad_act!K31*100)</f>
        <v>8.2222585242376418</v>
      </c>
      <c r="L61" s="32">
        <f>IF(L18=0,0,L18/TrRoad_act!L31*100)</f>
        <v>7.9581851230673157</v>
      </c>
      <c r="M61" s="32">
        <f>IF(M18=0,0,M18/TrRoad_act!M31*100)</f>
        <v>7.8166152043788575</v>
      </c>
      <c r="N61" s="32">
        <f>IF(N18=0,0,N18/TrRoad_act!N31*100)</f>
        <v>7.9396499705255437</v>
      </c>
      <c r="O61" s="32">
        <f>IF(O18=0,0,O18/TrRoad_act!O31*100)</f>
        <v>7.8470774911832093</v>
      </c>
      <c r="P61" s="32">
        <f>IF(P18=0,0,P18/TrRoad_act!P31*100)</f>
        <v>8.243474295684516</v>
      </c>
      <c r="Q61" s="32">
        <f>IF(Q18=0,0,Q18/TrRoad_act!Q31*100)</f>
        <v>7.8896754485759892</v>
      </c>
      <c r="R61" s="32">
        <f>IF(R18=0,0,R18/TrRoad_act!R31*100)</f>
        <v>7.9481345469204294</v>
      </c>
      <c r="S61" s="32">
        <f>IF(S18=0,0,S18/TrRoad_act!S31*100)</f>
        <v>7.6569412768211169</v>
      </c>
      <c r="T61" s="32">
        <f>IF(T18=0,0,T18/TrRoad_act!T31*100)</f>
        <v>7.7070928981412603</v>
      </c>
      <c r="U61" s="32">
        <f>IF(U18=0,0,U18/TrRoad_act!U31*100)</f>
        <v>7.6007501831257747</v>
      </c>
      <c r="V61" s="32">
        <f>IF(V18=0,0,V18/TrRoad_act!V31*100)</f>
        <v>7.2062190761086793</v>
      </c>
      <c r="W61" s="32">
        <f>IF(W18=0,0,W18/TrRoad_act!W31*100)</f>
        <v>7.2275703186492981</v>
      </c>
      <c r="X61" s="32">
        <f>IF(X18=0,0,X18/TrRoad_act!X31*100)</f>
        <v>7.1464625437432359</v>
      </c>
      <c r="Y61" s="32">
        <f>IF(Y18=0,0,Y18/TrRoad_act!Y31*100)</f>
        <v>7.24317198586935</v>
      </c>
      <c r="DA61" s="173" t="s">
        <v>673</v>
      </c>
    </row>
    <row r="62" spans="1:105" ht="11.45" customHeight="1" x14ac:dyDescent="0.25">
      <c r="A62" s="136" t="s">
        <v>173</v>
      </c>
      <c r="B62" s="141">
        <f>IF(B19=0,0,B19/TrRoad_act!B32*100)</f>
        <v>4.0482006636095758</v>
      </c>
      <c r="C62" s="141">
        <f>IF(C19=0,0,C19/TrRoad_act!C32*100)</f>
        <v>3.9897585390890287</v>
      </c>
      <c r="D62" s="141">
        <f>IF(D19=0,0,D19/TrRoad_act!D32*100)</f>
        <v>3.9129323757286394</v>
      </c>
      <c r="E62" s="141">
        <f>IF(E19=0,0,E19/TrRoad_act!E32*100)</f>
        <v>3.8912794146831318</v>
      </c>
      <c r="F62" s="141">
        <f>IF(F19=0,0,F19/TrRoad_act!F32*100)</f>
        <v>3.8632748223978957</v>
      </c>
      <c r="G62" s="141">
        <f>IF(G19=0,0,G19/TrRoad_act!G32*100)</f>
        <v>3.8362759155026538</v>
      </c>
      <c r="H62" s="141">
        <f>IF(H19=0,0,H19/TrRoad_act!H32*100)</f>
        <v>3.812078799860886</v>
      </c>
      <c r="I62" s="141">
        <f>IF(I19=0,0,I19/TrRoad_act!I32*100)</f>
        <v>3.8102013168846147</v>
      </c>
      <c r="J62" s="141">
        <f>IF(J19=0,0,J19/TrRoad_act!J32*100)</f>
        <v>3.8067757307885399</v>
      </c>
      <c r="K62" s="141">
        <f>IF(K19=0,0,K19/TrRoad_act!K32*100)</f>
        <v>3.7902431839623114</v>
      </c>
      <c r="L62" s="141">
        <f>IF(L19=0,0,L19/TrRoad_act!L32*100)</f>
        <v>3.7602701792839901</v>
      </c>
      <c r="M62" s="141">
        <f>IF(M19=0,0,M19/TrRoad_act!M32*100)</f>
        <v>3.7302762562770369</v>
      </c>
      <c r="N62" s="141">
        <f>IF(N19=0,0,N19/TrRoad_act!N32*100)</f>
        <v>3.7026168917609605</v>
      </c>
      <c r="O62" s="141">
        <f>IF(O19=0,0,O19/TrRoad_act!O32*100)</f>
        <v>3.665813167657598</v>
      </c>
      <c r="P62" s="141">
        <f>IF(P19=0,0,P19/TrRoad_act!P32*100)</f>
        <v>3.6485180354261457</v>
      </c>
      <c r="Q62" s="141">
        <f>IF(Q19=0,0,Q19/TrRoad_act!Q32*100)</f>
        <v>3.6259224897218374</v>
      </c>
      <c r="R62" s="141">
        <f>IF(R19=0,0,R19/TrRoad_act!R32*100)</f>
        <v>3.5838481770728126</v>
      </c>
      <c r="S62" s="141">
        <f>IF(S19=0,0,S19/TrRoad_act!S32*100)</f>
        <v>3.5504434025983342</v>
      </c>
      <c r="T62" s="141">
        <f>IF(T19=0,0,T19/TrRoad_act!T32*100)</f>
        <v>3.5272898961857218</v>
      </c>
      <c r="U62" s="141">
        <f>IF(U19=0,0,U19/TrRoad_act!U32*100)</f>
        <v>3.489206046106176</v>
      </c>
      <c r="V62" s="141">
        <f>IF(V19=0,0,V19/TrRoad_act!V32*100)</f>
        <v>3.4691451832777958</v>
      </c>
      <c r="W62" s="141">
        <f>IF(W19=0,0,W19/TrRoad_act!W32*100)</f>
        <v>3.453418730299552</v>
      </c>
      <c r="X62" s="141">
        <f>IF(X19=0,0,X19/TrRoad_act!X32*100)</f>
        <v>3.422058540173043</v>
      </c>
      <c r="Y62" s="141">
        <f>IF(Y19=0,0,Y19/TrRoad_act!Y32*100)</f>
        <v>3.4014016501608171</v>
      </c>
      <c r="DA62" s="174" t="s">
        <v>674</v>
      </c>
    </row>
    <row r="63" spans="1:105" ht="11.45" customHeight="1" x14ac:dyDescent="0.25">
      <c r="A63" s="109" t="s">
        <v>20</v>
      </c>
      <c r="B63" s="130">
        <f>IF(B21=0,0,B21/TrRoad_act!B33*100)</f>
        <v>8.9011398787497829</v>
      </c>
      <c r="C63" s="130">
        <f>IF(C21=0,0,C21/TrRoad_act!C33*100)</f>
        <v>8.6813029358745073</v>
      </c>
      <c r="D63" s="130">
        <f>IF(D21=0,0,D21/TrRoad_act!D33*100)</f>
        <v>8.425151651943775</v>
      </c>
      <c r="E63" s="130">
        <f>IF(E21=0,0,E21/TrRoad_act!E33*100)</f>
        <v>8.1370775014839012</v>
      </c>
      <c r="F63" s="130">
        <f>IF(F21=0,0,F21/TrRoad_act!F33*100)</f>
        <v>8.2246869916029652</v>
      </c>
      <c r="G63" s="130">
        <f>IF(G21=0,0,G21/TrRoad_act!G33*100)</f>
        <v>8.3975556924497479</v>
      </c>
      <c r="H63" s="130">
        <f>IF(H21=0,0,H21/TrRoad_act!H33*100)</f>
        <v>8.4161022316707381</v>
      </c>
      <c r="I63" s="130">
        <f>IF(I21=0,0,I21/TrRoad_act!I33*100)</f>
        <v>8.2968567325096672</v>
      </c>
      <c r="J63" s="130">
        <f>IF(J21=0,0,J21/TrRoad_act!J33*100)</f>
        <v>7.8074728945847109</v>
      </c>
      <c r="K63" s="130">
        <f>IF(K21=0,0,K21/TrRoad_act!K33*100)</f>
        <v>7.7889217188279236</v>
      </c>
      <c r="L63" s="130">
        <f>IF(L21=0,0,L21/TrRoad_act!L33*100)</f>
        <v>7.5266727359647883</v>
      </c>
      <c r="M63" s="130">
        <f>IF(M21=0,0,M21/TrRoad_act!M33*100)</f>
        <v>7.3849557126371357</v>
      </c>
      <c r="N63" s="130">
        <f>IF(N21=0,0,N21/TrRoad_act!N33*100)</f>
        <v>7.5012011497092121</v>
      </c>
      <c r="O63" s="130">
        <f>IF(O21=0,0,O21/TrRoad_act!O33*100)</f>
        <v>7.4207855494711996</v>
      </c>
      <c r="P63" s="130">
        <f>IF(P21=0,0,P21/TrRoad_act!P33*100)</f>
        <v>7.8121265985844488</v>
      </c>
      <c r="Q63" s="130">
        <f>IF(Q21=0,0,Q21/TrRoad_act!Q33*100)</f>
        <v>7.4682033604084515</v>
      </c>
      <c r="R63" s="130">
        <f>IF(R21=0,0,R21/TrRoad_act!R33*100)</f>
        <v>7.5207193081198147</v>
      </c>
      <c r="S63" s="130">
        <f>IF(S21=0,0,S21/TrRoad_act!S33*100)</f>
        <v>7.1955344748631829</v>
      </c>
      <c r="T63" s="130">
        <f>IF(T21=0,0,T21/TrRoad_act!T33*100)</f>
        <v>7.2088162998945107</v>
      </c>
      <c r="U63" s="130">
        <f>IF(U21=0,0,U21/TrRoad_act!U33*100)</f>
        <v>7.1015883164208704</v>
      </c>
      <c r="V63" s="130">
        <f>IF(V21=0,0,V21/TrRoad_act!V33*100)</f>
        <v>6.7237139401624999</v>
      </c>
      <c r="W63" s="130">
        <f>IF(W21=0,0,W21/TrRoad_act!W33*100)</f>
        <v>6.7688163564616186</v>
      </c>
      <c r="X63" s="130">
        <f>IF(X21=0,0,X21/TrRoad_act!X33*100)</f>
        <v>6.6286293412797539</v>
      </c>
      <c r="Y63" s="130">
        <f>IF(Y21=0,0,Y21/TrRoad_act!Y33*100)</f>
        <v>6.6155583232731754</v>
      </c>
      <c r="DA63" s="176" t="s">
        <v>675</v>
      </c>
    </row>
    <row r="64" spans="1:105" ht="11.45" customHeight="1" x14ac:dyDescent="0.25">
      <c r="A64" s="111" t="s">
        <v>110</v>
      </c>
      <c r="B64" s="96">
        <f>IF(B22=0,0,B22/TrRoad_act!B34*100)</f>
        <v>8.3030125700544932</v>
      </c>
      <c r="C64" s="96">
        <f>IF(C22=0,0,C22/TrRoad_act!C34*100)</f>
        <v>8.0625397747119152</v>
      </c>
      <c r="D64" s="96">
        <f>IF(D22=0,0,D22/TrRoad_act!D34*100)</f>
        <v>7.9633729431851679</v>
      </c>
      <c r="E64" s="96">
        <f>IF(E22=0,0,E22/TrRoad_act!E34*100)</f>
        <v>7.6914845042462199</v>
      </c>
      <c r="F64" s="96">
        <f>IF(F22=0,0,F22/TrRoad_act!F34*100)</f>
        <v>7.771688090453087</v>
      </c>
      <c r="G64" s="96">
        <f>IF(G22=0,0,G22/TrRoad_act!G34*100)</f>
        <v>8.0042509929148924</v>
      </c>
      <c r="H64" s="96">
        <f>IF(H22=0,0,H22/TrRoad_act!H34*100)</f>
        <v>7.9242673801866923</v>
      </c>
      <c r="I64" s="96">
        <f>IF(I22=0,0,I22/TrRoad_act!I34*100)</f>
        <v>7.688183335688759</v>
      </c>
      <c r="J64" s="96">
        <f>IF(J22=0,0,J22/TrRoad_act!J34*100)</f>
        <v>7.2013677628622279</v>
      </c>
      <c r="K64" s="96">
        <f>IF(K22=0,0,K22/TrRoad_act!K34*100)</f>
        <v>6.9897477734733036</v>
      </c>
      <c r="L64" s="96">
        <f>IF(L22=0,0,L22/TrRoad_act!L34*100)</f>
        <v>6.965397314668742</v>
      </c>
      <c r="M64" s="96">
        <f>IF(M22=0,0,M22/TrRoad_act!M34*100)</f>
        <v>6.8668279159976908</v>
      </c>
      <c r="N64" s="96">
        <f>IF(N22=0,0,N22/TrRoad_act!N34*100)</f>
        <v>7.0234668828204461</v>
      </c>
      <c r="O64" s="96">
        <f>IF(O22=0,0,O22/TrRoad_act!O34*100)</f>
        <v>6.7716644603472638</v>
      </c>
      <c r="P64" s="96">
        <f>IF(P22=0,0,P22/TrRoad_act!P34*100)</f>
        <v>7.1366875277899107</v>
      </c>
      <c r="Q64" s="96">
        <f>IF(Q22=0,0,Q22/TrRoad_act!Q34*100)</f>
        <v>6.4001772422386596</v>
      </c>
      <c r="R64" s="96">
        <f>IF(R22=0,0,R22/TrRoad_act!R34*100)</f>
        <v>6.6854985772713276</v>
      </c>
      <c r="S64" s="96">
        <f>IF(S22=0,0,S22/TrRoad_act!S34*100)</f>
        <v>6.3278275337686898</v>
      </c>
      <c r="T64" s="96">
        <f>IF(T22=0,0,T22/TrRoad_act!T34*100)</f>
        <v>6.1593889354436957</v>
      </c>
      <c r="U64" s="96">
        <f>IF(U22=0,0,U22/TrRoad_act!U34*100)</f>
        <v>6.0044685658075059</v>
      </c>
      <c r="V64" s="96">
        <f>IF(V22=0,0,V22/TrRoad_act!V34*100)</f>
        <v>5.5667443767982361</v>
      </c>
      <c r="W64" s="96">
        <f>IF(W22=0,0,W22/TrRoad_act!W34*100)</f>
        <v>5.6948013910975908</v>
      </c>
      <c r="X64" s="96">
        <f>IF(X22=0,0,X22/TrRoad_act!X34*100)</f>
        <v>5.6617802947458769</v>
      </c>
      <c r="Y64" s="96">
        <f>IF(Y22=0,0,Y22/TrRoad_act!Y34*100)</f>
        <v>5.7213793349731539</v>
      </c>
      <c r="DA64" s="171" t="s">
        <v>676</v>
      </c>
    </row>
    <row r="65" spans="1:105" ht="11.45" customHeight="1" x14ac:dyDescent="0.25">
      <c r="A65" s="111" t="s">
        <v>111</v>
      </c>
      <c r="B65" s="96">
        <f>IF(B24=0,0,B24/TrRoad_act!B35*100)</f>
        <v>12.704544831550974</v>
      </c>
      <c r="C65" s="96">
        <f>IF(C24=0,0,C24/TrRoad_act!C35*100)</f>
        <v>12.663348764357302</v>
      </c>
      <c r="D65" s="96">
        <f>IF(D24=0,0,D24/TrRoad_act!D35*100)</f>
        <v>11.329048632675716</v>
      </c>
      <c r="E65" s="96">
        <f>IF(E24=0,0,E24/TrRoad_act!E35*100)</f>
        <v>10.832377244484217</v>
      </c>
      <c r="F65" s="96">
        <f>IF(F24=0,0,F24/TrRoad_act!F35*100)</f>
        <v>10.753360831485619</v>
      </c>
      <c r="G65" s="96">
        <f>IF(G24=0,0,G24/TrRoad_act!G35*100)</f>
        <v>10.244411675073057</v>
      </c>
      <c r="H65" s="96">
        <f>IF(H24=0,0,H24/TrRoad_act!H35*100)</f>
        <v>10.644548687161098</v>
      </c>
      <c r="I65" s="96">
        <f>IF(I24=0,0,I24/TrRoad_act!I35*100)</f>
        <v>10.899742567989602</v>
      </c>
      <c r="J65" s="96">
        <f>IF(J24=0,0,J24/TrRoad_act!J35*100)</f>
        <v>9.9299160961438826</v>
      </c>
      <c r="K65" s="96">
        <f>IF(K24=0,0,K24/TrRoad_act!K35*100)</f>
        <v>10.093517486243382</v>
      </c>
      <c r="L65" s="96">
        <f>IF(L24=0,0,L24/TrRoad_act!L35*100)</f>
        <v>8.8350666881381876</v>
      </c>
      <c r="M65" s="96">
        <f>IF(M24=0,0,M24/TrRoad_act!M35*100)</f>
        <v>8.3255707443406362</v>
      </c>
      <c r="N65" s="96">
        <f>IF(N24=0,0,N24/TrRoad_act!N35*100)</f>
        <v>8.2778485288506634</v>
      </c>
      <c r="O65" s="96">
        <f>IF(O24=0,0,O24/TrRoad_act!O35*100)</f>
        <v>8.2940317427509989</v>
      </c>
      <c r="P65" s="96">
        <f>IF(P24=0,0,P24/TrRoad_act!P35*100)</f>
        <v>8.6210088476649478</v>
      </c>
      <c r="Q65" s="96">
        <f>IF(Q24=0,0,Q24/TrRoad_act!Q35*100)</f>
        <v>8.4983951374977611</v>
      </c>
      <c r="R65" s="96">
        <f>IF(R24=0,0,R24/TrRoad_act!R35*100)</f>
        <v>8.1992717862324973</v>
      </c>
      <c r="S65" s="96">
        <f>IF(S24=0,0,S24/TrRoad_act!S35*100)</f>
        <v>7.81840792833788</v>
      </c>
      <c r="T65" s="96">
        <f>IF(T24=0,0,T24/TrRoad_act!T35*100)</f>
        <v>7.9022384881169572</v>
      </c>
      <c r="U65" s="96">
        <f>IF(U24=0,0,U24/TrRoad_act!U35*100)</f>
        <v>7.8026728345241718</v>
      </c>
      <c r="V65" s="96">
        <f>IF(V24=0,0,V24/TrRoad_act!V35*100)</f>
        <v>7.394970844260544</v>
      </c>
      <c r="W65" s="96">
        <f>IF(W24=0,0,W24/TrRoad_act!W35*100)</f>
        <v>7.4540464599225418</v>
      </c>
      <c r="X65" s="96">
        <f>IF(X24=0,0,X24/TrRoad_act!X35*100)</f>
        <v>7.3718760903735188</v>
      </c>
      <c r="Y65" s="96">
        <f>IF(Y24=0,0,Y24/TrRoad_act!Y35*100)</f>
        <v>7.4884945210990743</v>
      </c>
      <c r="DA65" s="171" t="s">
        <v>677</v>
      </c>
    </row>
    <row r="66" spans="1:105" ht="11.45" customHeight="1" x14ac:dyDescent="0.25">
      <c r="A66" s="111" t="s">
        <v>112</v>
      </c>
      <c r="B66" s="96">
        <f>IF(B26=0,0,B26/TrRoad_act!B36*100)</f>
        <v>8.1396557000954388</v>
      </c>
      <c r="C66" s="96">
        <f>IF(C26=0,0,C26/TrRoad_act!C36*100)</f>
        <v>7.7738959548810938</v>
      </c>
      <c r="D66" s="96">
        <f>IF(D26=0,0,D26/TrRoad_act!D36*100)</f>
        <v>7.9522439287365536</v>
      </c>
      <c r="E66" s="96">
        <f>IF(E26=0,0,E26/TrRoad_act!E36*100)</f>
        <v>8.1275877527336409</v>
      </c>
      <c r="F66" s="96">
        <f>IF(F26=0,0,F26/TrRoad_act!F36*100)</f>
        <v>7.6921705096000963</v>
      </c>
      <c r="G66" s="96">
        <f>IF(G26=0,0,G26/TrRoad_act!G36*100)</f>
        <v>7.7351242651534982</v>
      </c>
      <c r="H66" s="96">
        <f>IF(H26=0,0,H26/TrRoad_act!H36*100)</f>
        <v>7.6496706742697267</v>
      </c>
      <c r="I66" s="96">
        <f>IF(I26=0,0,I26/TrRoad_act!I36*100)</f>
        <v>7.5412373891056745</v>
      </c>
      <c r="J66" s="96">
        <f>IF(J26=0,0,J26/TrRoad_act!J36*100)</f>
        <v>7.7528910724966442</v>
      </c>
      <c r="K66" s="96">
        <f>IF(K26=0,0,K26/TrRoad_act!K36*100)</f>
        <v>7.2352427325527113</v>
      </c>
      <c r="L66" s="96">
        <f>IF(L26=0,0,L26/TrRoad_act!L36*100)</f>
        <v>7.2374403579260642</v>
      </c>
      <c r="M66" s="96">
        <f>IF(M26=0,0,M26/TrRoad_act!M36*100)</f>
        <v>7.0951015546563685</v>
      </c>
      <c r="N66" s="96">
        <f>IF(N26=0,0,N26/TrRoad_act!N36*100)</f>
        <v>7.1031173871499487</v>
      </c>
      <c r="O66" s="96">
        <f>IF(O26=0,0,O26/TrRoad_act!O36*100)</f>
        <v>6.7843178252535052</v>
      </c>
      <c r="P66" s="96">
        <f>IF(P26=0,0,P26/TrRoad_act!P36*100)</f>
        <v>6.4164131602041206</v>
      </c>
      <c r="Q66" s="96">
        <f>IF(Q26=0,0,Q26/TrRoad_act!Q36*100)</f>
        <v>6.6985876030635492</v>
      </c>
      <c r="R66" s="96">
        <f>IF(R26=0,0,R26/TrRoad_act!R36*100)</f>
        <v>6.8696708059746214</v>
      </c>
      <c r="S66" s="96">
        <f>IF(S26=0,0,S26/TrRoad_act!S36*100)</f>
        <v>6.9023511154059527</v>
      </c>
      <c r="T66" s="96">
        <f>IF(T26=0,0,T26/TrRoad_act!T36*100)</f>
        <v>6.6932813142747367</v>
      </c>
      <c r="U66" s="96">
        <f>IF(U26=0,0,U26/TrRoad_act!U36*100)</f>
        <v>6.6767755167739491</v>
      </c>
      <c r="V66" s="96">
        <f>IF(V26=0,0,V26/TrRoad_act!V36*100)</f>
        <v>5.4432036226574265</v>
      </c>
      <c r="W66" s="96">
        <f>IF(W26=0,0,W26/TrRoad_act!W36*100)</f>
        <v>5.5933734306928153</v>
      </c>
      <c r="X66" s="96">
        <f>IF(X26=0,0,X26/TrRoad_act!X36*100)</f>
        <v>6.9841048748716759</v>
      </c>
      <c r="Y66" s="96">
        <f>IF(Y26=0,0,Y26/TrRoad_act!Y36*100)</f>
        <v>5.8043486938139139</v>
      </c>
      <c r="DA66" s="171" t="s">
        <v>678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0</v>
      </c>
      <c r="G67" s="96">
        <f>IF(G27=0,0,G27/TrRoad_act!G37*100)</f>
        <v>0</v>
      </c>
      <c r="H67" s="96">
        <f>IF(H27=0,0,H27/TrRoad_act!H37*100)</f>
        <v>0</v>
      </c>
      <c r="I67" s="96">
        <f>IF(I27=0,0,I27/TrRoad_act!I37*100)</f>
        <v>0</v>
      </c>
      <c r="J67" s="96">
        <f>IF(J27=0,0,J27/TrRoad_act!J37*100)</f>
        <v>0</v>
      </c>
      <c r="K67" s="96">
        <f>IF(K27=0,0,K27/TrRoad_act!K37*100)</f>
        <v>0</v>
      </c>
      <c r="L67" s="96">
        <f>IF(L27=0,0,L27/TrRoad_act!L37*100)</f>
        <v>0</v>
      </c>
      <c r="M67" s="96">
        <f>IF(M27=0,0,M27/TrRoad_act!M37*100)</f>
        <v>0</v>
      </c>
      <c r="N67" s="96">
        <f>IF(N27=0,0,N27/TrRoad_act!N37*100)</f>
        <v>0</v>
      </c>
      <c r="O67" s="96">
        <f>IF(O27=0,0,O27/TrRoad_act!O37*100)</f>
        <v>0</v>
      </c>
      <c r="P67" s="96">
        <f>IF(P27=0,0,P27/TrRoad_act!P37*100)</f>
        <v>16.355138029926056</v>
      </c>
      <c r="Q67" s="96">
        <f>IF(Q27=0,0,Q27/TrRoad_act!Q37*100)</f>
        <v>5.0292330753457843</v>
      </c>
      <c r="R67" s="96">
        <f>IF(R27=0,0,R27/TrRoad_act!R37*100)</f>
        <v>3.1152252482471865</v>
      </c>
      <c r="S67" s="96">
        <f>IF(S27=0,0,S27/TrRoad_act!S37*100)</f>
        <v>3.8068812844820417</v>
      </c>
      <c r="T67" s="96">
        <f>IF(T27=0,0,T27/TrRoad_act!T37*100)</f>
        <v>5.482791464120516</v>
      </c>
      <c r="U67" s="96">
        <f>IF(U27=0,0,U27/TrRoad_act!U37*100)</f>
        <v>6.4902739600378911</v>
      </c>
      <c r="V67" s="96">
        <f>IF(V27=0,0,V27/TrRoad_act!V37*100)</f>
        <v>7.9757786222528493</v>
      </c>
      <c r="W67" s="96">
        <f>IF(W27=0,0,W27/TrRoad_act!W37*100)</f>
        <v>17.176811311450468</v>
      </c>
      <c r="X67" s="96">
        <f>IF(X27=0,0,X27/TrRoad_act!X37*100)</f>
        <v>9.0485797585718135</v>
      </c>
      <c r="Y67" s="96">
        <f>IF(Y27=0,0,Y27/TrRoad_act!Y37*100)</f>
        <v>8.4388778350172799</v>
      </c>
      <c r="DA67" s="171" t="s">
        <v>679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0</v>
      </c>
      <c r="N68" s="96">
        <f>IF(N29=0,0,N29/TrRoad_act!N38*100)</f>
        <v>0</v>
      </c>
      <c r="O68" s="96">
        <f>IF(O29=0,0,O29/TrRoad_act!O38*100)</f>
        <v>4.121071741137821</v>
      </c>
      <c r="P68" s="96">
        <f>IF(P29=0,0,P29/TrRoad_act!P38*100)</f>
        <v>3.0752552331710037</v>
      </c>
      <c r="Q68" s="96">
        <f>IF(Q29=0,0,Q29/TrRoad_act!Q38*100)</f>
        <v>3.0177219597577012</v>
      </c>
      <c r="R68" s="96">
        <f>IF(R29=0,0,R29/TrRoad_act!R38*100)</f>
        <v>3.1452395329129428</v>
      </c>
      <c r="S68" s="96">
        <f>IF(S29=0,0,S29/TrRoad_act!S38*100)</f>
        <v>3.0776818811372073</v>
      </c>
      <c r="T68" s="96">
        <f>IF(T29=0,0,T29/TrRoad_act!T38*100)</f>
        <v>3.1234637774943765</v>
      </c>
      <c r="U68" s="96">
        <f>IF(U29=0,0,U29/TrRoad_act!U38*100)</f>
        <v>3.2546284375564163</v>
      </c>
      <c r="V68" s="96">
        <f>IF(V29=0,0,V29/TrRoad_act!V38*100)</f>
        <v>3.0285115239000975</v>
      </c>
      <c r="W68" s="96">
        <f>IF(W29=0,0,W29/TrRoad_act!W38*100)</f>
        <v>3.1117026264478089</v>
      </c>
      <c r="X68" s="96">
        <f>IF(X29=0,0,X29/TrRoad_act!X38*100)</f>
        <v>3.1030134586645053</v>
      </c>
      <c r="Y68" s="96">
        <f>IF(Y29=0,0,Y29/TrRoad_act!Y38*100)</f>
        <v>3.0547495551898165</v>
      </c>
      <c r="DA68" s="171" t="s">
        <v>680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0</v>
      </c>
      <c r="K69" s="96">
        <f>IF(K32=0,0,K32/TrRoad_act!K39*100)</f>
        <v>1.3908890557057765</v>
      </c>
      <c r="L69" s="96">
        <f>IF(L32=0,0,L32/TrRoad_act!L39*100)</f>
        <v>1.3771975863074495</v>
      </c>
      <c r="M69" s="96">
        <f>IF(M32=0,0,M32/TrRoad_act!M39*100)</f>
        <v>1.3834795402098958</v>
      </c>
      <c r="N69" s="96">
        <f>IF(N32=0,0,N32/TrRoad_act!N39*100)</f>
        <v>1.2826980032544728</v>
      </c>
      <c r="O69" s="96">
        <f>IF(O32=0,0,O32/TrRoad_act!O39*100)</f>
        <v>1.2867457225239096</v>
      </c>
      <c r="P69" s="96">
        <f>IF(P32=0,0,P32/TrRoad_act!P39*100)</f>
        <v>1.3325788160556238</v>
      </c>
      <c r="Q69" s="96">
        <f>IF(Q32=0,0,Q32/TrRoad_act!Q39*100)</f>
        <v>1.3628847506754405</v>
      </c>
      <c r="R69" s="96">
        <f>IF(R32=0,0,R32/TrRoad_act!R39*100)</f>
        <v>1.2926188230954423</v>
      </c>
      <c r="S69" s="96">
        <f>IF(S32=0,0,S32/TrRoad_act!S39*100)</f>
        <v>1.2705958976377314</v>
      </c>
      <c r="T69" s="96">
        <f>IF(T32=0,0,T32/TrRoad_act!T39*100)</f>
        <v>1.3174394962774545</v>
      </c>
      <c r="U69" s="96">
        <f>IF(U32=0,0,U32/TrRoad_act!U39*100)</f>
        <v>1.4117021659325755</v>
      </c>
      <c r="V69" s="96">
        <f>IF(V32=0,0,V32/TrRoad_act!V39*100)</f>
        <v>1.4923096246276</v>
      </c>
      <c r="W69" s="96">
        <f>IF(W32=0,0,W32/TrRoad_act!W39*100)</f>
        <v>1.5389706271855708</v>
      </c>
      <c r="X69" s="96">
        <f>IF(X32=0,0,X32/TrRoad_act!X39*100)</f>
        <v>1.5698664661525987</v>
      </c>
      <c r="Y69" s="96">
        <f>IF(Y32=0,0,Y32/TrRoad_act!Y39*100)</f>
        <v>1.5689517799454922</v>
      </c>
      <c r="DA69" s="171" t="s">
        <v>681</v>
      </c>
    </row>
    <row r="70" spans="1:105" ht="11.45" customHeight="1" x14ac:dyDescent="0.25">
      <c r="A70" s="109" t="s">
        <v>21</v>
      </c>
      <c r="B70" s="130">
        <f>IF(B33=0,0,B33/TrRoad_act!B40*100)</f>
        <v>61.613623944850652</v>
      </c>
      <c r="C70" s="130">
        <f>IF(C33=0,0,C33/TrRoad_act!C40*100)</f>
        <v>58.060449784749579</v>
      </c>
      <c r="D70" s="130">
        <f>IF(D33=0,0,D33/TrRoad_act!D40*100)</f>
        <v>57.18406714929143</v>
      </c>
      <c r="E70" s="130">
        <f>IF(E33=0,0,E33/TrRoad_act!E40*100)</f>
        <v>56.245499902799459</v>
      </c>
      <c r="F70" s="130">
        <f>IF(F33=0,0,F33/TrRoad_act!F40*100)</f>
        <v>55.586944114313894</v>
      </c>
      <c r="G70" s="130">
        <f>IF(G33=0,0,G33/TrRoad_act!G40*100)</f>
        <v>55.069785512491521</v>
      </c>
      <c r="H70" s="130">
        <f>IF(H33=0,0,H33/TrRoad_act!H40*100)</f>
        <v>54.600380575303767</v>
      </c>
      <c r="I70" s="130">
        <f>IF(I33=0,0,I33/TrRoad_act!I40*100)</f>
        <v>54.330880843700946</v>
      </c>
      <c r="J70" s="130">
        <f>IF(J33=0,0,J33/TrRoad_act!J40*100)</f>
        <v>54.181602005231397</v>
      </c>
      <c r="K70" s="130">
        <f>IF(K33=0,0,K33/TrRoad_act!K40*100)</f>
        <v>54.040091069543827</v>
      </c>
      <c r="L70" s="130">
        <f>IF(L33=0,0,L33/TrRoad_act!L40*100)</f>
        <v>53.908674073447671</v>
      </c>
      <c r="M70" s="130">
        <f>IF(M33=0,0,M33/TrRoad_act!M40*100)</f>
        <v>53.80787993377831</v>
      </c>
      <c r="N70" s="130">
        <f>IF(N33=0,0,N33/TrRoad_act!N40*100)</f>
        <v>53.796987906312211</v>
      </c>
      <c r="O70" s="130">
        <f>IF(O33=0,0,O33/TrRoad_act!O40*100)</f>
        <v>53.742730299659669</v>
      </c>
      <c r="P70" s="130">
        <f>IF(P33=0,0,P33/TrRoad_act!P40*100)</f>
        <v>53.880141046043704</v>
      </c>
      <c r="Q70" s="130">
        <f>IF(Q33=0,0,Q33/TrRoad_act!Q40*100)</f>
        <v>54.195998774309771</v>
      </c>
      <c r="R70" s="130">
        <f>IF(R33=0,0,R33/TrRoad_act!R40*100)</f>
        <v>54.490125726145955</v>
      </c>
      <c r="S70" s="130">
        <f>IF(S33=0,0,S33/TrRoad_act!S40*100)</f>
        <v>54.658053700678465</v>
      </c>
      <c r="T70" s="130">
        <f>IF(T33=0,0,T33/TrRoad_act!T40*100)</f>
        <v>54.720533031822583</v>
      </c>
      <c r="U70" s="130">
        <f>IF(U33=0,0,U33/TrRoad_act!U40*100)</f>
        <v>54.545473168985673</v>
      </c>
      <c r="V70" s="130">
        <f>IF(V33=0,0,V33/TrRoad_act!V40*100)</f>
        <v>54.613344139628438</v>
      </c>
      <c r="W70" s="130">
        <f>IF(W33=0,0,W33/TrRoad_act!W40*100)</f>
        <v>54.519643861916791</v>
      </c>
      <c r="X70" s="130">
        <f>IF(X33=0,0,X33/TrRoad_act!X40*100)</f>
        <v>53.249583636634512</v>
      </c>
      <c r="Y70" s="130">
        <f>IF(Y33=0,0,Y33/TrRoad_act!Y40*100)</f>
        <v>51.82991914652635</v>
      </c>
      <c r="DA70" s="176" t="s">
        <v>682</v>
      </c>
    </row>
    <row r="71" spans="1:105" ht="11.45" customHeight="1" x14ac:dyDescent="0.25">
      <c r="A71" s="111" t="s">
        <v>110</v>
      </c>
      <c r="B71" s="97">
        <f>IF(B34=0,0,B34/TrRoad_act!B41*100)</f>
        <v>18.664776646569909</v>
      </c>
      <c r="C71" s="97">
        <f>IF(C34=0,0,C34/TrRoad_act!C41*100)</f>
        <v>18.632024467045934</v>
      </c>
      <c r="D71" s="97">
        <f>IF(D34=0,0,D34/TrRoad_act!D41*100)</f>
        <v>18.628743067028786</v>
      </c>
      <c r="E71" s="97">
        <f>IF(E34=0,0,E34/TrRoad_act!E41*100)</f>
        <v>18.624730937370099</v>
      </c>
      <c r="F71" s="97">
        <f>IF(F34=0,0,F34/TrRoad_act!F41*100)</f>
        <v>18.619306465521479</v>
      </c>
      <c r="G71" s="97">
        <f>IF(G34=0,0,G34/TrRoad_act!G41*100)</f>
        <v>18.612725865442332</v>
      </c>
      <c r="H71" s="97">
        <f>IF(H34=0,0,H34/TrRoad_act!H41*100)</f>
        <v>18.604645013918123</v>
      </c>
      <c r="I71" s="97">
        <f>IF(I34=0,0,I34/TrRoad_act!I41*100)</f>
        <v>18.512010463272595</v>
      </c>
      <c r="J71" s="97">
        <f>IF(J34=0,0,J34/TrRoad_act!J41*100)</f>
        <v>18.481949398399337</v>
      </c>
      <c r="K71" s="97">
        <f>IF(K34=0,0,K34/TrRoad_act!K41*100)</f>
        <v>18.446088503475455</v>
      </c>
      <c r="L71" s="97">
        <f>IF(L34=0,0,L34/TrRoad_act!L41*100)</f>
        <v>18.392726952703054</v>
      </c>
      <c r="M71" s="97">
        <f>IF(M34=0,0,M34/TrRoad_act!M41*100)</f>
        <v>18.326740206887635</v>
      </c>
      <c r="N71" s="97">
        <f>IF(N34=0,0,N34/TrRoad_act!N41*100)</f>
        <v>18.235668551598096</v>
      </c>
      <c r="O71" s="97">
        <f>IF(O34=0,0,O34/TrRoad_act!O41*100)</f>
        <v>18.235668551598092</v>
      </c>
      <c r="P71" s="97">
        <f>IF(P34=0,0,P34/TrRoad_act!P41*100)</f>
        <v>18.235668551598096</v>
      </c>
      <c r="Q71" s="97">
        <f>IF(Q34=0,0,Q34/TrRoad_act!Q41*100)</f>
        <v>18.179654931574905</v>
      </c>
      <c r="R71" s="97">
        <f>IF(R34=0,0,R34/TrRoad_act!R41*100)</f>
        <v>18.07742904954393</v>
      </c>
      <c r="S71" s="97">
        <f>IF(S34=0,0,S34/TrRoad_act!S41*100)</f>
        <v>17.616581733600935</v>
      </c>
      <c r="T71" s="97">
        <f>IF(T34=0,0,T34/TrRoad_act!T41*100)</f>
        <v>17.704449768724864</v>
      </c>
      <c r="U71" s="97">
        <f>IF(U34=0,0,U34/TrRoad_act!U41*100)</f>
        <v>17.348812538934965</v>
      </c>
      <c r="V71" s="97">
        <f>IF(V34=0,0,V34/TrRoad_act!V41*100)</f>
        <v>17.348812538934965</v>
      </c>
      <c r="W71" s="97">
        <f>IF(W34=0,0,W34/TrRoad_act!W41*100)</f>
        <v>17.424728069747982</v>
      </c>
      <c r="X71" s="97">
        <f>IF(X34=0,0,X34/TrRoad_act!X41*100)</f>
        <v>16.646785292177434</v>
      </c>
      <c r="Y71" s="97">
        <f>IF(Y34=0,0,Y34/TrRoad_act!Y41*100)</f>
        <v>16.433574037478614</v>
      </c>
      <c r="DA71" s="175" t="s">
        <v>683</v>
      </c>
    </row>
    <row r="72" spans="1:105" ht="11.45" customHeight="1" x14ac:dyDescent="0.25">
      <c r="A72" s="111" t="s">
        <v>111</v>
      </c>
      <c r="B72" s="97">
        <f>IF(B36=0,0,B36/TrRoad_act!B42*100)</f>
        <v>62.497307656675474</v>
      </c>
      <c r="C72" s="97">
        <f>IF(C36=0,0,C36/TrRoad_act!C42*100)</f>
        <v>58.77168289433957</v>
      </c>
      <c r="D72" s="97">
        <f>IF(D36=0,0,D36/TrRoad_act!D42*100)</f>
        <v>57.803940018474833</v>
      </c>
      <c r="E72" s="97">
        <f>IF(E36=0,0,E36/TrRoad_act!E42*100)</f>
        <v>56.75869249173001</v>
      </c>
      <c r="F72" s="97">
        <f>IF(F36=0,0,F36/TrRoad_act!F42*100)</f>
        <v>56.013055336747911</v>
      </c>
      <c r="G72" s="97">
        <f>IF(G36=0,0,G36/TrRoad_act!G42*100)</f>
        <v>55.421215382800341</v>
      </c>
      <c r="H72" s="97">
        <f>IF(H36=0,0,H36/TrRoad_act!H42*100)</f>
        <v>54.879914176952717</v>
      </c>
      <c r="I72" s="97">
        <f>IF(I36=0,0,I36/TrRoad_act!I42*100)</f>
        <v>54.562721528885326</v>
      </c>
      <c r="J72" s="97">
        <f>IF(J36=0,0,J36/TrRoad_act!J42*100)</f>
        <v>54.370279318200417</v>
      </c>
      <c r="K72" s="97">
        <f>IF(K36=0,0,K36/TrRoad_act!K42*100)</f>
        <v>54.197775061246325</v>
      </c>
      <c r="L72" s="97">
        <f>IF(L36=0,0,L36/TrRoad_act!L42*100)</f>
        <v>54.036988010046564</v>
      </c>
      <c r="M72" s="97">
        <f>IF(M36=0,0,M36/TrRoad_act!M42*100)</f>
        <v>53.912862010931264</v>
      </c>
      <c r="N72" s="97">
        <f>IF(N36=0,0,N36/TrRoad_act!N42*100)</f>
        <v>53.878282206003711</v>
      </c>
      <c r="O72" s="97">
        <f>IF(O36=0,0,O36/TrRoad_act!O42*100)</f>
        <v>53.823800805677003</v>
      </c>
      <c r="P72" s="97">
        <f>IF(P36=0,0,P36/TrRoad_act!P42*100)</f>
        <v>53.960211757738271</v>
      </c>
      <c r="Q72" s="97">
        <f>IF(Q36=0,0,Q36/TrRoad_act!Q42*100)</f>
        <v>54.26461171523129</v>
      </c>
      <c r="R72" s="97">
        <f>IF(R36=0,0,R36/TrRoad_act!R42*100)</f>
        <v>54.544961798851112</v>
      </c>
      <c r="S72" s="97">
        <f>IF(S36=0,0,S36/TrRoad_act!S42*100)</f>
        <v>54.721716648470043</v>
      </c>
      <c r="T72" s="97">
        <f>IF(T36=0,0,T36/TrRoad_act!T42*100)</f>
        <v>54.763005749797266</v>
      </c>
      <c r="U72" s="97">
        <f>IF(U36=0,0,U36/TrRoad_act!U42*100)</f>
        <v>54.596206804074164</v>
      </c>
      <c r="V72" s="97">
        <f>IF(V36=0,0,V36/TrRoad_act!V42*100)</f>
        <v>54.624503019977809</v>
      </c>
      <c r="W72" s="97">
        <f>IF(W36=0,0,W36/TrRoad_act!W42*100)</f>
        <v>54.207920288373856</v>
      </c>
      <c r="X72" s="97">
        <f>IF(X36=0,0,X36/TrRoad_act!X42*100)</f>
        <v>53.265534972934823</v>
      </c>
      <c r="Y72" s="97">
        <f>IF(Y36=0,0,Y36/TrRoad_act!Y42*100)</f>
        <v>52.086591705910536</v>
      </c>
      <c r="DA72" s="175" t="s">
        <v>684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43.429619345821301</v>
      </c>
      <c r="D73" s="97">
        <f>IF(D38=0,0,D38/TrRoad_act!D43*100)</f>
        <v>43.429619345821301</v>
      </c>
      <c r="E73" s="97">
        <f>IF(E38=0,0,E38/TrRoad_act!E43*100)</f>
        <v>43.429619345821301</v>
      </c>
      <c r="F73" s="97">
        <f>IF(F38=0,0,F38/TrRoad_act!F43*100)</f>
        <v>43.429619345821308</v>
      </c>
      <c r="G73" s="97">
        <f>IF(G38=0,0,G38/TrRoad_act!G43*100)</f>
        <v>43.429619345821301</v>
      </c>
      <c r="H73" s="97">
        <f>IF(H38=0,0,H38/TrRoad_act!H43*100)</f>
        <v>43.429619345821301</v>
      </c>
      <c r="I73" s="97">
        <f>IF(I38=0,0,I38/TrRoad_act!I43*100)</f>
        <v>43.429619345821308</v>
      </c>
      <c r="J73" s="97">
        <f>IF(J38=0,0,J38/TrRoad_act!J43*100)</f>
        <v>0</v>
      </c>
      <c r="K73" s="97">
        <f>IF(K38=0,0,K38/TrRoad_act!K43*100)</f>
        <v>0</v>
      </c>
      <c r="L73" s="97">
        <f>IF(L38=0,0,L38/TrRoad_act!L43*100)</f>
        <v>0</v>
      </c>
      <c r="M73" s="97">
        <f>IF(M38=0,0,M38/TrRoad_act!M43*100)</f>
        <v>0</v>
      </c>
      <c r="N73" s="97">
        <f>IF(N38=0,0,N38/TrRoad_act!N43*100)</f>
        <v>0</v>
      </c>
      <c r="O73" s="97">
        <f>IF(O38=0,0,O38/TrRoad_act!O43*100)</f>
        <v>0</v>
      </c>
      <c r="P73" s="97">
        <f>IF(P38=0,0,P38/TrRoad_act!P43*100)</f>
        <v>0</v>
      </c>
      <c r="Q73" s="97">
        <f>IF(Q38=0,0,Q38/TrRoad_act!Q43*100)</f>
        <v>0</v>
      </c>
      <c r="R73" s="97">
        <f>IF(R38=0,0,R38/TrRoad_act!R43*100)</f>
        <v>0</v>
      </c>
      <c r="S73" s="97">
        <f>IF(S38=0,0,S38/TrRoad_act!S43*100)</f>
        <v>0</v>
      </c>
      <c r="T73" s="97">
        <f>IF(T38=0,0,T38/TrRoad_act!T43*100)</f>
        <v>0</v>
      </c>
      <c r="U73" s="97">
        <f>IF(U38=0,0,U38/TrRoad_act!U43*100)</f>
        <v>0</v>
      </c>
      <c r="V73" s="97">
        <f>IF(V38=0,0,V38/TrRoad_act!V43*100)</f>
        <v>0</v>
      </c>
      <c r="W73" s="97">
        <f>IF(W38=0,0,W38/TrRoad_act!W43*100)</f>
        <v>0</v>
      </c>
      <c r="X73" s="97">
        <f>IF(X38=0,0,X38/TrRoad_act!X43*100)</f>
        <v>0</v>
      </c>
      <c r="Y73" s="97">
        <f>IF(Y38=0,0,Y38/TrRoad_act!Y43*100)</f>
        <v>0</v>
      </c>
      <c r="DA73" s="175" t="s">
        <v>685</v>
      </c>
    </row>
    <row r="74" spans="1:105" ht="11.45" customHeight="1" x14ac:dyDescent="0.25">
      <c r="A74" s="111" t="s">
        <v>113</v>
      </c>
      <c r="B74" s="97">
        <f>IF(B39=0,0,B39/TrRoad_act!B44*100)</f>
        <v>0</v>
      </c>
      <c r="C74" s="97">
        <f>IF(C39=0,0,C39/TrRoad_act!C44*100)</f>
        <v>0</v>
      </c>
      <c r="D74" s="97">
        <f>IF(D39=0,0,D39/TrRoad_act!D44*100)</f>
        <v>0</v>
      </c>
      <c r="E74" s="97">
        <f>IF(E39=0,0,E39/TrRoad_act!E44*100)</f>
        <v>0</v>
      </c>
      <c r="F74" s="97">
        <f>IF(F39=0,0,F39/TrRoad_act!F44*100)</f>
        <v>0</v>
      </c>
      <c r="G74" s="97">
        <f>IF(G39=0,0,G39/TrRoad_act!G44*100)</f>
        <v>0</v>
      </c>
      <c r="H74" s="97">
        <f>IF(H39=0,0,H39/TrRoad_act!H44*100)</f>
        <v>0</v>
      </c>
      <c r="I74" s="97">
        <f>IF(I39=0,0,I39/TrRoad_act!I44*100)</f>
        <v>0</v>
      </c>
      <c r="J74" s="97">
        <f>IF(J39=0,0,J39/TrRoad_act!J44*100)</f>
        <v>0</v>
      </c>
      <c r="K74" s="97">
        <f>IF(K39=0,0,K39/TrRoad_act!K44*100)</f>
        <v>0</v>
      </c>
      <c r="L74" s="97">
        <f>IF(L39=0,0,L39/TrRoad_act!L44*100)</f>
        <v>0</v>
      </c>
      <c r="M74" s="97">
        <f>IF(M39=0,0,M39/TrRoad_act!M44*100)</f>
        <v>0</v>
      </c>
      <c r="N74" s="97">
        <f>IF(N39=0,0,N39/TrRoad_act!N44*100)</f>
        <v>0</v>
      </c>
      <c r="O74" s="97">
        <f>IF(O39=0,0,O39/TrRoad_act!O44*100)</f>
        <v>0</v>
      </c>
      <c r="P74" s="97">
        <f>IF(P39=0,0,P39/TrRoad_act!P44*100)</f>
        <v>0</v>
      </c>
      <c r="Q74" s="97">
        <f>IF(Q39=0,0,Q39/TrRoad_act!Q44*100)</f>
        <v>0</v>
      </c>
      <c r="R74" s="97">
        <f>IF(R39=0,0,R39/TrRoad_act!R44*100)</f>
        <v>0</v>
      </c>
      <c r="S74" s="97">
        <f>IF(S39=0,0,S39/TrRoad_act!S44*100)</f>
        <v>0</v>
      </c>
      <c r="T74" s="97">
        <f>IF(T39=0,0,T39/TrRoad_act!T44*100)</f>
        <v>38.383551924015912</v>
      </c>
      <c r="U74" s="97">
        <f>IF(U39=0,0,U39/TrRoad_act!U44*100)</f>
        <v>53.893191581902521</v>
      </c>
      <c r="V74" s="97">
        <f>IF(V39=0,0,V39/TrRoad_act!V44*100)</f>
        <v>66.163887432809958</v>
      </c>
      <c r="W74" s="97">
        <f>IF(W39=0,0,W39/TrRoad_act!W44*100)</f>
        <v>142.42766783276201</v>
      </c>
      <c r="X74" s="97">
        <f>IF(X39=0,0,X39/TrRoad_act!X44*100)</f>
        <v>82.724438185283049</v>
      </c>
      <c r="Y74" s="97">
        <f>IF(Y39=0,0,Y39/TrRoad_act!Y44*100)</f>
        <v>77.599574261223722</v>
      </c>
      <c r="DA74" s="175" t="s">
        <v>686</v>
      </c>
    </row>
    <row r="75" spans="1:105" ht="11.45" customHeight="1" x14ac:dyDescent="0.25">
      <c r="A75" s="111" t="s">
        <v>115</v>
      </c>
      <c r="B75" s="97">
        <f>IF(B41=0,0,B41/TrRoad_act!B45*100)</f>
        <v>0</v>
      </c>
      <c r="C75" s="97">
        <f>IF(C41=0,0,C41/TrRoad_act!C45*100)</f>
        <v>0</v>
      </c>
      <c r="D75" s="97">
        <f>IF(D41=0,0,D41/TrRoad_act!D45*100)</f>
        <v>0</v>
      </c>
      <c r="E75" s="97">
        <f>IF(E41=0,0,E41/TrRoad_act!E45*100)</f>
        <v>0</v>
      </c>
      <c r="F75" s="97">
        <f>IF(F41=0,0,F41/TrRoad_act!F45*100)</f>
        <v>0</v>
      </c>
      <c r="G75" s="97">
        <f>IF(G41=0,0,G41/TrRoad_act!G45*100)</f>
        <v>0</v>
      </c>
      <c r="H75" s="97">
        <f>IF(H41=0,0,H41/TrRoad_act!H45*100)</f>
        <v>0</v>
      </c>
      <c r="I75" s="97">
        <f>IF(I41=0,0,I41/TrRoad_act!I45*100)</f>
        <v>0</v>
      </c>
      <c r="J75" s="97">
        <f>IF(J41=0,0,J41/TrRoad_act!J45*100)</f>
        <v>35.586408117039973</v>
      </c>
      <c r="K75" s="97">
        <f>IF(K41=0,0,K41/TrRoad_act!K45*100)</f>
        <v>35.586408117039973</v>
      </c>
      <c r="L75" s="97">
        <f>IF(L41=0,0,L41/TrRoad_act!L45*100)</f>
        <v>35.586408117039966</v>
      </c>
      <c r="M75" s="97">
        <f>IF(M41=0,0,M41/TrRoad_act!M45*100)</f>
        <v>35.586408117039966</v>
      </c>
      <c r="N75" s="97">
        <f>IF(N41=0,0,N41/TrRoad_act!N45*100)</f>
        <v>35.586408117039973</v>
      </c>
      <c r="O75" s="97">
        <f>IF(O41=0,0,O41/TrRoad_act!O45*100)</f>
        <v>35.586408117039973</v>
      </c>
      <c r="P75" s="97">
        <f>IF(P41=0,0,P41/TrRoad_act!P45*100)</f>
        <v>35.586408117039966</v>
      </c>
      <c r="Q75" s="97">
        <f>IF(Q41=0,0,Q41/TrRoad_act!Q45*100)</f>
        <v>35.586408117039973</v>
      </c>
      <c r="R75" s="97">
        <f>IF(R41=0,0,R41/TrRoad_act!R45*100)</f>
        <v>35.586408117039966</v>
      </c>
      <c r="S75" s="97">
        <f>IF(S41=0,0,S41/TrRoad_act!S45*100)</f>
        <v>35.586408117039973</v>
      </c>
      <c r="T75" s="97">
        <f>IF(T41=0,0,T41/TrRoad_act!T45*100)</f>
        <v>35.586408117039966</v>
      </c>
      <c r="U75" s="97">
        <f>IF(U41=0,0,U41/TrRoad_act!U45*100)</f>
        <v>33.808226012633405</v>
      </c>
      <c r="V75" s="97">
        <f>IF(V41=0,0,V41/TrRoad_act!V45*100)</f>
        <v>33.595190889239731</v>
      </c>
      <c r="W75" s="97">
        <f>IF(W41=0,0,W41/TrRoad_act!W45*100)</f>
        <v>33.303497298310162</v>
      </c>
      <c r="X75" s="97">
        <f>IF(X41=0,0,X41/TrRoad_act!X45*100)</f>
        <v>32.51986214795744</v>
      </c>
      <c r="Y75" s="97">
        <f>IF(Y41=0,0,Y41/TrRoad_act!Y45*100)</f>
        <v>31.877343765688465</v>
      </c>
      <c r="DA75" s="175" t="s">
        <v>687</v>
      </c>
    </row>
    <row r="76" spans="1:105" ht="11.45" customHeight="1" x14ac:dyDescent="0.25">
      <c r="A76" s="27" t="s">
        <v>34</v>
      </c>
      <c r="B76" s="32">
        <f>IF(B42=0,0,B42/TrRoad_act!B46*100)</f>
        <v>22.923007066297188</v>
      </c>
      <c r="C76" s="32">
        <f>IF(C42=0,0,C42/TrRoad_act!C46*100)</f>
        <v>22.849261533572367</v>
      </c>
      <c r="D76" s="32">
        <f>IF(D42=0,0,D42/TrRoad_act!D46*100)</f>
        <v>21.73634096462083</v>
      </c>
      <c r="E76" s="32">
        <f>IF(E42=0,0,E42/TrRoad_act!E46*100)</f>
        <v>21.053476503927552</v>
      </c>
      <c r="F76" s="32">
        <f>IF(F42=0,0,F42/TrRoad_act!F46*100)</f>
        <v>21.337886247530005</v>
      </c>
      <c r="G76" s="32">
        <f>IF(G42=0,0,G42/TrRoad_act!G46*100)</f>
        <v>20.760124731153287</v>
      </c>
      <c r="H76" s="32">
        <f>IF(H42=0,0,H42/TrRoad_act!H46*100)</f>
        <v>20.812164100728488</v>
      </c>
      <c r="I76" s="32">
        <f>IF(I42=0,0,I42/TrRoad_act!I46*100)</f>
        <v>21.307355696736877</v>
      </c>
      <c r="J76" s="32">
        <f>IF(J42=0,0,J42/TrRoad_act!J46*100)</f>
        <v>19.3009472378927</v>
      </c>
      <c r="K76" s="32">
        <f>IF(K42=0,0,K42/TrRoad_act!K46*100)</f>
        <v>17.599303518579177</v>
      </c>
      <c r="L76" s="32">
        <f>IF(L42=0,0,L42/TrRoad_act!L46*100)</f>
        <v>16.534414071638114</v>
      </c>
      <c r="M76" s="32">
        <f>IF(M42=0,0,M42/TrRoad_act!M46*100)</f>
        <v>15.920323069759061</v>
      </c>
      <c r="N76" s="32">
        <f>IF(N42=0,0,N42/TrRoad_act!N46*100)</f>
        <v>16.080923425039533</v>
      </c>
      <c r="O76" s="32">
        <f>IF(O42=0,0,O42/TrRoad_act!O46*100)</f>
        <v>15.955011156613949</v>
      </c>
      <c r="P76" s="32">
        <f>IF(P42=0,0,P42/TrRoad_act!P46*100)</f>
        <v>16.70757221532536</v>
      </c>
      <c r="Q76" s="32">
        <f>IF(Q42=0,0,Q42/TrRoad_act!Q46*100)</f>
        <v>17.279231193022817</v>
      </c>
      <c r="R76" s="32">
        <f>IF(R42=0,0,R42/TrRoad_act!R46*100)</f>
        <v>17.758202182504355</v>
      </c>
      <c r="S76" s="32">
        <f>IF(S42=0,0,S42/TrRoad_act!S46*100)</f>
        <v>17.418393454282214</v>
      </c>
      <c r="T76" s="32">
        <f>IF(T42=0,0,T42/TrRoad_act!T46*100)</f>
        <v>17.679862803711508</v>
      </c>
      <c r="U76" s="32">
        <f>IF(U42=0,0,U42/TrRoad_act!U46*100)</f>
        <v>18.024915261981644</v>
      </c>
      <c r="V76" s="32">
        <f>IF(V42=0,0,V42/TrRoad_act!V46*100)</f>
        <v>16.709437529313028</v>
      </c>
      <c r="W76" s="32">
        <f>IF(W42=0,0,W42/TrRoad_act!W46*100)</f>
        <v>17.371251044810879</v>
      </c>
      <c r="X76" s="32">
        <f>IF(X42=0,0,X42/TrRoad_act!X46*100)</f>
        <v>17.771783149825623</v>
      </c>
      <c r="Y76" s="32">
        <f>IF(Y42=0,0,Y42/TrRoad_act!Y46*100)</f>
        <v>17.716542250822275</v>
      </c>
      <c r="DA76" s="173" t="s">
        <v>688</v>
      </c>
    </row>
    <row r="77" spans="1:105" ht="11.45" customHeight="1" x14ac:dyDescent="0.25">
      <c r="A77" s="136" t="s">
        <v>153</v>
      </c>
      <c r="B77" s="141">
        <f>IF(B43=0,0,B43/TrRoad_act!B47*100)</f>
        <v>11.250420895556992</v>
      </c>
      <c r="C77" s="141">
        <f>IF(C43=0,0,C43/TrRoad_act!C47*100)</f>
        <v>10.744939757061216</v>
      </c>
      <c r="D77" s="141">
        <f>IF(D43=0,0,D43/TrRoad_act!D47*100)</f>
        <v>10.566124158129373</v>
      </c>
      <c r="E77" s="141">
        <f>IF(E43=0,0,E43/TrRoad_act!E47*100)</f>
        <v>10.427010985609673</v>
      </c>
      <c r="F77" s="141">
        <f>IF(F43=0,0,F43/TrRoad_act!F47*100)</f>
        <v>10.498887214561043</v>
      </c>
      <c r="G77" s="141">
        <f>IF(G43=0,0,G43/TrRoad_act!G47*100)</f>
        <v>10.440203238911604</v>
      </c>
      <c r="H77" s="141">
        <f>IF(H43=0,0,H43/TrRoad_act!H47*100)</f>
        <v>10.482779690654413</v>
      </c>
      <c r="I77" s="141">
        <f>IF(I43=0,0,I43/TrRoad_act!I47*100)</f>
        <v>10.551871094034581</v>
      </c>
      <c r="J77" s="141">
        <f>IF(J43=0,0,J43/TrRoad_act!J47*100)</f>
        <v>10.273431951404724</v>
      </c>
      <c r="K77" s="141">
        <f>IF(K43=0,0,K43/TrRoad_act!K47*100)</f>
        <v>10.145596565813461</v>
      </c>
      <c r="L77" s="141">
        <f>IF(L43=0,0,L43/TrRoad_act!L47*100)</f>
        <v>9.9998825620778824</v>
      </c>
      <c r="M77" s="141">
        <f>IF(M43=0,0,M43/TrRoad_act!M47*100)</f>
        <v>9.8790386938745112</v>
      </c>
      <c r="N77" s="141">
        <f>IF(N43=0,0,N43/TrRoad_act!N47*100)</f>
        <v>9.8219510512814576</v>
      </c>
      <c r="O77" s="141">
        <f>IF(O43=0,0,O43/TrRoad_act!O47*100)</f>
        <v>9.7363806916312488</v>
      </c>
      <c r="P77" s="141">
        <f>IF(P43=0,0,P43/TrRoad_act!P47*100)</f>
        <v>9.7589708264324813</v>
      </c>
      <c r="Q77" s="141">
        <f>IF(Q43=0,0,Q43/TrRoad_act!Q47*100)</f>
        <v>9.9789229568887361</v>
      </c>
      <c r="R77" s="141">
        <f>IF(R43=0,0,R43/TrRoad_act!R47*100)</f>
        <v>9.845084244519029</v>
      </c>
      <c r="S77" s="141">
        <f>IF(S43=0,0,S43/TrRoad_act!S47*100)</f>
        <v>9.7038298114817003</v>
      </c>
      <c r="T77" s="141">
        <f>IF(T43=0,0,T43/TrRoad_act!T47*100)</f>
        <v>9.6153938442303026</v>
      </c>
      <c r="U77" s="141">
        <f>IF(U43=0,0,U43/TrRoad_act!U47*100)</f>
        <v>9.4646644936260031</v>
      </c>
      <c r="V77" s="141">
        <f>IF(V43=0,0,V43/TrRoad_act!V47*100)</f>
        <v>9.3897091316254055</v>
      </c>
      <c r="W77" s="141">
        <f>IF(W43=0,0,W43/TrRoad_act!W47*100)</f>
        <v>9.4348159624645955</v>
      </c>
      <c r="X77" s="141">
        <f>IF(X43=0,0,X43/TrRoad_act!X47*100)</f>
        <v>9.873074744389891</v>
      </c>
      <c r="Y77" s="141">
        <f>IF(Y43=0,0,Y43/TrRoad_act!Y47*100)</f>
        <v>9.8203199137241075</v>
      </c>
      <c r="DA77" s="174" t="s">
        <v>689</v>
      </c>
    </row>
    <row r="78" spans="1:105" ht="11.45" customHeight="1" x14ac:dyDescent="0.25">
      <c r="A78" s="111" t="s">
        <v>110</v>
      </c>
      <c r="B78" s="96">
        <f>IF(B44=0,0,B44/TrRoad_act!B48*100)</f>
        <v>9.3291038368586001</v>
      </c>
      <c r="C78" s="96">
        <f>IF(C44=0,0,C44/TrRoad_act!C48*100)</f>
        <v>9.2094475625391734</v>
      </c>
      <c r="D78" s="96">
        <f>IF(D44=0,0,D44/TrRoad_act!D48*100)</f>
        <v>9.1331265029050446</v>
      </c>
      <c r="E78" s="96">
        <f>IF(E44=0,0,E44/TrRoad_act!E48*100)</f>
        <v>9.0602913091824817</v>
      </c>
      <c r="F78" s="96">
        <f>IF(F44=0,0,F44/TrRoad_act!F48*100)</f>
        <v>8.9601905816728085</v>
      </c>
      <c r="G78" s="96">
        <f>IF(G44=0,0,G44/TrRoad_act!G48*100)</f>
        <v>8.7894061023121832</v>
      </c>
      <c r="H78" s="96">
        <f>IF(H44=0,0,H44/TrRoad_act!H48*100)</f>
        <v>8.5723086786156042</v>
      </c>
      <c r="I78" s="96">
        <f>IF(I44=0,0,I44/TrRoad_act!I48*100)</f>
        <v>8.3621594580573451</v>
      </c>
      <c r="J78" s="96">
        <f>IF(J44=0,0,J44/TrRoad_act!J48*100)</f>
        <v>8.2865115260998756</v>
      </c>
      <c r="K78" s="96">
        <f>IF(K44=0,0,K44/TrRoad_act!K48*100)</f>
        <v>8.2528098171466677</v>
      </c>
      <c r="L78" s="96">
        <f>IF(L44=0,0,L44/TrRoad_act!L48*100)</f>
        <v>8.2230992547725474</v>
      </c>
      <c r="M78" s="96">
        <f>IF(M44=0,0,M44/TrRoad_act!M48*100)</f>
        <v>8.1943651587585631</v>
      </c>
      <c r="N78" s="96">
        <f>IF(N44=0,0,N44/TrRoad_act!N48*100)</f>
        <v>8.1724217708646645</v>
      </c>
      <c r="O78" s="96">
        <f>IF(O44=0,0,O44/TrRoad_act!O48*100)</f>
        <v>8.1643067550413662</v>
      </c>
      <c r="P78" s="96">
        <f>IF(P44=0,0,P44/TrRoad_act!P48*100)</f>
        <v>8.1382403179571856</v>
      </c>
      <c r="Q78" s="96">
        <f>IF(Q44=0,0,Q44/TrRoad_act!Q48*100)</f>
        <v>8.0877680378084094</v>
      </c>
      <c r="R78" s="96">
        <f>IF(R44=0,0,R44/TrRoad_act!R48*100)</f>
        <v>8.0415162220640823</v>
      </c>
      <c r="S78" s="96">
        <f>IF(S44=0,0,S44/TrRoad_act!S48*100)</f>
        <v>8.2411743574969645</v>
      </c>
      <c r="T78" s="96">
        <f>IF(T44=0,0,T44/TrRoad_act!T48*100)</f>
        <v>8.1434617800279696</v>
      </c>
      <c r="U78" s="96">
        <f>IF(U44=0,0,U44/TrRoad_act!U48*100)</f>
        <v>8.0521498995209253</v>
      </c>
      <c r="V78" s="96">
        <f>IF(V44=0,0,V44/TrRoad_act!V48*100)</f>
        <v>7.583473183616225</v>
      </c>
      <c r="W78" s="96">
        <f>IF(W44=0,0,W44/TrRoad_act!W48*100)</f>
        <v>7.6399683210551226</v>
      </c>
      <c r="X78" s="96">
        <f>IF(X44=0,0,X44/TrRoad_act!X48*100)</f>
        <v>8.0703955273273653</v>
      </c>
      <c r="Y78" s="96">
        <f>IF(Y44=0,0,Y44/TrRoad_act!Y48*100)</f>
        <v>8.245213747673894</v>
      </c>
      <c r="DA78" s="171" t="s">
        <v>690</v>
      </c>
    </row>
    <row r="79" spans="1:105" ht="11.45" customHeight="1" x14ac:dyDescent="0.25">
      <c r="A79" s="111" t="s">
        <v>111</v>
      </c>
      <c r="B79" s="96">
        <f>IF(B46=0,0,B46/TrRoad_act!B49*100)</f>
        <v>11.276853749867529</v>
      </c>
      <c r="C79" s="96">
        <f>IF(C46=0,0,C46/TrRoad_act!C49*100)</f>
        <v>10.762867282976591</v>
      </c>
      <c r="D79" s="96">
        <f>IF(D46=0,0,D46/TrRoad_act!D49*100)</f>
        <v>10.580625051142919</v>
      </c>
      <c r="E79" s="96">
        <f>IF(E46=0,0,E46/TrRoad_act!E49*100)</f>
        <v>10.438602560284261</v>
      </c>
      <c r="F79" s="96">
        <f>IF(F46=0,0,F46/TrRoad_act!F49*100)</f>
        <v>10.509540295596342</v>
      </c>
      <c r="G79" s="96">
        <f>IF(G46=0,0,G46/TrRoad_act!G49*100)</f>
        <v>10.448442766613512</v>
      </c>
      <c r="H79" s="96">
        <f>IF(H46=0,0,H46/TrRoad_act!H49*100)</f>
        <v>10.489629315657025</v>
      </c>
      <c r="I79" s="96">
        <f>IF(I46=0,0,I46/TrRoad_act!I49*100)</f>
        <v>10.55772405627339</v>
      </c>
      <c r="J79" s="96">
        <f>IF(J46=0,0,J46/TrRoad_act!J49*100)</f>
        <v>10.278193776705788</v>
      </c>
      <c r="K79" s="96">
        <f>IF(K46=0,0,K46/TrRoad_act!K49*100)</f>
        <v>10.149893502113981</v>
      </c>
      <c r="L79" s="96">
        <f>IF(L46=0,0,L46/TrRoad_act!L49*100)</f>
        <v>10.003504499787132</v>
      </c>
      <c r="M79" s="96">
        <f>IF(M46=0,0,M46/TrRoad_act!M49*100)</f>
        <v>9.8827956681715392</v>
      </c>
      <c r="N79" s="96">
        <f>IF(N46=0,0,N46/TrRoad_act!N49*100)</f>
        <v>9.826338382096159</v>
      </c>
      <c r="O79" s="96">
        <f>IF(O46=0,0,O46/TrRoad_act!O49*100)</f>
        <v>9.7405141262838537</v>
      </c>
      <c r="P79" s="96">
        <f>IF(P46=0,0,P46/TrRoad_act!P49*100)</f>
        <v>9.7633645358688153</v>
      </c>
      <c r="Q79" s="96">
        <f>IF(Q46=0,0,Q46/TrRoad_act!Q49*100)</f>
        <v>9.9835720536938606</v>
      </c>
      <c r="R79" s="96">
        <f>IF(R46=0,0,R46/TrRoad_act!R49*100)</f>
        <v>9.849535238300918</v>
      </c>
      <c r="S79" s="96">
        <f>IF(S46=0,0,S46/TrRoad_act!S49*100)</f>
        <v>9.7095553641662136</v>
      </c>
      <c r="T79" s="96">
        <f>IF(T46=0,0,T46/TrRoad_act!T49*100)</f>
        <v>9.6213139508905581</v>
      </c>
      <c r="U79" s="96">
        <f>IF(U46=0,0,U46/TrRoad_act!U49*100)</f>
        <v>9.4763801787945532</v>
      </c>
      <c r="V79" s="96">
        <f>IF(V46=0,0,V46/TrRoad_act!V49*100)</f>
        <v>9.4135080343403406</v>
      </c>
      <c r="W79" s="96">
        <f>IF(W46=0,0,W46/TrRoad_act!W49*100)</f>
        <v>9.4720623420010774</v>
      </c>
      <c r="X79" s="96">
        <f>IF(X46=0,0,X46/TrRoad_act!X49*100)</f>
        <v>9.926357513066824</v>
      </c>
      <c r="Y79" s="96">
        <f>IF(Y46=0,0,Y46/TrRoad_act!Y49*100)</f>
        <v>9.8907652518023585</v>
      </c>
      <c r="DA79" s="171" t="s">
        <v>691</v>
      </c>
    </row>
    <row r="80" spans="1:105" ht="11.45" customHeight="1" x14ac:dyDescent="0.25">
      <c r="A80" s="111" t="s">
        <v>112</v>
      </c>
      <c r="B80" s="96">
        <f>IF(B48=0,0,B48/TrRoad_act!B50*100)</f>
        <v>0</v>
      </c>
      <c r="C80" s="96">
        <f>IF(C48=0,0,C48/TrRoad_act!C50*100)</f>
        <v>0</v>
      </c>
      <c r="D80" s="96">
        <f>IF(D48=0,0,D48/TrRoad_act!D50*100)</f>
        <v>0</v>
      </c>
      <c r="E80" s="96">
        <f>IF(E48=0,0,E48/TrRoad_act!E50*100)</f>
        <v>0</v>
      </c>
      <c r="F80" s="96">
        <f>IF(F48=0,0,F48/TrRoad_act!F50*100)</f>
        <v>0</v>
      </c>
      <c r="G80" s="96">
        <f>IF(G48=0,0,G48/TrRoad_act!G50*100)</f>
        <v>0</v>
      </c>
      <c r="H80" s="96">
        <f>IF(H48=0,0,H48/TrRoad_act!H50*100)</f>
        <v>0</v>
      </c>
      <c r="I80" s="96">
        <f>IF(I48=0,0,I48/TrRoad_act!I50*100)</f>
        <v>0</v>
      </c>
      <c r="J80" s="96">
        <f>IF(J48=0,0,J48/TrRoad_act!J50*100)</f>
        <v>0</v>
      </c>
      <c r="K80" s="96">
        <f>IF(K48=0,0,K48/TrRoad_act!K50*100)</f>
        <v>0</v>
      </c>
      <c r="L80" s="96">
        <f>IF(L48=0,0,L48/TrRoad_act!L50*100)</f>
        <v>0</v>
      </c>
      <c r="M80" s="96">
        <f>IF(M48=0,0,M48/TrRoad_act!M50*100)</f>
        <v>0</v>
      </c>
      <c r="N80" s="96">
        <f>IF(N48=0,0,N48/TrRoad_act!N50*100)</f>
        <v>0</v>
      </c>
      <c r="O80" s="96">
        <f>IF(O48=0,0,O48/TrRoad_act!O50*100)</f>
        <v>8.4290683634033261</v>
      </c>
      <c r="P80" s="96">
        <f>IF(P48=0,0,P48/TrRoad_act!P50*100)</f>
        <v>8.5019691552359831</v>
      </c>
      <c r="Q80" s="96">
        <f>IF(Q48=0,0,Q48/TrRoad_act!Q50*100)</f>
        <v>8.5019691552359866</v>
      </c>
      <c r="R80" s="96">
        <f>IF(R48=0,0,R48/TrRoad_act!R50*100)</f>
        <v>8.5019691552359831</v>
      </c>
      <c r="S80" s="96">
        <f>IF(S48=0,0,S48/TrRoad_act!S50*100)</f>
        <v>8.1275469621578988</v>
      </c>
      <c r="T80" s="96">
        <f>IF(T48=0,0,T48/TrRoad_act!T50*100)</f>
        <v>8.1275469621578988</v>
      </c>
      <c r="U80" s="96">
        <f>IF(U48=0,0,U48/TrRoad_act!U50*100)</f>
        <v>8.1275469621578988</v>
      </c>
      <c r="V80" s="96">
        <f>IF(V48=0,0,V48/TrRoad_act!V50*100)</f>
        <v>8.056323115806121</v>
      </c>
      <c r="W80" s="96">
        <f>IF(W48=0,0,W48/TrRoad_act!W50*100)</f>
        <v>8.056323115806121</v>
      </c>
      <c r="X80" s="96">
        <f>IF(X48=0,0,X48/TrRoad_act!X50*100)</f>
        <v>8.056323115806121</v>
      </c>
      <c r="Y80" s="96">
        <f>IF(Y48=0,0,Y48/TrRoad_act!Y50*100)</f>
        <v>8.056323115806121</v>
      </c>
      <c r="DA80" s="171" t="s">
        <v>692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0</v>
      </c>
      <c r="I81" s="96">
        <f>IF(I49=0,0,I49/TrRoad_act!I51*100)</f>
        <v>0</v>
      </c>
      <c r="J81" s="96">
        <f>IF(J49=0,0,J49/TrRoad_act!J51*100)</f>
        <v>0</v>
      </c>
      <c r="K81" s="96">
        <f>IF(K49=0,0,K49/TrRoad_act!K51*100)</f>
        <v>0</v>
      </c>
      <c r="L81" s="96">
        <f>IF(L49=0,0,L49/TrRoad_act!L51*100)</f>
        <v>0</v>
      </c>
      <c r="M81" s="96">
        <f>IF(M49=0,0,M49/TrRoad_act!M51*100)</f>
        <v>0</v>
      </c>
      <c r="N81" s="96">
        <f>IF(N49=0,0,N49/TrRoad_act!N51*100)</f>
        <v>0</v>
      </c>
      <c r="O81" s="96">
        <f>IF(O49=0,0,O49/TrRoad_act!O51*100)</f>
        <v>0</v>
      </c>
      <c r="P81" s="96">
        <f>IF(P49=0,0,P49/TrRoad_act!P51*100)</f>
        <v>0</v>
      </c>
      <c r="Q81" s="96">
        <f>IF(Q49=0,0,Q49/TrRoad_act!Q51*100)</f>
        <v>0</v>
      </c>
      <c r="R81" s="96">
        <f>IF(R49=0,0,R49/TrRoad_act!R51*100)</f>
        <v>8.1596592383381719</v>
      </c>
      <c r="S81" s="96">
        <f>IF(S49=0,0,S49/TrRoad_act!S51*100)</f>
        <v>8.1596592383381736</v>
      </c>
      <c r="T81" s="96">
        <f>IF(T49=0,0,T49/TrRoad_act!T51*100)</f>
        <v>8.1596592383381719</v>
      </c>
      <c r="U81" s="96">
        <f>IF(U49=0,0,U49/TrRoad_act!U51*100)</f>
        <v>9.659025739703889</v>
      </c>
      <c r="V81" s="96">
        <f>IF(V49=0,0,V49/TrRoad_act!V51*100)</f>
        <v>15.786299976837096</v>
      </c>
      <c r="W81" s="96">
        <f>IF(W49=0,0,W49/TrRoad_act!W51*100)</f>
        <v>33.982372811642442</v>
      </c>
      <c r="X81" s="96">
        <f>IF(X49=0,0,X49/TrRoad_act!X51*100)</f>
        <v>19.749722810935122</v>
      </c>
      <c r="Y81" s="96">
        <f>IF(Y49=0,0,Y49/TrRoad_act!Y51*100)</f>
        <v>20.7930009380628</v>
      </c>
      <c r="DA81" s="171" t="s">
        <v>693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0</v>
      </c>
      <c r="I82" s="96">
        <f>IF(I51=0,0,I51/TrRoad_act!I52*100)</f>
        <v>0</v>
      </c>
      <c r="J82" s="96">
        <f>IF(J51=0,0,J51/TrRoad_act!J52*100)</f>
        <v>0</v>
      </c>
      <c r="K82" s="96">
        <f>IF(K51=0,0,K51/TrRoad_act!K52*100)</f>
        <v>0</v>
      </c>
      <c r="L82" s="96">
        <f>IF(L51=0,0,L51/TrRoad_act!L52*100)</f>
        <v>0</v>
      </c>
      <c r="M82" s="96">
        <f>IF(M51=0,0,M51/TrRoad_act!M52*100)</f>
        <v>1.6388013120689202</v>
      </c>
      <c r="N82" s="96">
        <f>IF(N51=0,0,N51/TrRoad_act!N52*100)</f>
        <v>1.6438387049244834</v>
      </c>
      <c r="O82" s="96">
        <f>IF(O51=0,0,O51/TrRoad_act!O52*100)</f>
        <v>1.6442732646588563</v>
      </c>
      <c r="P82" s="96">
        <f>IF(P51=0,0,P51/TrRoad_act!P52*100)</f>
        <v>1.6500146367965831</v>
      </c>
      <c r="Q82" s="96">
        <f>IF(Q51=0,0,Q51/TrRoad_act!Q52*100)</f>
        <v>1.6923606397622981</v>
      </c>
      <c r="R82" s="96">
        <f>IF(R51=0,0,R51/TrRoad_act!R52*100)</f>
        <v>1.7042089447062165</v>
      </c>
      <c r="S82" s="96">
        <f>IF(S51=0,0,S51/TrRoad_act!S52*100)</f>
        <v>1.734411265287704</v>
      </c>
      <c r="T82" s="96">
        <f>IF(T51=0,0,T51/TrRoad_act!T52*100)</f>
        <v>1.9265252151977437</v>
      </c>
      <c r="U82" s="96">
        <f>IF(U51=0,0,U51/TrRoad_act!U52*100)</f>
        <v>2.8284546804749908</v>
      </c>
      <c r="V82" s="96">
        <f>IF(V51=0,0,V51/TrRoad_act!V52*100)</f>
        <v>2.3734018932381815</v>
      </c>
      <c r="W82" s="96">
        <f>IF(W51=0,0,W51/TrRoad_act!W52*100)</f>
        <v>2.5794538024285845</v>
      </c>
      <c r="X82" s="96">
        <f>IF(X51=0,0,X51/TrRoad_act!X52*100)</f>
        <v>2.7405548269611786</v>
      </c>
      <c r="Y82" s="96">
        <f>IF(Y51=0,0,Y51/TrRoad_act!Y52*100)</f>
        <v>2.85126539946598</v>
      </c>
      <c r="DA82" s="171" t="s">
        <v>694</v>
      </c>
    </row>
    <row r="83" spans="1:105" ht="11.45" customHeight="1" x14ac:dyDescent="0.25">
      <c r="A83" s="109" t="s">
        <v>154</v>
      </c>
      <c r="B83" s="130">
        <f>IF(B52=0,0,B52/TrRoad_act!B53*100)</f>
        <v>45.441541814792942</v>
      </c>
      <c r="C83" s="130">
        <f>IF(C52=0,0,C52/TrRoad_act!C53*100)</f>
        <v>47.505085804718014</v>
      </c>
      <c r="D83" s="130">
        <f>IF(D52=0,0,D52/TrRoad_act!D53*100)</f>
        <v>43.101935962759796</v>
      </c>
      <c r="E83" s="130">
        <f>IF(E52=0,0,E52/TrRoad_act!E53*100)</f>
        <v>41.696264141867154</v>
      </c>
      <c r="F83" s="130">
        <f>IF(F52=0,0,F52/TrRoad_act!F53*100)</f>
        <v>41.68278981867212</v>
      </c>
      <c r="G83" s="130">
        <f>IF(G52=0,0,G52/TrRoad_act!G53*100)</f>
        <v>39.746857604426353</v>
      </c>
      <c r="H83" s="130">
        <f>IF(H52=0,0,H52/TrRoad_act!H53*100)</f>
        <v>41.226692987811582</v>
      </c>
      <c r="I83" s="130">
        <f>IF(I52=0,0,I52/TrRoad_act!I53*100)</f>
        <v>42.671998766201149</v>
      </c>
      <c r="J83" s="130">
        <f>IF(J52=0,0,J52/TrRoad_act!J53*100)</f>
        <v>38.817672854060376</v>
      </c>
      <c r="K83" s="130">
        <f>IF(K52=0,0,K52/TrRoad_act!K53*100)</f>
        <v>39.712895740716249</v>
      </c>
      <c r="L83" s="130">
        <f>IF(L52=0,0,L52/TrRoad_act!L53*100)</f>
        <v>35.434350459568869</v>
      </c>
      <c r="M83" s="130">
        <f>IF(M52=0,0,M52/TrRoad_act!M53*100)</f>
        <v>33.921363121731872</v>
      </c>
      <c r="N83" s="130">
        <f>IF(N52=0,0,N52/TrRoad_act!N53*100)</f>
        <v>34.140957601766125</v>
      </c>
      <c r="O83" s="130">
        <f>IF(O52=0,0,O52/TrRoad_act!O53*100)</f>
        <v>34.714865515566686</v>
      </c>
      <c r="P83" s="130">
        <f>IF(P52=0,0,P52/TrRoad_act!P53*100)</f>
        <v>36.799224414936546</v>
      </c>
      <c r="Q83" s="130">
        <f>IF(Q52=0,0,Q52/TrRoad_act!Q53*100)</f>
        <v>37.160996557682644</v>
      </c>
      <c r="R83" s="130">
        <f>IF(R52=0,0,R52/TrRoad_act!R53*100)</f>
        <v>36.452407707645271</v>
      </c>
      <c r="S83" s="130">
        <f>IF(S52=0,0,S52/TrRoad_act!S53*100)</f>
        <v>35.222578739158386</v>
      </c>
      <c r="T83" s="130">
        <f>IF(T52=0,0,T52/TrRoad_act!T53*100)</f>
        <v>36.084401769444533</v>
      </c>
      <c r="U83" s="130">
        <f>IF(U52=0,0,U52/TrRoad_act!U53*100)</f>
        <v>36.086811699693591</v>
      </c>
      <c r="V83" s="130">
        <f>IF(V52=0,0,V52/TrRoad_act!V53*100)</f>
        <v>34.364809126763127</v>
      </c>
      <c r="W83" s="130">
        <f>IF(W52=0,0,W52/TrRoad_act!W53*100)</f>
        <v>35.264897105093226</v>
      </c>
      <c r="X83" s="130">
        <f>IF(X52=0,0,X52/TrRoad_act!X53*100)</f>
        <v>35.395527238940019</v>
      </c>
      <c r="Y83" s="130">
        <f>IF(Y52=0,0,Y52/TrRoad_act!Y53*100)</f>
        <v>36.209057852393869</v>
      </c>
      <c r="DA83" s="176" t="s">
        <v>695</v>
      </c>
    </row>
    <row r="84" spans="1:105" ht="11.45" customHeight="1" x14ac:dyDescent="0.25">
      <c r="A84" s="128" t="s">
        <v>27</v>
      </c>
      <c r="B84" s="97">
        <f>IF(B53=0,0,B53/TrRoad_act!B54*100)</f>
        <v>44.459087999353301</v>
      </c>
      <c r="C84" s="97">
        <f>IF(C53=0,0,C53/TrRoad_act!C54*100)</f>
        <v>46.435184051876035</v>
      </c>
      <c r="D84" s="97">
        <f>IF(D53=0,0,D53/TrRoad_act!D54*100)</f>
        <v>42.228277615175195</v>
      </c>
      <c r="E84" s="97">
        <f>IF(E53=0,0,E53/TrRoad_act!E54*100)</f>
        <v>40.886171519264401</v>
      </c>
      <c r="F84" s="97">
        <f>IF(F53=0,0,F53/TrRoad_act!F54*100)</f>
        <v>40.848960844655359</v>
      </c>
      <c r="G84" s="97">
        <f>IF(G53=0,0,G53/TrRoad_act!G54*100)</f>
        <v>39.002046551216971</v>
      </c>
      <c r="H84" s="97">
        <f>IF(H53=0,0,H53/TrRoad_act!H54*100)</f>
        <v>40.429256020584262</v>
      </c>
      <c r="I84" s="97">
        <f>IF(I53=0,0,I53/TrRoad_act!I54*100)</f>
        <v>41.828839214467806</v>
      </c>
      <c r="J84" s="97">
        <f>IF(J53=0,0,J53/TrRoad_act!J54*100)</f>
        <v>38.087366535228426</v>
      </c>
      <c r="K84" s="97">
        <f>IF(K53=0,0,K53/TrRoad_act!K54*100)</f>
        <v>38.817749182518732</v>
      </c>
      <c r="L84" s="97">
        <f>IF(L53=0,0,L53/TrRoad_act!L54*100)</f>
        <v>34.627863814941442</v>
      </c>
      <c r="M84" s="97">
        <f>IF(M53=0,0,M53/TrRoad_act!M54*100)</f>
        <v>33.07020662701823</v>
      </c>
      <c r="N84" s="97">
        <f>IF(N53=0,0,N53/TrRoad_act!N54*100)</f>
        <v>33.357304910557396</v>
      </c>
      <c r="O84" s="97">
        <f>IF(O53=0,0,O53/TrRoad_act!O54*100)</f>
        <v>33.944426480895814</v>
      </c>
      <c r="P84" s="97">
        <f>IF(P53=0,0,P53/TrRoad_act!P54*100)</f>
        <v>35.994972900887056</v>
      </c>
      <c r="Q84" s="97">
        <f>IF(Q53=0,0,Q53/TrRoad_act!Q54*100)</f>
        <v>36.263464991144517</v>
      </c>
      <c r="R84" s="97">
        <f>IF(R53=0,0,R53/TrRoad_act!R54*100)</f>
        <v>35.721176776596941</v>
      </c>
      <c r="S84" s="97">
        <f>IF(S53=0,0,S53/TrRoad_act!S54*100)</f>
        <v>34.539008857931194</v>
      </c>
      <c r="T84" s="97">
        <f>IF(T53=0,0,T53/TrRoad_act!T54*100)</f>
        <v>35.332535515486732</v>
      </c>
      <c r="U84" s="97">
        <f>IF(U53=0,0,U53/TrRoad_act!U54*100)</f>
        <v>35.288970856879956</v>
      </c>
      <c r="V84" s="97">
        <f>IF(V53=0,0,V53/TrRoad_act!V54*100)</f>
        <v>34.00969036119367</v>
      </c>
      <c r="W84" s="97">
        <f>IF(W53=0,0,W53/TrRoad_act!W54*100)</f>
        <v>34.916338854759744</v>
      </c>
      <c r="X84" s="97">
        <f>IF(X53=0,0,X53/TrRoad_act!X54*100)</f>
        <v>35.066225393655394</v>
      </c>
      <c r="Y84" s="97">
        <f>IF(Y53=0,0,Y53/TrRoad_act!Y54*100)</f>
        <v>35.851455243270351</v>
      </c>
      <c r="DA84" s="175" t="s">
        <v>696</v>
      </c>
    </row>
    <row r="85" spans="1:105" ht="11.45" customHeight="1" x14ac:dyDescent="0.25">
      <c r="A85" s="138" t="s">
        <v>116</v>
      </c>
      <c r="B85" s="98">
        <f>IF(B55=0,0,B55/TrRoad_act!B55*100)</f>
        <v>67.265030799908459</v>
      </c>
      <c r="C85" s="98">
        <f>IF(C55=0,0,C55/TrRoad_act!C55*100)</f>
        <v>70.119353858006335</v>
      </c>
      <c r="D85" s="98">
        <f>IF(D55=0,0,D55/TrRoad_act!D55*100)</f>
        <v>63.167100041028711</v>
      </c>
      <c r="E85" s="98">
        <f>IF(E55=0,0,E55/TrRoad_act!E55*100)</f>
        <v>60.909515757973701</v>
      </c>
      <c r="F85" s="98">
        <f>IF(F55=0,0,F55/TrRoad_act!F55*100)</f>
        <v>59.996564550431152</v>
      </c>
      <c r="G85" s="98">
        <f>IF(G55=0,0,G55/TrRoad_act!G55*100)</f>
        <v>56.971277609439262</v>
      </c>
      <c r="H85" s="98">
        <f>IF(H55=0,0,H55/TrRoad_act!H55*100)</f>
        <v>59.100336396070276</v>
      </c>
      <c r="I85" s="98">
        <f>IF(I55=0,0,I55/TrRoad_act!I55*100)</f>
        <v>61.038020163267561</v>
      </c>
      <c r="J85" s="98">
        <f>IF(J55=0,0,J55/TrRoad_act!J55*100)</f>
        <v>55.461836792902893</v>
      </c>
      <c r="K85" s="98">
        <f>IF(K55=0,0,K55/TrRoad_act!K55*100)</f>
        <v>56.168995621554409</v>
      </c>
      <c r="L85" s="98">
        <f>IF(L55=0,0,L55/TrRoad_act!L55*100)</f>
        <v>49.293422651912735</v>
      </c>
      <c r="M85" s="98">
        <f>IF(M55=0,0,M55/TrRoad_act!M55*100)</f>
        <v>46.547507754436893</v>
      </c>
      <c r="N85" s="98">
        <f>IF(N55=0,0,N55/TrRoad_act!N55*100)</f>
        <v>46.86090381970083</v>
      </c>
      <c r="O85" s="98">
        <f>IF(O55=0,0,O55/TrRoad_act!O55*100)</f>
        <v>47.624619991146979</v>
      </c>
      <c r="P85" s="98">
        <f>IF(P55=0,0,P55/TrRoad_act!P55*100)</f>
        <v>50.90434971032353</v>
      </c>
      <c r="Q85" s="98">
        <f>IF(Q55=0,0,Q55/TrRoad_act!Q55*100)</f>
        <v>51.107725327310881</v>
      </c>
      <c r="R85" s="98">
        <f>IF(R55=0,0,R55/TrRoad_act!R55*100)</f>
        <v>50.864885993172869</v>
      </c>
      <c r="S85" s="98">
        <f>IF(S55=0,0,S55/TrRoad_act!S55*100)</f>
        <v>49.222146513043882</v>
      </c>
      <c r="T85" s="98">
        <f>IF(T55=0,0,T55/TrRoad_act!T55*100)</f>
        <v>50.333092317172145</v>
      </c>
      <c r="U85" s="98">
        <f>IF(U55=0,0,U55/TrRoad_act!U55*100)</f>
        <v>50.097079836446113</v>
      </c>
      <c r="V85" s="98">
        <f>IF(V55=0,0,V55/TrRoad_act!V55*100)</f>
        <v>49.47709899790236</v>
      </c>
      <c r="W85" s="98">
        <f>IF(W55=0,0,W55/TrRoad_act!W55*100)</f>
        <v>51.372346558792657</v>
      </c>
      <c r="X85" s="98">
        <f>IF(X55=0,0,X55/TrRoad_act!X55*100)</f>
        <v>51.971865537097941</v>
      </c>
      <c r="Y85" s="98">
        <f>IF(Y55=0,0,Y55/TrRoad_act!Y55*100)</f>
        <v>53.212623522560918</v>
      </c>
      <c r="DA85" s="178" t="s">
        <v>697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DA87" s="172"/>
    </row>
    <row r="88" spans="1:105" ht="11.45" customHeight="1" x14ac:dyDescent="0.25">
      <c r="A88" s="27" t="s">
        <v>155</v>
      </c>
      <c r="B88" s="29">
        <f>IF(TrRoad_act!B4=0,0,B18/TrRoad_act!B4*1000)</f>
        <v>50.295983110941172</v>
      </c>
      <c r="C88" s="29">
        <f>IF(TrRoad_act!C4=0,0,C18/TrRoad_act!C4*1000)</f>
        <v>49.620075556075278</v>
      </c>
      <c r="D88" s="29">
        <f>IF(TrRoad_act!D4=0,0,D18/TrRoad_act!D4*1000)</f>
        <v>48.536677589800497</v>
      </c>
      <c r="E88" s="29">
        <f>IF(TrRoad_act!E4=0,0,E18/TrRoad_act!E4*1000)</f>
        <v>46.342298907779302</v>
      </c>
      <c r="F88" s="29">
        <f>IF(TrRoad_act!F4=0,0,F18/TrRoad_act!F4*1000)</f>
        <v>45.347192604495028</v>
      </c>
      <c r="G88" s="29">
        <f>IF(TrRoad_act!G4=0,0,G18/TrRoad_act!G4*1000)</f>
        <v>46.823244374702291</v>
      </c>
      <c r="H88" s="29">
        <f>IF(TrRoad_act!H4=0,0,H18/TrRoad_act!H4*1000)</f>
        <v>50.444324264482141</v>
      </c>
      <c r="I88" s="29">
        <f>IF(TrRoad_act!I4=0,0,I18/TrRoad_act!I4*1000)</f>
        <v>48.626947080967206</v>
      </c>
      <c r="J88" s="29">
        <f>IF(TrRoad_act!J4=0,0,J18/TrRoad_act!J4*1000)</f>
        <v>47.269563582709004</v>
      </c>
      <c r="K88" s="29">
        <f>IF(TrRoad_act!K4=0,0,K18/TrRoad_act!K4*1000)</f>
        <v>46.105162091634107</v>
      </c>
      <c r="L88" s="29">
        <f>IF(TrRoad_act!L4=0,0,L18/TrRoad_act!L4*1000)</f>
        <v>45.255511237680423</v>
      </c>
      <c r="M88" s="29">
        <f>IF(TrRoad_act!M4=0,0,M18/TrRoad_act!M4*1000)</f>
        <v>44.086617199080187</v>
      </c>
      <c r="N88" s="29">
        <f>IF(TrRoad_act!N4=0,0,N18/TrRoad_act!N4*1000)</f>
        <v>44.212496921490988</v>
      </c>
      <c r="O88" s="29">
        <f>IF(TrRoad_act!O4=0,0,O18/TrRoad_act!O4*1000)</f>
        <v>43.994380741581203</v>
      </c>
      <c r="P88" s="29">
        <f>IF(TrRoad_act!P4=0,0,P18/TrRoad_act!P4*1000)</f>
        <v>46.409647521914081</v>
      </c>
      <c r="Q88" s="29">
        <f>IF(TrRoad_act!Q4=0,0,Q18/TrRoad_act!Q4*1000)</f>
        <v>43.836537680347462</v>
      </c>
      <c r="R88" s="29">
        <f>IF(TrRoad_act!R4=0,0,R18/TrRoad_act!R4*1000)</f>
        <v>43.424384672887626</v>
      </c>
      <c r="S88" s="29">
        <f>IF(TrRoad_act!S4=0,0,S18/TrRoad_act!S4*1000)</f>
        <v>41.716291046838613</v>
      </c>
      <c r="T88" s="29">
        <f>IF(TrRoad_act!T4=0,0,T18/TrRoad_act!T4*1000)</f>
        <v>40.932998185821575</v>
      </c>
      <c r="U88" s="29">
        <f>IF(TrRoad_act!U4=0,0,U18/TrRoad_act!U4*1000)</f>
        <v>39.814901277644616</v>
      </c>
      <c r="V88" s="29">
        <f>IF(TrRoad_act!V4=0,0,V18/TrRoad_act!V4*1000)</f>
        <v>38.995935516329503</v>
      </c>
      <c r="W88" s="29">
        <f>IF(TrRoad_act!W4=0,0,W18/TrRoad_act!W4*1000)</f>
        <v>38.459363124118582</v>
      </c>
      <c r="X88" s="29">
        <f>IF(TrRoad_act!X4=0,0,X18/TrRoad_act!X4*1000)</f>
        <v>38.372861253989981</v>
      </c>
      <c r="Y88" s="29">
        <f>IF(TrRoad_act!Y4=0,0,Y18/TrRoad_act!Y4*1000)</f>
        <v>36.719133070166855</v>
      </c>
      <c r="DA88" s="173" t="s">
        <v>416</v>
      </c>
    </row>
    <row r="89" spans="1:105" ht="11.45" customHeight="1" x14ac:dyDescent="0.25">
      <c r="A89" s="136" t="s">
        <v>173</v>
      </c>
      <c r="B89" s="152">
        <f>IF(TrRoad_act!B5=0,0,B19/TrRoad_act!B5*1000)</f>
        <v>36.644181945187434</v>
      </c>
      <c r="C89" s="152">
        <f>IF(TrRoad_act!C5=0,0,C19/TrRoad_act!C5*1000)</f>
        <v>36.115858427844081</v>
      </c>
      <c r="D89" s="152">
        <f>IF(TrRoad_act!D5=0,0,D19/TrRoad_act!D5*1000)</f>
        <v>35.426572966967171</v>
      </c>
      <c r="E89" s="152">
        <f>IF(TrRoad_act!E5=0,0,E19/TrRoad_act!E5*1000)</f>
        <v>35.21574369804523</v>
      </c>
      <c r="F89" s="152">
        <f>IF(TrRoad_act!F5=0,0,F19/TrRoad_act!F5*1000)</f>
        <v>34.957623086750729</v>
      </c>
      <c r="G89" s="152">
        <f>IF(TrRoad_act!G5=0,0,G19/TrRoad_act!G5*1000)</f>
        <v>34.744780343490191</v>
      </c>
      <c r="H89" s="152">
        <f>IF(TrRoad_act!H5=0,0,H19/TrRoad_act!H5*1000)</f>
        <v>34.516001343403481</v>
      </c>
      <c r="I89" s="152">
        <f>IF(TrRoad_act!I5=0,0,I19/TrRoad_act!I5*1000)</f>
        <v>34.443717393212275</v>
      </c>
      <c r="J89" s="152">
        <f>IF(TrRoad_act!J5=0,0,J19/TrRoad_act!J5*1000)</f>
        <v>34.394649471765938</v>
      </c>
      <c r="K89" s="152">
        <f>IF(TrRoad_act!K5=0,0,K19/TrRoad_act!K5*1000)</f>
        <v>34.228849931245549</v>
      </c>
      <c r="L89" s="152">
        <f>IF(TrRoad_act!L5=0,0,L19/TrRoad_act!L5*1000)</f>
        <v>34.01661058520402</v>
      </c>
      <c r="M89" s="152">
        <f>IF(TrRoad_act!M5=0,0,M19/TrRoad_act!M5*1000)</f>
        <v>33.774862787908489</v>
      </c>
      <c r="N89" s="152">
        <f>IF(TrRoad_act!N5=0,0,N19/TrRoad_act!N5*1000)</f>
        <v>33.732618812406457</v>
      </c>
      <c r="O89" s="152">
        <f>IF(TrRoad_act!O5=0,0,O19/TrRoad_act!O5*1000)</f>
        <v>33.414508889984432</v>
      </c>
      <c r="P89" s="152">
        <f>IF(TrRoad_act!P5=0,0,P19/TrRoad_act!P5*1000)</f>
        <v>33.184807396629587</v>
      </c>
      <c r="Q89" s="152">
        <f>IF(TrRoad_act!Q5=0,0,Q19/TrRoad_act!Q5*1000)</f>
        <v>32.922390809075402</v>
      </c>
      <c r="R89" s="152">
        <f>IF(TrRoad_act!R5=0,0,R19/TrRoad_act!R5*1000)</f>
        <v>32.527352737980578</v>
      </c>
      <c r="S89" s="152">
        <f>IF(TrRoad_act!S5=0,0,S19/TrRoad_act!S5*1000)</f>
        <v>32.240117895506543</v>
      </c>
      <c r="T89" s="152">
        <f>IF(TrRoad_act!T5=0,0,T19/TrRoad_act!T5*1000)</f>
        <v>32.046304654244658</v>
      </c>
      <c r="U89" s="152">
        <f>IF(TrRoad_act!U5=0,0,U19/TrRoad_act!U5*1000)</f>
        <v>31.678459309345882</v>
      </c>
      <c r="V89" s="152">
        <f>IF(TrRoad_act!V5=0,0,V19/TrRoad_act!V5*1000)</f>
        <v>31.528251534803452</v>
      </c>
      <c r="W89" s="152">
        <f>IF(TrRoad_act!W5=0,0,W19/TrRoad_act!W5*1000)</f>
        <v>31.371636315654676</v>
      </c>
      <c r="X89" s="152">
        <f>IF(TrRoad_act!X5=0,0,X19/TrRoad_act!X5*1000)</f>
        <v>31.088182080116219</v>
      </c>
      <c r="Y89" s="152">
        <f>IF(TrRoad_act!Y5=0,0,Y19/TrRoad_act!Y5*1000)</f>
        <v>30.863871004609198</v>
      </c>
      <c r="DA89" s="174" t="s">
        <v>417</v>
      </c>
    </row>
    <row r="90" spans="1:105" ht="11.45" customHeight="1" x14ac:dyDescent="0.25">
      <c r="A90" s="109" t="s">
        <v>20</v>
      </c>
      <c r="B90" s="116">
        <f>IF(TrRoad_act!B6=0,0,B21/TrRoad_act!B6*1000)</f>
        <v>56.72854094765345</v>
      </c>
      <c r="C90" s="116">
        <f>IF(TrRoad_act!C6=0,0,C21/TrRoad_act!C6*1000)</f>
        <v>56.092200362451997</v>
      </c>
      <c r="D90" s="116">
        <f>IF(TrRoad_act!D6=0,0,D21/TrRoad_act!D6*1000)</f>
        <v>54.523338829957446</v>
      </c>
      <c r="E90" s="116">
        <f>IF(TrRoad_act!E6=0,0,E21/TrRoad_act!E6*1000)</f>
        <v>51.778099881553239</v>
      </c>
      <c r="F90" s="116">
        <f>IF(TrRoad_act!F6=0,0,F21/TrRoad_act!F6*1000)</f>
        <v>50.515828602245961</v>
      </c>
      <c r="G90" s="116">
        <f>IF(TrRoad_act!G6=0,0,G21/TrRoad_act!G6*1000)</f>
        <v>52.011959732042037</v>
      </c>
      <c r="H90" s="116">
        <f>IF(TrRoad_act!H6=0,0,H21/TrRoad_act!H6*1000)</f>
        <v>56.000277413193082</v>
      </c>
      <c r="I90" s="116">
        <f>IF(TrRoad_act!I6=0,0,I21/TrRoad_act!I6*1000)</f>
        <v>53.712126796083126</v>
      </c>
      <c r="J90" s="116">
        <f>IF(TrRoad_act!J6=0,0,J21/TrRoad_act!J6*1000)</f>
        <v>52.058343985049675</v>
      </c>
      <c r="K90" s="116">
        <f>IF(TrRoad_act!K6=0,0,K21/TrRoad_act!K6*1000)</f>
        <v>51.080748415530856</v>
      </c>
      <c r="L90" s="116">
        <f>IF(TrRoad_act!L6=0,0,L21/TrRoad_act!L6*1000)</f>
        <v>49.771624597737457</v>
      </c>
      <c r="M90" s="116">
        <f>IF(TrRoad_act!M6=0,0,M21/TrRoad_act!M6*1000)</f>
        <v>48.464743771904438</v>
      </c>
      <c r="N90" s="116">
        <f>IF(TrRoad_act!N6=0,0,N21/TrRoad_act!N6*1000)</f>
        <v>48.488735327039798</v>
      </c>
      <c r="O90" s="116">
        <f>IF(TrRoad_act!O6=0,0,O21/TrRoad_act!O6*1000)</f>
        <v>48.122261718325774</v>
      </c>
      <c r="P90" s="116">
        <f>IF(TrRoad_act!P6=0,0,P21/TrRoad_act!P6*1000)</f>
        <v>51.23404582694269</v>
      </c>
      <c r="Q90" s="116">
        <f>IF(TrRoad_act!Q6=0,0,Q21/TrRoad_act!Q6*1000)</f>
        <v>47.784761605700574</v>
      </c>
      <c r="R90" s="116">
        <f>IF(TrRoad_act!R6=0,0,R21/TrRoad_act!R6*1000)</f>
        <v>47.275715049497059</v>
      </c>
      <c r="S90" s="116">
        <f>IF(TrRoad_act!S6=0,0,S21/TrRoad_act!S6*1000)</f>
        <v>45.491833838047746</v>
      </c>
      <c r="T90" s="116">
        <f>IF(TrRoad_act!T6=0,0,T21/TrRoad_act!T6*1000)</f>
        <v>44.774809707299042</v>
      </c>
      <c r="U90" s="116">
        <f>IF(TrRoad_act!U6=0,0,U21/TrRoad_act!U6*1000)</f>
        <v>43.420873386870802</v>
      </c>
      <c r="V90" s="116">
        <f>IF(TrRoad_act!V6=0,0,V21/TrRoad_act!V6*1000)</f>
        <v>41.173557324650929</v>
      </c>
      <c r="W90" s="116">
        <f>IF(TrRoad_act!W6=0,0,W21/TrRoad_act!W6*1000)</f>
        <v>40.998605067393115</v>
      </c>
      <c r="X90" s="116">
        <f>IF(TrRoad_act!X6=0,0,X21/TrRoad_act!X6*1000)</f>
        <v>42.005424287614638</v>
      </c>
      <c r="Y90" s="116">
        <f>IF(TrRoad_act!Y6=0,0,Y21/TrRoad_act!Y6*1000)</f>
        <v>40.320228098749311</v>
      </c>
      <c r="DA90" s="176" t="s">
        <v>418</v>
      </c>
    </row>
    <row r="91" spans="1:105" ht="11.45" customHeight="1" x14ac:dyDescent="0.25">
      <c r="A91" s="111" t="s">
        <v>110</v>
      </c>
      <c r="B91" s="87">
        <f>IF(TrRoad_act!B7=0,0,B22/TrRoad_act!B7*1000)</f>
        <v>53.364431731844256</v>
      </c>
      <c r="C91" s="87">
        <f>IF(TrRoad_act!C7=0,0,C22/TrRoad_act!C7*1000)</f>
        <v>52.530987358516093</v>
      </c>
      <c r="D91" s="87">
        <f>IF(TrRoad_act!D7=0,0,D22/TrRoad_act!D7*1000)</f>
        <v>51.975769320764996</v>
      </c>
      <c r="E91" s="87">
        <f>IF(TrRoad_act!E7=0,0,E22/TrRoad_act!E7*1000)</f>
        <v>49.375501329939944</v>
      </c>
      <c r="F91" s="87">
        <f>IF(TrRoad_act!F7=0,0,F22/TrRoad_act!F7*1000)</f>
        <v>48.185974698606131</v>
      </c>
      <c r="G91" s="87">
        <f>IF(TrRoad_act!G7=0,0,G22/TrRoad_act!G7*1000)</f>
        <v>50.119288257186014</v>
      </c>
      <c r="H91" s="87">
        <f>IF(TrRoad_act!H7=0,0,H22/TrRoad_act!H7*1000)</f>
        <v>53.322800763997563</v>
      </c>
      <c r="I91" s="87">
        <f>IF(TrRoad_act!I7=0,0,I22/TrRoad_act!I7*1000)</f>
        <v>50.360464910199248</v>
      </c>
      <c r="J91" s="87">
        <f>IF(TrRoad_act!J7=0,0,J22/TrRoad_act!J7*1000)</f>
        <v>48.682653703143245</v>
      </c>
      <c r="K91" s="87">
        <f>IF(TrRoad_act!K7=0,0,K22/TrRoad_act!K7*1000)</f>
        <v>46.576605489973943</v>
      </c>
      <c r="L91" s="87">
        <f>IF(TrRoad_act!L7=0,0,L22/TrRoad_act!L7*1000)</f>
        <v>46.923460948898075</v>
      </c>
      <c r="M91" s="87">
        <f>IF(TrRoad_act!M7=0,0,M22/TrRoad_act!M7*1000)</f>
        <v>46.064765768111151</v>
      </c>
      <c r="N91" s="87">
        <f>IF(TrRoad_act!N7=0,0,N22/TrRoad_act!N7*1000)</f>
        <v>46.482447893611557</v>
      </c>
      <c r="O91" s="87">
        <f>IF(TrRoad_act!O7=0,0,O22/TrRoad_act!O7*1000)</f>
        <v>45.082486182769294</v>
      </c>
      <c r="P91" s="87">
        <f>IF(TrRoad_act!P7=0,0,P22/TrRoad_act!P7*1000)</f>
        <v>48.136967635331558</v>
      </c>
      <c r="Q91" s="87">
        <f>IF(TrRoad_act!Q7=0,0,Q22/TrRoad_act!Q7*1000)</f>
        <v>42.252261181207473</v>
      </c>
      <c r="R91" s="87">
        <f>IF(TrRoad_act!R7=0,0,R22/TrRoad_act!R7*1000)</f>
        <v>43.476359551212262</v>
      </c>
      <c r="S91" s="87">
        <f>IF(TrRoad_act!S7=0,0,S22/TrRoad_act!S7*1000)</f>
        <v>41.463627907585888</v>
      </c>
      <c r="T91" s="87">
        <f>IF(TrRoad_act!T7=0,0,T22/TrRoad_act!T7*1000)</f>
        <v>39.697875967942501</v>
      </c>
      <c r="U91" s="87">
        <f>IF(TrRoad_act!U7=0,0,U22/TrRoad_act!U7*1000)</f>
        <v>38.113582311051154</v>
      </c>
      <c r="V91" s="87">
        <f>IF(TrRoad_act!V7=0,0,V22/TrRoad_act!V7*1000)</f>
        <v>35.435859322558166</v>
      </c>
      <c r="W91" s="87">
        <f>IF(TrRoad_act!W7=0,0,W22/TrRoad_act!W7*1000)</f>
        <v>35.819129481134894</v>
      </c>
      <c r="X91" s="87">
        <f>IF(TrRoad_act!X7=0,0,X22/TrRoad_act!X7*1000)</f>
        <v>37.158532097063073</v>
      </c>
      <c r="Y91" s="87">
        <f>IF(TrRoad_act!Y7=0,0,Y22/TrRoad_act!Y7*1000)</f>
        <v>35.983266332645059</v>
      </c>
      <c r="DA91" s="171" t="s">
        <v>698</v>
      </c>
    </row>
    <row r="92" spans="1:105" ht="11.45" customHeight="1" x14ac:dyDescent="0.25">
      <c r="A92" s="111" t="s">
        <v>111</v>
      </c>
      <c r="B92" s="87">
        <f>IF(TrRoad_act!B8=0,0,B24/TrRoad_act!B8*1000)</f>
        <v>76.853618029548969</v>
      </c>
      <c r="C92" s="87">
        <f>IF(TrRoad_act!C8=0,0,C24/TrRoad_act!C8*1000)</f>
        <v>77.657119149705593</v>
      </c>
      <c r="D92" s="87">
        <f>IF(TrRoad_act!D8=0,0,D24/TrRoad_act!D8*1000)</f>
        <v>69.596327957303117</v>
      </c>
      <c r="E92" s="87">
        <f>IF(TrRoad_act!E8=0,0,E24/TrRoad_act!E8*1000)</f>
        <v>65.450676349074811</v>
      </c>
      <c r="F92" s="87">
        <f>IF(TrRoad_act!F8=0,0,F24/TrRoad_act!F8*1000)</f>
        <v>62.753581726756423</v>
      </c>
      <c r="G92" s="87">
        <f>IF(TrRoad_act!G8=0,0,G24/TrRoad_act!G8*1000)</f>
        <v>60.375429410776242</v>
      </c>
      <c r="H92" s="87">
        <f>IF(TrRoad_act!H8=0,0,H24/TrRoad_act!H8*1000)</f>
        <v>67.417104801954281</v>
      </c>
      <c r="I92" s="87">
        <f>IF(TrRoad_act!I8=0,0,I24/TrRoad_act!I8*1000)</f>
        <v>67.200306545658677</v>
      </c>
      <c r="J92" s="87">
        <f>IF(TrRoad_act!J8=0,0,J24/TrRoad_act!J8*1000)</f>
        <v>63.182069386973794</v>
      </c>
      <c r="K92" s="87">
        <f>IF(TrRoad_act!K8=0,0,K24/TrRoad_act!K8*1000)</f>
        <v>63.304981035130325</v>
      </c>
      <c r="L92" s="87">
        <f>IF(TrRoad_act!L8=0,0,L24/TrRoad_act!L8*1000)</f>
        <v>56.019985055503476</v>
      </c>
      <c r="M92" s="87">
        <f>IF(TrRoad_act!M8=0,0,M24/TrRoad_act!M8*1000)</f>
        <v>52.567307429002128</v>
      </c>
      <c r="N92" s="87">
        <f>IF(TrRoad_act!N8=0,0,N24/TrRoad_act!N8*1000)</f>
        <v>51.563684352960657</v>
      </c>
      <c r="O92" s="87">
        <f>IF(TrRoad_act!O8=0,0,O24/TrRoad_act!O8*1000)</f>
        <v>51.971725355999681</v>
      </c>
      <c r="P92" s="87">
        <f>IF(TrRoad_act!P8=0,0,P24/TrRoad_act!P8*1000)</f>
        <v>54.730466660137218</v>
      </c>
      <c r="Q92" s="87">
        <f>IF(TrRoad_act!Q8=0,0,Q24/TrRoad_act!Q8*1000)</f>
        <v>52.806075008121326</v>
      </c>
      <c r="R92" s="87">
        <f>IF(TrRoad_act!R8=0,0,R24/TrRoad_act!R8*1000)</f>
        <v>50.186125380735248</v>
      </c>
      <c r="S92" s="87">
        <f>IF(TrRoad_act!S8=0,0,S24/TrRoad_act!S8*1000)</f>
        <v>48.219200426256521</v>
      </c>
      <c r="T92" s="87">
        <f>IF(TrRoad_act!T8=0,0,T24/TrRoad_act!T8*1000)</f>
        <v>47.936772260317156</v>
      </c>
      <c r="U92" s="87">
        <f>IF(TrRoad_act!U8=0,0,U24/TrRoad_act!U8*1000)</f>
        <v>46.616279153135537</v>
      </c>
      <c r="V92" s="87">
        <f>IF(TrRoad_act!V8=0,0,V24/TrRoad_act!V8*1000)</f>
        <v>44.306471990910389</v>
      </c>
      <c r="W92" s="87">
        <f>IF(TrRoad_act!W8=0,0,W24/TrRoad_act!W8*1000)</f>
        <v>44.128336230236712</v>
      </c>
      <c r="X92" s="87">
        <f>IF(TrRoad_act!X8=0,0,X24/TrRoad_act!X8*1000)</f>
        <v>45.537855787472495</v>
      </c>
      <c r="Y92" s="87">
        <f>IF(TrRoad_act!Y8=0,0,Y24/TrRoad_act!Y8*1000)</f>
        <v>44.328534160953097</v>
      </c>
      <c r="DA92" s="171" t="s">
        <v>699</v>
      </c>
    </row>
    <row r="93" spans="1:105" ht="11.45" customHeight="1" x14ac:dyDescent="0.25">
      <c r="A93" s="111" t="s">
        <v>112</v>
      </c>
      <c r="B93" s="87">
        <f>IF(TrRoad_act!B9=0,0,B26/TrRoad_act!B9*1000)</f>
        <v>53.479863308204628</v>
      </c>
      <c r="C93" s="87">
        <f>IF(TrRoad_act!C9=0,0,C26/TrRoad_act!C9*1000)</f>
        <v>51.782683745926711</v>
      </c>
      <c r="D93" s="87">
        <f>IF(TrRoad_act!D9=0,0,D26/TrRoad_act!D9*1000)</f>
        <v>53.05455483292846</v>
      </c>
      <c r="E93" s="87">
        <f>IF(TrRoad_act!E9=0,0,E26/TrRoad_act!E9*1000)</f>
        <v>53.31723136360948</v>
      </c>
      <c r="F93" s="87">
        <f>IF(TrRoad_act!F9=0,0,F26/TrRoad_act!F9*1000)</f>
        <v>48.706314688450597</v>
      </c>
      <c r="G93" s="87">
        <f>IF(TrRoad_act!G9=0,0,G26/TrRoad_act!G9*1000)</f>
        <v>49.390780101929231</v>
      </c>
      <c r="H93" s="87">
        <f>IF(TrRoad_act!H9=0,0,H26/TrRoad_act!H9*1000)</f>
        <v>52.474726127591602</v>
      </c>
      <c r="I93" s="87">
        <f>IF(TrRoad_act!I9=0,0,I26/TrRoad_act!I9*1000)</f>
        <v>50.330313555115097</v>
      </c>
      <c r="J93" s="87">
        <f>IF(TrRoad_act!J9=0,0,J26/TrRoad_act!J9*1000)</f>
        <v>53.293201623997838</v>
      </c>
      <c r="K93" s="87">
        <f>IF(TrRoad_act!K9=0,0,K26/TrRoad_act!K9*1000)</f>
        <v>48.917165519055153</v>
      </c>
      <c r="L93" s="87">
        <f>IF(TrRoad_act!L9=0,0,L26/TrRoad_act!L9*1000)</f>
        <v>49.339193621656385</v>
      </c>
      <c r="M93" s="87">
        <f>IF(TrRoad_act!M9=0,0,M26/TrRoad_act!M9*1000)</f>
        <v>48.002616199466082</v>
      </c>
      <c r="N93" s="87">
        <f>IF(TrRoad_act!N9=0,0,N26/TrRoad_act!N9*1000)</f>
        <v>47.335536443786737</v>
      </c>
      <c r="O93" s="87">
        <f>IF(TrRoad_act!O9=0,0,O26/TrRoad_act!O9*1000)</f>
        <v>45.355566982068957</v>
      </c>
      <c r="P93" s="87">
        <f>IF(TrRoad_act!P9=0,0,P26/TrRoad_act!P9*1000)</f>
        <v>43.38203959977465</v>
      </c>
      <c r="Q93" s="87">
        <f>IF(TrRoad_act!Q9=0,0,Q26/TrRoad_act!Q9*1000)</f>
        <v>44.186010910140752</v>
      </c>
      <c r="R93" s="87">
        <f>IF(TrRoad_act!R9=0,0,R26/TrRoad_act!R9*1000)</f>
        <v>44.518745543541101</v>
      </c>
      <c r="S93" s="87">
        <f>IF(TrRoad_act!S9=0,0,S26/TrRoad_act!S9*1000)</f>
        <v>44.987897735460443</v>
      </c>
      <c r="T93" s="87">
        <f>IF(TrRoad_act!T9=0,0,T26/TrRoad_act!T9*1000)</f>
        <v>42.858516499944074</v>
      </c>
      <c r="U93" s="87">
        <f>IF(TrRoad_act!U9=0,0,U26/TrRoad_act!U9*1000)</f>
        <v>42.086043817416936</v>
      </c>
      <c r="V93" s="87">
        <f>IF(TrRoad_act!V9=0,0,V26/TrRoad_act!V9*1000)</f>
        <v>34.363074168202431</v>
      </c>
      <c r="W93" s="87">
        <f>IF(TrRoad_act!W9=0,0,W26/TrRoad_act!W9*1000)</f>
        <v>34.926770454888135</v>
      </c>
      <c r="X93" s="87">
        <f>IF(TrRoad_act!X9=0,0,X26/TrRoad_act!X9*1000)</f>
        <v>45.626868068734801</v>
      </c>
      <c r="Y93" s="87">
        <f>IF(TrRoad_act!Y9=0,0,Y26/TrRoad_act!Y9*1000)</f>
        <v>36.470207821714851</v>
      </c>
      <c r="DA93" s="171" t="s">
        <v>700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0</v>
      </c>
      <c r="G94" s="87">
        <f>IF(TrRoad_act!G10=0,0,G27/TrRoad_act!G10*1000)</f>
        <v>0</v>
      </c>
      <c r="H94" s="87">
        <f>IF(TrRoad_act!H10=0,0,H27/TrRoad_act!H10*1000)</f>
        <v>0</v>
      </c>
      <c r="I94" s="87">
        <f>IF(TrRoad_act!I10=0,0,I27/TrRoad_act!I10*1000)</f>
        <v>0</v>
      </c>
      <c r="J94" s="87">
        <f>IF(TrRoad_act!J10=0,0,J27/TrRoad_act!J10*1000)</f>
        <v>0</v>
      </c>
      <c r="K94" s="87">
        <f>IF(TrRoad_act!K10=0,0,K27/TrRoad_act!K10*1000)</f>
        <v>0</v>
      </c>
      <c r="L94" s="87">
        <f>IF(TrRoad_act!L10=0,0,L27/TrRoad_act!L10*1000)</f>
        <v>0</v>
      </c>
      <c r="M94" s="87">
        <f>IF(TrRoad_act!M10=0,0,M27/TrRoad_act!M10*1000)</f>
        <v>0</v>
      </c>
      <c r="N94" s="87">
        <f>IF(TrRoad_act!N10=0,0,N27/TrRoad_act!N10*1000)</f>
        <v>0</v>
      </c>
      <c r="O94" s="87">
        <f>IF(TrRoad_act!O10=0,0,O27/TrRoad_act!O10*1000)</f>
        <v>0</v>
      </c>
      <c r="P94" s="87">
        <f>IF(TrRoad_act!P10=0,0,P27/TrRoad_act!P10*1000)</f>
        <v>110.57879658913066</v>
      </c>
      <c r="Q94" s="87">
        <f>IF(TrRoad_act!Q10=0,0,Q27/TrRoad_act!Q10*1000)</f>
        <v>33.174418355779672</v>
      </c>
      <c r="R94" s="87">
        <f>IF(TrRoad_act!R10=0,0,R27/TrRoad_act!R10*1000)</f>
        <v>20.188146427178811</v>
      </c>
      <c r="S94" s="87">
        <f>IF(TrRoad_act!S10=0,0,S27/TrRoad_act!S10*1000)</f>
        <v>24.812354957582265</v>
      </c>
      <c r="T94" s="87">
        <f>IF(TrRoad_act!T10=0,0,T27/TrRoad_act!T10*1000)</f>
        <v>35.107490242433329</v>
      </c>
      <c r="U94" s="87">
        <f>IF(TrRoad_act!U10=0,0,U27/TrRoad_act!U10*1000)</f>
        <v>40.910459484966189</v>
      </c>
      <c r="V94" s="87">
        <f>IF(TrRoad_act!V10=0,0,V27/TrRoad_act!V10*1000)</f>
        <v>50.351280485780023</v>
      </c>
      <c r="W94" s="87">
        <f>IF(TrRoad_act!W10=0,0,W27/TrRoad_act!W10*1000)</f>
        <v>107.25737397219461</v>
      </c>
      <c r="X94" s="87">
        <f>IF(TrRoad_act!X10=0,0,X27/TrRoad_act!X10*1000)</f>
        <v>59.113997033351552</v>
      </c>
      <c r="Y94" s="87">
        <f>IF(TrRoad_act!Y10=0,0,Y27/TrRoad_act!Y10*1000)</f>
        <v>53.023628431067905</v>
      </c>
      <c r="DA94" s="171" t="s">
        <v>701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0</v>
      </c>
      <c r="N95" s="87">
        <f>IF(TrRoad_act!N11=0,0,N29/TrRoad_act!N11*1000)</f>
        <v>0</v>
      </c>
      <c r="O95" s="87">
        <f>IF(TrRoad_act!O11=0,0,O29/TrRoad_act!O11*1000)</f>
        <v>28.155979735873807</v>
      </c>
      <c r="P95" s="87">
        <f>IF(TrRoad_act!P11=0,0,P29/TrRoad_act!P11*1000)</f>
        <v>21.248822346679226</v>
      </c>
      <c r="Q95" s="87">
        <f>IF(TrRoad_act!Q11=0,0,Q29/TrRoad_act!Q11*1000)</f>
        <v>20.343085813421538</v>
      </c>
      <c r="R95" s="87">
        <f>IF(TrRoad_act!R11=0,0,R29/TrRoad_act!R11*1000)</f>
        <v>20.830359800968889</v>
      </c>
      <c r="S95" s="87">
        <f>IF(TrRoad_act!S11=0,0,S29/TrRoad_act!S11*1000)</f>
        <v>20.500215820134294</v>
      </c>
      <c r="T95" s="87">
        <f>IF(TrRoad_act!T11=0,0,T29/TrRoad_act!T11*1000)</f>
        <v>20.43951486237982</v>
      </c>
      <c r="U95" s="87">
        <f>IF(TrRoad_act!U11=0,0,U29/TrRoad_act!U11*1000)</f>
        <v>20.965672464687028</v>
      </c>
      <c r="V95" s="87">
        <f>IF(TrRoad_act!V11=0,0,V29/TrRoad_act!V11*1000)</f>
        <v>19.539017095016604</v>
      </c>
      <c r="W95" s="87">
        <f>IF(TrRoad_act!W11=0,0,W29/TrRoad_act!W11*1000)</f>
        <v>19.857234065808665</v>
      </c>
      <c r="X95" s="87">
        <f>IF(TrRoad_act!X11=0,0,X29/TrRoad_act!X11*1000)</f>
        <v>20.717131356269835</v>
      </c>
      <c r="Y95" s="87">
        <f>IF(TrRoad_act!Y11=0,0,Y29/TrRoad_act!Y11*1000)</f>
        <v>19.615365618931673</v>
      </c>
      <c r="DA95" s="171" t="s">
        <v>702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0</v>
      </c>
      <c r="K96" s="87">
        <f>IF(TrRoad_act!K12=0,0,K32/TrRoad_act!K12*1000)</f>
        <v>11.384502571825966</v>
      </c>
      <c r="L96" s="87">
        <f>IF(TrRoad_act!L12=0,0,L32/TrRoad_act!L12*1000)</f>
        <v>11.366236639355535</v>
      </c>
      <c r="M96" s="87">
        <f>IF(TrRoad_act!M12=0,0,M32/TrRoad_act!M12*1000)</f>
        <v>11.331630996072581</v>
      </c>
      <c r="N96" s="87">
        <f>IF(TrRoad_act!N12=0,0,N32/TrRoad_act!N12*1000)</f>
        <v>10.34846943398782</v>
      </c>
      <c r="O96" s="87">
        <f>IF(TrRoad_act!O12=0,0,O32/TrRoad_act!O12*1000)</f>
        <v>10.414310926150716</v>
      </c>
      <c r="P96" s="87">
        <f>IF(TrRoad_act!P12=0,0,P32/TrRoad_act!P12*1000)</f>
        <v>10.907467856504024</v>
      </c>
      <c r="Q96" s="87">
        <f>IF(TrRoad_act!Q12=0,0,Q32/TrRoad_act!Q12*1000)</f>
        <v>10.883637730813282</v>
      </c>
      <c r="R96" s="87">
        <f>IF(TrRoad_act!R12=0,0,R32/TrRoad_act!R12*1000)</f>
        <v>10.141235291098612</v>
      </c>
      <c r="S96" s="87">
        <f>IF(TrRoad_act!S12=0,0,S32/TrRoad_act!S12*1000)</f>
        <v>10.025810500332391</v>
      </c>
      <c r="T96" s="87">
        <f>IF(TrRoad_act!T12=0,0,T32/TrRoad_act!T12*1000)</f>
        <v>10.212736490296576</v>
      </c>
      <c r="U96" s="87">
        <f>IF(TrRoad_act!U12=0,0,U32/TrRoad_act!U12*1000)</f>
        <v>10.772780238413695</v>
      </c>
      <c r="V96" s="87">
        <f>IF(TrRoad_act!V12=0,0,V32/TrRoad_act!V12*1000)</f>
        <v>11.405380005912782</v>
      </c>
      <c r="W96" s="87">
        <f>IF(TrRoad_act!W12=0,0,W32/TrRoad_act!W12*1000)</f>
        <v>11.633980647317413</v>
      </c>
      <c r="X96" s="87">
        <f>IF(TrRoad_act!X12=0,0,X32/TrRoad_act!X12*1000)</f>
        <v>12.416123121070395</v>
      </c>
      <c r="Y96" s="87">
        <f>IF(TrRoad_act!Y12=0,0,Y32/TrRoad_act!Y12*1000)</f>
        <v>11.934596240316907</v>
      </c>
      <c r="DA96" s="171" t="s">
        <v>703</v>
      </c>
    </row>
    <row r="97" spans="1:105" ht="11.45" customHeight="1" x14ac:dyDescent="0.25">
      <c r="A97" s="109" t="s">
        <v>21</v>
      </c>
      <c r="B97" s="116">
        <f>IF(TrRoad_act!B13=0,0,B33/TrRoad_act!B13*1000)</f>
        <v>18.560294497781495</v>
      </c>
      <c r="C97" s="116">
        <f>IF(TrRoad_act!C13=0,0,C33/TrRoad_act!C13*1000)</f>
        <v>17.490187102493639</v>
      </c>
      <c r="D97" s="116">
        <f>IF(TrRoad_act!D13=0,0,D33/TrRoad_act!D13*1000)</f>
        <v>17.621298582151173</v>
      </c>
      <c r="E97" s="116">
        <f>IF(TrRoad_act!E13=0,0,E33/TrRoad_act!E13*1000)</f>
        <v>17.726434793569219</v>
      </c>
      <c r="F97" s="116">
        <f>IF(TrRoad_act!F13=0,0,F33/TrRoad_act!F13*1000)</f>
        <v>17.497524473855304</v>
      </c>
      <c r="G97" s="116">
        <f>IF(TrRoad_act!G13=0,0,G33/TrRoad_act!G13*1000)</f>
        <v>17.983442171785267</v>
      </c>
      <c r="H97" s="116">
        <f>IF(TrRoad_act!H13=0,0,H33/TrRoad_act!H13*1000)</f>
        <v>18.923798567374188</v>
      </c>
      <c r="I97" s="116">
        <f>IF(TrRoad_act!I13=0,0,I33/TrRoad_act!I13*1000)</f>
        <v>19.511652444162895</v>
      </c>
      <c r="J97" s="116">
        <f>IF(TrRoad_act!J13=0,0,J33/TrRoad_act!J13*1000)</f>
        <v>20.210107648717038</v>
      </c>
      <c r="K97" s="116">
        <f>IF(TrRoad_act!K13=0,0,K33/TrRoad_act!K13*1000)</f>
        <v>19.15479859990101</v>
      </c>
      <c r="L97" s="116">
        <f>IF(TrRoad_act!L13=0,0,L33/TrRoad_act!L13*1000)</f>
        <v>19.77377921092631</v>
      </c>
      <c r="M97" s="116">
        <f>IF(TrRoad_act!M13=0,0,M33/TrRoad_act!M13*1000)</f>
        <v>19.445437296379033</v>
      </c>
      <c r="N97" s="116">
        <f>IF(TrRoad_act!N13=0,0,N33/TrRoad_act!N13*1000)</f>
        <v>19.770969054305471</v>
      </c>
      <c r="O97" s="116">
        <f>IF(TrRoad_act!O13=0,0,O33/TrRoad_act!O13*1000)</f>
        <v>19.758356727816057</v>
      </c>
      <c r="P97" s="116">
        <f>IF(TrRoad_act!P13=0,0,P33/TrRoad_act!P13*1000)</f>
        <v>19.535262732300254</v>
      </c>
      <c r="Q97" s="116">
        <f>IF(TrRoad_act!Q13=0,0,Q33/TrRoad_act!Q13*1000)</f>
        <v>19.92499954937859</v>
      </c>
      <c r="R97" s="116">
        <f>IF(TrRoad_act!R13=0,0,R33/TrRoad_act!R13*1000)</f>
        <v>19.972427990086921</v>
      </c>
      <c r="S97" s="116">
        <f>IF(TrRoad_act!S13=0,0,S33/TrRoad_act!S13*1000)</f>
        <v>20.094872684072968</v>
      </c>
      <c r="T97" s="116">
        <f>IF(TrRoad_act!T13=0,0,T33/TrRoad_act!T13*1000)</f>
        <v>20.11784302640536</v>
      </c>
      <c r="U97" s="116">
        <f>IF(TrRoad_act!U13=0,0,U33/TrRoad_act!U13*1000)</f>
        <v>20.053482782715317</v>
      </c>
      <c r="V97" s="116">
        <f>IF(TrRoad_act!V13=0,0,V33/TrRoad_act!V13*1000)</f>
        <v>24.094122414541957</v>
      </c>
      <c r="W97" s="116">
        <f>IF(TrRoad_act!W13=0,0,W33/TrRoad_act!W13*1000)</f>
        <v>21.773280593892057</v>
      </c>
      <c r="X97" s="116">
        <f>IF(TrRoad_act!X13=0,0,X33/TrRoad_act!X13*1000)</f>
        <v>19.847549187001039</v>
      </c>
      <c r="Y97" s="116">
        <f>IF(TrRoad_act!Y13=0,0,Y33/TrRoad_act!Y13*1000)</f>
        <v>20.502559498187285</v>
      </c>
      <c r="DA97" s="176" t="s">
        <v>419</v>
      </c>
    </row>
    <row r="98" spans="1:105" ht="11.45" customHeight="1" x14ac:dyDescent="0.25">
      <c r="A98" s="111" t="s">
        <v>110</v>
      </c>
      <c r="B98" s="101">
        <f>IF(TrRoad_act!B14=0,0,B34/TrRoad_act!B14*1000)</f>
        <v>14.618548556320896</v>
      </c>
      <c r="C98" s="101">
        <f>IF(TrRoad_act!C14=0,0,C34/TrRoad_act!C14*1000)</f>
        <v>14.593096464306408</v>
      </c>
      <c r="D98" s="101">
        <f>IF(TrRoad_act!D14=0,0,D34/TrRoad_act!D14*1000)</f>
        <v>14.92518661949943</v>
      </c>
      <c r="E98" s="101">
        <f>IF(TrRoad_act!E14=0,0,E34/TrRoad_act!E14*1000)</f>
        <v>15.261491241201295</v>
      </c>
      <c r="F98" s="101">
        <f>IF(TrRoad_act!F14=0,0,F34/TrRoad_act!F14*1000)</f>
        <v>15.238445231516723</v>
      </c>
      <c r="G98" s="101">
        <f>IF(TrRoad_act!G14=0,0,G34/TrRoad_act!G14*1000)</f>
        <v>15.803117407817535</v>
      </c>
      <c r="H98" s="101">
        <f>IF(TrRoad_act!H14=0,0,H34/TrRoad_act!H14*1000)</f>
        <v>16.76514765049729</v>
      </c>
      <c r="I98" s="101">
        <f>IF(TrRoad_act!I14=0,0,I34/TrRoad_act!I14*1000)</f>
        <v>17.285193288639508</v>
      </c>
      <c r="J98" s="101">
        <f>IF(TrRoad_act!J14=0,0,J34/TrRoad_act!J14*1000)</f>
        <v>17.924122764876721</v>
      </c>
      <c r="K98" s="101">
        <f>IF(TrRoad_act!K14=0,0,K34/TrRoad_act!K14*1000)</f>
        <v>16.999617662409896</v>
      </c>
      <c r="L98" s="101">
        <f>IF(TrRoad_act!L14=0,0,L34/TrRoad_act!L14*1000)</f>
        <v>17.540844642564117</v>
      </c>
      <c r="M98" s="101">
        <f>IF(TrRoad_act!M14=0,0,M34/TrRoad_act!M14*1000)</f>
        <v>17.219891263965266</v>
      </c>
      <c r="N98" s="101">
        <f>IF(TrRoad_act!N14=0,0,N34/TrRoad_act!N14*1000)</f>
        <v>17.424688944292679</v>
      </c>
      <c r="O98" s="101">
        <f>IF(TrRoad_act!O14=0,0,O34/TrRoad_act!O14*1000)</f>
        <v>17.431153762557003</v>
      </c>
      <c r="P98" s="101">
        <f>IF(TrRoad_act!P14=0,0,P34/TrRoad_act!P14*1000)</f>
        <v>17.190383697594392</v>
      </c>
      <c r="Q98" s="101">
        <f>IF(TrRoad_act!Q14=0,0,Q34/TrRoad_act!Q14*1000)</f>
        <v>17.377611331652481</v>
      </c>
      <c r="R98" s="101">
        <f>IF(TrRoad_act!R14=0,0,R34/TrRoad_act!R14*1000)</f>
        <v>17.227532095565817</v>
      </c>
      <c r="S98" s="101">
        <f>IF(TrRoad_act!S14=0,0,S34/TrRoad_act!S14*1000)</f>
        <v>16.839379598295011</v>
      </c>
      <c r="T98" s="101">
        <f>IF(TrRoad_act!T14=0,0,T34/TrRoad_act!T14*1000)</f>
        <v>16.923371102457587</v>
      </c>
      <c r="U98" s="101">
        <f>IF(TrRoad_act!U14=0,0,U34/TrRoad_act!U14*1000)</f>
        <v>16.583423750452539</v>
      </c>
      <c r="V98" s="101">
        <f>IF(TrRoad_act!V14=0,0,V34/TrRoad_act!V14*1000)</f>
        <v>19.900108500543048</v>
      </c>
      <c r="W98" s="101">
        <f>IF(TrRoad_act!W14=0,0,W34/TrRoad_act!W14*1000)</f>
        <v>18.092984717380965</v>
      </c>
      <c r="X98" s="101">
        <f>IF(TrRoad_act!X14=0,0,X34/TrRoad_act!X14*1000)</f>
        <v>16.132229682412763</v>
      </c>
      <c r="Y98" s="101">
        <f>IF(TrRoad_act!Y14=0,0,Y34/TrRoad_act!Y14*1000)</f>
        <v>16.901798633888394</v>
      </c>
      <c r="DA98" s="175" t="s">
        <v>704</v>
      </c>
    </row>
    <row r="99" spans="1:105" ht="11.45" customHeight="1" x14ac:dyDescent="0.25">
      <c r="A99" s="111" t="s">
        <v>111</v>
      </c>
      <c r="B99" s="101">
        <f>IF(TrRoad_act!B15=0,0,B36/TrRoad_act!B15*1000)</f>
        <v>18.591097726086765</v>
      </c>
      <c r="C99" s="101">
        <f>IF(TrRoad_act!C15=0,0,C36/TrRoad_act!C15*1000)</f>
        <v>17.510365453440112</v>
      </c>
      <c r="D99" s="101">
        <f>IF(TrRoad_act!D15=0,0,D36/TrRoad_act!D15*1000)</f>
        <v>17.638097263300835</v>
      </c>
      <c r="E99" s="101">
        <f>IF(TrRoad_act!E15=0,0,E36/TrRoad_act!E15*1000)</f>
        <v>17.739527923657423</v>
      </c>
      <c r="F99" s="101">
        <f>IF(TrRoad_act!F15=0,0,F36/TrRoad_act!F15*1000)</f>
        <v>17.50771923616503</v>
      </c>
      <c r="G99" s="101">
        <f>IF(TrRoad_act!G15=0,0,G36/TrRoad_act!G15*1000)</f>
        <v>17.991721850166918</v>
      </c>
      <c r="H99" s="101">
        <f>IF(TrRoad_act!H15=0,0,H36/TrRoad_act!H15*1000)</f>
        <v>18.930452140527095</v>
      </c>
      <c r="I99" s="101">
        <f>IF(TrRoad_act!I15=0,0,I36/TrRoad_act!I15*1000)</f>
        <v>19.517401718463173</v>
      </c>
      <c r="J99" s="101">
        <f>IF(TrRoad_act!J15=0,0,J36/TrRoad_act!J15*1000)</f>
        <v>20.215580570538702</v>
      </c>
      <c r="K99" s="101">
        <f>IF(TrRoad_act!K15=0,0,K36/TrRoad_act!K15*1000)</f>
        <v>19.159259490681801</v>
      </c>
      <c r="L99" s="101">
        <f>IF(TrRoad_act!L15=0,0,L36/TrRoad_act!L15*1000)</f>
        <v>19.777713039818405</v>
      </c>
      <c r="M99" s="101">
        <f>IF(TrRoad_act!M15=0,0,M36/TrRoad_act!M15*1000)</f>
        <v>19.448805620631919</v>
      </c>
      <c r="N99" s="101">
        <f>IF(TrRoad_act!N15=0,0,N36/TrRoad_act!N15*1000)</f>
        <v>19.773893752861436</v>
      </c>
      <c r="O99" s="101">
        <f>IF(TrRoad_act!O15=0,0,O36/TrRoad_act!O15*1000)</f>
        <v>19.761258070693486</v>
      </c>
      <c r="P99" s="101">
        <f>IF(TrRoad_act!P15=0,0,P36/TrRoad_act!P15*1000)</f>
        <v>19.538124601454658</v>
      </c>
      <c r="Q99" s="101">
        <f>IF(TrRoad_act!Q15=0,0,Q36/TrRoad_act!Q15*1000)</f>
        <v>19.927702080038266</v>
      </c>
      <c r="R99" s="101">
        <f>IF(TrRoad_act!R15=0,0,R36/TrRoad_act!R15*1000)</f>
        <v>19.974818744981178</v>
      </c>
      <c r="S99" s="101">
        <f>IF(TrRoad_act!S15=0,0,S36/TrRoad_act!S15*1000)</f>
        <v>20.09775064551545</v>
      </c>
      <c r="T99" s="101">
        <f>IF(TrRoad_act!T15=0,0,T36/TrRoad_act!T15*1000)</f>
        <v>20.120420256927716</v>
      </c>
      <c r="U99" s="101">
        <f>IF(TrRoad_act!U15=0,0,U36/TrRoad_act!U15*1000)</f>
        <v>20.056449604092045</v>
      </c>
      <c r="V99" s="101">
        <f>IF(TrRoad_act!V15=0,0,V36/TrRoad_act!V15*1000)</f>
        <v>24.078238709223339</v>
      </c>
      <c r="W99" s="101">
        <f>IF(TrRoad_act!W15=0,0,W36/TrRoad_act!W15*1000)</f>
        <v>21.631969296915209</v>
      </c>
      <c r="X99" s="101">
        <f>IF(TrRoad_act!X15=0,0,X36/TrRoad_act!X15*1000)</f>
        <v>19.813340667517153</v>
      </c>
      <c r="Y99" s="101">
        <f>IF(TrRoad_act!Y15=0,0,Y36/TrRoad_act!Y15*1000)</f>
        <v>20.504358083975113</v>
      </c>
      <c r="DA99" s="175" t="s">
        <v>705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12.93936924719857</v>
      </c>
      <c r="D100" s="101">
        <f>IF(TrRoad_act!D16=0,0,D38/TrRoad_act!D16*1000)</f>
        <v>13.251966040461946</v>
      </c>
      <c r="E100" s="101">
        <f>IF(TrRoad_act!E16=0,0,E38/TrRoad_act!E16*1000)</f>
        <v>13.573620379138637</v>
      </c>
      <c r="F100" s="101">
        <f>IF(TrRoad_act!F16=0,0,F38/TrRoad_act!F16*1000)</f>
        <v>13.574577881334092</v>
      </c>
      <c r="G100" s="101">
        <f>IF(TrRoad_act!G16=0,0,G38/TrRoad_act!G16*1000)</f>
        <v>14.098818041640058</v>
      </c>
      <c r="H100" s="101">
        <f>IF(TrRoad_act!H16=0,0,H38/TrRoad_act!H16*1000)</f>
        <v>14.980751024072218</v>
      </c>
      <c r="I100" s="101">
        <f>IF(TrRoad_act!I16=0,0,I38/TrRoad_act!I16*1000)</f>
        <v>15.53502654378411</v>
      </c>
      <c r="J100" s="101">
        <f>IF(TrRoad_act!J16=0,0,J38/TrRoad_act!J16*1000)</f>
        <v>0</v>
      </c>
      <c r="K100" s="101">
        <f>IF(TrRoad_act!K16=0,0,K38/TrRoad_act!K16*1000)</f>
        <v>0</v>
      </c>
      <c r="L100" s="101">
        <f>IF(TrRoad_act!L16=0,0,L38/TrRoad_act!L16*1000)</f>
        <v>0</v>
      </c>
      <c r="M100" s="101">
        <f>IF(TrRoad_act!M16=0,0,M38/TrRoad_act!M16*1000)</f>
        <v>0</v>
      </c>
      <c r="N100" s="101">
        <f>IF(TrRoad_act!N16=0,0,N38/TrRoad_act!N16*1000)</f>
        <v>0</v>
      </c>
      <c r="O100" s="101">
        <f>IF(TrRoad_act!O16=0,0,O38/TrRoad_act!O16*1000)</f>
        <v>0</v>
      </c>
      <c r="P100" s="101">
        <f>IF(TrRoad_act!P16=0,0,P38/TrRoad_act!P16*1000)</f>
        <v>0</v>
      </c>
      <c r="Q100" s="101">
        <f>IF(TrRoad_act!Q16=0,0,Q38/TrRoad_act!Q16*1000)</f>
        <v>0</v>
      </c>
      <c r="R100" s="101">
        <f>IF(TrRoad_act!R16=0,0,R38/TrRoad_act!R16*1000)</f>
        <v>0</v>
      </c>
      <c r="S100" s="101">
        <f>IF(TrRoad_act!S16=0,0,S38/TrRoad_act!S16*1000)</f>
        <v>0</v>
      </c>
      <c r="T100" s="101">
        <f>IF(TrRoad_act!T16=0,0,T38/TrRoad_act!T16*1000)</f>
        <v>0</v>
      </c>
      <c r="U100" s="101">
        <f>IF(TrRoad_act!U16=0,0,U38/TrRoad_act!U16*1000)</f>
        <v>0</v>
      </c>
      <c r="V100" s="101">
        <f>IF(TrRoad_act!V16=0,0,V38/TrRoad_act!V16*1000)</f>
        <v>0</v>
      </c>
      <c r="W100" s="101">
        <f>IF(TrRoad_act!W16=0,0,W38/TrRoad_act!W16*1000)</f>
        <v>0</v>
      </c>
      <c r="X100" s="101">
        <f>IF(TrRoad_act!X16=0,0,X38/TrRoad_act!X16*1000)</f>
        <v>0</v>
      </c>
      <c r="Y100" s="101">
        <f>IF(TrRoad_act!Y16=0,0,Y38/TrRoad_act!Y16*1000)</f>
        <v>0</v>
      </c>
      <c r="DA100" s="175" t="s">
        <v>706</v>
      </c>
    </row>
    <row r="101" spans="1:105" ht="11.45" customHeight="1" x14ac:dyDescent="0.25">
      <c r="A101" s="111" t="s">
        <v>113</v>
      </c>
      <c r="B101" s="101">
        <f>IF(TrRoad_act!B17=0,0,B39/TrRoad_act!B17*1000)</f>
        <v>0</v>
      </c>
      <c r="C101" s="101">
        <f>IF(TrRoad_act!C17=0,0,C39/TrRoad_act!C17*1000)</f>
        <v>0</v>
      </c>
      <c r="D101" s="101">
        <f>IF(TrRoad_act!D17=0,0,D39/TrRoad_act!D17*1000)</f>
        <v>0</v>
      </c>
      <c r="E101" s="101">
        <f>IF(TrRoad_act!E17=0,0,E39/TrRoad_act!E17*1000)</f>
        <v>0</v>
      </c>
      <c r="F101" s="101">
        <f>IF(TrRoad_act!F17=0,0,F39/TrRoad_act!F17*1000)</f>
        <v>0</v>
      </c>
      <c r="G101" s="101">
        <f>IF(TrRoad_act!G17=0,0,G39/TrRoad_act!G17*1000)</f>
        <v>0</v>
      </c>
      <c r="H101" s="101">
        <f>IF(TrRoad_act!H17=0,0,H39/TrRoad_act!H17*1000)</f>
        <v>0</v>
      </c>
      <c r="I101" s="101">
        <f>IF(TrRoad_act!I17=0,0,I39/TrRoad_act!I17*1000)</f>
        <v>0</v>
      </c>
      <c r="J101" s="101">
        <f>IF(TrRoad_act!J17=0,0,J39/TrRoad_act!J17*1000)</f>
        <v>0</v>
      </c>
      <c r="K101" s="101">
        <f>IF(TrRoad_act!K17=0,0,K39/TrRoad_act!K17*1000)</f>
        <v>0</v>
      </c>
      <c r="L101" s="101">
        <f>IF(TrRoad_act!L17=0,0,L39/TrRoad_act!L17*1000)</f>
        <v>0</v>
      </c>
      <c r="M101" s="101">
        <f>IF(TrRoad_act!M17=0,0,M39/TrRoad_act!M17*1000)</f>
        <v>0</v>
      </c>
      <c r="N101" s="101">
        <f>IF(TrRoad_act!N17=0,0,N39/TrRoad_act!N17*1000)</f>
        <v>0</v>
      </c>
      <c r="O101" s="101">
        <f>IF(TrRoad_act!O17=0,0,O39/TrRoad_act!O17*1000)</f>
        <v>0</v>
      </c>
      <c r="P101" s="101">
        <f>IF(TrRoad_act!P17=0,0,P39/TrRoad_act!P17*1000)</f>
        <v>0</v>
      </c>
      <c r="Q101" s="101">
        <f>IF(TrRoad_act!Q17=0,0,Q39/TrRoad_act!Q17*1000)</f>
        <v>0</v>
      </c>
      <c r="R101" s="101">
        <f>IF(TrRoad_act!R17=0,0,R39/TrRoad_act!R17*1000)</f>
        <v>0</v>
      </c>
      <c r="S101" s="101">
        <f>IF(TrRoad_act!S17=0,0,S39/TrRoad_act!S17*1000)</f>
        <v>0</v>
      </c>
      <c r="T101" s="101">
        <f>IF(TrRoad_act!T17=0,0,T39/TrRoad_act!T17*1000)</f>
        <v>14.102461782198024</v>
      </c>
      <c r="U101" s="101">
        <f>IF(TrRoad_act!U17=0,0,U39/TrRoad_act!U17*1000)</f>
        <v>19.798190098537113</v>
      </c>
      <c r="V101" s="101">
        <f>IF(TrRoad_act!V17=0,0,V39/TrRoad_act!V17*1000)</f>
        <v>29.164748189191435</v>
      </c>
      <c r="W101" s="101">
        <f>IF(TrRoad_act!W17=0,0,W39/TrRoad_act!W17*1000)</f>
        <v>56.836545678184528</v>
      </c>
      <c r="X101" s="101">
        <f>IF(TrRoad_act!X17=0,0,X39/TrRoad_act!X17*1000)</f>
        <v>30.771257176461422</v>
      </c>
      <c r="Y101" s="101">
        <f>IF(TrRoad_act!Y17=0,0,Y39/TrRoad_act!Y17*1000)</f>
        <v>30.547774498280255</v>
      </c>
      <c r="DA101" s="175" t="s">
        <v>707</v>
      </c>
    </row>
    <row r="102" spans="1:105" ht="11.45" customHeight="1" x14ac:dyDescent="0.25">
      <c r="A102" s="111" t="s">
        <v>115</v>
      </c>
      <c r="B102" s="101">
        <f>IF(TrRoad_act!B18=0,0,B41/TrRoad_act!B18*1000)</f>
        <v>0</v>
      </c>
      <c r="C102" s="101">
        <f>IF(TrRoad_act!C18=0,0,C41/TrRoad_act!C18*1000)</f>
        <v>0</v>
      </c>
      <c r="D102" s="101">
        <f>IF(TrRoad_act!D18=0,0,D41/TrRoad_act!D18*1000)</f>
        <v>0</v>
      </c>
      <c r="E102" s="101">
        <f>IF(TrRoad_act!E18=0,0,E41/TrRoad_act!E18*1000)</f>
        <v>0</v>
      </c>
      <c r="F102" s="101">
        <f>IF(TrRoad_act!F18=0,0,F41/TrRoad_act!F18*1000)</f>
        <v>0</v>
      </c>
      <c r="G102" s="101">
        <f>IF(TrRoad_act!G18=0,0,G41/TrRoad_act!G18*1000)</f>
        <v>0</v>
      </c>
      <c r="H102" s="101">
        <f>IF(TrRoad_act!H18=0,0,H41/TrRoad_act!H18*1000)</f>
        <v>0</v>
      </c>
      <c r="I102" s="101">
        <f>IF(TrRoad_act!I18=0,0,I41/TrRoad_act!I18*1000)</f>
        <v>0</v>
      </c>
      <c r="J102" s="101">
        <f>IF(TrRoad_act!J18=0,0,J41/TrRoad_act!J18*1000)</f>
        <v>13.231491718036391</v>
      </c>
      <c r="K102" s="101">
        <f>IF(TrRoad_act!K18=0,0,K41/TrRoad_act!K18*1000)</f>
        <v>12.58002245821335</v>
      </c>
      <c r="L102" s="101">
        <f>IF(TrRoad_act!L18=0,0,L41/TrRoad_act!L18*1000)</f>
        <v>13.024740900174287</v>
      </c>
      <c r="M102" s="101">
        <f>IF(TrRoad_act!M18=0,0,M41/TrRoad_act!M18*1000)</f>
        <v>12.837625538493151</v>
      </c>
      <c r="N102" s="101">
        <f>IF(TrRoad_act!N18=0,0,N41/TrRoad_act!N18*1000)</f>
        <v>13.060584419929819</v>
      </c>
      <c r="O102" s="101">
        <f>IF(TrRoad_act!O18=0,0,O41/TrRoad_act!O18*1000)</f>
        <v>13.065450304202145</v>
      </c>
      <c r="P102" s="101">
        <f>IF(TrRoad_act!P18=0,0,P41/TrRoad_act!P18*1000)</f>
        <v>12.885265888698713</v>
      </c>
      <c r="Q102" s="101">
        <f>IF(TrRoad_act!Q18=0,0,Q41/TrRoad_act!Q18*1000)</f>
        <v>13.068467950651135</v>
      </c>
      <c r="R102" s="101">
        <f>IF(TrRoad_act!R18=0,0,R41/TrRoad_act!R18*1000)</f>
        <v>13.032038679285918</v>
      </c>
      <c r="S102" s="101">
        <f>IF(TrRoad_act!S18=0,0,S41/TrRoad_act!S18*1000)</f>
        <v>13.06988889439039</v>
      </c>
      <c r="T102" s="101">
        <f>IF(TrRoad_act!T18=0,0,T41/TrRoad_act!T18*1000)</f>
        <v>13.074766020344647</v>
      </c>
      <c r="U102" s="101">
        <f>IF(TrRoad_act!U18=0,0,U41/TrRoad_act!U18*1000)</f>
        <v>12.419781902788444</v>
      </c>
      <c r="V102" s="101">
        <f>IF(TrRoad_act!V18=0,0,V41/TrRoad_act!V18*1000)</f>
        <v>14.808611172484177</v>
      </c>
      <c r="W102" s="101">
        <f>IF(TrRoad_act!W18=0,0,W41/TrRoad_act!W18*1000)</f>
        <v>13.289944111570257</v>
      </c>
      <c r="X102" s="101">
        <f>IF(TrRoad_act!X18=0,0,X41/TrRoad_act!X18*1000)</f>
        <v>12.096510577159716</v>
      </c>
      <c r="Y102" s="101">
        <f>IF(TrRoad_act!Y18=0,0,Y41/TrRoad_act!Y18*1000)</f>
        <v>12.548804787000064</v>
      </c>
      <c r="DA102" s="175" t="s">
        <v>708</v>
      </c>
    </row>
    <row r="103" spans="1:105" ht="11.45" customHeight="1" x14ac:dyDescent="0.25">
      <c r="A103" s="27" t="s">
        <v>156</v>
      </c>
      <c r="B103" s="29">
        <f>IF(TrRoad_act!B19=0,0,B42/TrRoad_act!B19*1000)</f>
        <v>115.6107788442538</v>
      </c>
      <c r="C103" s="29">
        <f>IF(TrRoad_act!C19=0,0,C42/TrRoad_act!C19*1000)</f>
        <v>112.08312191539321</v>
      </c>
      <c r="D103" s="29">
        <f>IF(TrRoad_act!D19=0,0,D42/TrRoad_act!D19*1000)</f>
        <v>101.37780010110953</v>
      </c>
      <c r="E103" s="29">
        <f>IF(TrRoad_act!E19=0,0,E42/TrRoad_act!E19*1000)</f>
        <v>95.274533246972567</v>
      </c>
      <c r="F103" s="29">
        <f>IF(TrRoad_act!F19=0,0,F42/TrRoad_act!F19*1000)</f>
        <v>93.73264435914119</v>
      </c>
      <c r="G103" s="29">
        <f>IF(TrRoad_act!G19=0,0,G42/TrRoad_act!G19*1000)</f>
        <v>92.537536738530548</v>
      </c>
      <c r="H103" s="29">
        <f>IF(TrRoad_act!H19=0,0,H42/TrRoad_act!H19*1000)</f>
        <v>96.493506712046667</v>
      </c>
      <c r="I103" s="29">
        <f>IF(TrRoad_act!I19=0,0,I42/TrRoad_act!I19*1000)</f>
        <v>99.219747832026485</v>
      </c>
      <c r="J103" s="29">
        <f>IF(TrRoad_act!J19=0,0,J42/TrRoad_act!J19*1000)</f>
        <v>94.640941114167177</v>
      </c>
      <c r="K103" s="29">
        <f>IF(TrRoad_act!K19=0,0,K42/TrRoad_act!K19*1000)</f>
        <v>107.60463889146835</v>
      </c>
      <c r="L103" s="29">
        <f>IF(TrRoad_act!L19=0,0,L42/TrRoad_act!L19*1000)</f>
        <v>98.410609746097137</v>
      </c>
      <c r="M103" s="29">
        <f>IF(TrRoad_act!M19=0,0,M42/TrRoad_act!M19*1000)</f>
        <v>97.51369639420075</v>
      </c>
      <c r="N103" s="29">
        <f>IF(TrRoad_act!N19=0,0,N42/TrRoad_act!N19*1000)</f>
        <v>96.848094264465573</v>
      </c>
      <c r="O103" s="29">
        <f>IF(TrRoad_act!O19=0,0,O42/TrRoad_act!O19*1000)</f>
        <v>99.681848403517279</v>
      </c>
      <c r="P103" s="29">
        <f>IF(TrRoad_act!P19=0,0,P42/TrRoad_act!P19*1000)</f>
        <v>99.285247932388529</v>
      </c>
      <c r="Q103" s="29">
        <f>IF(TrRoad_act!Q19=0,0,Q42/TrRoad_act!Q19*1000)</f>
        <v>97.883251601687434</v>
      </c>
      <c r="R103" s="29">
        <f>IF(TrRoad_act!R19=0,0,R42/TrRoad_act!R19*1000)</f>
        <v>91.782998837245316</v>
      </c>
      <c r="S103" s="29">
        <f>IF(TrRoad_act!S19=0,0,S42/TrRoad_act!S19*1000)</f>
        <v>89.666944440513788</v>
      </c>
      <c r="T103" s="29">
        <f>IF(TrRoad_act!T19=0,0,T42/TrRoad_act!T19*1000)</f>
        <v>90.642721022681059</v>
      </c>
      <c r="U103" s="29">
        <f>IF(TrRoad_act!U19=0,0,U42/TrRoad_act!U19*1000)</f>
        <v>87.938720897880557</v>
      </c>
      <c r="V103" s="29">
        <f>IF(TrRoad_act!V19=0,0,V42/TrRoad_act!V19*1000)</f>
        <v>90.075958756052415</v>
      </c>
      <c r="W103" s="29">
        <f>IF(TrRoad_act!W19=0,0,W42/TrRoad_act!W19*1000)</f>
        <v>89.297224641830397</v>
      </c>
      <c r="X103" s="29">
        <f>IF(TrRoad_act!X19=0,0,X42/TrRoad_act!X19*1000)</f>
        <v>94.902312302573534</v>
      </c>
      <c r="Y103" s="29">
        <f>IF(TrRoad_act!Y19=0,0,Y42/TrRoad_act!Y19*1000)</f>
        <v>95.510762795087544</v>
      </c>
      <c r="DA103" s="173" t="s">
        <v>425</v>
      </c>
    </row>
    <row r="104" spans="1:105" ht="11.45" customHeight="1" x14ac:dyDescent="0.25">
      <c r="A104" s="136" t="s">
        <v>153</v>
      </c>
      <c r="B104" s="152">
        <f>IF(TrRoad_act!B20=0,0,B43/TrRoad_act!B20*1000)</f>
        <v>257.23741553597654</v>
      </c>
      <c r="C104" s="152">
        <f>IF(TrRoad_act!C20=0,0,C43/TrRoad_act!C20*1000)</f>
        <v>245.26202177370573</v>
      </c>
      <c r="D104" s="152">
        <f>IF(TrRoad_act!D20=0,0,D43/TrRoad_act!D20*1000)</f>
        <v>240.77286688565178</v>
      </c>
      <c r="E104" s="152">
        <f>IF(TrRoad_act!E20=0,0,E43/TrRoad_act!E20*1000)</f>
        <v>237.1995545936914</v>
      </c>
      <c r="F104" s="152">
        <f>IF(TrRoad_act!F20=0,0,F43/TrRoad_act!F20*1000)</f>
        <v>238.41087888031171</v>
      </c>
      <c r="G104" s="152">
        <f>IF(TrRoad_act!G20=0,0,G43/TrRoad_act!G20*1000)</f>
        <v>236.64801914517193</v>
      </c>
      <c r="H104" s="152">
        <f>IF(TrRoad_act!H20=0,0,H43/TrRoad_act!H20*1000)</f>
        <v>237.21891637189091</v>
      </c>
      <c r="I104" s="152">
        <f>IF(TrRoad_act!I20=0,0,I43/TrRoad_act!I20*1000)</f>
        <v>238.37491503046991</v>
      </c>
      <c r="J104" s="152">
        <f>IF(TrRoad_act!J20=0,0,J43/TrRoad_act!J20*1000)</f>
        <v>231.59681405164068</v>
      </c>
      <c r="K104" s="152">
        <f>IF(TrRoad_act!K20=0,0,K43/TrRoad_act!K20*1000)</f>
        <v>228.08416887623741</v>
      </c>
      <c r="L104" s="152">
        <f>IF(TrRoad_act!L20=0,0,L43/TrRoad_act!L20*1000)</f>
        <v>223.77672774460416</v>
      </c>
      <c r="M104" s="152">
        <f>IF(TrRoad_act!M20=0,0,M43/TrRoad_act!M20*1000)</f>
        <v>220.94305390577381</v>
      </c>
      <c r="N104" s="152">
        <f>IF(TrRoad_act!N20=0,0,N43/TrRoad_act!N20*1000)</f>
        <v>218.66383434886313</v>
      </c>
      <c r="O104" s="152">
        <f>IF(TrRoad_act!O20=0,0,O43/TrRoad_act!O20*1000)</f>
        <v>217.68410945354762</v>
      </c>
      <c r="P104" s="152">
        <f>IF(TrRoad_act!P20=0,0,P43/TrRoad_act!P20*1000)</f>
        <v>218.3412622128586</v>
      </c>
      <c r="Q104" s="152">
        <f>IF(TrRoad_act!Q20=0,0,Q43/TrRoad_act!Q20*1000)</f>
        <v>222.2486529641443</v>
      </c>
      <c r="R104" s="152">
        <f>IF(TrRoad_act!R20=0,0,R43/TrRoad_act!R20*1000)</f>
        <v>219.22757358575956</v>
      </c>
      <c r="S104" s="152">
        <f>IF(TrRoad_act!S20=0,0,S43/TrRoad_act!S20*1000)</f>
        <v>215.60999647005875</v>
      </c>
      <c r="T104" s="152">
        <f>IF(TrRoad_act!T20=0,0,T43/TrRoad_act!T20*1000)</f>
        <v>214.11450451475298</v>
      </c>
      <c r="U104" s="152">
        <f>IF(TrRoad_act!U20=0,0,U43/TrRoad_act!U20*1000)</f>
        <v>210.06146780624039</v>
      </c>
      <c r="V104" s="152">
        <f>IF(TrRoad_act!V20=0,0,V43/TrRoad_act!V20*1000)</f>
        <v>207.5498511581736</v>
      </c>
      <c r="W104" s="152">
        <f>IF(TrRoad_act!W20=0,0,W43/TrRoad_act!W20*1000)</f>
        <v>209.43331875738406</v>
      </c>
      <c r="X104" s="152">
        <f>IF(TrRoad_act!X20=0,0,X43/TrRoad_act!X20*1000)</f>
        <v>219.96909676581453</v>
      </c>
      <c r="Y104" s="152">
        <f>IF(TrRoad_act!Y20=0,0,Y43/TrRoad_act!Y20*1000)</f>
        <v>219.40362713429633</v>
      </c>
      <c r="DA104" s="174" t="s">
        <v>426</v>
      </c>
    </row>
    <row r="105" spans="1:105" ht="11.45" customHeight="1" x14ac:dyDescent="0.25">
      <c r="A105" s="111" t="s">
        <v>110</v>
      </c>
      <c r="B105" s="87">
        <f>IF(TrRoad_act!B21=0,0,B44/TrRoad_act!B21*1000)</f>
        <v>265.9911106940246</v>
      </c>
      <c r="C105" s="87">
        <f>IF(TrRoad_act!C21=0,0,C44/TrRoad_act!C21*1000)</f>
        <v>262.23988009825143</v>
      </c>
      <c r="D105" s="87">
        <f>IF(TrRoad_act!D21=0,0,D44/TrRoad_act!D21*1000)</f>
        <v>259.70652628735053</v>
      </c>
      <c r="E105" s="87">
        <f>IF(TrRoad_act!E21=0,0,E44/TrRoad_act!E21*1000)</f>
        <v>257.28107845096241</v>
      </c>
      <c r="F105" s="87">
        <f>IF(TrRoad_act!F21=0,0,F44/TrRoad_act!F21*1000)</f>
        <v>254.06527802025875</v>
      </c>
      <c r="G105" s="87">
        <f>IF(TrRoad_act!G21=0,0,G44/TrRoad_act!G21*1000)</f>
        <v>248.86565776810264</v>
      </c>
      <c r="H105" s="87">
        <f>IF(TrRoad_act!H21=0,0,H44/TrRoad_act!H21*1000)</f>
        <v>242.3837549326409</v>
      </c>
      <c r="I105" s="87">
        <f>IF(TrRoad_act!I21=0,0,I44/TrRoad_act!I21*1000)</f>
        <v>236.08112608278054</v>
      </c>
      <c r="J105" s="87">
        <f>IF(TrRoad_act!J21=0,0,J44/TrRoad_act!J21*1000)</f>
        <v>233.46643070939245</v>
      </c>
      <c r="K105" s="87">
        <f>IF(TrRoad_act!K21=0,0,K44/TrRoad_act!K21*1000)</f>
        <v>231.94821878090553</v>
      </c>
      <c r="L105" s="87">
        <f>IF(TrRoad_act!L21=0,0,L44/TrRoad_act!L21*1000)</f>
        <v>230.52082563327309</v>
      </c>
      <c r="M105" s="87">
        <f>IF(TrRoad_act!M21=0,0,M44/TrRoad_act!M21*1000)</f>
        <v>229.53236374335802</v>
      </c>
      <c r="N105" s="87">
        <f>IF(TrRoad_act!N21=0,0,N44/TrRoad_act!N21*1000)</f>
        <v>228.33746115122582</v>
      </c>
      <c r="O105" s="87">
        <f>IF(TrRoad_act!O21=0,0,O44/TrRoad_act!O21*1000)</f>
        <v>228.63440499181482</v>
      </c>
      <c r="P105" s="87">
        <f>IF(TrRoad_act!P21=0,0,P44/TrRoad_act!P21*1000)</f>
        <v>227.60943637110933</v>
      </c>
      <c r="Q105" s="87">
        <f>IF(TrRoad_act!Q21=0,0,Q44/TrRoad_act!Q21*1000)</f>
        <v>225.17490877823457</v>
      </c>
      <c r="R105" s="87">
        <f>IF(TrRoad_act!R21=0,0,R44/TrRoad_act!R21*1000)</f>
        <v>223.84866114624151</v>
      </c>
      <c r="S105" s="87">
        <f>IF(TrRoad_act!S21=0,0,S44/TrRoad_act!S21*1000)</f>
        <v>228.9010179529169</v>
      </c>
      <c r="T105" s="87">
        <f>IF(TrRoad_act!T21=0,0,T44/TrRoad_act!T21*1000)</f>
        <v>226.68300177351935</v>
      </c>
      <c r="U105" s="87">
        <f>IF(TrRoad_act!U21=0,0,U44/TrRoad_act!U21*1000)</f>
        <v>223.64875964321567</v>
      </c>
      <c r="V105" s="87">
        <f>IF(TrRoad_act!V21=0,0,V44/TrRoad_act!V21*1000)</f>
        <v>210.1744643797789</v>
      </c>
      <c r="W105" s="87">
        <f>IF(TrRoad_act!W21=0,0,W44/TrRoad_act!W21*1000)</f>
        <v>212.21597681791917</v>
      </c>
      <c r="X105" s="87">
        <f>IF(TrRoad_act!X21=0,0,X44/TrRoad_act!X21*1000)</f>
        <v>224.73670112534472</v>
      </c>
      <c r="Y105" s="87">
        <f>IF(TrRoad_act!Y21=0,0,Y44/TrRoad_act!Y21*1000)</f>
        <v>230.22039083925065</v>
      </c>
      <c r="DA105" s="171" t="s">
        <v>709</v>
      </c>
    </row>
    <row r="106" spans="1:105" ht="11.45" customHeight="1" x14ac:dyDescent="0.25">
      <c r="A106" s="111" t="s">
        <v>111</v>
      </c>
      <c r="B106" s="87">
        <f>IF(TrRoad_act!B22=0,0,B46/TrRoad_act!B22*1000)</f>
        <v>257.14110078707262</v>
      </c>
      <c r="C106" s="87">
        <f>IF(TrRoad_act!C22=0,0,C46/TrRoad_act!C22*1000)</f>
        <v>245.1034915743522</v>
      </c>
      <c r="D106" s="87">
        <f>IF(TrRoad_act!D22=0,0,D46/TrRoad_act!D22*1000)</f>
        <v>240.61963816216351</v>
      </c>
      <c r="E106" s="87">
        <f>IF(TrRoad_act!E22=0,0,E46/TrRoad_act!E22*1000)</f>
        <v>237.06334239267466</v>
      </c>
      <c r="F106" s="87">
        <f>IF(TrRoad_act!F22=0,0,F46/TrRoad_act!F22*1000)</f>
        <v>238.32419966228585</v>
      </c>
      <c r="G106" s="87">
        <f>IF(TrRoad_act!G22=0,0,G46/TrRoad_act!G22*1000)</f>
        <v>236.59924920292633</v>
      </c>
      <c r="H106" s="87">
        <f>IF(TrRoad_act!H22=0,0,H46/TrRoad_act!H22*1000)</f>
        <v>237.20410690417995</v>
      </c>
      <c r="I106" s="87">
        <f>IF(TrRoad_act!I22=0,0,I46/TrRoad_act!I22*1000)</f>
        <v>238.3798184449648</v>
      </c>
      <c r="J106" s="87">
        <f>IF(TrRoad_act!J22=0,0,J46/TrRoad_act!J22*1000)</f>
        <v>231.59323059703357</v>
      </c>
      <c r="K106" s="87">
        <f>IF(TrRoad_act!K22=0,0,K46/TrRoad_act!K22*1000)</f>
        <v>228.07715543676568</v>
      </c>
      <c r="L106" s="87">
        <f>IF(TrRoad_act!L22=0,0,L46/TrRoad_act!L22*1000)</f>
        <v>223.7657579827397</v>
      </c>
      <c r="M106" s="87">
        <f>IF(TrRoad_act!M22=0,0,M46/TrRoad_act!M22*1000)</f>
        <v>220.94889084263968</v>
      </c>
      <c r="N106" s="87">
        <f>IF(TrRoad_act!N22=0,0,N46/TrRoad_act!N22*1000)</f>
        <v>218.69418235592443</v>
      </c>
      <c r="O106" s="87">
        <f>IF(TrRoad_act!O22=0,0,O46/TrRoad_act!O22*1000)</f>
        <v>217.7145949961205</v>
      </c>
      <c r="P106" s="87">
        <f>IF(TrRoad_act!P22=0,0,P46/TrRoad_act!P22*1000)</f>
        <v>218.38138336290137</v>
      </c>
      <c r="Q106" s="87">
        <f>IF(TrRoad_act!Q22=0,0,Q46/TrRoad_act!Q22*1000)</f>
        <v>222.29700930854256</v>
      </c>
      <c r="R106" s="87">
        <f>IF(TrRoad_act!R22=0,0,R46/TrRoad_act!R22*1000)</f>
        <v>219.27476376069544</v>
      </c>
      <c r="S106" s="87">
        <f>IF(TrRoad_act!S22=0,0,S46/TrRoad_act!S22*1000)</f>
        <v>215.68220688109764</v>
      </c>
      <c r="T106" s="87">
        <f>IF(TrRoad_act!T22=0,0,T46/TrRoad_act!T22*1000)</f>
        <v>214.19071151431822</v>
      </c>
      <c r="U106" s="87">
        <f>IF(TrRoad_act!U22=0,0,U46/TrRoad_act!U22*1000)</f>
        <v>210.26206813007963</v>
      </c>
      <c r="V106" s="87">
        <f>IF(TrRoad_act!V22=0,0,V46/TrRoad_act!V22*1000)</f>
        <v>207.9955980707407</v>
      </c>
      <c r="W106" s="87">
        <f>IF(TrRoad_act!W22=0,0,W46/TrRoad_act!W22*1000)</f>
        <v>210.17748647007247</v>
      </c>
      <c r="X106" s="87">
        <f>IF(TrRoad_act!X22=0,0,X46/TrRoad_act!X22*1000)</f>
        <v>221.06777968313074</v>
      </c>
      <c r="Y106" s="87">
        <f>IF(TrRoad_act!Y22=0,0,Y46/TrRoad_act!Y22*1000)</f>
        <v>220.86561924559464</v>
      </c>
      <c r="DA106" s="171" t="s">
        <v>710</v>
      </c>
    </row>
    <row r="107" spans="1:105" ht="11.45" customHeight="1" x14ac:dyDescent="0.25">
      <c r="A107" s="111" t="s">
        <v>112</v>
      </c>
      <c r="B107" s="87">
        <f>IF(TrRoad_act!B23=0,0,B48/TrRoad_act!B23*1000)</f>
        <v>0</v>
      </c>
      <c r="C107" s="87">
        <f>IF(TrRoad_act!C23=0,0,C48/TrRoad_act!C23*1000)</f>
        <v>0</v>
      </c>
      <c r="D107" s="87">
        <f>IF(TrRoad_act!D23=0,0,D48/TrRoad_act!D23*1000)</f>
        <v>0</v>
      </c>
      <c r="E107" s="87">
        <f>IF(TrRoad_act!E23=0,0,E48/TrRoad_act!E23*1000)</f>
        <v>0</v>
      </c>
      <c r="F107" s="87">
        <f>IF(TrRoad_act!F23=0,0,F48/TrRoad_act!F23*1000)</f>
        <v>0</v>
      </c>
      <c r="G107" s="87">
        <f>IF(TrRoad_act!G23=0,0,G48/TrRoad_act!G23*1000)</f>
        <v>0</v>
      </c>
      <c r="H107" s="87">
        <f>IF(TrRoad_act!H23=0,0,H48/TrRoad_act!H23*1000)</f>
        <v>0</v>
      </c>
      <c r="I107" s="87">
        <f>IF(TrRoad_act!I23=0,0,I48/TrRoad_act!I23*1000)</f>
        <v>0</v>
      </c>
      <c r="J107" s="87">
        <f>IF(TrRoad_act!J23=0,0,J48/TrRoad_act!J23*1000)</f>
        <v>0</v>
      </c>
      <c r="K107" s="87">
        <f>IF(TrRoad_act!K23=0,0,K48/TrRoad_act!K23*1000)</f>
        <v>0</v>
      </c>
      <c r="L107" s="87">
        <f>IF(TrRoad_act!L23=0,0,L48/TrRoad_act!L23*1000)</f>
        <v>0</v>
      </c>
      <c r="M107" s="87">
        <f>IF(TrRoad_act!M23=0,0,M48/TrRoad_act!M23*1000)</f>
        <v>0</v>
      </c>
      <c r="N107" s="87">
        <f>IF(TrRoad_act!N23=0,0,N48/TrRoad_act!N23*1000)</f>
        <v>0</v>
      </c>
      <c r="O107" s="87">
        <f>IF(TrRoad_act!O23=0,0,O48/TrRoad_act!O23*1000)</f>
        <v>235.53844997938023</v>
      </c>
      <c r="P107" s="87">
        <f>IF(TrRoad_act!P23=0,0,P48/TrRoad_act!P23*1000)</f>
        <v>237.2820107140281</v>
      </c>
      <c r="Q107" s="87">
        <f>IF(TrRoad_act!Q23=0,0,Q48/TrRoad_act!Q23*1000)</f>
        <v>236.70685410562191</v>
      </c>
      <c r="R107" s="87">
        <f>IF(TrRoad_act!R23=0,0,R48/TrRoad_act!R23*1000)</f>
        <v>236.21881798399755</v>
      </c>
      <c r="S107" s="87">
        <f>IF(TrRoad_act!S23=0,0,S48/TrRoad_act!S23*1000)</f>
        <v>225.34091833185835</v>
      </c>
      <c r="T107" s="87">
        <f>IF(TrRoad_act!T23=0,0,T48/TrRoad_act!T23*1000)</f>
        <v>225.81255846588587</v>
      </c>
      <c r="U107" s="87">
        <f>IF(TrRoad_act!U23=0,0,U48/TrRoad_act!U23*1000)</f>
        <v>225.33894774751766</v>
      </c>
      <c r="V107" s="87">
        <f>IF(TrRoad_act!V23=0,0,V48/TrRoad_act!V23*1000)</f>
        <v>222.90184258556806</v>
      </c>
      <c r="W107" s="87">
        <f>IF(TrRoad_act!W23=0,0,W48/TrRoad_act!W23*1000)</f>
        <v>223.37989272885065</v>
      </c>
      <c r="X107" s="87">
        <f>IF(TrRoad_act!X23=0,0,X48/TrRoad_act!X23*1000)</f>
        <v>223.8853377709473</v>
      </c>
      <c r="Y107" s="87">
        <f>IF(TrRoad_act!Y23=0,0,Y48/TrRoad_act!Y23*1000)</f>
        <v>224.45820711547736</v>
      </c>
      <c r="DA107" s="171" t="s">
        <v>711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0</v>
      </c>
      <c r="I108" s="87">
        <f>IF(TrRoad_act!I24=0,0,I49/TrRoad_act!I24*1000)</f>
        <v>0</v>
      </c>
      <c r="J108" s="87">
        <f>IF(TrRoad_act!J24=0,0,J49/TrRoad_act!J24*1000)</f>
        <v>0</v>
      </c>
      <c r="K108" s="87">
        <f>IF(TrRoad_act!K24=0,0,K49/TrRoad_act!K24*1000)</f>
        <v>0</v>
      </c>
      <c r="L108" s="87">
        <f>IF(TrRoad_act!L24=0,0,L49/TrRoad_act!L24*1000)</f>
        <v>0</v>
      </c>
      <c r="M108" s="87">
        <f>IF(TrRoad_act!M24=0,0,M49/TrRoad_act!M24*1000)</f>
        <v>0</v>
      </c>
      <c r="N108" s="87">
        <f>IF(TrRoad_act!N24=0,0,N49/TrRoad_act!N24*1000)</f>
        <v>0</v>
      </c>
      <c r="O108" s="87">
        <f>IF(TrRoad_act!O24=0,0,O49/TrRoad_act!O24*1000)</f>
        <v>0</v>
      </c>
      <c r="P108" s="87">
        <f>IF(TrRoad_act!P24=0,0,P49/TrRoad_act!P24*1000)</f>
        <v>0</v>
      </c>
      <c r="Q108" s="87">
        <f>IF(TrRoad_act!Q24=0,0,Q49/TrRoad_act!Q24*1000)</f>
        <v>0</v>
      </c>
      <c r="R108" s="87">
        <f>IF(TrRoad_act!R24=0,0,R49/TrRoad_act!R24*1000)</f>
        <v>0</v>
      </c>
      <c r="S108" s="87">
        <f>IF(TrRoad_act!S24=0,0,S49/TrRoad_act!S24*1000)</f>
        <v>0</v>
      </c>
      <c r="T108" s="87">
        <f>IF(TrRoad_act!T24=0,0,T49/TrRoad_act!T24*1000)</f>
        <v>0</v>
      </c>
      <c r="U108" s="87">
        <f>IF(TrRoad_act!U24=0,0,U49/TrRoad_act!U24*1000)</f>
        <v>0</v>
      </c>
      <c r="V108" s="87">
        <f>IF(TrRoad_act!V24=0,0,V49/TrRoad_act!V24*1000)</f>
        <v>0</v>
      </c>
      <c r="W108" s="87">
        <f>IF(TrRoad_act!W24=0,0,W49/TrRoad_act!W24*1000)</f>
        <v>0</v>
      </c>
      <c r="X108" s="87">
        <f>IF(TrRoad_act!X24=0,0,X49/TrRoad_act!X24*1000)</f>
        <v>0</v>
      </c>
      <c r="Y108" s="87">
        <f>IF(TrRoad_act!Y24=0,0,Y49/TrRoad_act!Y24*1000)</f>
        <v>0</v>
      </c>
      <c r="DA108" s="171" t="s">
        <v>712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0</v>
      </c>
      <c r="I109" s="87">
        <f>IF(TrRoad_act!I25=0,0,I51/TrRoad_act!I25*1000)</f>
        <v>0</v>
      </c>
      <c r="J109" s="87">
        <f>IF(TrRoad_act!J25=0,0,J51/TrRoad_act!J25*1000)</f>
        <v>0</v>
      </c>
      <c r="K109" s="87">
        <f>IF(TrRoad_act!K25=0,0,K51/TrRoad_act!K25*1000)</f>
        <v>0</v>
      </c>
      <c r="L109" s="87">
        <f>IF(TrRoad_act!L25=0,0,L51/TrRoad_act!L25*1000)</f>
        <v>0</v>
      </c>
      <c r="M109" s="87">
        <f>IF(TrRoad_act!M25=0,0,M51/TrRoad_act!M25*1000)</f>
        <v>35.948307058187574</v>
      </c>
      <c r="N109" s="87">
        <f>IF(TrRoad_act!N25=0,0,N51/TrRoad_act!N25*1000)</f>
        <v>36.062966002105213</v>
      </c>
      <c r="O109" s="87">
        <f>IF(TrRoad_act!O25=0,0,O51/TrRoad_act!O25*1000)</f>
        <v>36.076259560760953</v>
      </c>
      <c r="P109" s="87">
        <f>IF(TrRoad_act!P25=0,0,P51/TrRoad_act!P25*1000)</f>
        <v>36.204359879025098</v>
      </c>
      <c r="Q109" s="87">
        <f>IF(TrRoad_act!Q25=0,0,Q51/TrRoad_act!Q25*1000)</f>
        <v>37.137800777877516</v>
      </c>
      <c r="R109" s="87">
        <f>IF(TrRoad_act!R25=0,0,R51/TrRoad_act!R25*1000)</f>
        <v>37.394129138425953</v>
      </c>
      <c r="S109" s="87">
        <f>IF(TrRoad_act!S25=0,0,S51/TrRoad_act!S25*1000)</f>
        <v>38.053019720486219</v>
      </c>
      <c r="T109" s="87">
        <f>IF(TrRoad_act!T25=0,0,T51/TrRoad_act!T25*1000)</f>
        <v>42.263795717840175</v>
      </c>
      <c r="U109" s="87">
        <f>IF(TrRoad_act!U25=0,0,U51/TrRoad_act!U25*1000)</f>
        <v>62.043973690046734</v>
      </c>
      <c r="V109" s="87">
        <f>IF(TrRoad_act!V25=0,0,V51/TrRoad_act!V25*1000)</f>
        <v>51.985091587072198</v>
      </c>
      <c r="W109" s="87">
        <f>IF(TrRoad_act!W25=0,0,W51/TrRoad_act!W25*1000)</f>
        <v>56.581790410805588</v>
      </c>
      <c r="X109" s="87">
        <f>IF(TrRoad_act!X25=0,0,X51/TrRoad_act!X25*1000)</f>
        <v>60.10886223342321</v>
      </c>
      <c r="Y109" s="87">
        <f>IF(TrRoad_act!Y25=0,0,Y51/TrRoad_act!Y25*1000)</f>
        <v>62.529478569572277</v>
      </c>
      <c r="DA109" s="171" t="s">
        <v>713</v>
      </c>
    </row>
    <row r="110" spans="1:105" ht="11.45" customHeight="1" x14ac:dyDescent="0.25">
      <c r="A110" s="109" t="s">
        <v>154</v>
      </c>
      <c r="B110" s="116">
        <f>IF(TrRoad_act!B26=0,0,B52/TrRoad_act!B26*1000)</f>
        <v>91.539108197984163</v>
      </c>
      <c r="C110" s="116">
        <f>IF(TrRoad_act!C26=0,0,C52/TrRoad_act!C26*1000)</f>
        <v>89.6537743595688</v>
      </c>
      <c r="D110" s="116">
        <f>IF(TrRoad_act!D26=0,0,D52/TrRoad_act!D26*1000)</f>
        <v>79.733129060116141</v>
      </c>
      <c r="E110" s="116">
        <f>IF(TrRoad_act!E26=0,0,E52/TrRoad_act!E26*1000)</f>
        <v>73.818382296599125</v>
      </c>
      <c r="F110" s="116">
        <f>IF(TrRoad_act!F26=0,0,F52/TrRoad_act!F26*1000)</f>
        <v>72.836014299396894</v>
      </c>
      <c r="G110" s="116">
        <f>IF(TrRoad_act!G26=0,0,G52/TrRoad_act!G26*1000)</f>
        <v>71.496861338209428</v>
      </c>
      <c r="H110" s="116">
        <f>IF(TrRoad_act!H26=0,0,H52/TrRoad_act!H26*1000)</f>
        <v>74.3334693479066</v>
      </c>
      <c r="I110" s="116">
        <f>IF(TrRoad_act!I26=0,0,I52/TrRoad_act!I26*1000)</f>
        <v>77.109293755144876</v>
      </c>
      <c r="J110" s="116">
        <f>IF(TrRoad_act!J26=0,0,J52/TrRoad_act!J26*1000)</f>
        <v>70.714367188132073</v>
      </c>
      <c r="K110" s="116">
        <f>IF(TrRoad_act!K26=0,0,K52/TrRoad_act!K26*1000)</f>
        <v>76.840674167297621</v>
      </c>
      <c r="L110" s="116">
        <f>IF(TrRoad_act!L26=0,0,L52/TrRoad_act!L26*1000)</f>
        <v>67.530368323016788</v>
      </c>
      <c r="M110" s="116">
        <f>IF(TrRoad_act!M26=0,0,M52/TrRoad_act!M26*1000)</f>
        <v>65.675363944017235</v>
      </c>
      <c r="N110" s="116">
        <f>IF(TrRoad_act!N26=0,0,N52/TrRoad_act!N26*1000)</f>
        <v>66.22321861887275</v>
      </c>
      <c r="O110" s="116">
        <f>IF(TrRoad_act!O26=0,0,O52/TrRoad_act!O26*1000)</f>
        <v>68.338478980348427</v>
      </c>
      <c r="P110" s="116">
        <f>IF(TrRoad_act!P26=0,0,P52/TrRoad_act!P26*1000)</f>
        <v>70.011966597452968</v>
      </c>
      <c r="Q110" s="116">
        <f>IF(TrRoad_act!Q26=0,0,Q52/TrRoad_act!Q26*1000)</f>
        <v>69.458536008585739</v>
      </c>
      <c r="R110" s="116">
        <f>IF(TrRoad_act!R26=0,0,R52/TrRoad_act!R26*1000)</f>
        <v>66.949992462156089</v>
      </c>
      <c r="S110" s="116">
        <f>IF(TrRoad_act!S26=0,0,S52/TrRoad_act!S26*1000)</f>
        <v>65.383664761724944</v>
      </c>
      <c r="T110" s="116">
        <f>IF(TrRoad_act!T26=0,0,T52/TrRoad_act!T26*1000)</f>
        <v>67.108657549773355</v>
      </c>
      <c r="U110" s="116">
        <f>IF(TrRoad_act!U26=0,0,U52/TrRoad_act!U26*1000)</f>
        <v>66.533336099584957</v>
      </c>
      <c r="V110" s="116">
        <f>IF(TrRoad_act!V26=0,0,V52/TrRoad_act!V26*1000)</f>
        <v>65.603974561980309</v>
      </c>
      <c r="W110" s="116">
        <f>IF(TrRoad_act!W26=0,0,W52/TrRoad_act!W26*1000)</f>
        <v>66.342041914747654</v>
      </c>
      <c r="X110" s="116">
        <f>IF(TrRoad_act!X26=0,0,X52/TrRoad_act!X26*1000)</f>
        <v>70.097793944925826</v>
      </c>
      <c r="Y110" s="116">
        <f>IF(TrRoad_act!Y26=0,0,Y52/TrRoad_act!Y26*1000)</f>
        <v>70.297570196220505</v>
      </c>
      <c r="DA110" s="176" t="s">
        <v>427</v>
      </c>
    </row>
    <row r="111" spans="1:105" ht="11.45" customHeight="1" x14ac:dyDescent="0.25">
      <c r="A111" s="128" t="s">
        <v>27</v>
      </c>
      <c r="B111" s="101">
        <f>IF(TrRoad_act!B27=0,0,B53/TrRoad_act!B27*1000)</f>
        <v>97.80252775676378</v>
      </c>
      <c r="C111" s="101">
        <f>IF(TrRoad_act!C27=0,0,C53/TrRoad_act!C27*1000)</f>
        <v>95.242522868954239</v>
      </c>
      <c r="D111" s="101">
        <f>IF(TrRoad_act!D27=0,0,D53/TrRoad_act!D27*1000)</f>
        <v>84.173223202739464</v>
      </c>
      <c r="E111" s="101">
        <f>IF(TrRoad_act!E27=0,0,E53/TrRoad_act!E27*1000)</f>
        <v>77.353142262671994</v>
      </c>
      <c r="F111" s="101">
        <f>IF(TrRoad_act!F27=0,0,F53/TrRoad_act!F27*1000)</f>
        <v>76.406349279651963</v>
      </c>
      <c r="G111" s="101">
        <f>IF(TrRoad_act!G27=0,0,G53/TrRoad_act!G27*1000)</f>
        <v>75.086540310288257</v>
      </c>
      <c r="H111" s="101">
        <f>IF(TrRoad_act!H27=0,0,H53/TrRoad_act!H27*1000)</f>
        <v>78.274687408274019</v>
      </c>
      <c r="I111" s="101">
        <f>IF(TrRoad_act!I27=0,0,I53/TrRoad_act!I27*1000)</f>
        <v>81.378951812455739</v>
      </c>
      <c r="J111" s="101">
        <f>IF(TrRoad_act!J27=0,0,J53/TrRoad_act!J27*1000)</f>
        <v>74.394547073333484</v>
      </c>
      <c r="K111" s="101">
        <f>IF(TrRoad_act!K27=0,0,K53/TrRoad_act!K27*1000)</f>
        <v>82.549021463828367</v>
      </c>
      <c r="L111" s="101">
        <f>IF(TrRoad_act!L27=0,0,L53/TrRoad_act!L27*1000)</f>
        <v>73.248820306754851</v>
      </c>
      <c r="M111" s="101">
        <f>IF(TrRoad_act!M27=0,0,M53/TrRoad_act!M27*1000)</f>
        <v>72.515392844786959</v>
      </c>
      <c r="N111" s="101">
        <f>IF(TrRoad_act!N27=0,0,N53/TrRoad_act!N27*1000)</f>
        <v>72.433775725715009</v>
      </c>
      <c r="O111" s="101">
        <f>IF(TrRoad_act!O27=0,0,O53/TrRoad_act!O27*1000)</f>
        <v>74.747358201418308</v>
      </c>
      <c r="P111" s="101">
        <f>IF(TrRoad_act!P27=0,0,P53/TrRoad_act!P27*1000)</f>
        <v>75.783808469936133</v>
      </c>
      <c r="Q111" s="101">
        <f>IF(TrRoad_act!Q27=0,0,Q53/TrRoad_act!Q27*1000)</f>
        <v>75.657925026627538</v>
      </c>
      <c r="R111" s="101">
        <f>IF(TrRoad_act!R27=0,0,R53/TrRoad_act!R27*1000)</f>
        <v>71.242213353605138</v>
      </c>
      <c r="S111" s="101">
        <f>IF(TrRoad_act!S27=0,0,S53/TrRoad_act!S27*1000)</f>
        <v>69.552068019724203</v>
      </c>
      <c r="T111" s="101">
        <f>IF(TrRoad_act!T27=0,0,T53/TrRoad_act!T27*1000)</f>
        <v>71.897819850150114</v>
      </c>
      <c r="U111" s="101">
        <f>IF(TrRoad_act!U27=0,0,U53/TrRoad_act!U27*1000)</f>
        <v>71.551722553241902</v>
      </c>
      <c r="V111" s="101">
        <f>IF(TrRoad_act!V27=0,0,V53/TrRoad_act!V27*1000)</f>
        <v>67.538837575656714</v>
      </c>
      <c r="W111" s="101">
        <f>IF(TrRoad_act!W27=0,0,W53/TrRoad_act!W27*1000)</f>
        <v>68.106982509235394</v>
      </c>
      <c r="X111" s="101">
        <f>IF(TrRoad_act!X27=0,0,X53/TrRoad_act!X27*1000)</f>
        <v>71.978404117795876</v>
      </c>
      <c r="Y111" s="101">
        <f>IF(TrRoad_act!Y27=0,0,Y53/TrRoad_act!Y27*1000)</f>
        <v>72.162720498274837</v>
      </c>
      <c r="DA111" s="175" t="s">
        <v>714</v>
      </c>
    </row>
    <row r="112" spans="1:105" ht="11.45" customHeight="1" x14ac:dyDescent="0.25">
      <c r="A112" s="138" t="s">
        <v>116</v>
      </c>
      <c r="B112" s="88">
        <f>IF(TrRoad_act!B28=0,0,B55/TrRoad_act!B28*1000)</f>
        <v>47.178957690762061</v>
      </c>
      <c r="C112" s="88">
        <f>IF(TrRoad_act!C28=0,0,C55/TrRoad_act!C28*1000)</f>
        <v>49.22363387295114</v>
      </c>
      <c r="D112" s="88">
        <f>IF(TrRoad_act!D28=0,0,D55/TrRoad_act!D28*1000)</f>
        <v>44.053871219437504</v>
      </c>
      <c r="E112" s="88">
        <f>IF(TrRoad_act!E28=0,0,E55/TrRoad_act!E28*1000)</f>
        <v>42.731067864429384</v>
      </c>
      <c r="F112" s="88">
        <f>IF(TrRoad_act!F28=0,0,F55/TrRoad_act!F28*1000)</f>
        <v>42.875704476008643</v>
      </c>
      <c r="G112" s="88">
        <f>IF(TrRoad_act!G28=0,0,G55/TrRoad_act!G28*1000)</f>
        <v>40.695503017101139</v>
      </c>
      <c r="H112" s="88">
        <f>IF(TrRoad_act!H28=0,0,H55/TrRoad_act!H28*1000)</f>
        <v>41.948306883727078</v>
      </c>
      <c r="I112" s="88">
        <f>IF(TrRoad_act!I28=0,0,I55/TrRoad_act!I28*1000)</f>
        <v>43.24256950334712</v>
      </c>
      <c r="J112" s="88">
        <f>IF(TrRoad_act!J28=0,0,J55/TrRoad_act!J28*1000)</f>
        <v>39.856306991288477</v>
      </c>
      <c r="K112" s="88">
        <f>IF(TrRoad_act!K28=0,0,K55/TrRoad_act!K28*1000)</f>
        <v>40.90431644619327</v>
      </c>
      <c r="L112" s="88">
        <f>IF(TrRoad_act!L28=0,0,L55/TrRoad_act!L28*1000)</f>
        <v>34.765826215840612</v>
      </c>
      <c r="M112" s="88">
        <f>IF(TrRoad_act!M28=0,0,M55/TrRoad_act!M28*1000)</f>
        <v>32.934859526391008</v>
      </c>
      <c r="N112" s="88">
        <f>IF(TrRoad_act!N28=0,0,N55/TrRoad_act!N28*1000)</f>
        <v>33.266708829088749</v>
      </c>
      <c r="O112" s="88">
        <f>IF(TrRoad_act!O28=0,0,O55/TrRoad_act!O28*1000)</f>
        <v>33.76395505136599</v>
      </c>
      <c r="P112" s="88">
        <f>IF(TrRoad_act!P28=0,0,P55/TrRoad_act!P28*1000)</f>
        <v>36.004801210112738</v>
      </c>
      <c r="Q112" s="88">
        <f>IF(TrRoad_act!Q28=0,0,Q55/TrRoad_act!Q28*1000)</f>
        <v>36.491035534646507</v>
      </c>
      <c r="R112" s="88">
        <f>IF(TrRoad_act!R28=0,0,R55/TrRoad_act!R28*1000)</f>
        <v>36.506034458775865</v>
      </c>
      <c r="S112" s="88">
        <f>IF(TrRoad_act!S28=0,0,S55/TrRoad_act!S28*1000)</f>
        <v>35.128470328838603</v>
      </c>
      <c r="T112" s="88">
        <f>IF(TrRoad_act!T28=0,0,T55/TrRoad_act!T28*1000)</f>
        <v>35.58000573895962</v>
      </c>
      <c r="U112" s="88">
        <f>IF(TrRoad_act!U28=0,0,U55/TrRoad_act!U28*1000)</f>
        <v>35.625761401631337</v>
      </c>
      <c r="V112" s="88">
        <f>IF(TrRoad_act!V28=0,0,V55/TrRoad_act!V28*1000)</f>
        <v>35.692841386392324</v>
      </c>
      <c r="W112" s="88">
        <f>IF(TrRoad_act!W28=0,0,W55/TrRoad_act!W28*1000)</f>
        <v>36.57357106406301</v>
      </c>
      <c r="X112" s="88">
        <f>IF(TrRoad_act!X28=0,0,X55/TrRoad_act!X28*1000)</f>
        <v>37.140181586641873</v>
      </c>
      <c r="Y112" s="88">
        <f>IF(TrRoad_act!Y28=0,0,Y55/TrRoad_act!Y28*1000)</f>
        <v>38.455919287946493</v>
      </c>
      <c r="DA112" s="178" t="s">
        <v>715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DA115" s="173"/>
    </row>
    <row r="116" spans="1:105" ht="11.45" customHeight="1" x14ac:dyDescent="0.25">
      <c r="A116" s="136" t="s">
        <v>173</v>
      </c>
      <c r="B116" s="152">
        <f>IF(B19=0,0,1000000*B19/TrRoad_act!B59)</f>
        <v>143.33156939451106</v>
      </c>
      <c r="C116" s="152">
        <f>IF(C19=0,0,1000000*C19/TrRoad_act!C59)</f>
        <v>142.45689248221569</v>
      </c>
      <c r="D116" s="152">
        <f>IF(D19=0,0,1000000*D19/TrRoad_act!D59)</f>
        <v>138.92342240848799</v>
      </c>
      <c r="E116" s="152">
        <f>IF(E19=0,0,1000000*E19/TrRoad_act!E59)</f>
        <v>140.16520857791204</v>
      </c>
      <c r="F116" s="152">
        <f>IF(F19=0,0,1000000*F19/TrRoad_act!F59)</f>
        <v>135.41908257904279</v>
      </c>
      <c r="G116" s="152">
        <f>IF(G19=0,0,1000000*G19/TrRoad_act!G59)</f>
        <v>167.49603267894784</v>
      </c>
      <c r="H116" s="152">
        <f>IF(H19=0,0,1000000*H19/TrRoad_act!H59)</f>
        <v>161.16074367189648</v>
      </c>
      <c r="I116" s="152">
        <f>IF(I19=0,0,1000000*I19/TrRoad_act!I59)</f>
        <v>152.99294195038271</v>
      </c>
      <c r="J116" s="152">
        <f>IF(J19=0,0,1000000*J19/TrRoad_act!J59)</f>
        <v>153.77497984015935</v>
      </c>
      <c r="K116" s="152">
        <f>IF(K19=0,0,1000000*K19/TrRoad_act!K59)</f>
        <v>140.1840222624991</v>
      </c>
      <c r="L116" s="152">
        <f>IF(L19=0,0,1000000*L19/TrRoad_act!L59)</f>
        <v>126.23708486465796</v>
      </c>
      <c r="M116" s="152">
        <f>IF(M19=0,0,1000000*M19/TrRoad_act!M59)</f>
        <v>119.87002405630233</v>
      </c>
      <c r="N116" s="152">
        <f>IF(N19=0,0,1000000*N19/TrRoad_act!N59)</f>
        <v>111.79780964127551</v>
      </c>
      <c r="O116" s="152">
        <f>IF(O19=0,0,1000000*O19/TrRoad_act!O59)</f>
        <v>105.512461711737</v>
      </c>
      <c r="P116" s="152">
        <f>IF(P19=0,0,1000000*P19/TrRoad_act!P59)</f>
        <v>121.29016211409163</v>
      </c>
      <c r="Q116" s="152">
        <f>IF(Q19=0,0,1000000*Q19/TrRoad_act!Q59)</f>
        <v>113.63445128759116</v>
      </c>
      <c r="R116" s="152">
        <f>IF(R19=0,0,1000000*R19/TrRoad_act!R59)</f>
        <v>113.62942647618989</v>
      </c>
      <c r="S116" s="152">
        <f>IF(S19=0,0,1000000*S19/TrRoad_act!S59)</f>
        <v>102.2151001043174</v>
      </c>
      <c r="T116" s="152">
        <f>IF(T19=0,0,1000000*T19/TrRoad_act!T59)</f>
        <v>95.739976539228124</v>
      </c>
      <c r="U116" s="152">
        <f>IF(U19=0,0,1000000*U19/TrRoad_act!U59)</f>
        <v>95.920945724039726</v>
      </c>
      <c r="V116" s="152">
        <f>IF(V19=0,0,1000000*V19/TrRoad_act!V59)</f>
        <v>81.789333838051306</v>
      </c>
      <c r="W116" s="152">
        <f>IF(W19=0,0,1000000*W19/TrRoad_act!W59)</f>
        <v>81.700140496495351</v>
      </c>
      <c r="X116" s="152">
        <f>IF(X19=0,0,1000000*X19/TrRoad_act!X59)</f>
        <v>80.639756951063418</v>
      </c>
      <c r="Y116" s="152">
        <f>IF(Y19=0,0,1000000*Y19/TrRoad_act!Y59)</f>
        <v>84.356771743427046</v>
      </c>
      <c r="DA116" s="174" t="s">
        <v>716</v>
      </c>
    </row>
    <row r="117" spans="1:105" ht="11.45" customHeight="1" x14ac:dyDescent="0.25">
      <c r="A117" s="109" t="s">
        <v>20</v>
      </c>
      <c r="B117" s="116">
        <f>IF(B21=0,0,1000000*B21/TrRoad_act!B60)</f>
        <v>1485.5185722732983</v>
      </c>
      <c r="C117" s="116">
        <f>IF(C21=0,0,1000000*C21/TrRoad_act!C60)</f>
        <v>1456.5993824890581</v>
      </c>
      <c r="D117" s="116">
        <f>IF(D21=0,0,1000000*D21/TrRoad_act!D60)</f>
        <v>1401.5836242900898</v>
      </c>
      <c r="E117" s="116">
        <f>IF(E21=0,0,1000000*E21/TrRoad_act!E60)</f>
        <v>1350.201828471352</v>
      </c>
      <c r="F117" s="116">
        <f>IF(F21=0,0,1000000*F21/TrRoad_act!F60)</f>
        <v>1360.28946672643</v>
      </c>
      <c r="G117" s="116">
        <f>IF(G21=0,0,1000000*G21/TrRoad_act!G60)</f>
        <v>1388.8319861301406</v>
      </c>
      <c r="H117" s="116">
        <f>IF(H21=0,0,1000000*H21/TrRoad_act!H60)</f>
        <v>1369.9216799110372</v>
      </c>
      <c r="I117" s="116">
        <f>IF(I21=0,0,1000000*I21/TrRoad_act!I60)</f>
        <v>1368.0333218676308</v>
      </c>
      <c r="J117" s="116">
        <f>IF(J21=0,0,1000000*J21/TrRoad_act!J60)</f>
        <v>1272.1961113427185</v>
      </c>
      <c r="K117" s="116">
        <f>IF(K21=0,0,1000000*K21/TrRoad_act!K60)</f>
        <v>1266.0356734203397</v>
      </c>
      <c r="L117" s="116">
        <f>IF(L21=0,0,1000000*L21/TrRoad_act!L60)</f>
        <v>1235.4070917907993</v>
      </c>
      <c r="M117" s="116">
        <f>IF(M21=0,0,1000000*M21/TrRoad_act!M60)</f>
        <v>1171.9939999710916</v>
      </c>
      <c r="N117" s="116">
        <f>IF(N21=0,0,1000000*N21/TrRoad_act!N60)</f>
        <v>1158.4332712503181</v>
      </c>
      <c r="O117" s="116">
        <f>IF(O21=0,0,1000000*O21/TrRoad_act!O60)</f>
        <v>1166.6521586864358</v>
      </c>
      <c r="P117" s="116">
        <f>IF(P21=0,0,1000000*P21/TrRoad_act!P60)</f>
        <v>1197.7863010970591</v>
      </c>
      <c r="Q117" s="116">
        <f>IF(Q21=0,0,1000000*Q21/TrRoad_act!Q60)</f>
        <v>1204.1114187749247</v>
      </c>
      <c r="R117" s="116">
        <f>IF(R21=0,0,1000000*R21/TrRoad_act!R60)</f>
        <v>1237.3250191069169</v>
      </c>
      <c r="S117" s="116">
        <f>IF(S21=0,0,1000000*S21/TrRoad_act!S60)</f>
        <v>1200.7688457566408</v>
      </c>
      <c r="T117" s="116">
        <f>IF(T21=0,0,1000000*T21/TrRoad_act!T60)</f>
        <v>1172.496126062762</v>
      </c>
      <c r="U117" s="116">
        <f>IF(U21=0,0,1000000*U21/TrRoad_act!U60)</f>
        <v>1131.6184545644526</v>
      </c>
      <c r="V117" s="116">
        <f>IF(V21=0,0,1000000*V21/TrRoad_act!V60)</f>
        <v>913.33337353139132</v>
      </c>
      <c r="W117" s="116">
        <f>IF(W21=0,0,1000000*W21/TrRoad_act!W60)</f>
        <v>955.2334008888397</v>
      </c>
      <c r="X117" s="116">
        <f>IF(X21=0,0,1000000*X21/TrRoad_act!X60)</f>
        <v>1016.6110020285397</v>
      </c>
      <c r="Y117" s="116">
        <f>IF(Y21=0,0,1000000*Y21/TrRoad_act!Y60)</f>
        <v>1003.582970998537</v>
      </c>
      <c r="DA117" s="176" t="s">
        <v>717</v>
      </c>
    </row>
    <row r="118" spans="1:105" ht="11.45" customHeight="1" x14ac:dyDescent="0.25">
      <c r="A118" s="111" t="s">
        <v>110</v>
      </c>
      <c r="B118" s="87">
        <f>IF(B22=0,0,1000000*B22/TrRoad_act!B61)</f>
        <v>1377.8105689630154</v>
      </c>
      <c r="C118" s="87">
        <f>IF(C22=0,0,1000000*C22/TrRoad_act!C61)</f>
        <v>1344.5126459542269</v>
      </c>
      <c r="D118" s="87">
        <f>IF(D22=0,0,1000000*D22/TrRoad_act!D61)</f>
        <v>1317.7175132142872</v>
      </c>
      <c r="E118" s="87">
        <f>IF(E22=0,0,1000000*E22/TrRoad_act!E61)</f>
        <v>1266.6502955380415</v>
      </c>
      <c r="F118" s="87">
        <f>IF(F22=0,0,1000000*F22/TrRoad_act!F61)</f>
        <v>1267.6705573164072</v>
      </c>
      <c r="G118" s="87">
        <f>IF(G22=0,0,1000000*G22/TrRoad_act!G61)</f>
        <v>1305.4247789311432</v>
      </c>
      <c r="H118" s="87">
        <f>IF(H22=0,0,1000000*H22/TrRoad_act!H61)</f>
        <v>1287.9289439062411</v>
      </c>
      <c r="I118" s="87">
        <f>IF(I22=0,0,1000000*I22/TrRoad_act!I61)</f>
        <v>1252.0876153000561</v>
      </c>
      <c r="J118" s="87">
        <f>IF(J22=0,0,1000000*J22/TrRoad_act!J61)</f>
        <v>1159.3124742525069</v>
      </c>
      <c r="K118" s="87">
        <f>IF(K22=0,0,1000000*K22/TrRoad_act!K61)</f>
        <v>1104.4636989501007</v>
      </c>
      <c r="L118" s="87">
        <f>IF(L22=0,0,1000000*L22/TrRoad_act!L61)</f>
        <v>1096.9160700913217</v>
      </c>
      <c r="M118" s="87">
        <f>IF(M22=0,0,1000000*M22/TrRoad_act!M61)</f>
        <v>1018.0337326339227</v>
      </c>
      <c r="N118" s="87">
        <f>IF(N22=0,0,1000000*N22/TrRoad_act!N61)</f>
        <v>1019.2185186208694</v>
      </c>
      <c r="O118" s="87">
        <f>IF(O22=0,0,1000000*O22/TrRoad_act!O61)</f>
        <v>977.61410731015803</v>
      </c>
      <c r="P118" s="87">
        <f>IF(P22=0,0,1000000*P22/TrRoad_act!P61)</f>
        <v>1009.8496296457248</v>
      </c>
      <c r="Q118" s="87">
        <f>IF(Q22=0,0,1000000*Q22/TrRoad_act!Q61)</f>
        <v>913.72942218028311</v>
      </c>
      <c r="R118" s="87">
        <f>IF(R22=0,0,1000000*R22/TrRoad_act!R61)</f>
        <v>957.27618763077317</v>
      </c>
      <c r="S118" s="87">
        <f>IF(S22=0,0,1000000*S22/TrRoad_act!S61)</f>
        <v>925.81986733284828</v>
      </c>
      <c r="T118" s="87">
        <f>IF(T22=0,0,1000000*T22/TrRoad_act!T61)</f>
        <v>887.69333870419109</v>
      </c>
      <c r="U118" s="87">
        <f>IF(U22=0,0,1000000*U22/TrRoad_act!U61)</f>
        <v>862.19545988478933</v>
      </c>
      <c r="V118" s="87">
        <f>IF(V22=0,0,1000000*V22/TrRoad_act!V61)</f>
        <v>653.09032889567197</v>
      </c>
      <c r="W118" s="87">
        <f>IF(W22=0,0,1000000*W22/TrRoad_act!W61)</f>
        <v>701.55122187583561</v>
      </c>
      <c r="X118" s="87">
        <f>IF(X22=0,0,1000000*X22/TrRoad_act!X61)</f>
        <v>788.02480521534551</v>
      </c>
      <c r="Y118" s="87">
        <f>IF(Y22=0,0,1000000*Y22/TrRoad_act!Y61)</f>
        <v>816.62555109846073</v>
      </c>
      <c r="DA118" s="171" t="s">
        <v>718</v>
      </c>
    </row>
    <row r="119" spans="1:105" ht="11.45" customHeight="1" x14ac:dyDescent="0.25">
      <c r="A119" s="111" t="s">
        <v>111</v>
      </c>
      <c r="B119" s="87">
        <f>IF(B24=0,0,1000000*B24/TrRoad_act!B62)</f>
        <v>2200.141131207115</v>
      </c>
      <c r="C119" s="87">
        <f>IF(C24=0,0,1000000*C24/TrRoad_act!C62)</f>
        <v>2212.1893722379041</v>
      </c>
      <c r="D119" s="87">
        <f>IF(D24=0,0,1000000*D24/TrRoad_act!D62)</f>
        <v>1950.1849701711785</v>
      </c>
      <c r="E119" s="87">
        <f>IF(E24=0,0,1000000*E24/TrRoad_act!E62)</f>
        <v>1883.7425920400196</v>
      </c>
      <c r="F119" s="87">
        <f>IF(F24=0,0,1000000*F24/TrRoad_act!F62)</f>
        <v>1928.2298496819121</v>
      </c>
      <c r="G119" s="87">
        <f>IF(G24=0,0,1000000*G24/TrRoad_act!G62)</f>
        <v>1813.6337596421927</v>
      </c>
      <c r="H119" s="87">
        <f>IF(H24=0,0,1000000*H24/TrRoad_act!H62)</f>
        <v>1744.5468096553197</v>
      </c>
      <c r="I119" s="87">
        <f>IF(I24=0,0,1000000*I24/TrRoad_act!I62)</f>
        <v>1898.0089224524754</v>
      </c>
      <c r="J119" s="87">
        <f>IF(J24=0,0,1000000*J24/TrRoad_act!J62)</f>
        <v>1690.0983675546754</v>
      </c>
      <c r="K119" s="87">
        <f>IF(K24=0,0,1000000*K24/TrRoad_act!K62)</f>
        <v>1788.4115695390888</v>
      </c>
      <c r="L119" s="87">
        <f>IF(L24=0,0,1000000*L24/TrRoad_act!L62)</f>
        <v>1608.5420315057597</v>
      </c>
      <c r="M119" s="87">
        <f>IF(M24=0,0,1000000*M24/TrRoad_act!M62)</f>
        <v>1513.4539154128511</v>
      </c>
      <c r="N119" s="87">
        <f>IF(N24=0,0,1000000*N24/TrRoad_act!N62)</f>
        <v>1425.4037547294406</v>
      </c>
      <c r="O119" s="87">
        <f>IF(O24=0,0,1000000*O24/TrRoad_act!O62)</f>
        <v>1480.298203073879</v>
      </c>
      <c r="P119" s="87">
        <f>IF(P24=0,0,1000000*P24/TrRoad_act!P62)</f>
        <v>1466.8743351108983</v>
      </c>
      <c r="Q119" s="87">
        <f>IF(Q24=0,0,1000000*Q24/TrRoad_act!Q62)</f>
        <v>1563.1723353386003</v>
      </c>
      <c r="R119" s="87">
        <f>IF(R24=0,0,1000000*R24/TrRoad_act!R62)</f>
        <v>1530.4748671766515</v>
      </c>
      <c r="S119" s="87">
        <f>IF(S24=0,0,1000000*S24/TrRoad_act!S62)</f>
        <v>1446.6172720950392</v>
      </c>
      <c r="T119" s="87">
        <f>IF(T24=0,0,1000000*T24/TrRoad_act!T62)</f>
        <v>1399.171163700089</v>
      </c>
      <c r="U119" s="87">
        <f>IF(U24=0,0,1000000*U24/TrRoad_act!U62)</f>
        <v>1329.7946485514008</v>
      </c>
      <c r="V119" s="87">
        <f>IF(V24=0,0,1000000*V24/TrRoad_act!V62)</f>
        <v>1094.7532310245665</v>
      </c>
      <c r="W119" s="87">
        <f>IF(W24=0,0,1000000*W24/TrRoad_act!W62)</f>
        <v>1135.99683666278</v>
      </c>
      <c r="X119" s="87">
        <f>IF(X24=0,0,1000000*X24/TrRoad_act!X62)</f>
        <v>1196.78192620397</v>
      </c>
      <c r="Y119" s="87">
        <f>IF(Y24=0,0,1000000*Y24/TrRoad_act!Y62)</f>
        <v>1175.4732556021206</v>
      </c>
      <c r="DA119" s="171" t="s">
        <v>719</v>
      </c>
    </row>
    <row r="120" spans="1:105" ht="11.45" customHeight="1" x14ac:dyDescent="0.25">
      <c r="A120" s="111" t="s">
        <v>112</v>
      </c>
      <c r="B120" s="87">
        <f>IF(B26=0,0,1000000*B26/TrRoad_act!B63)</f>
        <v>1362.8009458297508</v>
      </c>
      <c r="C120" s="87">
        <f>IF(C26=0,0,1000000*C26/TrRoad_act!C63)</f>
        <v>1299.8181984346584</v>
      </c>
      <c r="D120" s="87">
        <f>IF(D26=0,0,1000000*D26/TrRoad_act!D63)</f>
        <v>1323.3160709293522</v>
      </c>
      <c r="E120" s="87">
        <f>IF(E26=0,0,1000000*E26/TrRoad_act!E63)</f>
        <v>1379.978600723103</v>
      </c>
      <c r="F120" s="87">
        <f>IF(F26=0,0,1000000*F26/TrRoad_act!F63)</f>
        <v>1360.1843148528887</v>
      </c>
      <c r="G120" s="87">
        <f>IF(G26=0,0,1000000*G26/TrRoad_act!G63)</f>
        <v>1363.9093760742796</v>
      </c>
      <c r="H120" s="87">
        <f>IF(H26=0,0,1000000*H26/TrRoad_act!H63)</f>
        <v>1236.2006240941644</v>
      </c>
      <c r="I120" s="87">
        <f>IF(I26=0,0,1000000*I26/TrRoad_act!I63)</f>
        <v>1281.8897091957565</v>
      </c>
      <c r="J120" s="87">
        <f>IF(J26=0,0,1000000*J26/TrRoad_act!J63)</f>
        <v>1276.4737808187431</v>
      </c>
      <c r="K120" s="87">
        <f>IF(K26=0,0,1000000*K26/TrRoad_act!K63)</f>
        <v>1227.7078828739698</v>
      </c>
      <c r="L120" s="87">
        <f>IF(L26=0,0,1000000*L26/TrRoad_act!L63)</f>
        <v>1249.279983971817</v>
      </c>
      <c r="M120" s="87">
        <f>IF(M26=0,0,1000000*M26/TrRoad_act!M63)</f>
        <v>1210.6014749944129</v>
      </c>
      <c r="N120" s="87">
        <f>IF(N26=0,0,1000000*N26/TrRoad_act!N63)</f>
        <v>1136.5590557336045</v>
      </c>
      <c r="O120" s="87">
        <f>IF(O26=0,0,1000000*O26/TrRoad_act!O63)</f>
        <v>1133.9522352820634</v>
      </c>
      <c r="P120" s="87">
        <f>IF(P26=0,0,1000000*P26/TrRoad_act!P63)</f>
        <v>1032.6510036444247</v>
      </c>
      <c r="Q120" s="87">
        <f>IF(Q26=0,0,1000000*Q26/TrRoad_act!Q63)</f>
        <v>1177.0664654872241</v>
      </c>
      <c r="R120" s="87">
        <f>IF(R26=0,0,1000000*R26/TrRoad_act!R63)</f>
        <v>1237.3696411203096</v>
      </c>
      <c r="S120" s="87">
        <f>IF(S26=0,0,1000000*S26/TrRoad_act!S63)</f>
        <v>1237.9163458274891</v>
      </c>
      <c r="T120" s="87">
        <f>IF(T26=0,0,1000000*T26/TrRoad_act!T63)</f>
        <v>1137.3584227633387</v>
      </c>
      <c r="U120" s="87">
        <f>IF(U26=0,0,1000000*U26/TrRoad_act!U63)</f>
        <v>1081.2450712229383</v>
      </c>
      <c r="V120" s="87">
        <f>IF(V26=0,0,1000000*V26/TrRoad_act!V63)</f>
        <v>758.10464765659094</v>
      </c>
      <c r="W120" s="87">
        <f>IF(W26=0,0,1000000*W26/TrRoad_act!W63)</f>
        <v>794.02152655864802</v>
      </c>
      <c r="X120" s="87">
        <f>IF(X26=0,0,1000000*X26/TrRoad_act!X63)</f>
        <v>1066.8073212574313</v>
      </c>
      <c r="Y120" s="87">
        <f>IF(Y26=0,0,1000000*Y26/TrRoad_act!Y63)</f>
        <v>865.91402997148566</v>
      </c>
      <c r="DA120" s="171" t="s">
        <v>720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0</v>
      </c>
      <c r="G121" s="87">
        <f>IF(G27=0,0,1000000*G27/TrRoad_act!G64)</f>
        <v>0</v>
      </c>
      <c r="H121" s="87">
        <f>IF(H27=0,0,1000000*H27/TrRoad_act!H64)</f>
        <v>0</v>
      </c>
      <c r="I121" s="87">
        <f>IF(I27=0,0,1000000*I27/TrRoad_act!I64)</f>
        <v>0</v>
      </c>
      <c r="J121" s="87">
        <f>IF(J27=0,0,1000000*J27/TrRoad_act!J64)</f>
        <v>0</v>
      </c>
      <c r="K121" s="87">
        <f>IF(K27=0,0,1000000*K27/TrRoad_act!K64)</f>
        <v>0</v>
      </c>
      <c r="L121" s="87">
        <f>IF(L27=0,0,1000000*L27/TrRoad_act!L64)</f>
        <v>0</v>
      </c>
      <c r="M121" s="87">
        <f>IF(M27=0,0,1000000*M27/TrRoad_act!M64)</f>
        <v>0</v>
      </c>
      <c r="N121" s="87">
        <f>IF(N27=0,0,1000000*N27/TrRoad_act!N64)</f>
        <v>0</v>
      </c>
      <c r="O121" s="87">
        <f>IF(O27=0,0,1000000*O27/TrRoad_act!O64)</f>
        <v>0</v>
      </c>
      <c r="P121" s="87">
        <f>IF(P27=0,0,1000000*P27/TrRoad_act!P64)</f>
        <v>2321.5821152192611</v>
      </c>
      <c r="Q121" s="87">
        <f>IF(Q27=0,0,1000000*Q27/TrRoad_act!Q64)</f>
        <v>795.35683576956126</v>
      </c>
      <c r="R121" s="87">
        <f>IF(R27=0,0,1000000*R27/TrRoad_act!R64)</f>
        <v>494.90468991303624</v>
      </c>
      <c r="S121" s="87">
        <f>IF(S27=0,0,1000000*S27/TrRoad_act!S64)</f>
        <v>590.14433769630875</v>
      </c>
      <c r="T121" s="87">
        <f>IF(T27=0,0,1000000*T27/TrRoad_act!T64)</f>
        <v>789.18847459857318</v>
      </c>
      <c r="U121" s="87">
        <f>IF(U27=0,0,1000000*U27/TrRoad_act!U64)</f>
        <v>872.50355924204553</v>
      </c>
      <c r="V121" s="87">
        <f>IF(V27=0,0,1000000*V27/TrRoad_act!V64)</f>
        <v>903.69224862470458</v>
      </c>
      <c r="W121" s="87">
        <f>IF(W27=0,0,1000000*W27/TrRoad_act!W64)</f>
        <v>1944.0166044547368</v>
      </c>
      <c r="X121" s="87">
        <f>IF(X27=0,0,1000000*X27/TrRoad_act!X64)</f>
        <v>1079.8929188552477</v>
      </c>
      <c r="Y121" s="87">
        <f>IF(Y27=0,0,1000000*Y27/TrRoad_act!Y64)</f>
        <v>963.95574637904883</v>
      </c>
      <c r="DA121" s="171" t="s">
        <v>721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0</v>
      </c>
      <c r="N122" s="87">
        <f>IF(N29=0,0,1000000*N29/TrRoad_act!N65)</f>
        <v>0</v>
      </c>
      <c r="O122" s="87">
        <f>IF(O29=0,0,1000000*O29/TrRoad_act!O65)</f>
        <v>602.4179520847772</v>
      </c>
      <c r="P122" s="87">
        <f>IF(P29=0,0,1000000*P29/TrRoad_act!P65)</f>
        <v>415.93642934715967</v>
      </c>
      <c r="Q122" s="87">
        <f>IF(Q29=0,0,1000000*Q29/TrRoad_act!Q65)</f>
        <v>424.41645359221747</v>
      </c>
      <c r="R122" s="87">
        <f>IF(R29=0,0,1000000*R29/TrRoad_act!R65)</f>
        <v>470.65843535789929</v>
      </c>
      <c r="S122" s="87">
        <f>IF(S29=0,0,1000000*S29/TrRoad_act!S65)</f>
        <v>456.25146463402194</v>
      </c>
      <c r="T122" s="87">
        <f>IF(T29=0,0,1000000*T29/TrRoad_act!T65)</f>
        <v>456.30111313700354</v>
      </c>
      <c r="U122" s="87">
        <f>IF(U29=0,0,1000000*U29/TrRoad_act!U65)</f>
        <v>474.41065842690887</v>
      </c>
      <c r="V122" s="87">
        <f>IF(V29=0,0,1000000*V29/TrRoad_act!V65)</f>
        <v>360.68083871567455</v>
      </c>
      <c r="W122" s="87">
        <f>IF(W29=0,0,1000000*W29/TrRoad_act!W65)</f>
        <v>388.90217295780815</v>
      </c>
      <c r="X122" s="87">
        <f>IF(X29=0,0,1000000*X29/TrRoad_act!X65)</f>
        <v>438.15928110921675</v>
      </c>
      <c r="Y122" s="87">
        <f>IF(Y29=0,0,1000000*Y29/TrRoad_act!Y65)</f>
        <v>442.34315570071362</v>
      </c>
      <c r="DA122" s="171" t="s">
        <v>722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0</v>
      </c>
      <c r="K123" s="87">
        <f>IF(K32=0,0,1000000*K32/TrRoad_act!K66)</f>
        <v>243.00548278751845</v>
      </c>
      <c r="L123" s="87">
        <f>IF(L32=0,0,1000000*L32/TrRoad_act!L66)</f>
        <v>240.65392943513291</v>
      </c>
      <c r="M123" s="87">
        <f>IF(M32=0,0,1000000*M32/TrRoad_act!M66)</f>
        <v>242.48256664293578</v>
      </c>
      <c r="N123" s="87">
        <f>IF(N32=0,0,1000000*N32/TrRoad_act!N66)</f>
        <v>225.05916849772322</v>
      </c>
      <c r="O123" s="87">
        <f>IF(O32=0,0,1000000*O32/TrRoad_act!O66)</f>
        <v>225.82770001783979</v>
      </c>
      <c r="P123" s="87">
        <f>IF(P32=0,0,1000000*P32/TrRoad_act!P66)</f>
        <v>234.82720487131343</v>
      </c>
      <c r="Q123" s="87">
        <f>IF(Q32=0,0,1000000*Q32/TrRoad_act!Q66)</f>
        <v>240.63732753916591</v>
      </c>
      <c r="R123" s="87">
        <f>IF(R32=0,0,1000000*R32/TrRoad_act!R66)</f>
        <v>227.47446245305898</v>
      </c>
      <c r="S123" s="87">
        <f>IF(S32=0,0,1000000*S32/TrRoad_act!S66)</f>
        <v>223.48098963080824</v>
      </c>
      <c r="T123" s="87">
        <f>IF(T32=0,0,1000000*T32/TrRoad_act!T66)</f>
        <v>231.54557718419645</v>
      </c>
      <c r="U123" s="87">
        <f>IF(U32=0,0,1000000*U32/TrRoad_act!U66)</f>
        <v>248.06710752779574</v>
      </c>
      <c r="V123" s="87">
        <f>IF(V32=0,0,1000000*V32/TrRoad_act!V66)</f>
        <v>225.35419911620539</v>
      </c>
      <c r="W123" s="87">
        <f>IF(W32=0,0,1000000*W32/TrRoad_act!W66)</f>
        <v>268.36687869920041</v>
      </c>
      <c r="X123" s="87">
        <f>IF(X32=0,0,1000000*X32/TrRoad_act!X66)</f>
        <v>275.43022719301518</v>
      </c>
      <c r="Y123" s="87">
        <f>IF(Y32=0,0,1000000*Y32/TrRoad_act!Y66)</f>
        <v>275.61652400712416</v>
      </c>
      <c r="DA123" s="171" t="s">
        <v>723</v>
      </c>
    </row>
    <row r="124" spans="1:105" ht="11.45" customHeight="1" x14ac:dyDescent="0.25">
      <c r="A124" s="109" t="s">
        <v>21</v>
      </c>
      <c r="B124" s="116">
        <f>IF(B33=0,0,1000000*B33/TrRoad_act!B67)</f>
        <v>15671.037061592349</v>
      </c>
      <c r="C124" s="116">
        <f>IF(C33=0,0,1000000*C33/TrRoad_act!C67)</f>
        <v>15066.942555227795</v>
      </c>
      <c r="D124" s="116">
        <f>IF(D33=0,0,1000000*D33/TrRoad_act!D67)</f>
        <v>15064.498978577361</v>
      </c>
      <c r="E124" s="116">
        <f>IF(E33=0,0,1000000*E33/TrRoad_act!E67)</f>
        <v>15147.788398397179</v>
      </c>
      <c r="F124" s="116">
        <f>IF(F33=0,0,1000000*F33/TrRoad_act!F67)</f>
        <v>15291.22183258274</v>
      </c>
      <c r="G124" s="116">
        <f>IF(G33=0,0,1000000*G33/TrRoad_act!G67)</f>
        <v>15475.379591010516</v>
      </c>
      <c r="H124" s="116">
        <f>IF(H33=0,0,1000000*H33/TrRoad_act!H67)</f>
        <v>15696.150475977927</v>
      </c>
      <c r="I124" s="116">
        <f>IF(I33=0,0,1000000*I33/TrRoad_act!I67)</f>
        <v>15974.407251236094</v>
      </c>
      <c r="J124" s="116">
        <f>IF(J33=0,0,1000000*J33/TrRoad_act!J67)</f>
        <v>16294.363633594392</v>
      </c>
      <c r="K124" s="116">
        <f>IF(K33=0,0,1000000*K33/TrRoad_act!K67)</f>
        <v>16561.590503458374</v>
      </c>
      <c r="L124" s="116">
        <f>IF(L33=0,0,1000000*L33/TrRoad_act!L67)</f>
        <v>16824.618095058122</v>
      </c>
      <c r="M124" s="116">
        <f>IF(M33=0,0,1000000*M33/TrRoad_act!M67)</f>
        <v>16460.149084989891</v>
      </c>
      <c r="N124" s="116">
        <f>IF(N33=0,0,1000000*N33/TrRoad_act!N67)</f>
        <v>16136.901295597469</v>
      </c>
      <c r="O124" s="116">
        <f>IF(O33=0,0,1000000*O33/TrRoad_act!O67)</f>
        <v>15822.249270971095</v>
      </c>
      <c r="P124" s="116">
        <f>IF(P33=0,0,1000000*P33/TrRoad_act!P67)</f>
        <v>15776.878659790253</v>
      </c>
      <c r="Q124" s="116">
        <f>IF(Q33=0,0,1000000*Q33/TrRoad_act!Q67)</f>
        <v>15592.745304126258</v>
      </c>
      <c r="R124" s="116">
        <f>IF(R33=0,0,1000000*R33/TrRoad_act!R67)</f>
        <v>15661.091433477784</v>
      </c>
      <c r="S124" s="116">
        <f>IF(S33=0,0,1000000*S33/TrRoad_act!S67)</f>
        <v>16504.857704679987</v>
      </c>
      <c r="T124" s="116">
        <f>IF(T33=0,0,1000000*T33/TrRoad_act!T67)</f>
        <v>16897.700600226814</v>
      </c>
      <c r="U124" s="116">
        <f>IF(U33=0,0,1000000*U33/TrRoad_act!U67)</f>
        <v>16460.219770779353</v>
      </c>
      <c r="V124" s="116">
        <f>IF(V33=0,0,1000000*V33/TrRoad_act!V67)</f>
        <v>14884.562113817605</v>
      </c>
      <c r="W124" s="116">
        <f>IF(W33=0,0,1000000*W33/TrRoad_act!W67)</f>
        <v>14015.886928589587</v>
      </c>
      <c r="X124" s="116">
        <f>IF(X33=0,0,1000000*X33/TrRoad_act!X67)</f>
        <v>16415.960472688112</v>
      </c>
      <c r="Y124" s="116">
        <f>IF(Y33=0,0,1000000*Y33/TrRoad_act!Y67)</f>
        <v>19272.928756118697</v>
      </c>
      <c r="DA124" s="176" t="s">
        <v>724</v>
      </c>
    </row>
    <row r="125" spans="1:105" ht="11.45" customHeight="1" x14ac:dyDescent="0.25">
      <c r="A125" s="111" t="s">
        <v>110</v>
      </c>
      <c r="B125" s="101">
        <f>IF(B34=0,0,1000000*B34/TrRoad_act!B68)</f>
        <v>4726.3252628372875</v>
      </c>
      <c r="C125" s="101">
        <f>IF(C34=0,0,1000000*C34/TrRoad_act!C68)</f>
        <v>4731.0778824255358</v>
      </c>
      <c r="D125" s="101">
        <f>IF(D34=0,0,1000000*D34/TrRoad_act!D68)</f>
        <v>4737.8880770752066</v>
      </c>
      <c r="E125" s="101">
        <f>IF(E34=0,0,1000000*E34/TrRoad_act!E68)</f>
        <v>4752.8265680749619</v>
      </c>
      <c r="F125" s="101">
        <f>IF(F34=0,0,1000000*F34/TrRoad_act!F68)</f>
        <v>4763.1430621837426</v>
      </c>
      <c r="G125" s="101">
        <f>IF(G34=0,0,1000000*G34/TrRoad_act!G68)</f>
        <v>4773.7689762501595</v>
      </c>
      <c r="H125" s="101">
        <f>IF(H34=0,0,1000000*H34/TrRoad_act!H68)</f>
        <v>4791.1047818757188</v>
      </c>
      <c r="I125" s="101">
        <f>IF(I34=0,0,1000000*I34/TrRoad_act!I68)</f>
        <v>4980.9403514337182</v>
      </c>
      <c r="J125" s="101">
        <f>IF(J34=0,0,1000000*J34/TrRoad_act!J68)</f>
        <v>5196.0986655395272</v>
      </c>
      <c r="K125" s="101">
        <f>IF(K34=0,0,1000000*K34/TrRoad_act!K68)</f>
        <v>5186.1390472578596</v>
      </c>
      <c r="L125" s="101">
        <f>IF(L34=0,0,1000000*L34/TrRoad_act!L68)</f>
        <v>5167.5114182097486</v>
      </c>
      <c r="M125" s="101">
        <f>IF(M34=0,0,1000000*M34/TrRoad_act!M68)</f>
        <v>5155.0378969433768</v>
      </c>
      <c r="N125" s="101">
        <f>IF(N34=0,0,1000000*N34/TrRoad_act!N68)</f>
        <v>5002.1204700091903</v>
      </c>
      <c r="O125" s="101">
        <f>IF(O34=0,0,1000000*O34/TrRoad_act!O68)</f>
        <v>5015.0741042469654</v>
      </c>
      <c r="P125" s="101">
        <f>IF(P34=0,0,1000000*P34/TrRoad_act!P68)</f>
        <v>5028.5919935663669</v>
      </c>
      <c r="Q125" s="101">
        <f>IF(Q34=0,0,1000000*Q34/TrRoad_act!Q68)</f>
        <v>4967.4396003890906</v>
      </c>
      <c r="R125" s="101">
        <f>IF(R34=0,0,1000000*R34/TrRoad_act!R68)</f>
        <v>5032.8048891620592</v>
      </c>
      <c r="S125" s="101">
        <f>IF(S34=0,0,1000000*S34/TrRoad_act!S68)</f>
        <v>5268.916546387728</v>
      </c>
      <c r="T125" s="101">
        <f>IF(T34=0,0,1000000*T34/TrRoad_act!T68)</f>
        <v>5529.5264049042116</v>
      </c>
      <c r="U125" s="101">
        <f>IF(U34=0,0,1000000*U34/TrRoad_act!U68)</f>
        <v>5394.7960873078191</v>
      </c>
      <c r="V125" s="101">
        <f>IF(V34=0,0,1000000*V34/TrRoad_act!V68)</f>
        <v>4944.513884009345</v>
      </c>
      <c r="W125" s="101">
        <f>IF(W34=0,0,1000000*W34/TrRoad_act!W68)</f>
        <v>4764.1104803447879</v>
      </c>
      <c r="X125" s="101">
        <f>IF(X34=0,0,1000000*X34/TrRoad_act!X68)</f>
        <v>5617.8869639068816</v>
      </c>
      <c r="Y125" s="101">
        <f>IF(Y34=0,0,1000000*Y34/TrRoad_act!Y68)</f>
        <v>6887.5184380595465</v>
      </c>
      <c r="DA125" s="175" t="s">
        <v>725</v>
      </c>
    </row>
    <row r="126" spans="1:105" ht="11.45" customHeight="1" x14ac:dyDescent="0.25">
      <c r="A126" s="111" t="s">
        <v>111</v>
      </c>
      <c r="B126" s="101">
        <f>IF(B36=0,0,1000000*B36/TrRoad_act!B69)</f>
        <v>15897.245832680479</v>
      </c>
      <c r="C126" s="101">
        <f>IF(C36=0,0,1000000*C36/TrRoad_act!C69)</f>
        <v>15258.287536611515</v>
      </c>
      <c r="D126" s="101">
        <f>IF(D36=0,0,1000000*D36/TrRoad_act!D69)</f>
        <v>15237.274056278222</v>
      </c>
      <c r="E126" s="101">
        <f>IF(E36=0,0,1000000*E36/TrRoad_act!E69)</f>
        <v>15298.220398734122</v>
      </c>
      <c r="F126" s="101">
        <f>IF(F36=0,0,1000000*F36/TrRoad_act!F69)</f>
        <v>15422.478369859775</v>
      </c>
      <c r="G126" s="101">
        <f>IF(G36=0,0,1000000*G36/TrRoad_act!G69)</f>
        <v>15589.141167976917</v>
      </c>
      <c r="H126" s="101">
        <f>IF(H36=0,0,1000000*H36/TrRoad_act!H69)</f>
        <v>15791.366545091803</v>
      </c>
      <c r="I126" s="101">
        <f>IF(I36=0,0,1000000*I36/TrRoad_act!I69)</f>
        <v>16052.789816233184</v>
      </c>
      <c r="J126" s="101">
        <f>IF(J36=0,0,1000000*J36/TrRoad_act!J69)</f>
        <v>16356.491505480308</v>
      </c>
      <c r="K126" s="101">
        <f>IF(K36=0,0,1000000*K36/TrRoad_act!K69)</f>
        <v>16615.897120871046</v>
      </c>
      <c r="L126" s="101">
        <f>IF(L36=0,0,1000000*L36/TrRoad_act!L69)</f>
        <v>16870.754021076409</v>
      </c>
      <c r="M126" s="101">
        <f>IF(M36=0,0,1000000*M36/TrRoad_act!M69)</f>
        <v>16495.860200007955</v>
      </c>
      <c r="N126" s="101">
        <f>IF(N36=0,0,1000000*N36/TrRoad_act!N69)</f>
        <v>16164.030256105139</v>
      </c>
      <c r="O126" s="101">
        <f>IF(O36=0,0,1000000*O36/TrRoad_act!O69)</f>
        <v>15847.967036909844</v>
      </c>
      <c r="P126" s="101">
        <f>IF(P36=0,0,1000000*P36/TrRoad_act!P69)</f>
        <v>15801.832646837996</v>
      </c>
      <c r="Q126" s="101">
        <f>IF(Q36=0,0,1000000*Q36/TrRoad_act!Q69)</f>
        <v>15613.382060701095</v>
      </c>
      <c r="R126" s="101">
        <f>IF(R36=0,0,1000000*R36/TrRoad_act!R69)</f>
        <v>15676.987122140385</v>
      </c>
      <c r="S126" s="101">
        <f>IF(S36=0,0,1000000*S36/TrRoad_act!S69)</f>
        <v>16523.844610426979</v>
      </c>
      <c r="T126" s="101">
        <f>IF(T36=0,0,1000000*T36/TrRoad_act!T69)</f>
        <v>16910.022294614559</v>
      </c>
      <c r="U126" s="101">
        <f>IF(U36=0,0,1000000*U36/TrRoad_act!U69)</f>
        <v>16471.02220085794</v>
      </c>
      <c r="V126" s="101">
        <f>IF(V36=0,0,1000000*V36/TrRoad_act!V69)</f>
        <v>14876.328735525529</v>
      </c>
      <c r="W126" s="101">
        <f>IF(W36=0,0,1000000*W36/TrRoad_act!W69)</f>
        <v>13922.422769513958</v>
      </c>
      <c r="X126" s="101">
        <f>IF(X36=0,0,1000000*X36/TrRoad_act!X69)</f>
        <v>16394.41987663892</v>
      </c>
      <c r="Y126" s="101">
        <f>IF(Y36=0,0,1000000*Y36/TrRoad_act!Y69)</f>
        <v>19325.821115198607</v>
      </c>
      <c r="DA126" s="175" t="s">
        <v>726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6760.1321580492267</v>
      </c>
      <c r="D127" s="101">
        <f>IF(D38=0,0,1000000*D38/TrRoad_act!D70)</f>
        <v>6927.6400967107629</v>
      </c>
      <c r="E127" s="101">
        <f>IF(E38=0,0,1000000*E38/TrRoad_act!E70)</f>
        <v>7113.5022603323332</v>
      </c>
      <c r="F127" s="101">
        <f>IF(F38=0,0,1000000*F38/TrRoad_act!F70)</f>
        <v>7296.8094073076263</v>
      </c>
      <c r="G127" s="101">
        <f>IF(G38=0,0,1000000*G38/TrRoad_act!G70)</f>
        <v>7485.886636782825</v>
      </c>
      <c r="H127" s="101">
        <f>IF(H38=0,0,1000000*H38/TrRoad_act!H70)</f>
        <v>7692.8402844043194</v>
      </c>
      <c r="I127" s="101">
        <f>IF(I38=0,0,1000000*I38/TrRoad_act!I70)</f>
        <v>7903.5707014863174</v>
      </c>
      <c r="J127" s="101">
        <f>IF(J38=0,0,1000000*J38/TrRoad_act!J70)</f>
        <v>0</v>
      </c>
      <c r="K127" s="101">
        <f>IF(K38=0,0,1000000*K38/TrRoad_act!K70)</f>
        <v>0</v>
      </c>
      <c r="L127" s="101">
        <f>IF(L38=0,0,1000000*L38/TrRoad_act!L70)</f>
        <v>0</v>
      </c>
      <c r="M127" s="101">
        <f>IF(M38=0,0,1000000*M38/TrRoad_act!M70)</f>
        <v>0</v>
      </c>
      <c r="N127" s="101">
        <f>IF(N38=0,0,1000000*N38/TrRoad_act!N70)</f>
        <v>0</v>
      </c>
      <c r="O127" s="101">
        <f>IF(O38=0,0,1000000*O38/TrRoad_act!O70)</f>
        <v>0</v>
      </c>
      <c r="P127" s="101">
        <f>IF(P38=0,0,1000000*P38/TrRoad_act!P70)</f>
        <v>0</v>
      </c>
      <c r="Q127" s="101">
        <f>IF(Q38=0,0,1000000*Q38/TrRoad_act!Q70)</f>
        <v>0</v>
      </c>
      <c r="R127" s="101">
        <f>IF(R38=0,0,1000000*R38/TrRoad_act!R70)</f>
        <v>0</v>
      </c>
      <c r="S127" s="101">
        <f>IF(S38=0,0,1000000*S38/TrRoad_act!S70)</f>
        <v>0</v>
      </c>
      <c r="T127" s="101">
        <f>IF(T38=0,0,1000000*T38/TrRoad_act!T70)</f>
        <v>0</v>
      </c>
      <c r="U127" s="101">
        <f>IF(U38=0,0,1000000*U38/TrRoad_act!U70)</f>
        <v>0</v>
      </c>
      <c r="V127" s="101">
        <f>IF(V38=0,0,1000000*V38/TrRoad_act!V70)</f>
        <v>0</v>
      </c>
      <c r="W127" s="101">
        <f>IF(W38=0,0,1000000*W38/TrRoad_act!W70)</f>
        <v>0</v>
      </c>
      <c r="X127" s="101">
        <f>IF(X38=0,0,1000000*X38/TrRoad_act!X70)</f>
        <v>0</v>
      </c>
      <c r="Y127" s="101">
        <f>IF(Y38=0,0,1000000*Y38/TrRoad_act!Y70)</f>
        <v>0</v>
      </c>
      <c r="DA127" s="175" t="s">
        <v>727</v>
      </c>
    </row>
    <row r="128" spans="1:105" ht="11.45" customHeight="1" x14ac:dyDescent="0.25">
      <c r="A128" s="111" t="s">
        <v>113</v>
      </c>
      <c r="B128" s="101">
        <f>IF(B39=0,0,1000000*B39/TrRoad_act!B71)</f>
        <v>0</v>
      </c>
      <c r="C128" s="101">
        <f>IF(C39=0,0,1000000*C39/TrRoad_act!C71)</f>
        <v>0</v>
      </c>
      <c r="D128" s="101">
        <f>IF(D39=0,0,1000000*D39/TrRoad_act!D71)</f>
        <v>0</v>
      </c>
      <c r="E128" s="101">
        <f>IF(E39=0,0,1000000*E39/TrRoad_act!E71)</f>
        <v>0</v>
      </c>
      <c r="F128" s="101">
        <f>IF(F39=0,0,1000000*F39/TrRoad_act!F71)</f>
        <v>0</v>
      </c>
      <c r="G128" s="101">
        <f>IF(G39=0,0,1000000*G39/TrRoad_act!G71)</f>
        <v>0</v>
      </c>
      <c r="H128" s="101">
        <f>IF(H39=0,0,1000000*H39/TrRoad_act!H71)</f>
        <v>0</v>
      </c>
      <c r="I128" s="101">
        <f>IF(I39=0,0,1000000*I39/TrRoad_act!I71)</f>
        <v>0</v>
      </c>
      <c r="J128" s="101">
        <f>IF(J39=0,0,1000000*J39/TrRoad_act!J71)</f>
        <v>0</v>
      </c>
      <c r="K128" s="101">
        <f>IF(K39=0,0,1000000*K39/TrRoad_act!K71)</f>
        <v>0</v>
      </c>
      <c r="L128" s="101">
        <f>IF(L39=0,0,1000000*L39/TrRoad_act!L71)</f>
        <v>0</v>
      </c>
      <c r="M128" s="101">
        <f>IF(M39=0,0,1000000*M39/TrRoad_act!M71)</f>
        <v>0</v>
      </c>
      <c r="N128" s="101">
        <f>IF(N39=0,0,1000000*N39/TrRoad_act!N71)</f>
        <v>0</v>
      </c>
      <c r="O128" s="101">
        <f>IF(O39=0,0,1000000*O39/TrRoad_act!O71)</f>
        <v>0</v>
      </c>
      <c r="P128" s="101">
        <f>IF(P39=0,0,1000000*P39/TrRoad_act!P71)</f>
        <v>0</v>
      </c>
      <c r="Q128" s="101">
        <f>IF(Q39=0,0,1000000*Q39/TrRoad_act!Q71)</f>
        <v>0</v>
      </c>
      <c r="R128" s="101">
        <f>IF(R39=0,0,1000000*R39/TrRoad_act!R71)</f>
        <v>0</v>
      </c>
      <c r="S128" s="101">
        <f>IF(S39=0,0,1000000*S39/TrRoad_act!S71)</f>
        <v>0</v>
      </c>
      <c r="T128" s="101">
        <f>IF(T39=0,0,1000000*T39/TrRoad_act!T71)</f>
        <v>13127.730120345213</v>
      </c>
      <c r="U128" s="101">
        <f>IF(U39=0,0,1000000*U39/TrRoad_act!U71)</f>
        <v>18351.778543274853</v>
      </c>
      <c r="V128" s="101">
        <f>IF(V39=0,0,1000000*V39/TrRoad_act!V71)</f>
        <v>20649.704312327114</v>
      </c>
      <c r="W128" s="101">
        <f>IF(W39=0,0,1000000*W39/TrRoad_act!W71)</f>
        <v>42643.137907322736</v>
      </c>
      <c r="X128" s="101">
        <f>IF(X39=0,0,1000000*X39/TrRoad_act!X71)</f>
        <v>30571.406633462877</v>
      </c>
      <c r="Y128" s="101">
        <f>IF(Y39=0,0,1000000*Y39/TrRoad_act!Y71)</f>
        <v>35614.681438975487</v>
      </c>
      <c r="DA128" s="175" t="s">
        <v>728</v>
      </c>
    </row>
    <row r="129" spans="1:105" ht="11.45" customHeight="1" x14ac:dyDescent="0.25">
      <c r="A129" s="111" t="s">
        <v>115</v>
      </c>
      <c r="B129" s="101">
        <f>IF(B41=0,0,1000000*B41/TrRoad_act!B72)</f>
        <v>0</v>
      </c>
      <c r="C129" s="101">
        <f>IF(C41=0,0,1000000*C41/TrRoad_act!C72)</f>
        <v>0</v>
      </c>
      <c r="D129" s="101">
        <f>IF(D41=0,0,1000000*D41/TrRoad_act!D72)</f>
        <v>0</v>
      </c>
      <c r="E129" s="101">
        <f>IF(E41=0,0,1000000*E41/TrRoad_act!E72)</f>
        <v>0</v>
      </c>
      <c r="F129" s="101">
        <f>IF(F41=0,0,1000000*F41/TrRoad_act!F72)</f>
        <v>0</v>
      </c>
      <c r="G129" s="101">
        <f>IF(G41=0,0,1000000*G41/TrRoad_act!G72)</f>
        <v>0</v>
      </c>
      <c r="H129" s="101">
        <f>IF(H41=0,0,1000000*H41/TrRoad_act!H72)</f>
        <v>0</v>
      </c>
      <c r="I129" s="101">
        <f>IF(I41=0,0,1000000*I41/TrRoad_act!I72)</f>
        <v>0</v>
      </c>
      <c r="J129" s="101">
        <f>IF(J41=0,0,1000000*J41/TrRoad_act!J72)</f>
        <v>14586.774530340836</v>
      </c>
      <c r="K129" s="101">
        <f>IF(K41=0,0,1000000*K41/TrRoad_act!K72)</f>
        <v>14600.552506781001</v>
      </c>
      <c r="L129" s="101">
        <f>IF(L41=0,0,1000000*L41/TrRoad_act!L72)</f>
        <v>14613.839059026508</v>
      </c>
      <c r="M129" s="101">
        <f>IF(M41=0,0,1000000*M41/TrRoad_act!M72)</f>
        <v>14628.44626123016</v>
      </c>
      <c r="N129" s="101">
        <f>IF(N41=0,0,1000000*N41/TrRoad_act!N72)</f>
        <v>14632.158320716091</v>
      </c>
      <c r="O129" s="101">
        <f>IF(O41=0,0,1000000*O41/TrRoad_act!O72)</f>
        <v>14647.766546887719</v>
      </c>
      <c r="P129" s="101">
        <f>IF(P41=0,0,1000000*P41/TrRoad_act!P72)</f>
        <v>14663.465119495932</v>
      </c>
      <c r="Q129" s="101">
        <f>IF(Q41=0,0,1000000*Q41/TrRoad_act!Q72)</f>
        <v>14670.898949591641</v>
      </c>
      <c r="R129" s="101">
        <f>IF(R41=0,0,1000000*R41/TrRoad_act!R72)</f>
        <v>14670.136961956016</v>
      </c>
      <c r="S129" s="101">
        <f>IF(S41=0,0,1000000*S41/TrRoad_act!S72)</f>
        <v>14633.9476859305</v>
      </c>
      <c r="T129" s="101">
        <f>IF(T41=0,0,1000000*T41/TrRoad_act!T72)</f>
        <v>14617.581188313674</v>
      </c>
      <c r="U129" s="101">
        <f>IF(U41=0,0,1000000*U41/TrRoad_act!U72)</f>
        <v>13871.190106094202</v>
      </c>
      <c r="V129" s="101">
        <f>IF(V41=0,0,1000000*V41/TrRoad_act!V72)</f>
        <v>12769.936453629622</v>
      </c>
      <c r="W129" s="101">
        <f>IF(W41=0,0,1000000*W41/TrRoad_act!W72)</f>
        <v>13555.037274919567</v>
      </c>
      <c r="X129" s="101">
        <f>IF(X41=0,0,1000000*X41/TrRoad_act!X72)</f>
        <v>13328.349685649539</v>
      </c>
      <c r="Y129" s="101">
        <f>IF(Y41=0,0,1000000*Y41/TrRoad_act!Y72)</f>
        <v>12943.119271900983</v>
      </c>
      <c r="DA129" s="175" t="s">
        <v>729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DA130" s="173"/>
    </row>
    <row r="131" spans="1:105" ht="11.45" customHeight="1" x14ac:dyDescent="0.25">
      <c r="A131" s="136" t="s">
        <v>153</v>
      </c>
      <c r="B131" s="152">
        <f>IF(B43=0,0,1000000*B43/TrRoad_act!B74)</f>
        <v>2643.9680688278336</v>
      </c>
      <c r="C131" s="152">
        <f>IF(C43=0,0,1000000*C43/TrRoad_act!C74)</f>
        <v>2512.9887726188649</v>
      </c>
      <c r="D131" s="152">
        <f>IF(D43=0,0,1000000*D43/TrRoad_act!D74)</f>
        <v>2457.1190936799676</v>
      </c>
      <c r="E131" s="152">
        <f>IF(E43=0,0,1000000*E43/TrRoad_act!E74)</f>
        <v>2411.2657374911387</v>
      </c>
      <c r="F131" s="152">
        <f>IF(F43=0,0,1000000*F43/TrRoad_act!F74)</f>
        <v>2413.1178678478104</v>
      </c>
      <c r="G131" s="152">
        <f>IF(G43=0,0,1000000*G43/TrRoad_act!G74)</f>
        <v>2386.1719078915903</v>
      </c>
      <c r="H131" s="152">
        <f>IF(H43=0,0,1000000*H43/TrRoad_act!H74)</f>
        <v>2382.1047142578464</v>
      </c>
      <c r="I131" s="152">
        <f>IF(I43=0,0,1000000*I43/TrRoad_act!I74)</f>
        <v>2381.3247881531329</v>
      </c>
      <c r="J131" s="152">
        <f>IF(J43=0,0,1000000*J43/TrRoad_act!J74)</f>
        <v>2295.360772363174</v>
      </c>
      <c r="K131" s="152">
        <f>IF(K43=0,0,1000000*K43/TrRoad_act!K74)</f>
        <v>2236.2281028033935</v>
      </c>
      <c r="L131" s="152">
        <f>IF(L43=0,0,1000000*L43/TrRoad_act!L74)</f>
        <v>2154.9440923362404</v>
      </c>
      <c r="M131" s="152">
        <f>IF(M43=0,0,1000000*M43/TrRoad_act!M74)</f>
        <v>2123.6389139993862</v>
      </c>
      <c r="N131" s="152">
        <f>IF(N43=0,0,1000000*N43/TrRoad_act!N74)</f>
        <v>2064.4247029469952</v>
      </c>
      <c r="O131" s="152">
        <f>IF(O43=0,0,1000000*O43/TrRoad_act!O74)</f>
        <v>2090.8288179310066</v>
      </c>
      <c r="P131" s="152">
        <f>IF(P43=0,0,1000000*P43/TrRoad_act!P74)</f>
        <v>2103.2185413363818</v>
      </c>
      <c r="Q131" s="152">
        <f>IF(Q43=0,0,1000000*Q43/TrRoad_act!Q74)</f>
        <v>2102.614015119851</v>
      </c>
      <c r="R131" s="152">
        <f>IF(R43=0,0,1000000*R43/TrRoad_act!R74)</f>
        <v>2072.8047874867425</v>
      </c>
      <c r="S131" s="152">
        <f>IF(S43=0,0,1000000*S43/TrRoad_act!S74)</f>
        <v>2020.3305185722934</v>
      </c>
      <c r="T131" s="152">
        <f>IF(T43=0,0,1000000*T43/TrRoad_act!T74)</f>
        <v>2023.8606711142429</v>
      </c>
      <c r="U131" s="152">
        <f>IF(U43=0,0,1000000*U43/TrRoad_act!U74)</f>
        <v>1958.2356482353757</v>
      </c>
      <c r="V131" s="152">
        <f>IF(V43=0,0,1000000*V43/TrRoad_act!V74)</f>
        <v>1900.7619801483349</v>
      </c>
      <c r="W131" s="152">
        <f>IF(W43=0,0,1000000*W43/TrRoad_act!W74)</f>
        <v>1948.6029665137416</v>
      </c>
      <c r="X131" s="152">
        <f>IF(X43=0,0,1000000*X43/TrRoad_act!X74)</f>
        <v>2074.2867466165212</v>
      </c>
      <c r="Y131" s="152">
        <f>IF(Y43=0,0,1000000*Y43/TrRoad_act!Y74)</f>
        <v>2086.8640428876215</v>
      </c>
      <c r="DA131" s="174" t="s">
        <v>730</v>
      </c>
    </row>
    <row r="132" spans="1:105" ht="11.45" customHeight="1" x14ac:dyDescent="0.25">
      <c r="A132" s="111" t="s">
        <v>110</v>
      </c>
      <c r="B132" s="87">
        <f>IF(B44=0,0,1000000*B44/TrRoad_act!B75)</f>
        <v>1222.8553397086441</v>
      </c>
      <c r="C132" s="87">
        <f>IF(C44=0,0,1000000*C44/TrRoad_act!C75)</f>
        <v>1199.3848206848836</v>
      </c>
      <c r="D132" s="87">
        <f>IF(D44=0,0,1000000*D44/TrRoad_act!D75)</f>
        <v>1181.2330831422064</v>
      </c>
      <c r="E132" s="87">
        <f>IF(E44=0,0,1000000*E44/TrRoad_act!E75)</f>
        <v>1163.7769981897843</v>
      </c>
      <c r="F132" s="87">
        <f>IF(F44=0,0,1000000*F44/TrRoad_act!F75)</f>
        <v>1142.5014737972799</v>
      </c>
      <c r="G132" s="87">
        <f>IF(G44=0,0,1000000*G44/TrRoad_act!G75)</f>
        <v>1112.7200281563835</v>
      </c>
      <c r="H132" s="87">
        <f>IF(H44=0,0,1000000*H44/TrRoad_act!H75)</f>
        <v>1077.768580914269</v>
      </c>
      <c r="I132" s="87">
        <f>IF(I44=0,0,1000000*I44/TrRoad_act!I75)</f>
        <v>1043.3541270290436</v>
      </c>
      <c r="J132" s="87">
        <f>IF(J44=0,0,1000000*J44/TrRoad_act!J75)</f>
        <v>1023.3741465600402</v>
      </c>
      <c r="K132" s="87">
        <f>IF(K44=0,0,1000000*K44/TrRoad_act!K75)</f>
        <v>1006.8088814493988</v>
      </c>
      <c r="L132" s="87">
        <f>IF(L44=0,0,1000000*L44/TrRoad_act!L75)</f>
        <v>990.39372507531778</v>
      </c>
      <c r="M132" s="87">
        <f>IF(M44=0,0,1000000*M44/TrRoad_act!M75)</f>
        <v>983.00917281206296</v>
      </c>
      <c r="N132" s="87">
        <f>IF(N44=0,0,1000000*N44/TrRoad_act!N75)</f>
        <v>968.01464713431551</v>
      </c>
      <c r="O132" s="87">
        <f>IF(O44=0,0,1000000*O44/TrRoad_act!O75)</f>
        <v>978.20491477259088</v>
      </c>
      <c r="P132" s="87">
        <f>IF(P44=0,0,1000000*P44/TrRoad_act!P75)</f>
        <v>968.78733680946277</v>
      </c>
      <c r="Q132" s="87">
        <f>IF(Q44=0,0,1000000*Q44/TrRoad_act!Q75)</f>
        <v>941.20539343993232</v>
      </c>
      <c r="R132" s="87">
        <f>IF(R44=0,0,1000000*R44/TrRoad_act!R75)</f>
        <v>935.01787588953221</v>
      </c>
      <c r="S132" s="87">
        <f>IF(S44=0,0,1000000*S44/TrRoad_act!S75)</f>
        <v>947.72292797861905</v>
      </c>
      <c r="T132" s="87">
        <f>IF(T44=0,0,1000000*T44/TrRoad_act!T75)</f>
        <v>946.79880871625687</v>
      </c>
      <c r="U132" s="87">
        <f>IF(U44=0,0,1000000*U44/TrRoad_act!U75)</f>
        <v>925.9429778888848</v>
      </c>
      <c r="V132" s="87">
        <f>IF(V44=0,0,1000000*V44/TrRoad_act!V75)</f>
        <v>862.63346582698296</v>
      </c>
      <c r="W132" s="87">
        <f>IF(W44=0,0,1000000*W44/TrRoad_act!W75)</f>
        <v>878.86735070318014</v>
      </c>
      <c r="X132" s="87">
        <f>IF(X44=0,0,1000000*X44/TrRoad_act!X75)</f>
        <v>940.13431810056852</v>
      </c>
      <c r="Y132" s="87">
        <f>IF(Y44=0,0,1000000*Y44/TrRoad_act!Y75)</f>
        <v>973.44279951031069</v>
      </c>
      <c r="DA132" s="171" t="s">
        <v>731</v>
      </c>
    </row>
    <row r="133" spans="1:105" ht="11.45" customHeight="1" x14ac:dyDescent="0.25">
      <c r="A133" s="111" t="s">
        <v>111</v>
      </c>
      <c r="B133" s="87">
        <f>IF(B46=0,0,1000000*B46/TrRoad_act!B76)</f>
        <v>2679.4077045765798</v>
      </c>
      <c r="C133" s="87">
        <f>IF(C46=0,0,1000000*C46/TrRoad_act!C76)</f>
        <v>2540.7892906559891</v>
      </c>
      <c r="D133" s="87">
        <f>IF(D46=0,0,1000000*D46/TrRoad_act!D76)</f>
        <v>2480.5223797198723</v>
      </c>
      <c r="E133" s="87">
        <f>IF(E46=0,0,1000000*E46/TrRoad_act!E76)</f>
        <v>2430.4442677003967</v>
      </c>
      <c r="F133" s="87">
        <f>IF(F46=0,0,1000000*F46/TrRoad_act!F76)</f>
        <v>2429.0638905528185</v>
      </c>
      <c r="G133" s="87">
        <f>IF(G46=0,0,1000000*G46/TrRoad_act!G76)</f>
        <v>2397.6933501221692</v>
      </c>
      <c r="H133" s="87">
        <f>IF(H46=0,0,1000000*H46/TrRoad_act!H76)</f>
        <v>2390.5815070096651</v>
      </c>
      <c r="I133" s="87">
        <f>IF(I46=0,0,1000000*I46/TrRoad_act!I76)</f>
        <v>2387.8074158868171</v>
      </c>
      <c r="J133" s="87">
        <f>IF(J46=0,0,1000000*J46/TrRoad_act!J76)</f>
        <v>2300.8865222745603</v>
      </c>
      <c r="K133" s="87">
        <f>IF(K46=0,0,1000000*K46/TrRoad_act!K76)</f>
        <v>2241.2799085110983</v>
      </c>
      <c r="L133" s="87">
        <f>IF(L46=0,0,1000000*L46/TrRoad_act!L76)</f>
        <v>2159.198438518119</v>
      </c>
      <c r="M133" s="87">
        <f>IF(M46=0,0,1000000*M46/TrRoad_act!M76)</f>
        <v>2127.5166350256004</v>
      </c>
      <c r="N133" s="87">
        <f>IF(N46=0,0,1000000*N46/TrRoad_act!N76)</f>
        <v>2068.0088332197047</v>
      </c>
      <c r="O133" s="87">
        <f>IF(O46=0,0,1000000*O46/TrRoad_act!O76)</f>
        <v>2094.3212442898948</v>
      </c>
      <c r="P133" s="87">
        <f>IF(P46=0,0,1000000*P46/TrRoad_act!P76)</f>
        <v>2106.7506889634674</v>
      </c>
      <c r="Q133" s="87">
        <f>IF(Q46=0,0,1000000*Q46/TrRoad_act!Q76)</f>
        <v>2105.9951824898435</v>
      </c>
      <c r="R133" s="87">
        <f>IF(R46=0,0,1000000*R46/TrRoad_act!R76)</f>
        <v>2075.9333516730226</v>
      </c>
      <c r="S133" s="87">
        <f>IF(S46=0,0,1000000*S46/TrRoad_act!S76)</f>
        <v>2023.9851598141297</v>
      </c>
      <c r="T133" s="87">
        <f>IF(T46=0,0,1000000*T46/TrRoad_act!T76)</f>
        <v>2027.6767577858775</v>
      </c>
      <c r="U133" s="87">
        <f>IF(U46=0,0,1000000*U46/TrRoad_act!U76)</f>
        <v>1964.1192714261247</v>
      </c>
      <c r="V133" s="87">
        <f>IF(V46=0,0,1000000*V46/TrRoad_act!V76)</f>
        <v>1910.7234307087617</v>
      </c>
      <c r="W133" s="87">
        <f>IF(W46=0,0,1000000*W46/TrRoad_act!W76)</f>
        <v>1963.7485586092873</v>
      </c>
      <c r="X133" s="87">
        <f>IF(X46=0,0,1000000*X46/TrRoad_act!X76)</f>
        <v>2096.0454509757828</v>
      </c>
      <c r="Y133" s="87">
        <f>IF(Y46=0,0,1000000*Y46/TrRoad_act!Y76)</f>
        <v>2116.674652932858</v>
      </c>
      <c r="DA133" s="171" t="s">
        <v>732</v>
      </c>
    </row>
    <row r="134" spans="1:105" ht="11.45" customHeight="1" x14ac:dyDescent="0.25">
      <c r="A134" s="111" t="s">
        <v>112</v>
      </c>
      <c r="B134" s="87">
        <f>IF(B48=0,0,1000000*B48/TrRoad_act!B77)</f>
        <v>0</v>
      </c>
      <c r="C134" s="87">
        <f>IF(C48=0,0,1000000*C48/TrRoad_act!C77)</f>
        <v>0</v>
      </c>
      <c r="D134" s="87">
        <f>IF(D48=0,0,1000000*D48/TrRoad_act!D77)</f>
        <v>0</v>
      </c>
      <c r="E134" s="87">
        <f>IF(E48=0,0,1000000*E48/TrRoad_act!E77)</f>
        <v>0</v>
      </c>
      <c r="F134" s="87">
        <f>IF(F48=0,0,1000000*F48/TrRoad_act!F77)</f>
        <v>0</v>
      </c>
      <c r="G134" s="87">
        <f>IF(G48=0,0,1000000*G48/TrRoad_act!G77)</f>
        <v>0</v>
      </c>
      <c r="H134" s="87">
        <f>IF(H48=0,0,1000000*H48/TrRoad_act!H77)</f>
        <v>0</v>
      </c>
      <c r="I134" s="87">
        <f>IF(I48=0,0,1000000*I48/TrRoad_act!I77)</f>
        <v>0</v>
      </c>
      <c r="J134" s="87">
        <f>IF(J48=0,0,1000000*J48/TrRoad_act!J77)</f>
        <v>0</v>
      </c>
      <c r="K134" s="87">
        <f>IF(K48=0,0,1000000*K48/TrRoad_act!K77)</f>
        <v>0</v>
      </c>
      <c r="L134" s="87">
        <f>IF(L48=0,0,1000000*L48/TrRoad_act!L77)</f>
        <v>0</v>
      </c>
      <c r="M134" s="87">
        <f>IF(M48=0,0,1000000*M48/TrRoad_act!M77)</f>
        <v>0</v>
      </c>
      <c r="N134" s="87">
        <f>IF(N48=0,0,1000000*N48/TrRoad_act!N77)</f>
        <v>0</v>
      </c>
      <c r="O134" s="87">
        <f>IF(O48=0,0,1000000*O48/TrRoad_act!O77)</f>
        <v>1226.1144758827661</v>
      </c>
      <c r="P134" s="87">
        <f>IF(P48=0,0,1000000*P48/TrRoad_act!P77)</f>
        <v>1229.0972023311658</v>
      </c>
      <c r="Q134" s="87">
        <f>IF(Q48=0,0,1000000*Q48/TrRoad_act!Q77)</f>
        <v>1214.2729727597359</v>
      </c>
      <c r="R134" s="87">
        <f>IF(R48=0,0,1000000*R48/TrRoad_act!R77)</f>
        <v>1201.8066997584599</v>
      </c>
      <c r="S134" s="87">
        <f>IF(S48=0,0,1000000*S48/TrRoad_act!S77)</f>
        <v>1136.8485436931892</v>
      </c>
      <c r="T134" s="87">
        <f>IF(T48=0,0,1000000*T48/TrRoad_act!T77)</f>
        <v>1148.7956098851871</v>
      </c>
      <c r="U134" s="87">
        <f>IF(U48=0,0,1000000*U48/TrRoad_act!U77)</f>
        <v>1136.7988364146981</v>
      </c>
      <c r="V134" s="87">
        <f>IF(V48=0,0,1000000*V48/TrRoad_act!V77)</f>
        <v>1115.2212823744976</v>
      </c>
      <c r="W134" s="87">
        <f>IF(W48=0,0,1000000*W48/TrRoad_act!W77)</f>
        <v>1127.2315775063469</v>
      </c>
      <c r="X134" s="87">
        <f>IF(X48=0,0,1000000*X48/TrRoad_act!X77)</f>
        <v>1140.0424403379766</v>
      </c>
      <c r="Y134" s="87">
        <f>IF(Y48=0,0,1000000*Y48/TrRoad_act!Y77)</f>
        <v>1154.7027608058008</v>
      </c>
      <c r="DA134" s="171" t="s">
        <v>733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0</v>
      </c>
      <c r="I135" s="87">
        <f>IF(I49=0,0,1000000*I49/TrRoad_act!I78)</f>
        <v>0</v>
      </c>
      <c r="J135" s="87">
        <f>IF(J49=0,0,1000000*J49/TrRoad_act!J78)</f>
        <v>0</v>
      </c>
      <c r="K135" s="87">
        <f>IF(K49=0,0,1000000*K49/TrRoad_act!K78)</f>
        <v>0</v>
      </c>
      <c r="L135" s="87">
        <f>IF(L49=0,0,1000000*L49/TrRoad_act!L78)</f>
        <v>0</v>
      </c>
      <c r="M135" s="87">
        <f>IF(M49=0,0,1000000*M49/TrRoad_act!M78)</f>
        <v>0</v>
      </c>
      <c r="N135" s="87">
        <f>IF(N49=0,0,1000000*N49/TrRoad_act!N78)</f>
        <v>0</v>
      </c>
      <c r="O135" s="87">
        <f>IF(O49=0,0,1000000*O49/TrRoad_act!O78)</f>
        <v>0</v>
      </c>
      <c r="P135" s="87">
        <f>IF(P49=0,0,1000000*P49/TrRoad_act!P78)</f>
        <v>0</v>
      </c>
      <c r="Q135" s="87">
        <f>IF(Q49=0,0,1000000*Q49/TrRoad_act!Q78)</f>
        <v>0</v>
      </c>
      <c r="R135" s="87">
        <f>IF(R49=0,0,1000000*R49/TrRoad_act!R78)</f>
        <v>1223.3047141225748</v>
      </c>
      <c r="S135" s="87">
        <f>IF(S49=0,0,1000000*S49/TrRoad_act!S78)</f>
        <v>1186.2842141330798</v>
      </c>
      <c r="T135" s="87">
        <f>IF(T49=0,0,1000000*T49/TrRoad_act!T78)</f>
        <v>1174.7757804527946</v>
      </c>
      <c r="U135" s="87">
        <f>IF(U49=0,0,1000000*U49/TrRoad_act!U78)</f>
        <v>1348.6001819907005</v>
      </c>
      <c r="V135" s="87">
        <f>IF(V49=0,0,1000000*V49/TrRoad_act!V78)</f>
        <v>2137.748269112366</v>
      </c>
      <c r="W135" s="87">
        <f>IF(W49=0,0,1000000*W49/TrRoad_act!W78)</f>
        <v>4560.7523474227464</v>
      </c>
      <c r="X135" s="87">
        <f>IF(X49=0,0,1000000*X49/TrRoad_act!X78)</f>
        <v>2627.1068896147103</v>
      </c>
      <c r="Y135" s="87">
        <f>IF(Y49=0,0,1000000*Y49/TrRoad_act!Y78)</f>
        <v>2745.4223991393087</v>
      </c>
      <c r="DA135" s="171" t="s">
        <v>734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0</v>
      </c>
      <c r="I136" s="87">
        <f>IF(I51=0,0,1000000*I51/TrRoad_act!I79)</f>
        <v>0</v>
      </c>
      <c r="J136" s="87">
        <f>IF(J51=0,0,1000000*J51/TrRoad_act!J79)</f>
        <v>0</v>
      </c>
      <c r="K136" s="87">
        <f>IF(K51=0,0,1000000*K51/TrRoad_act!K79)</f>
        <v>0</v>
      </c>
      <c r="L136" s="87">
        <f>IF(L51=0,0,1000000*L51/TrRoad_act!L79)</f>
        <v>0</v>
      </c>
      <c r="M136" s="87">
        <f>IF(M51=0,0,1000000*M51/TrRoad_act!M79)</f>
        <v>238.425009354906</v>
      </c>
      <c r="N136" s="87">
        <f>IF(N51=0,0,1000000*N51/TrRoad_act!N79)</f>
        <v>239.29587474873145</v>
      </c>
      <c r="O136" s="87">
        <f>IF(O51=0,0,1000000*O51/TrRoad_act!O79)</f>
        <v>239.48391007117922</v>
      </c>
      <c r="P136" s="87">
        <f>IF(P51=0,0,1000000*P51/TrRoad_act!P79)</f>
        <v>240.39087948143739</v>
      </c>
      <c r="Q136" s="87">
        <f>IF(Q51=0,0,1000000*Q51/TrRoad_act!Q79)</f>
        <v>246.70278569559534</v>
      </c>
      <c r="R136" s="87">
        <f>IF(R51=0,0,1000000*R51/TrRoad_act!R79)</f>
        <v>248.30791490246784</v>
      </c>
      <c r="S136" s="87">
        <f>IF(S51=0,0,1000000*S51/TrRoad_act!S79)</f>
        <v>252.58182409320634</v>
      </c>
      <c r="T136" s="87">
        <f>IF(T51=0,0,1000000*T51/TrRoad_act!T79)</f>
        <v>280.41969284599588</v>
      </c>
      <c r="U136" s="87">
        <f>IF(U51=0,0,1000000*U51/TrRoad_act!U79)</f>
        <v>411.49629943361725</v>
      </c>
      <c r="V136" s="87">
        <f>IF(V51=0,0,1000000*V51/TrRoad_act!V79)</f>
        <v>342.74705868597061</v>
      </c>
      <c r="W136" s="87">
        <f>IF(W51=0,0,1000000*W51/TrRoad_act!W79)</f>
        <v>375.26427257789817</v>
      </c>
      <c r="X136" s="87">
        <f>IF(X51=0,0,1000000*X51/TrRoad_act!X79)</f>
        <v>398.47709738791639</v>
      </c>
      <c r="Y136" s="87">
        <f>IF(Y51=0,0,1000000*Y51/TrRoad_act!Y79)</f>
        <v>414.32226032170752</v>
      </c>
      <c r="DA136" s="171" t="s">
        <v>735</v>
      </c>
    </row>
    <row r="137" spans="1:105" ht="11.45" customHeight="1" x14ac:dyDescent="0.25">
      <c r="A137" s="109" t="s">
        <v>154</v>
      </c>
      <c r="B137" s="116">
        <f>IF(B52=0,0,1000000*B52/TrRoad_act!B80)</f>
        <v>13270.897735817862</v>
      </c>
      <c r="C137" s="116">
        <f>IF(C52=0,0,1000000*C52/TrRoad_act!C80)</f>
        <v>12480.339090848549</v>
      </c>
      <c r="D137" s="116">
        <f>IF(D52=0,0,1000000*D52/TrRoad_act!D80)</f>
        <v>12596.468888560477</v>
      </c>
      <c r="E137" s="116">
        <f>IF(E52=0,0,1000000*E52/TrRoad_act!E80)</f>
        <v>12522.153586860009</v>
      </c>
      <c r="F137" s="116">
        <f>IF(F52=0,0,1000000*F52/TrRoad_act!F80)</f>
        <v>13130.4346177022</v>
      </c>
      <c r="G137" s="116">
        <f>IF(G52=0,0,1000000*G52/TrRoad_act!G80)</f>
        <v>12270.83437204447</v>
      </c>
      <c r="H137" s="116">
        <f>IF(H52=0,0,1000000*H52/TrRoad_act!H80)</f>
        <v>11246.083314634381</v>
      </c>
      <c r="I137" s="116">
        <f>IF(I52=0,0,1000000*I52/TrRoad_act!I80)</f>
        <v>10820.270371084509</v>
      </c>
      <c r="J137" s="116">
        <f>IF(J52=0,0,1000000*J52/TrRoad_act!J80)</f>
        <v>10975.2929007331</v>
      </c>
      <c r="K137" s="116">
        <f>IF(K52=0,0,1000000*K52/TrRoad_act!K80)</f>
        <v>8748.360110001373</v>
      </c>
      <c r="L137" s="116">
        <f>IF(L52=0,0,1000000*L52/TrRoad_act!L80)</f>
        <v>7866.8722303802415</v>
      </c>
      <c r="M137" s="116">
        <f>IF(M52=0,0,1000000*M52/TrRoad_act!M80)</f>
        <v>7401.0221638019893</v>
      </c>
      <c r="N137" s="116">
        <f>IF(N52=0,0,1000000*N52/TrRoad_act!N80)</f>
        <v>7414.8347371869258</v>
      </c>
      <c r="O137" s="116">
        <f>IF(O52=0,0,1000000*O52/TrRoad_act!O80)</f>
        <v>7608.7107313973238</v>
      </c>
      <c r="P137" s="116">
        <f>IF(P52=0,0,1000000*P52/TrRoad_act!P80)</f>
        <v>7772.3036741180322</v>
      </c>
      <c r="Q137" s="116">
        <f>IF(Q52=0,0,1000000*Q52/TrRoad_act!Q80)</f>
        <v>7427.4991880645775</v>
      </c>
      <c r="R137" s="116">
        <f>IF(R52=0,0,1000000*R52/TrRoad_act!R80)</f>
        <v>8038.178545564967</v>
      </c>
      <c r="S137" s="116">
        <f>IF(S52=0,0,1000000*S52/TrRoad_act!S80)</f>
        <v>7510.9476951202732</v>
      </c>
      <c r="T137" s="116">
        <f>IF(T52=0,0,1000000*T52/TrRoad_act!T80)</f>
        <v>7734.1867202326002</v>
      </c>
      <c r="U137" s="116">
        <f>IF(U52=0,0,1000000*U52/TrRoad_act!U80)</f>
        <v>8122.3584838635215</v>
      </c>
      <c r="V137" s="116">
        <f>IF(V52=0,0,1000000*V52/TrRoad_act!V80)</f>
        <v>6810.2111099782596</v>
      </c>
      <c r="W137" s="116">
        <f>IF(W52=0,0,1000000*W52/TrRoad_act!W80)</f>
        <v>7451.1898897610617</v>
      </c>
      <c r="X137" s="116">
        <f>IF(X52=0,0,1000000*X52/TrRoad_act!X80)</f>
        <v>7774.8385312012342</v>
      </c>
      <c r="Y137" s="116">
        <f>IF(Y52=0,0,1000000*Y52/TrRoad_act!Y80)</f>
        <v>7935.9313099815136</v>
      </c>
      <c r="DA137" s="176" t="s">
        <v>736</v>
      </c>
    </row>
    <row r="138" spans="1:105" ht="11.45" customHeight="1" x14ac:dyDescent="0.25">
      <c r="A138" s="128" t="s">
        <v>27</v>
      </c>
      <c r="B138" s="101">
        <f>IF(B53=0,0,1000000*B53/TrRoad_act!B81)</f>
        <v>12611.239253083901</v>
      </c>
      <c r="C138" s="101">
        <f>IF(C53=0,0,1000000*C53/TrRoad_act!C81)</f>
        <v>11813.046169888241</v>
      </c>
      <c r="D138" s="101">
        <f>IF(D53=0,0,1000000*D53/TrRoad_act!D81)</f>
        <v>11998.390826340923</v>
      </c>
      <c r="E138" s="101">
        <f>IF(E53=0,0,1000000*E53/TrRoad_act!E81)</f>
        <v>11952.946811825812</v>
      </c>
      <c r="F138" s="101">
        <f>IF(F53=0,0,1000000*F53/TrRoad_act!F81)</f>
        <v>12509.276316290036</v>
      </c>
      <c r="G138" s="101">
        <f>IF(G53=0,0,1000000*G53/TrRoad_act!G81)</f>
        <v>11718.156376285013</v>
      </c>
      <c r="H138" s="101">
        <f>IF(H53=0,0,1000000*H53/TrRoad_act!H81)</f>
        <v>10704.283671437788</v>
      </c>
      <c r="I138" s="101">
        <f>IF(I53=0,0,1000000*I53/TrRoad_act!I81)</f>
        <v>10275.458288118174</v>
      </c>
      <c r="J138" s="101">
        <f>IF(J53=0,0,1000000*J53/TrRoad_act!J81)</f>
        <v>10462.38634190779</v>
      </c>
      <c r="K138" s="101">
        <f>IF(K53=0,0,1000000*K53/TrRoad_act!K81)</f>
        <v>8219.9607616362428</v>
      </c>
      <c r="L138" s="101">
        <f>IF(L53=0,0,1000000*L53/TrRoad_act!L81)</f>
        <v>7370.9673881442368</v>
      </c>
      <c r="M138" s="101">
        <f>IF(M53=0,0,1000000*M53/TrRoad_act!M81)</f>
        <v>6871.012145953785</v>
      </c>
      <c r="N138" s="101">
        <f>IF(N53=0,0,1000000*N53/TrRoad_act!N81)</f>
        <v>6926.9542287098257</v>
      </c>
      <c r="O138" s="101">
        <f>IF(O53=0,0,1000000*O53/TrRoad_act!O81)</f>
        <v>7124.343694691971</v>
      </c>
      <c r="P138" s="101">
        <f>IF(P53=0,0,1000000*P53/TrRoad_act!P81)</f>
        <v>7290.0528232096103</v>
      </c>
      <c r="Q138" s="101">
        <f>IF(Q53=0,0,1000000*Q53/TrRoad_act!Q81)</f>
        <v>6908.0987693160178</v>
      </c>
      <c r="R138" s="101">
        <f>IF(R53=0,0,1000000*R53/TrRoad_act!R81)</f>
        <v>7591.6985146657025</v>
      </c>
      <c r="S138" s="101">
        <f>IF(S53=0,0,1000000*S53/TrRoad_act!S81)</f>
        <v>7105.2972543755932</v>
      </c>
      <c r="T138" s="101">
        <f>IF(T53=0,0,1000000*T53/TrRoad_act!T81)</f>
        <v>7285.5692803076436</v>
      </c>
      <c r="U138" s="101">
        <f>IF(U53=0,0,1000000*U53/TrRoad_act!U81)</f>
        <v>7623.626658899434</v>
      </c>
      <c r="V138" s="101">
        <f>IF(V53=0,0,1000000*V53/TrRoad_act!V81)</f>
        <v>6620.5088957190292</v>
      </c>
      <c r="W138" s="101">
        <f>IF(W53=0,0,1000000*W53/TrRoad_act!W81)</f>
        <v>7259.4693124439318</v>
      </c>
      <c r="X138" s="101">
        <f>IF(X53=0,0,1000000*X53/TrRoad_act!X81)</f>
        <v>7590.6423623514793</v>
      </c>
      <c r="Y138" s="101">
        <f>IF(Y53=0,0,1000000*Y53/TrRoad_act!Y81)</f>
        <v>7736.7713390932413</v>
      </c>
      <c r="DA138" s="175" t="s">
        <v>737</v>
      </c>
    </row>
    <row r="139" spans="1:105" ht="11.45" customHeight="1" x14ac:dyDescent="0.25">
      <c r="A139" s="138" t="s">
        <v>116</v>
      </c>
      <c r="B139" s="88">
        <f>IF(B55=0,0,1000000*B55/TrRoad_act!B82)</f>
        <v>57194.913390981943</v>
      </c>
      <c r="C139" s="88">
        <f>IF(C55=0,0,1000000*C55/TrRoad_act!C82)</f>
        <v>59624.167299250796</v>
      </c>
      <c r="D139" s="88">
        <f>IF(D55=0,0,1000000*D55/TrRoad_act!D82)</f>
        <v>53677.228633097475</v>
      </c>
      <c r="E139" s="88">
        <f>IF(E55=0,0,1000000*E55/TrRoad_act!E82)</f>
        <v>51775.567589821032</v>
      </c>
      <c r="F139" s="88">
        <f>IF(F55=0,0,1000000*F55/TrRoad_act!F82)</f>
        <v>51001.855739223443</v>
      </c>
      <c r="G139" s="88">
        <f>IF(G55=0,0,1000000*G55/TrRoad_act!G82)</f>
        <v>48442.781590489685</v>
      </c>
      <c r="H139" s="88">
        <f>IF(H55=0,0,1000000*H55/TrRoad_act!H82)</f>
        <v>50222.517675063049</v>
      </c>
      <c r="I139" s="88">
        <f>IF(I55=0,0,1000000*I55/TrRoad_act!I82)</f>
        <v>51884.582687859576</v>
      </c>
      <c r="J139" s="88">
        <f>IF(J55=0,0,1000000*J55/TrRoad_act!J82)</f>
        <v>47159.949107225155</v>
      </c>
      <c r="K139" s="88">
        <f>IF(K55=0,0,1000000*K55/TrRoad_act!K82)</f>
        <v>47725.259137281821</v>
      </c>
      <c r="L139" s="88">
        <f>IF(L55=0,0,1000000*L55/TrRoad_act!L82)</f>
        <v>41883.19632048309</v>
      </c>
      <c r="M139" s="88">
        <f>IF(M55=0,0,1000000*M55/TrRoad_act!M82)</f>
        <v>39567.611676580083</v>
      </c>
      <c r="N139" s="88">
        <f>IF(N55=0,0,1000000*N55/TrRoad_act!N82)</f>
        <v>39820.041900838354</v>
      </c>
      <c r="O139" s="88">
        <f>IF(O55=0,0,1000000*O55/TrRoad_act!O82)</f>
        <v>40467.979532405836</v>
      </c>
      <c r="P139" s="88">
        <f>IF(P55=0,0,1000000*P55/TrRoad_act!P82)</f>
        <v>43270.487402705192</v>
      </c>
      <c r="Q139" s="88">
        <f>IF(Q55=0,0,1000000*Q55/TrRoad_act!Q82)</f>
        <v>43433.047955277114</v>
      </c>
      <c r="R139" s="88">
        <f>IF(R55=0,0,1000000*R55/TrRoad_act!R82)</f>
        <v>43229.290121285652</v>
      </c>
      <c r="S139" s="88">
        <f>IF(S55=0,0,1000000*S55/TrRoad_act!S82)</f>
        <v>41831.456254510304</v>
      </c>
      <c r="T139" s="88">
        <f>IF(T55=0,0,1000000*T55/TrRoad_act!T82)</f>
        <v>42767.885686224196</v>
      </c>
      <c r="U139" s="88">
        <f>IF(U55=0,0,1000000*U55/TrRoad_act!U82)</f>
        <v>42572.653801507942</v>
      </c>
      <c r="V139" s="88">
        <f>IF(V55=0,0,1000000*V55/TrRoad_act!V82)</f>
        <v>42084.517208100406</v>
      </c>
      <c r="W139" s="88">
        <f>IF(W55=0,0,1000000*W55/TrRoad_act!W82)</f>
        <v>43701.09770843749</v>
      </c>
      <c r="X139" s="88">
        <f>IF(X55=0,0,1000000*X55/TrRoad_act!X82)</f>
        <v>44218.126028358456</v>
      </c>
      <c r="Y139" s="88">
        <f>IF(Y55=0,0,1000000*Y55/TrRoad_act!Y82)</f>
        <v>45259.658854275491</v>
      </c>
      <c r="DA139" s="178" t="s">
        <v>738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DA140" s="171"/>
    </row>
    <row r="141" spans="1:105" ht="11.45" customHeight="1" x14ac:dyDescent="0.25">
      <c r="A141" s="53" t="s">
        <v>40</v>
      </c>
      <c r="B141" s="76">
        <f t="shared" ref="B141:K141" si="38">IF(B17=0,0,B17/B$17)</f>
        <v>1</v>
      </c>
      <c r="C141" s="76">
        <f t="shared" si="38"/>
        <v>1</v>
      </c>
      <c r="D141" s="76">
        <f t="shared" si="38"/>
        <v>1</v>
      </c>
      <c r="E141" s="76">
        <f t="shared" si="38"/>
        <v>1</v>
      </c>
      <c r="F141" s="76">
        <f t="shared" si="38"/>
        <v>1</v>
      </c>
      <c r="G141" s="76">
        <f t="shared" si="38"/>
        <v>1</v>
      </c>
      <c r="H141" s="76">
        <f t="shared" si="38"/>
        <v>1</v>
      </c>
      <c r="I141" s="76">
        <f t="shared" si="38"/>
        <v>1</v>
      </c>
      <c r="J141" s="76">
        <f t="shared" si="38"/>
        <v>1</v>
      </c>
      <c r="K141" s="76">
        <f t="shared" si="38"/>
        <v>1</v>
      </c>
      <c r="L141" s="76">
        <f t="shared" ref="L141" si="39">IF(L17=0,0,L17/L$17)</f>
        <v>1</v>
      </c>
      <c r="M141" s="76">
        <f t="shared" ref="M141:V141" si="40">IF(M17=0,0,M17/M$17)</f>
        <v>1</v>
      </c>
      <c r="N141" s="76">
        <f t="shared" si="40"/>
        <v>1</v>
      </c>
      <c r="O141" s="76">
        <f t="shared" si="40"/>
        <v>1</v>
      </c>
      <c r="P141" s="76">
        <f t="shared" si="40"/>
        <v>1</v>
      </c>
      <c r="Q141" s="76">
        <f t="shared" si="40"/>
        <v>1</v>
      </c>
      <c r="R141" s="76">
        <f t="shared" si="40"/>
        <v>1</v>
      </c>
      <c r="S141" s="76">
        <f t="shared" si="40"/>
        <v>1</v>
      </c>
      <c r="T141" s="76">
        <f t="shared" si="40"/>
        <v>1</v>
      </c>
      <c r="U141" s="76">
        <f t="shared" si="40"/>
        <v>1</v>
      </c>
      <c r="V141" s="76">
        <f t="shared" si="40"/>
        <v>1</v>
      </c>
      <c r="W141" s="76">
        <f t="shared" ref="W141:Y141" si="41">IF(W17=0,0,W17/W$17)</f>
        <v>1</v>
      </c>
      <c r="X141" s="76">
        <f t="shared" si="41"/>
        <v>1</v>
      </c>
      <c r="Y141" s="76">
        <f t="shared" si="41"/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2">IF(B18=0,0,B18/B$17)</f>
        <v>0.61968905446401557</v>
      </c>
      <c r="C142" s="46">
        <f t="shared" si="42"/>
        <v>0.61556450023794163</v>
      </c>
      <c r="D142" s="46">
        <f t="shared" si="42"/>
        <v>0.60810736346452121</v>
      </c>
      <c r="E142" s="46">
        <f t="shared" si="42"/>
        <v>0.60220632942839714</v>
      </c>
      <c r="F142" s="46">
        <f t="shared" si="42"/>
        <v>0.59130877313048802</v>
      </c>
      <c r="G142" s="46">
        <f t="shared" si="42"/>
        <v>0.59735286049996406</v>
      </c>
      <c r="H142" s="46">
        <f t="shared" si="42"/>
        <v>0.61196682418845638</v>
      </c>
      <c r="I142" s="46">
        <f t="shared" si="42"/>
        <v>0.59491124375120863</v>
      </c>
      <c r="J142" s="46">
        <f t="shared" si="42"/>
        <v>0.62270475697024175</v>
      </c>
      <c r="K142" s="46">
        <f t="shared" si="42"/>
        <v>0.66843548474193493</v>
      </c>
      <c r="L142" s="46">
        <f t="shared" ref="L142" si="43">IF(L18=0,0,L18/L$17)</f>
        <v>0.68414740096827042</v>
      </c>
      <c r="M142" s="46">
        <f t="shared" ref="M142:V142" si="44">IF(M18=0,0,M18/M$17)</f>
        <v>0.69014102413441403</v>
      </c>
      <c r="N142" s="46">
        <f t="shared" si="44"/>
        <v>0.69407764176910391</v>
      </c>
      <c r="O142" s="46">
        <f t="shared" si="44"/>
        <v>0.69651828448157804</v>
      </c>
      <c r="P142" s="46">
        <f t="shared" si="44"/>
        <v>0.69879627845194725</v>
      </c>
      <c r="Q142" s="46">
        <f t="shared" si="44"/>
        <v>0.70539170596045109</v>
      </c>
      <c r="R142" s="46">
        <f t="shared" si="44"/>
        <v>0.7057458934786538</v>
      </c>
      <c r="S142" s="46">
        <f t="shared" si="44"/>
        <v>0.70965639546988335</v>
      </c>
      <c r="T142" s="46">
        <f t="shared" si="44"/>
        <v>0.70362612682748082</v>
      </c>
      <c r="U142" s="46">
        <f t="shared" si="44"/>
        <v>0.69727853756879454</v>
      </c>
      <c r="V142" s="46">
        <f t="shared" si="44"/>
        <v>0.68421816075252029</v>
      </c>
      <c r="W142" s="46">
        <f t="shared" ref="W142:Y142" si="45">IF(W18=0,0,W18/W$17)</f>
        <v>0.67423685862544502</v>
      </c>
      <c r="X142" s="46">
        <f t="shared" si="45"/>
        <v>0.67963875042839828</v>
      </c>
      <c r="Y142" s="46">
        <f t="shared" si="45"/>
        <v>0.67892877929323892</v>
      </c>
      <c r="DA142" s="211"/>
    </row>
    <row r="143" spans="1:105" ht="11.45" customHeight="1" x14ac:dyDescent="0.25">
      <c r="A143" s="153" t="s">
        <v>173</v>
      </c>
      <c r="B143" s="154">
        <f t="shared" ref="B143:K143" si="46">IF(B19=0,0,B19/B$17)</f>
        <v>1.2977770087367882E-3</v>
      </c>
      <c r="C143" s="154">
        <f t="shared" si="46"/>
        <v>1.3256109001819445E-3</v>
      </c>
      <c r="D143" s="154">
        <f t="shared" si="46"/>
        <v>1.2769679570925143E-3</v>
      </c>
      <c r="E143" s="154">
        <f t="shared" si="46"/>
        <v>1.342204825185795E-3</v>
      </c>
      <c r="F143" s="154">
        <f t="shared" si="46"/>
        <v>1.2157662885455835E-3</v>
      </c>
      <c r="G143" s="154">
        <f t="shared" si="46"/>
        <v>1.3971515396735989E-3</v>
      </c>
      <c r="H143" s="154">
        <f t="shared" si="46"/>
        <v>1.2604352053866186E-3</v>
      </c>
      <c r="I143" s="154">
        <f t="shared" si="46"/>
        <v>1.2333734567851718E-3</v>
      </c>
      <c r="J143" s="154">
        <f t="shared" si="46"/>
        <v>1.3852129213406056E-3</v>
      </c>
      <c r="K143" s="154">
        <f t="shared" si="46"/>
        <v>1.3867006280208383E-3</v>
      </c>
      <c r="L143" s="154">
        <f t="shared" ref="L143" si="47">IF(L19=0,0,L19/L$17)</f>
        <v>1.2842452857504752E-3</v>
      </c>
      <c r="M143" s="154">
        <f t="shared" ref="M143:V143" si="48">IF(M19=0,0,M19/M$17)</f>
        <v>1.2265831630148556E-3</v>
      </c>
      <c r="N143" s="154">
        <f t="shared" si="48"/>
        <v>1.1236014412582948E-3</v>
      </c>
      <c r="O143" s="154">
        <f t="shared" si="48"/>
        <v>1.086734851157225E-3</v>
      </c>
      <c r="P143" s="154">
        <f t="shared" si="48"/>
        <v>1.1986334553059285E-3</v>
      </c>
      <c r="Q143" s="154">
        <f t="shared" si="48"/>
        <v>1.1164841631639416E-3</v>
      </c>
      <c r="R143" s="154">
        <f t="shared" si="48"/>
        <v>1.0947303662218694E-3</v>
      </c>
      <c r="S143" s="154">
        <f t="shared" si="48"/>
        <v>1.0426782037410327E-3</v>
      </c>
      <c r="T143" s="154">
        <f t="shared" si="48"/>
        <v>9.7599929330307537E-4</v>
      </c>
      <c r="U143" s="154">
        <f t="shared" si="48"/>
        <v>1.0268639495974112E-3</v>
      </c>
      <c r="V143" s="154">
        <f t="shared" si="48"/>
        <v>1.1026899988923003E-3</v>
      </c>
      <c r="W143" s="154">
        <f t="shared" ref="W143:Y143" si="49">IF(W19=0,0,W19/W$17)</f>
        <v>1.0760659090464557E-3</v>
      </c>
      <c r="X143" s="154">
        <f t="shared" si="49"/>
        <v>9.9725074382495723E-4</v>
      </c>
      <c r="Y143" s="154">
        <f t="shared" si="49"/>
        <v>1.0345311602862428E-3</v>
      </c>
      <c r="DA143" s="212"/>
    </row>
    <row r="144" spans="1:105" ht="11.45" customHeight="1" x14ac:dyDescent="0.25">
      <c r="A144" s="155" t="s">
        <v>20</v>
      </c>
      <c r="B144" s="156">
        <f t="shared" ref="B144:K144" si="50">IF(B21=0,0,B21/B$17)</f>
        <v>0.58019759436355323</v>
      </c>
      <c r="C144" s="156">
        <f t="shared" si="50"/>
        <v>0.5781923742989411</v>
      </c>
      <c r="D144" s="156">
        <f t="shared" si="50"/>
        <v>0.57134265301225395</v>
      </c>
      <c r="E144" s="156">
        <f t="shared" si="50"/>
        <v>0.56442098648979133</v>
      </c>
      <c r="F144" s="156">
        <f t="shared" si="50"/>
        <v>0.5546638383977881</v>
      </c>
      <c r="G144" s="156">
        <f t="shared" si="50"/>
        <v>0.56133949355955837</v>
      </c>
      <c r="H144" s="156">
        <f t="shared" si="50"/>
        <v>0.57670479988824386</v>
      </c>
      <c r="I144" s="156">
        <f t="shared" si="50"/>
        <v>0.55857844757975905</v>
      </c>
      <c r="J144" s="156">
        <f t="shared" si="50"/>
        <v>0.58173883908735491</v>
      </c>
      <c r="K144" s="156">
        <f t="shared" si="50"/>
        <v>0.6241783246333884</v>
      </c>
      <c r="L144" s="156">
        <f t="shared" ref="L144" si="51">IF(L21=0,0,L21/L$17)</f>
        <v>0.63825211263032955</v>
      </c>
      <c r="M144" s="156">
        <f t="shared" ref="M144:V144" si="52">IF(M21=0,0,M21/M$17)</f>
        <v>0.64334682623657125</v>
      </c>
      <c r="N144" s="156">
        <f t="shared" si="52"/>
        <v>0.64707537568758011</v>
      </c>
      <c r="O144" s="156">
        <f t="shared" si="52"/>
        <v>0.65024004129769175</v>
      </c>
      <c r="P144" s="156">
        <f t="shared" si="52"/>
        <v>0.65323199255460906</v>
      </c>
      <c r="Q144" s="156">
        <f t="shared" si="52"/>
        <v>0.65919794486473415</v>
      </c>
      <c r="R144" s="156">
        <f t="shared" si="52"/>
        <v>0.65922734055695409</v>
      </c>
      <c r="S144" s="156">
        <f t="shared" si="52"/>
        <v>0.65813390989696996</v>
      </c>
      <c r="T144" s="156">
        <f t="shared" si="52"/>
        <v>0.64908410934037819</v>
      </c>
      <c r="U144" s="156">
        <f t="shared" si="52"/>
        <v>0.64238290316634239</v>
      </c>
      <c r="V144" s="156">
        <f t="shared" si="52"/>
        <v>0.62969054715040795</v>
      </c>
      <c r="W144" s="156">
        <f t="shared" ref="W144:Y144" si="53">IF(W21=0,0,W21/W$17)</f>
        <v>0.62311919735016852</v>
      </c>
      <c r="X144" s="156">
        <f t="shared" si="53"/>
        <v>0.62132555257755595</v>
      </c>
      <c r="Y144" s="156">
        <f t="shared" si="53"/>
        <v>0.60933760975185935</v>
      </c>
      <c r="DA144" s="213"/>
    </row>
    <row r="145" spans="1:105" ht="11.45" customHeight="1" x14ac:dyDescent="0.25">
      <c r="A145" s="157" t="s">
        <v>110</v>
      </c>
      <c r="B145" s="103">
        <f t="shared" ref="B145:K145" si="54">IF(B22=0,0,B22/B$17)</f>
        <v>0.46698306757654401</v>
      </c>
      <c r="C145" s="103">
        <f t="shared" si="54"/>
        <v>0.46427634716829663</v>
      </c>
      <c r="D145" s="103">
        <f t="shared" si="54"/>
        <v>0.46555332069190963</v>
      </c>
      <c r="E145" s="103">
        <f t="shared" si="54"/>
        <v>0.45756039061486686</v>
      </c>
      <c r="F145" s="103">
        <f t="shared" si="54"/>
        <v>0.44420386116993482</v>
      </c>
      <c r="G145" s="103">
        <f t="shared" si="54"/>
        <v>0.44082547923742771</v>
      </c>
      <c r="H145" s="103">
        <f t="shared" si="54"/>
        <v>0.44460523277564701</v>
      </c>
      <c r="I145" s="103">
        <f t="shared" si="54"/>
        <v>0.41923328815719196</v>
      </c>
      <c r="J145" s="103">
        <f t="shared" si="54"/>
        <v>0.41723270020912229</v>
      </c>
      <c r="K145" s="103">
        <f t="shared" si="54"/>
        <v>0.41577651956693795</v>
      </c>
      <c r="L145" s="103">
        <f t="shared" ref="L145" si="55">IF(L22=0,0,L22/L$17)</f>
        <v>0.41320384235272611</v>
      </c>
      <c r="M145" s="103">
        <f t="shared" ref="M145:V145" si="56">IF(M22=0,0,M22/M$17)</f>
        <v>0.38465086724969805</v>
      </c>
      <c r="N145" s="103">
        <f t="shared" si="56"/>
        <v>0.37334353446023866</v>
      </c>
      <c r="O145" s="103">
        <f t="shared" si="56"/>
        <v>0.33956026772732945</v>
      </c>
      <c r="P145" s="103">
        <f t="shared" si="56"/>
        <v>0.32330705717696112</v>
      </c>
      <c r="Q145" s="103">
        <f t="shared" si="56"/>
        <v>0.27568685114495534</v>
      </c>
      <c r="R145" s="103">
        <f t="shared" si="56"/>
        <v>0.25945346700763866</v>
      </c>
      <c r="S145" s="103">
        <f t="shared" si="56"/>
        <v>0.23748873101013382</v>
      </c>
      <c r="T145" s="103">
        <f t="shared" si="56"/>
        <v>0.21454867181090345</v>
      </c>
      <c r="U145" s="103">
        <f t="shared" si="56"/>
        <v>0.20176874175766019</v>
      </c>
      <c r="V145" s="103">
        <f t="shared" si="56"/>
        <v>0.17796012634706349</v>
      </c>
      <c r="W145" s="103">
        <f t="shared" ref="W145:Y145" si="57">IF(W22=0,0,W22/W$17)</f>
        <v>0.17629707149841492</v>
      </c>
      <c r="X145" s="103">
        <f t="shared" si="57"/>
        <v>0.18588250305186735</v>
      </c>
      <c r="Y145" s="103">
        <f t="shared" si="57"/>
        <v>0.192495192567812</v>
      </c>
      <c r="DA145" s="191"/>
    </row>
    <row r="146" spans="1:105" ht="11.45" customHeight="1" x14ac:dyDescent="0.25">
      <c r="A146" s="157" t="s">
        <v>111</v>
      </c>
      <c r="B146" s="103">
        <f t="shared" ref="B146:K146" si="58">IF(B24=0,0,B24/B$17)</f>
        <v>0.11257013467297217</v>
      </c>
      <c r="C146" s="103">
        <f t="shared" si="58"/>
        <v>0.11347466938695805</v>
      </c>
      <c r="D146" s="103">
        <f t="shared" si="58"/>
        <v>0.10540989117443411</v>
      </c>
      <c r="E146" s="103">
        <f t="shared" si="58"/>
        <v>0.10653676630765983</v>
      </c>
      <c r="F146" s="103">
        <f t="shared" si="58"/>
        <v>0.11018739661594687</v>
      </c>
      <c r="G146" s="103">
        <f t="shared" si="58"/>
        <v>0.12026823316091267</v>
      </c>
      <c r="H146" s="103">
        <f t="shared" si="58"/>
        <v>0.13190607373204405</v>
      </c>
      <c r="I146" s="103">
        <f t="shared" si="58"/>
        <v>0.13909360241542212</v>
      </c>
      <c r="J146" s="103">
        <f t="shared" si="58"/>
        <v>0.16430043785307083</v>
      </c>
      <c r="K146" s="103">
        <f t="shared" si="58"/>
        <v>0.20825491304376767</v>
      </c>
      <c r="L146" s="103">
        <f t="shared" ref="L146" si="59">IF(L24=0,0,L24/L$17)</f>
        <v>0.22490977930379175</v>
      </c>
      <c r="M146" s="103">
        <f t="shared" ref="M146:V146" si="60">IF(M24=0,0,M24/M$17)</f>
        <v>0.25850173040528185</v>
      </c>
      <c r="N146" s="103">
        <f t="shared" si="60"/>
        <v>0.27339602467209073</v>
      </c>
      <c r="O146" s="103">
        <f t="shared" si="60"/>
        <v>0.31029502129889647</v>
      </c>
      <c r="P146" s="103">
        <f t="shared" si="60"/>
        <v>0.32931069490803117</v>
      </c>
      <c r="Q146" s="103">
        <f t="shared" si="60"/>
        <v>0.38275633662948577</v>
      </c>
      <c r="R146" s="103">
        <f t="shared" si="60"/>
        <v>0.39897967068473073</v>
      </c>
      <c r="S146" s="103">
        <f t="shared" si="60"/>
        <v>0.41982300612473372</v>
      </c>
      <c r="T146" s="103">
        <f t="shared" si="60"/>
        <v>0.43360486657569997</v>
      </c>
      <c r="U146" s="103">
        <f t="shared" si="60"/>
        <v>0.43931290051026339</v>
      </c>
      <c r="V146" s="103">
        <f t="shared" si="60"/>
        <v>0.44990550207931002</v>
      </c>
      <c r="W146" s="103">
        <f t="shared" ref="W146:Y146" si="61">IF(W24=0,0,W24/W$17)</f>
        <v>0.44304256138026837</v>
      </c>
      <c r="X146" s="103">
        <f t="shared" si="61"/>
        <v>0.42948839687233814</v>
      </c>
      <c r="Y146" s="103">
        <f t="shared" si="61"/>
        <v>0.40851381446085</v>
      </c>
      <c r="DA146" s="191"/>
    </row>
    <row r="147" spans="1:105" ht="11.45" customHeight="1" x14ac:dyDescent="0.25">
      <c r="A147" s="157" t="s">
        <v>112</v>
      </c>
      <c r="B147" s="103">
        <f t="shared" ref="B147:K147" si="62">IF(B26=0,0,B26/B$17)</f>
        <v>6.443921140371013E-4</v>
      </c>
      <c r="C147" s="103">
        <f t="shared" si="62"/>
        <v>4.4135774368641629E-4</v>
      </c>
      <c r="D147" s="103">
        <f t="shared" si="62"/>
        <v>3.7944114591016205E-4</v>
      </c>
      <c r="E147" s="103">
        <f t="shared" si="62"/>
        <v>3.2382956726457118E-4</v>
      </c>
      <c r="F147" s="103">
        <f t="shared" si="62"/>
        <v>2.7258061190644128E-4</v>
      </c>
      <c r="G147" s="103">
        <f t="shared" si="62"/>
        <v>2.4578116121795358E-4</v>
      </c>
      <c r="H147" s="103">
        <f t="shared" si="62"/>
        <v>1.9349338055277482E-4</v>
      </c>
      <c r="I147" s="103">
        <f t="shared" si="62"/>
        <v>2.5155700714490155E-4</v>
      </c>
      <c r="J147" s="103">
        <f t="shared" si="62"/>
        <v>2.0570102516175834E-4</v>
      </c>
      <c r="K147" s="103">
        <f t="shared" si="62"/>
        <v>1.467704707651618E-4</v>
      </c>
      <c r="L147" s="103">
        <f t="shared" ref="L147" si="63">IF(L26=0,0,L26/L$17)</f>
        <v>1.3727150706496874E-4</v>
      </c>
      <c r="M147" s="103">
        <f t="shared" ref="M147:V147" si="64">IF(M26=0,0,M26/M$17)</f>
        <v>1.5373615416264106E-4</v>
      </c>
      <c r="N147" s="103">
        <f t="shared" si="64"/>
        <v>2.8633360622830822E-4</v>
      </c>
      <c r="O147" s="103">
        <f t="shared" si="64"/>
        <v>3.6578349198233996E-4</v>
      </c>
      <c r="P147" s="103">
        <f t="shared" si="64"/>
        <v>5.6838791204136263E-4</v>
      </c>
      <c r="Q147" s="103">
        <f t="shared" si="64"/>
        <v>6.7092564828168653E-4</v>
      </c>
      <c r="R147" s="103">
        <f t="shared" si="64"/>
        <v>6.4460331919610151E-4</v>
      </c>
      <c r="S147" s="103">
        <f t="shared" si="64"/>
        <v>5.7512661497970423E-4</v>
      </c>
      <c r="T147" s="103">
        <f t="shared" si="64"/>
        <v>4.6813122334755708E-4</v>
      </c>
      <c r="U147" s="103">
        <f t="shared" si="64"/>
        <v>4.0888117449390044E-4</v>
      </c>
      <c r="V147" s="103">
        <f t="shared" si="64"/>
        <v>3.4457853945896194E-4</v>
      </c>
      <c r="W147" s="103">
        <f t="shared" ref="W147:Y147" si="65">IF(W26=0,0,W26/W$17)</f>
        <v>3.2762517676913683E-4</v>
      </c>
      <c r="X147" s="103">
        <f t="shared" si="65"/>
        <v>4.2329051276866953E-4</v>
      </c>
      <c r="Y147" s="103">
        <f t="shared" si="65"/>
        <v>2.95225245001277E-4</v>
      </c>
      <c r="DA147" s="191"/>
    </row>
    <row r="148" spans="1:105" ht="11.45" customHeight="1" x14ac:dyDescent="0.25">
      <c r="A148" s="157" t="s">
        <v>113</v>
      </c>
      <c r="B148" s="103">
        <f t="shared" ref="B148:K148" si="66">IF(B27=0,0,B27/B$17)</f>
        <v>0</v>
      </c>
      <c r="C148" s="103">
        <f t="shared" si="66"/>
        <v>0</v>
      </c>
      <c r="D148" s="103">
        <f t="shared" si="66"/>
        <v>0</v>
      </c>
      <c r="E148" s="103">
        <f t="shared" si="66"/>
        <v>0</v>
      </c>
      <c r="F148" s="103">
        <f t="shared" si="66"/>
        <v>0</v>
      </c>
      <c r="G148" s="103">
        <f t="shared" si="66"/>
        <v>0</v>
      </c>
      <c r="H148" s="103">
        <f t="shared" si="66"/>
        <v>0</v>
      </c>
      <c r="I148" s="103">
        <f t="shared" si="66"/>
        <v>0</v>
      </c>
      <c r="J148" s="103">
        <f t="shared" si="66"/>
        <v>0</v>
      </c>
      <c r="K148" s="103">
        <f t="shared" si="66"/>
        <v>0</v>
      </c>
      <c r="L148" s="103">
        <f t="shared" ref="L148" si="67">IF(L27=0,0,L27/L$17)</f>
        <v>0</v>
      </c>
      <c r="M148" s="103">
        <f t="shared" ref="M148:V148" si="68">IF(M27=0,0,M27/M$17)</f>
        <v>0</v>
      </c>
      <c r="N148" s="103">
        <f t="shared" si="68"/>
        <v>0</v>
      </c>
      <c r="O148" s="103">
        <f t="shared" si="68"/>
        <v>0</v>
      </c>
      <c r="P148" s="103">
        <f t="shared" si="68"/>
        <v>6.273129920318117E-6</v>
      </c>
      <c r="Q148" s="103">
        <f t="shared" si="68"/>
        <v>3.3816457606854427E-6</v>
      </c>
      <c r="R148" s="103">
        <f t="shared" si="68"/>
        <v>2.0063722974733192E-6</v>
      </c>
      <c r="S148" s="103">
        <f t="shared" si="68"/>
        <v>2.4156530093777658E-6</v>
      </c>
      <c r="T148" s="103">
        <f t="shared" si="68"/>
        <v>3.0020901794022793E-6</v>
      </c>
      <c r="U148" s="103">
        <f t="shared" si="68"/>
        <v>3.2972414346340098E-6</v>
      </c>
      <c r="V148" s="103">
        <f t="shared" si="68"/>
        <v>4.0776168815249591E-6</v>
      </c>
      <c r="W148" s="103">
        <f t="shared" ref="W148:Y148" si="69">IF(W27=0,0,W27/W$17)</f>
        <v>7.6863964607772536E-6</v>
      </c>
      <c r="X148" s="103">
        <f t="shared" si="69"/>
        <v>5.3419011033638695E-5</v>
      </c>
      <c r="Y148" s="103">
        <f t="shared" si="69"/>
        <v>4.2602991170681605E-5</v>
      </c>
      <c r="DA148" s="191"/>
    </row>
    <row r="149" spans="1:105" ht="11.45" customHeight="1" x14ac:dyDescent="0.25">
      <c r="A149" s="157" t="s">
        <v>114</v>
      </c>
      <c r="B149" s="103">
        <f t="shared" ref="B149:K149" si="70">IF(B29=0,0,B29/B$17)</f>
        <v>0</v>
      </c>
      <c r="C149" s="103">
        <f t="shared" si="70"/>
        <v>0</v>
      </c>
      <c r="D149" s="103">
        <f t="shared" si="70"/>
        <v>0</v>
      </c>
      <c r="E149" s="103">
        <f t="shared" si="70"/>
        <v>0</v>
      </c>
      <c r="F149" s="103">
        <f t="shared" si="70"/>
        <v>0</v>
      </c>
      <c r="G149" s="103">
        <f t="shared" si="70"/>
        <v>0</v>
      </c>
      <c r="H149" s="103">
        <f t="shared" si="70"/>
        <v>0</v>
      </c>
      <c r="I149" s="103">
        <f t="shared" si="70"/>
        <v>0</v>
      </c>
      <c r="J149" s="103">
        <f t="shared" si="70"/>
        <v>0</v>
      </c>
      <c r="K149" s="103">
        <f t="shared" si="70"/>
        <v>0</v>
      </c>
      <c r="L149" s="103">
        <f t="shared" ref="L149" si="71">IF(L29=0,0,L29/L$17)</f>
        <v>0</v>
      </c>
      <c r="M149" s="103">
        <f t="shared" ref="M149:V149" si="72">IF(M29=0,0,M29/M$17)</f>
        <v>0</v>
      </c>
      <c r="N149" s="103">
        <f t="shared" si="72"/>
        <v>0</v>
      </c>
      <c r="O149" s="103">
        <f t="shared" si="72"/>
        <v>1.1859376795863229E-6</v>
      </c>
      <c r="P149" s="103">
        <f t="shared" si="72"/>
        <v>4.0460355349995804E-6</v>
      </c>
      <c r="Q149" s="103">
        <f t="shared" si="72"/>
        <v>1.5225518513255612E-5</v>
      </c>
      <c r="R149" s="103">
        <f t="shared" si="72"/>
        <v>4.960999098118095E-5</v>
      </c>
      <c r="S149" s="103">
        <f t="shared" si="72"/>
        <v>8.6259122154148913E-5</v>
      </c>
      <c r="T149" s="103">
        <f t="shared" si="72"/>
        <v>1.8873707922164912E-4</v>
      </c>
      <c r="U149" s="103">
        <f t="shared" si="72"/>
        <v>3.5223041615680328E-4</v>
      </c>
      <c r="V149" s="103">
        <f t="shared" si="72"/>
        <v>6.1398444297223131E-4</v>
      </c>
      <c r="W149" s="103">
        <f t="shared" ref="W149:Y149" si="73">IF(W29=0,0,W29/W$17)</f>
        <v>1.9297760266536628E-3</v>
      </c>
      <c r="X149" s="103">
        <f t="shared" si="73"/>
        <v>2.9034527098484703E-3</v>
      </c>
      <c r="Y149" s="103">
        <f t="shared" si="73"/>
        <v>3.9976547123853224E-3</v>
      </c>
      <c r="DA149" s="191"/>
    </row>
    <row r="150" spans="1:105" ht="11.45" customHeight="1" x14ac:dyDescent="0.25">
      <c r="A150" s="157" t="s">
        <v>115</v>
      </c>
      <c r="B150" s="103">
        <f t="shared" ref="B150:K150" si="74">IF(B32=0,0,B32/B$17)</f>
        <v>0</v>
      </c>
      <c r="C150" s="103">
        <f t="shared" si="74"/>
        <v>0</v>
      </c>
      <c r="D150" s="103">
        <f t="shared" si="74"/>
        <v>0</v>
      </c>
      <c r="E150" s="103">
        <f t="shared" si="74"/>
        <v>0</v>
      </c>
      <c r="F150" s="103">
        <f t="shared" si="74"/>
        <v>0</v>
      </c>
      <c r="G150" s="103">
        <f t="shared" si="74"/>
        <v>0</v>
      </c>
      <c r="H150" s="103">
        <f t="shared" si="74"/>
        <v>0</v>
      </c>
      <c r="I150" s="103">
        <f t="shared" si="74"/>
        <v>0</v>
      </c>
      <c r="J150" s="103">
        <f t="shared" si="74"/>
        <v>0</v>
      </c>
      <c r="K150" s="103">
        <f t="shared" si="74"/>
        <v>1.2155191751419648E-7</v>
      </c>
      <c r="L150" s="103">
        <f t="shared" ref="L150" si="75">IF(L32=0,0,L32/L$17)</f>
        <v>1.219466746771507E-6</v>
      </c>
      <c r="M150" s="103">
        <f t="shared" ref="M150:V150" si="76">IF(M32=0,0,M32/M$17)</f>
        <v>4.0492427428693247E-5</v>
      </c>
      <c r="N150" s="103">
        <f t="shared" si="76"/>
        <v>4.9482949022460238E-5</v>
      </c>
      <c r="O150" s="103">
        <f t="shared" si="76"/>
        <v>1.7782841804009431E-5</v>
      </c>
      <c r="P150" s="103">
        <f t="shared" si="76"/>
        <v>3.5533392120076609E-5</v>
      </c>
      <c r="Q150" s="103">
        <f t="shared" si="76"/>
        <v>6.5224277737480825E-5</v>
      </c>
      <c r="R150" s="103">
        <f t="shared" si="76"/>
        <v>9.7983182110113041E-5</v>
      </c>
      <c r="S150" s="103">
        <f t="shared" si="76"/>
        <v>1.5837137195921864E-4</v>
      </c>
      <c r="T150" s="103">
        <f t="shared" si="76"/>
        <v>2.7070056102610499E-4</v>
      </c>
      <c r="U150" s="103">
        <f t="shared" si="76"/>
        <v>5.3685206633338203E-4</v>
      </c>
      <c r="V150" s="103">
        <f t="shared" si="76"/>
        <v>8.6227812472173941E-4</v>
      </c>
      <c r="W150" s="103">
        <f t="shared" ref="W150:Y150" si="77">IF(W32=0,0,W32/W$17)</f>
        <v>1.5144768716016655E-3</v>
      </c>
      <c r="X150" s="103">
        <f t="shared" si="77"/>
        <v>2.5744904196996639E-3</v>
      </c>
      <c r="Y150" s="103">
        <f t="shared" si="77"/>
        <v>3.9931197746398868E-3</v>
      </c>
      <c r="DA150" s="191"/>
    </row>
    <row r="151" spans="1:105" ht="11.45" customHeight="1" x14ac:dyDescent="0.25">
      <c r="A151" s="155" t="s">
        <v>21</v>
      </c>
      <c r="B151" s="156">
        <f t="shared" ref="B151:K151" si="78">IF(B33=0,0,B33/B$17)</f>
        <v>3.8193683091725557E-2</v>
      </c>
      <c r="C151" s="156">
        <f t="shared" si="78"/>
        <v>3.6046515038818408E-2</v>
      </c>
      <c r="D151" s="156">
        <f t="shared" si="78"/>
        <v>3.548774249517482E-2</v>
      </c>
      <c r="E151" s="156">
        <f t="shared" si="78"/>
        <v>3.6443138113419919E-2</v>
      </c>
      <c r="F151" s="156">
        <f t="shared" si="78"/>
        <v>3.542916844415428E-2</v>
      </c>
      <c r="G151" s="156">
        <f t="shared" si="78"/>
        <v>3.461621540073221E-2</v>
      </c>
      <c r="H151" s="156">
        <f t="shared" si="78"/>
        <v>3.4001589094825868E-2</v>
      </c>
      <c r="I151" s="156">
        <f t="shared" si="78"/>
        <v>3.5099422714664402E-2</v>
      </c>
      <c r="J151" s="156">
        <f t="shared" si="78"/>
        <v>3.9580704961546281E-2</v>
      </c>
      <c r="K151" s="156">
        <f t="shared" si="78"/>
        <v>4.2870459480525751E-2</v>
      </c>
      <c r="L151" s="156">
        <f t="shared" ref="L151" si="79">IF(L33=0,0,L33/L$17)</f>
        <v>4.4611043052190366E-2</v>
      </c>
      <c r="M151" s="156">
        <f t="shared" ref="M151:V151" si="80">IF(M33=0,0,M33/M$17)</f>
        <v>4.5567614734827983E-2</v>
      </c>
      <c r="N151" s="156">
        <f t="shared" si="80"/>
        <v>4.5878664640265528E-2</v>
      </c>
      <c r="O151" s="156">
        <f t="shared" si="80"/>
        <v>4.5191508332729127E-2</v>
      </c>
      <c r="P151" s="156">
        <f t="shared" si="80"/>
        <v>4.4365652442032312E-2</v>
      </c>
      <c r="Q151" s="156">
        <f t="shared" si="80"/>
        <v>4.507727693255302E-2</v>
      </c>
      <c r="R151" s="156">
        <f t="shared" si="80"/>
        <v>4.5423822555478E-2</v>
      </c>
      <c r="S151" s="156">
        <f t="shared" si="80"/>
        <v>5.0479807369172347E-2</v>
      </c>
      <c r="T151" s="156">
        <f t="shared" si="80"/>
        <v>5.3566018193799581E-2</v>
      </c>
      <c r="U151" s="156">
        <f t="shared" si="80"/>
        <v>5.3868770452854854E-2</v>
      </c>
      <c r="V151" s="156">
        <f t="shared" si="80"/>
        <v>5.3424923603220001E-2</v>
      </c>
      <c r="W151" s="156">
        <f t="shared" ref="W151:Y151" si="81">IF(W33=0,0,W33/W$17)</f>
        <v>5.0041595366230006E-2</v>
      </c>
      <c r="X151" s="156">
        <f t="shared" si="81"/>
        <v>5.7315947107017456E-2</v>
      </c>
      <c r="Y151" s="156">
        <f t="shared" si="81"/>
        <v>6.8556638381093479E-2</v>
      </c>
      <c r="DA151" s="213"/>
    </row>
    <row r="152" spans="1:105" ht="11.45" customHeight="1" x14ac:dyDescent="0.25">
      <c r="A152" s="157" t="s">
        <v>110</v>
      </c>
      <c r="B152" s="103">
        <f t="shared" ref="B152:K152" si="82">IF(B34=0,0,B34/B$17)</f>
        <v>2.3325871851007039E-4</v>
      </c>
      <c r="C152" s="103">
        <f t="shared" si="82"/>
        <v>2.0465231347352962E-4</v>
      </c>
      <c r="D152" s="103">
        <f t="shared" si="82"/>
        <v>1.8262485961815299E-4</v>
      </c>
      <c r="E152" s="103">
        <f t="shared" si="82"/>
        <v>1.6210920518192661E-4</v>
      </c>
      <c r="F152" s="103">
        <f t="shared" si="82"/>
        <v>1.349596408136074E-4</v>
      </c>
      <c r="G152" s="103">
        <f t="shared" si="82"/>
        <v>1.1144933967150717E-4</v>
      </c>
      <c r="H152" s="103">
        <f t="shared" si="82"/>
        <v>8.9045861392080683E-5</v>
      </c>
      <c r="I152" s="103">
        <f t="shared" si="82"/>
        <v>7.6684372560713765E-5</v>
      </c>
      <c r="J152" s="103">
        <f t="shared" si="82"/>
        <v>7.0075279897494975E-5</v>
      </c>
      <c r="K152" s="103">
        <f t="shared" si="82"/>
        <v>6.355591607328366E-5</v>
      </c>
      <c r="L152" s="103">
        <f t="shared" ref="L152" si="83">IF(L34=0,0,L34/L$17)</f>
        <v>5.3748884563153242E-5</v>
      </c>
      <c r="M152" s="103">
        <f t="shared" ref="M152:V152" si="84">IF(M34=0,0,M34/M$17)</f>
        <v>4.4700514021181538E-5</v>
      </c>
      <c r="N152" s="103">
        <f t="shared" si="84"/>
        <v>3.4368694279635288E-5</v>
      </c>
      <c r="O152" s="103">
        <f t="shared" si="84"/>
        <v>3.3849676200355882E-5</v>
      </c>
      <c r="P152" s="103">
        <f t="shared" si="84"/>
        <v>3.2610531259817924E-5</v>
      </c>
      <c r="Q152" s="103">
        <f t="shared" si="84"/>
        <v>2.7720304783633084E-5</v>
      </c>
      <c r="R152" s="103">
        <f t="shared" si="84"/>
        <v>2.1678487890973446E-5</v>
      </c>
      <c r="S152" s="103">
        <f t="shared" si="84"/>
        <v>2.6959239669074924E-5</v>
      </c>
      <c r="T152" s="103">
        <f t="shared" si="84"/>
        <v>1.8229847230479818E-5</v>
      </c>
      <c r="U152" s="103">
        <f t="shared" si="84"/>
        <v>2.1746396335223824E-5</v>
      </c>
      <c r="V152" s="103">
        <f t="shared" si="84"/>
        <v>2.3797875367480721E-5</v>
      </c>
      <c r="W152" s="103">
        <f t="shared" ref="W152:Y152" si="85">IF(W34=0,0,W34/W$17)</f>
        <v>2.0182169952532534E-5</v>
      </c>
      <c r="X152" s="103">
        <f t="shared" si="85"/>
        <v>5.8814760637544964E-5</v>
      </c>
      <c r="Y152" s="103">
        <f t="shared" si="85"/>
        <v>1.7046444035610108E-4</v>
      </c>
      <c r="DA152" s="191"/>
    </row>
    <row r="153" spans="1:105" ht="11.45" customHeight="1" x14ac:dyDescent="0.25">
      <c r="A153" s="157" t="s">
        <v>111</v>
      </c>
      <c r="B153" s="103">
        <f t="shared" ref="B153:K153" si="86">IF(B36=0,0,B36/B$17)</f>
        <v>3.7960424373215486E-2</v>
      </c>
      <c r="C153" s="103">
        <f t="shared" si="86"/>
        <v>3.5839951462942804E-2</v>
      </c>
      <c r="D153" s="103">
        <f t="shared" si="86"/>
        <v>3.5303196554830274E-2</v>
      </c>
      <c r="E153" s="103">
        <f t="shared" si="86"/>
        <v>3.6279087891992669E-2</v>
      </c>
      <c r="F153" s="103">
        <f t="shared" si="86"/>
        <v>3.5292329267527227E-2</v>
      </c>
      <c r="G153" s="103">
        <f t="shared" si="86"/>
        <v>3.4502945571826822E-2</v>
      </c>
      <c r="H153" s="103">
        <f t="shared" si="86"/>
        <v>3.3910820624505088E-2</v>
      </c>
      <c r="I153" s="103">
        <f t="shared" si="86"/>
        <v>3.5021024540592409E-2</v>
      </c>
      <c r="J153" s="103">
        <f t="shared" si="86"/>
        <v>3.9507295458130663E-2</v>
      </c>
      <c r="K153" s="103">
        <f t="shared" si="86"/>
        <v>4.2803251948995875E-2</v>
      </c>
      <c r="L153" s="103">
        <f t="shared" ref="L153" si="87">IF(L36=0,0,L36/L$17)</f>
        <v>4.4553396653265978E-2</v>
      </c>
      <c r="M153" s="103">
        <f t="shared" ref="M153:V153" si="88">IF(M36=0,0,M36/M$17)</f>
        <v>4.5518822394768128E-2</v>
      </c>
      <c r="N153" s="103">
        <f t="shared" si="88"/>
        <v>4.5840106987698179E-2</v>
      </c>
      <c r="O153" s="103">
        <f t="shared" si="88"/>
        <v>4.5153539224589152E-2</v>
      </c>
      <c r="P153" s="103">
        <f t="shared" si="88"/>
        <v>4.4329079706671527E-2</v>
      </c>
      <c r="Q153" s="103">
        <f t="shared" si="88"/>
        <v>4.5045658080208162E-2</v>
      </c>
      <c r="R153" s="103">
        <f t="shared" si="88"/>
        <v>4.5398426968491917E-2</v>
      </c>
      <c r="S153" s="103">
        <f t="shared" si="88"/>
        <v>5.0449104284829557E-2</v>
      </c>
      <c r="T153" s="103">
        <f t="shared" si="88"/>
        <v>5.3540752095256508E-2</v>
      </c>
      <c r="U153" s="103">
        <f t="shared" si="88"/>
        <v>5.37464359816879E-2</v>
      </c>
      <c r="V153" s="103">
        <f t="shared" si="88"/>
        <v>5.3100023484726332E-2</v>
      </c>
      <c r="W153" s="103">
        <f t="shared" ref="W153:Y153" si="89">IF(W36=0,0,W36/W$17)</f>
        <v>4.9444454158242279E-2</v>
      </c>
      <c r="X153" s="103">
        <f t="shared" si="89"/>
        <v>5.6747283969856455E-2</v>
      </c>
      <c r="Y153" s="103">
        <f t="shared" si="89"/>
        <v>6.7710073993147532E-2</v>
      </c>
      <c r="DA153" s="191"/>
    </row>
    <row r="154" spans="1:105" ht="11.45" customHeight="1" x14ac:dyDescent="0.25">
      <c r="A154" s="157" t="s">
        <v>112</v>
      </c>
      <c r="B154" s="103">
        <f t="shared" ref="B154:K154" si="90">IF(B38=0,0,B38/B$17)</f>
        <v>0</v>
      </c>
      <c r="C154" s="103">
        <f t="shared" si="90"/>
        <v>1.9112624020783057E-6</v>
      </c>
      <c r="D154" s="103">
        <f t="shared" si="90"/>
        <v>1.9210807263943289E-6</v>
      </c>
      <c r="E154" s="103">
        <f t="shared" si="90"/>
        <v>1.9410162453276799E-6</v>
      </c>
      <c r="F154" s="103">
        <f t="shared" si="90"/>
        <v>1.8795358134499271E-6</v>
      </c>
      <c r="G154" s="103">
        <f t="shared" si="90"/>
        <v>1.8204892338821909E-6</v>
      </c>
      <c r="H154" s="103">
        <f t="shared" si="90"/>
        <v>1.7226089287049841E-6</v>
      </c>
      <c r="I154" s="103">
        <f t="shared" si="90"/>
        <v>1.713801511277317E-6</v>
      </c>
      <c r="J154" s="103">
        <f t="shared" si="90"/>
        <v>0</v>
      </c>
      <c r="K154" s="103">
        <f t="shared" si="90"/>
        <v>0</v>
      </c>
      <c r="L154" s="103">
        <f t="shared" ref="L154" si="91">IF(L38=0,0,L38/L$17)</f>
        <v>0</v>
      </c>
      <c r="M154" s="103">
        <f t="shared" ref="M154:V154" si="92">IF(M38=0,0,M38/M$17)</f>
        <v>0</v>
      </c>
      <c r="N154" s="103">
        <f t="shared" si="92"/>
        <v>0</v>
      </c>
      <c r="O154" s="103">
        <f t="shared" si="92"/>
        <v>0</v>
      </c>
      <c r="P154" s="103">
        <f t="shared" si="92"/>
        <v>0</v>
      </c>
      <c r="Q154" s="103">
        <f t="shared" si="92"/>
        <v>0</v>
      </c>
      <c r="R154" s="103">
        <f t="shared" si="92"/>
        <v>0</v>
      </c>
      <c r="S154" s="103">
        <f t="shared" si="92"/>
        <v>0</v>
      </c>
      <c r="T154" s="103">
        <f t="shared" si="92"/>
        <v>0</v>
      </c>
      <c r="U154" s="103">
        <f t="shared" si="92"/>
        <v>0</v>
      </c>
      <c r="V154" s="103">
        <f t="shared" si="92"/>
        <v>0</v>
      </c>
      <c r="W154" s="103">
        <f t="shared" ref="W154:Y154" si="93">IF(W38=0,0,W38/W$17)</f>
        <v>0</v>
      </c>
      <c r="X154" s="103">
        <f t="shared" si="93"/>
        <v>0</v>
      </c>
      <c r="Y154" s="103">
        <f t="shared" si="93"/>
        <v>0</v>
      </c>
      <c r="DA154" s="191"/>
    </row>
    <row r="155" spans="1:105" ht="11.45" customHeight="1" x14ac:dyDescent="0.25">
      <c r="A155" s="157" t="s">
        <v>113</v>
      </c>
      <c r="B155" s="103">
        <f t="shared" ref="B155:K155" si="94">IF(B39=0,0,B39/B$17)</f>
        <v>0</v>
      </c>
      <c r="C155" s="103">
        <f t="shared" si="94"/>
        <v>0</v>
      </c>
      <c r="D155" s="103">
        <f t="shared" si="94"/>
        <v>0</v>
      </c>
      <c r="E155" s="103">
        <f t="shared" si="94"/>
        <v>0</v>
      </c>
      <c r="F155" s="103">
        <f t="shared" si="94"/>
        <v>0</v>
      </c>
      <c r="G155" s="103">
        <f t="shared" si="94"/>
        <v>0</v>
      </c>
      <c r="H155" s="103">
        <f t="shared" si="94"/>
        <v>0</v>
      </c>
      <c r="I155" s="103">
        <f t="shared" si="94"/>
        <v>0</v>
      </c>
      <c r="J155" s="103">
        <f t="shared" si="94"/>
        <v>0</v>
      </c>
      <c r="K155" s="103">
        <f t="shared" si="94"/>
        <v>0</v>
      </c>
      <c r="L155" s="103">
        <f t="shared" ref="L155" si="95">IF(L39=0,0,L39/L$17)</f>
        <v>0</v>
      </c>
      <c r="M155" s="103">
        <f t="shared" ref="M155:V155" si="96">IF(M39=0,0,M39/M$17)</f>
        <v>0</v>
      </c>
      <c r="N155" s="103">
        <f t="shared" si="96"/>
        <v>0</v>
      </c>
      <c r="O155" s="103">
        <f t="shared" si="96"/>
        <v>0</v>
      </c>
      <c r="P155" s="103">
        <f t="shared" si="96"/>
        <v>0</v>
      </c>
      <c r="Q155" s="103">
        <f t="shared" si="96"/>
        <v>0</v>
      </c>
      <c r="R155" s="103">
        <f t="shared" si="96"/>
        <v>0</v>
      </c>
      <c r="S155" s="103">
        <f t="shared" si="96"/>
        <v>0</v>
      </c>
      <c r="T155" s="103">
        <f t="shared" si="96"/>
        <v>3.3292114571387942E-6</v>
      </c>
      <c r="U155" s="103">
        <f t="shared" si="96"/>
        <v>9.7093406163925437E-5</v>
      </c>
      <c r="V155" s="103">
        <f t="shared" si="96"/>
        <v>2.8573686225644499E-4</v>
      </c>
      <c r="W155" s="103">
        <f t="shared" ref="W155:Y155" si="97">IF(W39=0,0,W39/W$17)</f>
        <v>5.5398979186644011E-4</v>
      </c>
      <c r="X155" s="103">
        <f t="shared" si="97"/>
        <v>4.4007982284025851E-4</v>
      </c>
      <c r="Y155" s="103">
        <f t="shared" si="97"/>
        <v>4.7670519033271607E-4</v>
      </c>
      <c r="DA155" s="191"/>
    </row>
    <row r="156" spans="1:105" ht="11.45" customHeight="1" x14ac:dyDescent="0.25">
      <c r="A156" s="157" t="s">
        <v>115</v>
      </c>
      <c r="B156" s="103">
        <f t="shared" ref="B156:K156" si="98">IF(B41=0,0,B41/B$17)</f>
        <v>0</v>
      </c>
      <c r="C156" s="103">
        <f t="shared" si="98"/>
        <v>0</v>
      </c>
      <c r="D156" s="103">
        <f t="shared" si="98"/>
        <v>0</v>
      </c>
      <c r="E156" s="103">
        <f t="shared" si="98"/>
        <v>0</v>
      </c>
      <c r="F156" s="103">
        <f t="shared" si="98"/>
        <v>0</v>
      </c>
      <c r="G156" s="103">
        <f t="shared" si="98"/>
        <v>0</v>
      </c>
      <c r="H156" s="103">
        <f t="shared" si="98"/>
        <v>0</v>
      </c>
      <c r="I156" s="103">
        <f t="shared" si="98"/>
        <v>0</v>
      </c>
      <c r="J156" s="103">
        <f t="shared" si="98"/>
        <v>3.3342235181251154E-6</v>
      </c>
      <c r="K156" s="103">
        <f t="shared" si="98"/>
        <v>3.6516154565898018E-6</v>
      </c>
      <c r="L156" s="103">
        <f t="shared" ref="L156" si="99">IF(L41=0,0,L41/L$17)</f>
        <v>3.8975143612335146E-6</v>
      </c>
      <c r="M156" s="103">
        <f t="shared" ref="M156:V156" si="100">IF(M41=0,0,M41/M$17)</f>
        <v>4.0918260386691824E-6</v>
      </c>
      <c r="N156" s="103">
        <f t="shared" si="100"/>
        <v>4.1889582877155057E-6</v>
      </c>
      <c r="O156" s="103">
        <f t="shared" si="100"/>
        <v>4.1194319396220574E-6</v>
      </c>
      <c r="P156" s="103">
        <f t="shared" si="100"/>
        <v>3.9622041009720406E-6</v>
      </c>
      <c r="Q156" s="103">
        <f t="shared" si="100"/>
        <v>3.8985475612283153E-6</v>
      </c>
      <c r="R156" s="103">
        <f t="shared" si="100"/>
        <v>3.7170990951030388E-6</v>
      </c>
      <c r="S156" s="103">
        <f t="shared" si="100"/>
        <v>3.7438446737231055E-6</v>
      </c>
      <c r="T156" s="103">
        <f t="shared" si="100"/>
        <v>3.707039855456038E-6</v>
      </c>
      <c r="U156" s="103">
        <f t="shared" si="100"/>
        <v>3.4946686678070116E-6</v>
      </c>
      <c r="V156" s="103">
        <f t="shared" si="100"/>
        <v>1.5365380869742143E-5</v>
      </c>
      <c r="W156" s="103">
        <f t="shared" ref="W156:Y156" si="101">IF(W41=0,0,W41/W$17)</f>
        <v>2.2969246168744717E-5</v>
      </c>
      <c r="X156" s="103">
        <f t="shared" si="101"/>
        <v>6.9768553683200159E-5</v>
      </c>
      <c r="Y156" s="103">
        <f t="shared" si="101"/>
        <v>1.9939475725711767E-4</v>
      </c>
      <c r="DA156" s="191"/>
    </row>
    <row r="157" spans="1:105" ht="11.45" customHeight="1" x14ac:dyDescent="0.25">
      <c r="A157" s="27" t="s">
        <v>34</v>
      </c>
      <c r="B157" s="46">
        <f t="shared" ref="B157:K157" si="102">IF(B42=0,0,B42/B$17)</f>
        <v>0.38031094553598455</v>
      </c>
      <c r="C157" s="46">
        <f t="shared" si="102"/>
        <v>0.38443549976205843</v>
      </c>
      <c r="D157" s="46">
        <f t="shared" si="102"/>
        <v>0.39189263653547873</v>
      </c>
      <c r="E157" s="46">
        <f t="shared" si="102"/>
        <v>0.39779367057160281</v>
      </c>
      <c r="F157" s="46">
        <f t="shared" si="102"/>
        <v>0.40869122686951204</v>
      </c>
      <c r="G157" s="46">
        <f t="shared" si="102"/>
        <v>0.40264713950003594</v>
      </c>
      <c r="H157" s="46">
        <f t="shared" si="102"/>
        <v>0.38803317581154356</v>
      </c>
      <c r="I157" s="46">
        <f t="shared" si="102"/>
        <v>0.40508875624879148</v>
      </c>
      <c r="J157" s="46">
        <f t="shared" si="102"/>
        <v>0.37729524302975825</v>
      </c>
      <c r="K157" s="46">
        <f t="shared" si="102"/>
        <v>0.33156451525806502</v>
      </c>
      <c r="L157" s="46">
        <f t="shared" ref="L157" si="103">IF(L42=0,0,L42/L$17)</f>
        <v>0.31585259903172958</v>
      </c>
      <c r="M157" s="46">
        <f t="shared" ref="M157:V157" si="104">IF(M42=0,0,M42/M$17)</f>
        <v>0.30985897586558592</v>
      </c>
      <c r="N157" s="46">
        <f t="shared" si="104"/>
        <v>0.30592235823089609</v>
      </c>
      <c r="O157" s="46">
        <f t="shared" si="104"/>
        <v>0.30348171551842196</v>
      </c>
      <c r="P157" s="46">
        <f t="shared" si="104"/>
        <v>0.30120372154805281</v>
      </c>
      <c r="Q157" s="46">
        <f t="shared" si="104"/>
        <v>0.29460829403954897</v>
      </c>
      <c r="R157" s="46">
        <f t="shared" si="104"/>
        <v>0.29425410652134615</v>
      </c>
      <c r="S157" s="46">
        <f t="shared" si="104"/>
        <v>0.29034360453011659</v>
      </c>
      <c r="T157" s="46">
        <f t="shared" si="104"/>
        <v>0.29637387317251918</v>
      </c>
      <c r="U157" s="46">
        <f t="shared" si="104"/>
        <v>0.3027214624312054</v>
      </c>
      <c r="V157" s="46">
        <f t="shared" si="104"/>
        <v>0.31578183924747977</v>
      </c>
      <c r="W157" s="46">
        <f t="shared" ref="W157:Y157" si="105">IF(W42=0,0,W42/W$17)</f>
        <v>0.32576314137455492</v>
      </c>
      <c r="X157" s="46">
        <f t="shared" si="105"/>
        <v>0.32036124957160167</v>
      </c>
      <c r="Y157" s="46">
        <f t="shared" si="105"/>
        <v>0.32107122070676097</v>
      </c>
      <c r="DA157" s="211"/>
    </row>
    <row r="158" spans="1:105" ht="11.45" customHeight="1" x14ac:dyDescent="0.25">
      <c r="A158" s="153" t="s">
        <v>153</v>
      </c>
      <c r="B158" s="154">
        <f t="shared" ref="B158:K158" si="106">IF(B43=0,0,B43/B$17)</f>
        <v>0.12293139108846149</v>
      </c>
      <c r="C158" s="154">
        <f t="shared" si="106"/>
        <v>0.1212544256596824</v>
      </c>
      <c r="D158" s="154">
        <f t="shared" si="106"/>
        <v>0.12509781361090705</v>
      </c>
      <c r="E158" s="154">
        <f t="shared" si="106"/>
        <v>0.13006028939407091</v>
      </c>
      <c r="F158" s="154">
        <f t="shared" si="106"/>
        <v>0.1311935126298728</v>
      </c>
      <c r="G158" s="154">
        <f t="shared" si="106"/>
        <v>0.13118603638426951</v>
      </c>
      <c r="H158" s="154">
        <f t="shared" si="106"/>
        <v>0.12978015562171377</v>
      </c>
      <c r="I158" s="154">
        <f t="shared" si="106"/>
        <v>0.13343460947179364</v>
      </c>
      <c r="J158" s="154">
        <f t="shared" si="106"/>
        <v>0.13731143731727247</v>
      </c>
      <c r="K158" s="154">
        <f t="shared" si="106"/>
        <v>0.14295448787409659</v>
      </c>
      <c r="L158" s="154">
        <f t="shared" ref="L158" si="107">IF(L43=0,0,L43/L$17)</f>
        <v>0.14194765790521655</v>
      </c>
      <c r="M158" s="154">
        <f t="shared" ref="M158:V158" si="108">IF(M43=0,0,M43/M$17)</f>
        <v>0.14396205452347668</v>
      </c>
      <c r="N158" s="154">
        <f t="shared" si="108"/>
        <v>0.1387620598484802</v>
      </c>
      <c r="O158" s="154">
        <f t="shared" si="108"/>
        <v>0.13909013740832393</v>
      </c>
      <c r="P158" s="154">
        <f t="shared" si="108"/>
        <v>0.13072417140023654</v>
      </c>
      <c r="Q158" s="154">
        <f t="shared" si="108"/>
        <v>0.1244447511307662</v>
      </c>
      <c r="R158" s="154">
        <f t="shared" si="108"/>
        <v>0.1146169365687153</v>
      </c>
      <c r="S158" s="154">
        <f t="shared" si="108"/>
        <v>0.11285220917996278</v>
      </c>
      <c r="T158" s="154">
        <f t="shared" si="108"/>
        <v>0.11207671201775839</v>
      </c>
      <c r="U158" s="154">
        <f t="shared" si="108"/>
        <v>0.10784387191551044</v>
      </c>
      <c r="V158" s="154">
        <f t="shared" si="108"/>
        <v>0.12544318872515803</v>
      </c>
      <c r="W158" s="154">
        <f t="shared" ref="W158:Y158" si="109">IF(W43=0,0,W43/W$17)</f>
        <v>0.12256807152215163</v>
      </c>
      <c r="X158" s="154">
        <f t="shared" si="109"/>
        <v>0.12289583713228702</v>
      </c>
      <c r="Y158" s="154">
        <f t="shared" si="109"/>
        <v>0.12471693359966678</v>
      </c>
      <c r="DA158" s="212"/>
    </row>
    <row r="159" spans="1:105" ht="11.45" customHeight="1" x14ac:dyDescent="0.25">
      <c r="A159" s="157" t="s">
        <v>110</v>
      </c>
      <c r="B159" s="103">
        <f t="shared" ref="B159:K159" si="110">IF(B44=0,0,B44/B$17)</f>
        <v>1.3833906032110531E-3</v>
      </c>
      <c r="C159" s="103">
        <f t="shared" si="110"/>
        <v>1.1993853455122454E-3</v>
      </c>
      <c r="D159" s="103">
        <f t="shared" si="110"/>
        <v>1.0832534838756394E-3</v>
      </c>
      <c r="E159" s="103">
        <f t="shared" si="110"/>
        <v>9.5043447804335436E-4</v>
      </c>
      <c r="F159" s="103">
        <f t="shared" si="110"/>
        <v>7.6986063105338829E-4</v>
      </c>
      <c r="G159" s="103">
        <f t="shared" si="110"/>
        <v>5.4850996586624547E-4</v>
      </c>
      <c r="H159" s="103">
        <f t="shared" si="110"/>
        <v>3.7914181257262138E-4</v>
      </c>
      <c r="I159" s="103">
        <f t="shared" si="110"/>
        <v>2.8189473166691188E-4</v>
      </c>
      <c r="J159" s="103">
        <f t="shared" si="110"/>
        <v>2.6479898038536947E-4</v>
      </c>
      <c r="K159" s="103">
        <f t="shared" si="110"/>
        <v>2.633870807094308E-4</v>
      </c>
      <c r="L159" s="103">
        <f t="shared" ref="L159" si="111">IF(L44=0,0,L44/L$17)</f>
        <v>2.3746028010146681E-4</v>
      </c>
      <c r="M159" s="103">
        <f t="shared" ref="M159:V159" si="112">IF(M44=0,0,M44/M$17)</f>
        <v>2.1034779635284212E-4</v>
      </c>
      <c r="N159" s="103">
        <f t="shared" si="112"/>
        <v>1.7653019676546698E-4</v>
      </c>
      <c r="O159" s="103">
        <f t="shared" si="112"/>
        <v>1.6616237896285095E-4</v>
      </c>
      <c r="P159" s="103">
        <f t="shared" si="112"/>
        <v>1.4659417480474663E-4</v>
      </c>
      <c r="Q159" s="103">
        <f t="shared" si="112"/>
        <v>1.2580517416965078E-4</v>
      </c>
      <c r="R159" s="103">
        <f t="shared" si="112"/>
        <v>1.0542652591978792E-4</v>
      </c>
      <c r="S159" s="103">
        <f t="shared" si="112"/>
        <v>1.1734999440464155E-4</v>
      </c>
      <c r="T159" s="103">
        <f t="shared" si="112"/>
        <v>1.1933444899504193E-4</v>
      </c>
      <c r="U159" s="103">
        <f t="shared" si="112"/>
        <v>1.2947010732181644E-4</v>
      </c>
      <c r="V159" s="103">
        <f t="shared" si="112"/>
        <v>1.9513660531444367E-4</v>
      </c>
      <c r="W159" s="103">
        <f t="shared" ref="W159:Y159" si="113">IF(W44=0,0,W44/W$17)</f>
        <v>2.1197076999544137E-4</v>
      </c>
      <c r="X159" s="103">
        <f t="shared" si="113"/>
        <v>2.4360065220721116E-4</v>
      </c>
      <c r="Y159" s="103">
        <f t="shared" si="113"/>
        <v>3.4368656479202874E-4</v>
      </c>
      <c r="DA159" s="191"/>
    </row>
    <row r="160" spans="1:105" ht="11.45" customHeight="1" x14ac:dyDescent="0.25">
      <c r="A160" s="157" t="s">
        <v>111</v>
      </c>
      <c r="B160" s="103">
        <f t="shared" ref="B160:K160" si="114">IF(B46=0,0,B46/B$17)</f>
        <v>0.12154800048525044</v>
      </c>
      <c r="C160" s="103">
        <f t="shared" si="114"/>
        <v>0.12005504031417016</v>
      </c>
      <c r="D160" s="103">
        <f t="shared" si="114"/>
        <v>0.1240145601270314</v>
      </c>
      <c r="E160" s="103">
        <f t="shared" si="114"/>
        <v>0.12910985491602758</v>
      </c>
      <c r="F160" s="103">
        <f t="shared" si="114"/>
        <v>0.13042365199881942</v>
      </c>
      <c r="G160" s="103">
        <f t="shared" si="114"/>
        <v>0.13063752641840326</v>
      </c>
      <c r="H160" s="103">
        <f t="shared" si="114"/>
        <v>0.12940101380914115</v>
      </c>
      <c r="I160" s="103">
        <f t="shared" si="114"/>
        <v>0.13315271474012672</v>
      </c>
      <c r="J160" s="103">
        <f t="shared" si="114"/>
        <v>0.1370466383368871</v>
      </c>
      <c r="K160" s="103">
        <f t="shared" si="114"/>
        <v>0.14269110079338715</v>
      </c>
      <c r="L160" s="103">
        <f t="shared" ref="L160" si="115">IF(L46=0,0,L46/L$17)</f>
        <v>0.14171019762511505</v>
      </c>
      <c r="M160" s="103">
        <f t="shared" ref="M160:V160" si="116">IF(M46=0,0,M46/M$17)</f>
        <v>0.14374943921464162</v>
      </c>
      <c r="N160" s="103">
        <f t="shared" si="116"/>
        <v>0.1385802546381443</v>
      </c>
      <c r="O160" s="103">
        <f t="shared" si="116"/>
        <v>0.13891782997365576</v>
      </c>
      <c r="P160" s="103">
        <f t="shared" si="116"/>
        <v>0.13057027283414002</v>
      </c>
      <c r="Q160" s="103">
        <f t="shared" si="116"/>
        <v>0.12431188623463046</v>
      </c>
      <c r="R160" s="103">
        <f t="shared" si="116"/>
        <v>0.11450326389283423</v>
      </c>
      <c r="S160" s="103">
        <f t="shared" si="116"/>
        <v>0.11272236896057919</v>
      </c>
      <c r="T160" s="103">
        <f t="shared" si="116"/>
        <v>0.11194299523924404</v>
      </c>
      <c r="U160" s="103">
        <f t="shared" si="116"/>
        <v>0.10766464768507275</v>
      </c>
      <c r="V160" s="103">
        <f t="shared" si="116"/>
        <v>0.12515109083281989</v>
      </c>
      <c r="W160" s="103">
        <f t="shared" ref="W160:Y160" si="117">IF(W46=0,0,W46/W$17)</f>
        <v>0.12218303897699205</v>
      </c>
      <c r="X160" s="103">
        <f t="shared" si="117"/>
        <v>0.12241465605221455</v>
      </c>
      <c r="Y160" s="103">
        <f t="shared" si="117"/>
        <v>0.12403256045536311</v>
      </c>
      <c r="DA160" s="191"/>
    </row>
    <row r="161" spans="1:105" ht="11.45" customHeight="1" x14ac:dyDescent="0.25">
      <c r="A161" s="157" t="s">
        <v>112</v>
      </c>
      <c r="B161" s="103">
        <f t="shared" ref="B161:K161" si="118">IF(B48=0,0,B48/B$17)</f>
        <v>0</v>
      </c>
      <c r="C161" s="103">
        <f t="shared" si="118"/>
        <v>0</v>
      </c>
      <c r="D161" s="103">
        <f t="shared" si="118"/>
        <v>0</v>
      </c>
      <c r="E161" s="103">
        <f t="shared" si="118"/>
        <v>0</v>
      </c>
      <c r="F161" s="103">
        <f t="shared" si="118"/>
        <v>0</v>
      </c>
      <c r="G161" s="103">
        <f t="shared" si="118"/>
        <v>0</v>
      </c>
      <c r="H161" s="103">
        <f t="shared" si="118"/>
        <v>0</v>
      </c>
      <c r="I161" s="103">
        <f t="shared" si="118"/>
        <v>0</v>
      </c>
      <c r="J161" s="103">
        <f t="shared" si="118"/>
        <v>0</v>
      </c>
      <c r="K161" s="103">
        <f t="shared" si="118"/>
        <v>0</v>
      </c>
      <c r="L161" s="103">
        <f t="shared" ref="L161" si="119">IF(L48=0,0,L48/L$17)</f>
        <v>0</v>
      </c>
      <c r="M161" s="103">
        <f t="shared" ref="M161:V161" si="120">IF(M48=0,0,M48/M$17)</f>
        <v>0</v>
      </c>
      <c r="N161" s="103">
        <f t="shared" si="120"/>
        <v>0</v>
      </c>
      <c r="O161" s="103">
        <f t="shared" si="120"/>
        <v>6.8964713731836657E-7</v>
      </c>
      <c r="P161" s="103">
        <f t="shared" si="120"/>
        <v>1.3284537961207945E-6</v>
      </c>
      <c r="Q161" s="103">
        <f t="shared" si="120"/>
        <v>1.2906914437576961E-6</v>
      </c>
      <c r="R161" s="103">
        <f t="shared" si="120"/>
        <v>1.2180485043175249E-6</v>
      </c>
      <c r="S161" s="103">
        <f t="shared" si="120"/>
        <v>1.4542160654392782E-6</v>
      </c>
      <c r="T161" s="103">
        <f t="shared" si="120"/>
        <v>1.4566811898475943E-6</v>
      </c>
      <c r="U161" s="103">
        <f t="shared" si="120"/>
        <v>1.4320095265194739E-6</v>
      </c>
      <c r="V161" s="103">
        <f t="shared" si="120"/>
        <v>1.3418860634076115E-6</v>
      </c>
      <c r="W161" s="103">
        <f t="shared" ref="W161:Y161" si="121">IF(W48=0,0,W48/W$17)</f>
        <v>1.2734089951358127E-6</v>
      </c>
      <c r="X161" s="103">
        <f t="shared" si="121"/>
        <v>1.1935327940185327E-6</v>
      </c>
      <c r="Y161" s="103">
        <f t="shared" si="121"/>
        <v>1.1664742129065004E-6</v>
      </c>
      <c r="DA161" s="191"/>
    </row>
    <row r="162" spans="1:105" ht="11.45" customHeight="1" x14ac:dyDescent="0.25">
      <c r="A162" s="157" t="s">
        <v>113</v>
      </c>
      <c r="B162" s="103">
        <f t="shared" ref="B162:K162" si="122">IF(B49=0,0,B49/B$17)</f>
        <v>0</v>
      </c>
      <c r="C162" s="103">
        <f t="shared" si="122"/>
        <v>0</v>
      </c>
      <c r="D162" s="103">
        <f t="shared" si="122"/>
        <v>0</v>
      </c>
      <c r="E162" s="103">
        <f t="shared" si="122"/>
        <v>0</v>
      </c>
      <c r="F162" s="103">
        <f t="shared" si="122"/>
        <v>0</v>
      </c>
      <c r="G162" s="103">
        <f t="shared" si="122"/>
        <v>0</v>
      </c>
      <c r="H162" s="103">
        <f t="shared" si="122"/>
        <v>0</v>
      </c>
      <c r="I162" s="103">
        <f t="shared" si="122"/>
        <v>0</v>
      </c>
      <c r="J162" s="103">
        <f t="shared" si="122"/>
        <v>0</v>
      </c>
      <c r="K162" s="103">
        <f t="shared" si="122"/>
        <v>0</v>
      </c>
      <c r="L162" s="103">
        <f t="shared" ref="L162" si="123">IF(L49=0,0,L49/L$17)</f>
        <v>0</v>
      </c>
      <c r="M162" s="103">
        <f t="shared" ref="M162:V162" si="124">IF(M49=0,0,M49/M$17)</f>
        <v>0</v>
      </c>
      <c r="N162" s="103">
        <f t="shared" si="124"/>
        <v>0</v>
      </c>
      <c r="O162" s="103">
        <f t="shared" si="124"/>
        <v>0</v>
      </c>
      <c r="P162" s="103">
        <f t="shared" si="124"/>
        <v>0</v>
      </c>
      <c r="Q162" s="103">
        <f t="shared" si="124"/>
        <v>0</v>
      </c>
      <c r="R162" s="103">
        <f t="shared" si="124"/>
        <v>1.2398370533805895E-6</v>
      </c>
      <c r="S162" s="103">
        <f t="shared" si="124"/>
        <v>1.2139619279557465E-6</v>
      </c>
      <c r="T162" s="103">
        <f t="shared" si="124"/>
        <v>1.1916993880888117E-6</v>
      </c>
      <c r="U162" s="103">
        <f t="shared" si="124"/>
        <v>1.3590501652287654E-6</v>
      </c>
      <c r="V162" s="103">
        <f t="shared" si="124"/>
        <v>3.8583570651842133E-6</v>
      </c>
      <c r="W162" s="103">
        <f t="shared" ref="W162:Y162" si="125">IF(W49=0,0,W49/W$17)</f>
        <v>7.7282740916147709E-6</v>
      </c>
      <c r="X162" s="103">
        <f t="shared" si="125"/>
        <v>4.1255546046394836E-6</v>
      </c>
      <c r="Y162" s="103">
        <f t="shared" si="125"/>
        <v>4.1601153225316848E-6</v>
      </c>
      <c r="DA162" s="191"/>
    </row>
    <row r="163" spans="1:105" ht="11.45" customHeight="1" x14ac:dyDescent="0.25">
      <c r="A163" s="157" t="s">
        <v>115</v>
      </c>
      <c r="B163" s="103">
        <f t="shared" ref="B163:K163" si="126">IF(B51=0,0,B51/B$17)</f>
        <v>0</v>
      </c>
      <c r="C163" s="103">
        <f t="shared" si="126"/>
        <v>0</v>
      </c>
      <c r="D163" s="103">
        <f t="shared" si="126"/>
        <v>0</v>
      </c>
      <c r="E163" s="103">
        <f t="shared" si="126"/>
        <v>0</v>
      </c>
      <c r="F163" s="103">
        <f t="shared" si="126"/>
        <v>0</v>
      </c>
      <c r="G163" s="103">
        <f t="shared" si="126"/>
        <v>0</v>
      </c>
      <c r="H163" s="103">
        <f t="shared" si="126"/>
        <v>0</v>
      </c>
      <c r="I163" s="103">
        <f t="shared" si="126"/>
        <v>0</v>
      </c>
      <c r="J163" s="103">
        <f t="shared" si="126"/>
        <v>0</v>
      </c>
      <c r="K163" s="103">
        <f t="shared" si="126"/>
        <v>0</v>
      </c>
      <c r="L163" s="103">
        <f t="shared" ref="L163" si="127">IF(L51=0,0,L51/L$17)</f>
        <v>0</v>
      </c>
      <c r="M163" s="103">
        <f t="shared" ref="M163:V163" si="128">IF(M51=0,0,M51/M$17)</f>
        <v>2.2675124822076917E-6</v>
      </c>
      <c r="N163" s="103">
        <f t="shared" si="128"/>
        <v>5.2750135704227764E-6</v>
      </c>
      <c r="O163" s="103">
        <f t="shared" si="128"/>
        <v>5.455408568002808E-6</v>
      </c>
      <c r="P163" s="103">
        <f t="shared" si="128"/>
        <v>5.9759374956411362E-6</v>
      </c>
      <c r="Q163" s="103">
        <f t="shared" si="128"/>
        <v>5.7690305223098681E-6</v>
      </c>
      <c r="R163" s="103">
        <f t="shared" si="128"/>
        <v>5.7882644035955572E-6</v>
      </c>
      <c r="S163" s="103">
        <f t="shared" si="128"/>
        <v>9.8220469855447851E-6</v>
      </c>
      <c r="T163" s="103">
        <f t="shared" si="128"/>
        <v>1.1733948941352659E-5</v>
      </c>
      <c r="U163" s="103">
        <f t="shared" si="128"/>
        <v>4.6963063424138545E-5</v>
      </c>
      <c r="V163" s="103">
        <f t="shared" si="128"/>
        <v>9.1761043895117648E-5</v>
      </c>
      <c r="W163" s="103">
        <f t="shared" ref="W163:Y163" si="129">IF(W51=0,0,W51/W$17)</f>
        <v>1.6406009207737678E-4</v>
      </c>
      <c r="X163" s="103">
        <f t="shared" si="129"/>
        <v>2.3226134046660875E-4</v>
      </c>
      <c r="Y163" s="103">
        <f t="shared" si="129"/>
        <v>3.3535998997622076E-4</v>
      </c>
      <c r="DA163" s="191"/>
    </row>
    <row r="164" spans="1:105" ht="11.45" customHeight="1" x14ac:dyDescent="0.25">
      <c r="A164" s="155" t="s">
        <v>154</v>
      </c>
      <c r="B164" s="156">
        <f t="shared" ref="B164:K164" si="130">IF(B52=0,0,B52/B$17)</f>
        <v>0.25737955444752303</v>
      </c>
      <c r="C164" s="156">
        <f t="shared" si="130"/>
        <v>0.26318107410237601</v>
      </c>
      <c r="D164" s="156">
        <f t="shared" si="130"/>
        <v>0.26679482292457168</v>
      </c>
      <c r="E164" s="156">
        <f t="shared" si="130"/>
        <v>0.26773338117753193</v>
      </c>
      <c r="F164" s="156">
        <f t="shared" si="130"/>
        <v>0.27749771423963926</v>
      </c>
      <c r="G164" s="156">
        <f t="shared" si="130"/>
        <v>0.27146110311576649</v>
      </c>
      <c r="H164" s="156">
        <f t="shared" si="130"/>
        <v>0.25825302018982982</v>
      </c>
      <c r="I164" s="156">
        <f t="shared" si="130"/>
        <v>0.27165414677699778</v>
      </c>
      <c r="J164" s="156">
        <f t="shared" si="130"/>
        <v>0.23998380571248576</v>
      </c>
      <c r="K164" s="156">
        <f t="shared" si="130"/>
        <v>0.1886100273839684</v>
      </c>
      <c r="L164" s="156">
        <f t="shared" ref="L164" si="131">IF(L52=0,0,L52/L$17)</f>
        <v>0.17390494112651303</v>
      </c>
      <c r="M164" s="156">
        <f t="shared" ref="M164:V164" si="132">IF(M52=0,0,M52/M$17)</f>
        <v>0.16589692134210932</v>
      </c>
      <c r="N164" s="156">
        <f t="shared" si="132"/>
        <v>0.16716029838241589</v>
      </c>
      <c r="O164" s="156">
        <f t="shared" si="132"/>
        <v>0.16439157811009802</v>
      </c>
      <c r="P164" s="156">
        <f t="shared" si="132"/>
        <v>0.17047955014781624</v>
      </c>
      <c r="Q164" s="156">
        <f t="shared" si="132"/>
        <v>0.17016354290878274</v>
      </c>
      <c r="R164" s="156">
        <f t="shared" si="132"/>
        <v>0.17963716995263088</v>
      </c>
      <c r="S164" s="156">
        <f t="shared" si="132"/>
        <v>0.17749139535015382</v>
      </c>
      <c r="T164" s="156">
        <f t="shared" si="132"/>
        <v>0.18429716115476083</v>
      </c>
      <c r="U164" s="156">
        <f t="shared" si="132"/>
        <v>0.19487759051569495</v>
      </c>
      <c r="V164" s="156">
        <f t="shared" si="132"/>
        <v>0.19033865052232171</v>
      </c>
      <c r="W164" s="156">
        <f t="shared" ref="W164:Y164" si="133">IF(W52=0,0,W52/W$17)</f>
        <v>0.20319506985240329</v>
      </c>
      <c r="X164" s="156">
        <f t="shared" si="133"/>
        <v>0.19746541243931465</v>
      </c>
      <c r="Y164" s="156">
        <f t="shared" si="133"/>
        <v>0.19635428710709418</v>
      </c>
      <c r="DA164" s="213"/>
    </row>
    <row r="165" spans="1:105" ht="11.45" customHeight="1" x14ac:dyDescent="0.25">
      <c r="A165" s="162" t="s">
        <v>27</v>
      </c>
      <c r="B165" s="104">
        <f t="shared" ref="B165:K165" si="134">IF(B53=0,0,B53/B$17)</f>
        <v>0.2409670655775045</v>
      </c>
      <c r="C165" s="104">
        <f t="shared" si="134"/>
        <v>0.24563264737956123</v>
      </c>
      <c r="D165" s="104">
        <f t="shared" si="134"/>
        <v>0.25048080493642544</v>
      </c>
      <c r="E165" s="104">
        <f t="shared" si="134"/>
        <v>0.25191038993917753</v>
      </c>
      <c r="F165" s="104">
        <f t="shared" si="134"/>
        <v>0.26010403061712384</v>
      </c>
      <c r="G165" s="104">
        <f t="shared" si="134"/>
        <v>0.25533321917790497</v>
      </c>
      <c r="H165" s="104">
        <f t="shared" si="134"/>
        <v>0.24244113038528492</v>
      </c>
      <c r="I165" s="104">
        <f t="shared" si="134"/>
        <v>0.25459824414201804</v>
      </c>
      <c r="J165" s="104">
        <f t="shared" si="134"/>
        <v>0.22557127733340726</v>
      </c>
      <c r="K165" s="104">
        <f t="shared" si="134"/>
        <v>0.17484765360980792</v>
      </c>
      <c r="L165" s="104">
        <f t="shared" ref="L165" si="135">IF(L53=0,0,L53/L$17)</f>
        <v>0.16060116331929356</v>
      </c>
      <c r="M165" s="104">
        <f t="shared" ref="M165:V165" si="136">IF(M53=0,0,M53/M$17)</f>
        <v>0.15151993206173145</v>
      </c>
      <c r="N165" s="104">
        <f t="shared" si="136"/>
        <v>0.15384526683685146</v>
      </c>
      <c r="O165" s="104">
        <f t="shared" si="136"/>
        <v>0.15169046924393068</v>
      </c>
      <c r="P165" s="104">
        <f t="shared" si="136"/>
        <v>0.15775856003053496</v>
      </c>
      <c r="Q165" s="104">
        <f t="shared" si="136"/>
        <v>0.15601352828354809</v>
      </c>
      <c r="R165" s="104">
        <f t="shared" si="136"/>
        <v>0.16753368728253862</v>
      </c>
      <c r="S165" s="104">
        <f t="shared" si="136"/>
        <v>0.16594408728127885</v>
      </c>
      <c r="T165" s="104">
        <f t="shared" si="136"/>
        <v>0.1714121154950716</v>
      </c>
      <c r="U165" s="104">
        <f t="shared" si="136"/>
        <v>0.18030145281992951</v>
      </c>
      <c r="V165" s="104">
        <f t="shared" si="136"/>
        <v>0.18404687324780308</v>
      </c>
      <c r="W165" s="104">
        <f t="shared" ref="W165:Y165" si="137">IF(W53=0,0,W53/W$17)</f>
        <v>0.1969253110488243</v>
      </c>
      <c r="X165" s="104">
        <f t="shared" si="137"/>
        <v>0.19181768796890999</v>
      </c>
      <c r="Y165" s="104">
        <f t="shared" si="137"/>
        <v>0.19041055035079679</v>
      </c>
      <c r="DA165" s="195"/>
    </row>
    <row r="166" spans="1:105" ht="11.45" customHeight="1" x14ac:dyDescent="0.25">
      <c r="A166" s="158" t="s">
        <v>116</v>
      </c>
      <c r="B166" s="105">
        <f t="shared" ref="B166:K166" si="138">IF(B55=0,0,B55/B$17)</f>
        <v>1.6412488870018539E-2</v>
      </c>
      <c r="C166" s="105">
        <f t="shared" si="138"/>
        <v>1.7548426722814772E-2</v>
      </c>
      <c r="D166" s="105">
        <f t="shared" si="138"/>
        <v>1.6314017988146259E-2</v>
      </c>
      <c r="E166" s="105">
        <f t="shared" si="138"/>
        <v>1.5822991238354355E-2</v>
      </c>
      <c r="F166" s="105">
        <f t="shared" si="138"/>
        <v>1.73936836225154E-2</v>
      </c>
      <c r="G166" s="105">
        <f t="shared" si="138"/>
        <v>1.6127883937861458E-2</v>
      </c>
      <c r="H166" s="105">
        <f t="shared" si="138"/>
        <v>1.5811889804544923E-2</v>
      </c>
      <c r="I166" s="105">
        <f t="shared" si="138"/>
        <v>1.705590263497974E-2</v>
      </c>
      <c r="J166" s="105">
        <f t="shared" si="138"/>
        <v>1.4412528379078506E-2</v>
      </c>
      <c r="K166" s="105">
        <f t="shared" si="138"/>
        <v>1.3762373774160494E-2</v>
      </c>
      <c r="L166" s="105">
        <f t="shared" ref="L166" si="139">IF(L55=0,0,L55/L$17)</f>
        <v>1.3303777807219449E-2</v>
      </c>
      <c r="M166" s="105">
        <f t="shared" ref="M166:V166" si="140">IF(M55=0,0,M55/M$17)</f>
        <v>1.4376989280377846E-2</v>
      </c>
      <c r="N166" s="105">
        <f t="shared" si="140"/>
        <v>1.3315031545564468E-2</v>
      </c>
      <c r="O166" s="105">
        <f t="shared" si="140"/>
        <v>1.2701108866167338E-2</v>
      </c>
      <c r="P166" s="105">
        <f t="shared" si="140"/>
        <v>1.2720990117281287E-2</v>
      </c>
      <c r="Q166" s="105">
        <f t="shared" si="140"/>
        <v>1.4150014625234651E-2</v>
      </c>
      <c r="R166" s="105">
        <f t="shared" si="140"/>
        <v>1.2103482670092241E-2</v>
      </c>
      <c r="S166" s="105">
        <f t="shared" si="140"/>
        <v>1.154730806887496E-2</v>
      </c>
      <c r="T166" s="105">
        <f t="shared" si="140"/>
        <v>1.2885045659689228E-2</v>
      </c>
      <c r="U166" s="105">
        <f t="shared" si="140"/>
        <v>1.4576137695765439E-2</v>
      </c>
      <c r="V166" s="105">
        <f t="shared" si="140"/>
        <v>6.2917772745186189E-3</v>
      </c>
      <c r="W166" s="105">
        <f t="shared" ref="W166:Y166" si="141">IF(W55=0,0,W55/W$17)</f>
        <v>6.2697588035789771E-3</v>
      </c>
      <c r="X166" s="105">
        <f t="shared" si="141"/>
        <v>5.6477244704046421E-3</v>
      </c>
      <c r="Y166" s="105">
        <f t="shared" si="141"/>
        <v>5.943736756297383E-3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10177.357624559998</v>
      </c>
      <c r="C4" s="146">
        <f t="shared" si="0"/>
        <v>10640.572231679998</v>
      </c>
      <c r="D4" s="146">
        <f t="shared" si="0"/>
        <v>10847.81584152</v>
      </c>
      <c r="E4" s="146">
        <f t="shared" si="0"/>
        <v>11030.49488772</v>
      </c>
      <c r="F4" s="146">
        <f t="shared" si="0"/>
        <v>11695.621861799998</v>
      </c>
      <c r="G4" s="146">
        <f t="shared" si="0"/>
        <v>12387.375396720001</v>
      </c>
      <c r="H4" s="146">
        <f t="shared" si="0"/>
        <v>13445.664057000002</v>
      </c>
      <c r="I4" s="146">
        <f t="shared" si="0"/>
        <v>13850.725586039996</v>
      </c>
      <c r="J4" s="146">
        <f t="shared" si="0"/>
        <v>13034.216923559999</v>
      </c>
      <c r="K4" s="146">
        <f t="shared" si="0"/>
        <v>11833.139698559999</v>
      </c>
      <c r="L4" s="146">
        <f t="shared" ref="L4" si="1">L5+L9+L10+L15</f>
        <v>11038.376872440002</v>
      </c>
      <c r="M4" s="146">
        <f t="shared" ref="M4:V4" si="2">M5+M9+M10+M15</f>
        <v>10532.445574320001</v>
      </c>
      <c r="N4" s="146">
        <f t="shared" si="2"/>
        <v>10314.938075399999</v>
      </c>
      <c r="O4" s="146">
        <f t="shared" si="2"/>
        <v>10477.877197319996</v>
      </c>
      <c r="P4" s="146">
        <f t="shared" si="2"/>
        <v>10888.554299399999</v>
      </c>
      <c r="Q4" s="146">
        <f t="shared" si="2"/>
        <v>11088.258634080001</v>
      </c>
      <c r="R4" s="146">
        <f t="shared" si="2"/>
        <v>11690.946435240001</v>
      </c>
      <c r="S4" s="146">
        <f t="shared" si="2"/>
        <v>11443.029906960002</v>
      </c>
      <c r="T4" s="146">
        <f t="shared" si="2"/>
        <v>11583.178268399999</v>
      </c>
      <c r="U4" s="146">
        <f t="shared" si="2"/>
        <v>11560.693766039998</v>
      </c>
      <c r="V4" s="146">
        <f t="shared" si="2"/>
        <v>9637.6618493557871</v>
      </c>
      <c r="W4" s="146">
        <f t="shared" ref="W4:Y4" si="3">W5+W9+W10+W15</f>
        <v>10271.225736114242</v>
      </c>
      <c r="X4" s="146">
        <f t="shared" si="3"/>
        <v>10958.350422794634</v>
      </c>
      <c r="Y4" s="146">
        <f t="shared" si="3"/>
        <v>11114.332534313689</v>
      </c>
      <c r="DA4" s="206" t="s">
        <v>740</v>
      </c>
    </row>
    <row r="5" spans="1:105" ht="11.45" customHeight="1" x14ac:dyDescent="0.25">
      <c r="A5" s="92" t="s">
        <v>46</v>
      </c>
      <c r="B5" s="101">
        <f t="shared" ref="B5:K5" si="4">SUM(B6:B8)</f>
        <v>10177.357624559998</v>
      </c>
      <c r="C5" s="101">
        <f t="shared" si="4"/>
        <v>10640.572231679998</v>
      </c>
      <c r="D5" s="101">
        <f t="shared" si="4"/>
        <v>10847.81584152</v>
      </c>
      <c r="E5" s="101">
        <f t="shared" si="4"/>
        <v>11030.49488772</v>
      </c>
      <c r="F5" s="101">
        <f t="shared" si="4"/>
        <v>11695.621861799998</v>
      </c>
      <c r="G5" s="101">
        <f t="shared" si="4"/>
        <v>12387.375396720001</v>
      </c>
      <c r="H5" s="101">
        <f t="shared" si="4"/>
        <v>13445.664057000002</v>
      </c>
      <c r="I5" s="101">
        <f t="shared" si="4"/>
        <v>13850.725586039996</v>
      </c>
      <c r="J5" s="101">
        <f t="shared" si="4"/>
        <v>13034.216923559999</v>
      </c>
      <c r="K5" s="101">
        <f t="shared" si="4"/>
        <v>11833.139698559999</v>
      </c>
      <c r="L5" s="101">
        <f t="shared" ref="L5" si="5">SUM(L6:L8)</f>
        <v>11038.376872440002</v>
      </c>
      <c r="M5" s="101">
        <f t="shared" ref="M5:V5" si="6">SUM(M6:M8)</f>
        <v>10532.445574320001</v>
      </c>
      <c r="N5" s="101">
        <f t="shared" si="6"/>
        <v>10314.938075399999</v>
      </c>
      <c r="O5" s="101">
        <f t="shared" si="6"/>
        <v>10477.877197319996</v>
      </c>
      <c r="P5" s="101">
        <f t="shared" si="6"/>
        <v>10888.499770199998</v>
      </c>
      <c r="Q5" s="101">
        <f t="shared" si="6"/>
        <v>11088.228744</v>
      </c>
      <c r="R5" s="101">
        <f t="shared" si="6"/>
        <v>11690.9163432</v>
      </c>
      <c r="S5" s="101">
        <f t="shared" si="6"/>
        <v>11442.996583560001</v>
      </c>
      <c r="T5" s="101">
        <f t="shared" si="6"/>
        <v>11583.108592199998</v>
      </c>
      <c r="U5" s="101">
        <f t="shared" si="6"/>
        <v>11559.745159919998</v>
      </c>
      <c r="V5" s="101">
        <f t="shared" si="6"/>
        <v>9635.3688347999978</v>
      </c>
      <c r="W5" s="101">
        <f t="shared" ref="W5:Y5" si="7">SUM(W6:W8)</f>
        <v>10266.490599839999</v>
      </c>
      <c r="X5" s="101">
        <f t="shared" si="7"/>
        <v>10953.88784928</v>
      </c>
      <c r="Y5" s="101">
        <f t="shared" si="7"/>
        <v>11109.46954032</v>
      </c>
      <c r="DA5" s="175"/>
    </row>
    <row r="6" spans="1:105" ht="11.45" customHeight="1" x14ac:dyDescent="0.25">
      <c r="A6" s="128" t="s">
        <v>52</v>
      </c>
      <c r="B6" s="101">
        <v>5.7605504400000012</v>
      </c>
      <c r="C6" s="101">
        <v>4.1420354400000008</v>
      </c>
      <c r="D6" s="101">
        <v>3.6331970399999998</v>
      </c>
      <c r="E6" s="101">
        <v>3.1541166</v>
      </c>
      <c r="F6" s="101">
        <v>2.8149667200000015</v>
      </c>
      <c r="G6" s="101">
        <v>2.6898015599999989</v>
      </c>
      <c r="H6" s="101">
        <v>2.3031752400000003</v>
      </c>
      <c r="I6" s="101">
        <v>3.0857414400000009</v>
      </c>
      <c r="J6" s="101">
        <v>2.3774565600000002</v>
      </c>
      <c r="K6" s="101">
        <v>1.5503670000000003</v>
      </c>
      <c r="L6" s="101">
        <v>1.3597797600000001</v>
      </c>
      <c r="M6" s="101">
        <v>1.4520067200000002</v>
      </c>
      <c r="N6" s="101">
        <v>2.6423251200000006</v>
      </c>
      <c r="O6" s="101">
        <v>3.4426098000000001</v>
      </c>
      <c r="P6" s="101">
        <v>5.5701903600000016</v>
      </c>
      <c r="Q6" s="101">
        <v>6.6830472000000007</v>
      </c>
      <c r="R6" s="101">
        <v>6.7337038800000002</v>
      </c>
      <c r="S6" s="101">
        <v>5.9540907599999997</v>
      </c>
      <c r="T6" s="101">
        <v>4.8918906000000009</v>
      </c>
      <c r="U6" s="101">
        <v>4.30263756</v>
      </c>
      <c r="V6" s="101">
        <v>3.0380378400000003</v>
      </c>
      <c r="W6" s="101">
        <v>3.0766550400000012</v>
      </c>
      <c r="X6" s="101">
        <v>4.2846919200000002</v>
      </c>
      <c r="Y6" s="101">
        <v>3.10050684</v>
      </c>
      <c r="DA6" s="175" t="s">
        <v>741</v>
      </c>
    </row>
    <row r="7" spans="1:105" ht="11.45" customHeight="1" x14ac:dyDescent="0.25">
      <c r="A7" s="128" t="s">
        <v>53</v>
      </c>
      <c r="B7" s="101">
        <v>4613.3963845199996</v>
      </c>
      <c r="C7" s="101">
        <v>4792.617577439999</v>
      </c>
      <c r="D7" s="101">
        <v>4897.6780960799997</v>
      </c>
      <c r="E7" s="101">
        <v>4891.4979775199999</v>
      </c>
      <c r="F7" s="101">
        <v>5027.4588394800012</v>
      </c>
      <c r="G7" s="101">
        <v>5283.9302669999997</v>
      </c>
      <c r="H7" s="101">
        <v>5781.4230751199993</v>
      </c>
      <c r="I7" s="101">
        <v>5620.7422378799993</v>
      </c>
      <c r="J7" s="101">
        <v>5265.3901607999996</v>
      </c>
      <c r="K7" s="101">
        <v>4777.1672810399987</v>
      </c>
      <c r="L7" s="101">
        <v>4424.9052632400017</v>
      </c>
      <c r="M7" s="101">
        <v>3936.6826329600008</v>
      </c>
      <c r="N7" s="101">
        <v>3714.2013585599998</v>
      </c>
      <c r="O7" s="101">
        <v>3436.0997655599986</v>
      </c>
      <c r="P7" s="101">
        <v>3414.4696000799991</v>
      </c>
      <c r="Q7" s="101">
        <v>2954.0570043599996</v>
      </c>
      <c r="R7" s="101">
        <v>2907.7066141200012</v>
      </c>
      <c r="S7" s="101">
        <v>2621.5680229200002</v>
      </c>
      <c r="T7" s="101">
        <v>2389.5703339199999</v>
      </c>
      <c r="U7" s="101">
        <v>2263.6477987200001</v>
      </c>
      <c r="V7" s="101">
        <v>1676.0814839999998</v>
      </c>
      <c r="W7" s="101">
        <v>1775.6087857199998</v>
      </c>
      <c r="X7" s="101">
        <v>2022.883632</v>
      </c>
      <c r="Y7" s="101">
        <v>2155.3724807999997</v>
      </c>
      <c r="DA7" s="175" t="s">
        <v>742</v>
      </c>
    </row>
    <row r="8" spans="1:105" ht="11.45" customHeight="1" x14ac:dyDescent="0.25">
      <c r="A8" s="128" t="s">
        <v>54</v>
      </c>
      <c r="B8" s="101">
        <v>5558.2006895999984</v>
      </c>
      <c r="C8" s="101">
        <v>5843.8126187999987</v>
      </c>
      <c r="D8" s="101">
        <v>5946.5045484000002</v>
      </c>
      <c r="E8" s="101">
        <v>6135.8427935999998</v>
      </c>
      <c r="F8" s="101">
        <v>6665.3480555999986</v>
      </c>
      <c r="G8" s="101">
        <v>7100.7553281600012</v>
      </c>
      <c r="H8" s="101">
        <v>7661.9378066400013</v>
      </c>
      <c r="I8" s="101">
        <v>8226.8976067199983</v>
      </c>
      <c r="J8" s="101">
        <v>7766.4493062000001</v>
      </c>
      <c r="K8" s="101">
        <v>7054.4220505200001</v>
      </c>
      <c r="L8" s="101">
        <v>6612.1118294400003</v>
      </c>
      <c r="M8" s="101">
        <v>6594.3109346400015</v>
      </c>
      <c r="N8" s="101">
        <v>6598.0943917199993</v>
      </c>
      <c r="O8" s="101">
        <v>7038.3348219599984</v>
      </c>
      <c r="P8" s="101">
        <v>7468.4599797599994</v>
      </c>
      <c r="Q8" s="101">
        <v>8127.4886924399998</v>
      </c>
      <c r="R8" s="101">
        <v>8776.4760251999996</v>
      </c>
      <c r="S8" s="101">
        <v>8815.4744698800005</v>
      </c>
      <c r="T8" s="101">
        <v>9188.6463676799995</v>
      </c>
      <c r="U8" s="101">
        <v>9291.7947236399978</v>
      </c>
      <c r="V8" s="101">
        <v>7956.249312959998</v>
      </c>
      <c r="W8" s="101">
        <v>8487.8051590799987</v>
      </c>
      <c r="X8" s="101">
        <v>8926.7195253599984</v>
      </c>
      <c r="Y8" s="101">
        <v>8950.9965526800006</v>
      </c>
      <c r="DA8" s="175" t="s">
        <v>743</v>
      </c>
    </row>
    <row r="9" spans="1:105" ht="11.45" customHeight="1" x14ac:dyDescent="0.25">
      <c r="A9" s="92" t="s">
        <v>55</v>
      </c>
      <c r="B9" s="101">
        <v>0</v>
      </c>
      <c r="C9" s="101">
        <v>0</v>
      </c>
      <c r="D9" s="101">
        <v>0</v>
      </c>
      <c r="E9" s="101">
        <v>0</v>
      </c>
      <c r="F9" s="101">
        <v>0</v>
      </c>
      <c r="G9" s="101">
        <v>0</v>
      </c>
      <c r="H9" s="101">
        <v>0</v>
      </c>
      <c r="I9" s="101">
        <v>0</v>
      </c>
      <c r="J9" s="101">
        <v>0</v>
      </c>
      <c r="K9" s="101">
        <v>0</v>
      </c>
      <c r="L9" s="101">
        <v>0</v>
      </c>
      <c r="M9" s="101">
        <v>0</v>
      </c>
      <c r="N9" s="101">
        <v>0</v>
      </c>
      <c r="O9" s="101">
        <v>0</v>
      </c>
      <c r="P9" s="101">
        <v>5.4529200000000021E-2</v>
      </c>
      <c r="Q9" s="101">
        <v>2.9890079999999996E-2</v>
      </c>
      <c r="R9" s="101">
        <v>3.0092039999999997E-2</v>
      </c>
      <c r="S9" s="101">
        <v>3.3323400000000003E-2</v>
      </c>
      <c r="T9" s="101">
        <v>6.9676199999999994E-2</v>
      </c>
      <c r="U9" s="101">
        <v>0.94860612</v>
      </c>
      <c r="V9" s="101">
        <v>2.2930145557885346</v>
      </c>
      <c r="W9" s="101">
        <v>4.7351362742438088</v>
      </c>
      <c r="X9" s="101">
        <v>4.4625735146346273</v>
      </c>
      <c r="Y9" s="101">
        <v>4.8629939936895523</v>
      </c>
      <c r="DA9" s="175" t="s">
        <v>744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:Y10" si="11">SUM(W11:W14)</f>
        <v>0</v>
      </c>
      <c r="X10" s="101">
        <f t="shared" si="11"/>
        <v>0</v>
      </c>
      <c r="Y10" s="101">
        <f t="shared" si="11"/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X11" s="101">
        <v>0</v>
      </c>
      <c r="Y11" s="101">
        <v>0</v>
      </c>
      <c r="DA11" s="175" t="s">
        <v>745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X12" s="101">
        <v>0</v>
      </c>
      <c r="Y12" s="101">
        <v>0</v>
      </c>
      <c r="DA12" s="175" t="s">
        <v>746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75" t="s">
        <v>747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X14" s="101">
        <v>0</v>
      </c>
      <c r="Y14" s="101">
        <v>0</v>
      </c>
      <c r="DA14" s="175" t="s">
        <v>748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X15" s="88">
        <v>0</v>
      </c>
      <c r="Y15" s="88">
        <v>0</v>
      </c>
      <c r="DA15" s="178" t="s">
        <v>749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10177.357624559998</v>
      </c>
      <c r="C17" s="79">
        <f t="shared" si="12"/>
        <v>10640.572231679997</v>
      </c>
      <c r="D17" s="79">
        <f t="shared" si="12"/>
        <v>10847.815841519998</v>
      </c>
      <c r="E17" s="79">
        <f t="shared" si="12"/>
        <v>11030.49488772</v>
      </c>
      <c r="F17" s="79">
        <f t="shared" si="12"/>
        <v>11695.6218618</v>
      </c>
      <c r="G17" s="79">
        <f t="shared" si="12"/>
        <v>12387.375396720001</v>
      </c>
      <c r="H17" s="79">
        <f t="shared" si="12"/>
        <v>13445.664057000002</v>
      </c>
      <c r="I17" s="79">
        <f t="shared" si="12"/>
        <v>13850.725586039996</v>
      </c>
      <c r="J17" s="79">
        <f t="shared" si="12"/>
        <v>13034.216923559999</v>
      </c>
      <c r="K17" s="79">
        <f t="shared" si="12"/>
        <v>11833.139698559999</v>
      </c>
      <c r="L17" s="79">
        <f t="shared" ref="L17" si="13">SUM(L18,L33)</f>
        <v>11038.376872440002</v>
      </c>
      <c r="M17" s="79">
        <f t="shared" ref="M17:V17" si="14">SUM(M18,M33)</f>
        <v>10532.445574320001</v>
      </c>
      <c r="N17" s="79">
        <f t="shared" si="14"/>
        <v>10314.938075400001</v>
      </c>
      <c r="O17" s="79">
        <f t="shared" si="14"/>
        <v>10477.877197319998</v>
      </c>
      <c r="P17" s="79">
        <f t="shared" si="14"/>
        <v>10888.554299399999</v>
      </c>
      <c r="Q17" s="79">
        <f t="shared" si="14"/>
        <v>11088.258634079997</v>
      </c>
      <c r="R17" s="79">
        <f t="shared" si="14"/>
        <v>11690.946435240001</v>
      </c>
      <c r="S17" s="79">
        <f t="shared" si="14"/>
        <v>11443.029906960001</v>
      </c>
      <c r="T17" s="79">
        <f t="shared" si="14"/>
        <v>11583.178268399997</v>
      </c>
      <c r="U17" s="79">
        <f t="shared" si="14"/>
        <v>11560.693766039996</v>
      </c>
      <c r="V17" s="79">
        <f t="shared" si="14"/>
        <v>9637.6618493557853</v>
      </c>
      <c r="W17" s="79">
        <f t="shared" ref="W17:Y17" si="15">SUM(W18,W33)</f>
        <v>10271.225736114242</v>
      </c>
      <c r="X17" s="79">
        <f t="shared" si="15"/>
        <v>10958.350422794632</v>
      </c>
      <c r="Y17" s="79">
        <f t="shared" si="15"/>
        <v>11114.332534313689</v>
      </c>
      <c r="DA17" s="172" t="s">
        <v>750</v>
      </c>
    </row>
    <row r="18" spans="1:105" ht="11.45" customHeight="1" x14ac:dyDescent="0.25">
      <c r="A18" s="27" t="s">
        <v>33</v>
      </c>
      <c r="B18" s="32">
        <f t="shared" ref="B18:K18" si="16">SUM(B19,B20,B27)</f>
        <v>6185.8303997700905</v>
      </c>
      <c r="C18" s="32">
        <f t="shared" si="16"/>
        <v>6422.9177385431412</v>
      </c>
      <c r="D18" s="32">
        <f t="shared" si="16"/>
        <v>6464.2305635301545</v>
      </c>
      <c r="E18" s="32">
        <f t="shared" si="16"/>
        <v>6508.3406095893597</v>
      </c>
      <c r="F18" s="32">
        <f t="shared" si="16"/>
        <v>6773.808523413185</v>
      </c>
      <c r="G18" s="32">
        <f t="shared" si="16"/>
        <v>7253.59335090067</v>
      </c>
      <c r="H18" s="32">
        <f t="shared" si="16"/>
        <v>8074.2902699544566</v>
      </c>
      <c r="I18" s="32">
        <f t="shared" si="16"/>
        <v>8094.3590051534711</v>
      </c>
      <c r="J18" s="32">
        <f t="shared" si="16"/>
        <v>7989.5745990195583</v>
      </c>
      <c r="K18" s="32">
        <f t="shared" si="16"/>
        <v>7816.9023979989952</v>
      </c>
      <c r="L18" s="32">
        <f t="shared" ref="L18" si="17">SUM(L19,L20,L27)</f>
        <v>7469.0004504277813</v>
      </c>
      <c r="M18" s="32">
        <f t="shared" ref="M18:V18" si="18">SUM(M19,M20,M27)</f>
        <v>7202.9188170680227</v>
      </c>
      <c r="N18" s="32">
        <f t="shared" si="18"/>
        <v>7085.3796661312526</v>
      </c>
      <c r="O18" s="32">
        <f t="shared" si="18"/>
        <v>7235.5620884827704</v>
      </c>
      <c r="P18" s="32">
        <f t="shared" si="18"/>
        <v>7554.5360568621518</v>
      </c>
      <c r="Q18" s="32">
        <f t="shared" si="18"/>
        <v>7773.2939563239979</v>
      </c>
      <c r="R18" s="32">
        <f t="shared" si="18"/>
        <v>8194.2126337557511</v>
      </c>
      <c r="S18" s="32">
        <f t="shared" si="18"/>
        <v>8077.5868148828195</v>
      </c>
      <c r="T18" s="32">
        <f t="shared" si="18"/>
        <v>8107.1107546072899</v>
      </c>
      <c r="U18" s="32">
        <f t="shared" si="18"/>
        <v>8025.8463785712092</v>
      </c>
      <c r="V18" s="32">
        <f t="shared" si="18"/>
        <v>6569.055540966594</v>
      </c>
      <c r="W18" s="32">
        <f t="shared" ref="W18:Y18" si="19">SUM(W19,W20,W27)</f>
        <v>6892.2675020172637</v>
      </c>
      <c r="X18" s="32">
        <f t="shared" si="19"/>
        <v>7413.4181558185464</v>
      </c>
      <c r="Y18" s="32">
        <f t="shared" si="19"/>
        <v>7510.5214972048198</v>
      </c>
      <c r="DA18" s="173" t="s">
        <v>403</v>
      </c>
    </row>
    <row r="19" spans="1:105" ht="11.45" customHeight="1" x14ac:dyDescent="0.25">
      <c r="A19" s="136" t="s">
        <v>173</v>
      </c>
      <c r="B19" s="141">
        <v>12.74141666566199</v>
      </c>
      <c r="C19" s="141">
        <v>13.603992580783954</v>
      </c>
      <c r="D19" s="141">
        <v>13.360882728502011</v>
      </c>
      <c r="E19" s="141">
        <v>14.272122000868457</v>
      </c>
      <c r="F19" s="141">
        <v>13.694555620182072</v>
      </c>
      <c r="G19" s="141">
        <v>16.669093510064286</v>
      </c>
      <c r="H19" s="141">
        <v>16.326588469122342</v>
      </c>
      <c r="I19" s="141">
        <v>16.47352300399357</v>
      </c>
      <c r="J19" s="141">
        <v>17.409327986729036</v>
      </c>
      <c r="K19" s="141">
        <v>15.86744180541643</v>
      </c>
      <c r="L19" s="141">
        <v>13.700451705296883</v>
      </c>
      <c r="M19" s="141">
        <v>12.505211686894516</v>
      </c>
      <c r="N19" s="141">
        <v>11.138315065392781</v>
      </c>
      <c r="O19" s="141">
        <v>10.955413317754115</v>
      </c>
      <c r="P19" s="141">
        <v>12.605041281036687</v>
      </c>
      <c r="Q19" s="141">
        <v>11.908169894518505</v>
      </c>
      <c r="R19" s="141">
        <v>12.20970919459106</v>
      </c>
      <c r="S19" s="141">
        <v>11.449999361403476</v>
      </c>
      <c r="T19" s="141">
        <v>10.808429158239228</v>
      </c>
      <c r="U19" s="141">
        <v>11.441794694732138</v>
      </c>
      <c r="V19" s="141">
        <v>10.289649322250613</v>
      </c>
      <c r="W19" s="141">
        <v>10.699617674941008</v>
      </c>
      <c r="X19" s="141">
        <v>10.697903273935376</v>
      </c>
      <c r="Y19" s="141">
        <v>11.383088200084321</v>
      </c>
      <c r="DA19" s="174" t="s">
        <v>404</v>
      </c>
    </row>
    <row r="20" spans="1:105" ht="11.45" customHeight="1" x14ac:dyDescent="0.25">
      <c r="A20" s="109" t="s">
        <v>20</v>
      </c>
      <c r="B20" s="130">
        <f t="shared" ref="B20:K20" si="20">SUM(B21:B26)</f>
        <v>5772.2939695422638</v>
      </c>
      <c r="C20" s="130">
        <f t="shared" si="20"/>
        <v>6013.9148908904872</v>
      </c>
      <c r="D20" s="130">
        <f t="shared" si="20"/>
        <v>6053.9796317922028</v>
      </c>
      <c r="E20" s="130">
        <f t="shared" si="20"/>
        <v>6079.8381523344242</v>
      </c>
      <c r="F20" s="130">
        <f t="shared" si="20"/>
        <v>6333.5018558875754</v>
      </c>
      <c r="G20" s="130">
        <f t="shared" si="20"/>
        <v>6795.6210287248832</v>
      </c>
      <c r="H20" s="130">
        <f t="shared" si="20"/>
        <v>7587.3477558961276</v>
      </c>
      <c r="I20" s="130">
        <f t="shared" si="20"/>
        <v>7579.1660059964979</v>
      </c>
      <c r="J20" s="130">
        <f t="shared" si="20"/>
        <v>7443.0282991648855</v>
      </c>
      <c r="K20" s="130">
        <f t="shared" si="20"/>
        <v>7281.8095823255353</v>
      </c>
      <c r="L20" s="130">
        <f t="shared" ref="L20" si="21">SUM(L21:L26)</f>
        <v>6951.2178672895652</v>
      </c>
      <c r="M20" s="130">
        <f t="shared" ref="M20:V20" si="22">SUM(M21:M26)</f>
        <v>6700.8240129570486</v>
      </c>
      <c r="N20" s="130">
        <f t="shared" si="22"/>
        <v>6589.9508345066561</v>
      </c>
      <c r="O20" s="130">
        <f t="shared" si="22"/>
        <v>6741.8337341785418</v>
      </c>
      <c r="P20" s="130">
        <f t="shared" si="22"/>
        <v>7050.8884151245511</v>
      </c>
      <c r="Q20" s="130">
        <f t="shared" si="22"/>
        <v>7254.2099948360174</v>
      </c>
      <c r="R20" s="130">
        <f t="shared" si="22"/>
        <v>7642.2510420252511</v>
      </c>
      <c r="S20" s="130">
        <f t="shared" si="22"/>
        <v>7481.0399106153109</v>
      </c>
      <c r="T20" s="130">
        <f t="shared" si="22"/>
        <v>7468.0686262189947</v>
      </c>
      <c r="U20" s="130">
        <f t="shared" si="22"/>
        <v>7385.5548903036042</v>
      </c>
      <c r="V20" s="130">
        <f t="shared" si="22"/>
        <v>6040.1497093272592</v>
      </c>
      <c r="W20" s="130">
        <f t="shared" ref="W20:Y20" si="23">SUM(W21:W26)</f>
        <v>6363.6256592195887</v>
      </c>
      <c r="X20" s="130">
        <f t="shared" si="23"/>
        <v>6769.7378941689576</v>
      </c>
      <c r="Y20" s="130">
        <f t="shared" si="23"/>
        <v>6732.0201501124839</v>
      </c>
      <c r="DA20" s="176" t="s">
        <v>405</v>
      </c>
    </row>
    <row r="21" spans="1:105" ht="11.45" customHeight="1" x14ac:dyDescent="0.25">
      <c r="A21" s="111" t="s">
        <v>110</v>
      </c>
      <c r="B21" s="96">
        <v>4584.7829016429332</v>
      </c>
      <c r="C21" s="96">
        <v>4764.6047429483942</v>
      </c>
      <c r="D21" s="96">
        <v>4871.0723609634388</v>
      </c>
      <c r="E21" s="96">
        <v>4865.3957988241036</v>
      </c>
      <c r="F21" s="96">
        <v>5003.5722661537075</v>
      </c>
      <c r="G21" s="96">
        <v>5259.3873508841098</v>
      </c>
      <c r="H21" s="96">
        <v>5759.0319880979405</v>
      </c>
      <c r="I21" s="96">
        <v>5599.4793616677389</v>
      </c>
      <c r="J21" s="96">
        <v>5243.7721398811145</v>
      </c>
      <c r="K21" s="96">
        <v>4757.5587657322631</v>
      </c>
      <c r="L21" s="96">
        <v>4408.0981642758861</v>
      </c>
      <c r="M21" s="96">
        <v>3921.5771629230962</v>
      </c>
      <c r="N21" s="96">
        <v>3700.9723926560218</v>
      </c>
      <c r="O21" s="96">
        <v>3423.1193333671208</v>
      </c>
      <c r="P21" s="96">
        <v>3399.954159569108</v>
      </c>
      <c r="Q21" s="96">
        <v>2940.4141764229439</v>
      </c>
      <c r="R21" s="96">
        <v>2893.7275144970845</v>
      </c>
      <c r="S21" s="96">
        <v>2607.943475417585</v>
      </c>
      <c r="T21" s="96">
        <v>2375.9588108045614</v>
      </c>
      <c r="U21" s="96">
        <v>2248.2009616859918</v>
      </c>
      <c r="V21" s="96">
        <v>1660.6183925619723</v>
      </c>
      <c r="W21" s="96">
        <v>1752.9700052632588</v>
      </c>
      <c r="X21" s="96">
        <v>1994.0351514191655</v>
      </c>
      <c r="Y21" s="96">
        <v>2118.0509966324671</v>
      </c>
      <c r="DA21" s="171" t="s">
        <v>751</v>
      </c>
    </row>
    <row r="22" spans="1:105" ht="11.45" customHeight="1" x14ac:dyDescent="0.25">
      <c r="A22" s="111" t="s">
        <v>111</v>
      </c>
      <c r="B22" s="96">
        <v>1181.7505174593307</v>
      </c>
      <c r="C22" s="96">
        <v>1245.185971897846</v>
      </c>
      <c r="D22" s="96">
        <v>1179.2923757188485</v>
      </c>
      <c r="E22" s="96">
        <v>1211.3070298642281</v>
      </c>
      <c r="F22" s="96">
        <v>1327.1339002415743</v>
      </c>
      <c r="G22" s="96">
        <v>1533.5636530260908</v>
      </c>
      <c r="H22" s="96">
        <v>1826.0329160483032</v>
      </c>
      <c r="I22" s="96">
        <v>1976.6217831014112</v>
      </c>
      <c r="J22" s="96">
        <v>2196.8787027237709</v>
      </c>
      <c r="K22" s="96">
        <v>2522.7004495932724</v>
      </c>
      <c r="L22" s="96">
        <v>2541.7599232536795</v>
      </c>
      <c r="M22" s="96">
        <v>2777.7948433139527</v>
      </c>
      <c r="N22" s="96">
        <v>2886.3361167306334</v>
      </c>
      <c r="O22" s="96">
        <v>3315.2695793664848</v>
      </c>
      <c r="P22" s="96">
        <v>3645.2966735940154</v>
      </c>
      <c r="Q22" s="96">
        <v>4306.9985232552017</v>
      </c>
      <c r="R22" s="96">
        <v>4741.4321577019928</v>
      </c>
      <c r="S22" s="96">
        <v>4866.5453434254205</v>
      </c>
      <c r="T22" s="96">
        <v>5085.9256181142518</v>
      </c>
      <c r="U22" s="96">
        <v>5130.7154495826881</v>
      </c>
      <c r="V22" s="96">
        <v>4373.3427503972307</v>
      </c>
      <c r="W22" s="96">
        <v>4597.8961886677362</v>
      </c>
      <c r="X22" s="96">
        <v>4756.044602086864</v>
      </c>
      <c r="Y22" s="96">
        <v>4590.2039473463674</v>
      </c>
      <c r="DA22" s="171" t="s">
        <v>752</v>
      </c>
    </row>
    <row r="23" spans="1:105" ht="11.45" customHeight="1" x14ac:dyDescent="0.25">
      <c r="A23" s="111" t="s">
        <v>112</v>
      </c>
      <c r="B23" s="96">
        <v>5.7605504400000012</v>
      </c>
      <c r="C23" s="96">
        <v>4.1241760442475091</v>
      </c>
      <c r="D23" s="96">
        <v>3.614895109915591</v>
      </c>
      <c r="E23" s="96">
        <v>3.1353236460926941</v>
      </c>
      <c r="F23" s="96">
        <v>2.7956894922936701</v>
      </c>
      <c r="G23" s="96">
        <v>2.6700248146821721</v>
      </c>
      <c r="H23" s="96">
        <v>2.282851749883569</v>
      </c>
      <c r="I23" s="96">
        <v>3.0648612273480089</v>
      </c>
      <c r="J23" s="96">
        <v>2.3774565600000002</v>
      </c>
      <c r="K23" s="96">
        <v>1.5503670000000003</v>
      </c>
      <c r="L23" s="96">
        <v>1.3597797600000001</v>
      </c>
      <c r="M23" s="96">
        <v>1.4520067200000002</v>
      </c>
      <c r="N23" s="96">
        <v>2.6423251200000006</v>
      </c>
      <c r="O23" s="96">
        <v>3.4361313279374159</v>
      </c>
      <c r="P23" s="96">
        <v>5.5572018959631988</v>
      </c>
      <c r="Q23" s="96">
        <v>6.6702153907601485</v>
      </c>
      <c r="R23" s="96">
        <v>6.7210038078906553</v>
      </c>
      <c r="S23" s="96">
        <v>5.9390737251419727</v>
      </c>
      <c r="T23" s="96">
        <v>4.8767157521153823</v>
      </c>
      <c r="U23" s="96">
        <v>4.2876211817430105</v>
      </c>
      <c r="V23" s="96">
        <v>3.0262527578342251</v>
      </c>
      <c r="W23" s="96">
        <v>3.0647430392421935</v>
      </c>
      <c r="X23" s="96">
        <v>4.2726445406644409</v>
      </c>
      <c r="Y23" s="96">
        <v>3.0883045379741909</v>
      </c>
      <c r="DA23" s="171" t="s">
        <v>753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96">
        <v>0</v>
      </c>
      <c r="K24" s="96">
        <v>0</v>
      </c>
      <c r="L24" s="96">
        <v>0</v>
      </c>
      <c r="M24" s="96">
        <v>0</v>
      </c>
      <c r="N24" s="96">
        <v>0</v>
      </c>
      <c r="O24" s="96">
        <v>0</v>
      </c>
      <c r="P24" s="96">
        <v>5.4529200000000021E-2</v>
      </c>
      <c r="Q24" s="96">
        <v>2.9890079999999996E-2</v>
      </c>
      <c r="R24" s="96">
        <v>1.8598872994613633E-2</v>
      </c>
      <c r="S24" s="96">
        <v>2.2178047226088543E-2</v>
      </c>
      <c r="T24" s="96">
        <v>2.7804626780355911E-2</v>
      </c>
      <c r="U24" s="96">
        <v>3.0739977343938126E-2</v>
      </c>
      <c r="V24" s="96">
        <v>3.1838269358347153E-2</v>
      </c>
      <c r="W24" s="96">
        <v>6.3919651323129253E-2</v>
      </c>
      <c r="X24" s="96">
        <v>0.47904859435355612</v>
      </c>
      <c r="Y24" s="96">
        <v>0.395779632563168</v>
      </c>
      <c r="DA24" s="171" t="s">
        <v>754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0</v>
      </c>
      <c r="O25" s="96">
        <v>8.6901169978355567E-3</v>
      </c>
      <c r="P25" s="96">
        <v>2.5850865464750416E-2</v>
      </c>
      <c r="Q25" s="96">
        <v>9.7189687112639797E-2</v>
      </c>
      <c r="R25" s="96">
        <v>0.35176714528845349</v>
      </c>
      <c r="S25" s="96">
        <v>0.58983999993809022</v>
      </c>
      <c r="T25" s="96">
        <v>1.2796769212867363</v>
      </c>
      <c r="U25" s="96">
        <v>2.3201178758382714</v>
      </c>
      <c r="V25" s="96">
        <v>3.1304753408634678</v>
      </c>
      <c r="W25" s="96">
        <v>9.630802598028481</v>
      </c>
      <c r="X25" s="96">
        <v>14.906447527911192</v>
      </c>
      <c r="Y25" s="96">
        <v>20.28112196311206</v>
      </c>
      <c r="DA25" s="171" t="s">
        <v>755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X26" s="96">
        <v>0</v>
      </c>
      <c r="Y26" s="96">
        <v>0</v>
      </c>
      <c r="DA26" s="171" t="s">
        <v>756</v>
      </c>
    </row>
    <row r="27" spans="1:105" ht="11.45" customHeight="1" x14ac:dyDescent="0.25">
      <c r="A27" s="109" t="s">
        <v>21</v>
      </c>
      <c r="B27" s="130">
        <f t="shared" ref="B27:K27" si="24">SUM(B28:B32)</f>
        <v>400.79501356216463</v>
      </c>
      <c r="C27" s="130">
        <f t="shared" si="24"/>
        <v>395.39885507187063</v>
      </c>
      <c r="D27" s="130">
        <f t="shared" si="24"/>
        <v>396.89004900945054</v>
      </c>
      <c r="E27" s="130">
        <f t="shared" si="24"/>
        <v>414.23033525406697</v>
      </c>
      <c r="F27" s="130">
        <f t="shared" si="24"/>
        <v>426.61211190542741</v>
      </c>
      <c r="G27" s="130">
        <f t="shared" si="24"/>
        <v>441.30322866572226</v>
      </c>
      <c r="H27" s="130">
        <f t="shared" si="24"/>
        <v>470.6159255892062</v>
      </c>
      <c r="I27" s="130">
        <f t="shared" si="24"/>
        <v>498.71947615297995</v>
      </c>
      <c r="J27" s="130">
        <f t="shared" si="24"/>
        <v>529.1369718679432</v>
      </c>
      <c r="K27" s="130">
        <f t="shared" si="24"/>
        <v>519.2253738680439</v>
      </c>
      <c r="L27" s="130">
        <f t="shared" ref="L27" si="25">SUM(L28:L32)</f>
        <v>504.0821314329196</v>
      </c>
      <c r="M27" s="130">
        <f t="shared" ref="M27:V27" si="26">SUM(M28:M32)</f>
        <v>489.58959242407911</v>
      </c>
      <c r="N27" s="130">
        <f t="shared" si="26"/>
        <v>484.29051655920392</v>
      </c>
      <c r="O27" s="130">
        <f t="shared" si="26"/>
        <v>482.7729409864744</v>
      </c>
      <c r="P27" s="130">
        <f t="shared" si="26"/>
        <v>491.04260045656395</v>
      </c>
      <c r="Q27" s="130">
        <f t="shared" si="26"/>
        <v>507.17579159346246</v>
      </c>
      <c r="R27" s="130">
        <f t="shared" si="26"/>
        <v>539.75188253590898</v>
      </c>
      <c r="S27" s="130">
        <f t="shared" si="26"/>
        <v>585.09690490610512</v>
      </c>
      <c r="T27" s="130">
        <f t="shared" si="26"/>
        <v>628.233699230056</v>
      </c>
      <c r="U27" s="130">
        <f t="shared" si="26"/>
        <v>628.84969357287252</v>
      </c>
      <c r="V27" s="130">
        <f t="shared" si="26"/>
        <v>518.61618231708462</v>
      </c>
      <c r="W27" s="130">
        <f t="shared" ref="W27:Y27" si="27">SUM(W28:W32)</f>
        <v>517.94222512273438</v>
      </c>
      <c r="X27" s="130">
        <f t="shared" si="27"/>
        <v>632.98235837565312</v>
      </c>
      <c r="Y27" s="130">
        <f t="shared" si="27"/>
        <v>767.11825889225179</v>
      </c>
      <c r="DA27" s="176" t="s">
        <v>406</v>
      </c>
    </row>
    <row r="28" spans="1:105" ht="11.45" customHeight="1" x14ac:dyDescent="0.25">
      <c r="A28" s="111" t="s">
        <v>110</v>
      </c>
      <c r="B28" s="97">
        <v>2.2901056987656601</v>
      </c>
      <c r="C28" s="97">
        <v>2.100230583312225</v>
      </c>
      <c r="D28" s="97">
        <v>1.9107991857704134</v>
      </c>
      <c r="E28" s="97">
        <v>1.7237625065906075</v>
      </c>
      <c r="F28" s="97">
        <v>1.5202036156248009</v>
      </c>
      <c r="G28" s="97">
        <v>1.3296764251165469</v>
      </c>
      <c r="H28" s="97">
        <v>1.1534231411610532</v>
      </c>
      <c r="I28" s="97">
        <v>1.0242329835104969</v>
      </c>
      <c r="J28" s="97">
        <v>0.88070470084602748</v>
      </c>
      <c r="K28" s="97">
        <v>0.72724406357419247</v>
      </c>
      <c r="L28" s="97">
        <v>0.57339824824876573</v>
      </c>
      <c r="M28" s="97">
        <v>0.45572889568605746</v>
      </c>
      <c r="N28" s="97">
        <v>0.34069851747790691</v>
      </c>
      <c r="O28" s="97">
        <v>0.34123980937222359</v>
      </c>
      <c r="P28" s="97">
        <v>0.34293811081856362</v>
      </c>
      <c r="Q28" s="97">
        <v>0.29565855905729138</v>
      </c>
      <c r="R28" s="97">
        <v>0.2417837680348085</v>
      </c>
      <c r="S28" s="97">
        <v>0.29604846048119554</v>
      </c>
      <c r="T28" s="97">
        <v>0.20188130637813836</v>
      </c>
      <c r="U28" s="97">
        <v>0.24230844048567199</v>
      </c>
      <c r="V28" s="97">
        <v>0.22206766397807795</v>
      </c>
      <c r="W28" s="97">
        <v>0.20067683636045555</v>
      </c>
      <c r="X28" s="97">
        <v>0.63092920639681893</v>
      </c>
      <c r="Y28" s="97">
        <v>1.8756436094342697</v>
      </c>
      <c r="DA28" s="175" t="s">
        <v>757</v>
      </c>
    </row>
    <row r="29" spans="1:105" ht="11.45" customHeight="1" x14ac:dyDescent="0.25">
      <c r="A29" s="111" t="s">
        <v>111</v>
      </c>
      <c r="B29" s="97">
        <v>398.50490786339896</v>
      </c>
      <c r="C29" s="97">
        <v>393.28076509280589</v>
      </c>
      <c r="D29" s="97">
        <v>394.96094789359569</v>
      </c>
      <c r="E29" s="97">
        <v>412.48777979356908</v>
      </c>
      <c r="F29" s="97">
        <v>425.07263106209632</v>
      </c>
      <c r="G29" s="97">
        <v>439.95377549528791</v>
      </c>
      <c r="H29" s="97">
        <v>469.44217895792872</v>
      </c>
      <c r="I29" s="97">
        <v>497.67436295681745</v>
      </c>
      <c r="J29" s="97">
        <v>528.25626716709712</v>
      </c>
      <c r="K29" s="97">
        <v>518.49812980446973</v>
      </c>
      <c r="L29" s="97">
        <v>503.5087331846708</v>
      </c>
      <c r="M29" s="97">
        <v>489.13386352839308</v>
      </c>
      <c r="N29" s="97">
        <v>483.94981804172602</v>
      </c>
      <c r="O29" s="97">
        <v>482.43170117710218</v>
      </c>
      <c r="P29" s="97">
        <v>490.69966234574537</v>
      </c>
      <c r="Q29" s="97">
        <v>506.88013303440516</v>
      </c>
      <c r="R29" s="97">
        <v>539.51009876787418</v>
      </c>
      <c r="S29" s="97">
        <v>584.80085644562394</v>
      </c>
      <c r="T29" s="97">
        <v>628.00098357943534</v>
      </c>
      <c r="U29" s="97">
        <v>627.70218933010972</v>
      </c>
      <c r="V29" s="97">
        <v>516.16306464265836</v>
      </c>
      <c r="W29" s="97">
        <v>513.13459956685722</v>
      </c>
      <c r="X29" s="97">
        <v>628.40490121121843</v>
      </c>
      <c r="Y29" s="97">
        <v>760.81404818256476</v>
      </c>
      <c r="DA29" s="175" t="s">
        <v>758</v>
      </c>
    </row>
    <row r="30" spans="1:105" ht="11.45" customHeight="1" x14ac:dyDescent="0.25">
      <c r="A30" s="111" t="s">
        <v>112</v>
      </c>
      <c r="B30" s="97">
        <v>0</v>
      </c>
      <c r="C30" s="97">
        <v>1.785939575249124E-2</v>
      </c>
      <c r="D30" s="97">
        <v>1.8301930084409345E-2</v>
      </c>
      <c r="E30" s="97">
        <v>1.8792953907305992E-2</v>
      </c>
      <c r="F30" s="97">
        <v>1.9277227706331328E-2</v>
      </c>
      <c r="G30" s="97">
        <v>1.9776745317826753E-2</v>
      </c>
      <c r="H30" s="97">
        <v>2.0323490116431472E-2</v>
      </c>
      <c r="I30" s="97">
        <v>2.0880212651992223E-2</v>
      </c>
      <c r="J30" s="97">
        <v>0</v>
      </c>
      <c r="K30" s="97">
        <v>0</v>
      </c>
      <c r="L30" s="97">
        <v>0</v>
      </c>
      <c r="M30" s="97">
        <v>0</v>
      </c>
      <c r="N30" s="97">
        <v>0</v>
      </c>
      <c r="O30" s="97">
        <v>0</v>
      </c>
      <c r="P30" s="97">
        <v>0</v>
      </c>
      <c r="Q30" s="97">
        <v>0</v>
      </c>
      <c r="R30" s="97">
        <v>0</v>
      </c>
      <c r="S30" s="97">
        <v>0</v>
      </c>
      <c r="T30" s="97">
        <v>0</v>
      </c>
      <c r="U30" s="97">
        <v>0</v>
      </c>
      <c r="V30" s="97">
        <v>0</v>
      </c>
      <c r="W30" s="97">
        <v>0</v>
      </c>
      <c r="X30" s="97">
        <v>0</v>
      </c>
      <c r="Y30" s="97">
        <v>0</v>
      </c>
      <c r="DA30" s="175" t="s">
        <v>759</v>
      </c>
    </row>
    <row r="31" spans="1:105" ht="11.45" customHeight="1" x14ac:dyDescent="0.25">
      <c r="A31" s="111" t="s">
        <v>113</v>
      </c>
      <c r="B31" s="97">
        <v>0</v>
      </c>
      <c r="C31" s="97">
        <v>0</v>
      </c>
      <c r="D31" s="97">
        <v>0</v>
      </c>
      <c r="E31" s="97">
        <v>0</v>
      </c>
      <c r="F31" s="97">
        <v>0</v>
      </c>
      <c r="G31" s="97">
        <v>0</v>
      </c>
      <c r="H31" s="97">
        <v>0</v>
      </c>
      <c r="I31" s="97">
        <v>0</v>
      </c>
      <c r="J31" s="97">
        <v>0</v>
      </c>
      <c r="K31" s="97">
        <v>0</v>
      </c>
      <c r="L31" s="97">
        <v>0</v>
      </c>
      <c r="M31" s="97">
        <v>0</v>
      </c>
      <c r="N31" s="97">
        <v>0</v>
      </c>
      <c r="O31" s="97">
        <v>0</v>
      </c>
      <c r="P31" s="97">
        <v>0</v>
      </c>
      <c r="Q31" s="97">
        <v>0</v>
      </c>
      <c r="R31" s="97">
        <v>0</v>
      </c>
      <c r="S31" s="97">
        <v>0</v>
      </c>
      <c r="T31" s="97">
        <v>3.0834344242470217E-2</v>
      </c>
      <c r="U31" s="97">
        <v>0.90519580227710661</v>
      </c>
      <c r="V31" s="97">
        <v>2.2310500104481057</v>
      </c>
      <c r="W31" s="97">
        <v>4.6069487195167431</v>
      </c>
      <c r="X31" s="97">
        <v>3.9465279580378567</v>
      </c>
      <c r="Y31" s="97">
        <v>4.4285671002527147</v>
      </c>
      <c r="DA31" s="175" t="s">
        <v>760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X32" s="97">
        <v>0</v>
      </c>
      <c r="Y32" s="97">
        <v>0</v>
      </c>
      <c r="DA32" s="175" t="s">
        <v>761</v>
      </c>
    </row>
    <row r="33" spans="1:105" ht="11.45" customHeight="1" x14ac:dyDescent="0.25">
      <c r="A33" s="27" t="s">
        <v>34</v>
      </c>
      <c r="B33" s="32">
        <f t="shared" ref="B33:K33" si="28">B34+B40</f>
        <v>3991.5272247899075</v>
      </c>
      <c r="C33" s="32">
        <f t="shared" si="28"/>
        <v>4217.6544931368553</v>
      </c>
      <c r="D33" s="32">
        <f t="shared" si="28"/>
        <v>4383.5852779898441</v>
      </c>
      <c r="E33" s="32">
        <f t="shared" si="28"/>
        <v>4522.1542781306398</v>
      </c>
      <c r="F33" s="32">
        <f t="shared" si="28"/>
        <v>4921.8133383868153</v>
      </c>
      <c r="G33" s="32">
        <f t="shared" si="28"/>
        <v>5133.782045819331</v>
      </c>
      <c r="H33" s="32">
        <f t="shared" si="28"/>
        <v>5371.3737870455443</v>
      </c>
      <c r="I33" s="32">
        <f t="shared" si="28"/>
        <v>5756.3665808865262</v>
      </c>
      <c r="J33" s="32">
        <f t="shared" si="28"/>
        <v>5044.6423245404412</v>
      </c>
      <c r="K33" s="32">
        <f t="shared" si="28"/>
        <v>4016.2373005610029</v>
      </c>
      <c r="L33" s="32">
        <f t="shared" ref="L33" si="29">L34+L40</f>
        <v>3569.3764220122202</v>
      </c>
      <c r="M33" s="32">
        <f t="shared" ref="M33:V33" si="30">M34+M40</f>
        <v>3329.5267572519797</v>
      </c>
      <c r="N33" s="32">
        <f t="shared" si="30"/>
        <v>3229.5584092687477</v>
      </c>
      <c r="O33" s="32">
        <f t="shared" si="30"/>
        <v>3242.3151088372288</v>
      </c>
      <c r="P33" s="32">
        <f t="shared" si="30"/>
        <v>3334.0182425378462</v>
      </c>
      <c r="Q33" s="32">
        <f t="shared" si="30"/>
        <v>3314.9646777560001</v>
      </c>
      <c r="R33" s="32">
        <f t="shared" si="30"/>
        <v>3496.7338014842499</v>
      </c>
      <c r="S33" s="32">
        <f t="shared" si="30"/>
        <v>3365.4430920771811</v>
      </c>
      <c r="T33" s="32">
        <f t="shared" si="30"/>
        <v>3476.0675137927074</v>
      </c>
      <c r="U33" s="32">
        <f t="shared" si="30"/>
        <v>3534.8473874687879</v>
      </c>
      <c r="V33" s="32">
        <f t="shared" si="30"/>
        <v>3068.6063083891913</v>
      </c>
      <c r="W33" s="32">
        <f t="shared" ref="W33:Y33" si="31">W34+W40</f>
        <v>3378.9582340969787</v>
      </c>
      <c r="X33" s="32">
        <f t="shared" si="31"/>
        <v>3544.932266976085</v>
      </c>
      <c r="Y33" s="32">
        <f t="shared" si="31"/>
        <v>3603.8110371088706</v>
      </c>
      <c r="DA33" s="173" t="s">
        <v>411</v>
      </c>
    </row>
    <row r="34" spans="1:105" ht="11.45" customHeight="1" x14ac:dyDescent="0.25">
      <c r="A34" s="136" t="s">
        <v>153</v>
      </c>
      <c r="B34" s="141">
        <f t="shared" ref="B34:K34" si="32">SUM(B35:B39)</f>
        <v>1289.5812554133597</v>
      </c>
      <c r="C34" s="141">
        <f t="shared" si="32"/>
        <v>1329.7026417525626</v>
      </c>
      <c r="D34" s="141">
        <f t="shared" si="32"/>
        <v>1398.7695548092365</v>
      </c>
      <c r="E34" s="141">
        <f t="shared" si="32"/>
        <v>1478.0659507909518</v>
      </c>
      <c r="F34" s="141">
        <f t="shared" si="32"/>
        <v>1579.5379501172695</v>
      </c>
      <c r="G34" s="141">
        <f t="shared" si="32"/>
        <v>1672.3286760694377</v>
      </c>
      <c r="H34" s="141">
        <f t="shared" si="32"/>
        <v>1796.2653618377117</v>
      </c>
      <c r="I34" s="141">
        <f t="shared" si="32"/>
        <v>1895.9625460154996</v>
      </c>
      <c r="J34" s="141">
        <f t="shared" si="32"/>
        <v>1835.793226768513</v>
      </c>
      <c r="K34" s="141">
        <f t="shared" si="32"/>
        <v>1731.5056035981602</v>
      </c>
      <c r="L34" s="141">
        <f t="shared" ref="L34" si="33">SUM(L35:L39)</f>
        <v>1604.0345361260281</v>
      </c>
      <c r="M34" s="141">
        <f t="shared" ref="M34:V34" si="34">SUM(M35:M39)</f>
        <v>1546.8399957232234</v>
      </c>
      <c r="N34" s="141">
        <f t="shared" si="34"/>
        <v>1464.7894917860576</v>
      </c>
      <c r="O34" s="141">
        <f t="shared" si="34"/>
        <v>1485.9143914455201</v>
      </c>
      <c r="P34" s="141">
        <f t="shared" si="34"/>
        <v>1446.8990366365781</v>
      </c>
      <c r="Q34" s="141">
        <f t="shared" si="34"/>
        <v>1400.1848089919888</v>
      </c>
      <c r="R34" s="141">
        <f t="shared" si="34"/>
        <v>1361.9446958884016</v>
      </c>
      <c r="S34" s="141">
        <f t="shared" si="34"/>
        <v>1307.9809927211102</v>
      </c>
      <c r="T34" s="141">
        <f t="shared" si="34"/>
        <v>1314.3720958768001</v>
      </c>
      <c r="U34" s="141">
        <f t="shared" si="34"/>
        <v>1258.8808422683562</v>
      </c>
      <c r="V34" s="141">
        <f t="shared" si="34"/>
        <v>1218.4040914013046</v>
      </c>
      <c r="W34" s="141">
        <f t="shared" ref="W34:Y34" si="35">SUM(W35:W39)</f>
        <v>1270.1995759676411</v>
      </c>
      <c r="X34" s="141">
        <f t="shared" si="35"/>
        <v>1358.2508204688945</v>
      </c>
      <c r="Y34" s="141">
        <f t="shared" si="35"/>
        <v>1397.505664188018</v>
      </c>
      <c r="DA34" s="174" t="s">
        <v>412</v>
      </c>
    </row>
    <row r="35" spans="1:105" ht="11.45" customHeight="1" x14ac:dyDescent="0.25">
      <c r="A35" s="111" t="s">
        <v>110</v>
      </c>
      <c r="B35" s="96">
        <v>13.581960512638764</v>
      </c>
      <c r="C35" s="96">
        <v>12.308611327509528</v>
      </c>
      <c r="D35" s="96">
        <v>11.334053202288066</v>
      </c>
      <c r="E35" s="96">
        <v>10.106294188436395</v>
      </c>
      <c r="F35" s="96">
        <v>8.6718140904873451</v>
      </c>
      <c r="G35" s="96">
        <v>6.5441461807089523</v>
      </c>
      <c r="H35" s="96">
        <v>4.9110754117754052</v>
      </c>
      <c r="I35" s="96">
        <v>3.7651202247563211</v>
      </c>
      <c r="J35" s="96">
        <v>3.3279882313101767</v>
      </c>
      <c r="K35" s="96">
        <v>3.0138294387450228</v>
      </c>
      <c r="L35" s="96">
        <v>2.5332490105698735</v>
      </c>
      <c r="M35" s="96">
        <v>2.144529454324664</v>
      </c>
      <c r="N35" s="96">
        <v>1.7499523211073826</v>
      </c>
      <c r="O35" s="96">
        <v>1.6750889487540299</v>
      </c>
      <c r="P35" s="96">
        <v>1.5416102535714034</v>
      </c>
      <c r="Q35" s="96">
        <v>1.3418097963667344</v>
      </c>
      <c r="R35" s="96">
        <v>1.1758395150023127</v>
      </c>
      <c r="S35" s="96">
        <v>1.2886596805926593</v>
      </c>
      <c r="T35" s="96">
        <v>1.3215357295344867</v>
      </c>
      <c r="U35" s="96">
        <v>1.4426160229521554</v>
      </c>
      <c r="V35" s="96">
        <v>1.8208991109351311</v>
      </c>
      <c r="W35" s="96">
        <v>2.107683347411172</v>
      </c>
      <c r="X35" s="96">
        <v>2.6132005725911385</v>
      </c>
      <c r="Y35" s="96">
        <v>3.7816303949019701</v>
      </c>
      <c r="DA35" s="171" t="s">
        <v>762</v>
      </c>
    </row>
    <row r="36" spans="1:105" ht="11.45" customHeight="1" x14ac:dyDescent="0.25">
      <c r="A36" s="111" t="s">
        <v>111</v>
      </c>
      <c r="B36" s="96">
        <v>1275.999294900721</v>
      </c>
      <c r="C36" s="96">
        <v>1317.3940304250532</v>
      </c>
      <c r="D36" s="96">
        <v>1387.4355016069485</v>
      </c>
      <c r="E36" s="96">
        <v>1467.9596566025155</v>
      </c>
      <c r="F36" s="96">
        <v>1570.8661360267822</v>
      </c>
      <c r="G36" s="96">
        <v>1665.7845298887287</v>
      </c>
      <c r="H36" s="96">
        <v>1791.3542864259364</v>
      </c>
      <c r="I36" s="96">
        <v>1892.1974257907432</v>
      </c>
      <c r="J36" s="96">
        <v>1832.4652385372028</v>
      </c>
      <c r="K36" s="96">
        <v>1728.4917741594152</v>
      </c>
      <c r="L36" s="96">
        <v>1601.5012871154584</v>
      </c>
      <c r="M36" s="96">
        <v>1544.6954662688988</v>
      </c>
      <c r="N36" s="96">
        <v>1463.0395394649502</v>
      </c>
      <c r="O36" s="96">
        <v>1484.2328240247034</v>
      </c>
      <c r="P36" s="96">
        <v>1445.3444379189698</v>
      </c>
      <c r="Q36" s="96">
        <v>1398.8301673863823</v>
      </c>
      <c r="R36" s="96">
        <v>1360.7446631342846</v>
      </c>
      <c r="S36" s="96">
        <v>1306.6661706528857</v>
      </c>
      <c r="T36" s="96">
        <v>1313.0243480704041</v>
      </c>
      <c r="U36" s="96">
        <v>1257.4105395267682</v>
      </c>
      <c r="V36" s="96">
        <v>1216.5412809322215</v>
      </c>
      <c r="W36" s="96">
        <v>1268.015712716068</v>
      </c>
      <c r="X36" s="96">
        <v>1355.5885755547247</v>
      </c>
      <c r="Y36" s="96">
        <v>1393.6731842302167</v>
      </c>
      <c r="DA36" s="171" t="s">
        <v>763</v>
      </c>
    </row>
    <row r="37" spans="1:105" ht="11.45" customHeight="1" x14ac:dyDescent="0.25">
      <c r="A37" s="111" t="s">
        <v>112</v>
      </c>
      <c r="B37" s="96">
        <v>0</v>
      </c>
      <c r="C37" s="96">
        <v>0</v>
      </c>
      <c r="D37" s="96">
        <v>0</v>
      </c>
      <c r="E37" s="96">
        <v>0</v>
      </c>
      <c r="F37" s="96">
        <v>0</v>
      </c>
      <c r="G37" s="96">
        <v>0</v>
      </c>
      <c r="H37" s="96">
        <v>0</v>
      </c>
      <c r="I37" s="96">
        <v>0</v>
      </c>
      <c r="J37" s="96">
        <v>0</v>
      </c>
      <c r="K37" s="96">
        <v>0</v>
      </c>
      <c r="L37" s="96">
        <v>0</v>
      </c>
      <c r="M37" s="96">
        <v>0</v>
      </c>
      <c r="N37" s="96">
        <v>0</v>
      </c>
      <c r="O37" s="96">
        <v>6.4784720625839691E-3</v>
      </c>
      <c r="P37" s="96">
        <v>1.2988464036801598E-2</v>
      </c>
      <c r="Q37" s="96">
        <v>1.283180923985257E-2</v>
      </c>
      <c r="R37" s="96">
        <v>1.270007210934497E-2</v>
      </c>
      <c r="S37" s="96">
        <v>1.5017034858027807E-2</v>
      </c>
      <c r="T37" s="96">
        <v>1.5174847884619341E-2</v>
      </c>
      <c r="U37" s="96">
        <v>1.5016378256989839E-2</v>
      </c>
      <c r="V37" s="96">
        <v>1.1785082165774962E-2</v>
      </c>
      <c r="W37" s="96">
        <v>1.1912000757807819E-2</v>
      </c>
      <c r="X37" s="96">
        <v>1.2047379335558571E-2</v>
      </c>
      <c r="Y37" s="96">
        <v>1.2202302025808921E-2</v>
      </c>
      <c r="DA37" s="171" t="s">
        <v>764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96">
        <v>0</v>
      </c>
      <c r="N38" s="96">
        <v>0</v>
      </c>
      <c r="O38" s="96">
        <v>0</v>
      </c>
      <c r="P38" s="96">
        <v>0</v>
      </c>
      <c r="Q38" s="96">
        <v>0</v>
      </c>
      <c r="R38" s="96">
        <v>1.1493167005386362E-2</v>
      </c>
      <c r="S38" s="96">
        <v>1.1145352773911458E-2</v>
      </c>
      <c r="T38" s="96">
        <v>1.1037228977173864E-2</v>
      </c>
      <c r="U38" s="96">
        <v>1.2670340378955246E-2</v>
      </c>
      <c r="V38" s="96">
        <v>3.0126275982081823E-2</v>
      </c>
      <c r="W38" s="96">
        <v>6.4267903403936205E-2</v>
      </c>
      <c r="X38" s="96">
        <v>3.6996962243214429E-2</v>
      </c>
      <c r="Y38" s="96">
        <v>3.8647260873670097E-2</v>
      </c>
      <c r="DA38" s="171" t="s">
        <v>765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X39" s="96">
        <v>0</v>
      </c>
      <c r="Y39" s="96">
        <v>0</v>
      </c>
      <c r="DA39" s="171" t="s">
        <v>766</v>
      </c>
    </row>
    <row r="40" spans="1:105" ht="11.45" customHeight="1" x14ac:dyDescent="0.25">
      <c r="A40" s="109" t="s">
        <v>154</v>
      </c>
      <c r="B40" s="130">
        <f t="shared" ref="B40:K40" si="36">SUM(B41:B42)</f>
        <v>2701.945969376548</v>
      </c>
      <c r="C40" s="130">
        <f t="shared" si="36"/>
        <v>2887.9518513842931</v>
      </c>
      <c r="D40" s="130">
        <f t="shared" si="36"/>
        <v>2984.8157231806076</v>
      </c>
      <c r="E40" s="130">
        <f t="shared" si="36"/>
        <v>3044.0883273396876</v>
      </c>
      <c r="F40" s="130">
        <f t="shared" si="36"/>
        <v>3342.2753882695456</v>
      </c>
      <c r="G40" s="130">
        <f t="shared" si="36"/>
        <v>3461.4533697498937</v>
      </c>
      <c r="H40" s="130">
        <f t="shared" si="36"/>
        <v>3575.1084252078331</v>
      </c>
      <c r="I40" s="130">
        <f t="shared" si="36"/>
        <v>3860.4040348710264</v>
      </c>
      <c r="J40" s="130">
        <f t="shared" si="36"/>
        <v>3208.8490977719284</v>
      </c>
      <c r="K40" s="130">
        <f t="shared" si="36"/>
        <v>2284.7316969628428</v>
      </c>
      <c r="L40" s="130">
        <f t="shared" ref="L40" si="37">SUM(L41:L42)</f>
        <v>1965.3418858861919</v>
      </c>
      <c r="M40" s="130">
        <f t="shared" ref="M40:V40" si="38">SUM(M41:M42)</f>
        <v>1782.6867615287565</v>
      </c>
      <c r="N40" s="130">
        <f t="shared" si="38"/>
        <v>1764.7689174826899</v>
      </c>
      <c r="O40" s="130">
        <f t="shared" si="38"/>
        <v>1756.4007173917087</v>
      </c>
      <c r="P40" s="130">
        <f t="shared" si="38"/>
        <v>1887.1192059012683</v>
      </c>
      <c r="Q40" s="130">
        <f t="shared" si="38"/>
        <v>1914.7798687640116</v>
      </c>
      <c r="R40" s="130">
        <f t="shared" si="38"/>
        <v>2134.789105595848</v>
      </c>
      <c r="S40" s="130">
        <f t="shared" si="38"/>
        <v>2057.4620993560711</v>
      </c>
      <c r="T40" s="130">
        <f t="shared" si="38"/>
        <v>2161.6954179159075</v>
      </c>
      <c r="U40" s="130">
        <f t="shared" si="38"/>
        <v>2275.9665452004315</v>
      </c>
      <c r="V40" s="130">
        <f t="shared" si="38"/>
        <v>1850.2022169878865</v>
      </c>
      <c r="W40" s="130">
        <f t="shared" ref="W40:Y40" si="39">SUM(W41:W42)</f>
        <v>2108.7586581293376</v>
      </c>
      <c r="X40" s="130">
        <f t="shared" si="39"/>
        <v>2186.6814465071907</v>
      </c>
      <c r="Y40" s="130">
        <f t="shared" si="39"/>
        <v>2206.3053729208527</v>
      </c>
      <c r="DA40" s="176" t="s">
        <v>413</v>
      </c>
    </row>
    <row r="41" spans="1:105" ht="11.45" customHeight="1" x14ac:dyDescent="0.25">
      <c r="A41" s="128" t="s">
        <v>27</v>
      </c>
      <c r="B41" s="97">
        <v>2529.6492294704817</v>
      </c>
      <c r="C41" s="97">
        <v>2695.3885691806472</v>
      </c>
      <c r="D41" s="97">
        <v>2802.2996725860385</v>
      </c>
      <c r="E41" s="97">
        <v>2864.1832937557965</v>
      </c>
      <c r="F41" s="97">
        <v>3132.7800385792884</v>
      </c>
      <c r="G41" s="97">
        <v>3255.8035821269559</v>
      </c>
      <c r="H41" s="97">
        <v>3356.2175854525635</v>
      </c>
      <c r="I41" s="97">
        <v>3618.0271886802934</v>
      </c>
      <c r="J41" s="97">
        <v>3016.1376414779747</v>
      </c>
      <c r="K41" s="97">
        <v>2118.0208808763632</v>
      </c>
      <c r="L41" s="97">
        <v>1814.9926686892497</v>
      </c>
      <c r="M41" s="97">
        <v>1628.1952359873185</v>
      </c>
      <c r="N41" s="97">
        <v>1624.1975375898583</v>
      </c>
      <c r="O41" s="97">
        <v>1620.698895068025</v>
      </c>
      <c r="P41" s="97">
        <v>1746.3045172914788</v>
      </c>
      <c r="Q41" s="97">
        <v>1755.5556149434406</v>
      </c>
      <c r="R41" s="97">
        <v>1990.952599205247</v>
      </c>
      <c r="S41" s="97">
        <v>1923.6068853924373</v>
      </c>
      <c r="T41" s="97">
        <v>2010.5615426697345</v>
      </c>
      <c r="U41" s="97">
        <v>2105.7324938351194</v>
      </c>
      <c r="V41" s="97">
        <v>1789.0424881037986</v>
      </c>
      <c r="W41" s="97">
        <v>2043.6910943787332</v>
      </c>
      <c r="X41" s="97">
        <v>2124.1399909587976</v>
      </c>
      <c r="Y41" s="97">
        <v>2139.51947008241</v>
      </c>
      <c r="DA41" s="175" t="s">
        <v>767</v>
      </c>
    </row>
    <row r="42" spans="1:105" ht="11.45" customHeight="1" x14ac:dyDescent="0.25">
      <c r="A42" s="138" t="s">
        <v>116</v>
      </c>
      <c r="B42" s="98">
        <v>172.29673990606605</v>
      </c>
      <c r="C42" s="98">
        <v>192.56328220364608</v>
      </c>
      <c r="D42" s="98">
        <v>182.51605059456904</v>
      </c>
      <c r="E42" s="98">
        <v>179.90503358389125</v>
      </c>
      <c r="F42" s="98">
        <v>209.49534969025723</v>
      </c>
      <c r="G42" s="98">
        <v>205.64978762293757</v>
      </c>
      <c r="H42" s="98">
        <v>218.89083975526935</v>
      </c>
      <c r="I42" s="98">
        <v>242.37684619073281</v>
      </c>
      <c r="J42" s="98">
        <v>192.71145629395372</v>
      </c>
      <c r="K42" s="98">
        <v>166.71081608647953</v>
      </c>
      <c r="L42" s="98">
        <v>150.34921719694213</v>
      </c>
      <c r="M42" s="98">
        <v>154.49152554143814</v>
      </c>
      <c r="N42" s="98">
        <v>140.57137989283163</v>
      </c>
      <c r="O42" s="98">
        <v>135.70182232368379</v>
      </c>
      <c r="P42" s="98">
        <v>140.81468860978953</v>
      </c>
      <c r="Q42" s="98">
        <v>159.22425382057102</v>
      </c>
      <c r="R42" s="98">
        <v>143.83650639060096</v>
      </c>
      <c r="S42" s="98">
        <v>133.8552139636339</v>
      </c>
      <c r="T42" s="98">
        <v>151.13387524617292</v>
      </c>
      <c r="U42" s="98">
        <v>170.23405136531193</v>
      </c>
      <c r="V42" s="98">
        <v>61.159728884087905</v>
      </c>
      <c r="W42" s="98">
        <v>65.067563750604606</v>
      </c>
      <c r="X42" s="98">
        <v>62.541455548392968</v>
      </c>
      <c r="Y42" s="98">
        <v>66.785902838442723</v>
      </c>
      <c r="DA42" s="178" t="s">
        <v>768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DA46" s="172"/>
    </row>
    <row r="47" spans="1:105" ht="11.45" customHeight="1" x14ac:dyDescent="0.25">
      <c r="A47" s="133" t="s">
        <v>45</v>
      </c>
      <c r="B47" s="145">
        <f>IF(B4=0,0,B4/TrRoad_ene!B4)</f>
        <v>3.0076884187811528</v>
      </c>
      <c r="C47" s="145">
        <f>IF(C4=0,0,C4/TrRoad_ene!C4)</f>
        <v>3.0083621396060205</v>
      </c>
      <c r="D47" s="145">
        <f>IF(D4=0,0,D4/TrRoad_ene!D4)</f>
        <v>3.0081715628549661</v>
      </c>
      <c r="E47" s="145">
        <f>IF(E4=0,0,E4/TrRoad_ene!E4)</f>
        <v>3.0098211805542019</v>
      </c>
      <c r="F47" s="145">
        <f>IF(F4=0,0,F4/TrRoad_ene!F4)</f>
        <v>3.0125961804355312</v>
      </c>
      <c r="G47" s="145">
        <f>IF(G4=0,0,G4/TrRoad_ene!G4)</f>
        <v>3.0124799693036182</v>
      </c>
      <c r="H47" s="145">
        <f>IF(H4=0,0,H4/TrRoad_ene!H4)</f>
        <v>3.0108022655704159</v>
      </c>
      <c r="I47" s="145">
        <f>IF(I4=0,0,I4/TrRoad_ene!I4)</f>
        <v>3.0033759851327426</v>
      </c>
      <c r="J47" s="145">
        <f>IF(J4=0,0,J4/TrRoad_ene!J4)</f>
        <v>2.9793421785249645</v>
      </c>
      <c r="K47" s="145">
        <f>IF(K4=0,0,K4/TrRoad_ene!K4)</f>
        <v>2.9594822389892315</v>
      </c>
      <c r="L47" s="145">
        <f>IF(L4=0,0,L4/TrRoad_ene!L4)</f>
        <v>2.9439377436190735</v>
      </c>
      <c r="M47" s="145">
        <f>IF(M4=0,0,M4/TrRoad_ene!M4)</f>
        <v>2.9461047524977819</v>
      </c>
      <c r="N47" s="145">
        <f>IF(N4=0,0,N4/TrRoad_ene!N4)</f>
        <v>2.9530055915978113</v>
      </c>
      <c r="O47" s="145">
        <f>IF(O4=0,0,O4/TrRoad_ene!O4)</f>
        <v>2.9467224131346264</v>
      </c>
      <c r="P47" s="145">
        <f>IF(P4=0,0,P4/TrRoad_ene!P4)</f>
        <v>2.9421882308963054</v>
      </c>
      <c r="Q47" s="145">
        <f>IF(Q4=0,0,Q4/TrRoad_ene!Q4)</f>
        <v>2.9465204419095694</v>
      </c>
      <c r="R47" s="145">
        <f>IF(R4=0,0,R4/TrRoad_ene!R4)</f>
        <v>2.962235903320054</v>
      </c>
      <c r="S47" s="145">
        <f>IF(S4=0,0,S4/TrRoad_ene!S4)</f>
        <v>2.9275030557622479</v>
      </c>
      <c r="T47" s="145">
        <f>IF(T4=0,0,T4/TrRoad_ene!T4)</f>
        <v>2.9375108604246893</v>
      </c>
      <c r="U47" s="145">
        <f>IF(U4=0,0,U4/TrRoad_ene!U4)</f>
        <v>2.9125687106358704</v>
      </c>
      <c r="V47" s="145">
        <f>IF(V4=0,0,V4/TrRoad_ene!V4)</f>
        <v>2.8991206328016661</v>
      </c>
      <c r="W47" s="145">
        <f>IF(W4=0,0,W4/TrRoad_ene!W4)</f>
        <v>2.9007950771687581</v>
      </c>
      <c r="X47" s="145">
        <f>IF(X4=0,0,X4/TrRoad_ene!X4)</f>
        <v>2.8681280045317461</v>
      </c>
      <c r="Y47" s="145">
        <f>IF(Y4=0,0,Y4/TrRoad_ene!Y4)</f>
        <v>2.8069090018234295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2.9014524000000002</v>
      </c>
      <c r="D48" s="97">
        <f>IF(D7=0,0,(D7+D12)/(TrRoad_ene!D7+TrRoad_ene!D12))</f>
        <v>2.9014524000000006</v>
      </c>
      <c r="E48" s="97">
        <f>IF(E7=0,0,(E7+E12)/(TrRoad_ene!E7+TrRoad_ene!E12))</f>
        <v>2.9014523999999997</v>
      </c>
      <c r="F48" s="97">
        <f>IF(F7=0,0,(F7+F12)/(TrRoad_ene!F7+TrRoad_ene!F12))</f>
        <v>2.9014524000000002</v>
      </c>
      <c r="G48" s="97">
        <f>IF(G7=0,0,(G7+G12)/(TrRoad_ene!G7+TrRoad_ene!G12))</f>
        <v>2.9014382899282993</v>
      </c>
      <c r="H48" s="97">
        <f>IF(H7=0,0,(H7+H12)/(TrRoad_ene!H7+TrRoad_ene!H12))</f>
        <v>2.9005135525125043</v>
      </c>
      <c r="I48" s="97">
        <f>IF(I7=0,0,(I7+I12)/(TrRoad_ene!I7+TrRoad_ene!I12))</f>
        <v>2.8962034578489964</v>
      </c>
      <c r="J48" s="97">
        <f>IF(J7=0,0,(J7+J12)/(TrRoad_ene!J7+TrRoad_ene!J12))</f>
        <v>2.8727703764405432</v>
      </c>
      <c r="K48" s="97">
        <f>IF(K7=0,0,(K7+K12)/(TrRoad_ene!K7+TrRoad_ene!K12))</f>
        <v>2.8618044074607401</v>
      </c>
      <c r="L48" s="97">
        <f>IF(L7=0,0,(L7+L12)/(TrRoad_ene!L7+TrRoad_ene!L12))</f>
        <v>2.8451836863012443</v>
      </c>
      <c r="M48" s="97">
        <f>IF(M7=0,0,(M7+M12)/(TrRoad_ene!M7+TrRoad_ene!M12))</f>
        <v>2.8517602416893642</v>
      </c>
      <c r="N48" s="97">
        <f>IF(N7=0,0,(N7+N12)/(TrRoad_ene!N7+TrRoad_ene!N12))</f>
        <v>2.8379507544234284</v>
      </c>
      <c r="O48" s="97">
        <f>IF(O7=0,0,(O7+O12)/(TrRoad_ene!O7+TrRoad_ene!O12))</f>
        <v>2.8351177061309367</v>
      </c>
      <c r="P48" s="97">
        <f>IF(P7=0,0,(P7+P12)/(TrRoad_ene!P7+TrRoad_ene!P12))</f>
        <v>2.8415683692483085</v>
      </c>
      <c r="Q48" s="97">
        <f>IF(Q7=0,0,(Q7+Q12)/(TrRoad_ene!Q7+TrRoad_ene!Q12))</f>
        <v>2.8342526805208421</v>
      </c>
      <c r="R48" s="97">
        <f>IF(R7=0,0,(R7+R12)/(TrRoad_ene!R7+TrRoad_ene!R12))</f>
        <v>2.8259737668175036</v>
      </c>
      <c r="S48" s="97">
        <f>IF(S7=0,0,(S7+S12)/(TrRoad_ene!S7+TrRoad_ene!S12))</f>
        <v>2.8093865017103083</v>
      </c>
      <c r="T48" s="97">
        <f>IF(T7=0,0,(T7+T12)/(TrRoad_ene!T7+TrRoad_ene!T12))</f>
        <v>2.8084378521248445</v>
      </c>
      <c r="U48" s="97">
        <f>IF(U7=0,0,(U7+U12)/(TrRoad_ene!U7+TrRoad_ene!U12))</f>
        <v>2.8072011036680333</v>
      </c>
      <c r="V48" s="97">
        <f>IF(V7=0,0,(V7+V12)/(TrRoad_ene!V7+TrRoad_ene!V12))</f>
        <v>2.8069956570484247</v>
      </c>
      <c r="W48" s="97">
        <f>IF(W7=0,0,(W7+W12)/(TrRoad_ene!W7+TrRoad_ene!W12))</f>
        <v>2.8081749599550592</v>
      </c>
      <c r="X48" s="97">
        <f>IF(X7=0,0,(X7+X12)/(TrRoad_ene!X7+TrRoad_ene!X12))</f>
        <v>2.8076802294632146</v>
      </c>
      <c r="Y48" s="97">
        <f>IF(Y7=0,0,(Y7+Y12)/(TrRoad_ene!Y7+TrRoad_ene!Y12))</f>
        <v>2.778826754012075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3.1024188000000001</v>
      </c>
      <c r="C49" s="97">
        <f>IF(C8=0,0,(C8+C13+C14)/(TrRoad_ene!C8+TrRoad_ene!C13+TrRoad_ene!C14))</f>
        <v>3.1024188000000001</v>
      </c>
      <c r="D49" s="97">
        <f>IF(D8=0,0,(D8+D13+D14)/(TrRoad_ene!D8+TrRoad_ene!D13+TrRoad_ene!D14))</f>
        <v>3.1024188000000001</v>
      </c>
      <c r="E49" s="97">
        <f>IF(E8=0,0,(E8+E13+E14)/(TrRoad_ene!E8+TrRoad_ene!E13+TrRoad_ene!E14))</f>
        <v>3.1024188000000001</v>
      </c>
      <c r="F49" s="97">
        <f>IF(F8=0,0,(F8+F13+F14)/(TrRoad_ene!F8+TrRoad_ene!F13+TrRoad_ene!F14))</f>
        <v>3.1024188000000001</v>
      </c>
      <c r="G49" s="97">
        <f>IF(G8=0,0,(G8+G13+G14)/(TrRoad_ene!G8+TrRoad_ene!G13+TrRoad_ene!G14))</f>
        <v>3.1009570051914115</v>
      </c>
      <c r="H49" s="97">
        <f>IF(H8=0,0,(H8+H13+H14)/(TrRoad_ene!H8+TrRoad_ene!H13+TrRoad_ene!H14))</f>
        <v>3.0998721793271162</v>
      </c>
      <c r="I49" s="97">
        <f>IF(I8=0,0,(I8+I13+I14)/(TrRoad_ene!I8+TrRoad_ene!I13+TrRoad_ene!I14))</f>
        <v>3.0814391840344184</v>
      </c>
      <c r="J49" s="97">
        <f>IF(J8=0,0,(J8+J13+J14)/(TrRoad_ene!J8+TrRoad_ene!J13+TrRoad_ene!J14))</f>
        <v>3.056347973400674</v>
      </c>
      <c r="K49" s="97">
        <f>IF(K8=0,0,(K8+K13+K14)/(TrRoad_ene!K8+TrRoad_ene!K13+TrRoad_ene!K14))</f>
        <v>3.0296061588892544</v>
      </c>
      <c r="L49" s="97">
        <f>IF(L8=0,0,(L8+L13+L14)/(TrRoad_ene!L8+TrRoad_ene!L13+TrRoad_ene!L14))</f>
        <v>3.0140440296973261</v>
      </c>
      <c r="M49" s="97">
        <f>IF(M8=0,0,(M8+M13+M14)/(TrRoad_ene!M8+TrRoad_ene!M13+TrRoad_ene!M14))</f>
        <v>3.0057695036363574</v>
      </c>
      <c r="N49" s="97">
        <f>IF(N8=0,0,(N8+N13+N14)/(TrRoad_ene!N8+TrRoad_ene!N13+TrRoad_ene!N14))</f>
        <v>3.02240286718086</v>
      </c>
      <c r="O49" s="97">
        <f>IF(O8=0,0,(O8+O13+O14)/(TrRoad_ene!O8+TrRoad_ene!O13+TrRoad_ene!O14))</f>
        <v>3.0047612060297682</v>
      </c>
      <c r="P49" s="97">
        <f>IF(P8=0,0,(P8+P13+P14)/(TrRoad_ene!P8+TrRoad_ene!P13+TrRoad_ene!P14))</f>
        <v>2.991074818774961</v>
      </c>
      <c r="Q49" s="97">
        <f>IF(Q8=0,0,(Q8+Q13+Q14)/(TrRoad_ene!Q8+TrRoad_ene!Q13+TrRoad_ene!Q14))</f>
        <v>2.9901876584463167</v>
      </c>
      <c r="R49" s="97">
        <f>IF(R8=0,0,(R8+R13+R14)/(TrRoad_ene!R8+TrRoad_ene!R13+TrRoad_ene!R14))</f>
        <v>3.0111247188812502</v>
      </c>
      <c r="S49" s="97">
        <f>IF(S8=0,0,(S8+S13+S14)/(TrRoad_ene!S8+TrRoad_ene!S13+TrRoad_ene!S14))</f>
        <v>2.9655883314893923</v>
      </c>
      <c r="T49" s="97">
        <f>IF(T8=0,0,(T8+T13+T14)/(TrRoad_ene!T8+TrRoad_ene!T13+TrRoad_ene!T14))</f>
        <v>2.9745933114133392</v>
      </c>
      <c r="U49" s="97">
        <f>IF(U8=0,0,(U8+U13+U14)/(TrRoad_ene!U8+TrRoad_ene!U13+TrRoad_ene!U14))</f>
        <v>2.9423630297401147</v>
      </c>
      <c r="V49" s="97">
        <f>IF(V8=0,0,(V8+V13+V14)/(TrRoad_ene!V8+TrRoad_ene!V13+TrRoad_ene!V14))</f>
        <v>2.9240635929658283</v>
      </c>
      <c r="W49" s="97">
        <f>IF(W8=0,0,(W8+W13+W14)/(TrRoad_ene!W8+TrRoad_ene!W13+TrRoad_ene!W14))</f>
        <v>2.9309505282711954</v>
      </c>
      <c r="X49" s="97">
        <f>IF(X8=0,0,(X8+X13+X14)/(TrRoad_ene!X8+TrRoad_ene!X13+TrRoad_ene!X14))</f>
        <v>2.8983299813261869</v>
      </c>
      <c r="Y49" s="97">
        <f>IF(Y8=0,0,(Y8+Y13+Y14)/(TrRoad_ene!Y8+TrRoad_ene!Y13+TrRoad_ene!Y14))</f>
        <v>2.837724184996461</v>
      </c>
      <c r="DA49" s="175"/>
    </row>
    <row r="50" spans="1:105" ht="11.45" customHeight="1" x14ac:dyDescent="0.25">
      <c r="A50" s="92" t="s">
        <v>127</v>
      </c>
      <c r="B50" s="97">
        <f>IF(B6=0,0,B6/TrRoad_ene!B6)</f>
        <v>2.6418708000000004</v>
      </c>
      <c r="C50" s="97">
        <f>IF(C6=0,0,C6/TrRoad_ene!C6)</f>
        <v>2.6418708000000004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2.6418708000000004</v>
      </c>
      <c r="G50" s="97">
        <f>IF(G6=0,0,G6/TrRoad_ene!G6)</f>
        <v>2.6418708000000004</v>
      </c>
      <c r="H50" s="97">
        <f>IF(H6=0,0,H6/TrRoad_ene!H6)</f>
        <v>2.6418708000000009</v>
      </c>
      <c r="I50" s="97">
        <f>IF(I6=0,0,I6/TrRoad_ene!I6)</f>
        <v>2.6418708000000004</v>
      </c>
      <c r="J50" s="97">
        <f>IF(J6=0,0,J6/TrRoad_ene!J6)</f>
        <v>2.6418708000000009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2.6418708000000004</v>
      </c>
      <c r="P50" s="97">
        <f>IF(P6=0,0,P6/TrRoad_ene!P6)</f>
        <v>2.6418708000000004</v>
      </c>
      <c r="Q50" s="97">
        <f>IF(Q6=0,0,Q6/TrRoad_ene!Q6)</f>
        <v>2.6418708000000004</v>
      </c>
      <c r="R50" s="97">
        <f>IF(R6=0,0,R6/TrRoad_ene!R6)</f>
        <v>2.6418708000000004</v>
      </c>
      <c r="S50" s="97">
        <f>IF(S6=0,0,S6/TrRoad_ene!S6)</f>
        <v>2.6418708000000004</v>
      </c>
      <c r="T50" s="97">
        <f>IF(T6=0,0,T6/TrRoad_ene!T6)</f>
        <v>2.6418708000000009</v>
      </c>
      <c r="U50" s="97">
        <f>IF(U6=0,0,U6/TrRoad_ene!U6)</f>
        <v>2.6418708000000004</v>
      </c>
      <c r="V50" s="97">
        <f>IF(V6=0,0,V6/TrRoad_ene!V6)</f>
        <v>2.6418708000000004</v>
      </c>
      <c r="W50" s="97">
        <f>IF(W6=0,0,W6/TrRoad_ene!W6)</f>
        <v>2.6418708000000004</v>
      </c>
      <c r="X50" s="97">
        <f>IF(X6=0,0,X6/TrRoad_ene!X6)</f>
        <v>2.6418708000000004</v>
      </c>
      <c r="Y50" s="97">
        <f>IF(Y6=0,0,Y6/TrRoad_ene!Y6)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0</v>
      </c>
      <c r="C51" s="97">
        <f>IF(C9=0,0,(C9+C11)/(TrRoad_ene!C9+TrRoad_ene!C11))</f>
        <v>0</v>
      </c>
      <c r="D51" s="97">
        <f>IF(D9=0,0,(D9+D11)/(TrRoad_ene!D9+TrRoad_ene!D11))</f>
        <v>0</v>
      </c>
      <c r="E51" s="97">
        <f>IF(E9=0,0,(E9+E11)/(TrRoad_ene!E9+TrRoad_ene!E11))</f>
        <v>0</v>
      </c>
      <c r="F51" s="97">
        <f>IF(F9=0,0,(F9+F11)/(TrRoad_ene!F9+TrRoad_ene!F11))</f>
        <v>0</v>
      </c>
      <c r="G51" s="97">
        <f>IF(G9=0,0,(G9+G11)/(TrRoad_ene!G9+TrRoad_ene!G11))</f>
        <v>0</v>
      </c>
      <c r="H51" s="97">
        <f>IF(H9=0,0,(H9+H11)/(TrRoad_ene!H9+TrRoad_ene!H11))</f>
        <v>0</v>
      </c>
      <c r="I51" s="97">
        <f>IF(I9=0,0,(I9+I11)/(TrRoad_ene!I9+TrRoad_ene!I11))</f>
        <v>0</v>
      </c>
      <c r="J51" s="97">
        <f>IF(J9=0,0,(J9+J11)/(TrRoad_ene!J9+TrRoad_ene!J11))</f>
        <v>0</v>
      </c>
      <c r="K51" s="97">
        <f>IF(K9=0,0,(K9+K11)/(TrRoad_ene!K9+TrRoad_ene!K11))</f>
        <v>0</v>
      </c>
      <c r="L51" s="97">
        <f>IF(L9=0,0,(L9+L11)/(TrRoad_ene!L9+TrRoad_ene!L11))</f>
        <v>0</v>
      </c>
      <c r="M51" s="97">
        <f>IF(M9=0,0,(M9+M11)/(TrRoad_ene!M9+TrRoad_ene!M11))</f>
        <v>0</v>
      </c>
      <c r="N51" s="97">
        <f>IF(N9=0,0,(N9+N11)/(TrRoad_ene!N9+TrRoad_ene!N11))</f>
        <v>0</v>
      </c>
      <c r="O51" s="97">
        <f>IF(O9=0,0,(O9+O11)/(TrRoad_ene!O9+TrRoad_ene!O11))</f>
        <v>0</v>
      </c>
      <c r="P51" s="97">
        <f>IF(P9=0,0,(P9+P11)/(TrRoad_ene!P9+TrRoad_ene!P11))</f>
        <v>2.3487948000000003</v>
      </c>
      <c r="Q51" s="97">
        <f>IF(Q9=0,0,(Q9+Q11)/(TrRoad_ene!Q9+TrRoad_ene!Q11))</f>
        <v>2.3487948000000003</v>
      </c>
      <c r="R51" s="97">
        <f>IF(R9=0,0,(R9+R11)/(TrRoad_ene!R9+TrRoad_ene!R11))</f>
        <v>2.3487948000000003</v>
      </c>
      <c r="S51" s="97">
        <f>IF(S9=0,0,(S9+S11)/(TrRoad_ene!S9+TrRoad_ene!S11))</f>
        <v>2.3487947999999998</v>
      </c>
      <c r="T51" s="97">
        <f>IF(T9=0,0,(T9+T11)/(TrRoad_ene!T9+TrRoad_ene!T11))</f>
        <v>2.3487948000000003</v>
      </c>
      <c r="U51" s="97">
        <f>IF(U9=0,0,(U9+U11)/(TrRoad_ene!U9+TrRoad_ene!U11))</f>
        <v>2.3487948000000003</v>
      </c>
      <c r="V51" s="97">
        <f>IF(V9=0,0,(V9+V11)/(TrRoad_ene!V9+TrRoad_ene!V11))</f>
        <v>2.3487545608438136</v>
      </c>
      <c r="W51" s="97">
        <f>IF(W9=0,0,(W9+W11)/(TrRoad_ene!W9+TrRoad_ene!W11))</f>
        <v>2.3485855880866384</v>
      </c>
      <c r="X51" s="97">
        <f>IF(X9=0,0,(X9+X11)/(TrRoad_ene!X9+TrRoad_ene!X11))</f>
        <v>2.3471296117583544</v>
      </c>
      <c r="Y51" s="97">
        <f>IF(Y9=0,0,(Y9+Y11)/(TrRoad_ene!Y9+TrRoad_ene!Y11))</f>
        <v>2.3461636168011908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X52" s="98">
        <f>IF(X15=0,0,X15/TrRoad_ene!X15)</f>
        <v>0</v>
      </c>
      <c r="Y52" s="98">
        <f>IF(Y15=0,0,Y15/TrRoad_ene!Y15)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363.62656408853718</v>
      </c>
      <c r="C54" s="62">
        <f>IF(TrRoad_act!C30=0,0,C17/TrRoad_act!C30*1000
)</f>
        <v>356.52558251148838</v>
      </c>
      <c r="D54" s="62">
        <f>IF(TrRoad_act!D30=0,0,D17/TrRoad_act!D30*1000
)</f>
        <v>346.60252003913956</v>
      </c>
      <c r="E54" s="62">
        <f>IF(TrRoad_act!E30=0,0,E17/TrRoad_act!E30*1000
)</f>
        <v>337.22961968395236</v>
      </c>
      <c r="F54" s="62">
        <f>IF(TrRoad_act!F30=0,0,F17/TrRoad_act!F30*1000
)</f>
        <v>344.12257532792108</v>
      </c>
      <c r="G54" s="62">
        <f>IF(TrRoad_act!G30=0,0,G17/TrRoad_act!G30*1000
)</f>
        <v>345.33489218633764</v>
      </c>
      <c r="H54" s="62">
        <f>IF(TrRoad_act!H30=0,0,H17/TrRoad_act!H30*1000
)</f>
        <v>341.66336705403637</v>
      </c>
      <c r="I54" s="62">
        <f>IF(TrRoad_act!I30=0,0,I17/TrRoad_act!I30*1000
)</f>
        <v>344.00755491641144</v>
      </c>
      <c r="J54" s="62">
        <f>IF(TrRoad_act!J30=0,0,J17/TrRoad_act!J30*1000
)</f>
        <v>313.11091123063954</v>
      </c>
      <c r="K54" s="62">
        <f>IF(TrRoad_act!K30=0,0,K17/TrRoad_act!K30*1000
)</f>
        <v>295.54779469355867</v>
      </c>
      <c r="L54" s="62">
        <f>IF(TrRoad_act!L30=0,0,L17/TrRoad_act!L30*1000
)</f>
        <v>280.18688246051204</v>
      </c>
      <c r="M54" s="62">
        <f>IF(TrRoad_act!M30=0,0,M17/TrRoad_act!M30*1000
)</f>
        <v>273.40858951381279</v>
      </c>
      <c r="N54" s="62">
        <f>IF(TrRoad_act!N30=0,0,N17/TrRoad_act!N30*1000
)</f>
        <v>277.42573150844441</v>
      </c>
      <c r="O54" s="62">
        <f>IF(TrRoad_act!O30=0,0,O17/TrRoad_act!O30*1000
)</f>
        <v>273.39505253093148</v>
      </c>
      <c r="P54" s="62">
        <f>IF(TrRoad_act!P30=0,0,P17/TrRoad_act!P30*1000
)</f>
        <v>286.2117401168162</v>
      </c>
      <c r="Q54" s="62">
        <f>IF(TrRoad_act!Q30=0,0,Q17/TrRoad_act!Q30*1000
)</f>
        <v>276.7808956924502</v>
      </c>
      <c r="R54" s="62">
        <f>IF(TrRoad_act!R30=0,0,R17/TrRoad_act!R30*1000
)</f>
        <v>281.14322809886147</v>
      </c>
      <c r="S54" s="62">
        <f>IF(TrRoad_act!S30=0,0,S17/TrRoad_act!S30*1000
)</f>
        <v>267.71802665792012</v>
      </c>
      <c r="T54" s="62">
        <f>IF(TrRoad_act!T30=0,0,T17/TrRoad_act!T30*1000
)</f>
        <v>271.84254271717771</v>
      </c>
      <c r="U54" s="62">
        <f>IF(TrRoad_act!U30=0,0,U17/TrRoad_act!U30*1000
)</f>
        <v>268.35855251368525</v>
      </c>
      <c r="V54" s="62">
        <f>IF(TrRoad_act!V30=0,0,V17/TrRoad_act!V30*1000
)</f>
        <v>254.65126685132512</v>
      </c>
      <c r="W54" s="62">
        <f>IF(TrRoad_act!W30=0,0,W17/TrRoad_act!W30*1000
)</f>
        <v>258.90756183291006</v>
      </c>
      <c r="X54" s="62">
        <f>IF(TrRoad_act!X30=0,0,X17/TrRoad_act!X30*1000
)</f>
        <v>253.52985539846551</v>
      </c>
      <c r="Y54" s="62">
        <f>IF(TrRoad_act!Y30=0,0,Y17/TrRoad_act!Y30*1000
)</f>
        <v>250.93882420785067</v>
      </c>
      <c r="DA54" s="172" t="s">
        <v>769</v>
      </c>
    </row>
    <row r="55" spans="1:105" ht="11.45" customHeight="1" x14ac:dyDescent="0.25">
      <c r="A55" s="27" t="s">
        <v>33</v>
      </c>
      <c r="B55" s="29">
        <f>IF(TrRoad_act!B31=0,0,B18/TrRoad_act!B31*1000
)</f>
        <v>276.46754765469592</v>
      </c>
      <c r="C55" s="29">
        <f>IF(TrRoad_act!C31=0,0,C18/TrRoad_act!C31*1000
)</f>
        <v>268.80614147455225</v>
      </c>
      <c r="D55" s="29">
        <f>IF(TrRoad_act!D31=0,0,D18/TrRoad_act!D31*1000
)</f>
        <v>260.69686449656632</v>
      </c>
      <c r="E55" s="29">
        <f>IF(TrRoad_act!E31=0,0,E18/TrRoad_act!E31*1000
)</f>
        <v>252.41140891571322</v>
      </c>
      <c r="F55" s="29">
        <f>IF(TrRoad_act!F31=0,0,F18/TrRoad_act!F31*1000
)</f>
        <v>255.12428585291923</v>
      </c>
      <c r="G55" s="29">
        <f>IF(TrRoad_act!G31=0,0,G18/TrRoad_act!G31*1000
)</f>
        <v>260.02955029410197</v>
      </c>
      <c r="H55" s="29">
        <f>IF(TrRoad_act!H31=0,0,H18/TrRoad_act!H31*1000
)</f>
        <v>260.23221450792556</v>
      </c>
      <c r="I55" s="29">
        <f>IF(TrRoad_act!I31=0,0,I18/TrRoad_act!I31*1000
)</f>
        <v>257.00295760120582</v>
      </c>
      <c r="J55" s="29">
        <f>IF(TrRoad_act!J31=0,0,J18/TrRoad_act!J31*1000
)</f>
        <v>241.5511206467317</v>
      </c>
      <c r="K55" s="29">
        <f>IF(TrRoad_act!K31=0,0,K18/TrRoad_act!K31*1000
)</f>
        <v>240.48171834163119</v>
      </c>
      <c r="L55" s="29">
        <f>IF(TrRoad_act!L31=0,0,L18/TrRoad_act!L31*1000
)</f>
        <v>231.71291757146446</v>
      </c>
      <c r="M55" s="29">
        <f>IF(TrRoad_act!M31=0,0,M18/TrRoad_act!M31*1000
)</f>
        <v>228.19618000950749</v>
      </c>
      <c r="N55" s="29">
        <f>IF(TrRoad_act!N31=0,0,N18/TrRoad_act!N31*1000
)</f>
        <v>232.03530669381445</v>
      </c>
      <c r="O55" s="29">
        <f>IF(TrRoad_act!O31=0,0,O18/TrRoad_act!O31*1000
)</f>
        <v>229.25225515361032</v>
      </c>
      <c r="P55" s="29">
        <f>IF(TrRoad_act!P31=0,0,P18/TrRoad_act!P31*1000
)</f>
        <v>240.80623953563494</v>
      </c>
      <c r="Q55" s="29">
        <f>IF(TrRoad_act!Q31=0,0,Q18/TrRoad_act!Q31*1000
)</f>
        <v>231.03617823701808</v>
      </c>
      <c r="R55" s="29">
        <f>IF(TrRoad_act!R31=0,0,R18/TrRoad_act!R31*1000
)</f>
        <v>233.8266731391266</v>
      </c>
      <c r="S55" s="29">
        <f>IF(TrRoad_act!S31=0,0,S18/TrRoad_act!S31*1000
)</f>
        <v>222.96934281029621</v>
      </c>
      <c r="T55" s="29">
        <f>IF(TrRoad_act!T31=0,0,T18/TrRoad_act!T31*1000
)</f>
        <v>225.19901333735916</v>
      </c>
      <c r="U55" s="29">
        <f>IF(TrRoad_act!U31=0,0,U18/TrRoad_act!U31*1000
)</f>
        <v>220.41101071811067</v>
      </c>
      <c r="V55" s="29">
        <f>IF(TrRoad_act!V31=0,0,V18/TrRoad_act!V31*1000
)</f>
        <v>208.11836240432442</v>
      </c>
      <c r="W55" s="29">
        <f>IF(TrRoad_act!W31=0,0,W18/TrRoad_act!W31*1000
)</f>
        <v>208.65881460055681</v>
      </c>
      <c r="X55" s="29">
        <f>IF(TrRoad_act!X31=0,0,X18/TrRoad_act!X31*1000
)</f>
        <v>204.02567921415633</v>
      </c>
      <c r="Y55" s="29">
        <f>IF(TrRoad_act!Y31=0,0,Y18/TrRoad_act!Y31*1000
)</f>
        <v>202.35764630316717</v>
      </c>
      <c r="DA55" s="173" t="s">
        <v>770</v>
      </c>
    </row>
    <row r="56" spans="1:105" ht="11.45" customHeight="1" x14ac:dyDescent="0.25">
      <c r="A56" s="136" t="s">
        <v>173</v>
      </c>
      <c r="B56" s="152">
        <f>IF(TrRoad_act!B32=0,0,B19/TrRoad_act!B32*1000
)</f>
        <v>117.45661531111598</v>
      </c>
      <c r="C56" s="152">
        <f>IF(TrRoad_act!C32=0,0,C19/TrRoad_act!C32*1000
)</f>
        <v>115.76094488660357</v>
      </c>
      <c r="D56" s="152">
        <f>IF(TrRoad_act!D32=0,0,D19/TrRoad_act!D32*1000
)</f>
        <v>113.53187032595565</v>
      </c>
      <c r="E56" s="152">
        <f>IF(TrRoad_act!E32=0,0,E19/TrRoad_act!E32*1000
)</f>
        <v>112.90361996802967</v>
      </c>
      <c r="F56" s="152">
        <f>IF(TrRoad_act!F32=0,0,F19/TrRoad_act!F32*1000
)</f>
        <v>112.09108005305949</v>
      </c>
      <c r="G56" s="152">
        <f>IF(TrRoad_act!G32=0,0,G19/TrRoad_act!G32*1000
)</f>
        <v>111.3071783196914</v>
      </c>
      <c r="H56" s="152">
        <f>IF(TrRoad_act!H32=0,0,H19/TrRoad_act!H32*1000
)</f>
        <v>110.56986222242104</v>
      </c>
      <c r="I56" s="152">
        <f>IF(TrRoad_act!I32=0,0,I19/TrRoad_act!I32*1000
)</f>
        <v>110.35118229062022</v>
      </c>
      <c r="J56" s="152">
        <f>IF(TrRoad_act!J32=0,0,J19/TrRoad_act!J32*1000
)</f>
        <v>109.3599254916212</v>
      </c>
      <c r="K56" s="152">
        <f>IF(TrRoad_act!K32=0,0,K19/TrRoad_act!K32*1000
)</f>
        <v>108.4693464921137</v>
      </c>
      <c r="L56" s="152">
        <f>IF(TrRoad_act!L32=0,0,L19/TrRoad_act!L32*1000
)</f>
        <v>106.98659370183867</v>
      </c>
      <c r="M56" s="152">
        <f>IF(TrRoad_act!M32=0,0,M19/TrRoad_act!M32*1000
)</f>
        <v>106.37853518168701</v>
      </c>
      <c r="N56" s="152">
        <f>IF(TrRoad_act!N32=0,0,N19/TrRoad_act!N32*1000
)</f>
        <v>105.07844401313945</v>
      </c>
      <c r="O56" s="152">
        <f>IF(TrRoad_act!O32=0,0,O19/TrRoad_act!O32*1000
)</f>
        <v>103.93011818993993</v>
      </c>
      <c r="P56" s="152">
        <f>IF(TrRoad_act!P32=0,0,P19/TrRoad_act!P32*1000
)</f>
        <v>103.67513444098917</v>
      </c>
      <c r="Q56" s="152">
        <f>IF(TrRoad_act!Q32=0,0,Q19/TrRoad_act!Q32*1000
)</f>
        <v>102.76780535854924</v>
      </c>
      <c r="R56" s="152">
        <f>IF(TrRoad_act!R32=0,0,R19/TrRoad_act!R32*1000
)</f>
        <v>101.278609326645</v>
      </c>
      <c r="S56" s="152">
        <f>IF(TrRoad_act!S32=0,0,S19/TrRoad_act!S32*1000
)</f>
        <v>99.74567770346178</v>
      </c>
      <c r="T56" s="152">
        <f>IF(TrRoad_act!T32=0,0,T19/TrRoad_act!T32*1000
)</f>
        <v>99.06174459865494</v>
      </c>
      <c r="U56" s="152">
        <f>IF(TrRoad_act!U32=0,0,U19/TrRoad_act!U32*1000
)</f>
        <v>97.949030635544347</v>
      </c>
      <c r="V56" s="152">
        <f>IF(TrRoad_act!V32=0,0,V19/TrRoad_act!V32*1000
)</f>
        <v>97.378754631312361</v>
      </c>
      <c r="W56" s="152">
        <f>IF(TrRoad_act!W32=0,0,W19/TrRoad_act!W32*1000
)</f>
        <v>96.97804004666996</v>
      </c>
      <c r="X56" s="152">
        <f>IF(TrRoad_act!X32=0,0,X19/TrRoad_act!X32*1000
)</f>
        <v>96.080461073096018</v>
      </c>
      <c r="Y56" s="152">
        <f>IF(TrRoad_act!Y32=0,0,Y19/TrRoad_act!Y32*1000
)</f>
        <v>94.519059066076991</v>
      </c>
      <c r="DA56" s="174" t="s">
        <v>771</v>
      </c>
    </row>
    <row r="57" spans="1:105" ht="11.45" customHeight="1" x14ac:dyDescent="0.25">
      <c r="A57" s="109" t="s">
        <v>20</v>
      </c>
      <c r="B57" s="116">
        <f>IF(TrRoad_act!B33=0,0,B20/TrRoad_act!B33*1000
)</f>
        <v>261.70736856795543</v>
      </c>
      <c r="C57" s="116">
        <f>IF(TrRoad_act!C33=0,0,C20/TrRoad_act!C33*1000
)</f>
        <v>255.29067971443499</v>
      </c>
      <c r="D57" s="116">
        <f>IF(TrRoad_act!D33=0,0,D20/TrRoad_act!D33*1000
)</f>
        <v>247.5610596241728</v>
      </c>
      <c r="E57" s="116">
        <f>IF(TrRoad_act!E33=0,0,E20/TrRoad_act!E33*1000
)</f>
        <v>239.16796798820414</v>
      </c>
      <c r="F57" s="116">
        <f>IF(TrRoad_act!F33=0,0,F20/TrRoad_act!F33*1000
)</f>
        <v>241.90844568963729</v>
      </c>
      <c r="G57" s="116">
        <f>IF(TrRoad_act!G33=0,0,G20/TrRoad_act!G33*1000
)</f>
        <v>247.2300830354967</v>
      </c>
      <c r="H57" s="116">
        <f>IF(TrRoad_act!H33=0,0,H20/TrRoad_act!H33*1000
)</f>
        <v>247.94046086357511</v>
      </c>
      <c r="I57" s="116">
        <f>IF(TrRoad_act!I33=0,0,I20/TrRoad_act!I33*1000
)</f>
        <v>244.11137363612352</v>
      </c>
      <c r="J57" s="116">
        <f>IF(TrRoad_act!J33=0,0,J20/TrRoad_act!J33*1000
)</f>
        <v>228.3323970337386</v>
      </c>
      <c r="K57" s="116">
        <f>IF(TrRoad_act!K33=0,0,K20/TrRoad_act!K33*1000
)</f>
        <v>227.26037563214186</v>
      </c>
      <c r="L57" s="116">
        <f>IF(TrRoad_act!L33=0,0,L20/TrRoad_act!L33*1000
)</f>
        <v>218.62261087869769</v>
      </c>
      <c r="M57" s="116">
        <f>IF(TrRoad_act!M33=0,0,M20/TrRoad_act!M33*1000
)</f>
        <v>215.15423819962305</v>
      </c>
      <c r="N57" s="116">
        <f>IF(TrRoad_act!N33=0,0,N20/TrRoad_act!N33*1000
)</f>
        <v>218.70351198010582</v>
      </c>
      <c r="O57" s="116">
        <f>IF(TrRoad_act!O33=0,0,O20/TrRoad_act!O33*1000
)</f>
        <v>216.38150237424946</v>
      </c>
      <c r="P57" s="116">
        <f>IF(TrRoad_act!P33=0,0,P20/TrRoad_act!P33*1000
)</f>
        <v>227.84835661461199</v>
      </c>
      <c r="Q57" s="116">
        <f>IF(TrRoad_act!Q33=0,0,Q20/TrRoad_act!Q33*1000
)</f>
        <v>218.39189922011295</v>
      </c>
      <c r="R57" s="116">
        <f>IF(TrRoad_act!R33=0,0,R20/TrRoad_act!R33*1000
)</f>
        <v>220.91003260705835</v>
      </c>
      <c r="S57" s="116">
        <f>IF(TrRoad_act!S33=0,0,S20/TrRoad_act!S33*1000
)</f>
        <v>209.25078019189147</v>
      </c>
      <c r="T57" s="116">
        <f>IF(TrRoad_act!T33=0,0,T20/TrRoad_act!T33*1000
)</f>
        <v>210.34055835700869</v>
      </c>
      <c r="U57" s="116">
        <f>IF(TrRoad_act!U33=0,0,U20/TrRoad_act!U33*1000
)</f>
        <v>205.70125018458194</v>
      </c>
      <c r="V57" s="116">
        <f>IF(TrRoad_act!V33=0,0,V20/TrRoad_act!V33*1000
)</f>
        <v>194.0101090554173</v>
      </c>
      <c r="W57" s="116">
        <f>IF(TrRoad_act!W33=0,0,W20/TrRoad_act!W33*1000
)</f>
        <v>195.22750321831873</v>
      </c>
      <c r="X57" s="116">
        <f>IF(TrRoad_act!X33=0,0,X20/TrRoad_act!X33*1000
)</f>
        <v>189.02955867177073</v>
      </c>
      <c r="Y57" s="116">
        <f>IF(TrRoad_act!Y33=0,0,Y20/TrRoad_act!Y33*1000
)</f>
        <v>184.58604815468564</v>
      </c>
      <c r="DA57" s="176" t="s">
        <v>772</v>
      </c>
    </row>
    <row r="58" spans="1:105" ht="11.45" customHeight="1" x14ac:dyDescent="0.25">
      <c r="A58" s="111" t="s">
        <v>110</v>
      </c>
      <c r="B58" s="87">
        <f>IF(TrRoad_act!B34=0,0,B21/TrRoad_act!B34*1000
)</f>
        <v>240.90795748614781</v>
      </c>
      <c r="C58" s="87">
        <f>IF(TrRoad_act!C34=0,0,C21/TrRoad_act!C34*1000
)</f>
        <v>233.93075379433353</v>
      </c>
      <c r="D58" s="87">
        <f>IF(TrRoad_act!D34=0,0,D21/TrRoad_act!D34*1000
)</f>
        <v>231.0534753809967</v>
      </c>
      <c r="E58" s="87">
        <f>IF(TrRoad_act!E34=0,0,E21/TrRoad_act!E34*1000
)</f>
        <v>223.16476174408001</v>
      </c>
      <c r="F58" s="87">
        <f>IF(TrRoad_act!F34=0,0,F21/TrRoad_act!F34*1000
)</f>
        <v>225.49183062096532</v>
      </c>
      <c r="G58" s="87">
        <f>IF(TrRoad_act!G34=0,0,G21/TrRoad_act!G34*1000
)</f>
        <v>232.23840313039872</v>
      </c>
      <c r="H58" s="87">
        <f>IF(TrRoad_act!H34=0,0,H21/TrRoad_act!H34*1000
)</f>
        <v>229.8444492996426</v>
      </c>
      <c r="I58" s="87">
        <f>IF(TrRoad_act!I34=0,0,I21/TrRoad_act!I34*1000
)</f>
        <v>222.66543161398815</v>
      </c>
      <c r="J58" s="87">
        <f>IF(TrRoad_act!J34=0,0,J21/TrRoad_act!J34*1000
)</f>
        <v>206.87875979004514</v>
      </c>
      <c r="K58" s="87">
        <f>IF(TrRoad_act!K34=0,0,K21/TrRoad_act!K34*1000
)</f>
        <v>200.03290985164796</v>
      </c>
      <c r="L58" s="87">
        <f>IF(TrRoad_act!L34=0,0,L21/TrRoad_act!L34*1000
)</f>
        <v>198.17834808302004</v>
      </c>
      <c r="M58" s="87">
        <f>IF(TrRoad_act!M34=0,0,M21/TrRoad_act!M34*1000
)</f>
        <v>195.82546837364848</v>
      </c>
      <c r="N58" s="87">
        <f>IF(TrRoad_act!N34=0,0,N21/TrRoad_act!N34*1000
)</f>
        <v>199.32253138768249</v>
      </c>
      <c r="O58" s="87">
        <f>IF(TrRoad_act!O34=0,0,O21/TrRoad_act!O34*1000
)</f>
        <v>191.98465811508123</v>
      </c>
      <c r="P58" s="87">
        <f>IF(TrRoad_act!P34=0,0,P21/TrRoad_act!P34*1000
)</f>
        <v>202.79385540176719</v>
      </c>
      <c r="Q58" s="87">
        <f>IF(TrRoad_act!Q34=0,0,Q21/TrRoad_act!Q34*1000
)</f>
        <v>181.39719504623412</v>
      </c>
      <c r="R58" s="87">
        <f>IF(TrRoad_act!R34=0,0,R21/TrRoad_act!R34*1000
)</f>
        <v>188.93043597464512</v>
      </c>
      <c r="S58" s="87">
        <f>IF(TrRoad_act!S34=0,0,S21/TrRoad_act!S34*1000
)</f>
        <v>177.77313258520584</v>
      </c>
      <c r="T58" s="87">
        <f>IF(TrRoad_act!T34=0,0,T21/TrRoad_act!T34*1000
)</f>
        <v>172.98261032259023</v>
      </c>
      <c r="U58" s="87">
        <f>IF(TrRoad_act!U34=0,0,U21/TrRoad_act!U34*1000
)</f>
        <v>168.55750784874849</v>
      </c>
      <c r="V58" s="87">
        <f>IF(TrRoad_act!V34=0,0,V21/TrRoad_act!V34*1000
)</f>
        <v>156.2582728957139</v>
      </c>
      <c r="W58" s="87">
        <f>IF(TrRoad_act!W34=0,0,W21/TrRoad_act!W34*1000
)</f>
        <v>159.91998668397488</v>
      </c>
      <c r="X58" s="87">
        <f>IF(TrRoad_act!X34=0,0,X21/TrRoad_act!X34*1000
)</f>
        <v>158.96468597122407</v>
      </c>
      <c r="Y58" s="87">
        <f>IF(TrRoad_act!Y34=0,0,Y21/TrRoad_act!Y34*1000
)</f>
        <v>158.98721965875208</v>
      </c>
      <c r="DA58" s="171" t="s">
        <v>773</v>
      </c>
    </row>
    <row r="59" spans="1:105" ht="11.45" customHeight="1" x14ac:dyDescent="0.25">
      <c r="A59" s="111" t="s">
        <v>111</v>
      </c>
      <c r="B59" s="87">
        <f>IF(TrRoad_act!B35=0,0,B22/TrRoad_act!B35*1000
)</f>
        <v>394.14818730846576</v>
      </c>
      <c r="C59" s="87">
        <f>IF(TrRoad_act!C35=0,0,C22/TrRoad_act!C35*1000
)</f>
        <v>392.87011277498863</v>
      </c>
      <c r="D59" s="87">
        <f>IF(TrRoad_act!D35=0,0,D22/TrRoad_act!D35*1000
)</f>
        <v>351.47453464127437</v>
      </c>
      <c r="E59" s="87">
        <f>IF(TrRoad_act!E35=0,0,E22/TrRoad_act!E35*1000
)</f>
        <v>336.06570811980038</v>
      </c>
      <c r="F59" s="87">
        <f>IF(TrRoad_act!F35=0,0,F22/TrRoad_act!F35*1000
)</f>
        <v>333.61428806784613</v>
      </c>
      <c r="G59" s="87">
        <f>IF(TrRoad_act!G35=0,0,G22/TrRoad_act!G35*1000
)</f>
        <v>317.67480147882475</v>
      </c>
      <c r="H59" s="87">
        <f>IF(TrRoad_act!H35=0,0,H22/TrRoad_act!H35*1000
)</f>
        <v>329.9674033682366</v>
      </c>
      <c r="I59" s="87">
        <f>IF(TrRoad_act!I35=0,0,I22/TrRoad_act!I35*1000
)</f>
        <v>335.86893844891091</v>
      </c>
      <c r="J59" s="87">
        <f>IF(TrRoad_act!J35=0,0,J22/TrRoad_act!J35*1000
)</f>
        <v>303.49278936488093</v>
      </c>
      <c r="K59" s="87">
        <f>IF(TrRoad_act!K35=0,0,K22/TrRoad_act!K35*1000
)</f>
        <v>305.79382741179336</v>
      </c>
      <c r="L59" s="87">
        <f>IF(TrRoad_act!L35=0,0,L22/TrRoad_act!L35*1000
)</f>
        <v>266.29280003360634</v>
      </c>
      <c r="M59" s="87">
        <f>IF(TrRoad_act!M35=0,0,M22/TrRoad_act!M35*1000
)</f>
        <v>250.24746643706129</v>
      </c>
      <c r="N59" s="87">
        <f>IF(TrRoad_act!N35=0,0,N22/TrRoad_act!N35*1000
)</f>
        <v>250.18993127687111</v>
      </c>
      <c r="O59" s="87">
        <f>IF(TrRoad_act!O35=0,0,O22/TrRoad_act!O35*1000
)</f>
        <v>249.2158482219767</v>
      </c>
      <c r="P59" s="87">
        <f>IF(TrRoad_act!P35=0,0,P22/TrRoad_act!P35*1000
)</f>
        <v>257.86082476686767</v>
      </c>
      <c r="Q59" s="87">
        <f>IF(TrRoad_act!Q35=0,0,Q22/TrRoad_act!Q35*1000
)</f>
        <v>254.11796256745995</v>
      </c>
      <c r="R59" s="87">
        <f>IF(TrRoad_act!R35=0,0,R22/TrRoad_act!R35*1000
)</f>
        <v>246.89029952350293</v>
      </c>
      <c r="S59" s="87">
        <f>IF(TrRoad_act!S35=0,0,S22/TrRoad_act!S35*1000
)</f>
        <v>231.86179323102974</v>
      </c>
      <c r="T59" s="87">
        <f>IF(TrRoad_act!T35=0,0,T22/TrRoad_act!T35*1000
)</f>
        <v>235.0594575194576</v>
      </c>
      <c r="U59" s="87">
        <f>IF(TrRoad_act!U35=0,0,U22/TrRoad_act!U35*1000
)</f>
        <v>229.5829608146143</v>
      </c>
      <c r="V59" s="87">
        <f>IF(TrRoad_act!V35=0,0,V22/TrRoad_act!V35*1000
)</f>
        <v>216.23365016746038</v>
      </c>
      <c r="W59" s="87">
        <f>IF(TrRoad_act!W35=0,0,W22/TrRoad_act!W35*1000
)</f>
        <v>218.47441409468007</v>
      </c>
      <c r="X59" s="87">
        <f>IF(TrRoad_act!X35=0,0,X22/TrRoad_act!X35*1000
)</f>
        <v>213.66129491351242</v>
      </c>
      <c r="Y59" s="87">
        <f>IF(TrRoad_act!Y35=0,0,Y22/TrRoad_act!Y35*1000
)</f>
        <v>212.50282011736334</v>
      </c>
      <c r="DA59" s="171" t="s">
        <v>774</v>
      </c>
    </row>
    <row r="60" spans="1:105" ht="11.45" customHeight="1" x14ac:dyDescent="0.25">
      <c r="A60" s="111" t="s">
        <v>112</v>
      </c>
      <c r="B60" s="87">
        <f>IF(TrRoad_act!B36=0,0,B23/TrRoad_act!B36*1000
)</f>
        <v>215.03918716135701</v>
      </c>
      <c r="C60" s="87">
        <f>IF(TrRoad_act!C36=0,0,C23/TrRoad_act!C36*1000
)</f>
        <v>205.37628725438481</v>
      </c>
      <c r="D60" s="87">
        <f>IF(TrRoad_act!D36=0,0,D23/TrRoad_act!D36*1000
)</f>
        <v>210.08801029806386</v>
      </c>
      <c r="E60" s="87">
        <f>IF(TrRoad_act!E36=0,0,E23/TrRoad_act!E36*1000
)</f>
        <v>214.72036758384633</v>
      </c>
      <c r="F60" s="87">
        <f>IF(TrRoad_act!F36=0,0,F23/TrRoad_act!F36*1000
)</f>
        <v>203.21720657933619</v>
      </c>
      <c r="G60" s="87">
        <f>IF(TrRoad_act!G36=0,0,G23/TrRoad_act!G36*1000
)</f>
        <v>204.35198930480487</v>
      </c>
      <c r="H60" s="87">
        <f>IF(TrRoad_act!H36=0,0,H23/TrRoad_act!H36*1000
)</f>
        <v>202.0944158396951</v>
      </c>
      <c r="I60" s="87">
        <f>IF(TrRoad_act!I36=0,0,I23/TrRoad_act!I36*1000
)</f>
        <v>199.22974854146523</v>
      </c>
      <c r="J60" s="87">
        <f>IF(TrRoad_act!J36=0,0,J23/TrRoad_act!J36*1000
)</f>
        <v>204.82136540009571</v>
      </c>
      <c r="K60" s="87">
        <f>IF(TrRoad_act!K36=0,0,K23/TrRoad_act!K36*1000
)</f>
        <v>191.14576506043224</v>
      </c>
      <c r="L60" s="87">
        <f>IF(TrRoad_act!L36=0,0,L23/TrRoad_act!L36*1000
)</f>
        <v>191.20382348346419</v>
      </c>
      <c r="M60" s="87">
        <f>IF(TrRoad_act!M36=0,0,M23/TrRoad_act!M36*1000
)</f>
        <v>187.44341620281267</v>
      </c>
      <c r="N60" s="87">
        <f>IF(TrRoad_act!N36=0,0,N23/TrRoad_act!N36*1000
)</f>
        <v>187.65518414083746</v>
      </c>
      <c r="O60" s="87">
        <f>IF(TrRoad_act!O36=0,0,O23/TrRoad_act!O36*1000
)</f>
        <v>179.23291160456742</v>
      </c>
      <c r="P60" s="87">
        <f>IF(TrRoad_act!P36=0,0,P23/TrRoad_act!P36*1000
)</f>
        <v>169.5133456867899</v>
      </c>
      <c r="Q60" s="87">
        <f>IF(TrRoad_act!Q36=0,0,Q23/TrRoad_act!Q36*1000
)</f>
        <v>176.96802989775586</v>
      </c>
      <c r="R60" s="87">
        <f>IF(TrRoad_act!R36=0,0,R23/TrRoad_act!R36*1000
)</f>
        <v>181.4878270791682</v>
      </c>
      <c r="S60" s="87">
        <f>IF(TrRoad_act!S36=0,0,S23/TrRoad_act!S36*1000
)</f>
        <v>182.35119863138422</v>
      </c>
      <c r="T60" s="87">
        <f>IF(TrRoad_act!T36=0,0,T23/TrRoad_act!T36*1000
)</f>
        <v>176.8278446036806</v>
      </c>
      <c r="U60" s="87">
        <f>IF(TrRoad_act!U36=0,0,U23/TrRoad_act!U36*1000
)</f>
        <v>176.39178275920008</v>
      </c>
      <c r="V60" s="87">
        <f>IF(TrRoad_act!V36=0,0,V23/TrRoad_act!V36*1000
)</f>
        <v>143.80240709152875</v>
      </c>
      <c r="W60" s="87">
        <f>IF(TrRoad_act!W36=0,0,W23/TrRoad_act!W36*1000
)</f>
        <v>147.76969940043176</v>
      </c>
      <c r="X60" s="87">
        <f>IF(TrRoad_act!X36=0,0,X23/TrRoad_act!X36*1000
)</f>
        <v>184.51102733061137</v>
      </c>
      <c r="Y60" s="87">
        <f>IF(TrRoad_act!Y36=0,0,Y23/TrRoad_act!Y36*1000
)</f>
        <v>153.34339327205123</v>
      </c>
      <c r="DA60" s="171" t="s">
        <v>775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0</v>
      </c>
      <c r="G61" s="87">
        <f>IF(TrRoad_act!G37=0,0,G24/TrRoad_act!G37*1000
)</f>
        <v>0</v>
      </c>
      <c r="H61" s="87">
        <f>IF(TrRoad_act!H37=0,0,H24/TrRoad_act!H37*1000
)</f>
        <v>0</v>
      </c>
      <c r="I61" s="87">
        <f>IF(TrRoad_act!I37=0,0,I24/TrRoad_act!I37*1000
)</f>
        <v>0</v>
      </c>
      <c r="J61" s="87">
        <f>IF(TrRoad_act!J37=0,0,J24/TrRoad_act!J37*1000
)</f>
        <v>0</v>
      </c>
      <c r="K61" s="87">
        <f>IF(TrRoad_act!K37=0,0,K24/TrRoad_act!K37*1000
)</f>
        <v>0</v>
      </c>
      <c r="L61" s="87">
        <f>IF(TrRoad_act!L37=0,0,L24/TrRoad_act!L37*1000
)</f>
        <v>0</v>
      </c>
      <c r="M61" s="87">
        <f>IF(TrRoad_act!M37=0,0,M24/TrRoad_act!M37*1000
)</f>
        <v>0</v>
      </c>
      <c r="N61" s="87">
        <f>IF(TrRoad_act!N37=0,0,N24/TrRoad_act!N37*1000
)</f>
        <v>0</v>
      </c>
      <c r="O61" s="87">
        <f>IF(TrRoad_act!O37=0,0,O24/TrRoad_act!O37*1000
)</f>
        <v>0</v>
      </c>
      <c r="P61" s="87">
        <f>IF(TrRoad_act!P37=0,0,P24/TrRoad_act!P37*1000
)</f>
        <v>384.1486315797257</v>
      </c>
      <c r="Q61" s="87">
        <f>IF(TrRoad_act!Q37=0,0,Q24/TrRoad_act!Q37*1000
)</f>
        <v>118.12636495360189</v>
      </c>
      <c r="R61" s="87">
        <f>IF(TrRoad_act!R37=0,0,R24/TrRoad_act!R37*1000
)</f>
        <v>73.17024863911702</v>
      </c>
      <c r="S61" s="87">
        <f>IF(TrRoad_act!S37=0,0,S24/TrRoad_act!S37*1000
)</f>
        <v>89.415829652087382</v>
      </c>
      <c r="T61" s="87">
        <f>IF(TrRoad_act!T37=0,0,T24/TrRoad_act!T37*1000
)</f>
        <v>128.77952080410657</v>
      </c>
      <c r="U61" s="87">
        <f>IF(TrRoad_act!U37=0,0,U24/TrRoad_act!U37*1000
)</f>
        <v>152.44321727912407</v>
      </c>
      <c r="V61" s="87">
        <f>IF(TrRoad_act!V37=0,0,V24/TrRoad_act!V37*1000
)</f>
        <v>187.33146415296969</v>
      </c>
      <c r="W61" s="87">
        <f>IF(TrRoad_act!W37=0,0,W24/TrRoad_act!W37*1000
)</f>
        <v>403.41211495356123</v>
      </c>
      <c r="X61" s="87">
        <f>IF(TrRoad_act!X37=0,0,X24/TrRoad_act!X37*1000
)</f>
        <v>212.38189495701161</v>
      </c>
      <c r="Y61" s="87">
        <f>IF(TrRoad_act!Y37=0,0,Y24/TrRoad_act!Y37*1000
)</f>
        <v>197.98988143147545</v>
      </c>
      <c r="DA61" s="171" t="s">
        <v>776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0</v>
      </c>
      <c r="N62" s="87">
        <f>IF(TrRoad_act!N38=0,0,N25/TrRoad_act!N38*1000
)</f>
        <v>0</v>
      </c>
      <c r="O62" s="87">
        <f>IF(TrRoad_act!O38=0,0,O25/TrRoad_act!O38*1000
)</f>
        <v>84.925840376212307</v>
      </c>
      <c r="P62" s="87">
        <f>IF(TrRoad_act!P38=0,0,P25/TrRoad_act!P38*1000
)</f>
        <v>53.091719800688168</v>
      </c>
      <c r="Q62" s="87">
        <f>IF(TrRoad_act!Q38=0,0,Q25/TrRoad_act!Q38*1000
)</f>
        <v>51.188620600147402</v>
      </c>
      <c r="R62" s="87">
        <f>IF(TrRoad_act!R38=0,0,R25/TrRoad_act!R38*1000
)</f>
        <v>56.507985196101323</v>
      </c>
      <c r="S62" s="87">
        <f>IF(TrRoad_act!S38=0,0,S25/TrRoad_act!S38*1000
)</f>
        <v>53.840519119062741</v>
      </c>
      <c r="T62" s="87">
        <f>IF(TrRoad_act!T38=0,0,T25/TrRoad_act!T38*1000
)</f>
        <v>53.707052956639721</v>
      </c>
      <c r="U62" s="87">
        <f>IF(TrRoad_act!U38=0,0,U25/TrRoad_act!U38*1000
)</f>
        <v>54.010337553105366</v>
      </c>
      <c r="V62" s="87">
        <f>IF(TrRoad_act!V38=0,0,V25/TrRoad_act!V38*1000
)</f>
        <v>46.449041107636575</v>
      </c>
      <c r="W62" s="87">
        <f>IF(TrRoad_act!W38=0,0,W25/TrRoad_act!W38*1000
)</f>
        <v>43.857960940797568</v>
      </c>
      <c r="X62" s="87">
        <f>IF(TrRoad_act!X38=0,0,X25/TrRoad_act!X38*1000
)</f>
        <v>41.696192976292828</v>
      </c>
      <c r="Y62" s="87">
        <f>IF(TrRoad_act!Y38=0,0,Y25/TrRoad_act!Y38*1000
)</f>
        <v>39.138777246961261</v>
      </c>
      <c r="DA62" s="171" t="s">
        <v>777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X63" s="87">
        <f>IF(TrRoad_act!X39=0,0,X26/TrRoad_act!X39*1000
)</f>
        <v>0</v>
      </c>
      <c r="Y63" s="87">
        <f>IF(TrRoad_act!Y39=0,0,Y26/TrRoad_act!Y39*1000
)</f>
        <v>0</v>
      </c>
      <c r="DA63" s="171" t="s">
        <v>778</v>
      </c>
    </row>
    <row r="64" spans="1:105" ht="11.45" customHeight="1" x14ac:dyDescent="0.25">
      <c r="A64" s="109" t="s">
        <v>21</v>
      </c>
      <c r="B64" s="116">
        <f>IF(TrRoad_act!B40=0,0,B27/TrRoad_act!B40*1000
)</f>
        <v>1910.7564354255844</v>
      </c>
      <c r="C64" s="116">
        <f>IF(TrRoad_act!C40=0,0,C27/TrRoad_act!C40*1000
)</f>
        <v>1800.6016752897756</v>
      </c>
      <c r="D64" s="116">
        <f>IF(TrRoad_act!D40=0,0,D27/TrRoad_act!D40*1000
)</f>
        <v>1773.4835949807507</v>
      </c>
      <c r="E64" s="116">
        <f>IF(TrRoad_act!E40=0,0,E27/TrRoad_act!E40*1000
)</f>
        <v>1744.4543572943373</v>
      </c>
      <c r="F64" s="116">
        <f>IF(TrRoad_act!F40=0,0,F27/TrRoad_act!F40*1000
)</f>
        <v>1724.1006845314878</v>
      </c>
      <c r="G64" s="116">
        <f>IF(TrRoad_act!G40=0,0,G27/TrRoad_act!G40*1000
)</f>
        <v>1707.3233269709356</v>
      </c>
      <c r="H64" s="116">
        <f>IF(TrRoad_act!H40=0,0,H27/TrRoad_act!H40*1000
)</f>
        <v>1692.2442721659979</v>
      </c>
      <c r="I64" s="116">
        <f>IF(TrRoad_act!I40=0,0,I27/TrRoad_act!I40*1000
)</f>
        <v>1673.9415141176223</v>
      </c>
      <c r="J64" s="116">
        <f>IF(TrRoad_act!J40=0,0,J27/TrRoad_act!J40*1000
)</f>
        <v>1655.6627001779957</v>
      </c>
      <c r="K64" s="116">
        <f>IF(TrRoad_act!K40=0,0,K27/TrRoad_act!K40*1000
)</f>
        <v>1636.9280395020489</v>
      </c>
      <c r="L64" s="116">
        <f>IF(TrRoad_act!L40=0,0,L27/TrRoad_act!L40*1000
)</f>
        <v>1624.5795400005402</v>
      </c>
      <c r="M64" s="116">
        <f>IF(TrRoad_act!M40=0,0,M27/TrRoad_act!M40*1000
)</f>
        <v>1617.1143213563262</v>
      </c>
      <c r="N64" s="116">
        <f>IF(TrRoad_act!N40=0,0,N27/TrRoad_act!N40*1000
)</f>
        <v>1625.7389111746386</v>
      </c>
      <c r="O64" s="116">
        <f>IF(TrRoad_act!O40=0,0,O27/TrRoad_act!O40*1000
)</f>
        <v>1614.6252206905499</v>
      </c>
      <c r="P64" s="116">
        <f>IF(TrRoad_act!P40=0,0,P27/TrRoad_act!P40*1000
)</f>
        <v>1611.3921922970374</v>
      </c>
      <c r="Q64" s="116">
        <f>IF(TrRoad_act!Q40=0,0,Q27/TrRoad_act!Q40*1000
)</f>
        <v>1620.3699411931711</v>
      </c>
      <c r="R64" s="116">
        <f>IF(TrRoad_act!R40=0,0,R27/TrRoad_act!R40*1000
)</f>
        <v>1640.5832295924286</v>
      </c>
      <c r="S64" s="116">
        <f>IF(TrRoad_act!S40=0,0,S27/TrRoad_act!S40*1000
)</f>
        <v>1620.7670496013993</v>
      </c>
      <c r="T64" s="116">
        <f>IF(TrRoad_act!T40=0,0,T27/TrRoad_act!T40*1000
)</f>
        <v>1627.5484436011811</v>
      </c>
      <c r="U64" s="116">
        <f>IF(TrRoad_act!U40=0,0,U27/TrRoad_act!U40*1000
)</f>
        <v>1604.2084019716137</v>
      </c>
      <c r="V64" s="116">
        <f>IF(TrRoad_act!V40=0,0,V27/TrRoad_act!V40*1000
)</f>
        <v>1594.7607082321176</v>
      </c>
      <c r="W64" s="116">
        <f>IF(TrRoad_act!W40=0,0,W27/TrRoad_act!W40*1000
)</f>
        <v>1593.6683849930289</v>
      </c>
      <c r="X64" s="116">
        <f>IF(TrRoad_act!X40=0,0,X27/TrRoad_act!X40*1000
)</f>
        <v>1539.1668288769679</v>
      </c>
      <c r="Y64" s="116">
        <f>IF(TrRoad_act!Y40=0,0,Y27/TrRoad_act!Y40*1000
)</f>
        <v>1464.6649334458264</v>
      </c>
      <c r="DA64" s="176" t="s">
        <v>779</v>
      </c>
    </row>
    <row r="65" spans="1:105" ht="11.45" customHeight="1" x14ac:dyDescent="0.25">
      <c r="A65" s="111" t="s">
        <v>110</v>
      </c>
      <c r="B65" s="101">
        <f>IF(TrRoad_act!B41=0,0,B28/TrRoad_act!B41*1000
)</f>
        <v>541.54960996654222</v>
      </c>
      <c r="C65" s="101">
        <f>IF(TrRoad_act!C41=0,0,C28/TrRoad_act!C41*1000
)</f>
        <v>540.59932106769145</v>
      </c>
      <c r="D65" s="101">
        <f>IF(TrRoad_act!D41=0,0,D28/TrRoad_act!D41*1000
)</f>
        <v>540.50411280814046</v>
      </c>
      <c r="E65" s="101">
        <f>IF(TrRoad_act!E41=0,0,E28/TrRoad_act!E41*1000
)</f>
        <v>540.38770277586707</v>
      </c>
      <c r="F65" s="101">
        <f>IF(TrRoad_act!F41=0,0,F28/TrRoad_act!F41*1000
)</f>
        <v>540.23031430722824</v>
      </c>
      <c r="G65" s="101">
        <f>IF(TrRoad_act!G41=0,0,G28/TrRoad_act!G41*1000
)</f>
        <v>540.03675505933222</v>
      </c>
      <c r="H65" s="101">
        <f>IF(TrRoad_act!H41=0,0,H28/TrRoad_act!H41*1000
)</f>
        <v>539.63025002553695</v>
      </c>
      <c r="I65" s="101">
        <f>IF(TrRoad_act!I41=0,0,I28/TrRoad_act!I41*1000
)</f>
        <v>536.1454871546689</v>
      </c>
      <c r="J65" s="101">
        <f>IF(TrRoad_act!J41=0,0,J28/TrRoad_act!J41*1000
)</f>
        <v>530.94396730594724</v>
      </c>
      <c r="K65" s="101">
        <f>IF(TrRoad_act!K41=0,0,K28/TrRoad_act!K41*1000
)</f>
        <v>527.89097379656937</v>
      </c>
      <c r="L65" s="101">
        <f>IF(TrRoad_act!L41=0,0,L28/TrRoad_act!L41*1000
)</f>
        <v>523.30686672423928</v>
      </c>
      <c r="M65" s="101">
        <f>IF(TrRoad_act!M41=0,0,M28/TrRoad_act!M41*1000
)</f>
        <v>522.63469081772075</v>
      </c>
      <c r="N65" s="101">
        <f>IF(TrRoad_act!N41=0,0,N28/TrRoad_act!N41*1000
)</f>
        <v>517.51929323423394</v>
      </c>
      <c r="O65" s="101">
        <f>IF(TrRoad_act!O41=0,0,O28/TrRoad_act!O41*1000
)</f>
        <v>517.00266793770834</v>
      </c>
      <c r="P65" s="101">
        <f>IF(TrRoad_act!P41=0,0,P28/TrRoad_act!P41*1000
)</f>
        <v>518.17898948317281</v>
      </c>
      <c r="Q65" s="101">
        <f>IF(TrRoad_act!Q41=0,0,Q28/TrRoad_act!Q41*1000
)</f>
        <v>515.25735720760122</v>
      </c>
      <c r="R65" s="101">
        <f>IF(TrRoad_act!R41=0,0,R28/TrRoad_act!R41*1000
)</f>
        <v>510.86340265515827</v>
      </c>
      <c r="S65" s="101">
        <f>IF(TrRoad_act!S41=0,0,S28/TrRoad_act!S41*1000
)</f>
        <v>494.91786928654847</v>
      </c>
      <c r="T65" s="101">
        <f>IF(TrRoad_act!T41=0,0,T28/TrRoad_act!T41*1000
)</f>
        <v>497.21846881529854</v>
      </c>
      <c r="U65" s="101">
        <f>IF(TrRoad_act!U41=0,0,U28/TrRoad_act!U41*1000
)</f>
        <v>487.01605706628055</v>
      </c>
      <c r="V65" s="101">
        <f>IF(TrRoad_act!V41=0,0,V28/TrRoad_act!V41*1000
)</f>
        <v>486.98041451737708</v>
      </c>
      <c r="W65" s="101">
        <f>IF(TrRoad_act!W41=0,0,W28/TrRoad_act!W41*1000
)</f>
        <v>489.3168504949233</v>
      </c>
      <c r="X65" s="101">
        <f>IF(TrRoad_act!X41=0,0,X28/TrRoad_act!X41*1000
)</f>
        <v>467.38849948965594</v>
      </c>
      <c r="Y65" s="101">
        <f>IF(TrRoad_act!Y41=0,0,Y28/TrRoad_act!Y41*1000
)</f>
        <v>456.66055199383806</v>
      </c>
      <c r="DA65" s="175" t="s">
        <v>780</v>
      </c>
    </row>
    <row r="66" spans="1:105" ht="11.45" customHeight="1" x14ac:dyDescent="0.25">
      <c r="A66" s="111" t="s">
        <v>111</v>
      </c>
      <c r="B66" s="101">
        <f>IF(TrRoad_act!B42=0,0,B29/TrRoad_act!B42*1000
)</f>
        <v>1938.9282222345394</v>
      </c>
      <c r="C66" s="101">
        <f>IF(TrRoad_act!C42=0,0,C29/TrRoad_act!C42*1000
)</f>
        <v>1823.3437391903751</v>
      </c>
      <c r="D66" s="101">
        <f>IF(TrRoad_act!D42=0,0,D29/TrRoad_act!D42*1000
)</f>
        <v>1793.3203022738867</v>
      </c>
      <c r="E66" s="101">
        <f>IF(TrRoad_act!E42=0,0,E29/TrRoad_act!E42*1000
)</f>
        <v>1760.8923464976203</v>
      </c>
      <c r="F66" s="101">
        <f>IF(TrRoad_act!F42=0,0,F29/TrRoad_act!F42*1000
)</f>
        <v>1737.7595592216705</v>
      </c>
      <c r="G66" s="101">
        <f>IF(TrRoad_act!G42=0,0,G29/TrRoad_act!G42*1000
)</f>
        <v>1718.5880607751672</v>
      </c>
      <c r="H66" s="101">
        <f>IF(TrRoad_act!H42=0,0,H29/TrRoad_act!H42*1000
)</f>
        <v>1701.2071916099551</v>
      </c>
      <c r="I66" s="101">
        <f>IF(TrRoad_act!I42=0,0,I29/TrRoad_act!I42*1000
)</f>
        <v>1681.3170810666563</v>
      </c>
      <c r="J66" s="101">
        <f>IF(TrRoad_act!J42=0,0,J29/TrRoad_act!J42*1000
)</f>
        <v>1661.7449300741046</v>
      </c>
      <c r="K66" s="101">
        <f>IF(TrRoad_act!K42=0,0,K29/TrRoad_act!K42*1000
)</f>
        <v>1641.9791312364625</v>
      </c>
      <c r="L66" s="101">
        <f>IF(TrRoad_act!L42=0,0,L29/TrRoad_act!L42*1000
)</f>
        <v>1628.6986109450684</v>
      </c>
      <c r="M66" s="101">
        <f>IF(TrRoad_act!M42=0,0,M29/TrRoad_act!M42*1000
)</f>
        <v>1620.4963648621228</v>
      </c>
      <c r="N66" s="101">
        <f>IF(TrRoad_act!N42=0,0,N29/TrRoad_act!N42*1000
)</f>
        <v>1628.4187461820518</v>
      </c>
      <c r="O66" s="101">
        <f>IF(TrRoad_act!O42=0,0,O29/TrRoad_act!O42*1000
)</f>
        <v>1617.2766862197204</v>
      </c>
      <c r="P66" s="101">
        <f>IF(TrRoad_act!P42=0,0,P29/TrRoad_act!P42*1000
)</f>
        <v>1613.9903060433553</v>
      </c>
      <c r="Q66" s="101">
        <f>IF(TrRoad_act!Q42=0,0,Q29/TrRoad_act!Q42*1000
)</f>
        <v>1622.6137224126603</v>
      </c>
      <c r="R66" s="101">
        <f>IF(TrRoad_act!R42=0,0,R29/TrRoad_act!R42*1000
)</f>
        <v>1642.4168276295409</v>
      </c>
      <c r="S66" s="101">
        <f>IF(TrRoad_act!S42=0,0,S29/TrRoad_act!S42*1000
)</f>
        <v>1622.8208437177161</v>
      </c>
      <c r="T66" s="101">
        <f>IF(TrRoad_act!T42=0,0,T29/TrRoad_act!T42*1000
)</f>
        <v>1628.9767061623716</v>
      </c>
      <c r="U66" s="101">
        <f>IF(TrRoad_act!U42=0,0,U29/TrRoad_act!U42*1000
)</f>
        <v>1606.4186046435352</v>
      </c>
      <c r="V66" s="101">
        <f>IF(TrRoad_act!V42=0,0,V29/TrRoad_act!V42*1000
)</f>
        <v>1597.2552056456905</v>
      </c>
      <c r="W66" s="101">
        <f>IF(TrRoad_act!W42=0,0,W29/TrRoad_act!W42*1000
)</f>
        <v>1588.807326056922</v>
      </c>
      <c r="X66" s="101">
        <f>IF(TrRoad_act!X42=0,0,X29/TrRoad_act!X42*1000
)</f>
        <v>1543.8109698343555</v>
      </c>
      <c r="Y66" s="101">
        <f>IF(TrRoad_act!Y42=0,0,Y29/TrRoad_act!Y42*1000
)</f>
        <v>1478.0738099789839</v>
      </c>
      <c r="DA66" s="175" t="s">
        <v>781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1147.3544320484041</v>
      </c>
      <c r="D67" s="101">
        <f>IF(TrRoad_act!D43=0,0,D30/TrRoad_act!D43*1000
)</f>
        <v>1147.3544320484041</v>
      </c>
      <c r="E67" s="101">
        <f>IF(TrRoad_act!E43=0,0,E30/TrRoad_act!E43*1000
)</f>
        <v>1147.3544320484039</v>
      </c>
      <c r="F67" s="101">
        <f>IF(TrRoad_act!F43=0,0,F30/TrRoad_act!F43*1000
)</f>
        <v>1147.3544320484041</v>
      </c>
      <c r="G67" s="101">
        <f>IF(TrRoad_act!G43=0,0,G30/TrRoad_act!G43*1000
)</f>
        <v>1147.3544320484039</v>
      </c>
      <c r="H67" s="101">
        <f>IF(TrRoad_act!H43=0,0,H30/TrRoad_act!H43*1000
)</f>
        <v>1147.3544320484043</v>
      </c>
      <c r="I67" s="101">
        <f>IF(TrRoad_act!I43=0,0,I30/TrRoad_act!I43*1000
)</f>
        <v>1147.3544320484043</v>
      </c>
      <c r="J67" s="101">
        <f>IF(TrRoad_act!J43=0,0,J30/TrRoad_act!J43*1000
)</f>
        <v>0</v>
      </c>
      <c r="K67" s="101">
        <f>IF(TrRoad_act!K43=0,0,K30/TrRoad_act!K43*1000
)</f>
        <v>0</v>
      </c>
      <c r="L67" s="101">
        <f>IF(TrRoad_act!L43=0,0,L30/TrRoad_act!L43*1000
)</f>
        <v>0</v>
      </c>
      <c r="M67" s="101">
        <f>IF(TrRoad_act!M43=0,0,M30/TrRoad_act!M43*1000
)</f>
        <v>0</v>
      </c>
      <c r="N67" s="101">
        <f>IF(TrRoad_act!N43=0,0,N30/TrRoad_act!N43*1000
)</f>
        <v>0</v>
      </c>
      <c r="O67" s="101">
        <f>IF(TrRoad_act!O43=0,0,O30/TrRoad_act!O43*1000
)</f>
        <v>0</v>
      </c>
      <c r="P67" s="101">
        <f>IF(TrRoad_act!P43=0,0,P30/TrRoad_act!P43*1000
)</f>
        <v>0</v>
      </c>
      <c r="Q67" s="101">
        <f>IF(TrRoad_act!Q43=0,0,Q30/TrRoad_act!Q43*1000
)</f>
        <v>0</v>
      </c>
      <c r="R67" s="101">
        <f>IF(TrRoad_act!R43=0,0,R30/TrRoad_act!R43*1000
)</f>
        <v>0</v>
      </c>
      <c r="S67" s="101">
        <f>IF(TrRoad_act!S43=0,0,S30/TrRoad_act!S43*1000
)</f>
        <v>0</v>
      </c>
      <c r="T67" s="101">
        <f>IF(TrRoad_act!T43=0,0,T30/TrRoad_act!T43*1000
)</f>
        <v>0</v>
      </c>
      <c r="U67" s="101">
        <f>IF(TrRoad_act!U43=0,0,U30/TrRoad_act!U43*1000
)</f>
        <v>0</v>
      </c>
      <c r="V67" s="101">
        <f>IF(TrRoad_act!V43=0,0,V30/TrRoad_act!V43*1000
)</f>
        <v>0</v>
      </c>
      <c r="W67" s="101">
        <f>IF(TrRoad_act!W43=0,0,W30/TrRoad_act!W43*1000
)</f>
        <v>0</v>
      </c>
      <c r="X67" s="101">
        <f>IF(TrRoad_act!X43=0,0,X30/TrRoad_act!X43*1000
)</f>
        <v>0</v>
      </c>
      <c r="Y67" s="101">
        <f>IF(TrRoad_act!Y43=0,0,Y30/TrRoad_act!Y43*1000
)</f>
        <v>0</v>
      </c>
      <c r="DA67" s="175" t="s">
        <v>782</v>
      </c>
    </row>
    <row r="68" spans="1:105" ht="11.45" customHeight="1" x14ac:dyDescent="0.25">
      <c r="A68" s="111" t="s">
        <v>113</v>
      </c>
      <c r="B68" s="101">
        <f>IF(TrRoad_act!B44=0,0,B31/TrRoad_act!B44*1000
)</f>
        <v>0</v>
      </c>
      <c r="C68" s="101">
        <f>IF(TrRoad_act!C44=0,0,C31/TrRoad_act!C44*1000
)</f>
        <v>0</v>
      </c>
      <c r="D68" s="101">
        <f>IF(TrRoad_act!D44=0,0,D31/TrRoad_act!D44*1000
)</f>
        <v>0</v>
      </c>
      <c r="E68" s="101">
        <f>IF(TrRoad_act!E44=0,0,E31/TrRoad_act!E44*1000
)</f>
        <v>0</v>
      </c>
      <c r="F68" s="101">
        <f>IF(TrRoad_act!F44=0,0,F31/TrRoad_act!F44*1000
)</f>
        <v>0</v>
      </c>
      <c r="G68" s="101">
        <f>IF(TrRoad_act!G44=0,0,G31/TrRoad_act!G44*1000
)</f>
        <v>0</v>
      </c>
      <c r="H68" s="101">
        <f>IF(TrRoad_act!H44=0,0,H31/TrRoad_act!H44*1000
)</f>
        <v>0</v>
      </c>
      <c r="I68" s="101">
        <f>IF(TrRoad_act!I44=0,0,I31/TrRoad_act!I44*1000
)</f>
        <v>0</v>
      </c>
      <c r="J68" s="101">
        <f>IF(TrRoad_act!J44=0,0,J31/TrRoad_act!J44*1000
)</f>
        <v>0</v>
      </c>
      <c r="K68" s="101">
        <f>IF(TrRoad_act!K44=0,0,K31/TrRoad_act!K44*1000
)</f>
        <v>0</v>
      </c>
      <c r="L68" s="101">
        <f>IF(TrRoad_act!L44=0,0,L31/TrRoad_act!L44*1000
)</f>
        <v>0</v>
      </c>
      <c r="M68" s="101">
        <f>IF(TrRoad_act!M44=0,0,M31/TrRoad_act!M44*1000
)</f>
        <v>0</v>
      </c>
      <c r="N68" s="101">
        <f>IF(TrRoad_act!N44=0,0,N31/TrRoad_act!N44*1000
)</f>
        <v>0</v>
      </c>
      <c r="O68" s="101">
        <f>IF(TrRoad_act!O44=0,0,O31/TrRoad_act!O44*1000
)</f>
        <v>0</v>
      </c>
      <c r="P68" s="101">
        <f>IF(TrRoad_act!P44=0,0,P31/TrRoad_act!P44*1000
)</f>
        <v>0</v>
      </c>
      <c r="Q68" s="101">
        <f>IF(TrRoad_act!Q44=0,0,Q31/TrRoad_act!Q44*1000
)</f>
        <v>0</v>
      </c>
      <c r="R68" s="101">
        <f>IF(TrRoad_act!R44=0,0,R31/TrRoad_act!R44*1000
)</f>
        <v>0</v>
      </c>
      <c r="S68" s="101">
        <f>IF(TrRoad_act!S44=0,0,S31/TrRoad_act!S44*1000
)</f>
        <v>0</v>
      </c>
      <c r="T68" s="101">
        <f>IF(TrRoad_act!T44=0,0,T31/TrRoad_act!T44*1000
)</f>
        <v>901.55087164658573</v>
      </c>
      <c r="U68" s="101">
        <f>IF(TrRoad_act!U44=0,0,U31/TrRoad_act!U44*1000
)</f>
        <v>1265.8404814297642</v>
      </c>
      <c r="V68" s="101">
        <f>IF(TrRoad_act!V44=0,0,V31/TrRoad_act!V44*1000
)</f>
        <v>1554.0273237096906</v>
      </c>
      <c r="W68" s="101">
        <f>IF(TrRoad_act!W44=0,0,W31/TrRoad_act!W44*1000
)</f>
        <v>3345.0356801681573</v>
      </c>
      <c r="X68" s="101">
        <f>IF(TrRoad_act!X44=0,0,X31/TrRoad_act!X44*1000
)</f>
        <v>1941.6497848075139</v>
      </c>
      <c r="Y68" s="101">
        <f>IF(TrRoad_act!Y44=0,0,Y31/TrRoad_act!Y44*1000
)</f>
        <v>1820.6129781094521</v>
      </c>
      <c r="DA68" s="175" t="s">
        <v>783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X69" s="101">
        <f>IF(TrRoad_act!X45=0,0,X32/TrRoad_act!X45*1000
)</f>
        <v>0</v>
      </c>
      <c r="Y69" s="101">
        <f>IF(TrRoad_act!Y45=0,0,Y32/TrRoad_act!Y45*1000
)</f>
        <v>0</v>
      </c>
      <c r="DA69" s="175" t="s">
        <v>784</v>
      </c>
    </row>
    <row r="70" spans="1:105" ht="11.45" customHeight="1" x14ac:dyDescent="0.25">
      <c r="A70" s="27" t="s">
        <v>34</v>
      </c>
      <c r="B70" s="29">
        <f>IF(TrRoad_act!B46=0,0,B33/TrRoad_act!B46*1000
)</f>
        <v>711.00010891039256</v>
      </c>
      <c r="C70" s="29">
        <f>IF(TrRoad_act!C46=0,0,C33/TrRoad_act!C46*1000
)</f>
        <v>708.73652352319186</v>
      </c>
      <c r="D70" s="29">
        <f>IF(TrRoad_act!D46=0,0,D33/TrRoad_act!D46*1000
)</f>
        <v>674.23158248254947</v>
      </c>
      <c r="E70" s="29">
        <f>IF(TrRoad_act!E46=0,0,E33/TrRoad_act!E46*1000
)</f>
        <v>653.06592232232299</v>
      </c>
      <c r="F70" s="29">
        <f>IF(TrRoad_act!F46=0,0,F33/TrRoad_act!F46*1000
)</f>
        <v>661.90981673595297</v>
      </c>
      <c r="G70" s="29">
        <f>IF(TrRoad_act!G46=0,0,G33/TrRoad_act!G46*1000
)</f>
        <v>643.70611688577401</v>
      </c>
      <c r="H70" s="29">
        <f>IF(TrRoad_act!H46=0,0,H33/TrRoad_act!H46*1000
)</f>
        <v>645.1099447479429</v>
      </c>
      <c r="I70" s="29">
        <f>IF(TrRoad_act!I46=0,0,I33/TrRoad_act!I46*1000
)</f>
        <v>656.54574179513031</v>
      </c>
      <c r="J70" s="29">
        <f>IF(TrRoad_act!J46=0,0,J33/TrRoad_act!J46*1000
)</f>
        <v>589.87924218625028</v>
      </c>
      <c r="K70" s="29">
        <f>IF(TrRoad_act!K46=0,0,K33/TrRoad_act!K46*1000
)</f>
        <v>533.16612383979532</v>
      </c>
      <c r="L70" s="29">
        <f>IF(TrRoad_act!L46=0,0,L33/TrRoad_act!L46*1000
)</f>
        <v>498.33352966126495</v>
      </c>
      <c r="M70" s="29">
        <f>IF(TrRoad_act!M46=0,0,M33/TrRoad_act!M46*1000
)</f>
        <v>478.50806932571504</v>
      </c>
      <c r="N70" s="29">
        <f>IF(TrRoad_act!N46=0,0,N33/TrRoad_act!N46*1000
)</f>
        <v>486.00479405122428</v>
      </c>
      <c r="O70" s="29">
        <f>IF(TrRoad_act!O46=0,0,O33/TrRoad_act!O46*1000
)</f>
        <v>479.38641663849819</v>
      </c>
      <c r="P70" s="29">
        <f>IF(TrRoad_act!P46=0,0,P33/TrRoad_act!P46*1000
)</f>
        <v>499.71365609324909</v>
      </c>
      <c r="Q70" s="29">
        <f>IF(TrRoad_act!Q46=0,0,Q33/TrRoad_act!Q46*1000
)</f>
        <v>516.65955132983208</v>
      </c>
      <c r="R70" s="29">
        <f>IF(TrRoad_act!R46=0,0,R33/TrRoad_act!R46*1000
)</f>
        <v>534.69854984467963</v>
      </c>
      <c r="S70" s="29">
        <f>IF(TrRoad_act!S46=0,0,S33/TrRoad_act!S46*1000
)</f>
        <v>516.52864076927108</v>
      </c>
      <c r="T70" s="29">
        <f>IF(TrRoad_act!T46=0,0,T33/TrRoad_act!T46*1000
)</f>
        <v>525.87063276299261</v>
      </c>
      <c r="U70" s="29">
        <f>IF(TrRoad_act!U46=0,0,U33/TrRoad_act!U46*1000
)</f>
        <v>530.26500879420644</v>
      </c>
      <c r="V70" s="29">
        <f>IF(TrRoad_act!V46=0,0,V33/TrRoad_act!V46*1000
)</f>
        <v>488.43913892618696</v>
      </c>
      <c r="W70" s="29">
        <f>IF(TrRoad_act!W46=0,0,W33/TrRoad_act!W46*1000
)</f>
        <v>508.86988697937807</v>
      </c>
      <c r="X70" s="29">
        <f>IF(TrRoad_act!X46=0,0,X33/TrRoad_act!X46*1000
)</f>
        <v>514.6978023007058</v>
      </c>
      <c r="Y70" s="29">
        <f>IF(TrRoad_act!Y46=0,0,Y33/TrRoad_act!Y46*1000
)</f>
        <v>502.20905962142047</v>
      </c>
      <c r="DA70" s="173" t="s">
        <v>785</v>
      </c>
    </row>
    <row r="71" spans="1:105" ht="11.45" customHeight="1" x14ac:dyDescent="0.25">
      <c r="A71" s="136" t="s">
        <v>153</v>
      </c>
      <c r="B71" s="152">
        <f>IF(TrRoad_act!B47=0,0,B34/TrRoad_act!B47*1000
)</f>
        <v>348.78073946845541</v>
      </c>
      <c r="C71" s="152">
        <f>IF(TrRoad_act!C47=0,0,C34/TrRoad_act!C47*1000
)</f>
        <v>333.13943730378321</v>
      </c>
      <c r="D71" s="152">
        <f>IF(TrRoad_act!D47=0,0,D34/TrRoad_act!D47*1000
)</f>
        <v>327.62154864606157</v>
      </c>
      <c r="E71" s="152">
        <f>IF(TrRoad_act!E47=0,0,E34/TrRoad_act!E47*1000
)</f>
        <v>323.33641893065209</v>
      </c>
      <c r="F71" s="152">
        <f>IF(TrRoad_act!F47=0,0,F34/TrRoad_act!F47*1000
)</f>
        <v>325.59563767045398</v>
      </c>
      <c r="G71" s="152">
        <f>IF(TrRoad_act!G47=0,0,G34/TrRoad_act!G47*1000
)</f>
        <v>323.65911943900119</v>
      </c>
      <c r="H71" s="152">
        <f>IF(TrRoad_act!H47=0,0,H34/TrRoad_act!H47*1000
)</f>
        <v>324.89171854953941</v>
      </c>
      <c r="I71" s="152">
        <f>IF(TrRoad_act!I47=0,0,I34/TrRoad_act!I47*1000
)</f>
        <v>325.10819789563624</v>
      </c>
      <c r="J71" s="152">
        <f>IF(TrRoad_act!J47=0,0,J34/TrRoad_act!J47*1000
)</f>
        <v>313.95545911786837</v>
      </c>
      <c r="K71" s="152">
        <f>IF(TrRoad_act!K47=0,0,K34/TrRoad_act!K47*1000
)</f>
        <v>307.34025157506875</v>
      </c>
      <c r="L71" s="152">
        <f>IF(TrRoad_act!L47=0,0,L34/TrRoad_act!L47*1000
)</f>
        <v>301.3726154946466</v>
      </c>
      <c r="M71" s="152">
        <f>IF(TrRoad_act!M47=0,0,M34/TrRoad_act!M47*1000
)</f>
        <v>296.91422464899659</v>
      </c>
      <c r="N71" s="152">
        <f>IF(TrRoad_act!N47=0,0,N34/TrRoad_act!N47*1000
)</f>
        <v>296.82459734062274</v>
      </c>
      <c r="O71" s="152">
        <f>IF(TrRoad_act!O47=0,0,O34/TrRoad_act!O47*1000
)</f>
        <v>292.52360808071592</v>
      </c>
      <c r="P71" s="152">
        <f>IF(TrRoad_act!P47=0,0,P34/TrRoad_act!P47*1000
)</f>
        <v>291.86806722296706</v>
      </c>
      <c r="Q71" s="152">
        <f>IF(TrRoad_act!Q47=0,0,Q34/TrRoad_act!Q47*1000
)</f>
        <v>298.35859871965062</v>
      </c>
      <c r="R71" s="152">
        <f>IF(TrRoad_act!R47=0,0,R34/TrRoad_act!R47*1000
)</f>
        <v>296.41493604010776</v>
      </c>
      <c r="S71" s="152">
        <f>IF(TrRoad_act!S47=0,0,S34/TrRoad_act!S47*1000
)</f>
        <v>287.73378785749986</v>
      </c>
      <c r="T71" s="152">
        <f>IF(TrRoad_act!T47=0,0,T34/TrRoad_act!T47*1000
)</f>
        <v>285.97085049759772</v>
      </c>
      <c r="U71" s="152">
        <f>IF(TrRoad_act!U47=0,0,U34/TrRoad_act!U47*1000
)</f>
        <v>278.34707283828163</v>
      </c>
      <c r="V71" s="152">
        <f>IF(TrRoad_act!V47=0,0,V34/TrRoad_act!V47*1000
)</f>
        <v>274.34118179265664</v>
      </c>
      <c r="W71" s="152">
        <f>IF(TrRoad_act!W47=0,0,W34/TrRoad_act!W47*1000
)</f>
        <v>276.13586629929478</v>
      </c>
      <c r="X71" s="152">
        <f>IF(TrRoad_act!X47=0,0,X34/TrRoad_act!X47*1000
)</f>
        <v>285.59366820538202</v>
      </c>
      <c r="Y71" s="152">
        <f>IF(TrRoad_act!Y47=0,0,Y34/TrRoad_act!Y47*1000
)</f>
        <v>277.90651950534954</v>
      </c>
      <c r="DA71" s="174" t="s">
        <v>786</v>
      </c>
    </row>
    <row r="72" spans="1:105" ht="11.45" customHeight="1" x14ac:dyDescent="0.25">
      <c r="A72" s="111" t="s">
        <v>110</v>
      </c>
      <c r="B72" s="87">
        <f>IF(TrRoad_act!B48=0,0,B35/TrRoad_act!B48*1000
)</f>
        <v>270.67950717302597</v>
      </c>
      <c r="C72" s="87">
        <f>IF(TrRoad_act!C48=0,0,C35/TrRoad_act!C48*1000
)</f>
        <v>267.20773733003432</v>
      </c>
      <c r="D72" s="87">
        <f>IF(TrRoad_act!D48=0,0,D35/TrRoad_act!D48*1000
)</f>
        <v>264.99331811357456</v>
      </c>
      <c r="E72" s="87">
        <f>IF(TrRoad_act!E48=0,0,E35/TrRoad_act!E48*1000
)</f>
        <v>262.88003963726652</v>
      </c>
      <c r="F72" s="87">
        <f>IF(TrRoad_act!F48=0,0,F35/TrRoad_act!F48*1000
)</f>
        <v>259.97566467651967</v>
      </c>
      <c r="G72" s="87">
        <f>IF(TrRoad_act!G48=0,0,G35/TrRoad_act!G48*1000
)</f>
        <v>255.01919410978013</v>
      </c>
      <c r="H72" s="87">
        <f>IF(TrRoad_act!H48=0,0,H35/TrRoad_act!H48*1000
)</f>
        <v>248.64097498645123</v>
      </c>
      <c r="I72" s="87">
        <f>IF(TrRoad_act!I48=0,0,I35/TrRoad_act!I48*1000
)</f>
        <v>242.18515137510371</v>
      </c>
      <c r="J72" s="87">
        <f>IF(TrRoad_act!J48=0,0,J35/TrRoad_act!J48*1000
)</f>
        <v>238.05244836212836</v>
      </c>
      <c r="K72" s="87">
        <f>IF(TrRoad_act!K48=0,0,K35/TrRoad_act!K48*1000
)</f>
        <v>236.17927508645604</v>
      </c>
      <c r="L72" s="87">
        <f>IF(TrRoad_act!L48=0,0,L35/TrRoad_act!L48*1000
)</f>
        <v>233.96227850514779</v>
      </c>
      <c r="M72" s="87">
        <f>IF(TrRoad_act!M48=0,0,M35/TrRoad_act!M48*1000
)</f>
        <v>233.68364765632231</v>
      </c>
      <c r="N72" s="87">
        <f>IF(TrRoad_act!N48=0,0,N35/TrRoad_act!N48*1000
)</f>
        <v>231.92930530091823</v>
      </c>
      <c r="O72" s="87">
        <f>IF(TrRoad_act!O48=0,0,O35/TrRoad_act!O48*1000
)</f>
        <v>231.46770639502188</v>
      </c>
      <c r="P72" s="87">
        <f>IF(TrRoad_act!P48=0,0,P35/TrRoad_act!P48*1000
)</f>
        <v>231.25366268848438</v>
      </c>
      <c r="Q72" s="87">
        <f>IF(TrRoad_act!Q48=0,0,Q35/TrRoad_act!Q48*1000
)</f>
        <v>229.22778240589273</v>
      </c>
      <c r="R72" s="87">
        <f>IF(TrRoad_act!R48=0,0,R35/TrRoad_act!R48*1000
)</f>
        <v>227.25113888990492</v>
      </c>
      <c r="S72" s="87">
        <f>IF(TrRoad_act!S48=0,0,S35/TrRoad_act!S48*1000
)</f>
        <v>231.52643998193091</v>
      </c>
      <c r="T72" s="87">
        <f>IF(TrRoad_act!T48=0,0,T35/TrRoad_act!T48*1000
)</f>
        <v>228.70406310362517</v>
      </c>
      <c r="U72" s="87">
        <f>IF(TrRoad_act!U48=0,0,U35/TrRoad_act!U48*1000
)</f>
        <v>226.04004084835586</v>
      </c>
      <c r="V72" s="87">
        <f>IF(TrRoad_act!V48=0,0,V35/TrRoad_act!V48*1000
)</f>
        <v>212.86776291753935</v>
      </c>
      <c r="W72" s="87">
        <f>IF(TrRoad_act!W48=0,0,W35/TrRoad_act!W48*1000
)</f>
        <v>214.5436773403689</v>
      </c>
      <c r="X72" s="87">
        <f>IF(TrRoad_act!X48=0,0,X35/TrRoad_act!X48*1000
)</f>
        <v>226.59089966025397</v>
      </c>
      <c r="Y72" s="87">
        <f>IF(TrRoad_act!Y48=0,0,Y35/TrRoad_act!Y48*1000
)</f>
        <v>229.12020554584382</v>
      </c>
      <c r="DA72" s="171" t="s">
        <v>787</v>
      </c>
    </row>
    <row r="73" spans="1:105" ht="11.45" customHeight="1" x14ac:dyDescent="0.25">
      <c r="A73" s="111" t="s">
        <v>111</v>
      </c>
      <c r="B73" s="87">
        <f>IF(TrRoad_act!B49=0,0,B36/TrRoad_act!B49*1000
)</f>
        <v>349.85523078439525</v>
      </c>
      <c r="C73" s="87">
        <f>IF(TrRoad_act!C49=0,0,C36/TrRoad_act!C49*1000
)</f>
        <v>333.909218006115</v>
      </c>
      <c r="D73" s="87">
        <f>IF(TrRoad_act!D49=0,0,D36/TrRoad_act!D49*1000
)</f>
        <v>328.25530074416753</v>
      </c>
      <c r="E73" s="87">
        <f>IF(TrRoad_act!E49=0,0,E36/TrRoad_act!E49*1000
)</f>
        <v>323.84916828754029</v>
      </c>
      <c r="F73" s="87">
        <f>IF(TrRoad_act!F49=0,0,F36/TrRoad_act!F49*1000
)</f>
        <v>326.04995392415645</v>
      </c>
      <c r="G73" s="87">
        <f>IF(TrRoad_act!G49=0,0,G36/TrRoad_act!G49*1000
)</f>
        <v>324.001717904717</v>
      </c>
      <c r="H73" s="87">
        <f>IF(TrRoad_act!H49=0,0,H36/TrRoad_act!H49*1000
)</f>
        <v>325.16510087059339</v>
      </c>
      <c r="I73" s="87">
        <f>IF(TrRoad_act!I49=0,0,I36/TrRoad_act!I49*1000
)</f>
        <v>325.32984601223626</v>
      </c>
      <c r="J73" s="87">
        <f>IF(TrRoad_act!J49=0,0,J36/TrRoad_act!J49*1000
)</f>
        <v>314.13736719654156</v>
      </c>
      <c r="K73" s="87">
        <f>IF(TrRoad_act!K49=0,0,K36/TrRoad_act!K49*1000
)</f>
        <v>307.50179866074541</v>
      </c>
      <c r="L73" s="87">
        <f>IF(TrRoad_act!L49=0,0,L36/TrRoad_act!L49*1000
)</f>
        <v>301.51003013633738</v>
      </c>
      <c r="M73" s="87">
        <f>IF(TrRoad_act!M49=0,0,M36/TrRoad_act!M49*1000
)</f>
        <v>297.0540583005951</v>
      </c>
      <c r="N73" s="87">
        <f>IF(TrRoad_act!N49=0,0,N36/TrRoad_act!N49*1000
)</f>
        <v>296.99153299936768</v>
      </c>
      <c r="O73" s="87">
        <f>IF(TrRoad_act!O49=0,0,O36/TrRoad_act!O49*1000
)</f>
        <v>292.6791897344267</v>
      </c>
      <c r="P73" s="87">
        <f>IF(TrRoad_act!P49=0,0,P36/TrRoad_act!P49*1000
)</f>
        <v>292.02953809757696</v>
      </c>
      <c r="Q73" s="87">
        <f>IF(TrRoad_act!Q49=0,0,Q36/TrRoad_act!Q49*1000
)</f>
        <v>298.52753942164929</v>
      </c>
      <c r="R73" s="87">
        <f>IF(TrRoad_act!R49=0,0,R36/TrRoad_act!R49*1000
)</f>
        <v>296.58179025539818</v>
      </c>
      <c r="S73" s="87">
        <f>IF(TrRoad_act!S49=0,0,S36/TrRoad_act!S49*1000
)</f>
        <v>287.94544091921557</v>
      </c>
      <c r="T73" s="87">
        <f>IF(TrRoad_act!T49=0,0,T36/TrRoad_act!T49*1000
)</f>
        <v>286.19496125326901</v>
      </c>
      <c r="U73" s="87">
        <f>IF(TrRoad_act!U49=0,0,U36/TrRoad_act!U49*1000
)</f>
        <v>278.82950693847107</v>
      </c>
      <c r="V73" s="87">
        <f>IF(TrRoad_act!V49=0,0,V36/TrRoad_act!V49*1000
)</f>
        <v>275.25696125305916</v>
      </c>
      <c r="W73" s="87">
        <f>IF(TrRoad_act!W49=0,0,W36/TrRoad_act!W49*1000
)</f>
        <v>277.62146125105755</v>
      </c>
      <c r="X73" s="87">
        <f>IF(TrRoad_act!X49=0,0,X36/TrRoad_act!X49*1000
)</f>
        <v>287.69859585484028</v>
      </c>
      <c r="Y73" s="87">
        <f>IF(TrRoad_act!Y49=0,0,Y36/TrRoad_act!Y49*1000
)</f>
        <v>280.67263763162163</v>
      </c>
      <c r="DA73" s="171" t="s">
        <v>788</v>
      </c>
    </row>
    <row r="74" spans="1:105" ht="11.45" customHeight="1" x14ac:dyDescent="0.25">
      <c r="A74" s="111" t="s">
        <v>112</v>
      </c>
      <c r="B74" s="87">
        <f>IF(TrRoad_act!B50=0,0,B37/TrRoad_act!B50*1000
)</f>
        <v>0</v>
      </c>
      <c r="C74" s="87">
        <f>IF(TrRoad_act!C50=0,0,C37/TrRoad_act!C50*1000
)</f>
        <v>0</v>
      </c>
      <c r="D74" s="87">
        <f>IF(TrRoad_act!D50=0,0,D37/TrRoad_act!D50*1000
)</f>
        <v>0</v>
      </c>
      <c r="E74" s="87">
        <f>IF(TrRoad_act!E50=0,0,E37/TrRoad_act!E50*1000
)</f>
        <v>0</v>
      </c>
      <c r="F74" s="87">
        <f>IF(TrRoad_act!F50=0,0,F37/TrRoad_act!F50*1000
)</f>
        <v>0</v>
      </c>
      <c r="G74" s="87">
        <f>IF(TrRoad_act!G50=0,0,G37/TrRoad_act!G50*1000
)</f>
        <v>0</v>
      </c>
      <c r="H74" s="87">
        <f>IF(TrRoad_act!H50=0,0,H37/TrRoad_act!H50*1000
)</f>
        <v>0</v>
      </c>
      <c r="I74" s="87">
        <f>IF(TrRoad_act!I50=0,0,I37/TrRoad_act!I50*1000
)</f>
        <v>0</v>
      </c>
      <c r="J74" s="87">
        <f>IF(TrRoad_act!J50=0,0,J37/TrRoad_act!J50*1000
)</f>
        <v>0</v>
      </c>
      <c r="K74" s="87">
        <f>IF(TrRoad_act!K50=0,0,K37/TrRoad_act!K50*1000
)</f>
        <v>0</v>
      </c>
      <c r="L74" s="87">
        <f>IF(TrRoad_act!L50=0,0,L37/TrRoad_act!L50*1000
)</f>
        <v>0</v>
      </c>
      <c r="M74" s="87">
        <f>IF(TrRoad_act!M50=0,0,M37/TrRoad_act!M50*1000
)</f>
        <v>0</v>
      </c>
      <c r="N74" s="87">
        <f>IF(TrRoad_act!N50=0,0,N37/TrRoad_act!N50*1000
)</f>
        <v>0</v>
      </c>
      <c r="O74" s="87">
        <f>IF(TrRoad_act!O50=0,0,O37/TrRoad_act!O50*1000
)</f>
        <v>222.68509580479039</v>
      </c>
      <c r="P74" s="87">
        <f>IF(TrRoad_act!P50=0,0,P37/TrRoad_act!P50*1000
)</f>
        <v>224.61104053718614</v>
      </c>
      <c r="Q74" s="87">
        <f>IF(TrRoad_act!Q50=0,0,Q37/TrRoad_act!Q50*1000
)</f>
        <v>224.6110405371862</v>
      </c>
      <c r="R74" s="87">
        <f>IF(TrRoad_act!R50=0,0,R37/TrRoad_act!R50*1000
)</f>
        <v>224.61104053718614</v>
      </c>
      <c r="S74" s="87">
        <f>IF(TrRoad_act!S50=0,0,S37/TrRoad_act!S50*1000
)</f>
        <v>214.71928994953663</v>
      </c>
      <c r="T74" s="87">
        <f>IF(TrRoad_act!T50=0,0,T37/TrRoad_act!T50*1000
)</f>
        <v>214.71928994953663</v>
      </c>
      <c r="U74" s="87">
        <f>IF(TrRoad_act!U50=0,0,U37/TrRoad_act!U50*1000
)</f>
        <v>214.7192899495366</v>
      </c>
      <c r="V74" s="87">
        <f>IF(TrRoad_act!V50=0,0,V37/TrRoad_act!V50*1000
)</f>
        <v>212.83764795013212</v>
      </c>
      <c r="W74" s="87">
        <f>IF(TrRoad_act!W50=0,0,W37/TrRoad_act!W50*1000
)</f>
        <v>212.83764795013207</v>
      </c>
      <c r="X74" s="87">
        <f>IF(TrRoad_act!X50=0,0,X37/TrRoad_act!X50*1000
)</f>
        <v>212.83764795013212</v>
      </c>
      <c r="Y74" s="87">
        <f>IF(TrRoad_act!Y50=0,0,Y37/TrRoad_act!Y50*1000
)</f>
        <v>212.83764795013212</v>
      </c>
      <c r="DA74" s="171" t="s">
        <v>789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0</v>
      </c>
      <c r="I75" s="87">
        <f>IF(TrRoad_act!I51=0,0,I38/TrRoad_act!I51*1000
)</f>
        <v>0</v>
      </c>
      <c r="J75" s="87">
        <f>IF(TrRoad_act!J51=0,0,J38/TrRoad_act!J51*1000
)</f>
        <v>0</v>
      </c>
      <c r="K75" s="87">
        <f>IF(TrRoad_act!K51=0,0,K38/TrRoad_act!K51*1000
)</f>
        <v>0</v>
      </c>
      <c r="L75" s="87">
        <f>IF(TrRoad_act!L51=0,0,L38/TrRoad_act!L51*1000
)</f>
        <v>0</v>
      </c>
      <c r="M75" s="87">
        <f>IF(TrRoad_act!M51=0,0,M38/TrRoad_act!M51*1000
)</f>
        <v>0</v>
      </c>
      <c r="N75" s="87">
        <f>IF(TrRoad_act!N51=0,0,N38/TrRoad_act!N51*1000
)</f>
        <v>0</v>
      </c>
      <c r="O75" s="87">
        <f>IF(TrRoad_act!O51=0,0,O38/TrRoad_act!O51*1000
)</f>
        <v>0</v>
      </c>
      <c r="P75" s="87">
        <f>IF(TrRoad_act!P51=0,0,P38/TrRoad_act!P51*1000
)</f>
        <v>0</v>
      </c>
      <c r="Q75" s="87">
        <f>IF(TrRoad_act!Q51=0,0,Q38/TrRoad_act!Q51*1000
)</f>
        <v>0</v>
      </c>
      <c r="R75" s="87">
        <f>IF(TrRoad_act!R51=0,0,R38/TrRoad_act!R51*1000
)</f>
        <v>191.6536518878066</v>
      </c>
      <c r="S75" s="87">
        <f>IF(TrRoad_act!S51=0,0,S38/TrRoad_act!S51*1000
)</f>
        <v>191.6536518878066</v>
      </c>
      <c r="T75" s="87">
        <f>IF(TrRoad_act!T51=0,0,T38/TrRoad_act!T51*1000
)</f>
        <v>191.65365188780657</v>
      </c>
      <c r="U75" s="87">
        <f>IF(TrRoad_act!U51=0,0,U38/TrRoad_act!U51*1000
)</f>
        <v>226.87069430482649</v>
      </c>
      <c r="V75" s="87">
        <f>IF(TrRoad_act!V51=0,0,V38/TrRoad_act!V51*1000
)</f>
        <v>370.78144069444716</v>
      </c>
      <c r="W75" s="87">
        <f>IF(TrRoad_act!W51=0,0,W38/TrRoad_act!W51*1000
)</f>
        <v>798.10511034410661</v>
      </c>
      <c r="X75" s="87">
        <f>IF(TrRoad_act!X51=0,0,X38/TrRoad_act!X51*1000
)</f>
        <v>463.55159233565263</v>
      </c>
      <c r="Y75" s="87">
        <f>IF(TrRoad_act!Y51=0,0,Y38/TrRoad_act!Y51*1000
)</f>
        <v>487.83782284995971</v>
      </c>
      <c r="DA75" s="171" t="s">
        <v>790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X76" s="87">
        <f>IF(TrRoad_act!X52=0,0,X39/TrRoad_act!X52*1000
)</f>
        <v>0</v>
      </c>
      <c r="Y76" s="87">
        <f>IF(TrRoad_act!Y52=0,0,Y39/TrRoad_act!Y52*1000
)</f>
        <v>0</v>
      </c>
      <c r="DA76" s="171" t="s">
        <v>791</v>
      </c>
    </row>
    <row r="77" spans="1:105" ht="11.45" customHeight="1" x14ac:dyDescent="0.25">
      <c r="A77" s="109" t="s">
        <v>154</v>
      </c>
      <c r="B77" s="116">
        <f>IF(TrRoad_act!B53=0,0,B40/TrRoad_act!B53*1000
)</f>
        <v>1409.7869362719975</v>
      </c>
      <c r="C77" s="116">
        <f>IF(TrRoad_act!C53=0,0,C40/TrRoad_act!C53*1000
)</f>
        <v>1473.8067129617029</v>
      </c>
      <c r="D77" s="116">
        <f>IF(TrRoad_act!D53=0,0,D40/TrRoad_act!D53*1000
)</f>
        <v>1337.2025644726211</v>
      </c>
      <c r="E77" s="116">
        <f>IF(TrRoad_act!E53=0,0,E40/TrRoad_act!E53*1000
)</f>
        <v>1293.5927376349455</v>
      </c>
      <c r="F77" s="116">
        <f>IF(TrRoad_act!F53=0,0,F40/TrRoad_act!F53*1000
)</f>
        <v>1293.1747076989698</v>
      </c>
      <c r="G77" s="116">
        <f>IF(TrRoad_act!G53=0,0,G40/TrRoad_act!G53*1000
)</f>
        <v>1232.532965227914</v>
      </c>
      <c r="H77" s="116">
        <f>IF(TrRoad_act!H53=0,0,H40/TrRoad_act!H53*1000
)</f>
        <v>1277.9747863857742</v>
      </c>
      <c r="I77" s="116">
        <f>IF(TrRoad_act!I53=0,0,I40/TrRoad_act!I53*1000
)</f>
        <v>1314.9116905924059</v>
      </c>
      <c r="J77" s="116">
        <f>IF(TrRoad_act!J53=0,0,J40/TrRoad_act!J53*1000
)</f>
        <v>1186.4031575963779</v>
      </c>
      <c r="K77" s="116">
        <f>IF(TrRoad_act!K53=0,0,K40/TrRoad_act!K53*1000
)</f>
        <v>1203.1443352340079</v>
      </c>
      <c r="L77" s="116">
        <f>IF(TrRoad_act!L53=0,0,L40/TrRoad_act!L53*1000
)</f>
        <v>1068.0069244886622</v>
      </c>
      <c r="M77" s="116">
        <f>IF(TrRoad_act!M53=0,0,M40/TrRoad_act!M53*1000
)</f>
        <v>1019.5979879307664</v>
      </c>
      <c r="N77" s="116">
        <f>IF(TrRoad_act!N53=0,0,N40/TrRoad_act!N53*1000
)</f>
        <v>1031.8772814387812</v>
      </c>
      <c r="O77" s="116">
        <f>IF(TrRoad_act!O53=0,0,O40/TrRoad_act!O53*1000
)</f>
        <v>1043.0988117371535</v>
      </c>
      <c r="P77" s="116">
        <f>IF(TrRoad_act!P53=0,0,P40/TrRoad_act!P53*1000
)</f>
        <v>1100.6923349796548</v>
      </c>
      <c r="Q77" s="116">
        <f>IF(TrRoad_act!Q53=0,0,Q40/TrRoad_act!Q53*1000
)</f>
        <v>1111.1835328234872</v>
      </c>
      <c r="R77" s="116">
        <f>IF(TrRoad_act!R53=0,0,R40/TrRoad_act!R53*1000
)</f>
        <v>1097.6274591122813</v>
      </c>
      <c r="S77" s="116">
        <f>IF(TrRoad_act!S53=0,0,S40/TrRoad_act!S53*1000
)</f>
        <v>1044.5566851381445</v>
      </c>
      <c r="T77" s="116">
        <f>IF(TrRoad_act!T53=0,0,T40/TrRoad_act!T53*1000
)</f>
        <v>1073.3642014974137</v>
      </c>
      <c r="U77" s="116">
        <f>IF(TrRoad_act!U53=0,0,U40/TrRoad_act!U53*1000
)</f>
        <v>1061.8050060637147</v>
      </c>
      <c r="V77" s="116">
        <f>IF(TrRoad_act!V53=0,0,V40/TrRoad_act!V53*1000
)</f>
        <v>1004.8488724678788</v>
      </c>
      <c r="W77" s="116">
        <f>IF(TrRoad_act!W53=0,0,W40/TrRoad_act!W53*1000
)</f>
        <v>1033.5966879960233</v>
      </c>
      <c r="X77" s="116">
        <f>IF(TrRoad_act!X53=0,0,X40/TrRoad_act!X53*1000
)</f>
        <v>1025.8791780146757</v>
      </c>
      <c r="Y77" s="116">
        <f>IF(TrRoad_act!Y53=0,0,Y40/TrRoad_act!Y53*1000
)</f>
        <v>1027.5131918367408</v>
      </c>
      <c r="DA77" s="176" t="s">
        <v>792</v>
      </c>
    </row>
    <row r="78" spans="1:105" ht="11.45" customHeight="1" x14ac:dyDescent="0.25">
      <c r="A78" s="128" t="s">
        <v>27</v>
      </c>
      <c r="B78" s="101">
        <f>IF(TrRoad_act!B54=0,0,B41/TrRoad_act!B54*1000
)</f>
        <v>1379.3071044004807</v>
      </c>
      <c r="C78" s="101">
        <f>IF(TrRoad_act!C54=0,0,C41/TrRoad_act!C54*1000
)</f>
        <v>1440.6138798400038</v>
      </c>
      <c r="D78" s="101">
        <f>IF(TrRoad_act!D54=0,0,D41/TrRoad_act!D54*1000
)</f>
        <v>1310.098023649387</v>
      </c>
      <c r="E78" s="101">
        <f>IF(TrRoad_act!E54=0,0,E41/TrRoad_act!E54*1000
)</f>
        <v>1268.4602718139047</v>
      </c>
      <c r="F78" s="101">
        <f>IF(TrRoad_act!F54=0,0,F41/TrRoad_act!F54*1000
)</f>
        <v>1267.3058408492268</v>
      </c>
      <c r="G78" s="101">
        <f>IF(TrRoad_act!G54=0,0,G41/TrRoad_act!G54*1000
)</f>
        <v>1209.4366946979778</v>
      </c>
      <c r="H78" s="101">
        <f>IF(TrRoad_act!H54=0,0,H41/TrRoad_act!H54*1000
)</f>
        <v>1253.2552596910245</v>
      </c>
      <c r="I78" s="101">
        <f>IF(TrRoad_act!I54=0,0,I41/TrRoad_act!I54*1000
)</f>
        <v>1288.9302417813658</v>
      </c>
      <c r="J78" s="101">
        <f>IF(TrRoad_act!J54=0,0,J41/TrRoad_act!J54*1000
)</f>
        <v>1164.0824552211404</v>
      </c>
      <c r="K78" s="101">
        <f>IF(TrRoad_act!K54=0,0,K41/TrRoad_act!K54*1000
)</f>
        <v>1176.0249199757709</v>
      </c>
      <c r="L78" s="101">
        <f>IF(TrRoad_act!L54=0,0,L41/TrRoad_act!L54*1000
)</f>
        <v>1043.699061925963</v>
      </c>
      <c r="M78" s="101">
        <f>IF(TrRoad_act!M54=0,0,M41/TrRoad_act!M54*1000
)</f>
        <v>994.01418558444357</v>
      </c>
      <c r="N78" s="101">
        <f>IF(TrRoad_act!N54=0,0,N41/TrRoad_act!N54*1000
)</f>
        <v>1008.1921400309486</v>
      </c>
      <c r="O78" s="101">
        <f>IF(TrRoad_act!O54=0,0,O41/TrRoad_act!O54*1000
)</f>
        <v>1019.948958507253</v>
      </c>
      <c r="P78" s="101">
        <f>IF(TrRoad_act!P54=0,0,P41/TrRoad_act!P54*1000
)</f>
        <v>1076.6365704633038</v>
      </c>
      <c r="Q78" s="101">
        <f>IF(TrRoad_act!Q54=0,0,Q41/TrRoad_act!Q54*1000
)</f>
        <v>1084.3456546902041</v>
      </c>
      <c r="R78" s="101">
        <f>IF(TrRoad_act!R54=0,0,R41/TrRoad_act!R54*1000
)</f>
        <v>1075.6091837953791</v>
      </c>
      <c r="S78" s="101">
        <f>IF(TrRoad_act!S54=0,0,S41/TrRoad_act!S54*1000
)</f>
        <v>1024.2848165028952</v>
      </c>
      <c r="T78" s="101">
        <f>IF(TrRoad_act!T54=0,0,T41/TrRoad_act!T54*1000
)</f>
        <v>1050.9992381964112</v>
      </c>
      <c r="U78" s="101">
        <f>IF(TrRoad_act!U54=0,0,U41/TrRoad_act!U54*1000
)</f>
        <v>1038.3296320685993</v>
      </c>
      <c r="V78" s="101">
        <f>IF(TrRoad_act!V54=0,0,V41/TrRoad_act!V54*1000
)</f>
        <v>994.46497393207255</v>
      </c>
      <c r="W78" s="101">
        <f>IF(TrRoad_act!W54=0,0,W41/TrRoad_act!W54*1000
)</f>
        <v>1023.3806181165414</v>
      </c>
      <c r="X78" s="101">
        <f>IF(TrRoad_act!X54=0,0,X41/TrRoad_act!X54*1000
)</f>
        <v>1016.3349239037309</v>
      </c>
      <c r="Y78" s="101">
        <f>IF(TrRoad_act!Y54=0,0,Y41/TrRoad_act!Y54*1000
)</f>
        <v>1017.3654161114645</v>
      </c>
      <c r="DA78" s="175" t="s">
        <v>793</v>
      </c>
    </row>
    <row r="79" spans="1:105" ht="11.45" customHeight="1" x14ac:dyDescent="0.25">
      <c r="A79" s="138" t="s">
        <v>116</v>
      </c>
      <c r="B79" s="88">
        <f>IF(TrRoad_act!B55=0,0,B42/TrRoad_act!B55*1000
)</f>
        <v>2086.8429613621502</v>
      </c>
      <c r="C79" s="88">
        <f>IF(TrRoad_act!C55=0,0,C42/TrRoad_act!C55*1000
)</f>
        <v>2175.3960165293138</v>
      </c>
      <c r="D79" s="88">
        <f>IF(TrRoad_act!D55=0,0,D42/TrRoad_act!D55*1000
)</f>
        <v>1959.7079870876826</v>
      </c>
      <c r="E79" s="88">
        <f>IF(TrRoad_act!E55=0,0,E42/TrRoad_act!E55*1000
)</f>
        <v>1889.6682678643385</v>
      </c>
      <c r="F79" s="88">
        <f>IF(TrRoad_act!F55=0,0,F42/TrRoad_act!F55*1000
)</f>
        <v>1861.3446979667119</v>
      </c>
      <c r="G79" s="88">
        <f>IF(TrRoad_act!G55=0,0,G42/TrRoad_act!G55*1000
)</f>
        <v>1766.6548239769527</v>
      </c>
      <c r="H79" s="88">
        <f>IF(TrRoad_act!H55=0,0,H42/TrRoad_act!H55*1000
)</f>
        <v>1832.0348858305199</v>
      </c>
      <c r="I79" s="88">
        <f>IF(TrRoad_act!I55=0,0,I42/TrRoad_act!I55*1000
)</f>
        <v>1880.8494704697557</v>
      </c>
      <c r="J79" s="88">
        <f>IF(TrRoad_act!J55=0,0,J42/TrRoad_act!J55*1000
)</f>
        <v>1695.106724830677</v>
      </c>
      <c r="K79" s="88">
        <f>IF(TrRoad_act!K55=0,0,K42/TrRoad_act!K55*1000
)</f>
        <v>1701.6993507368475</v>
      </c>
      <c r="L79" s="88">
        <f>IF(TrRoad_act!L55=0,0,L42/TrRoad_act!L55*1000
)</f>
        <v>1485.7254624734453</v>
      </c>
      <c r="M79" s="88">
        <f>IF(TrRoad_act!M55=0,0,M42/TrRoad_act!M55*1000
)</f>
        <v>1399.1107927856328</v>
      </c>
      <c r="N79" s="88">
        <f>IF(TrRoad_act!N55=0,0,N42/TrRoad_act!N55*1000
)</f>
        <v>1416.3253006335033</v>
      </c>
      <c r="O79" s="88">
        <f>IF(TrRoad_act!O55=0,0,O42/TrRoad_act!O55*1000
)</f>
        <v>1431.0061060130818</v>
      </c>
      <c r="P79" s="88">
        <f>IF(TrRoad_act!P55=0,0,P42/TrRoad_act!P55*1000
)</f>
        <v>1522.5871858466319</v>
      </c>
      <c r="Q79" s="88">
        <f>IF(TrRoad_act!Q55=0,0,Q42/TrRoad_act!Q55*1000
)</f>
        <v>1528.2168952498926</v>
      </c>
      <c r="R79" s="88">
        <f>IF(TrRoad_act!R55=0,0,R42/TrRoad_act!R55*1000
)</f>
        <v>1531.605155371195</v>
      </c>
      <c r="S79" s="88">
        <f>IF(TrRoad_act!S55=0,0,S42/TrRoad_act!S55*1000
)</f>
        <v>1459.7262334994423</v>
      </c>
      <c r="T79" s="88">
        <f>IF(TrRoad_act!T55=0,0,T42/TrRoad_act!T55*1000
)</f>
        <v>1497.2047974941038</v>
      </c>
      <c r="U79" s="88">
        <f>IF(TrRoad_act!U55=0,0,U42/TrRoad_act!U55*1000
)</f>
        <v>1474.0379560869801</v>
      </c>
      <c r="V79" s="88">
        <f>IF(TrRoad_act!V55=0,0,V42/TrRoad_act!V55*1000
)</f>
        <v>1446.7418386533236</v>
      </c>
      <c r="W79" s="88">
        <f>IF(TrRoad_act!W55=0,0,W42/TrRoad_act!W55*1000
)</f>
        <v>1505.6980628502426</v>
      </c>
      <c r="X79" s="88">
        <f>IF(TrRoad_act!X55=0,0,X42/TrRoad_act!X55*1000
)</f>
        <v>1506.3161607162417</v>
      </c>
      <c r="Y79" s="88">
        <f>IF(TrRoad_act!Y55=0,0,Y42/TrRoad_act!Y55*1000
)</f>
        <v>1510.027487170827</v>
      </c>
      <c r="DA79" s="178" t="s">
        <v>794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DA81" s="172"/>
    </row>
    <row r="82" spans="1:105" ht="11.45" customHeight="1" x14ac:dyDescent="0.25">
      <c r="A82" s="27" t="s">
        <v>157</v>
      </c>
      <c r="B82" s="29">
        <f>IF(TrRoad_act!B4=0,0,B18/TrRoad_act!B4*1000)</f>
        <v>148.37314172534161</v>
      </c>
      <c r="C82" s="29">
        <f>IF(TrRoad_act!C4=0,0,C18/TrRoad_act!C4*1000)</f>
        <v>146.37986600642728</v>
      </c>
      <c r="D82" s="29">
        <f>IF(TrRoad_act!D4=0,0,D18/TrRoad_act!D4*1000)</f>
        <v>143.0760423632191</v>
      </c>
      <c r="E82" s="29">
        <f>IF(TrRoad_act!E4=0,0,E18/TrRoad_act!E4*1000)</f>
        <v>136.66214344454619</v>
      </c>
      <c r="F82" s="29">
        <f>IF(TrRoad_act!F4=0,0,F18/TrRoad_act!F4*1000)</f>
        <v>133.80939338472834</v>
      </c>
      <c r="G82" s="29">
        <f>IF(TrRoad_act!G4=0,0,G18/TrRoad_act!G4*1000)</f>
        <v>138.27021189186976</v>
      </c>
      <c r="H82" s="29">
        <f>IF(TrRoad_act!H4=0,0,H18/TrRoad_act!H4*1000)</f>
        <v>149.0351695842937</v>
      </c>
      <c r="I82" s="29">
        <f>IF(TrRoad_act!I4=0,0,I18/TrRoad_act!I4*1000)</f>
        <v>143.4645064516445</v>
      </c>
      <c r="J82" s="29">
        <f>IF(TrRoad_act!J4=0,0,J18/TrRoad_act!J4*1000)</f>
        <v>138.63040942292795</v>
      </c>
      <c r="K82" s="29">
        <f>IF(TrRoad_act!K4=0,0,K18/TrRoad_act!K4*1000)</f>
        <v>134.84675252586538</v>
      </c>
      <c r="L82" s="29">
        <f>IF(TrRoad_act!L4=0,0,L18/TrRoad_act!L4*1000)</f>
        <v>131.76731105030399</v>
      </c>
      <c r="M82" s="29">
        <f>IF(TrRoad_act!M4=0,0,M18/TrRoad_act!M4*1000)</f>
        <v>128.70529470013733</v>
      </c>
      <c r="N82" s="29">
        <f>IF(TrRoad_act!N4=0,0,N18/TrRoad_act!N4*1000)</f>
        <v>129.21048561286176</v>
      </c>
      <c r="O82" s="29">
        <f>IF(TrRoad_act!O4=0,0,O18/TrRoad_act!O4*1000)</f>
        <v>128.5295195622349</v>
      </c>
      <c r="P82" s="29">
        <f>IF(TrRoad_act!P4=0,0,P18/TrRoad_act!P4*1000)</f>
        <v>135.57066228467477</v>
      </c>
      <c r="Q82" s="29">
        <f>IF(TrRoad_act!Q4=0,0,Q18/TrRoad_act!Q4*1000)</f>
        <v>128.36809573248658</v>
      </c>
      <c r="R82" s="29">
        <f>IF(TrRoad_act!R4=0,0,R18/TrRoad_act!R4*1000)</f>
        <v>127.75047202880025</v>
      </c>
      <c r="S82" s="29">
        <f>IF(TrRoad_act!S4=0,0,S18/TrRoad_act!S4*1000)</f>
        <v>121.47741066467046</v>
      </c>
      <c r="T82" s="29">
        <f>IF(TrRoad_act!T4=0,0,T18/TrRoad_act!T4*1000)</f>
        <v>119.60503040789969</v>
      </c>
      <c r="U82" s="29">
        <f>IF(TrRoad_act!U4=0,0,U18/TrRoad_act!U4*1000)</f>
        <v>115.45758538058544</v>
      </c>
      <c r="V82" s="29">
        <f>IF(TrRoad_act!V4=0,0,V18/TrRoad_act!V4*1000)</f>
        <v>112.62175288272812</v>
      </c>
      <c r="W82" s="29">
        <f>IF(TrRoad_act!W4=0,0,W18/TrRoad_act!W4*1000)</f>
        <v>111.03157445683151</v>
      </c>
      <c r="X82" s="29">
        <f>IF(TrRoad_act!X4=0,0,X18/TrRoad_act!X4*1000)</f>
        <v>109.551390395102</v>
      </c>
      <c r="Y82" s="29">
        <f>IF(TrRoad_act!Y4=0,0,Y18/TrRoad_act!Y4*1000)</f>
        <v>102.58485311225053</v>
      </c>
      <c r="DA82" s="173" t="s">
        <v>436</v>
      </c>
    </row>
    <row r="83" spans="1:105" ht="11.45" customHeight="1" x14ac:dyDescent="0.25">
      <c r="A83" s="136" t="s">
        <v>173</v>
      </c>
      <c r="B83" s="152">
        <f>IF(TrRoad_act!B5=0,0,B19/TrRoad_act!B5*1000)</f>
        <v>106.32134965090074</v>
      </c>
      <c r="C83" s="152">
        <f>IF(TrRoad_act!C5=0,0,C19/TrRoad_act!C5*1000)</f>
        <v>104.78844411352846</v>
      </c>
      <c r="D83" s="152">
        <f>IF(TrRoad_act!D5=0,0,D19/TrRoad_act!D5*1000)</f>
        <v>102.78851515878203</v>
      </c>
      <c r="E83" s="152">
        <f>IF(TrRoad_act!E5=0,0,E19/TrRoad_act!E5*1000)</f>
        <v>102.1768040704782</v>
      </c>
      <c r="F83" s="152">
        <f>IF(TrRoad_act!F5=0,0,F19/TrRoad_act!F5*1000)</f>
        <v>101.42787940334834</v>
      </c>
      <c r="G83" s="152">
        <f>IF(TrRoad_act!G5=0,0,G19/TrRoad_act!G5*1000)</f>
        <v>100.80983606375057</v>
      </c>
      <c r="H83" s="152">
        <f>IF(TrRoad_act!H5=0,0,H19/TrRoad_act!H5*1000)</f>
        <v>100.1141296750816</v>
      </c>
      <c r="I83" s="152">
        <f>IF(TrRoad_act!I5=0,0,I19/TrRoad_act!I5*1000)</f>
        <v>99.756013415395017</v>
      </c>
      <c r="J83" s="152">
        <f>IF(TrRoad_act!J5=0,0,J19/TrRoad_act!J5*1000)</f>
        <v>98.80793011054557</v>
      </c>
      <c r="K83" s="152">
        <f>IF(TrRoad_act!K5=0,0,K19/TrRoad_act!K5*1000)</f>
        <v>97.956273595550755</v>
      </c>
      <c r="L83" s="152">
        <f>IF(TrRoad_act!L5=0,0,L19/TrRoad_act!L5*1000)</f>
        <v>96.783505500284718</v>
      </c>
      <c r="M83" s="152">
        <f>IF(TrRoad_act!M5=0,0,M19/TrRoad_act!M5*1000)</f>
        <v>96.317810867071046</v>
      </c>
      <c r="N83" s="152">
        <f>IF(TrRoad_act!N5=0,0,N19/TrRoad_act!N5*1000)</f>
        <v>95.731511007346839</v>
      </c>
      <c r="O83" s="152">
        <f>IF(TrRoad_act!O5=0,0,O19/TrRoad_act!O5*1000)</f>
        <v>94.734065795664478</v>
      </c>
      <c r="P83" s="152">
        <f>IF(TrRoad_act!P5=0,0,P19/TrRoad_act!P5*1000)</f>
        <v>94.296899037859944</v>
      </c>
      <c r="Q83" s="152">
        <f>IF(TrRoad_act!Q5=0,0,Q19/TrRoad_act!Q5*1000)</f>
        <v>93.310374399776705</v>
      </c>
      <c r="R83" s="152">
        <f>IF(TrRoad_act!R5=0,0,R19/TrRoad_act!R5*1000)</f>
        <v>91.921445541552615</v>
      </c>
      <c r="S83" s="152">
        <f>IF(TrRoad_act!S5=0,0,S19/TrRoad_act!S5*1000)</f>
        <v>90.574952029185027</v>
      </c>
      <c r="T83" s="152">
        <f>IF(TrRoad_act!T5=0,0,T19/TrRoad_act!T5*1000)</f>
        <v>90.000055011705271</v>
      </c>
      <c r="U83" s="152">
        <f>IF(TrRoad_act!U5=0,0,U19/TrRoad_act!U5*1000)</f>
        <v>88.927805935698643</v>
      </c>
      <c r="V83" s="152">
        <f>IF(TrRoad_act!V5=0,0,V19/TrRoad_act!V5*1000)</f>
        <v>88.499665132523631</v>
      </c>
      <c r="W83" s="152">
        <f>IF(TrRoad_act!W5=0,0,W19/TrRoad_act!W5*1000)</f>
        <v>88.097043554438258</v>
      </c>
      <c r="X83" s="152">
        <f>IF(TrRoad_act!X5=0,0,X19/TrRoad_act!X5*1000)</f>
        <v>87.285674196294906</v>
      </c>
      <c r="Y83" s="152">
        <f>IF(TrRoad_act!Y5=0,0,Y19/TrRoad_act!Y5*1000)</f>
        <v>85.765350479985585</v>
      </c>
      <c r="DA83" s="174" t="s">
        <v>437</v>
      </c>
    </row>
    <row r="84" spans="1:105" ht="11.45" customHeight="1" x14ac:dyDescent="0.25">
      <c r="A84" s="109" t="s">
        <v>20</v>
      </c>
      <c r="B84" s="116">
        <f>IF(TrRoad_act!B6=0,0,B20/TrRoad_act!B6*1000)</f>
        <v>166.79074114488736</v>
      </c>
      <c r="C84" s="116">
        <f>IF(TrRoad_act!C6=0,0,C20/TrRoad_act!C6*1000)</f>
        <v>164.95007792014283</v>
      </c>
      <c r="D84" s="116">
        <f>IF(TrRoad_act!D6=0,0,D20/TrRoad_act!D6*1000)</f>
        <v>160.20905133355041</v>
      </c>
      <c r="E84" s="116">
        <f>IF(TrRoad_act!E6=0,0,E20/TrRoad_act!E6*1000)</f>
        <v>152.1880912735935</v>
      </c>
      <c r="F84" s="116">
        <f>IF(TrRoad_act!F6=0,0,F20/TrRoad_act!F6*1000)</f>
        <v>148.57958232781044</v>
      </c>
      <c r="G84" s="116">
        <f>IF(TrRoad_act!G6=0,0,G20/TrRoad_act!G6*1000)</f>
        <v>153.12695258398978</v>
      </c>
      <c r="H84" s="116">
        <f>IF(TrRoad_act!H6=0,0,H20/TrRoad_act!H6*1000)</f>
        <v>164.97820734716521</v>
      </c>
      <c r="I84" s="116">
        <f>IF(TrRoad_act!I6=0,0,I20/TrRoad_act!I6*1000)</f>
        <v>158.03263182469578</v>
      </c>
      <c r="J84" s="116">
        <f>IF(TrRoad_act!J6=0,0,J20/TrRoad_act!J6*1000)</f>
        <v>152.24652878344145</v>
      </c>
      <c r="K84" s="116">
        <f>IF(TrRoad_act!K6=0,0,K20/TrRoad_act!K6*1000)</f>
        <v>149.04027144634523</v>
      </c>
      <c r="L84" s="116">
        <f>IF(TrRoad_act!L6=0,0,L20/TrRoad_act!L6*1000)</f>
        <v>144.56856168646735</v>
      </c>
      <c r="M84" s="116">
        <f>IF(TrRoad_act!M6=0,0,M20/TrRoad_act!M6*1000)</f>
        <v>141.19780038681438</v>
      </c>
      <c r="N84" s="116">
        <f>IF(TrRoad_act!N6=0,0,N20/TrRoad_act!N6*1000)</f>
        <v>141.37278144992183</v>
      </c>
      <c r="O84" s="116">
        <f>IF(TrRoad_act!O6=0,0,O20/TrRoad_act!O6*1000)</f>
        <v>140.31893549329385</v>
      </c>
      <c r="P84" s="116">
        <f>IF(TrRoad_act!P6=0,0,P20/TrRoad_act!P6*1000)</f>
        <v>149.42913427058207</v>
      </c>
      <c r="Q84" s="116">
        <f>IF(TrRoad_act!Q6=0,0,Q20/TrRoad_act!Q6*1000)</f>
        <v>139.73648462993282</v>
      </c>
      <c r="R84" s="116">
        <f>IF(TrRoad_act!R6=0,0,R20/TrRoad_act!R6*1000)</f>
        <v>138.86543727048527</v>
      </c>
      <c r="S84" s="116">
        <f>IF(TrRoad_act!S6=0,0,S20/TrRoad_act!S6*1000)</f>
        <v>132.29318483881462</v>
      </c>
      <c r="T84" s="116">
        <f>IF(TrRoad_act!T6=0,0,T20/TrRoad_act!T6*1000)</f>
        <v>130.64500581461493</v>
      </c>
      <c r="U84" s="116">
        <f>IF(TrRoad_act!U6=0,0,U20/TrRoad_act!U6*1000)</f>
        <v>125.7708493061066</v>
      </c>
      <c r="V84" s="116">
        <f>IF(TrRoad_act!V6=0,0,V20/TrRoad_act!V6*1000)</f>
        <v>118.80467280203692</v>
      </c>
      <c r="W84" s="116">
        <f>IF(TrRoad_act!W6=0,0,W20/TrRoad_act!W6*1000)</f>
        <v>118.24896527293534</v>
      </c>
      <c r="X84" s="116">
        <f>IF(TrRoad_act!X6=0,0,X20/TrRoad_act!X6*1000)</f>
        <v>119.78746142072397</v>
      </c>
      <c r="Y84" s="116">
        <f>IF(TrRoad_act!Y6=0,0,Y20/TrRoad_act!Y6*1000)</f>
        <v>112.5007323911144</v>
      </c>
      <c r="DA84" s="176" t="s">
        <v>438</v>
      </c>
    </row>
    <row r="85" spans="1:105" ht="11.45" customHeight="1" x14ac:dyDescent="0.25">
      <c r="A85" s="111" t="s">
        <v>110</v>
      </c>
      <c r="B85" s="87">
        <f>IF(TrRoad_act!B7=0,0,B21/TrRoad_act!B7*1000)</f>
        <v>154.8343585229957</v>
      </c>
      <c r="C85" s="87">
        <f>IF(TrRoad_act!C7=0,0,C21/TrRoad_act!C7*1000)</f>
        <v>152.41615934573622</v>
      </c>
      <c r="D85" s="87">
        <f>IF(TrRoad_act!D7=0,0,D21/TrRoad_act!D7*1000)</f>
        <v>150.80522063757999</v>
      </c>
      <c r="E85" s="87">
        <f>IF(TrRoad_act!E7=0,0,E21/TrRoad_act!E7*1000)</f>
        <v>143.26066683495745</v>
      </c>
      <c r="F85" s="87">
        <f>IF(TrRoad_act!F7=0,0,F21/TrRoad_act!F7*1000)</f>
        <v>139.80931193561005</v>
      </c>
      <c r="G85" s="87">
        <f>IF(TrRoad_act!G7=0,0,G21/TrRoad_act!G7*1000)</f>
        <v>145.41802201335324</v>
      </c>
      <c r="H85" s="87">
        <f>IF(TrRoad_act!H7=0,0,H21/TrRoad_act!H7*1000)</f>
        <v>154.66350627389909</v>
      </c>
      <c r="I85" s="87">
        <f>IF(TrRoad_act!I7=0,0,I21/TrRoad_act!I7*1000)</f>
        <v>145.85415261180211</v>
      </c>
      <c r="J85" s="87">
        <f>IF(TrRoad_act!J7=0,0,J21/TrRoad_act!J7*1000)</f>
        <v>139.8540854049034</v>
      </c>
      <c r="K85" s="87">
        <f>IF(TrRoad_act!K7=0,0,K21/TrRoad_act!K7*1000)</f>
        <v>133.29313487576755</v>
      </c>
      <c r="L85" s="87">
        <f>IF(TrRoad_act!L7=0,0,L21/TrRoad_act!L7*1000)</f>
        <v>133.50586559659834</v>
      </c>
      <c r="M85" s="87">
        <f>IF(TrRoad_act!M7=0,0,M21/TrRoad_act!M7*1000)</f>
        <v>131.36566756023262</v>
      </c>
      <c r="N85" s="87">
        <f>IF(TrRoad_act!N7=0,0,N21/TrRoad_act!N7*1000)</f>
        <v>131.91489806712261</v>
      </c>
      <c r="O85" s="87">
        <f>IF(TrRoad_act!O7=0,0,O21/TrRoad_act!O7*1000)</f>
        <v>127.81415481317254</v>
      </c>
      <c r="P85" s="87">
        <f>IF(TrRoad_act!P7=0,0,P21/TrRoad_act!P7*1000)</f>
        <v>136.7844846240877</v>
      </c>
      <c r="Q85" s="87">
        <f>IF(TrRoad_act!Q7=0,0,Q21/TrRoad_act!Q7*1000)</f>
        <v>119.75358451090401</v>
      </c>
      <c r="R85" s="87">
        <f>IF(TrRoad_act!R7=0,0,R21/TrRoad_act!R7*1000)</f>
        <v>122.86305156845147</v>
      </c>
      <c r="S85" s="87">
        <f>IF(TrRoad_act!S7=0,0,S21/TrRoad_act!S7*1000)</f>
        <v>116.48735655551064</v>
      </c>
      <c r="T85" s="87">
        <f>IF(TrRoad_act!T7=0,0,T21/TrRoad_act!T7*1000)</f>
        <v>111.48901751732691</v>
      </c>
      <c r="U85" s="87">
        <f>IF(TrRoad_act!U7=0,0,U21/TrRoad_act!U7*1000)</f>
        <v>106.99249032832526</v>
      </c>
      <c r="V85" s="87">
        <f>IF(TrRoad_act!V7=0,0,V21/TrRoad_act!V7*1000)</f>
        <v>99.468303222199708</v>
      </c>
      <c r="W85" s="87">
        <f>IF(TrRoad_act!W7=0,0,W21/TrRoad_act!W7*1000)</f>
        <v>100.58638249631105</v>
      </c>
      <c r="X85" s="87">
        <f>IF(TrRoad_act!X7=0,0,X21/TrRoad_act!X7*1000)</f>
        <v>104.32927592479827</v>
      </c>
      <c r="Y85" s="87">
        <f>IF(TrRoad_act!Y7=0,0,Y21/TrRoad_act!Y7*1000)</f>
        <v>99.991263181896016</v>
      </c>
      <c r="DA85" s="171" t="s">
        <v>795</v>
      </c>
    </row>
    <row r="86" spans="1:105" ht="11.45" customHeight="1" x14ac:dyDescent="0.25">
      <c r="A86" s="111" t="s">
        <v>111</v>
      </c>
      <c r="B86" s="87">
        <f>IF(TrRoad_act!B8=0,0,B22/TrRoad_act!B8*1000)</f>
        <v>238.43210942289173</v>
      </c>
      <c r="C86" s="87">
        <f>IF(TrRoad_act!C8=0,0,C22/TrRoad_act!C8*1000)</f>
        <v>240.92490640388667</v>
      </c>
      <c r="D86" s="87">
        <f>IF(TrRoad_act!D8=0,0,D22/TrRoad_act!D8*1000)</f>
        <v>215.91695626570274</v>
      </c>
      <c r="E86" s="87">
        <f>IF(TrRoad_act!E8=0,0,E22/TrRoad_act!E8*1000)</f>
        <v>203.05540877808505</v>
      </c>
      <c r="F86" s="87">
        <f>IF(TrRoad_act!F8=0,0,F22/TrRoad_act!F8*1000)</f>
        <v>194.68789171642558</v>
      </c>
      <c r="G86" s="87">
        <f>IF(TrRoad_act!G8=0,0,G22/TrRoad_act!G8*1000)</f>
        <v>187.22161077278616</v>
      </c>
      <c r="H86" s="87">
        <f>IF(TrRoad_act!H8=0,0,H22/TrRoad_act!H8*1000)</f>
        <v>208.9844075863586</v>
      </c>
      <c r="I86" s="87">
        <f>IF(TrRoad_act!I8=0,0,I22/TrRoad_act!I8*1000)</f>
        <v>207.0736577689172</v>
      </c>
      <c r="J86" s="87">
        <f>IF(TrRoad_act!J8=0,0,J22/TrRoad_act!J8*1000)</f>
        <v>193.1063897261381</v>
      </c>
      <c r="K86" s="87">
        <f>IF(TrRoad_act!K8=0,0,K22/TrRoad_act!K8*1000)</f>
        <v>191.78916043239826</v>
      </c>
      <c r="L86" s="87">
        <f>IF(TrRoad_act!L8=0,0,L22/TrRoad_act!L8*1000)</f>
        <v>168.8467015002737</v>
      </c>
      <c r="M86" s="87">
        <f>IF(TrRoad_act!M8=0,0,M22/TrRoad_act!M8*1000)</f>
        <v>158.00520955837152</v>
      </c>
      <c r="N86" s="87">
        <f>IF(TrRoad_act!N8=0,0,N22/TrRoad_act!N8*1000)</f>
        <v>155.84622743079714</v>
      </c>
      <c r="O86" s="87">
        <f>IF(TrRoad_act!O8=0,0,O22/TrRoad_act!O8*1000)</f>
        <v>156.16262416014146</v>
      </c>
      <c r="P86" s="87">
        <f>IF(TrRoad_act!P8=0,0,P22/TrRoad_act!P8*1000)</f>
        <v>163.70292064693896</v>
      </c>
      <c r="Q86" s="87">
        <f>IF(TrRoad_act!Q8=0,0,Q22/TrRoad_act!Q8*1000)</f>
        <v>157.90007378027485</v>
      </c>
      <c r="R86" s="87">
        <f>IF(TrRoad_act!R8=0,0,R22/TrRoad_act!R8*1000)</f>
        <v>151.1166826788056</v>
      </c>
      <c r="S86" s="87">
        <f>IF(TrRoad_act!S8=0,0,S22/TrRoad_act!S8*1000)</f>
        <v>142.99829813785468</v>
      </c>
      <c r="T86" s="87">
        <f>IF(TrRoad_act!T8=0,0,T22/TrRoad_act!T8*1000)</f>
        <v>142.59240213628388</v>
      </c>
      <c r="U86" s="87">
        <f>IF(TrRoad_act!U8=0,0,U22/TrRoad_act!U8*1000)</f>
        <v>137.16201636423082</v>
      </c>
      <c r="V86" s="87">
        <f>IF(TrRoad_act!V8=0,0,V22/TrRoad_act!V8*1000)</f>
        <v>129.55494168138128</v>
      </c>
      <c r="W86" s="87">
        <f>IF(TrRoad_act!W8=0,0,W22/TrRoad_act!W8*1000)</f>
        <v>129.33797038574119</v>
      </c>
      <c r="X86" s="87">
        <f>IF(TrRoad_act!X8=0,0,X22/TrRoad_act!X8*1000)</f>
        <v>131.98373271413973</v>
      </c>
      <c r="Y86" s="87">
        <f>IF(TrRoad_act!Y8=0,0,Y22/TrRoad_act!Y8*1000)</f>
        <v>125.7921534739784</v>
      </c>
      <c r="DA86" s="171" t="s">
        <v>796</v>
      </c>
    </row>
    <row r="87" spans="1:105" ht="11.45" customHeight="1" x14ac:dyDescent="0.25">
      <c r="A87" s="111" t="s">
        <v>112</v>
      </c>
      <c r="B87" s="87">
        <f>IF(TrRoad_act!B9=0,0,B23/TrRoad_act!B9*1000)</f>
        <v>141.28688926193723</v>
      </c>
      <c r="C87" s="87">
        <f>IF(TrRoad_act!C9=0,0,C23/TrRoad_act!C9*1000)</f>
        <v>136.8031601339984</v>
      </c>
      <c r="D87" s="87">
        <f>IF(TrRoad_act!D9=0,0,D23/TrRoad_act!D9*1000)</f>
        <v>140.1632792201126</v>
      </c>
      <c r="E87" s="87">
        <f>IF(TrRoad_act!E9=0,0,E23/TrRoad_act!E9*1000)</f>
        <v>140.8572366763641</v>
      </c>
      <c r="F87" s="87">
        <f>IF(TrRoad_act!F9=0,0,F23/TrRoad_act!F9*1000)</f>
        <v>128.67579055102874</v>
      </c>
      <c r="G87" s="87">
        <f>IF(TrRoad_act!G9=0,0,G23/TrRoad_act!G9*1000)</f>
        <v>130.48405974050789</v>
      </c>
      <c r="H87" s="87">
        <f>IF(TrRoad_act!H9=0,0,H23/TrRoad_act!H9*1000)</f>
        <v>138.63144669448138</v>
      </c>
      <c r="I87" s="87">
        <f>IF(TrRoad_act!I9=0,0,I23/TrRoad_act!I9*1000)</f>
        <v>132.96618573610277</v>
      </c>
      <c r="J87" s="87">
        <f>IF(TrRoad_act!J9=0,0,J23/TrRoad_act!J9*1000)</f>
        <v>140.79375320895252</v>
      </c>
      <c r="K87" s="87">
        <f>IF(TrRoad_act!K9=0,0,K23/TrRoad_act!K9*1000)</f>
        <v>129.23283120355867</v>
      </c>
      <c r="L87" s="87">
        <f>IF(TrRoad_act!L9=0,0,L23/TrRoad_act!L9*1000)</f>
        <v>130.34777492460026</v>
      </c>
      <c r="M87" s="87">
        <f>IF(TrRoad_act!M9=0,0,M23/TrRoad_act!M9*1000)</f>
        <v>126.81671006097642</v>
      </c>
      <c r="N87" s="87">
        <f>IF(TrRoad_act!N9=0,0,N23/TrRoad_act!N9*1000)</f>
        <v>125.05437153317602</v>
      </c>
      <c r="O87" s="87">
        <f>IF(TrRoad_act!O9=0,0,O23/TrRoad_act!O9*1000)</f>
        <v>119.82354802737211</v>
      </c>
      <c r="P87" s="87">
        <f>IF(TrRoad_act!P9=0,0,P23/TrRoad_act!P9*1000)</f>
        <v>114.60974366308835</v>
      </c>
      <c r="Q87" s="87">
        <f>IF(TrRoad_act!Q9=0,0,Q23/TrRoad_act!Q9*1000)</f>
        <v>116.7337319919823</v>
      </c>
      <c r="R87" s="87">
        <f>IF(TrRoad_act!R9=0,0,R23/TrRoad_act!R9*1000)</f>
        <v>117.61277390411136</v>
      </c>
      <c r="S87" s="87">
        <f>IF(TrRoad_act!S9=0,0,S23/TrRoad_act!S9*1000)</f>
        <v>118.85221338069908</v>
      </c>
      <c r="T87" s="87">
        <f>IF(TrRoad_act!T9=0,0,T23/TrRoad_act!T9*1000)</f>
        <v>113.2266632725205</v>
      </c>
      <c r="U87" s="87">
        <f>IF(TrRoad_act!U9=0,0,U23/TrRoad_act!U9*1000)</f>
        <v>111.18589024875436</v>
      </c>
      <c r="V87" s="87">
        <f>IF(TrRoad_act!V9=0,0,V23/TrRoad_act!V9*1000)</f>
        <v>90.782802243208295</v>
      </c>
      <c r="W87" s="87">
        <f>IF(TrRoad_act!W9=0,0,W23/TrRoad_act!W9*1000)</f>
        <v>92.272015003071701</v>
      </c>
      <c r="X87" s="87">
        <f>IF(TrRoad_act!X9=0,0,X23/TrRoad_act!X9*1000)</f>
        <v>120.54029044624288</v>
      </c>
      <c r="Y87" s="87">
        <f>IF(TrRoad_act!Y9=0,0,Y23/TrRoad_act!Y9*1000)</f>
        <v>96.349577114120095</v>
      </c>
      <c r="DA87" s="171" t="s">
        <v>797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0</v>
      </c>
      <c r="G88" s="87">
        <f>IF(TrRoad_act!G10=0,0,G24/TrRoad_act!G10*1000)</f>
        <v>0</v>
      </c>
      <c r="H88" s="87">
        <f>IF(TrRoad_act!H10=0,0,H24/TrRoad_act!H10*1000)</f>
        <v>0</v>
      </c>
      <c r="I88" s="87">
        <f>IF(TrRoad_act!I10=0,0,I24/TrRoad_act!I10*1000)</f>
        <v>0</v>
      </c>
      <c r="J88" s="87">
        <f>IF(TrRoad_act!J10=0,0,J24/TrRoad_act!J10*1000)</f>
        <v>0</v>
      </c>
      <c r="K88" s="87">
        <f>IF(TrRoad_act!K10=0,0,K24/TrRoad_act!K10*1000)</f>
        <v>0</v>
      </c>
      <c r="L88" s="87">
        <f>IF(TrRoad_act!L10=0,0,L24/TrRoad_act!L10*1000)</f>
        <v>0</v>
      </c>
      <c r="M88" s="87">
        <f>IF(TrRoad_act!M10=0,0,M24/TrRoad_act!M10*1000)</f>
        <v>0</v>
      </c>
      <c r="N88" s="87">
        <f>IF(TrRoad_act!N10=0,0,N24/TrRoad_act!N10*1000)</f>
        <v>0</v>
      </c>
      <c r="O88" s="87">
        <f>IF(TrRoad_act!O10=0,0,O24/TrRoad_act!O10*1000)</f>
        <v>0</v>
      </c>
      <c r="P88" s="87">
        <f>IF(TrRoad_act!P10=0,0,P24/TrRoad_act!P10*1000)</f>
        <v>259.72690241880792</v>
      </c>
      <c r="Q88" s="87">
        <f>IF(TrRoad_act!Q10=0,0,Q24/TrRoad_act!Q10*1000)</f>
        <v>77.919901327079856</v>
      </c>
      <c r="R88" s="87">
        <f>IF(TrRoad_act!R10=0,0,R24/TrRoad_act!R10*1000)</f>
        <v>47.417813349796177</v>
      </c>
      <c r="S88" s="87">
        <f>IF(TrRoad_act!S10=0,0,S24/TrRoad_act!S10*1000)</f>
        <v>58.279130300123441</v>
      </c>
      <c r="T88" s="87">
        <f>IF(TrRoad_act!T10=0,0,T24/TrRoad_act!T10*1000)</f>
        <v>82.460290522478147</v>
      </c>
      <c r="U88" s="87">
        <f>IF(TrRoad_act!U10=0,0,U24/TrRoad_act!U10*1000)</f>
        <v>96.090274503899266</v>
      </c>
      <c r="V88" s="87">
        <f>IF(TrRoad_act!V10=0,0,V24/TrRoad_act!V10*1000)</f>
        <v>118.26279968530196</v>
      </c>
      <c r="W88" s="87">
        <f>IF(TrRoad_act!W10=0,0,W24/TrRoad_act!W10*1000)</f>
        <v>251.90312272711523</v>
      </c>
      <c r="X88" s="87">
        <f>IF(TrRoad_act!X10=0,0,X24/TrRoad_act!X10*1000)</f>
        <v>138.7482129063749</v>
      </c>
      <c r="Y88" s="87">
        <f>IF(TrRoad_act!Y10=0,0,Y24/TrRoad_act!Y10*1000)</f>
        <v>124.40210785575671</v>
      </c>
      <c r="DA88" s="171" t="s">
        <v>798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0</v>
      </c>
      <c r="N89" s="87">
        <f>IF(TrRoad_act!N11=0,0,N25/TrRoad_act!N11*1000)</f>
        <v>0</v>
      </c>
      <c r="O89" s="87">
        <f>IF(TrRoad_act!O11=0,0,O25/TrRoad_act!O11*1000)</f>
        <v>58.023019032046491</v>
      </c>
      <c r="P89" s="87">
        <f>IF(TrRoad_act!P11=0,0,P25/TrRoad_act!P11*1000)</f>
        <v>36.684321676976175</v>
      </c>
      <c r="Q89" s="87">
        <f>IF(TrRoad_act!Q11=0,0,Q25/TrRoad_act!Q11*1000)</f>
        <v>34.507304364882138</v>
      </c>
      <c r="R89" s="87">
        <f>IF(TrRoad_act!R11=0,0,R25/TrRoad_act!R11*1000)</f>
        <v>37.424229568056717</v>
      </c>
      <c r="S89" s="87">
        <f>IF(TrRoad_act!S11=0,0,S25/TrRoad_act!S11*1000)</f>
        <v>35.862779339657386</v>
      </c>
      <c r="T89" s="87">
        <f>IF(TrRoad_act!T11=0,0,T25/TrRoad_act!T11*1000)</f>
        <v>35.145152475642369</v>
      </c>
      <c r="U89" s="87">
        <f>IF(TrRoad_act!U11=0,0,U25/TrRoad_act!U11*1000)</f>
        <v>34.792390854169952</v>
      </c>
      <c r="V89" s="87">
        <f>IF(TrRoad_act!V11=0,0,V25/TrRoad_act!V11*1000)</f>
        <v>29.967480760333348</v>
      </c>
      <c r="W89" s="87">
        <f>IF(TrRoad_act!W11=0,0,W25/TrRoad_act!W11*1000)</f>
        <v>27.987822121829556</v>
      </c>
      <c r="X89" s="87">
        <f>IF(TrRoad_act!X11=0,0,X25/TrRoad_act!X11*1000)</f>
        <v>27.838277804892694</v>
      </c>
      <c r="Y89" s="87">
        <f>IF(TrRoad_act!Y11=0,0,Y25/TrRoad_act!Y11*1000)</f>
        <v>25.132057856355573</v>
      </c>
      <c r="DA89" s="171" t="s">
        <v>799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X90" s="87">
        <f>IF(TrRoad_act!X12=0,0,X26/TrRoad_act!X12*1000)</f>
        <v>0</v>
      </c>
      <c r="Y90" s="87">
        <f>IF(TrRoad_act!Y12=0,0,Y26/TrRoad_act!Y12*1000)</f>
        <v>0</v>
      </c>
      <c r="DA90" s="171" t="s">
        <v>800</v>
      </c>
    </row>
    <row r="91" spans="1:105" ht="11.45" customHeight="1" x14ac:dyDescent="0.25">
      <c r="A91" s="109" t="s">
        <v>21</v>
      </c>
      <c r="B91" s="116">
        <f>IF(TrRoad_act!B13=0,0,B27/TrRoad_act!B13*1000)</f>
        <v>57.559026534088439</v>
      </c>
      <c r="C91" s="116">
        <f>IF(TrRoad_act!C13=0,0,C27/TrRoad_act!C13*1000)</f>
        <v>54.241502287076202</v>
      </c>
      <c r="D91" s="116">
        <f>IF(TrRoad_act!D13=0,0,D27/TrRoad_act!D13*1000)</f>
        <v>54.649984717097716</v>
      </c>
      <c r="E91" s="116">
        <f>IF(TrRoad_act!E13=0,0,E27/TrRoad_act!E13*1000)</f>
        <v>54.978543116116342</v>
      </c>
      <c r="F91" s="116">
        <f>IF(TrRoad_act!F13=0,0,F27/TrRoad_act!F13*1000)</f>
        <v>54.27082636696359</v>
      </c>
      <c r="G91" s="116">
        <f>IF(TrRoad_act!G13=0,0,G27/TrRoad_act!G13*1000)</f>
        <v>55.75389486882483</v>
      </c>
      <c r="H91" s="116">
        <f>IF(TrRoad_act!H13=0,0,H27/TrRoad_act!H13*1000)</f>
        <v>58.6510375858931</v>
      </c>
      <c r="I91" s="116">
        <f>IF(TrRoad_act!I13=0,0,I27/TrRoad_act!I13*1000)</f>
        <v>60.115655273985062</v>
      </c>
      <c r="J91" s="116">
        <f>IF(TrRoad_act!J13=0,0,J27/TrRoad_act!J13*1000)</f>
        <v>61.757349657789824</v>
      </c>
      <c r="K91" s="116">
        <f>IF(TrRoad_act!K13=0,0,K27/TrRoad_act!K13*1000)</f>
        <v>58.021787710982913</v>
      </c>
      <c r="L91" s="116">
        <f>IF(TrRoad_act!L13=0,0,L27/TrRoad_act!L13*1000)</f>
        <v>59.589811262639451</v>
      </c>
      <c r="M91" s="116">
        <f>IF(TrRoad_act!M13=0,0,M27/TrRoad_act!M13*1000)</f>
        <v>58.440316131598451</v>
      </c>
      <c r="N91" s="116">
        <f>IF(TrRoad_act!N13=0,0,N27/TrRoad_act!N13*1000)</f>
        <v>59.747645647355391</v>
      </c>
      <c r="O91" s="116">
        <f>IF(TrRoad_act!O13=0,0,O27/TrRoad_act!O13*1000)</f>
        <v>59.361221348917276</v>
      </c>
      <c r="P91" s="116">
        <f>IF(TrRoad_act!P13=0,0,P27/TrRoad_act!P13*1000)</f>
        <v>58.424067254017224</v>
      </c>
      <c r="Q91" s="116">
        <f>IF(TrRoad_act!Q13=0,0,Q27/TrRoad_act!Q13*1000)</f>
        <v>59.572424308572451</v>
      </c>
      <c r="R91" s="116">
        <f>IF(TrRoad_act!R13=0,0,R27/TrRoad_act!R13*1000)</f>
        <v>60.132785487512145</v>
      </c>
      <c r="S91" s="116">
        <f>IF(TrRoad_act!S13=0,0,S27/TrRoad_act!S13*1000)</f>
        <v>59.587023882404402</v>
      </c>
      <c r="T91" s="116">
        <f>IF(TrRoad_act!T13=0,0,T27/TrRoad_act!T13*1000)</f>
        <v>59.836339838278718</v>
      </c>
      <c r="U91" s="116">
        <f>IF(TrRoad_act!U13=0,0,U27/TrRoad_act!U13*1000)</f>
        <v>58.9782500724858</v>
      </c>
      <c r="V91" s="116">
        <f>IF(TrRoad_act!V13=0,0,V27/TrRoad_act!V13*1000)</f>
        <v>70.357090069064014</v>
      </c>
      <c r="W91" s="116">
        <f>IF(TrRoad_act!W13=0,0,W27/TrRoad_act!W13*1000)</f>
        <v>63.645663218109021</v>
      </c>
      <c r="X91" s="116">
        <f>IF(TrRoad_act!X13=0,0,X27/TrRoad_act!X13*1000)</f>
        <v>57.368879260342659</v>
      </c>
      <c r="Y91" s="116">
        <f>IF(TrRoad_act!Y13=0,0,Y27/TrRoad_act!Y13*1000)</f>
        <v>57.938311379546413</v>
      </c>
      <c r="DA91" s="176" t="s">
        <v>439</v>
      </c>
    </row>
    <row r="92" spans="1:105" ht="11.45" customHeight="1" x14ac:dyDescent="0.25">
      <c r="A92" s="111" t="s">
        <v>110</v>
      </c>
      <c r="B92" s="101">
        <f>IF(TrRoad_act!B14=0,0,B28/TrRoad_act!B14*1000)</f>
        <v>42.415022793253804</v>
      </c>
      <c r="C92" s="101">
        <f>IF(TrRoad_act!C14=0,0,C28/TrRoad_act!C14*1000)</f>
        <v>42.341174759793347</v>
      </c>
      <c r="D92" s="101">
        <f>IF(TrRoad_act!D14=0,0,D28/TrRoad_act!D14*1000)</f>
        <v>43.304718537594518</v>
      </c>
      <c r="E92" s="101">
        <f>IF(TrRoad_act!E14=0,0,E28/TrRoad_act!E14*1000)</f>
        <v>44.28049038936247</v>
      </c>
      <c r="F92" s="101">
        <f>IF(TrRoad_act!F14=0,0,F28/TrRoad_act!F14*1000)</f>
        <v>44.213623489252754</v>
      </c>
      <c r="G92" s="101">
        <f>IF(TrRoad_act!G14=0,0,G28/TrRoad_act!G14*1000)</f>
        <v>45.851769947274249</v>
      </c>
      <c r="H92" s="101">
        <f>IF(TrRoad_act!H14=0,0,H28/TrRoad_act!H14*1000)</f>
        <v>48.627537970140558</v>
      </c>
      <c r="I92" s="101">
        <f>IF(TrRoad_act!I14=0,0,I28/TrRoad_act!I14*1000)</f>
        <v>50.061436572146008</v>
      </c>
      <c r="J92" s="101">
        <f>IF(TrRoad_act!J14=0,0,J28/TrRoad_act!J14*1000)</f>
        <v>51.491888902621412</v>
      </c>
      <c r="K92" s="101">
        <f>IF(TrRoad_act!K14=0,0,K28/TrRoad_act!K14*1000)</f>
        <v>48.649580751432083</v>
      </c>
      <c r="L92" s="101">
        <f>IF(TrRoad_act!L14=0,0,L28/TrRoad_act!L14*1000)</f>
        <v>49.906925020968018</v>
      </c>
      <c r="M92" s="101">
        <f>IF(TrRoad_act!M14=0,0,M28/TrRoad_act!M14*1000)</f>
        <v>49.107001272790171</v>
      </c>
      <c r="N92" s="101">
        <f>IF(TrRoad_act!N14=0,0,N28/TrRoad_act!N14*1000)</f>
        <v>49.450409135048979</v>
      </c>
      <c r="O92" s="101">
        <f>IF(TrRoad_act!O14=0,0,O28/TrRoad_act!O14*1000)</f>
        <v>49.419372670516246</v>
      </c>
      <c r="P92" s="101">
        <f>IF(TrRoad_act!P14=0,0,P28/TrRoad_act!P14*1000)</f>
        <v>48.847650570326017</v>
      </c>
      <c r="Q92" s="101">
        <f>IF(TrRoad_act!Q14=0,0,Q28/TrRoad_act!Q14*1000)</f>
        <v>49.252541497785408</v>
      </c>
      <c r="R92" s="101">
        <f>IF(TrRoad_act!R14=0,0,R28/TrRoad_act!R14*1000)</f>
        <v>48.684553769075571</v>
      </c>
      <c r="S92" s="101">
        <f>IF(TrRoad_act!S14=0,0,S28/TrRoad_act!S14*1000)</f>
        <v>47.308325740625961</v>
      </c>
      <c r="T92" s="101">
        <f>IF(TrRoad_act!T14=0,0,T28/TrRoad_act!T14*1000)</f>
        <v>47.528235989697649</v>
      </c>
      <c r="U92" s="101">
        <f>IF(TrRoad_act!U14=0,0,U28/TrRoad_act!U14*1000)</f>
        <v>46.553005454865051</v>
      </c>
      <c r="V92" s="101">
        <f>IF(TrRoad_act!V14=0,0,V28/TrRoad_act!V14*1000)</f>
        <v>55.859518135816778</v>
      </c>
      <c r="W92" s="101">
        <f>IF(TrRoad_act!W14=0,0,W28/TrRoad_act!W14*1000)</f>
        <v>50.808266634198795</v>
      </c>
      <c r="X92" s="101">
        <f>IF(TrRoad_act!X14=0,0,X28/TrRoad_act!X14*1000)</f>
        <v>45.294142336469946</v>
      </c>
      <c r="Y92" s="101">
        <f>IF(TrRoad_act!Y14=0,0,Y28/TrRoad_act!Y14*1000)</f>
        <v>46.967170234773803</v>
      </c>
      <c r="DA92" s="175" t="s">
        <v>801</v>
      </c>
    </row>
    <row r="93" spans="1:105" ht="11.45" customHeight="1" x14ac:dyDescent="0.25">
      <c r="A93" s="111" t="s">
        <v>111</v>
      </c>
      <c r="B93" s="101">
        <f>IF(TrRoad_act!B15=0,0,B29/TrRoad_act!B15*1000)</f>
        <v>57.67737109804883</v>
      </c>
      <c r="C93" s="101">
        <f>IF(TrRoad_act!C15=0,0,C29/TrRoad_act!C15*1000)</f>
        <v>54.324486977623131</v>
      </c>
      <c r="D93" s="101">
        <f>IF(TrRoad_act!D15=0,0,D29/TrRoad_act!D15*1000)</f>
        <v>54.720764545893061</v>
      </c>
      <c r="E93" s="101">
        <f>IF(TrRoad_act!E15=0,0,E29/TrRoad_act!E15*1000)</f>
        <v>55.035444933479752</v>
      </c>
      <c r="F93" s="101">
        <f>IF(TrRoad_act!F15=0,0,F29/TrRoad_act!F15*1000)</f>
        <v>54.316277303400028</v>
      </c>
      <c r="G93" s="101">
        <f>IF(TrRoad_act!G15=0,0,G29/TrRoad_act!G15*1000)</f>
        <v>55.79155590673048</v>
      </c>
      <c r="H93" s="101">
        <f>IF(TrRoad_act!H15=0,0,H29/TrRoad_act!H15*1000)</f>
        <v>58.68198193250339</v>
      </c>
      <c r="I93" s="101">
        <f>IF(TrRoad_act!I15=0,0,I29/TrRoad_act!I15*1000)</f>
        <v>60.141686425813127</v>
      </c>
      <c r="J93" s="101">
        <f>IF(TrRoad_act!J15=0,0,J29/TrRoad_act!J15*1000)</f>
        <v>61.785848707884014</v>
      </c>
      <c r="K93" s="101">
        <f>IF(TrRoad_act!K15=0,0,K29/TrRoad_act!K15*1000)</f>
        <v>58.045010552726971</v>
      </c>
      <c r="L93" s="101">
        <f>IF(TrRoad_act!L15=0,0,L29/TrRoad_act!L15*1000)</f>
        <v>59.610897908731623</v>
      </c>
      <c r="M93" s="101">
        <f>IF(TrRoad_act!M15=0,0,M29/TrRoad_act!M15*1000)</f>
        <v>58.458626816646806</v>
      </c>
      <c r="N93" s="101">
        <f>IF(TrRoad_act!N15=0,0,N29/TrRoad_act!N15*1000)</f>
        <v>59.76467317397811</v>
      </c>
      <c r="O93" s="101">
        <f>IF(TrRoad_act!O15=0,0,O29/TrRoad_act!O15*1000)</f>
        <v>59.37786163316246</v>
      </c>
      <c r="P93" s="101">
        <f>IF(TrRoad_act!P15=0,0,P29/TrRoad_act!P15*1000)</f>
        <v>58.439992501498587</v>
      </c>
      <c r="Q93" s="101">
        <f>IF(TrRoad_act!Q15=0,0,Q29/TrRoad_act!Q15*1000)</f>
        <v>59.587568820925419</v>
      </c>
      <c r="R93" s="101">
        <f>IF(TrRoad_act!R15=0,0,R29/TrRoad_act!R15*1000)</f>
        <v>60.146670478185385</v>
      </c>
      <c r="S93" s="101">
        <f>IF(TrRoad_act!S15=0,0,S29/TrRoad_act!S15*1000)</f>
        <v>59.601654803524028</v>
      </c>
      <c r="T93" s="101">
        <f>IF(TrRoad_act!T15=0,0,T29/TrRoad_act!T15*1000)</f>
        <v>59.850067519082643</v>
      </c>
      <c r="U93" s="101">
        <f>IF(TrRoad_act!U15=0,0,U29/TrRoad_act!U15*1000)</f>
        <v>59.013355822926194</v>
      </c>
      <c r="V93" s="101">
        <f>IF(TrRoad_act!V15=0,0,V29/TrRoad_act!V15*1000)</f>
        <v>70.406301192380482</v>
      </c>
      <c r="W93" s="101">
        <f>IF(TrRoad_act!W15=0,0,W29/TrRoad_act!W15*1000)</f>
        <v>63.402231838339901</v>
      </c>
      <c r="X93" s="101">
        <f>IF(TrRoad_act!X15=0,0,X29/TrRoad_act!X15*1000)</f>
        <v>57.425599286894361</v>
      </c>
      <c r="Y93" s="101">
        <f>IF(TrRoad_act!Y15=0,0,Y29/TrRoad_act!Y15*1000)</f>
        <v>58.185712832723873</v>
      </c>
      <c r="DA93" s="175" t="s">
        <v>802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34.184141784591887</v>
      </c>
      <c r="D94" s="101">
        <f>IF(TrRoad_act!D16=0,0,D30/TrRoad_act!D16*1000)</f>
        <v>35.00998212488804</v>
      </c>
      <c r="E94" s="101">
        <f>IF(TrRoad_act!E16=0,0,E30/TrRoad_act!E16*1000)</f>
        <v>35.859751329931292</v>
      </c>
      <c r="F94" s="101">
        <f>IF(TrRoad_act!F16=0,0,F30/TrRoad_act!F16*1000)</f>
        <v>35.862280927022404</v>
      </c>
      <c r="G94" s="101">
        <f>IF(TrRoad_act!G16=0,0,G30/TrRoad_act!G16*1000)</f>
        <v>37.24725569872205</v>
      </c>
      <c r="H94" s="101">
        <f>IF(TrRoad_act!H16=0,0,H30/TrRoad_act!H16*1000)</f>
        <v>39.577208692566501</v>
      </c>
      <c r="I94" s="101">
        <f>IF(TrRoad_act!I16=0,0,I30/TrRoad_act!I16*1000)</f>
        <v>41.041533003248169</v>
      </c>
      <c r="J94" s="101">
        <f>IF(TrRoad_act!J16=0,0,J30/TrRoad_act!J16*1000)</f>
        <v>0</v>
      </c>
      <c r="K94" s="101">
        <f>IF(TrRoad_act!K16=0,0,K30/TrRoad_act!K16*1000)</f>
        <v>0</v>
      </c>
      <c r="L94" s="101">
        <f>IF(TrRoad_act!L16=0,0,L30/TrRoad_act!L16*1000)</f>
        <v>0</v>
      </c>
      <c r="M94" s="101">
        <f>IF(TrRoad_act!M16=0,0,M30/TrRoad_act!M16*1000)</f>
        <v>0</v>
      </c>
      <c r="N94" s="101">
        <f>IF(TrRoad_act!N16=0,0,N30/TrRoad_act!N16*1000)</f>
        <v>0</v>
      </c>
      <c r="O94" s="101">
        <f>IF(TrRoad_act!O16=0,0,O30/TrRoad_act!O16*1000)</f>
        <v>0</v>
      </c>
      <c r="P94" s="101">
        <f>IF(TrRoad_act!P16=0,0,P30/TrRoad_act!P16*1000)</f>
        <v>0</v>
      </c>
      <c r="Q94" s="101">
        <f>IF(TrRoad_act!Q16=0,0,Q30/TrRoad_act!Q16*1000)</f>
        <v>0</v>
      </c>
      <c r="R94" s="101">
        <f>IF(TrRoad_act!R16=0,0,R30/TrRoad_act!R16*1000)</f>
        <v>0</v>
      </c>
      <c r="S94" s="101">
        <f>IF(TrRoad_act!S16=0,0,S30/TrRoad_act!S16*1000)</f>
        <v>0</v>
      </c>
      <c r="T94" s="101">
        <f>IF(TrRoad_act!T16=0,0,T30/TrRoad_act!T16*1000)</f>
        <v>0</v>
      </c>
      <c r="U94" s="101">
        <f>IF(TrRoad_act!U16=0,0,U30/TrRoad_act!U16*1000)</f>
        <v>0</v>
      </c>
      <c r="V94" s="101">
        <f>IF(TrRoad_act!V16=0,0,V30/TrRoad_act!V16*1000)</f>
        <v>0</v>
      </c>
      <c r="W94" s="101">
        <f>IF(TrRoad_act!W16=0,0,W30/TrRoad_act!W16*1000)</f>
        <v>0</v>
      </c>
      <c r="X94" s="101">
        <f>IF(TrRoad_act!X16=0,0,X30/TrRoad_act!X16*1000)</f>
        <v>0</v>
      </c>
      <c r="Y94" s="101">
        <f>IF(TrRoad_act!Y16=0,0,Y30/TrRoad_act!Y16*1000)</f>
        <v>0</v>
      </c>
      <c r="DA94" s="175" t="s">
        <v>803</v>
      </c>
    </row>
    <row r="95" spans="1:105" ht="11.45" customHeight="1" x14ac:dyDescent="0.25">
      <c r="A95" s="111" t="s">
        <v>113</v>
      </c>
      <c r="B95" s="101">
        <f>IF(TrRoad_act!B17=0,0,B31/TrRoad_act!B17*1000)</f>
        <v>0</v>
      </c>
      <c r="C95" s="101">
        <f>IF(TrRoad_act!C17=0,0,C31/TrRoad_act!C17*1000)</f>
        <v>0</v>
      </c>
      <c r="D95" s="101">
        <f>IF(TrRoad_act!D17=0,0,D31/TrRoad_act!D17*1000)</f>
        <v>0</v>
      </c>
      <c r="E95" s="101">
        <f>IF(TrRoad_act!E17=0,0,E31/TrRoad_act!E17*1000)</f>
        <v>0</v>
      </c>
      <c r="F95" s="101">
        <f>IF(TrRoad_act!F17=0,0,F31/TrRoad_act!F17*1000)</f>
        <v>0</v>
      </c>
      <c r="G95" s="101">
        <f>IF(TrRoad_act!G17=0,0,G31/TrRoad_act!G17*1000)</f>
        <v>0</v>
      </c>
      <c r="H95" s="101">
        <f>IF(TrRoad_act!H17=0,0,H31/TrRoad_act!H17*1000)</f>
        <v>0</v>
      </c>
      <c r="I95" s="101">
        <f>IF(TrRoad_act!I17=0,0,I31/TrRoad_act!I17*1000)</f>
        <v>0</v>
      </c>
      <c r="J95" s="101">
        <f>IF(TrRoad_act!J17=0,0,J31/TrRoad_act!J17*1000)</f>
        <v>0</v>
      </c>
      <c r="K95" s="101">
        <f>IF(TrRoad_act!K17=0,0,K31/TrRoad_act!K17*1000)</f>
        <v>0</v>
      </c>
      <c r="L95" s="101">
        <f>IF(TrRoad_act!L17=0,0,L31/TrRoad_act!L17*1000)</f>
        <v>0</v>
      </c>
      <c r="M95" s="101">
        <f>IF(TrRoad_act!M17=0,0,M31/TrRoad_act!M17*1000)</f>
        <v>0</v>
      </c>
      <c r="N95" s="101">
        <f>IF(TrRoad_act!N17=0,0,N31/TrRoad_act!N17*1000)</f>
        <v>0</v>
      </c>
      <c r="O95" s="101">
        <f>IF(TrRoad_act!O17=0,0,O31/TrRoad_act!O17*1000)</f>
        <v>0</v>
      </c>
      <c r="P95" s="101">
        <f>IF(TrRoad_act!P17=0,0,P31/TrRoad_act!P17*1000)</f>
        <v>0</v>
      </c>
      <c r="Q95" s="101">
        <f>IF(TrRoad_act!Q17=0,0,Q31/TrRoad_act!Q17*1000)</f>
        <v>0</v>
      </c>
      <c r="R95" s="101">
        <f>IF(TrRoad_act!R17=0,0,R31/TrRoad_act!R17*1000)</f>
        <v>0</v>
      </c>
      <c r="S95" s="101">
        <f>IF(TrRoad_act!S17=0,0,S31/TrRoad_act!S17*1000)</f>
        <v>0</v>
      </c>
      <c r="T95" s="101">
        <f>IF(TrRoad_act!T17=0,0,T31/TrRoad_act!T17*1000)</f>
        <v>33.12378890122546</v>
      </c>
      <c r="U95" s="101">
        <f>IF(TrRoad_act!U17=0,0,U31/TrRoad_act!U17*1000)</f>
        <v>46.50188595285546</v>
      </c>
      <c r="V95" s="101">
        <f>IF(TrRoad_act!V17=0,0,V31/TrRoad_act!V17*1000)</f>
        <v>68.500835325224742</v>
      </c>
      <c r="W95" s="101">
        <f>IF(TrRoad_act!W17=0,0,W31/TrRoad_act!W17*1000)</f>
        <v>133.48549205641208</v>
      </c>
      <c r="X95" s="101">
        <f>IF(TrRoad_act!X17=0,0,X31/TrRoad_act!X17*1000)</f>
        <v>72.224128909904366</v>
      </c>
      <c r="Y95" s="101">
        <f>IF(TrRoad_act!Y17=0,0,Y31/TrRoad_act!Y17*1000)</f>
        <v>71.670077102112373</v>
      </c>
      <c r="DA95" s="175" t="s">
        <v>804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X96" s="101">
        <f>IF(TrRoad_act!X18=0,0,X32/TrRoad_act!X18*1000)</f>
        <v>0</v>
      </c>
      <c r="Y96" s="101">
        <f>IF(TrRoad_act!Y18=0,0,Y32/TrRoad_act!Y18*1000)</f>
        <v>0</v>
      </c>
      <c r="DA96" s="175" t="s">
        <v>805</v>
      </c>
    </row>
    <row r="97" spans="1:105" ht="11.45" customHeight="1" x14ac:dyDescent="0.25">
      <c r="A97" s="27" t="s">
        <v>158</v>
      </c>
      <c r="B97" s="29">
        <f>IF(TrRoad_act!B19=0,0,B33/TrRoad_act!B19*1000)</f>
        <v>358.58853994044341</v>
      </c>
      <c r="C97" s="29">
        <f>IF(TrRoad_act!C19=0,0,C33/TrRoad_act!C19*1000)</f>
        <v>347.65850990512172</v>
      </c>
      <c r="D97" s="29">
        <f>IF(TrRoad_act!D19=0,0,D33/TrRoad_act!D19*1000)</f>
        <v>314.46007725966393</v>
      </c>
      <c r="E97" s="29">
        <f>IF(TrRoad_act!E19=0,0,E33/TrRoad_act!E19*1000)</f>
        <v>295.53575589834594</v>
      </c>
      <c r="F97" s="29">
        <f>IF(TrRoad_act!F19=0,0,F33/TrRoad_act!F19*1000)</f>
        <v>290.7624341521514</v>
      </c>
      <c r="G97" s="29">
        <f>IF(TrRoad_act!G19=0,0,G33/TrRoad_act!G19*1000)</f>
        <v>286.92977143218269</v>
      </c>
      <c r="H97" s="29">
        <f>IF(TrRoad_act!H19=0,0,H33/TrRoad_act!H19*1000)</f>
        <v>299.09874092029082</v>
      </c>
      <c r="I97" s="29">
        <f>IF(TrRoad_act!I19=0,0,I33/TrRoad_act!I19*1000)</f>
        <v>305.72682912070519</v>
      </c>
      <c r="J97" s="29">
        <f>IF(TrRoad_act!J19=0,0,J33/TrRoad_act!J19*1000)</f>
        <v>289.243454925447</v>
      </c>
      <c r="K97" s="29">
        <f>IF(TrRoad_act!K19=0,0,K33/TrRoad_act!K19*1000)</f>
        <v>325.9853332512829</v>
      </c>
      <c r="L97" s="29">
        <f>IF(TrRoad_act!L19=0,0,L33/TrRoad_act!L19*1000)</f>
        <v>296.6014174945069</v>
      </c>
      <c r="M97" s="29">
        <f>IF(TrRoad_act!M19=0,0,M33/TrRoad_act!M19*1000)</f>
        <v>293.09135493008012</v>
      </c>
      <c r="N97" s="29">
        <f>IF(TrRoad_act!N19=0,0,N33/TrRoad_act!N19*1000)</f>
        <v>292.69860233253013</v>
      </c>
      <c r="O97" s="29">
        <f>IF(TrRoad_act!O19=0,0,O33/TrRoad_act!O19*1000)</f>
        <v>299.50542585647156</v>
      </c>
      <c r="P97" s="29">
        <f>IF(TrRoad_act!P19=0,0,P33/TrRoad_act!P19*1000)</f>
        <v>296.95633573206368</v>
      </c>
      <c r="Q97" s="29">
        <f>IF(TrRoad_act!Q19=0,0,Q33/TrRoad_act!Q19*1000)</f>
        <v>292.67689221991259</v>
      </c>
      <c r="R97" s="29">
        <f>IF(TrRoad_act!R19=0,0,R33/TrRoad_act!R19*1000)</f>
        <v>276.35813509895519</v>
      </c>
      <c r="S97" s="29">
        <f>IF(TrRoad_act!S19=0,0,S33/TrRoad_act!S19*1000)</f>
        <v>265.90021091988785</v>
      </c>
      <c r="T97" s="29">
        <f>IF(TrRoad_act!T19=0,0,T33/TrRoad_act!T19*1000)</f>
        <v>269.60811624369717</v>
      </c>
      <c r="U97" s="29">
        <f>IF(TrRoad_act!U19=0,0,U33/TrRoad_act!U19*1000)</f>
        <v>258.70205730520229</v>
      </c>
      <c r="V97" s="29">
        <f>IF(TrRoad_act!V19=0,0,V33/TrRoad_act!V19*1000)</f>
        <v>263.30403794606843</v>
      </c>
      <c r="W97" s="29">
        <f>IF(TrRoad_act!W19=0,0,W33/TrRoad_act!W19*1000)</f>
        <v>261.58546954299158</v>
      </c>
      <c r="X97" s="29">
        <f>IF(TrRoad_act!X19=0,0,X33/TrRoad_act!X19*1000)</f>
        <v>274.8514944369503</v>
      </c>
      <c r="Y97" s="29">
        <f>IF(TrRoad_act!Y19=0,0,Y33/TrRoad_act!Y19*1000)</f>
        <v>270.74340854982137</v>
      </c>
      <c r="DA97" s="173" t="s">
        <v>445</v>
      </c>
    </row>
    <row r="98" spans="1:105" ht="11.45" customHeight="1" x14ac:dyDescent="0.25">
      <c r="A98" s="136" t="s">
        <v>153</v>
      </c>
      <c r="B98" s="152">
        <f>IF(TrRoad_act!B20=0,0,B34/TrRoad_act!B20*1000)</f>
        <v>797.47643970390629</v>
      </c>
      <c r="C98" s="152">
        <f>IF(TrRoad_act!C20=0,0,C34/TrRoad_act!C20*1000)</f>
        <v>760.41796206428978</v>
      </c>
      <c r="D98" s="152">
        <f>IF(TrRoad_act!D20=0,0,D34/TrRoad_act!D20*1000)</f>
        <v>746.55927131367912</v>
      </c>
      <c r="E98" s="152">
        <f>IF(TrRoad_act!E20=0,0,E34/TrRoad_act!E20*1000)</f>
        <v>735.54400834637147</v>
      </c>
      <c r="F98" s="152">
        <f>IF(TrRoad_act!F20=0,0,F34/TrRoad_act!F20*1000)</f>
        <v>739.36923552191877</v>
      </c>
      <c r="G98" s="152">
        <f>IF(TrRoad_act!G20=0,0,G34/TrRoad_act!G20*1000)</f>
        <v>733.63791624323903</v>
      </c>
      <c r="H98" s="152">
        <f>IF(TrRoad_act!H20=0,0,H34/TrRoad_act!H20*1000)</f>
        <v>735.21016072896032</v>
      </c>
      <c r="I98" s="152">
        <f>IF(TrRoad_act!I20=0,0,I34/TrRoad_act!I20*1000)</f>
        <v>734.44452039310977</v>
      </c>
      <c r="J98" s="152">
        <f>IF(TrRoad_act!J20=0,0,J34/TrRoad_act!J20*1000)</f>
        <v>707.75846308960445</v>
      </c>
      <c r="K98" s="152">
        <f>IF(TrRoad_act!K20=0,0,K34/TrRoad_act!K20*1000)</f>
        <v>690.93468666909087</v>
      </c>
      <c r="L98" s="152">
        <f>IF(TrRoad_act!L20=0,0,L34/TrRoad_act!L20*1000)</f>
        <v>674.40969739959985</v>
      </c>
      <c r="M98" s="152">
        <f>IF(TrRoad_act!M20=0,0,M34/TrRoad_act!M20*1000)</f>
        <v>664.04371492835855</v>
      </c>
      <c r="N98" s="152">
        <f>IF(TrRoad_act!N20=0,0,N34/TrRoad_act!N20*1000)</f>
        <v>660.81376545945886</v>
      </c>
      <c r="O98" s="152">
        <f>IF(TrRoad_act!O20=0,0,O34/TrRoad_act!O20*1000)</f>
        <v>654.01860440730729</v>
      </c>
      <c r="P98" s="152">
        <f>IF(TrRoad_act!P20=0,0,P34/TrRoad_act!P20*1000)</f>
        <v>653.00781537827652</v>
      </c>
      <c r="Q98" s="152">
        <f>IF(TrRoad_act!Q20=0,0,Q34/TrRoad_act!Q20*1000)</f>
        <v>664.49853308003014</v>
      </c>
      <c r="R98" s="152">
        <f>IF(TrRoad_act!R20=0,0,R34/TrRoad_act!R20*1000)</f>
        <v>660.04846265107392</v>
      </c>
      <c r="S98" s="152">
        <f>IF(TrRoad_act!S20=0,0,S34/TrRoad_act!S20*1000)</f>
        <v>639.3174879352033</v>
      </c>
      <c r="T98" s="152">
        <f>IF(TrRoad_act!T20=0,0,T34/TrRoad_act!T20*1000)</f>
        <v>636.79666118613409</v>
      </c>
      <c r="U98" s="152">
        <f>IF(TrRoad_act!U20=0,0,U34/TrRoad_act!U20*1000)</f>
        <v>617.77144577450883</v>
      </c>
      <c r="V98" s="152">
        <f>IF(TrRoad_act!V20=0,0,V34/TrRoad_act!V20*1000)</f>
        <v>606.40293165041658</v>
      </c>
      <c r="W98" s="152">
        <f>IF(TrRoad_act!W20=0,0,W34/TrRoad_act!W20*1000)</f>
        <v>612.96427123841329</v>
      </c>
      <c r="X98" s="152">
        <f>IF(TrRoad_act!X20=0,0,X34/TrRoad_act!X20*1000)</f>
        <v>636.29399010546729</v>
      </c>
      <c r="Y98" s="152">
        <f>IF(TrRoad_act!Y20=0,0,Y34/TrRoad_act!Y20*1000)</f>
        <v>620.89319817911132</v>
      </c>
      <c r="DA98" s="174" t="s">
        <v>446</v>
      </c>
    </row>
    <row r="99" spans="1:105" ht="11.45" customHeight="1" x14ac:dyDescent="0.25">
      <c r="A99" s="111" t="s">
        <v>110</v>
      </c>
      <c r="B99" s="87">
        <f>IF(TrRoad_act!B21=0,0,B35/TrRoad_act!B21*1000)</f>
        <v>771.76054650184335</v>
      </c>
      <c r="C99" s="87">
        <f>IF(TrRoad_act!C21=0,0,C35/TrRoad_act!C21*1000)</f>
        <v>760.87652948678385</v>
      </c>
      <c r="D99" s="87">
        <f>IF(TrRoad_act!D21=0,0,D35/TrRoad_act!D21*1000)</f>
        <v>753.52612399209625</v>
      </c>
      <c r="E99" s="87">
        <f>IF(TrRoad_act!E21=0,0,E35/TrRoad_act!E21*1000)</f>
        <v>746.488802546133</v>
      </c>
      <c r="F99" s="87">
        <f>IF(TrRoad_act!F21=0,0,F35/TrRoad_act!F21*1000)</f>
        <v>737.15831066854707</v>
      </c>
      <c r="G99" s="87">
        <f>IF(TrRoad_act!G21=0,0,G35/TrRoad_act!G21*1000)</f>
        <v>722.06834849656502</v>
      </c>
      <c r="H99" s="87">
        <f>IF(TrRoad_act!H21=0,0,H35/TrRoad_act!H21*1000)</f>
        <v>703.03736609099451</v>
      </c>
      <c r="I99" s="87">
        <f>IF(TrRoad_act!I21=0,0,I35/TrRoad_act!I21*1000)</f>
        <v>683.73897369383371</v>
      </c>
      <c r="J99" s="87">
        <f>IF(TrRoad_act!J21=0,0,J35/TrRoad_act!J21*1000)</f>
        <v>670.69544603525128</v>
      </c>
      <c r="K99" s="87">
        <f>IF(TrRoad_act!K21=0,0,K35/TrRoad_act!K21*1000)</f>
        <v>663.79043480986354</v>
      </c>
      <c r="L99" s="87">
        <f>IF(TrRoad_act!L21=0,0,L35/TrRoad_act!L21*1000)</f>
        <v>655.87409244448247</v>
      </c>
      <c r="M99" s="87">
        <f>IF(TrRoad_act!M21=0,0,M35/TrRoad_act!M21*1000)</f>
        <v>654.57126910428985</v>
      </c>
      <c r="N99" s="87">
        <f>IF(TrRoad_act!N21=0,0,N35/TrRoad_act!N21*1000)</f>
        <v>648.01047013725156</v>
      </c>
      <c r="O99" s="87">
        <f>IF(TrRoad_act!O21=0,0,O35/TrRoad_act!O21*1000)</f>
        <v>648.20544982300555</v>
      </c>
      <c r="P99" s="87">
        <f>IF(TrRoad_act!P21=0,0,P35/TrRoad_act!P21*1000)</f>
        <v>646.76777493457985</v>
      </c>
      <c r="Q99" s="87">
        <f>IF(TrRoad_act!Q21=0,0,Q35/TrRoad_act!Q21*1000)</f>
        <v>638.20258879074743</v>
      </c>
      <c r="R99" s="87">
        <f>IF(TrRoad_act!R21=0,0,R35/TrRoad_act!R21*1000)</f>
        <v>632.59044413649906</v>
      </c>
      <c r="S99" s="87">
        <f>IF(TrRoad_act!S21=0,0,S35/TrRoad_act!S21*1000)</f>
        <v>643.07143006467368</v>
      </c>
      <c r="T99" s="87">
        <f>IF(TrRoad_act!T21=0,0,T35/TrRoad_act!T21*1000)</f>
        <v>636.62512261403504</v>
      </c>
      <c r="U99" s="87">
        <f>IF(TrRoad_act!U21=0,0,U35/TrRoad_act!U21*1000)</f>
        <v>627.82704490442188</v>
      </c>
      <c r="V99" s="87">
        <f>IF(TrRoad_act!V21=0,0,V35/TrRoad_act!V21*1000)</f>
        <v>589.95880873651834</v>
      </c>
      <c r="W99" s="87">
        <f>IF(TrRoad_act!W21=0,0,W35/TrRoad_act!W21*1000)</f>
        <v>595.93959220248394</v>
      </c>
      <c r="X99" s="87">
        <f>IF(TrRoad_act!X21=0,0,X35/TrRoad_act!X21*1000)</f>
        <v>630.98879258441366</v>
      </c>
      <c r="Y99" s="87">
        <f>IF(TrRoad_act!Y21=0,0,Y35/TrRoad_act!Y21*1000)</f>
        <v>639.74258138322614</v>
      </c>
      <c r="DA99" s="171" t="s">
        <v>806</v>
      </c>
    </row>
    <row r="100" spans="1:105" ht="11.45" customHeight="1" x14ac:dyDescent="0.25">
      <c r="A100" s="111" t="s">
        <v>111</v>
      </c>
      <c r="B100" s="87">
        <f>IF(TrRoad_act!B22=0,0,B36/TrRoad_act!B22*1000)</f>
        <v>797.75938533450892</v>
      </c>
      <c r="C100" s="87">
        <f>IF(TrRoad_act!C22=0,0,C36/TrRoad_act!C22*1000)</f>
        <v>760.41368020591199</v>
      </c>
      <c r="D100" s="87">
        <f>IF(TrRoad_act!D22=0,0,D36/TrRoad_act!D22*1000)</f>
        <v>746.50288908349353</v>
      </c>
      <c r="E100" s="87">
        <f>IF(TrRoad_act!E22=0,0,E36/TrRoad_act!E22*1000)</f>
        <v>735.46977022987096</v>
      </c>
      <c r="F100" s="87">
        <f>IF(TrRoad_act!F22=0,0,F36/TrRoad_act!F22*1000)</f>
        <v>739.38147752722944</v>
      </c>
      <c r="G100" s="87">
        <f>IF(TrRoad_act!G22=0,0,G36/TrRoad_act!G22*1000)</f>
        <v>733.6840992388428</v>
      </c>
      <c r="H100" s="87">
        <f>IF(TrRoad_act!H22=0,0,H36/TrRoad_act!H22*1000)</f>
        <v>735.30241181440238</v>
      </c>
      <c r="I100" s="87">
        <f>IF(TrRoad_act!I22=0,0,I36/TrRoad_act!I22*1000)</f>
        <v>734.55291323932511</v>
      </c>
      <c r="J100" s="87">
        <f>IF(TrRoad_act!J22=0,0,J36/TrRoad_act!J22*1000)</f>
        <v>707.82950098855861</v>
      </c>
      <c r="K100" s="87">
        <f>IF(TrRoad_act!K22=0,0,K36/TrRoad_act!K22*1000)</f>
        <v>690.98395481316697</v>
      </c>
      <c r="L100" s="87">
        <f>IF(TrRoad_act!L22=0,0,L36/TrRoad_act!L22*1000)</f>
        <v>674.43984689857336</v>
      </c>
      <c r="M100" s="87">
        <f>IF(TrRoad_act!M22=0,0,M36/TrRoad_act!M22*1000)</f>
        <v>664.12143795708494</v>
      </c>
      <c r="N100" s="87">
        <f>IF(TrRoad_act!N22=0,0,N36/TrRoad_act!N22*1000)</f>
        <v>660.98192378831993</v>
      </c>
      <c r="O100" s="87">
        <f>IF(TrRoad_act!O22=0,0,O36/TrRoad_act!O22*1000)</f>
        <v>654.18036903082555</v>
      </c>
      <c r="P100" s="87">
        <f>IF(TrRoad_act!P22=0,0,P36/TrRoad_act!P22*1000)</f>
        <v>653.19505666601538</v>
      </c>
      <c r="Q100" s="87">
        <f>IF(TrRoad_act!Q22=0,0,Q36/TrRoad_act!Q22*1000)</f>
        <v>664.70977374392976</v>
      </c>
      <c r="R100" s="87">
        <f>IF(TrRoad_act!R22=0,0,R36/TrRoad_act!R22*1000)</f>
        <v>660.26366138667674</v>
      </c>
      <c r="S100" s="87">
        <f>IF(TrRoad_act!S22=0,0,S36/TrRoad_act!S22*1000)</f>
        <v>639.62463603646438</v>
      </c>
      <c r="T100" s="87">
        <f>IF(TrRoad_act!T22=0,0,T36/TrRoad_act!T22*1000)</f>
        <v>637.13025783735509</v>
      </c>
      <c r="U100" s="87">
        <f>IF(TrRoad_act!U22=0,0,U36/TrRoad_act!U22*1000)</f>
        <v>618.66733582264351</v>
      </c>
      <c r="V100" s="87">
        <f>IF(TrRoad_act!V22=0,0,V36/TrRoad_act!V22*1000)</f>
        <v>608.19235581580631</v>
      </c>
      <c r="W100" s="87">
        <f>IF(TrRoad_act!W22=0,0,W36/TrRoad_act!W22*1000)</f>
        <v>616.01981500017098</v>
      </c>
      <c r="X100" s="87">
        <f>IF(TrRoad_act!X22=0,0,X36/TrRoad_act!X22*1000)</f>
        <v>640.72737376083001</v>
      </c>
      <c r="Y100" s="87">
        <f>IF(TrRoad_act!Y22=0,0,Y36/TrRoad_act!Y22*1000)</f>
        <v>626.75570936744373</v>
      </c>
      <c r="DA100" s="171" t="s">
        <v>807</v>
      </c>
    </row>
    <row r="101" spans="1:105" ht="11.45" customHeight="1" x14ac:dyDescent="0.25">
      <c r="A101" s="111" t="s">
        <v>112</v>
      </c>
      <c r="B101" s="87">
        <f>IF(TrRoad_act!B23=0,0,B37/TrRoad_act!B23*1000)</f>
        <v>0</v>
      </c>
      <c r="C101" s="87">
        <f>IF(TrRoad_act!C23=0,0,C37/TrRoad_act!C23*1000)</f>
        <v>0</v>
      </c>
      <c r="D101" s="87">
        <f>IF(TrRoad_act!D23=0,0,D37/TrRoad_act!D23*1000)</f>
        <v>0</v>
      </c>
      <c r="E101" s="87">
        <f>IF(TrRoad_act!E23=0,0,E37/TrRoad_act!E23*1000)</f>
        <v>0</v>
      </c>
      <c r="F101" s="87">
        <f>IF(TrRoad_act!F23=0,0,F37/TrRoad_act!F23*1000)</f>
        <v>0</v>
      </c>
      <c r="G101" s="87">
        <f>IF(TrRoad_act!G23=0,0,G37/TrRoad_act!G23*1000)</f>
        <v>0</v>
      </c>
      <c r="H101" s="87">
        <f>IF(TrRoad_act!H23=0,0,H37/TrRoad_act!H23*1000)</f>
        <v>0</v>
      </c>
      <c r="I101" s="87">
        <f>IF(TrRoad_act!I23=0,0,I37/TrRoad_act!I23*1000)</f>
        <v>0</v>
      </c>
      <c r="J101" s="87">
        <f>IF(TrRoad_act!J23=0,0,J37/TrRoad_act!J23*1000)</f>
        <v>0</v>
      </c>
      <c r="K101" s="87">
        <f>IF(TrRoad_act!K23=0,0,K37/TrRoad_act!K23*1000)</f>
        <v>0</v>
      </c>
      <c r="L101" s="87">
        <f>IF(TrRoad_act!L23=0,0,L37/TrRoad_act!L23*1000)</f>
        <v>0</v>
      </c>
      <c r="M101" s="87">
        <f>IF(TrRoad_act!M23=0,0,M37/TrRoad_act!M23*1000)</f>
        <v>0</v>
      </c>
      <c r="N101" s="87">
        <f>IF(TrRoad_act!N23=0,0,N37/TrRoad_act!N23*1000)</f>
        <v>0</v>
      </c>
      <c r="O101" s="87">
        <f>IF(TrRoad_act!O23=0,0,O37/TrRoad_act!O23*1000)</f>
        <v>622.26215327778539</v>
      </c>
      <c r="P101" s="87">
        <f>IF(TrRoad_act!P23=0,0,P37/TrRoad_act!P23*1000)</f>
        <v>626.86841547067809</v>
      </c>
      <c r="Q101" s="87">
        <f>IF(TrRoad_act!Q23=0,0,Q37/TrRoad_act!Q23*1000)</f>
        <v>625.34892602150285</v>
      </c>
      <c r="R101" s="87">
        <f>IF(TrRoad_act!R23=0,0,R37/TrRoad_act!R23*1000)</f>
        <v>624.05959764243812</v>
      </c>
      <c r="S101" s="87">
        <f>IF(TrRoad_act!S23=0,0,S37/TrRoad_act!S23*1000)</f>
        <v>595.32159218612139</v>
      </c>
      <c r="T101" s="87">
        <f>IF(TrRoad_act!T23=0,0,T37/TrRoad_act!T23*1000)</f>
        <v>596.56760448431692</v>
      </c>
      <c r="U101" s="87">
        <f>IF(TrRoad_act!U23=0,0,U37/TrRoad_act!U23*1000)</f>
        <v>595.31638615689292</v>
      </c>
      <c r="V101" s="87">
        <f>IF(TrRoad_act!V23=0,0,V37/TrRoad_act!V23*1000)</f>
        <v>588.87786919300879</v>
      </c>
      <c r="W101" s="87">
        <f>IF(TrRoad_act!W23=0,0,W37/TrRoad_act!W23*1000)</f>
        <v>590.14081590748287</v>
      </c>
      <c r="X101" s="87">
        <f>IF(TrRoad_act!X23=0,0,X37/TrRoad_act!X23*1000)</f>
        <v>591.47613640520285</v>
      </c>
      <c r="Y101" s="87">
        <f>IF(TrRoad_act!Y23=0,0,Y37/TrRoad_act!Y23*1000)</f>
        <v>592.98958319873191</v>
      </c>
      <c r="DA101" s="171" t="s">
        <v>808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0</v>
      </c>
      <c r="I102" s="87">
        <f>IF(TrRoad_act!I24=0,0,I38/TrRoad_act!I24*1000)</f>
        <v>0</v>
      </c>
      <c r="J102" s="87">
        <f>IF(TrRoad_act!J24=0,0,J38/TrRoad_act!J24*1000)</f>
        <v>0</v>
      </c>
      <c r="K102" s="87">
        <f>IF(TrRoad_act!K24=0,0,K38/TrRoad_act!K24*1000)</f>
        <v>0</v>
      </c>
      <c r="L102" s="87">
        <f>IF(TrRoad_act!L24=0,0,L38/TrRoad_act!L24*1000)</f>
        <v>0</v>
      </c>
      <c r="M102" s="87">
        <f>IF(TrRoad_act!M24=0,0,M38/TrRoad_act!M24*1000)</f>
        <v>0</v>
      </c>
      <c r="N102" s="87">
        <f>IF(TrRoad_act!N24=0,0,N38/TrRoad_act!N24*1000)</f>
        <v>0</v>
      </c>
      <c r="O102" s="87">
        <f>IF(TrRoad_act!O24=0,0,O38/TrRoad_act!O24*1000)</f>
        <v>0</v>
      </c>
      <c r="P102" s="87">
        <f>IF(TrRoad_act!P24=0,0,P38/TrRoad_act!P24*1000)</f>
        <v>0</v>
      </c>
      <c r="Q102" s="87">
        <f>IF(TrRoad_act!Q24=0,0,Q38/TrRoad_act!Q24*1000)</f>
        <v>0</v>
      </c>
      <c r="R102" s="87">
        <f>IF(TrRoad_act!R24=0,0,R38/TrRoad_act!R24*1000)</f>
        <v>0</v>
      </c>
      <c r="S102" s="87">
        <f>IF(TrRoad_act!S24=0,0,S38/TrRoad_act!S24*1000)</f>
        <v>0</v>
      </c>
      <c r="T102" s="87">
        <f>IF(TrRoad_act!T24=0,0,T38/TrRoad_act!T24*1000)</f>
        <v>0</v>
      </c>
      <c r="U102" s="87">
        <f>IF(TrRoad_act!U24=0,0,U38/TrRoad_act!U24*1000)</f>
        <v>0</v>
      </c>
      <c r="V102" s="87">
        <f>IF(TrRoad_act!V24=0,0,V38/TrRoad_act!V24*1000)</f>
        <v>0</v>
      </c>
      <c r="W102" s="87">
        <f>IF(TrRoad_act!W24=0,0,W38/TrRoad_act!W24*1000)</f>
        <v>0</v>
      </c>
      <c r="X102" s="87">
        <f>IF(TrRoad_act!X24=0,0,X38/TrRoad_act!X24*1000)</f>
        <v>0</v>
      </c>
      <c r="Y102" s="87">
        <f>IF(TrRoad_act!Y24=0,0,Y38/TrRoad_act!Y24*1000)</f>
        <v>0</v>
      </c>
      <c r="DA102" s="171" t="s">
        <v>809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X103" s="87">
        <f>IF(TrRoad_act!X25=0,0,X39/TrRoad_act!X25*1000)</f>
        <v>0</v>
      </c>
      <c r="Y103" s="87">
        <f>IF(TrRoad_act!Y25=0,0,Y39/TrRoad_act!Y25*1000)</f>
        <v>0</v>
      </c>
      <c r="DA103" s="171" t="s">
        <v>810</v>
      </c>
    </row>
    <row r="104" spans="1:105" ht="11.45" customHeight="1" x14ac:dyDescent="0.25">
      <c r="A104" s="109" t="s">
        <v>154</v>
      </c>
      <c r="B104" s="116">
        <f>IF(TrRoad_act!B26=0,0,B40/TrRoad_act!B26*1000)</f>
        <v>283.99265020866022</v>
      </c>
      <c r="C104" s="116">
        <f>IF(TrRoad_act!C26=0,0,C40/TrRoad_act!C26*1000)</f>
        <v>278.14355506408418</v>
      </c>
      <c r="D104" s="116">
        <f>IF(TrRoad_act!D26=0,0,D40/TrRoad_act!D26*1000)</f>
        <v>247.36555857893069</v>
      </c>
      <c r="E104" s="116">
        <f>IF(TrRoad_act!E26=0,0,E40/TrRoad_act!E26*1000)</f>
        <v>229.01553702255629</v>
      </c>
      <c r="F104" s="116">
        <f>IF(TrRoad_act!F26=0,0,F40/TrRoad_act!F26*1000)</f>
        <v>225.96782007951774</v>
      </c>
      <c r="G104" s="116">
        <f>IF(TrRoad_act!G26=0,0,G40/TrRoad_act!G26*1000)</f>
        <v>221.70869301591947</v>
      </c>
      <c r="H104" s="116">
        <f>IF(TrRoad_act!H26=0,0,H40/TrRoad_act!H26*1000)</f>
        <v>230.42425362444064</v>
      </c>
      <c r="I104" s="116">
        <f>IF(TrRoad_act!I26=0,0,I40/TrRoad_act!I26*1000)</f>
        <v>237.6075992303239</v>
      </c>
      <c r="J104" s="116">
        <f>IF(TrRoad_act!J26=0,0,J40/TrRoad_act!J26*1000)</f>
        <v>216.12771284575859</v>
      </c>
      <c r="K104" s="116">
        <f>IF(TrRoad_act!K26=0,0,K40/TrRoad_act!K26*1000)</f>
        <v>232.79697971044726</v>
      </c>
      <c r="L104" s="116">
        <f>IF(TrRoad_act!L26=0,0,L40/TrRoad_act!L26*1000)</f>
        <v>203.53950346725014</v>
      </c>
      <c r="M104" s="116">
        <f>IF(TrRoad_act!M26=0,0,M40/TrRoad_act!M26*1000)</f>
        <v>197.40500608314576</v>
      </c>
      <c r="N104" s="116">
        <f>IF(TrRoad_act!N26=0,0,N40/TrRoad_act!N26*1000)</f>
        <v>200.15324582762591</v>
      </c>
      <c r="O104" s="116">
        <f>IF(TrRoad_act!O26=0,0,O40/TrRoad_act!O26*1000)</f>
        <v>205.34081051923167</v>
      </c>
      <c r="P104" s="116">
        <f>IF(TrRoad_act!P26=0,0,P40/TrRoad_act!P26*1000)</f>
        <v>209.41103030255525</v>
      </c>
      <c r="Q104" s="116">
        <f>IF(TrRoad_act!Q26=0,0,Q40/TrRoad_act!Q26*1000)</f>
        <v>207.69405714662221</v>
      </c>
      <c r="R104" s="116">
        <f>IF(TrRoad_act!R26=0,0,R40/TrRoad_act!R26*1000)</f>
        <v>201.59477723171159</v>
      </c>
      <c r="S104" s="116">
        <f>IF(TrRoad_act!S26=0,0,S40/TrRoad_act!S26*1000)</f>
        <v>193.90103328738564</v>
      </c>
      <c r="T104" s="116">
        <f>IF(TrRoad_act!T26=0,0,T40/TrRoad_act!T26*1000)</f>
        <v>199.62096388548412</v>
      </c>
      <c r="U104" s="116">
        <f>IF(TrRoad_act!U26=0,0,U40/TrRoad_act!U26*1000)</f>
        <v>195.76522838469222</v>
      </c>
      <c r="V104" s="116">
        <f>IF(TrRoad_act!V26=0,0,V40/TrRoad_act!V26*1000)</f>
        <v>191.83019357054292</v>
      </c>
      <c r="W104" s="116">
        <f>IF(TrRoad_act!W26=0,0,W40/TrRoad_act!W26*1000)</f>
        <v>194.44524279661943</v>
      </c>
      <c r="X104" s="116">
        <f>IF(TrRoad_act!X26=0,0,X40/TrRoad_act!X26*1000)</f>
        <v>203.16653781540376</v>
      </c>
      <c r="Y104" s="116">
        <f>IF(TrRoad_act!Y26=0,0,Y40/TrRoad_act!Y26*1000)</f>
        <v>199.48511509230133</v>
      </c>
      <c r="DA104" s="176" t="s">
        <v>447</v>
      </c>
    </row>
    <row r="105" spans="1:105" ht="11.45" customHeight="1" x14ac:dyDescent="0.25">
      <c r="A105" s="128" t="s">
        <v>27</v>
      </c>
      <c r="B105" s="101">
        <f>IF(TrRoad_act!B27=0,0,B41/TrRoad_act!B27*1000)</f>
        <v>303.42440080010573</v>
      </c>
      <c r="C105" s="101">
        <f>IF(TrRoad_act!C27=0,0,C41/TrRoad_act!C27*1000)</f>
        <v>295.48219350807358</v>
      </c>
      <c r="D105" s="101">
        <f>IF(TrRoad_act!D27=0,0,D41/TrRoad_act!D27*1000)</f>
        <v>261.14059012077519</v>
      </c>
      <c r="E105" s="101">
        <f>IF(TrRoad_act!E27=0,0,E41/TrRoad_act!E27*1000)</f>
        <v>239.98184279478815</v>
      </c>
      <c r="F105" s="101">
        <f>IF(TrRoad_act!F27=0,0,F41/TrRoad_act!F27*1000)</f>
        <v>237.04449444455875</v>
      </c>
      <c r="G105" s="101">
        <f>IF(TrRoad_act!G27=0,0,G41/TrRoad_act!G27*1000)</f>
        <v>232.84013317077566</v>
      </c>
      <c r="H105" s="101">
        <f>IF(TrRoad_act!H27=0,0,H41/TrRoad_act!H27*1000)</f>
        <v>242.64152584243516</v>
      </c>
      <c r="I105" s="101">
        <f>IF(TrRoad_act!I27=0,0,I41/TrRoad_act!I27*1000)</f>
        <v>250.76429087054984</v>
      </c>
      <c r="J105" s="101">
        <f>IF(TrRoad_act!J27=0,0,J41/TrRoad_act!J27*1000)</f>
        <v>227.37562317964381</v>
      </c>
      <c r="K105" s="101">
        <f>IF(TrRoad_act!K27=0,0,K41/TrRoad_act!K27*1000)</f>
        <v>250.09102383709569</v>
      </c>
      <c r="L105" s="101">
        <f>IF(TrRoad_act!L27=0,0,L41/TrRoad_act!L27*1000)</f>
        <v>220.77516952794667</v>
      </c>
      <c r="M105" s="101">
        <f>IF(TrRoad_act!M27=0,0,M41/TrRoad_act!M27*1000)</f>
        <v>217.96455635707073</v>
      </c>
      <c r="N105" s="101">
        <f>IF(TrRoad_act!N27=0,0,N41/TrRoad_act!N27*1000)</f>
        <v>218.92405143413643</v>
      </c>
      <c r="O105" s="101">
        <f>IF(TrRoad_act!O27=0,0,O41/TrRoad_act!O27*1000)</f>
        <v>224.59796217683277</v>
      </c>
      <c r="P105" s="101">
        <f>IF(TrRoad_act!P27=0,0,P41/TrRoad_act!P27*1000)</f>
        <v>226.67504118529061</v>
      </c>
      <c r="Q105" s="101">
        <f>IF(TrRoad_act!Q27=0,0,Q41/TrRoad_act!Q27*1000)</f>
        <v>226.23139367827844</v>
      </c>
      <c r="R105" s="101">
        <f>IF(TrRoad_act!R27=0,0,R41/TrRoad_act!R27*1000)</f>
        <v>214.51918965685238</v>
      </c>
      <c r="S105" s="101">
        <f>IF(TrRoad_act!S27=0,0,S41/TrRoad_act!S27*1000)</f>
        <v>206.26280135025064</v>
      </c>
      <c r="T105" s="101">
        <f>IF(TrRoad_act!T27=0,0,T41/TrRoad_act!T27*1000)</f>
        <v>213.86677403145777</v>
      </c>
      <c r="U105" s="101">
        <f>IF(TrRoad_act!U27=0,0,U41/TrRoad_act!U27*1000)</f>
        <v>210.53114315488097</v>
      </c>
      <c r="V105" s="101">
        <f>IF(TrRoad_act!V27=0,0,V41/TrRoad_act!V27*1000)</f>
        <v>197.48785606621024</v>
      </c>
      <c r="W105" s="101">
        <f>IF(TrRoad_act!W27=0,0,W41/TrRoad_act!W27*1000)</f>
        <v>199.6181963644006</v>
      </c>
      <c r="X105" s="101">
        <f>IF(TrRoad_act!X27=0,0,X41/TrRoad_act!X27*1000)</f>
        <v>208.61716666262009</v>
      </c>
      <c r="Y105" s="101">
        <f>IF(TrRoad_act!Y27=0,0,Y41/TrRoad_act!Y27*1000)</f>
        <v>204.77789721309435</v>
      </c>
      <c r="DA105" s="175" t="s">
        <v>811</v>
      </c>
    </row>
    <row r="106" spans="1:105" ht="11.45" customHeight="1" x14ac:dyDescent="0.25">
      <c r="A106" s="138" t="s">
        <v>116</v>
      </c>
      <c r="B106" s="88">
        <f>IF(TrRoad_act!B28=0,0,B42/TrRoad_act!B28*1000)</f>
        <v>146.36888530422482</v>
      </c>
      <c r="C106" s="88">
        <f>IF(TrRoad_act!C28=0,0,C42/TrRoad_act!C28*1000)</f>
        <v>152.71232713176042</v>
      </c>
      <c r="D106" s="88">
        <f>IF(TrRoad_act!D28=0,0,D42/TrRoad_act!D28*1000)</f>
        <v>136.67355828396185</v>
      </c>
      <c r="E106" s="88">
        <f>IF(TrRoad_act!E28=0,0,E42/TrRoad_act!E28*1000)</f>
        <v>132.5696682866816</v>
      </c>
      <c r="F106" s="88">
        <f>IF(TrRoad_act!F28=0,0,F42/TrRoad_act!F28*1000)</f>
        <v>133.01839162961338</v>
      </c>
      <c r="G106" s="88">
        <f>IF(TrRoad_act!G28=0,0,G42/TrRoad_act!G28*1000)</f>
        <v>126.19500516066798</v>
      </c>
      <c r="H106" s="88">
        <f>IF(TrRoad_act!H28=0,0,H42/TrRoad_act!H28*1000)</f>
        <v>130.0343894787417</v>
      </c>
      <c r="I106" s="88">
        <f>IF(TrRoad_act!I28=0,0,I42/TrRoad_act!I28*1000)</f>
        <v>133.2493480859456</v>
      </c>
      <c r="J106" s="88">
        <f>IF(TrRoad_act!J28=0,0,J42/TrRoad_act!J28*1000)</f>
        <v>121.81474310005966</v>
      </c>
      <c r="K106" s="88">
        <f>IF(TrRoad_act!K28=0,0,K42/TrRoad_act!K28*1000)</f>
        <v>123.92396903054214</v>
      </c>
      <c r="L106" s="88">
        <f>IF(TrRoad_act!L28=0,0,L42/TrRoad_act!L28*1000)</f>
        <v>104.78573094334917</v>
      </c>
      <c r="M106" s="88">
        <f>IF(TrRoad_act!M28=0,0,M42/TrRoad_act!M28*1000)</f>
        <v>98.994596370973468</v>
      </c>
      <c r="N106" s="88">
        <f>IF(TrRoad_act!N28=0,0,N42/TrRoad_act!N28*1000)</f>
        <v>100.54539614670867</v>
      </c>
      <c r="O106" s="88">
        <f>IF(TrRoad_act!O28=0,0,O42/TrRoad_act!O28*1000)</f>
        <v>101.45262230047736</v>
      </c>
      <c r="P106" s="88">
        <f>IF(TrRoad_act!P28=0,0,P42/TrRoad_act!P28*1000)</f>
        <v>107.69305425456645</v>
      </c>
      <c r="Q106" s="88">
        <f>IF(TrRoad_act!Q28=0,0,Q42/TrRoad_act!Q28*1000)</f>
        <v>109.11504409962598</v>
      </c>
      <c r="R106" s="88">
        <f>IF(TrRoad_act!R28=0,0,R42/TrRoad_act!R28*1000)</f>
        <v>109.92422274715071</v>
      </c>
      <c r="S106" s="88">
        <f>IF(TrRoad_act!S28=0,0,S42/TrRoad_act!S28*1000)</f>
        <v>104.1765817102751</v>
      </c>
      <c r="T106" s="88">
        <f>IF(TrRoad_act!T28=0,0,T42/TrRoad_act!T28*1000)</f>
        <v>105.8360470911575</v>
      </c>
      <c r="U106" s="88">
        <f>IF(TrRoad_act!U28=0,0,U42/TrRoad_act!U28*1000)</f>
        <v>104.82392325450242</v>
      </c>
      <c r="V106" s="88">
        <f>IF(TrRoad_act!V28=0,0,V42/TrRoad_act!V28*1000)</f>
        <v>104.36813802745377</v>
      </c>
      <c r="W106" s="88">
        <f>IF(TrRoad_act!W28=0,0,W42/TrRoad_act!W28*1000)</f>
        <v>107.19532743097957</v>
      </c>
      <c r="X106" s="88">
        <f>IF(TrRoad_act!X28=0,0,X42/TrRoad_act!X28*1000)</f>
        <v>107.64450180446295</v>
      </c>
      <c r="Y106" s="88">
        <f>IF(TrRoad_act!Y28=0,0,Y42/TrRoad_act!Y28*1000)</f>
        <v>109.12729221967766</v>
      </c>
      <c r="DA106" s="178" t="s">
        <v>812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DA109" s="173"/>
    </row>
    <row r="110" spans="1:105" ht="11.45" customHeight="1" x14ac:dyDescent="0.25">
      <c r="A110" s="136" t="s">
        <v>173</v>
      </c>
      <c r="B110" s="152">
        <f>IF(B19=0,0,1000000*B19/TrRoad_act!B59)</f>
        <v>415.86972601547069</v>
      </c>
      <c r="C110" s="152">
        <f>IF(C19=0,0,1000000*C19/TrRoad_act!C59)</f>
        <v>413.33189258906674</v>
      </c>
      <c r="D110" s="152">
        <f>IF(D19=0,0,1000000*D19/TrRoad_act!D59)</f>
        <v>403.07969736332132</v>
      </c>
      <c r="E110" s="152">
        <f>IF(E19=0,0,1000000*E19/TrRoad_act!E59)</f>
        <v>406.68268082488333</v>
      </c>
      <c r="F110" s="152">
        <f>IF(F19=0,0,1000000*F19/TrRoad_act!F59)</f>
        <v>392.91202215476193</v>
      </c>
      <c r="G110" s="152">
        <f>IF(G19=0,0,1000000*G19/TrRoad_act!G59)</f>
        <v>485.97940262578089</v>
      </c>
      <c r="H110" s="152">
        <f>IF(H19=0,0,1000000*H19/TrRoad_act!H59)</f>
        <v>467.44892115332959</v>
      </c>
      <c r="I110" s="152">
        <f>IF(I19=0,0,1000000*I19/TrRoad_act!I59)</f>
        <v>443.0986875031893</v>
      </c>
      <c r="J110" s="152">
        <f>IF(J19=0,0,1000000*J19/TrRoad_act!J59)</f>
        <v>441.76020672255163</v>
      </c>
      <c r="K110" s="152">
        <f>IF(K19=0,0,1000000*K19/TrRoad_act!K59)</f>
        <v>401.17925276639437</v>
      </c>
      <c r="L110" s="152">
        <f>IF(L19=0,0,1000000*L19/TrRoad_act!L59)</f>
        <v>359.16769446315072</v>
      </c>
      <c r="M110" s="152">
        <f>IF(M19=0,0,1000000*M19/TrRoad_act!M59)</f>
        <v>341.84056877411064</v>
      </c>
      <c r="N110" s="152">
        <f>IF(N19=0,0,1000000*N19/TrRoad_act!N59)</f>
        <v>317.2766782143446</v>
      </c>
      <c r="O110" s="152">
        <f>IF(O19=0,0,1000000*O19/TrRoad_act!O59)</f>
        <v>299.1402484164081</v>
      </c>
      <c r="P110" s="152">
        <f>IF(P19=0,0,1000000*P19/TrRoad_act!P59)</f>
        <v>344.65428816440237</v>
      </c>
      <c r="Q110" s="152">
        <f>IF(Q19=0,0,1000000*Q19/TrRoad_act!Q59)</f>
        <v>322.06874816137025</v>
      </c>
      <c r="R110" s="152">
        <f>IF(R19=0,0,1000000*R19/TrRoad_act!R59)</f>
        <v>321.11377836023092</v>
      </c>
      <c r="S110" s="152">
        <f>IF(S19=0,0,1000000*S19/TrRoad_act!S59)</f>
        <v>287.16172250403724</v>
      </c>
      <c r="T110" s="152">
        <f>IF(T19=0,0,1000000*T19/TrRoad_act!T59)</f>
        <v>268.87977407431288</v>
      </c>
      <c r="U110" s="152">
        <f>IF(U19=0,0,1000000*U19/TrRoad_act!U59)</f>
        <v>269.2693847014059</v>
      </c>
      <c r="V110" s="152">
        <f>IF(V19=0,0,1000000*V19/TrRoad_act!V59)</f>
        <v>229.58230487629382</v>
      </c>
      <c r="W110" s="152">
        <f>IF(W19=0,0,1000000*W19/TrRoad_act!W59)</f>
        <v>229.42828876706852</v>
      </c>
      <c r="X110" s="152">
        <f>IF(X19=0,0,1000000*X19/TrRoad_act!X59)</f>
        <v>226.4106513002196</v>
      </c>
      <c r="Y110" s="152">
        <f>IF(Y19=0,0,1000000*Y19/TrRoad_act!Y59)</f>
        <v>234.4128542027249</v>
      </c>
      <c r="DA110" s="174" t="s">
        <v>813</v>
      </c>
    </row>
    <row r="111" spans="1:105" ht="11.45" customHeight="1" x14ac:dyDescent="0.25">
      <c r="A111" s="109" t="s">
        <v>20</v>
      </c>
      <c r="B111" s="116">
        <f>IF(B20=0,0,1000000*B20/TrRoad_act!B60)</f>
        <v>4367.655848624594</v>
      </c>
      <c r="C111" s="116">
        <f>IF(C20=0,0,1000000*C20/TrRoad_act!C60)</f>
        <v>4283.4151644519134</v>
      </c>
      <c r="D111" s="116">
        <f>IF(D20=0,0,1000000*D20/TrRoad_act!D60)</f>
        <v>4118.3534910151038</v>
      </c>
      <c r="E111" s="116">
        <f>IF(E20=0,0,1000000*E20/TrRoad_act!E60)</f>
        <v>3968.5627626203814</v>
      </c>
      <c r="F111" s="116">
        <f>IF(F20=0,0,1000000*F20/TrRoad_act!F60)</f>
        <v>4000.9487402953728</v>
      </c>
      <c r="G111" s="116">
        <f>IF(G20=0,0,1000000*G20/TrRoad_act!G60)</f>
        <v>4088.8213169223122</v>
      </c>
      <c r="H111" s="116">
        <f>IF(H20=0,0,1000000*H20/TrRoad_act!H60)</f>
        <v>4035.8232744128341</v>
      </c>
      <c r="I111" s="116">
        <f>IF(I20=0,0,1000000*I20/TrRoad_act!I60)</f>
        <v>4025.0483303220913</v>
      </c>
      <c r="J111" s="116">
        <f>IF(J20=0,0,1000000*J20/TrRoad_act!J60)</f>
        <v>3720.5840035815472</v>
      </c>
      <c r="K111" s="116">
        <f>IF(K20=0,0,1000000*K20/TrRoad_act!K60)</f>
        <v>3693.961155235414</v>
      </c>
      <c r="L111" s="116">
        <f>IF(L20=0,0,1000000*L20/TrRoad_act!L60)</f>
        <v>3588.4106215326619</v>
      </c>
      <c r="M111" s="116">
        <f>IF(M20=0,0,1000000*M20/TrRoad_act!M60)</f>
        <v>3414.5022130168504</v>
      </c>
      <c r="N111" s="116">
        <f>IF(N20=0,0,1000000*N20/TrRoad_act!N60)</f>
        <v>3377.5047457148708</v>
      </c>
      <c r="O111" s="116">
        <f>IF(O20=0,0,1000000*O20/TrRoad_act!O60)</f>
        <v>3401.8224238095813</v>
      </c>
      <c r="P111" s="116">
        <f>IF(P20=0,0,1000000*P20/TrRoad_act!P60)</f>
        <v>3493.461566917149</v>
      </c>
      <c r="Q111" s="116">
        <f>IF(Q20=0,0,1000000*Q20/TrRoad_act!Q60)</f>
        <v>3521.1705805035594</v>
      </c>
      <c r="R111" s="116">
        <f>IF(R20=0,0,1000000*R20/TrRoad_act!R60)</f>
        <v>3634.4596722460678</v>
      </c>
      <c r="S111" s="116">
        <f>IF(S20=0,0,1000000*S20/TrRoad_act!S60)</f>
        <v>3491.9131953637343</v>
      </c>
      <c r="T111" s="116">
        <f>IF(T20=0,0,1000000*T20/TrRoad_act!T60)</f>
        <v>3421.1371127750881</v>
      </c>
      <c r="U111" s="116">
        <f>IF(U20=0,0,1000000*U20/TrRoad_act!U60)</f>
        <v>3277.7925228024037</v>
      </c>
      <c r="V111" s="116">
        <f>IF(V20=0,0,1000000*V20/TrRoad_act!V60)</f>
        <v>2635.3873615047773</v>
      </c>
      <c r="W111" s="116">
        <f>IF(W20=0,0,1000000*W20/TrRoad_act!W60)</f>
        <v>2755.1025471129419</v>
      </c>
      <c r="X111" s="116">
        <f>IF(X20=0,0,1000000*X20/TrRoad_act!X60)</f>
        <v>2899.0839457199204</v>
      </c>
      <c r="Y111" s="116">
        <f>IF(Y20=0,0,1000000*Y20/TrRoad_act!Y60)</f>
        <v>2800.1780886772335</v>
      </c>
      <c r="DA111" s="176" t="s">
        <v>814</v>
      </c>
    </row>
    <row r="112" spans="1:105" ht="11.45" customHeight="1" x14ac:dyDescent="0.25">
      <c r="A112" s="111" t="s">
        <v>110</v>
      </c>
      <c r="B112" s="87">
        <f>IF(B21=0,0,1000000*B21/TrRoad_act!B61)</f>
        <v>3997.6517820631066</v>
      </c>
      <c r="C112" s="87">
        <f>IF(C21=0,0,1000000*C21/TrRoad_act!C61)</f>
        <v>3901.0394434342425</v>
      </c>
      <c r="D112" s="87">
        <f>IF(D21=0,0,1000000*D21/TrRoad_act!D61)</f>
        <v>3823.2946412376264</v>
      </c>
      <c r="E112" s="87">
        <f>IF(E21=0,0,1000000*E21/TrRoad_act!E61)</f>
        <v>3675.1255399495594</v>
      </c>
      <c r="F112" s="87">
        <f>IF(F21=0,0,1000000*F21/TrRoad_act!F61)</f>
        <v>3678.0857809350277</v>
      </c>
      <c r="G112" s="87">
        <f>IF(G21=0,0,1000000*G21/TrRoad_act!G61)</f>
        <v>3787.6094382120036</v>
      </c>
      <c r="H112" s="87">
        <f>IF(H21=0,0,1000000*H21/TrRoad_act!H61)</f>
        <v>3735.6553564731694</v>
      </c>
      <c r="I112" s="87">
        <f>IF(I21=0,0,1000000*I21/TrRoad_act!I61)</f>
        <v>3626.300480961926</v>
      </c>
      <c r="J112" s="87">
        <f>IF(J21=0,0,1000000*J21/TrRoad_act!J61)</f>
        <v>3330.4385330705927</v>
      </c>
      <c r="K112" s="87">
        <f>IF(K21=0,0,1000000*K21/TrRoad_act!K61)</f>
        <v>3160.7590815357894</v>
      </c>
      <c r="L112" s="87">
        <f>IF(L21=0,0,1000000*L21/TrRoad_act!L61)</f>
        <v>3120.9277078655018</v>
      </c>
      <c r="M112" s="87">
        <f>IF(M21=0,0,1000000*M21/TrRoad_act!M61)</f>
        <v>2903.1881234240409</v>
      </c>
      <c r="N112" s="87">
        <f>IF(N21=0,0,1000000*N21/TrRoad_act!N61)</f>
        <v>2892.4919638424258</v>
      </c>
      <c r="O112" s="87">
        <f>IF(O21=0,0,1000000*O21/TrRoad_act!O61)</f>
        <v>2771.6510653984187</v>
      </c>
      <c r="P112" s="87">
        <f>IF(P21=0,0,1000000*P21/TrRoad_act!P61)</f>
        <v>2869.5567652984109</v>
      </c>
      <c r="Q112" s="87">
        <f>IF(Q21=0,0,1000000*Q21/TrRoad_act!Q61)</f>
        <v>2589.7400640852275</v>
      </c>
      <c r="R112" s="87">
        <f>IF(R21=0,0,1000000*R21/TrRoad_act!R61)</f>
        <v>2705.2373938436353</v>
      </c>
      <c r="S112" s="87">
        <f>IF(S21=0,0,1000000*S21/TrRoad_act!S61)</f>
        <v>2600.9858383001319</v>
      </c>
      <c r="T112" s="87">
        <f>IF(T21=0,0,1000000*T21/TrRoad_act!T61)</f>
        <v>2493.0315734959304</v>
      </c>
      <c r="U112" s="87">
        <f>IF(U21=0,0,1000000*U21/TrRoad_act!U61)</f>
        <v>2420.356046566149</v>
      </c>
      <c r="V112" s="87">
        <f>IF(V21=0,0,1000000*V21/TrRoad_act!V61)</f>
        <v>1833.2217168704785</v>
      </c>
      <c r="W112" s="87">
        <f>IF(W21=0,0,1000000*W21/TrRoad_act!W61)</f>
        <v>1970.0785743975973</v>
      </c>
      <c r="X112" s="87">
        <f>IF(X21=0,0,1000000*X21/TrRoad_act!X61)</f>
        <v>2212.5216659297257</v>
      </c>
      <c r="Y112" s="87">
        <f>IF(Y21=0,0,1000000*Y21/TrRoad_act!Y61)</f>
        <v>2269.2609294022568</v>
      </c>
      <c r="DA112" s="171" t="s">
        <v>815</v>
      </c>
    </row>
    <row r="113" spans="1:105" ht="11.45" customHeight="1" x14ac:dyDescent="0.25">
      <c r="A113" s="111" t="s">
        <v>111</v>
      </c>
      <c r="B113" s="87">
        <f>IF(B22=0,0,1000000*B22/TrRoad_act!B62)</f>
        <v>6825.7592081102221</v>
      </c>
      <c r="C113" s="87">
        <f>IF(C22=0,0,1000000*C22/TrRoad_act!C62)</f>
        <v>6863.1378975910729</v>
      </c>
      <c r="D113" s="87">
        <f>IF(D22=0,0,1000000*D22/TrRoad_act!D62)</f>
        <v>6050.2905149365033</v>
      </c>
      <c r="E113" s="87">
        <f>IF(E22=0,0,1000000*E22/TrRoad_act!E62)</f>
        <v>5844.1584319056874</v>
      </c>
      <c r="F113" s="87">
        <f>IF(F22=0,0,1000000*F22/TrRoad_act!F62)</f>
        <v>5982.1765363743389</v>
      </c>
      <c r="G113" s="87">
        <f>IF(G22=0,0,1000000*G22/TrRoad_act!G62)</f>
        <v>5624.0003118140939</v>
      </c>
      <c r="H113" s="87">
        <f>IF(H22=0,0,1000000*H22/TrRoad_act!H62)</f>
        <v>5407.8721207844028</v>
      </c>
      <c r="I113" s="87">
        <f>IF(I22=0,0,1000000*I22/TrRoad_act!I62)</f>
        <v>5848.5990652920009</v>
      </c>
      <c r="J113" s="87">
        <f>IF(J22=0,0,1000000*J22/TrRoad_act!J62)</f>
        <v>5165.52872052352</v>
      </c>
      <c r="K113" s="87">
        <f>IF(K22=0,0,1000000*K22/TrRoad_act!K62)</f>
        <v>5418.1827057044202</v>
      </c>
      <c r="L113" s="87">
        <f>IF(L22=0,0,1000000*L22/TrRoad_act!L62)</f>
        <v>4848.2165065771442</v>
      </c>
      <c r="M113" s="87">
        <f>IF(M22=0,0,1000000*M22/TrRoad_act!M62)</f>
        <v>4549.0936241069867</v>
      </c>
      <c r="N113" s="87">
        <f>IF(N22=0,0,1000000*N22/TrRoad_act!N62)</f>
        <v>4308.144395184625</v>
      </c>
      <c r="O113" s="87">
        <f>IF(O22=0,0,1000000*O22/TrRoad_act!O62)</f>
        <v>4447.9426139519674</v>
      </c>
      <c r="P113" s="87">
        <f>IF(P22=0,0,1000000*P22/TrRoad_act!P62)</f>
        <v>4387.5308860574723</v>
      </c>
      <c r="Q113" s="87">
        <f>IF(Q22=0,0,1000000*Q22/TrRoad_act!Q62)</f>
        <v>4674.1786251541889</v>
      </c>
      <c r="R113" s="87">
        <f>IF(R22=0,0,1000000*R22/TrRoad_act!R62)</f>
        <v>4608.4507041821144</v>
      </c>
      <c r="S113" s="87">
        <f>IF(S22=0,0,1000000*S22/TrRoad_act!S62)</f>
        <v>4290.071302256064</v>
      </c>
      <c r="T113" s="87">
        <f>IF(T22=0,0,1000000*T22/TrRoad_act!T62)</f>
        <v>4161.9651850647033</v>
      </c>
      <c r="U113" s="87">
        <f>IF(U22=0,0,1000000*U22/TrRoad_act!U62)</f>
        <v>3912.7386110438906</v>
      </c>
      <c r="V113" s="87">
        <f>IF(V22=0,0,1000000*V22/TrRoad_act!V62)</f>
        <v>3201.1280661206447</v>
      </c>
      <c r="W113" s="87">
        <f>IF(W22=0,0,1000000*W22/TrRoad_act!W62)</f>
        <v>3329.550528531182</v>
      </c>
      <c r="X113" s="87">
        <f>IF(X22=0,0,1000000*X22/TrRoad_act!X62)</f>
        <v>3468.6689378262704</v>
      </c>
      <c r="Y113" s="87">
        <f>IF(Y22=0,0,1000000*Y22/TrRoad_act!Y62)</f>
        <v>3335.6688862386645</v>
      </c>
      <c r="DA113" s="171" t="s">
        <v>816</v>
      </c>
    </row>
    <row r="114" spans="1:105" ht="11.45" customHeight="1" x14ac:dyDescent="0.25">
      <c r="A114" s="111" t="s">
        <v>112</v>
      </c>
      <c r="B114" s="87">
        <f>IF(B23=0,0,1000000*B23/TrRoad_act!B63)</f>
        <v>3600.3440250000008</v>
      </c>
      <c r="C114" s="87">
        <f>IF(C23=0,0,1000000*C23/TrRoad_act!C63)</f>
        <v>3433.9517437531299</v>
      </c>
      <c r="D114" s="87">
        <f>IF(D23=0,0,1000000*D23/TrRoad_act!D63)</f>
        <v>3496.0300869589855</v>
      </c>
      <c r="E114" s="87">
        <f>IF(E23=0,0,1000000*E23/TrRoad_act!E63)</f>
        <v>3645.7251698752257</v>
      </c>
      <c r="F114" s="87">
        <f>IF(F23=0,0,1000000*F23/TrRoad_act!F63)</f>
        <v>3593.4312240278537</v>
      </c>
      <c r="G114" s="87">
        <f>IF(G23=0,0,1000000*G23/TrRoad_act!G63)</f>
        <v>3603.2723544968585</v>
      </c>
      <c r="H114" s="87">
        <f>IF(H23=0,0,1000000*H23/TrRoad_act!H63)</f>
        <v>3265.8823317361498</v>
      </c>
      <c r="I114" s="87">
        <f>IF(I23=0,0,1000000*I23/TrRoad_act!I63)</f>
        <v>3386.5869915447615</v>
      </c>
      <c r="J114" s="87">
        <f>IF(J23=0,0,1000000*J23/TrRoad_act!J63)</f>
        <v>3372.2788085106386</v>
      </c>
      <c r="K114" s="87">
        <f>IF(K23=0,0,1000000*K23/TrRoad_act!K63)</f>
        <v>3243.4456066945613</v>
      </c>
      <c r="L114" s="87">
        <f>IF(L23=0,0,1000000*L23/TrRoad_act!L63)</f>
        <v>3300.4363106796118</v>
      </c>
      <c r="M114" s="87">
        <f>IF(M23=0,0,1000000*M23/TrRoad_act!M63)</f>
        <v>3198.2526872246699</v>
      </c>
      <c r="N114" s="87">
        <f>IF(N23=0,0,1000000*N23/TrRoad_act!N63)</f>
        <v>3002.6421818181825</v>
      </c>
      <c r="O114" s="87">
        <f>IF(O23=0,0,1000000*O23/TrRoad_act!O63)</f>
        <v>2995.755298986413</v>
      </c>
      <c r="P114" s="87">
        <f>IF(P23=0,0,1000000*P23/TrRoad_act!P63)</f>
        <v>2728.1305331188996</v>
      </c>
      <c r="Q114" s="87">
        <f>IF(Q23=0,0,1000000*Q23/TrRoad_act!Q63)</f>
        <v>3109.6575248299064</v>
      </c>
      <c r="R114" s="87">
        <f>IF(R23=0,0,1000000*R23/TrRoad_act!R63)</f>
        <v>3268.9707236822255</v>
      </c>
      <c r="S114" s="87">
        <f>IF(S23=0,0,1000000*S23/TrRoad_act!S63)</f>
        <v>3270.4150468843459</v>
      </c>
      <c r="T114" s="87">
        <f>IF(T23=0,0,1000000*T23/TrRoad_act!T63)</f>
        <v>3004.7540062325211</v>
      </c>
      <c r="U114" s="87">
        <f>IF(U23=0,0,1000000*U23/TrRoad_act!U63)</f>
        <v>2856.5097813078019</v>
      </c>
      <c r="V114" s="87">
        <f>IF(V23=0,0,1000000*V23/TrRoad_act!V63)</f>
        <v>2002.8145319882362</v>
      </c>
      <c r="W114" s="87">
        <f>IF(W23=0,0,1000000*W23/TrRoad_act!W63)</f>
        <v>2097.7022855867172</v>
      </c>
      <c r="X114" s="87">
        <f>IF(X23=0,0,1000000*X23/TrRoad_act!X63)</f>
        <v>2818.3671112562274</v>
      </c>
      <c r="Y114" s="87">
        <f>IF(Y23=0,0,1000000*Y23/TrRoad_act!Y63)</f>
        <v>2287.6329910919931</v>
      </c>
      <c r="DA114" s="171" t="s">
        <v>817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0</v>
      </c>
      <c r="G115" s="87">
        <f>IF(G24=0,0,1000000*G24/TrRoad_act!G64)</f>
        <v>0</v>
      </c>
      <c r="H115" s="87">
        <f>IF(H24=0,0,1000000*H24/TrRoad_act!H64)</f>
        <v>0</v>
      </c>
      <c r="I115" s="87">
        <f>IF(I24=0,0,1000000*I24/TrRoad_act!I64)</f>
        <v>0</v>
      </c>
      <c r="J115" s="87">
        <f>IF(J24=0,0,1000000*J24/TrRoad_act!J64)</f>
        <v>0</v>
      </c>
      <c r="K115" s="87">
        <f>IF(K24=0,0,1000000*K24/TrRoad_act!K64)</f>
        <v>0</v>
      </c>
      <c r="L115" s="87">
        <f>IF(L24=0,0,1000000*L24/TrRoad_act!L64)</f>
        <v>0</v>
      </c>
      <c r="M115" s="87">
        <f>IF(M24=0,0,1000000*M24/TrRoad_act!M64)</f>
        <v>0</v>
      </c>
      <c r="N115" s="87">
        <f>IF(N24=0,0,1000000*N24/TrRoad_act!N64)</f>
        <v>0</v>
      </c>
      <c r="O115" s="87">
        <f>IF(O24=0,0,1000000*O24/TrRoad_act!O64)</f>
        <v>0</v>
      </c>
      <c r="P115" s="87">
        <f>IF(P24=0,0,1000000*P24/TrRoad_act!P64)</f>
        <v>5452.9200000000019</v>
      </c>
      <c r="Q115" s="87">
        <f>IF(Q24=0,0,1000000*Q24/TrRoad_act!Q64)</f>
        <v>1868.1299999999997</v>
      </c>
      <c r="R115" s="87">
        <f>IF(R24=0,0,1000000*R24/TrRoad_act!R64)</f>
        <v>1162.4295621633521</v>
      </c>
      <c r="S115" s="87">
        <f>IF(S24=0,0,1000000*S24/TrRoad_act!S64)</f>
        <v>1386.127951630534</v>
      </c>
      <c r="T115" s="87">
        <f>IF(T24=0,0,1000000*T24/TrRoad_act!T64)</f>
        <v>1853.6417853570606</v>
      </c>
      <c r="U115" s="87">
        <f>IF(U24=0,0,1000000*U24/TrRoad_act!U64)</f>
        <v>2049.3318229292086</v>
      </c>
      <c r="V115" s="87">
        <f>IF(V24=0,0,1000000*V24/TrRoad_act!V64)</f>
        <v>2122.5512905564769</v>
      </c>
      <c r="W115" s="87">
        <f>IF(W24=0,0,1000000*W24/TrRoad_act!W64)</f>
        <v>4565.6893802235181</v>
      </c>
      <c r="X115" s="87">
        <f>IF(X24=0,0,1000000*X24/TrRoad_act!X64)</f>
        <v>2534.6486473733125</v>
      </c>
      <c r="Y115" s="87">
        <f>IF(Y24=0,0,1000000*Y24/TrRoad_act!Y64)</f>
        <v>2261.59790036096</v>
      </c>
      <c r="DA115" s="171" t="s">
        <v>818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0</v>
      </c>
      <c r="N116" s="87">
        <f>IF(N25=0,0,1000000*N25/TrRoad_act!N65)</f>
        <v>0</v>
      </c>
      <c r="O116" s="87">
        <f>IF(O25=0,0,1000000*O25/TrRoad_act!O65)</f>
        <v>1241.4452854050796</v>
      </c>
      <c r="P116" s="87">
        <f>IF(P25=0,0,1000000*P25/TrRoad_act!P65)</f>
        <v>718.07959624306704</v>
      </c>
      <c r="Q116" s="87">
        <f>IF(Q25=0,0,1000000*Q25/TrRoad_act!Q65)</f>
        <v>719.92360824177638</v>
      </c>
      <c r="R116" s="87">
        <f>IF(R25=0,0,1000000*R25/TrRoad_act!R65)</f>
        <v>845.59409925109014</v>
      </c>
      <c r="S116" s="87">
        <f>IF(S25=0,0,1000000*S25/TrRoad_act!S65)</f>
        <v>798.15967515303146</v>
      </c>
      <c r="T116" s="87">
        <f>IF(T25=0,0,1000000*T25/TrRoad_act!T65)</f>
        <v>784.59651826286722</v>
      </c>
      <c r="U116" s="87">
        <f>IF(U25=0,0,1000000*U25/TrRoad_act!U65)</f>
        <v>787.28126088845318</v>
      </c>
      <c r="V116" s="87">
        <f>IF(V25=0,0,1000000*V25/TrRoad_act!V65)</f>
        <v>553.18525196385713</v>
      </c>
      <c r="W116" s="87">
        <f>IF(W25=0,0,1000000*W25/TrRoad_act!W65)</f>
        <v>548.13902094641321</v>
      </c>
      <c r="X116" s="87">
        <f>IF(X25=0,0,1000000*X25/TrRoad_act!X65)</f>
        <v>588.76876245798212</v>
      </c>
      <c r="Y116" s="87">
        <f>IF(Y25=0,0,1000000*Y25/TrRoad_act!Y65)</f>
        <v>566.74925144926817</v>
      </c>
      <c r="DA116" s="171" t="s">
        <v>819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X117" s="87">
        <f>IF(X26=0,0,1000000*X26/TrRoad_act!X66)</f>
        <v>0</v>
      </c>
      <c r="Y117" s="87">
        <f>IF(Y26=0,0,1000000*Y26/TrRoad_act!Y66)</f>
        <v>0</v>
      </c>
      <c r="DA117" s="171" t="s">
        <v>820</v>
      </c>
    </row>
    <row r="118" spans="1:105" ht="11.45" customHeight="1" x14ac:dyDescent="0.25">
      <c r="A118" s="109" t="s">
        <v>21</v>
      </c>
      <c r="B118" s="116">
        <f>IF(B27=0,0,1000000*B27/TrRoad_act!B67)</f>
        <v>48598.886087324434</v>
      </c>
      <c r="C118" s="116">
        <f>IF(C27=0,0,1000000*C27/TrRoad_act!C67)</f>
        <v>46726.406886300007</v>
      </c>
      <c r="D118" s="116">
        <f>IF(D27=0,0,1000000*D27/TrRoad_act!D67)</f>
        <v>46720.429547904714</v>
      </c>
      <c r="E118" s="116">
        <f>IF(E27=0,0,1000000*E27/TrRoad_act!E67)</f>
        <v>46980.87050630225</v>
      </c>
      <c r="F118" s="116">
        <f>IF(F27=0,0,1000000*F27/TrRoad_act!F67)</f>
        <v>47427.694486428838</v>
      </c>
      <c r="G118" s="116">
        <f>IF(G27=0,0,1000000*G27/TrRoad_act!G67)</f>
        <v>47978.172283727145</v>
      </c>
      <c r="H118" s="116">
        <f>IF(H27=0,0,1000000*H27/TrRoad_act!H67)</f>
        <v>48647.501094604733</v>
      </c>
      <c r="I118" s="116">
        <f>IF(I27=0,0,1000000*I27/TrRoad_act!I67)</f>
        <v>49217.356770253624</v>
      </c>
      <c r="J118" s="116">
        <f>IF(J27=0,0,1000000*J27/TrRoad_act!J67)</f>
        <v>49791.754198545517</v>
      </c>
      <c r="K118" s="116">
        <f>IF(K27=0,0,1000000*K27/TrRoad_act!K67)</f>
        <v>50166.702789182986</v>
      </c>
      <c r="L118" s="116">
        <f>IF(L27=0,0,1000000*L27/TrRoad_act!L67)</f>
        <v>50702.286404437698</v>
      </c>
      <c r="M118" s="116">
        <f>IF(M27=0,0,1000000*M27/TrRoad_act!M67)</f>
        <v>49468.484634139546</v>
      </c>
      <c r="N118" s="116">
        <f>IF(N27=0,0,1000000*N27/TrRoad_act!N67)</f>
        <v>48765.533839412339</v>
      </c>
      <c r="O118" s="116">
        <f>IF(O27=0,0,1000000*O27/TrRoad_act!O67)</f>
        <v>47535.736607569357</v>
      </c>
      <c r="P118" s="116">
        <f>IF(P27=0,0,1000000*P27/TrRoad_act!P67)</f>
        <v>47183.876281018922</v>
      </c>
      <c r="Q118" s="116">
        <f>IF(Q27=0,0,1000000*Q27/TrRoad_act!Q67)</f>
        <v>46619.706920991128</v>
      </c>
      <c r="R118" s="116">
        <f>IF(R27=0,0,1000000*R27/TrRoad_act!R67)</f>
        <v>47152.256707950459</v>
      </c>
      <c r="S118" s="116">
        <f>IF(S27=0,0,1000000*S27/TrRoad_act!S67)</f>
        <v>48941.606432965717</v>
      </c>
      <c r="T118" s="116">
        <f>IF(T27=0,0,1000000*T27/TrRoad_act!T67)</f>
        <v>50258.695938404482</v>
      </c>
      <c r="U118" s="116">
        <f>IF(U27=0,0,1000000*U27/TrRoad_act!U67)</f>
        <v>48410.292037942454</v>
      </c>
      <c r="V118" s="116">
        <f>IF(V27=0,0,1000000*V27/TrRoad_act!V67)</f>
        <v>43464.312966567602</v>
      </c>
      <c r="W118" s="116">
        <f>IF(W27=0,0,1000000*W27/TrRoad_act!W67)</f>
        <v>40969.959272483342</v>
      </c>
      <c r="X118" s="116">
        <f>IF(X27=0,0,1000000*X27/TrRoad_act!X67)</f>
        <v>47449.951902222878</v>
      </c>
      <c r="Y118" s="116">
        <f>IF(Y27=0,0,1000000*Y27/TrRoad_act!Y67)</f>
        <v>54463.490159194298</v>
      </c>
      <c r="DA118" s="176" t="s">
        <v>821</v>
      </c>
    </row>
    <row r="119" spans="1:105" ht="11.45" customHeight="1" x14ac:dyDescent="0.25">
      <c r="A119" s="111" t="s">
        <v>110</v>
      </c>
      <c r="B119" s="101">
        <f>IF(B28=0,0,1000000*B28/TrRoad_act!B68)</f>
        <v>13713.207777039881</v>
      </c>
      <c r="C119" s="101">
        <f>IF(C28=0,0,1000000*C28/TrRoad_act!C68)</f>
        <v>13726.99727655049</v>
      </c>
      <c r="D119" s="101">
        <f>IF(D28=0,0,1000000*D28/TrRoad_act!D68)</f>
        <v>13746.756732161248</v>
      </c>
      <c r="E119" s="101">
        <f>IF(E28=0,0,1000000*E28/TrRoad_act!E68)</f>
        <v>13790.10005272486</v>
      </c>
      <c r="F119" s="101">
        <f>IF(F28=0,0,1000000*F28/TrRoad_act!F68)</f>
        <v>13820.03286931637</v>
      </c>
      <c r="G119" s="101">
        <f>IF(G28=0,0,1000000*G28/TrRoad_act!G68)</f>
        <v>13850.796094964031</v>
      </c>
      <c r="H119" s="101">
        <f>IF(H28=0,0,1000000*H28/TrRoad_act!H68)</f>
        <v>13896.664351337991</v>
      </c>
      <c r="I119" s="101">
        <f>IF(I28=0,0,1000000*I28/TrRoad_act!I68)</f>
        <v>14425.816669161928</v>
      </c>
      <c r="J119" s="101">
        <f>IF(J28=0,0,1000000*J28/TrRoad_act!J68)</f>
        <v>14927.198319424195</v>
      </c>
      <c r="K119" s="101">
        <f>IF(K28=0,0,1000000*K28/TrRoad_act!K68)</f>
        <v>14841.715583146784</v>
      </c>
      <c r="L119" s="101">
        <f>IF(L28=0,0,1000000*L28/TrRoad_act!L68)</f>
        <v>14702.519185865787</v>
      </c>
      <c r="M119" s="101">
        <f>IF(M28=0,0,1000000*M28/TrRoad_act!M68)</f>
        <v>14700.932118905079</v>
      </c>
      <c r="N119" s="101">
        <f>IF(N28=0,0,1000000*N28/TrRoad_act!N68)</f>
        <v>14195.771561579453</v>
      </c>
      <c r="O119" s="101">
        <f>IF(O28=0,0,1000000*O28/TrRoad_act!O68)</f>
        <v>14218.325390509315</v>
      </c>
      <c r="P119" s="101">
        <f>IF(P28=0,0,1000000*P28/TrRoad_act!P68)</f>
        <v>14289.087950773484</v>
      </c>
      <c r="Q119" s="101">
        <f>IF(Q28=0,0,1000000*Q28/TrRoad_act!Q68)</f>
        <v>14078.97900272816</v>
      </c>
      <c r="R119" s="101">
        <f>IF(R28=0,0,1000000*R28/TrRoad_act!R68)</f>
        <v>14222.574590282853</v>
      </c>
      <c r="S119" s="101">
        <f>IF(S28=0,0,1000000*S28/TrRoad_act!S68)</f>
        <v>14802.423024059777</v>
      </c>
      <c r="T119" s="101">
        <f>IF(T28=0,0,1000000*T28/TrRoad_act!T68)</f>
        <v>15529.331259856797</v>
      </c>
      <c r="U119" s="101">
        <f>IF(U28=0,0,1000000*U28/TrRoad_act!U68)</f>
        <v>15144.277530354499</v>
      </c>
      <c r="V119" s="101">
        <f>IF(V28=0,0,1000000*V28/TrRoad_act!V68)</f>
        <v>13879.228998629871</v>
      </c>
      <c r="W119" s="101">
        <f>IF(W28=0,0,1000000*W28/TrRoad_act!W68)</f>
        <v>13378.455757363703</v>
      </c>
      <c r="X119" s="101">
        <f>IF(X28=0,0,1000000*X28/TrRoad_act!X68)</f>
        <v>15773.230159920475</v>
      </c>
      <c r="Y119" s="101">
        <f>IF(Y28=0,0,1000000*Y28/TrRoad_act!Y68)</f>
        <v>19139.220504431323</v>
      </c>
      <c r="DA119" s="175" t="s">
        <v>822</v>
      </c>
    </row>
    <row r="120" spans="1:105" ht="11.45" customHeight="1" x14ac:dyDescent="0.25">
      <c r="A120" s="111" t="s">
        <v>111</v>
      </c>
      <c r="B120" s="101">
        <f>IF(B29=0,0,1000000*B29/TrRoad_act!B69)</f>
        <v>49319.914339529576</v>
      </c>
      <c r="C120" s="101">
        <f>IF(C29=0,0,1000000*C29/TrRoad_act!C69)</f>
        <v>47337.598109389255</v>
      </c>
      <c r="D120" s="101">
        <f>IF(D29=0,0,1000000*D29/TrRoad_act!D69)</f>
        <v>47272.405492949816</v>
      </c>
      <c r="E120" s="101">
        <f>IF(E29=0,0,1000000*E29/TrRoad_act!E69)</f>
        <v>47461.486571576235</v>
      </c>
      <c r="F120" s="101">
        <f>IF(F29=0,0,1000000*F29/TrRoad_act!F69)</f>
        <v>47846.986837246317</v>
      </c>
      <c r="G120" s="101">
        <f>IF(G29=0,0,1000000*G29/TrRoad_act!G69)</f>
        <v>48341.25650975584</v>
      </c>
      <c r="H120" s="101">
        <f>IF(H29=0,0,1000000*H29/TrRoad_act!H69)</f>
        <v>48951.21782668704</v>
      </c>
      <c r="I120" s="101">
        <f>IF(I29=0,0,1000000*I29/TrRoad_act!I69)</f>
        <v>49465.695552809608</v>
      </c>
      <c r="J120" s="101">
        <f>IF(J29=0,0,1000000*J29/TrRoad_act!J69)</f>
        <v>49991.12966472008</v>
      </c>
      <c r="K120" s="101">
        <f>IF(K29=0,0,1000000*K29/TrRoad_act!K69)</f>
        <v>50339.624252861133</v>
      </c>
      <c r="L120" s="101">
        <f>IF(L29=0,0,1000000*L29/TrRoad_act!L69)</f>
        <v>50849.195433717512</v>
      </c>
      <c r="M120" s="101">
        <f>IF(M29=0,0,1000000*M29/TrRoad_act!M69)</f>
        <v>49582.75352543265</v>
      </c>
      <c r="N120" s="101">
        <f>IF(N29=0,0,1000000*N29/TrRoad_act!N69)</f>
        <v>48854.211391250356</v>
      </c>
      <c r="O120" s="101">
        <f>IF(O29=0,0,1000000*O29/TrRoad_act!O69)</f>
        <v>47619.356546945237</v>
      </c>
      <c r="P120" s="101">
        <f>IF(P29=0,0,1000000*P29/TrRoad_act!P69)</f>
        <v>47264.463720453226</v>
      </c>
      <c r="Q120" s="101">
        <f>IF(Q29=0,0,1000000*Q29/TrRoad_act!Q69)</f>
        <v>46686.942344515533</v>
      </c>
      <c r="R120" s="101">
        <f>IF(R29=0,0,1000000*R29/TrRoad_act!R69)</f>
        <v>47205.363441059955</v>
      </c>
      <c r="S120" s="101">
        <f>IF(S29=0,0,1000000*S29/TrRoad_act!S69)</f>
        <v>49002.920768026146</v>
      </c>
      <c r="T120" s="101">
        <f>IF(T29=0,0,1000000*T29/TrRoad_act!T69)</f>
        <v>50300.439213410922</v>
      </c>
      <c r="U120" s="101">
        <f>IF(U29=0,0,1000000*U29/TrRoad_act!U69)</f>
        <v>48463.726785833052</v>
      </c>
      <c r="V120" s="101">
        <f>IF(V29=0,0,1000000*V29/TrRoad_act!V69)</f>
        <v>43499.331252541575</v>
      </c>
      <c r="W120" s="101">
        <f>IF(W29=0,0,1000000*W29/TrRoad_act!W69)</f>
        <v>40805.932371121846</v>
      </c>
      <c r="X120" s="101">
        <f>IF(X29=0,0,1000000*X29/TrRoad_act!X69)</f>
        <v>47516.438654912548</v>
      </c>
      <c r="Y120" s="101">
        <f>IF(Y29=0,0,1000000*Y29/TrRoad_act!Y69)</f>
        <v>54841.349973514363</v>
      </c>
      <c r="DA120" s="175" t="s">
        <v>823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17859.39575249124</v>
      </c>
      <c r="D121" s="101">
        <f>IF(D30=0,0,1000000*D30/TrRoad_act!D70)</f>
        <v>18301.930084409345</v>
      </c>
      <c r="E121" s="101">
        <f>IF(E30=0,0,1000000*E30/TrRoad_act!E70)</f>
        <v>18792.953907305993</v>
      </c>
      <c r="F121" s="101">
        <f>IF(F30=0,0,1000000*F30/TrRoad_act!F70)</f>
        <v>19277.227706331327</v>
      </c>
      <c r="G121" s="101">
        <f>IF(G30=0,0,1000000*G30/TrRoad_act!G70)</f>
        <v>19776.745317826753</v>
      </c>
      <c r="H121" s="101">
        <f>IF(H30=0,0,1000000*H30/TrRoad_act!H70)</f>
        <v>20323.490116431472</v>
      </c>
      <c r="I121" s="101">
        <f>IF(I30=0,0,1000000*I30/TrRoad_act!I70)</f>
        <v>20880.212651992224</v>
      </c>
      <c r="J121" s="101">
        <f>IF(J30=0,0,1000000*J30/TrRoad_act!J70)</f>
        <v>0</v>
      </c>
      <c r="K121" s="101">
        <f>IF(K30=0,0,1000000*K30/TrRoad_act!K70)</f>
        <v>0</v>
      </c>
      <c r="L121" s="101">
        <f>IF(L30=0,0,1000000*L30/TrRoad_act!L70)</f>
        <v>0</v>
      </c>
      <c r="M121" s="101">
        <f>IF(M30=0,0,1000000*M30/TrRoad_act!M70)</f>
        <v>0</v>
      </c>
      <c r="N121" s="101">
        <f>IF(N30=0,0,1000000*N30/TrRoad_act!N70)</f>
        <v>0</v>
      </c>
      <c r="O121" s="101">
        <f>IF(O30=0,0,1000000*O30/TrRoad_act!O70)</f>
        <v>0</v>
      </c>
      <c r="P121" s="101">
        <f>IF(P30=0,0,1000000*P30/TrRoad_act!P70)</f>
        <v>0</v>
      </c>
      <c r="Q121" s="101">
        <f>IF(Q30=0,0,1000000*Q30/TrRoad_act!Q70)</f>
        <v>0</v>
      </c>
      <c r="R121" s="101">
        <f>IF(R30=0,0,1000000*R30/TrRoad_act!R70)</f>
        <v>0</v>
      </c>
      <c r="S121" s="101">
        <f>IF(S30=0,0,1000000*S30/TrRoad_act!S70)</f>
        <v>0</v>
      </c>
      <c r="T121" s="101">
        <f>IF(T30=0,0,1000000*T30/TrRoad_act!T70)</f>
        <v>0</v>
      </c>
      <c r="U121" s="101">
        <f>IF(U30=0,0,1000000*U30/TrRoad_act!U70)</f>
        <v>0</v>
      </c>
      <c r="V121" s="101">
        <f>IF(V30=0,0,1000000*V30/TrRoad_act!V70)</f>
        <v>0</v>
      </c>
      <c r="W121" s="101">
        <f>IF(W30=0,0,1000000*W30/TrRoad_act!W70)</f>
        <v>0</v>
      </c>
      <c r="X121" s="101">
        <f>IF(X30=0,0,1000000*X30/TrRoad_act!X70)</f>
        <v>0</v>
      </c>
      <c r="Y121" s="101">
        <f>IF(Y30=0,0,1000000*Y30/TrRoad_act!Y70)</f>
        <v>0</v>
      </c>
      <c r="DA121" s="175" t="s">
        <v>824</v>
      </c>
    </row>
    <row r="122" spans="1:105" ht="11.45" customHeight="1" x14ac:dyDescent="0.25">
      <c r="A122" s="111" t="s">
        <v>113</v>
      </c>
      <c r="B122" s="101">
        <f>IF(B31=0,0,1000000*B31/TrRoad_act!B71)</f>
        <v>0</v>
      </c>
      <c r="C122" s="101">
        <f>IF(C31=0,0,1000000*C31/TrRoad_act!C71)</f>
        <v>0</v>
      </c>
      <c r="D122" s="101">
        <f>IF(D31=0,0,1000000*D31/TrRoad_act!D71)</f>
        <v>0</v>
      </c>
      <c r="E122" s="101">
        <f>IF(E31=0,0,1000000*E31/TrRoad_act!E71)</f>
        <v>0</v>
      </c>
      <c r="F122" s="101">
        <f>IF(F31=0,0,1000000*F31/TrRoad_act!F71)</f>
        <v>0</v>
      </c>
      <c r="G122" s="101">
        <f>IF(G31=0,0,1000000*G31/TrRoad_act!G71)</f>
        <v>0</v>
      </c>
      <c r="H122" s="101">
        <f>IF(H31=0,0,1000000*H31/TrRoad_act!H71)</f>
        <v>0</v>
      </c>
      <c r="I122" s="101">
        <f>IF(I31=0,0,1000000*I31/TrRoad_act!I71)</f>
        <v>0</v>
      </c>
      <c r="J122" s="101">
        <f>IF(J31=0,0,1000000*J31/TrRoad_act!J71)</f>
        <v>0</v>
      </c>
      <c r="K122" s="101">
        <f>IF(K31=0,0,1000000*K31/TrRoad_act!K71)</f>
        <v>0</v>
      </c>
      <c r="L122" s="101">
        <f>IF(L31=0,0,1000000*L31/TrRoad_act!L71)</f>
        <v>0</v>
      </c>
      <c r="M122" s="101">
        <f>IF(M31=0,0,1000000*M31/TrRoad_act!M71)</f>
        <v>0</v>
      </c>
      <c r="N122" s="101">
        <f>IF(N31=0,0,1000000*N31/TrRoad_act!N71)</f>
        <v>0</v>
      </c>
      <c r="O122" s="101">
        <f>IF(O31=0,0,1000000*O31/TrRoad_act!O71)</f>
        <v>0</v>
      </c>
      <c r="P122" s="101">
        <f>IF(P31=0,0,1000000*P31/TrRoad_act!P71)</f>
        <v>0</v>
      </c>
      <c r="Q122" s="101">
        <f>IF(Q31=0,0,1000000*Q31/TrRoad_act!Q71)</f>
        <v>0</v>
      </c>
      <c r="R122" s="101">
        <f>IF(R31=0,0,1000000*R31/TrRoad_act!R71)</f>
        <v>0</v>
      </c>
      <c r="S122" s="101">
        <f>IF(S31=0,0,1000000*S31/TrRoad_act!S71)</f>
        <v>0</v>
      </c>
      <c r="T122" s="101">
        <f>IF(T31=0,0,1000000*T31/TrRoad_act!T71)</f>
        <v>30834.344242470219</v>
      </c>
      <c r="U122" s="101">
        <f>IF(U31=0,0,1000000*U31/TrRoad_act!U71)</f>
        <v>43104.562013195551</v>
      </c>
      <c r="V122" s="101">
        <f>IF(V31=0,0,1000000*V31/TrRoad_act!V71)</f>
        <v>48501.087183654468</v>
      </c>
      <c r="W122" s="101">
        <f>IF(W31=0,0,1000000*W31/TrRoad_act!W71)</f>
        <v>100151.0591199292</v>
      </c>
      <c r="X122" s="101">
        <f>IF(X31=0,0,1000000*X31/TrRoad_act!X71)</f>
        <v>71755.053782506482</v>
      </c>
      <c r="Y122" s="101">
        <f>IF(Y31=0,0,1000000*Y31/TrRoad_act!Y71)</f>
        <v>83557.869816088962</v>
      </c>
      <c r="DA122" s="175" t="s">
        <v>825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X123" s="101">
        <f>IF(X32=0,0,1000000*X32/TrRoad_act!X72)</f>
        <v>0</v>
      </c>
      <c r="Y123" s="101">
        <f>IF(Y32=0,0,1000000*Y32/TrRoad_act!Y72)</f>
        <v>0</v>
      </c>
      <c r="DA123" s="175" t="s">
        <v>826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DA124" s="173"/>
    </row>
    <row r="125" spans="1:105" ht="11.45" customHeight="1" x14ac:dyDescent="0.25">
      <c r="A125" s="136" t="s">
        <v>153</v>
      </c>
      <c r="B125" s="152">
        <f>IF(B34=0,0,1000000*B34/TrRoad_act!B74)</f>
        <v>8196.7167871998154</v>
      </c>
      <c r="C125" s="152">
        <f>IF(C34=0,0,1000000*C34/TrRoad_act!C74)</f>
        <v>7791.3481563338637</v>
      </c>
      <c r="D125" s="152">
        <f>IF(D34=0,0,1000000*D34/TrRoad_act!D74)</f>
        <v>7618.7365455088157</v>
      </c>
      <c r="E125" s="152">
        <f>IF(E34=0,0,1000000*E34/TrRoad_act!E74)</f>
        <v>7477.214992163701</v>
      </c>
      <c r="F125" s="152">
        <f>IF(F34=0,0,1000000*F34/TrRoad_act!F74)</f>
        <v>7483.6564570974324</v>
      </c>
      <c r="G125" s="152">
        <f>IF(G34=0,0,1000000*G34/TrRoad_act!G74)</f>
        <v>7397.425901248901</v>
      </c>
      <c r="H125" s="152">
        <f>IF(H34=0,0,1000000*H34/TrRoad_act!H74)</f>
        <v>7382.8327716374706</v>
      </c>
      <c r="I125" s="152">
        <f>IF(I34=0,0,1000000*I34/TrRoad_act!I74)</f>
        <v>7336.9756281267883</v>
      </c>
      <c r="J125" s="152">
        <f>IF(J34=0,0,1000000*J34/TrRoad_act!J74)</f>
        <v>7014.6086384490964</v>
      </c>
      <c r="K125" s="152">
        <f>IF(K34=0,0,1000000*K34/TrRoad_act!K74)</f>
        <v>6774.1990649490044</v>
      </c>
      <c r="L125" s="152">
        <f>IF(L34=0,0,1000000*L34/TrRoad_act!L74)</f>
        <v>6494.487643434506</v>
      </c>
      <c r="M125" s="152">
        <f>IF(M34=0,0,1000000*M34/TrRoad_act!M74)</f>
        <v>6382.5906661903236</v>
      </c>
      <c r="N125" s="152">
        <f>IF(N34=0,0,1000000*N34/TrRoad_act!N74)</f>
        <v>6238.8015170603894</v>
      </c>
      <c r="O125" s="152">
        <f>IF(O34=0,0,1000000*O34/TrRoad_act!O74)</f>
        <v>6281.7674151342671</v>
      </c>
      <c r="P125" s="152">
        <f>IF(P34=0,0,1000000*P34/TrRoad_act!P74)</f>
        <v>6290.2363530454695</v>
      </c>
      <c r="Q125" s="152">
        <f>IF(Q34=0,0,1000000*Q34/TrRoad_act!Q74)</f>
        <v>6286.579963686273</v>
      </c>
      <c r="R125" s="152">
        <f>IF(R34=0,0,1000000*R34/TrRoad_act!R74)</f>
        <v>6240.7825392511741</v>
      </c>
      <c r="S125" s="152">
        <f>IF(S34=0,0,1000000*S34/TrRoad_act!S74)</f>
        <v>5990.5971572697053</v>
      </c>
      <c r="T125" s="152">
        <f>IF(T34=0,0,1000000*T34/TrRoad_act!T74)</f>
        <v>6019.1518598529983</v>
      </c>
      <c r="U125" s="152">
        <f>IF(U34=0,0,1000000*U34/TrRoad_act!U74)</f>
        <v>5758.9908335469245</v>
      </c>
      <c r="V125" s="152">
        <f>IF(V34=0,0,1000000*V34/TrRoad_act!V74)</f>
        <v>5553.4977775203733</v>
      </c>
      <c r="W125" s="152">
        <f>IF(W34=0,0,1000000*W34/TrRoad_act!W74)</f>
        <v>5703.1230961190786</v>
      </c>
      <c r="X125" s="152">
        <f>IF(X34=0,0,1000000*X34/TrRoad_act!X74)</f>
        <v>6000.1891630835389</v>
      </c>
      <c r="Y125" s="152">
        <f>IF(Y34=0,0,1000000*Y34/TrRoad_act!Y74)</f>
        <v>5905.6438887419999</v>
      </c>
      <c r="DA125" s="174" t="s">
        <v>827</v>
      </c>
    </row>
    <row r="126" spans="1:105" ht="11.45" customHeight="1" x14ac:dyDescent="0.25">
      <c r="A126" s="111" t="s">
        <v>110</v>
      </c>
      <c r="B126" s="87">
        <f>IF(B35=0,0,1000000*B35/TrRoad_act!B75)</f>
        <v>3548.0565602504607</v>
      </c>
      <c r="C126" s="87">
        <f>IF(C35=0,0,1000000*C35/TrRoad_act!C75)</f>
        <v>3479.957966499725</v>
      </c>
      <c r="D126" s="87">
        <f>IF(D35=0,0,1000000*D35/TrRoad_act!D75)</f>
        <v>3427.2915640423548</v>
      </c>
      <c r="E126" s="87">
        <f>IF(E35=0,0,1000000*E35/TrRoad_act!E75)</f>
        <v>3376.643564462544</v>
      </c>
      <c r="F126" s="87">
        <f>IF(F35=0,0,1000000*F35/TrRoad_act!F75)</f>
        <v>3314.9136431526545</v>
      </c>
      <c r="G126" s="87">
        <f>IF(G35=0,0,1000000*G35/TrRoad_act!G75)</f>
        <v>3228.4884956630253</v>
      </c>
      <c r="H126" s="87">
        <f>IF(H35=0,0,1000000*H35/TrRoad_act!H75)</f>
        <v>3126.0823754140074</v>
      </c>
      <c r="I126" s="87">
        <f>IF(I35=0,0,1000000*I35/TrRoad_act!I75)</f>
        <v>3021.765830462537</v>
      </c>
      <c r="J126" s="87">
        <f>IF(J35=0,0,1000000*J35/TrRoad_act!J75)</f>
        <v>2939.9189322528064</v>
      </c>
      <c r="K126" s="87">
        <f>IF(K35=0,0,1000000*K35/TrRoad_act!K75)</f>
        <v>2881.2900944025073</v>
      </c>
      <c r="L126" s="87">
        <f>IF(L35=0,0,1000000*L35/TrRoad_act!L75)</f>
        <v>2817.8520695994148</v>
      </c>
      <c r="M126" s="87">
        <f>IF(M35=0,0,1000000*M35/TrRoad_act!M75)</f>
        <v>2803.306476241391</v>
      </c>
      <c r="N126" s="87">
        <f>IF(N35=0,0,1000000*N35/TrRoad_act!N75)</f>
        <v>2747.1778981277594</v>
      </c>
      <c r="O126" s="87">
        <f>IF(O35=0,0,1000000*O35/TrRoad_act!O75)</f>
        <v>2773.3260740960759</v>
      </c>
      <c r="P126" s="87">
        <f>IF(P35=0,0,1000000*P35/TrRoad_act!P75)</f>
        <v>2752.8754528060776</v>
      </c>
      <c r="Q126" s="87">
        <f>IF(Q35=0,0,1000000*Q35/TrRoad_act!Q75)</f>
        <v>2667.6139092778021</v>
      </c>
      <c r="R126" s="87">
        <f>IF(R35=0,0,1000000*R35/TrRoad_act!R75)</f>
        <v>2642.3359887692418</v>
      </c>
      <c r="S126" s="87">
        <f>IF(S35=0,0,1000000*S35/TrRoad_act!S75)</f>
        <v>2662.5200012245027</v>
      </c>
      <c r="T126" s="87">
        <f>IF(T35=0,0,1000000*T35/TrRoad_act!T75)</f>
        <v>2659.0256127454463</v>
      </c>
      <c r="U126" s="87">
        <f>IF(U35=0,0,1000000*U35/TrRoad_act!U75)</f>
        <v>2599.3081494633429</v>
      </c>
      <c r="V126" s="87">
        <f>IF(V35=0,0,1000000*V35/TrRoad_act!V75)</f>
        <v>2421.4083922009722</v>
      </c>
      <c r="W126" s="87">
        <f>IF(W35=0,0,1000000*W35/TrRoad_act!W75)</f>
        <v>2468.0132873667121</v>
      </c>
      <c r="X126" s="87">
        <f>IF(X35=0,0,1000000*X35/TrRoad_act!X75)</f>
        <v>2639.5965379708468</v>
      </c>
      <c r="Y126" s="87">
        <f>IF(Y35=0,0,1000000*Y35/TrRoad_act!Y75)</f>
        <v>2705.0288947796639</v>
      </c>
      <c r="DA126" s="171" t="s">
        <v>828</v>
      </c>
    </row>
    <row r="127" spans="1:105" ht="11.45" customHeight="1" x14ac:dyDescent="0.25">
      <c r="A127" s="111" t="s">
        <v>111</v>
      </c>
      <c r="B127" s="87">
        <f>IF(B36=0,0,1000000*B36/TrRoad_act!B76)</f>
        <v>8312.6448355432276</v>
      </c>
      <c r="C127" s="87">
        <f>IF(C36=0,0,1000000*C36/TrRoad_act!C76)</f>
        <v>7882.5924621698059</v>
      </c>
      <c r="D127" s="87">
        <f>IF(D36=0,0,1000000*D36/TrRoad_act!D76)</f>
        <v>7695.61926466367</v>
      </c>
      <c r="E127" s="87">
        <f>IF(E36=0,0,1000000*E36/TrRoad_act!E76)</f>
        <v>7540.255988465944</v>
      </c>
      <c r="F127" s="87">
        <f>IF(F36=0,0,1000000*F36/TrRoad_act!F76)</f>
        <v>7535.9734804522077</v>
      </c>
      <c r="G127" s="87">
        <f>IF(G36=0,0,1000000*G36/TrRoad_act!G76)</f>
        <v>7435.1439903622031</v>
      </c>
      <c r="H127" s="87">
        <f>IF(H36=0,0,1000000*H36/TrRoad_act!H76)</f>
        <v>7410.4971059931513</v>
      </c>
      <c r="I127" s="87">
        <f>IF(I36=0,0,1000000*I36/TrRoad_act!I76)</f>
        <v>7357.8833352416068</v>
      </c>
      <c r="J127" s="87">
        <f>IF(J36=0,0,1000000*J36/TrRoad_act!J76)</f>
        <v>7032.3098593787763</v>
      </c>
      <c r="K127" s="87">
        <f>IF(K36=0,0,1000000*K36/TrRoad_act!K76)</f>
        <v>6790.1954146199678</v>
      </c>
      <c r="L127" s="87">
        <f>IF(L36=0,0,1000000*L36/TrRoad_act!L76)</f>
        <v>6507.919162547324</v>
      </c>
      <c r="M127" s="87">
        <f>IF(M36=0,0,1000000*M36/TrRoad_act!M76)</f>
        <v>6394.8246200389922</v>
      </c>
      <c r="N127" s="87">
        <f>IF(N36=0,0,1000000*N36/TrRoad_act!N76)</f>
        <v>6250.355826878581</v>
      </c>
      <c r="O127" s="87">
        <f>IF(O36=0,0,1000000*O36/TrRoad_act!O76)</f>
        <v>6292.9352278062706</v>
      </c>
      <c r="P127" s="87">
        <f>IF(P36=0,0,1000000*P36/TrRoad_act!P76)</f>
        <v>6301.4489351954289</v>
      </c>
      <c r="Q127" s="87">
        <f>IF(Q36=0,0,1000000*Q36/TrRoad_act!Q76)</f>
        <v>6297.3208034285281</v>
      </c>
      <c r="R127" s="87">
        <f>IF(R36=0,0,1000000*R36/TrRoad_act!R76)</f>
        <v>6250.8942299726423</v>
      </c>
      <c r="S127" s="87">
        <f>IF(S36=0,0,1000000*S36/TrRoad_act!S76)</f>
        <v>6002.3067730524763</v>
      </c>
      <c r="T127" s="87">
        <f>IF(T36=0,0,1000000*T36/TrRoad_act!T76)</f>
        <v>6031.5137214181559</v>
      </c>
      <c r="U127" s="87">
        <f>IF(U36=0,0,1000000*U36/TrRoad_act!U76)</f>
        <v>5779.1519302443194</v>
      </c>
      <c r="V127" s="87">
        <f>IF(V36=0,0,1000000*V36/TrRoad_act!V76)</f>
        <v>5587.0768199622553</v>
      </c>
      <c r="W127" s="87">
        <f>IF(W36=0,0,1000000*W36/TrRoad_act!W76)</f>
        <v>5755.64987524769</v>
      </c>
      <c r="X127" s="87">
        <f>IF(X36=0,0,1000000*X36/TrRoad_act!X76)</f>
        <v>6075.0313727854791</v>
      </c>
      <c r="Y127" s="87">
        <f>IF(Y36=0,0,1000000*Y36/TrRoad_act!Y76)</f>
        <v>6006.5388543965619</v>
      </c>
      <c r="DA127" s="171" t="s">
        <v>829</v>
      </c>
    </row>
    <row r="128" spans="1:105" ht="11.45" customHeight="1" x14ac:dyDescent="0.25">
      <c r="A128" s="111" t="s">
        <v>112</v>
      </c>
      <c r="B128" s="87">
        <f>IF(B37=0,0,1000000*B37/TrRoad_act!B77)</f>
        <v>0</v>
      </c>
      <c r="C128" s="87">
        <f>IF(C37=0,0,1000000*C37/TrRoad_act!C77)</f>
        <v>0</v>
      </c>
      <c r="D128" s="87">
        <f>IF(D37=0,0,1000000*D37/TrRoad_act!D77)</f>
        <v>0</v>
      </c>
      <c r="E128" s="87">
        <f>IF(E37=0,0,1000000*E37/TrRoad_act!E77)</f>
        <v>0</v>
      </c>
      <c r="F128" s="87">
        <f>IF(F37=0,0,1000000*F37/TrRoad_act!F77)</f>
        <v>0</v>
      </c>
      <c r="G128" s="87">
        <f>IF(G37=0,0,1000000*G37/TrRoad_act!G77)</f>
        <v>0</v>
      </c>
      <c r="H128" s="87">
        <f>IF(H37=0,0,1000000*H37/TrRoad_act!H77)</f>
        <v>0</v>
      </c>
      <c r="I128" s="87">
        <f>IF(I37=0,0,1000000*I37/TrRoad_act!I77)</f>
        <v>0</v>
      </c>
      <c r="J128" s="87">
        <f>IF(J37=0,0,1000000*J37/TrRoad_act!J77)</f>
        <v>0</v>
      </c>
      <c r="K128" s="87">
        <f>IF(K37=0,0,1000000*K37/TrRoad_act!K77)</f>
        <v>0</v>
      </c>
      <c r="L128" s="87">
        <f>IF(L37=0,0,1000000*L37/TrRoad_act!L77)</f>
        <v>0</v>
      </c>
      <c r="M128" s="87">
        <f>IF(M37=0,0,1000000*M37/TrRoad_act!M77)</f>
        <v>0</v>
      </c>
      <c r="N128" s="87">
        <f>IF(N37=0,0,1000000*N37/TrRoad_act!N77)</f>
        <v>0</v>
      </c>
      <c r="O128" s="87">
        <f>IF(O37=0,0,1000000*O37/TrRoad_act!O77)</f>
        <v>3239.2360312919845</v>
      </c>
      <c r="P128" s="87">
        <f>IF(P37=0,0,1000000*P37/TrRoad_act!P77)</f>
        <v>3247.1160092003997</v>
      </c>
      <c r="Q128" s="87">
        <f>IF(Q37=0,0,1000000*Q37/TrRoad_act!Q77)</f>
        <v>3207.9523099631424</v>
      </c>
      <c r="R128" s="87">
        <f>IF(R37=0,0,1000000*R37/TrRoad_act!R77)</f>
        <v>3175.0180273362425</v>
      </c>
      <c r="S128" s="87">
        <f>IF(S37=0,0,1000000*S37/TrRoad_act!S77)</f>
        <v>3003.4069716055615</v>
      </c>
      <c r="T128" s="87">
        <f>IF(T37=0,0,1000000*T37/TrRoad_act!T77)</f>
        <v>3034.9695769238683</v>
      </c>
      <c r="U128" s="87">
        <f>IF(U37=0,0,1000000*U37/TrRoad_act!U77)</f>
        <v>3003.275651397968</v>
      </c>
      <c r="V128" s="87">
        <f>IF(V37=0,0,1000000*V37/TrRoad_act!V77)</f>
        <v>2946.2705414437405</v>
      </c>
      <c r="W128" s="87">
        <f>IF(W37=0,0,1000000*W37/TrRoad_act!W77)</f>
        <v>2978.0001894519546</v>
      </c>
      <c r="X128" s="87">
        <f>IF(X37=0,0,1000000*X37/TrRoad_act!X77)</f>
        <v>3011.8448338896428</v>
      </c>
      <c r="Y128" s="87">
        <f>IF(Y37=0,0,1000000*Y37/TrRoad_act!Y77)</f>
        <v>3050.57550645223</v>
      </c>
      <c r="DA128" s="171" t="s">
        <v>830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0</v>
      </c>
      <c r="I129" s="87">
        <f>IF(I38=0,0,1000000*I38/TrRoad_act!I78)</f>
        <v>0</v>
      </c>
      <c r="J129" s="87">
        <f>IF(J38=0,0,1000000*J38/TrRoad_act!J78)</f>
        <v>0</v>
      </c>
      <c r="K129" s="87">
        <f>IF(K38=0,0,1000000*K38/TrRoad_act!K78)</f>
        <v>0</v>
      </c>
      <c r="L129" s="87">
        <f>IF(L38=0,0,1000000*L38/TrRoad_act!L78)</f>
        <v>0</v>
      </c>
      <c r="M129" s="87">
        <f>IF(M38=0,0,1000000*M38/TrRoad_act!M78)</f>
        <v>0</v>
      </c>
      <c r="N129" s="87">
        <f>IF(N38=0,0,1000000*N38/TrRoad_act!N78)</f>
        <v>0</v>
      </c>
      <c r="O129" s="87">
        <f>IF(O38=0,0,1000000*O38/TrRoad_act!O78)</f>
        <v>0</v>
      </c>
      <c r="P129" s="87">
        <f>IF(P38=0,0,1000000*P38/TrRoad_act!P78)</f>
        <v>0</v>
      </c>
      <c r="Q129" s="87">
        <f>IF(Q38=0,0,1000000*Q38/TrRoad_act!Q78)</f>
        <v>0</v>
      </c>
      <c r="R129" s="87">
        <f>IF(R38=0,0,1000000*R38/TrRoad_act!R78)</f>
        <v>2873.2917513465904</v>
      </c>
      <c r="S129" s="87">
        <f>IF(S38=0,0,1000000*S38/TrRoad_act!S78)</f>
        <v>2786.3381934778645</v>
      </c>
      <c r="T129" s="87">
        <f>IF(T38=0,0,1000000*T38/TrRoad_act!T78)</f>
        <v>2759.3072442934658</v>
      </c>
      <c r="U129" s="87">
        <f>IF(U38=0,0,1000000*U38/TrRoad_act!U78)</f>
        <v>3167.5850947388117</v>
      </c>
      <c r="V129" s="87">
        <f>IF(V38=0,0,1000000*V38/TrRoad_act!V78)</f>
        <v>5021.0459970136371</v>
      </c>
      <c r="W129" s="87">
        <f>IF(W38=0,0,1000000*W38/TrRoad_act!W78)</f>
        <v>10711.317233989368</v>
      </c>
      <c r="X129" s="87">
        <f>IF(X38=0,0,1000000*X38/TrRoad_act!X78)</f>
        <v>6166.1603738690719</v>
      </c>
      <c r="Y129" s="87">
        <f>IF(Y38=0,0,1000000*Y38/TrRoad_act!Y78)</f>
        <v>6441.2101456116834</v>
      </c>
      <c r="DA129" s="171" t="s">
        <v>831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X130" s="87">
        <f>IF(X39=0,0,1000000*X39/TrRoad_act!X79)</f>
        <v>0</v>
      </c>
      <c r="Y130" s="87">
        <f>IF(Y39=0,0,1000000*Y39/TrRoad_act!Y79)</f>
        <v>0</v>
      </c>
      <c r="DA130" s="171" t="s">
        <v>832</v>
      </c>
    </row>
    <row r="131" spans="1:105" ht="11.45" customHeight="1" x14ac:dyDescent="0.25">
      <c r="A131" s="109" t="s">
        <v>154</v>
      </c>
      <c r="B131" s="116">
        <f>IF(B40=0,0,1000000*B40/TrRoad_act!B80)</f>
        <v>41171.882628478772</v>
      </c>
      <c r="C131" s="116">
        <f>IF(C40=0,0,1000000*C40/TrRoad_act!C80)</f>
        <v>38719.23862582344</v>
      </c>
      <c r="D131" s="116">
        <f>IF(D40=0,0,1000000*D40/TrRoad_act!D80)</f>
        <v>39079.521893485136</v>
      </c>
      <c r="E131" s="116">
        <f>IF(E40=0,0,1000000*E40/TrRoad_act!E80)</f>
        <v>38848.964704361926</v>
      </c>
      <c r="F131" s="116">
        <f>IF(F40=0,0,1000000*F40/TrRoad_act!F80)</f>
        <v>40736.107210130118</v>
      </c>
      <c r="G131" s="116">
        <f>IF(G40=0,0,1000000*G40/TrRoad_act!G80)</f>
        <v>38051.329805534842</v>
      </c>
      <c r="H131" s="116">
        <f>IF(H40=0,0,1000000*H40/TrRoad_act!H80)</f>
        <v>34861.420793429999</v>
      </c>
      <c r="I131" s="116">
        <f>IF(I40=0,0,1000000*I40/TrRoad_act!I80)</f>
        <v>33342.005103306445</v>
      </c>
      <c r="J131" s="116">
        <f>IF(J40=0,0,1000000*J40/TrRoad_act!J80)</f>
        <v>33544.314214634418</v>
      </c>
      <c r="K131" s="116">
        <f>IF(K40=0,0,1000000*K40/TrRoad_act!K80)</f>
        <v>26504.085669441236</v>
      </c>
      <c r="L131" s="116">
        <f>IF(L40=0,0,1000000*L40/TrRoad_act!L80)</f>
        <v>23711.099278369249</v>
      </c>
      <c r="M131" s="116">
        <f>IF(M40=0,0,1000000*M40/TrRoad_act!M80)</f>
        <v>22245.766715692778</v>
      </c>
      <c r="N131" s="116">
        <f>IF(N40=0,0,1000000*N40/TrRoad_act!N80)</f>
        <v>22410.617769346005</v>
      </c>
      <c r="O131" s="116">
        <f>IF(O40=0,0,1000000*O40/TrRoad_act!O80)</f>
        <v>22862.35883360506</v>
      </c>
      <c r="P131" s="116">
        <f>IF(P40=0,0,1000000*P40/TrRoad_act!P80)</f>
        <v>23247.541803526557</v>
      </c>
      <c r="Q131" s="116">
        <f>IF(Q40=0,0,1000000*Q40/TrRoad_act!Q80)</f>
        <v>22209.616405270739</v>
      </c>
      <c r="R131" s="116">
        <f>IF(R40=0,0,1000000*R40/TrRoad_act!R80)</f>
        <v>24203.95811333161</v>
      </c>
      <c r="S131" s="116">
        <f>IF(S40=0,0,1000000*S40/TrRoad_act!S80)</f>
        <v>22274.378843075829</v>
      </c>
      <c r="T131" s="116">
        <f>IF(T40=0,0,1000000*T40/TrRoad_act!T80)</f>
        <v>23006.060087225767</v>
      </c>
      <c r="U131" s="116">
        <f>IF(U40=0,0,1000000*U40/TrRoad_act!U80)</f>
        <v>23898.927317215999</v>
      </c>
      <c r="V131" s="116">
        <f>IF(V40=0,0,1000000*V40/TrRoad_act!V80)</f>
        <v>19913.490367098828</v>
      </c>
      <c r="W131" s="116">
        <f>IF(W40=0,0,1000000*W40/TrRoad_act!W80)</f>
        <v>21839.068943644172</v>
      </c>
      <c r="X131" s="116">
        <f>IF(X40=0,0,1000000*X40/TrRoad_act!X80)</f>
        <v>22534.047614950596</v>
      </c>
      <c r="Y131" s="116">
        <f>IF(Y40=0,0,1000000*Y40/TrRoad_act!Y80)</f>
        <v>22519.984208805185</v>
      </c>
      <c r="DA131" s="176" t="s">
        <v>833</v>
      </c>
    </row>
    <row r="132" spans="1:105" ht="11.45" customHeight="1" x14ac:dyDescent="0.25">
      <c r="A132" s="128" t="s">
        <v>27</v>
      </c>
      <c r="B132" s="101">
        <f>IF(B41=0,0,1000000*B41/TrRoad_act!B81)</f>
        <v>39125.345750065455</v>
      </c>
      <c r="C132" s="101">
        <f>IF(C41=0,0,1000000*C41/TrRoad_act!C81)</f>
        <v>36649.016522729275</v>
      </c>
      <c r="D132" s="101">
        <f>IF(D41=0,0,1000000*D41/TrRoad_act!D81)</f>
        <v>37224.033269387619</v>
      </c>
      <c r="E132" s="101">
        <f>IF(E41=0,0,1000000*E41/TrRoad_act!E81)</f>
        <v>37083.04690440846</v>
      </c>
      <c r="F132" s="101">
        <f>IF(F41=0,0,1000000*F41/TrRoad_act!F81)</f>
        <v>38809.014018052956</v>
      </c>
      <c r="G132" s="101">
        <f>IF(G41=0,0,1000000*G41/TrRoad_act!G81)</f>
        <v>36337.499102969407</v>
      </c>
      <c r="H132" s="101">
        <f>IF(H41=0,0,1000000*H41/TrRoad_act!H81)</f>
        <v>33181.911152715518</v>
      </c>
      <c r="I132" s="101">
        <f>IF(I41=0,0,1000000*I41/TrRoad_act!I81)</f>
        <v>31663.199802918571</v>
      </c>
      <c r="J132" s="101">
        <f>IF(J41=0,0,1000000*J41/TrRoad_act!J81)</f>
        <v>31976.693293024764</v>
      </c>
      <c r="K132" s="101">
        <f>IF(K41=0,0,1000000*K41/TrRoad_act!K81)</f>
        <v>24903.243749281166</v>
      </c>
      <c r="L132" s="101">
        <f>IF(L41=0,0,1000000*L41/TrRoad_act!L81)</f>
        <v>22216.420249329829</v>
      </c>
      <c r="M132" s="101">
        <f>IF(M41=0,0,1000000*M41/TrRoad_act!M81)</f>
        <v>20652.678767422891</v>
      </c>
      <c r="N132" s="101">
        <f>IF(N41=0,0,1000000*N41/TrRoad_act!N81)</f>
        <v>20936.046321683167</v>
      </c>
      <c r="O132" s="101">
        <f>IF(O41=0,0,1000000*O41/TrRoad_act!O81)</f>
        <v>21406.951552233219</v>
      </c>
      <c r="P132" s="101">
        <f>IF(P41=0,0,1000000*P41/TrRoad_act!P81)</f>
        <v>21805.093427041578</v>
      </c>
      <c r="Q132" s="101">
        <f>IF(Q41=0,0,1000000*Q41/TrRoad_act!Q81)</f>
        <v>20656.51168333695</v>
      </c>
      <c r="R132" s="101">
        <f>IF(R41=0,0,1000000*R41/TrRoad_act!R81)</f>
        <v>22859.551055803971</v>
      </c>
      <c r="S132" s="101">
        <f>IF(S41=0,0,1000000*S41/TrRoad_act!S81)</f>
        <v>21071.386629339875</v>
      </c>
      <c r="T132" s="101">
        <f>IF(T41=0,0,1000000*T41/TrRoad_act!T81)</f>
        <v>21671.605651041613</v>
      </c>
      <c r="U132" s="101">
        <f>IF(U41=0,0,1000000*U41/TrRoad_act!U81)</f>
        <v>22431.477233686852</v>
      </c>
      <c r="V132" s="101">
        <f>IF(V41=0,0,1000000*V41/TrRoad_act!V81)</f>
        <v>19358.789028878415</v>
      </c>
      <c r="W132" s="101">
        <f>IF(W41=0,0,1000000*W41/TrRoad_act!W81)</f>
        <v>21277.145416276075</v>
      </c>
      <c r="X132" s="101">
        <f>IF(X41=0,0,1000000*X41/TrRoad_act!X81)</f>
        <v>22000.186336327926</v>
      </c>
      <c r="Y132" s="101">
        <f>IF(Y41=0,0,1000000*Y41/TrRoad_act!Y81)</f>
        <v>21954.823142732344</v>
      </c>
      <c r="DA132" s="175" t="s">
        <v>834</v>
      </c>
    </row>
    <row r="133" spans="1:105" ht="11.45" customHeight="1" x14ac:dyDescent="0.25">
      <c r="A133" s="138" t="s">
        <v>116</v>
      </c>
      <c r="B133" s="88">
        <f>IF(B42=0,0,1000000*B42/TrRoad_act!B82)</f>
        <v>177442.57456855412</v>
      </c>
      <c r="C133" s="88">
        <f>IF(C42=0,0,1000000*C42/TrRoad_act!C82)</f>
        <v>184979.13756354092</v>
      </c>
      <c r="D133" s="88">
        <f>IF(D42=0,0,1000000*D42/TrRoad_act!D82)</f>
        <v>166529.24324321991</v>
      </c>
      <c r="E133" s="88">
        <f>IF(E42=0,0,1000000*E42/TrRoad_act!E82)</f>
        <v>160629.49427133147</v>
      </c>
      <c r="F133" s="88">
        <f>IF(F42=0,0,1000000*F42/TrRoad_act!F82)</f>
        <v>158229.11608025469</v>
      </c>
      <c r="G133" s="88">
        <f>IF(G42=0,0,1000000*G42/TrRoad_act!G82)</f>
        <v>150218.98292398654</v>
      </c>
      <c r="H133" s="88">
        <f>IF(H42=0,0,1000000*H42/TrRoad_act!H82)</f>
        <v>155683.38531669229</v>
      </c>
      <c r="I133" s="88">
        <f>IF(I42=0,0,1000000*I42/TrRoad_act!I82)</f>
        <v>159879.18614164434</v>
      </c>
      <c r="J133" s="88">
        <f>IF(J42=0,0,1000000*J42/TrRoad_act!J82)</f>
        <v>144137.21487954655</v>
      </c>
      <c r="K133" s="88">
        <f>IF(K42=0,0,1000000*K42/TrRoad_act!K82)</f>
        <v>144588.73901689463</v>
      </c>
      <c r="L133" s="88">
        <f>IF(L42=0,0,1000000*L42/TrRoad_act!L82)</f>
        <v>126237.79781439305</v>
      </c>
      <c r="M133" s="88">
        <f>IF(M42=0,0,1000000*M42/TrRoad_act!M82)</f>
        <v>118931.12050919025</v>
      </c>
      <c r="N133" s="88">
        <f>IF(N42=0,0,1000000*N42/TrRoad_act!N82)</f>
        <v>120352.20881235584</v>
      </c>
      <c r="O133" s="88">
        <f>IF(O42=0,0,1000000*O42/TrRoad_act!O82)</f>
        <v>121596.61498537975</v>
      </c>
      <c r="P133" s="88">
        <f>IF(P42=0,0,1000000*P42/TrRoad_act!P82)</f>
        <v>129425.26526635066</v>
      </c>
      <c r="Q133" s="88">
        <f>IF(Q42=0,0,1000000*Q42/TrRoad_act!Q82)</f>
        <v>129872.9639645767</v>
      </c>
      <c r="R133" s="88">
        <f>IF(R42=0,0,1000000*R42/TrRoad_act!R82)</f>
        <v>130168.78406389226</v>
      </c>
      <c r="S133" s="88">
        <f>IF(S42=0,0,1000000*S42/TrRoad_act!S82)</f>
        <v>124054.8785575847</v>
      </c>
      <c r="T133" s="88">
        <f>IF(T42=0,0,1000000*T42/TrRoad_act!T82)</f>
        <v>127217.06670553278</v>
      </c>
      <c r="U133" s="88">
        <f>IF(U42=0,0,1000000*U42/TrRoad_act!U82)</f>
        <v>125264.20262348192</v>
      </c>
      <c r="V133" s="88">
        <f>IF(V42=0,0,1000000*V42/TrRoad_act!V82)</f>
        <v>123057.80459575031</v>
      </c>
      <c r="W133" s="88">
        <f>IF(W42=0,0,1000000*W42/TrRoad_act!W82)</f>
        <v>128085.75541457599</v>
      </c>
      <c r="X133" s="88">
        <f>IF(X42=0,0,1000000*X42/TrRoad_act!X82)</f>
        <v>128158.72038605117</v>
      </c>
      <c r="Y133" s="88">
        <f>IF(Y42=0,0,1000000*Y42/TrRoad_act!Y82)</f>
        <v>128434.42853546677</v>
      </c>
      <c r="DA133" s="178" t="s">
        <v>835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Y146" si="42">IF(W17=0,0,W17/W$17)</f>
        <v>1</v>
      </c>
      <c r="X135" s="76">
        <f t="shared" si="42"/>
        <v>1</v>
      </c>
      <c r="Y135" s="76">
        <f t="shared" si="42"/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0.60780318703181324</v>
      </c>
      <c r="C136" s="46">
        <f t="shared" si="40"/>
        <v>0.60362521852164086</v>
      </c>
      <c r="D136" s="46">
        <f t="shared" si="40"/>
        <v>0.59590157668314414</v>
      </c>
      <c r="E136" s="46">
        <f t="shared" si="40"/>
        <v>0.59003160563856005</v>
      </c>
      <c r="F136" s="46">
        <f t="shared" si="40"/>
        <v>0.57917472054544261</v>
      </c>
      <c r="G136" s="46">
        <f t="shared" si="40"/>
        <v>0.58556337550094084</v>
      </c>
      <c r="H136" s="46">
        <f t="shared" si="40"/>
        <v>0.60051256938483955</v>
      </c>
      <c r="I136" s="46">
        <f t="shared" si="40"/>
        <v>0.5843996370350224</v>
      </c>
      <c r="J136" s="46">
        <f t="shared" si="40"/>
        <v>0.61296928276358531</v>
      </c>
      <c r="K136" s="46">
        <f t="shared" si="40"/>
        <v>0.66059411087238762</v>
      </c>
      <c r="L136" s="46">
        <f t="shared" si="41"/>
        <v>0.67663937703340804</v>
      </c>
      <c r="M136" s="46">
        <f t="shared" si="40"/>
        <v>0.68387904463803117</v>
      </c>
      <c r="N136" s="46">
        <f t="shared" si="40"/>
        <v>0.68690472151540183</v>
      </c>
      <c r="O136" s="46">
        <f t="shared" si="40"/>
        <v>0.69055610714100202</v>
      </c>
      <c r="P136" s="46">
        <f t="shared" si="40"/>
        <v>0.69380524256360054</v>
      </c>
      <c r="Q136" s="46">
        <f t="shared" si="40"/>
        <v>0.70103829761263092</v>
      </c>
      <c r="R136" s="46">
        <f t="shared" si="40"/>
        <v>0.70090241873454739</v>
      </c>
      <c r="S136" s="46">
        <f t="shared" si="40"/>
        <v>0.70589580561786214</v>
      </c>
      <c r="T136" s="46">
        <f t="shared" si="40"/>
        <v>0.69990382317815591</v>
      </c>
      <c r="U136" s="46">
        <f t="shared" si="40"/>
        <v>0.69423570427472581</v>
      </c>
      <c r="V136" s="46">
        <f t="shared" si="40"/>
        <v>0.6816026172785562</v>
      </c>
      <c r="W136" s="46">
        <f t="shared" si="42"/>
        <v>0.67102677704605795</v>
      </c>
      <c r="X136" s="46">
        <f t="shared" si="42"/>
        <v>0.67650858658414337</v>
      </c>
      <c r="Y136" s="46">
        <f t="shared" si="42"/>
        <v>0.67575101554837502</v>
      </c>
      <c r="DA136" s="211"/>
    </row>
    <row r="137" spans="1:105" ht="11.45" customHeight="1" x14ac:dyDescent="0.25">
      <c r="A137" s="153" t="s">
        <v>173</v>
      </c>
      <c r="B137" s="154">
        <f t="shared" si="40"/>
        <v>1.2519375987058178E-3</v>
      </c>
      <c r="C137" s="154">
        <f t="shared" si="40"/>
        <v>1.2785019719410405E-3</v>
      </c>
      <c r="D137" s="154">
        <f t="shared" si="40"/>
        <v>1.2316657033725861E-3</v>
      </c>
      <c r="E137" s="154">
        <f t="shared" si="40"/>
        <v>1.2938786651138642E-3</v>
      </c>
      <c r="F137" s="154">
        <f t="shared" si="40"/>
        <v>1.1709129947943125E-3</v>
      </c>
      <c r="G137" s="154">
        <f t="shared" si="40"/>
        <v>1.3456517604591221E-3</v>
      </c>
      <c r="H137" s="154">
        <f t="shared" si="40"/>
        <v>1.2142641969864248E-3</v>
      </c>
      <c r="I137" s="154">
        <f t="shared" si="40"/>
        <v>1.1893617342760053E-3</v>
      </c>
      <c r="J137" s="154">
        <f t="shared" si="40"/>
        <v>1.3356635146420499E-3</v>
      </c>
      <c r="K137" s="154">
        <f t="shared" si="40"/>
        <v>1.3409325174575074E-3</v>
      </c>
      <c r="L137" s="154">
        <f t="shared" si="41"/>
        <v>1.2411654234694052E-3</v>
      </c>
      <c r="M137" s="154">
        <f t="shared" si="40"/>
        <v>1.1873037082085164E-3</v>
      </c>
      <c r="N137" s="154">
        <f t="shared" si="40"/>
        <v>1.0798237453268327E-3</v>
      </c>
      <c r="O137" s="154">
        <f t="shared" si="40"/>
        <v>1.0455756553967115E-3</v>
      </c>
      <c r="P137" s="154">
        <f t="shared" si="40"/>
        <v>1.157641403481018E-3</v>
      </c>
      <c r="Q137" s="154">
        <f t="shared" si="40"/>
        <v>1.0739440959573665E-3</v>
      </c>
      <c r="R137" s="154">
        <f t="shared" si="40"/>
        <v>1.0443730336311655E-3</v>
      </c>
      <c r="S137" s="154">
        <f t="shared" si="40"/>
        <v>1.0006090567358595E-3</v>
      </c>
      <c r="T137" s="154">
        <f t="shared" si="40"/>
        <v>9.331142893419539E-4</v>
      </c>
      <c r="U137" s="154">
        <f t="shared" si="40"/>
        <v>9.8971523044255974E-4</v>
      </c>
      <c r="V137" s="154">
        <f t="shared" si="40"/>
        <v>1.0676499635581642E-3</v>
      </c>
      <c r="W137" s="154">
        <f t="shared" si="42"/>
        <v>1.0417079664913327E-3</v>
      </c>
      <c r="X137" s="154">
        <f t="shared" si="42"/>
        <v>9.7623299686442808E-4</v>
      </c>
      <c r="Y137" s="154">
        <f t="shared" si="42"/>
        <v>1.0241809991684964E-3</v>
      </c>
      <c r="DA137" s="212"/>
    </row>
    <row r="138" spans="1:105" ht="11.45" customHeight="1" x14ac:dyDescent="0.25">
      <c r="A138" s="155" t="s">
        <v>20</v>
      </c>
      <c r="B138" s="156">
        <f t="shared" si="40"/>
        <v>0.56717020099721804</v>
      </c>
      <c r="C138" s="156">
        <f t="shared" si="40"/>
        <v>0.56518716850446815</v>
      </c>
      <c r="D138" s="156">
        <f t="shared" si="40"/>
        <v>0.55808281779827096</v>
      </c>
      <c r="E138" s="156">
        <f t="shared" si="40"/>
        <v>0.55118453108599597</v>
      </c>
      <c r="F138" s="156">
        <f t="shared" si="40"/>
        <v>0.54152758448645888</v>
      </c>
      <c r="G138" s="156">
        <f t="shared" si="40"/>
        <v>0.54859248316025577</v>
      </c>
      <c r="H138" s="156">
        <f t="shared" si="40"/>
        <v>0.56429698999850053</v>
      </c>
      <c r="I138" s="156">
        <f t="shared" si="40"/>
        <v>0.54720353521662879</v>
      </c>
      <c r="J138" s="156">
        <f t="shared" si="40"/>
        <v>0.57103762679530368</v>
      </c>
      <c r="K138" s="156">
        <f t="shared" si="40"/>
        <v>0.61537425973359172</v>
      </c>
      <c r="L138" s="156">
        <f t="shared" si="41"/>
        <v>0.6297318842813725</v>
      </c>
      <c r="M138" s="156">
        <f t="shared" si="40"/>
        <v>0.63620779862322419</v>
      </c>
      <c r="N138" s="156">
        <f t="shared" si="40"/>
        <v>0.63887449312206424</v>
      </c>
      <c r="O138" s="156">
        <f t="shared" si="40"/>
        <v>0.64343507823349455</v>
      </c>
      <c r="P138" s="156">
        <f t="shared" si="40"/>
        <v>0.64755046641160452</v>
      </c>
      <c r="Q138" s="156">
        <f t="shared" si="40"/>
        <v>0.65422445798117024</v>
      </c>
      <c r="R138" s="156">
        <f t="shared" si="40"/>
        <v>0.65368968067369004</v>
      </c>
      <c r="S138" s="156">
        <f t="shared" si="40"/>
        <v>0.65376390444152499</v>
      </c>
      <c r="T138" s="156">
        <f t="shared" si="40"/>
        <v>0.64473398001588134</v>
      </c>
      <c r="U138" s="156">
        <f t="shared" si="40"/>
        <v>0.63885049113565906</v>
      </c>
      <c r="V138" s="156">
        <f t="shared" si="40"/>
        <v>0.62672355637078137</v>
      </c>
      <c r="W138" s="156">
        <f t="shared" si="42"/>
        <v>0.61955854371350261</v>
      </c>
      <c r="X138" s="156">
        <f t="shared" si="42"/>
        <v>0.61776979499461182</v>
      </c>
      <c r="Y138" s="156">
        <f t="shared" si="42"/>
        <v>0.6057062022688694</v>
      </c>
      <c r="DA138" s="213"/>
    </row>
    <row r="139" spans="1:105" ht="11.45" customHeight="1" x14ac:dyDescent="0.25">
      <c r="A139" s="157" t="s">
        <v>110</v>
      </c>
      <c r="B139" s="103">
        <f t="shared" si="40"/>
        <v>0.45048853256162835</v>
      </c>
      <c r="C139" s="103">
        <f t="shared" si="40"/>
        <v>0.4477771156670331</v>
      </c>
      <c r="D139" s="103">
        <f t="shared" si="40"/>
        <v>0.44903715477169304</v>
      </c>
      <c r="E139" s="103">
        <f t="shared" si="40"/>
        <v>0.44108590306683687</v>
      </c>
      <c r="F139" s="103">
        <f t="shared" si="40"/>
        <v>0.42781583786461774</v>
      </c>
      <c r="G139" s="103">
        <f t="shared" si="40"/>
        <v>0.42457640803206143</v>
      </c>
      <c r="H139" s="103">
        <f t="shared" si="40"/>
        <v>0.42831889623924579</v>
      </c>
      <c r="I139" s="103">
        <f t="shared" si="40"/>
        <v>0.40427335931854691</v>
      </c>
      <c r="J139" s="103">
        <f t="shared" si="40"/>
        <v>0.40230818396176404</v>
      </c>
      <c r="K139" s="103">
        <f t="shared" si="40"/>
        <v>0.40205379864747315</v>
      </c>
      <c r="L139" s="103">
        <f t="shared" si="41"/>
        <v>0.39934296638138689</v>
      </c>
      <c r="M139" s="103">
        <f t="shared" si="40"/>
        <v>0.37233300995968188</v>
      </c>
      <c r="N139" s="103">
        <f t="shared" si="40"/>
        <v>0.3587973447443602</v>
      </c>
      <c r="O139" s="103">
        <f t="shared" si="40"/>
        <v>0.32669969965315843</v>
      </c>
      <c r="P139" s="103">
        <f t="shared" si="40"/>
        <v>0.31225028282739598</v>
      </c>
      <c r="Q139" s="103">
        <f t="shared" si="40"/>
        <v>0.26518268318395088</v>
      </c>
      <c r="R139" s="103">
        <f t="shared" si="40"/>
        <v>0.24751867015441337</v>
      </c>
      <c r="S139" s="103">
        <f t="shared" si="40"/>
        <v>0.22790672545838178</v>
      </c>
      <c r="T139" s="103">
        <f t="shared" si="40"/>
        <v>0.2051214921975604</v>
      </c>
      <c r="U139" s="103">
        <f t="shared" si="40"/>
        <v>0.19446938109286943</v>
      </c>
      <c r="V139" s="103">
        <f t="shared" si="40"/>
        <v>0.17230511077466096</v>
      </c>
      <c r="W139" s="103">
        <f t="shared" si="42"/>
        <v>0.17066804394140728</v>
      </c>
      <c r="X139" s="103">
        <f t="shared" si="42"/>
        <v>0.18196490114710537</v>
      </c>
      <c r="Y139" s="103">
        <f t="shared" si="42"/>
        <v>0.19056933829299511</v>
      </c>
      <c r="DA139" s="191"/>
    </row>
    <row r="140" spans="1:105" ht="11.45" customHeight="1" x14ac:dyDescent="0.25">
      <c r="A140" s="157" t="s">
        <v>111</v>
      </c>
      <c r="B140" s="103">
        <f t="shared" si="40"/>
        <v>0.11611565212246551</v>
      </c>
      <c r="C140" s="103">
        <f t="shared" si="40"/>
        <v>0.11702246315198865</v>
      </c>
      <c r="D140" s="103">
        <f t="shared" si="40"/>
        <v>0.10871242588808604</v>
      </c>
      <c r="E140" s="103">
        <f t="shared" si="40"/>
        <v>0.10981438658865149</v>
      </c>
      <c r="F140" s="103">
        <f t="shared" si="40"/>
        <v>0.11347270935427826</v>
      </c>
      <c r="G140" s="103">
        <f t="shared" si="40"/>
        <v>0.12380053109814985</v>
      </c>
      <c r="H140" s="103">
        <f t="shared" si="40"/>
        <v>0.13580831027067383</v>
      </c>
      <c r="I140" s="103">
        <f t="shared" si="40"/>
        <v>0.14270889787128754</v>
      </c>
      <c r="J140" s="103">
        <f t="shared" si="40"/>
        <v>0.1685470416525601</v>
      </c>
      <c r="K140" s="103">
        <f t="shared" si="40"/>
        <v>0.2131894420126102</v>
      </c>
      <c r="L140" s="103">
        <f t="shared" si="41"/>
        <v>0.2302657313322761</v>
      </c>
      <c r="M140" s="103">
        <f t="shared" si="40"/>
        <v>0.26373692830530421</v>
      </c>
      <c r="N140" s="103">
        <f t="shared" si="40"/>
        <v>0.27982098347388329</v>
      </c>
      <c r="O140" s="103">
        <f t="shared" si="40"/>
        <v>0.31640660764896683</v>
      </c>
      <c r="P140" s="103">
        <f t="shared" si="40"/>
        <v>0.33478243055599083</v>
      </c>
      <c r="Q140" s="103">
        <f t="shared" si="40"/>
        <v>0.38842875742612559</v>
      </c>
      <c r="R140" s="103">
        <f t="shared" si="40"/>
        <v>0.40556444116533641</v>
      </c>
      <c r="S140" s="103">
        <f t="shared" si="40"/>
        <v>0.42528468272773096</v>
      </c>
      <c r="T140" s="103">
        <f t="shared" si="40"/>
        <v>0.43907859313441949</v>
      </c>
      <c r="U140" s="103">
        <f t="shared" si="40"/>
        <v>0.44380688161244886</v>
      </c>
      <c r="V140" s="103">
        <f t="shared" si="40"/>
        <v>0.45377632238565829</v>
      </c>
      <c r="W140" s="103">
        <f t="shared" si="42"/>
        <v>0.4476482463530384</v>
      </c>
      <c r="X140" s="103">
        <f t="shared" si="42"/>
        <v>0.43401099787735781</v>
      </c>
      <c r="Y140" s="103">
        <f t="shared" si="42"/>
        <v>0.41299861536217863</v>
      </c>
      <c r="DA140" s="191"/>
    </row>
    <row r="141" spans="1:105" ht="11.45" customHeight="1" x14ac:dyDescent="0.25">
      <c r="A141" s="157" t="s">
        <v>112</v>
      </c>
      <c r="B141" s="103">
        <f t="shared" si="40"/>
        <v>5.6601631312420833E-4</v>
      </c>
      <c r="C141" s="103">
        <f t="shared" si="40"/>
        <v>3.8758968544649029E-4</v>
      </c>
      <c r="D141" s="103">
        <f t="shared" si="40"/>
        <v>3.3323713849193364E-4</v>
      </c>
      <c r="E141" s="103">
        <f t="shared" si="40"/>
        <v>2.8424143050763558E-4</v>
      </c>
      <c r="F141" s="103">
        <f t="shared" si="40"/>
        <v>2.3903726756290691E-4</v>
      </c>
      <c r="G141" s="103">
        <f t="shared" si="40"/>
        <v>2.1554403004442381E-4</v>
      </c>
      <c r="H141" s="103">
        <f t="shared" si="40"/>
        <v>1.6978348858084731E-4</v>
      </c>
      <c r="I141" s="103">
        <f t="shared" si="40"/>
        <v>2.2127802679428225E-4</v>
      </c>
      <c r="J141" s="103">
        <f t="shared" si="40"/>
        <v>1.8240118097947476E-4</v>
      </c>
      <c r="K141" s="103">
        <f t="shared" si="40"/>
        <v>1.3101907350833252E-4</v>
      </c>
      <c r="L141" s="103">
        <f t="shared" si="41"/>
        <v>1.2318656770951732E-4</v>
      </c>
      <c r="M141" s="103">
        <f t="shared" si="40"/>
        <v>1.3786035823819056E-4</v>
      </c>
      <c r="N141" s="103">
        <f t="shared" si="40"/>
        <v>2.5616490382057234E-4</v>
      </c>
      <c r="O141" s="103">
        <f t="shared" si="40"/>
        <v>3.2794155373535964E-4</v>
      </c>
      <c r="P141" s="103">
        <f t="shared" si="40"/>
        <v>5.1037095863767901E-4</v>
      </c>
      <c r="Q141" s="103">
        <f t="shared" si="40"/>
        <v>6.0155662046510177E-4</v>
      </c>
      <c r="R141" s="103">
        <f t="shared" si="40"/>
        <v>5.748896246442071E-4</v>
      </c>
      <c r="S141" s="103">
        <f t="shared" si="40"/>
        <v>5.1901233968895308E-4</v>
      </c>
      <c r="T141" s="103">
        <f t="shared" si="40"/>
        <v>4.2101706795098911E-4</v>
      </c>
      <c r="U141" s="103">
        <f t="shared" si="40"/>
        <v>3.7087922822919765E-4</v>
      </c>
      <c r="V141" s="103">
        <f t="shared" si="40"/>
        <v>3.1400279498668138E-4</v>
      </c>
      <c r="W141" s="103">
        <f t="shared" si="42"/>
        <v>2.9838143158185827E-4</v>
      </c>
      <c r="X141" s="103">
        <f t="shared" si="42"/>
        <v>3.8989851353693234E-4</v>
      </c>
      <c r="Y141" s="103">
        <f t="shared" si="42"/>
        <v>2.7786684701393939E-4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0</v>
      </c>
      <c r="G142" s="103">
        <f t="shared" si="40"/>
        <v>0</v>
      </c>
      <c r="H142" s="103">
        <f t="shared" si="40"/>
        <v>0</v>
      </c>
      <c r="I142" s="103">
        <f t="shared" si="40"/>
        <v>0</v>
      </c>
      <c r="J142" s="103">
        <f t="shared" si="40"/>
        <v>0</v>
      </c>
      <c r="K142" s="103">
        <f t="shared" si="40"/>
        <v>0</v>
      </c>
      <c r="L142" s="103">
        <f t="shared" si="41"/>
        <v>0</v>
      </c>
      <c r="M142" s="103">
        <f t="shared" si="40"/>
        <v>0</v>
      </c>
      <c r="N142" s="103">
        <f t="shared" si="40"/>
        <v>0</v>
      </c>
      <c r="O142" s="103">
        <f t="shared" si="40"/>
        <v>0</v>
      </c>
      <c r="P142" s="103">
        <f t="shared" si="40"/>
        <v>5.007937555402078E-6</v>
      </c>
      <c r="Q142" s="103">
        <f t="shared" si="40"/>
        <v>2.6956514080698122E-6</v>
      </c>
      <c r="R142" s="103">
        <f t="shared" si="40"/>
        <v>1.5908783003701976E-6</v>
      </c>
      <c r="S142" s="103">
        <f t="shared" si="40"/>
        <v>1.9381271749188713E-6</v>
      </c>
      <c r="T142" s="103">
        <f t="shared" si="40"/>
        <v>2.4004315686144238E-6</v>
      </c>
      <c r="U142" s="103">
        <f t="shared" si="40"/>
        <v>2.6590080116331815E-6</v>
      </c>
      <c r="V142" s="103">
        <f t="shared" si="40"/>
        <v>3.3035262967309165E-6</v>
      </c>
      <c r="W142" s="103">
        <f t="shared" si="42"/>
        <v>6.2231765677570444E-6</v>
      </c>
      <c r="X142" s="103">
        <f t="shared" si="42"/>
        <v>4.3715392907775594E-5</v>
      </c>
      <c r="Y142" s="103">
        <f t="shared" si="42"/>
        <v>3.5609842637087104E-5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0</v>
      </c>
      <c r="N143" s="103">
        <f t="shared" si="40"/>
        <v>0</v>
      </c>
      <c r="O143" s="103">
        <f t="shared" si="40"/>
        <v>8.293776338644521E-7</v>
      </c>
      <c r="P143" s="103">
        <f t="shared" si="40"/>
        <v>2.3741320246871432E-6</v>
      </c>
      <c r="Q143" s="103">
        <f t="shared" si="40"/>
        <v>8.7650992207130919E-6</v>
      </c>
      <c r="R143" s="103">
        <f t="shared" si="40"/>
        <v>3.0088850995683491E-5</v>
      </c>
      <c r="S143" s="103">
        <f t="shared" si="40"/>
        <v>5.1545788548479764E-5</v>
      </c>
      <c r="T143" s="103">
        <f t="shared" si="40"/>
        <v>1.1047718438192526E-4</v>
      </c>
      <c r="U143" s="103">
        <f t="shared" si="40"/>
        <v>2.0069019410009036E-4</v>
      </c>
      <c r="V143" s="103">
        <f t="shared" si="40"/>
        <v>3.2481688917864653E-4</v>
      </c>
      <c r="W143" s="103">
        <f t="shared" si="42"/>
        <v>9.3764881090734921E-4</v>
      </c>
      <c r="X143" s="103">
        <f t="shared" si="42"/>
        <v>1.3602820637040464E-3</v>
      </c>
      <c r="Y143" s="103">
        <f t="shared" si="42"/>
        <v>1.8247719240446875E-3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X144" s="103">
        <f t="shared" si="42"/>
        <v>0</v>
      </c>
      <c r="Y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3.9381048435889306E-2</v>
      </c>
      <c r="C145" s="156">
        <f t="shared" si="40"/>
        <v>3.7159548045231652E-2</v>
      </c>
      <c r="D145" s="156">
        <f t="shared" si="40"/>
        <v>3.65870931815006E-2</v>
      </c>
      <c r="E145" s="156">
        <f t="shared" si="40"/>
        <v>3.755319588745018E-2</v>
      </c>
      <c r="F145" s="156">
        <f t="shared" si="40"/>
        <v>3.6476223064189441E-2</v>
      </c>
      <c r="G145" s="156">
        <f t="shared" si="40"/>
        <v>3.5625240580225981E-2</v>
      </c>
      <c r="H145" s="156">
        <f t="shared" si="40"/>
        <v>3.500131518935258E-2</v>
      </c>
      <c r="I145" s="156">
        <f t="shared" si="40"/>
        <v>3.6006740084117625E-2</v>
      </c>
      <c r="J145" s="156">
        <f t="shared" si="40"/>
        <v>4.0595992453639596E-2</v>
      </c>
      <c r="K145" s="156">
        <f t="shared" si="40"/>
        <v>4.3878918621338477E-2</v>
      </c>
      <c r="L145" s="156">
        <f t="shared" si="41"/>
        <v>4.5666327328566167E-2</v>
      </c>
      <c r="M145" s="156">
        <f t="shared" si="40"/>
        <v>4.6483942306598448E-2</v>
      </c>
      <c r="N145" s="156">
        <f t="shared" si="40"/>
        <v>4.6950404648010813E-2</v>
      </c>
      <c r="O145" s="156">
        <f t="shared" si="40"/>
        <v>4.607545325211071E-2</v>
      </c>
      <c r="P145" s="156">
        <f t="shared" si="40"/>
        <v>4.509713474851499E-2</v>
      </c>
      <c r="Q145" s="156">
        <f t="shared" si="40"/>
        <v>4.573989553550338E-2</v>
      </c>
      <c r="R145" s="156">
        <f t="shared" si="40"/>
        <v>4.6168365027226176E-2</v>
      </c>
      <c r="S145" s="156">
        <f t="shared" si="40"/>
        <v>5.1131292119601233E-2</v>
      </c>
      <c r="T145" s="156">
        <f t="shared" si="40"/>
        <v>5.4236728872932641E-2</v>
      </c>
      <c r="U145" s="156">
        <f t="shared" si="40"/>
        <v>5.4395497908624121E-2</v>
      </c>
      <c r="V145" s="156">
        <f t="shared" si="40"/>
        <v>5.3811410944216799E-2</v>
      </c>
      <c r="W145" s="156">
        <f t="shared" si="42"/>
        <v>5.0426525366064019E-2</v>
      </c>
      <c r="X145" s="156">
        <f t="shared" si="42"/>
        <v>5.7762558592667088E-2</v>
      </c>
      <c r="Y145" s="156">
        <f t="shared" si="42"/>
        <v>6.9020632280337058E-2</v>
      </c>
      <c r="DA145" s="213"/>
    </row>
    <row r="146" spans="1:105" ht="11.45" customHeight="1" x14ac:dyDescent="0.25">
      <c r="A146" s="157" t="s">
        <v>110</v>
      </c>
      <c r="B146" s="103">
        <f t="shared" si="40"/>
        <v>2.2501967438376906E-4</v>
      </c>
      <c r="C146" s="103">
        <f t="shared" si="40"/>
        <v>1.9737947711677046E-4</v>
      </c>
      <c r="D146" s="103">
        <f t="shared" si="40"/>
        <v>1.7614598308876453E-4</v>
      </c>
      <c r="E146" s="103">
        <f t="shared" si="40"/>
        <v>1.5627245414978009E-4</v>
      </c>
      <c r="F146" s="103">
        <f t="shared" si="40"/>
        <v>1.2998057166930632E-4</v>
      </c>
      <c r="G146" s="103">
        <f t="shared" si="40"/>
        <v>1.0734125531293951E-4</v>
      </c>
      <c r="H146" s="103">
        <f t="shared" si="40"/>
        <v>8.5784021991875135E-5</v>
      </c>
      <c r="I146" s="103">
        <f t="shared" si="40"/>
        <v>7.3947965913266717E-5</v>
      </c>
      <c r="J146" s="103">
        <f t="shared" si="40"/>
        <v>6.7568669910204554E-5</v>
      </c>
      <c r="K146" s="103">
        <f t="shared" si="40"/>
        <v>6.1458250481289634E-5</v>
      </c>
      <c r="L146" s="103">
        <f t="shared" si="41"/>
        <v>5.194588433380946E-5</v>
      </c>
      <c r="M146" s="103">
        <f t="shared" si="40"/>
        <v>4.3269048244332407E-5</v>
      </c>
      <c r="N146" s="103">
        <f t="shared" si="40"/>
        <v>3.302962315308859E-5</v>
      </c>
      <c r="O146" s="103">
        <f t="shared" si="40"/>
        <v>3.2567647334090243E-5</v>
      </c>
      <c r="P146" s="103">
        <f t="shared" si="40"/>
        <v>3.1495284074347761E-5</v>
      </c>
      <c r="Q146" s="103">
        <f t="shared" si="40"/>
        <v>2.666411100374035E-5</v>
      </c>
      <c r="R146" s="103">
        <f t="shared" si="40"/>
        <v>2.0681282680929927E-5</v>
      </c>
      <c r="S146" s="103">
        <f t="shared" si="40"/>
        <v>2.5871509808877612E-5</v>
      </c>
      <c r="T146" s="103">
        <f t="shared" si="40"/>
        <v>1.7428835307567493E-5</v>
      </c>
      <c r="U146" s="103">
        <f t="shared" si="40"/>
        <v>2.0959679876432917E-5</v>
      </c>
      <c r="V146" s="103">
        <f t="shared" si="40"/>
        <v>2.3041653406103029E-5</v>
      </c>
      <c r="W146" s="103">
        <f t="shared" si="42"/>
        <v>1.9537769056604786E-5</v>
      </c>
      <c r="X146" s="103">
        <f t="shared" si="42"/>
        <v>5.7575199008457828E-5</v>
      </c>
      <c r="Y146" s="103">
        <f t="shared" si="42"/>
        <v>1.6875899687574813E-4</v>
      </c>
      <c r="DA146" s="191"/>
    </row>
    <row r="147" spans="1:105" ht="11.45" customHeight="1" x14ac:dyDescent="0.25">
      <c r="A147" s="157" t="s">
        <v>111</v>
      </c>
      <c r="B147" s="103">
        <f t="shared" si="40"/>
        <v>3.9156028761505535E-2</v>
      </c>
      <c r="C147" s="103">
        <f t="shared" si="40"/>
        <v>3.6960490143744119E-2</v>
      </c>
      <c r="D147" s="103">
        <f t="shared" si="40"/>
        <v>3.6409260044946865E-2</v>
      </c>
      <c r="E147" s="103">
        <f t="shared" si="40"/>
        <v>3.7395219706124187E-2</v>
      </c>
      <c r="F147" s="103">
        <f t="shared" si="40"/>
        <v>3.6344594249448144E-2</v>
      </c>
      <c r="G147" s="103">
        <f t="shared" si="40"/>
        <v>3.5516302800654716E-2</v>
      </c>
      <c r="H147" s="103">
        <f t="shared" si="40"/>
        <v>3.4914019639924777E-2</v>
      </c>
      <c r="I147" s="103">
        <f t="shared" si="40"/>
        <v>3.5931284600600154E-2</v>
      </c>
      <c r="J147" s="103">
        <f t="shared" si="40"/>
        <v>4.0528423783729381E-2</v>
      </c>
      <c r="K147" s="103">
        <f t="shared" si="40"/>
        <v>4.3817460370857188E-2</v>
      </c>
      <c r="L147" s="103">
        <f t="shared" si="41"/>
        <v>4.5614381444232355E-2</v>
      </c>
      <c r="M147" s="103">
        <f t="shared" si="40"/>
        <v>4.6440673258354118E-2</v>
      </c>
      <c r="N147" s="103">
        <f t="shared" si="40"/>
        <v>4.6917375024857724E-2</v>
      </c>
      <c r="O147" s="103">
        <f t="shared" si="40"/>
        <v>4.6042885604776623E-2</v>
      </c>
      <c r="P147" s="103">
        <f t="shared" si="40"/>
        <v>4.5065639464440636E-2</v>
      </c>
      <c r="Q147" s="103">
        <f t="shared" si="40"/>
        <v>4.5713231424499637E-2</v>
      </c>
      <c r="R147" s="103">
        <f t="shared" ref="R147:V147" si="43">IF(R29=0,0,R29/R$17)</f>
        <v>4.6147683744545247E-2</v>
      </c>
      <c r="S147" s="103">
        <f t="shared" si="43"/>
        <v>5.1105420609792361E-2</v>
      </c>
      <c r="T147" s="103">
        <f t="shared" si="43"/>
        <v>5.4216638044212895E-2</v>
      </c>
      <c r="U147" s="103">
        <f t="shared" si="43"/>
        <v>5.4296238792693408E-2</v>
      </c>
      <c r="V147" s="103">
        <f t="shared" si="43"/>
        <v>5.3556876419892291E-2</v>
      </c>
      <c r="W147" s="103">
        <f t="shared" ref="W147:Y147" si="44">IF(W29=0,0,W29/W$17)</f>
        <v>4.995845800201288E-2</v>
      </c>
      <c r="X147" s="103">
        <f t="shared" si="44"/>
        <v>5.734484452186013E-2</v>
      </c>
      <c r="Y147" s="103">
        <f t="shared" si="44"/>
        <v>6.8453417767884439E-2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1.6784243707606966E-6</v>
      </c>
      <c r="D148" s="103">
        <f t="shared" si="45"/>
        <v>1.687153464972989E-6</v>
      </c>
      <c r="E148" s="103">
        <f t="shared" si="45"/>
        <v>1.7037271762147101E-6</v>
      </c>
      <c r="F148" s="103">
        <f t="shared" si="45"/>
        <v>1.6482430719904011E-6</v>
      </c>
      <c r="G148" s="103">
        <f t="shared" si="45"/>
        <v>1.5965242583237891E-6</v>
      </c>
      <c r="H148" s="103">
        <f t="shared" si="45"/>
        <v>1.5115274359283711E-6</v>
      </c>
      <c r="I148" s="103">
        <f t="shared" si="45"/>
        <v>1.5075176042067553E-6</v>
      </c>
      <c r="J148" s="103">
        <f t="shared" si="45"/>
        <v>0</v>
      </c>
      <c r="K148" s="103">
        <f t="shared" si="45"/>
        <v>0</v>
      </c>
      <c r="L148" s="103">
        <f t="shared" ref="L148:L150" si="46">IF(L30=0,0,L30/L$17)</f>
        <v>0</v>
      </c>
      <c r="M148" s="103">
        <f t="shared" ref="M148:V148" si="47">IF(M30=0,0,M30/M$17)</f>
        <v>0</v>
      </c>
      <c r="N148" s="103">
        <f t="shared" si="47"/>
        <v>0</v>
      </c>
      <c r="O148" s="103">
        <f t="shared" si="47"/>
        <v>0</v>
      </c>
      <c r="P148" s="103">
        <f t="shared" si="47"/>
        <v>0</v>
      </c>
      <c r="Q148" s="103">
        <f t="shared" si="47"/>
        <v>0</v>
      </c>
      <c r="R148" s="103">
        <f t="shared" si="47"/>
        <v>0</v>
      </c>
      <c r="S148" s="103">
        <f t="shared" si="47"/>
        <v>0</v>
      </c>
      <c r="T148" s="103">
        <f t="shared" si="47"/>
        <v>0</v>
      </c>
      <c r="U148" s="103">
        <f t="shared" si="47"/>
        <v>0</v>
      </c>
      <c r="V148" s="103">
        <f t="shared" si="47"/>
        <v>0</v>
      </c>
      <c r="W148" s="103">
        <f t="shared" ref="W148:Y148" si="48">IF(W30=0,0,W30/W$17)</f>
        <v>0</v>
      </c>
      <c r="X148" s="103">
        <f t="shared" si="48"/>
        <v>0</v>
      </c>
      <c r="Y148" s="103">
        <f t="shared" si="48"/>
        <v>0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0</v>
      </c>
      <c r="C149" s="103">
        <f t="shared" si="49"/>
        <v>0</v>
      </c>
      <c r="D149" s="103">
        <f t="shared" si="49"/>
        <v>0</v>
      </c>
      <c r="E149" s="103">
        <f t="shared" si="49"/>
        <v>0</v>
      </c>
      <c r="F149" s="103">
        <f t="shared" si="49"/>
        <v>0</v>
      </c>
      <c r="G149" s="103">
        <f t="shared" si="49"/>
        <v>0</v>
      </c>
      <c r="H149" s="103">
        <f t="shared" si="49"/>
        <v>0</v>
      </c>
      <c r="I149" s="103">
        <f t="shared" si="49"/>
        <v>0</v>
      </c>
      <c r="J149" s="103">
        <f t="shared" si="49"/>
        <v>0</v>
      </c>
      <c r="K149" s="103">
        <f t="shared" si="49"/>
        <v>0</v>
      </c>
      <c r="L149" s="103">
        <f t="shared" si="46"/>
        <v>0</v>
      </c>
      <c r="M149" s="103">
        <f t="shared" ref="M149:V149" si="50">IF(M31=0,0,M31/M$17)</f>
        <v>0</v>
      </c>
      <c r="N149" s="103">
        <f t="shared" si="50"/>
        <v>0</v>
      </c>
      <c r="O149" s="103">
        <f t="shared" si="50"/>
        <v>0</v>
      </c>
      <c r="P149" s="103">
        <f t="shared" si="50"/>
        <v>0</v>
      </c>
      <c r="Q149" s="103">
        <f t="shared" si="50"/>
        <v>0</v>
      </c>
      <c r="R149" s="103">
        <f t="shared" si="50"/>
        <v>0</v>
      </c>
      <c r="S149" s="103">
        <f t="shared" si="50"/>
        <v>0</v>
      </c>
      <c r="T149" s="103">
        <f t="shared" si="50"/>
        <v>2.6619934121698893E-6</v>
      </c>
      <c r="U149" s="103">
        <f t="shared" si="50"/>
        <v>7.8299436054275198E-5</v>
      </c>
      <c r="V149" s="103">
        <f t="shared" si="50"/>
        <v>2.3149287091839987E-4</v>
      </c>
      <c r="W149" s="103">
        <f t="shared" ref="W149:Y149" si="51">IF(W31=0,0,W31/W$17)</f>
        <v>4.4852959499453284E-4</v>
      </c>
      <c r="X149" s="103">
        <f t="shared" si="51"/>
        <v>3.6013887179849838E-4</v>
      </c>
      <c r="Y149" s="103">
        <f t="shared" si="51"/>
        <v>3.9845551557686764E-4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:Y150" si="54">IF(W32=0,0,W32/W$17)</f>
        <v>0</v>
      </c>
      <c r="X150" s="103">
        <f t="shared" si="54"/>
        <v>0</v>
      </c>
      <c r="Y150" s="103">
        <f t="shared" si="54"/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0.39219681296818681</v>
      </c>
      <c r="C151" s="46">
        <f t="shared" si="55"/>
        <v>0.39637478147835919</v>
      </c>
      <c r="D151" s="46">
        <f t="shared" si="55"/>
        <v>0.40409842331685597</v>
      </c>
      <c r="E151" s="46">
        <f t="shared" si="55"/>
        <v>0.40996839436143989</v>
      </c>
      <c r="F151" s="46">
        <f t="shared" si="55"/>
        <v>0.42082527945455733</v>
      </c>
      <c r="G151" s="46">
        <f t="shared" si="55"/>
        <v>0.41443662449905916</v>
      </c>
      <c r="H151" s="46">
        <f t="shared" si="55"/>
        <v>0.3994874306151604</v>
      </c>
      <c r="I151" s="46">
        <f t="shared" si="55"/>
        <v>0.41560036296497771</v>
      </c>
      <c r="J151" s="46">
        <f t="shared" si="55"/>
        <v>0.38703071723641469</v>
      </c>
      <c r="K151" s="46">
        <f t="shared" si="55"/>
        <v>0.33940588912761233</v>
      </c>
      <c r="L151" s="46">
        <f t="shared" ref="L151" si="56">IF(L33=0,0,L33/L$17)</f>
        <v>0.32336062296659202</v>
      </c>
      <c r="M151" s="46">
        <f t="shared" ref="M151:V151" si="57">IF(M33=0,0,M33/M$17)</f>
        <v>0.31612095536196888</v>
      </c>
      <c r="N151" s="46">
        <f t="shared" si="57"/>
        <v>0.31309527848459812</v>
      </c>
      <c r="O151" s="46">
        <f t="shared" si="57"/>
        <v>0.30944389285899809</v>
      </c>
      <c r="P151" s="46">
        <f t="shared" si="57"/>
        <v>0.30619475743639935</v>
      </c>
      <c r="Q151" s="46">
        <f t="shared" si="57"/>
        <v>0.29896170238736913</v>
      </c>
      <c r="R151" s="46">
        <f t="shared" si="57"/>
        <v>0.29909758126545261</v>
      </c>
      <c r="S151" s="46">
        <f t="shared" si="57"/>
        <v>0.29410419438213786</v>
      </c>
      <c r="T151" s="46">
        <f t="shared" si="57"/>
        <v>0.30009617682184409</v>
      </c>
      <c r="U151" s="46">
        <f t="shared" si="57"/>
        <v>0.30576429572527425</v>
      </c>
      <c r="V151" s="46">
        <f t="shared" si="57"/>
        <v>0.31839738272144374</v>
      </c>
      <c r="W151" s="46">
        <f t="shared" ref="W151:Y151" si="58">IF(W33=0,0,W33/W$17)</f>
        <v>0.3289732229539421</v>
      </c>
      <c r="X151" s="46">
        <f t="shared" si="58"/>
        <v>0.32349141341585658</v>
      </c>
      <c r="Y151" s="46">
        <f t="shared" si="58"/>
        <v>0.32424898445162509</v>
      </c>
      <c r="DA151" s="211"/>
    </row>
    <row r="152" spans="1:105" ht="11.45" customHeight="1" x14ac:dyDescent="0.25">
      <c r="A152" s="153" t="s">
        <v>153</v>
      </c>
      <c r="B152" s="154">
        <f t="shared" ref="B152:K152" si="59">IF(B34=0,0,B34/B$17)</f>
        <v>0.12671081266726272</v>
      </c>
      <c r="C152" s="154">
        <f t="shared" si="59"/>
        <v>0.12496533201416192</v>
      </c>
      <c r="D152" s="154">
        <f t="shared" si="59"/>
        <v>0.12894481020367698</v>
      </c>
      <c r="E152" s="154">
        <f t="shared" si="59"/>
        <v>0.13399815383047312</v>
      </c>
      <c r="F152" s="154">
        <f t="shared" si="59"/>
        <v>0.13505378070372845</v>
      </c>
      <c r="G152" s="154">
        <f t="shared" si="59"/>
        <v>0.13500266380174822</v>
      </c>
      <c r="H152" s="154">
        <f t="shared" si="59"/>
        <v>0.13359439550347466</v>
      </c>
      <c r="I152" s="154">
        <f t="shared" si="59"/>
        <v>0.13688543132544773</v>
      </c>
      <c r="J152" s="154">
        <f t="shared" si="59"/>
        <v>0.14084415178408033</v>
      </c>
      <c r="K152" s="154">
        <f t="shared" si="59"/>
        <v>0.14632681162454889</v>
      </c>
      <c r="L152" s="154">
        <f t="shared" ref="L152" si="60">IF(L34=0,0,L34/L$17)</f>
        <v>0.14531434781239363</v>
      </c>
      <c r="M152" s="154">
        <f t="shared" ref="M152:V152" si="61">IF(M34=0,0,M34/M$17)</f>
        <v>0.14686427618431733</v>
      </c>
      <c r="N152" s="154">
        <f t="shared" si="61"/>
        <v>0.14200662001834216</v>
      </c>
      <c r="O152" s="154">
        <f t="shared" si="61"/>
        <v>0.1418144499561021</v>
      </c>
      <c r="P152" s="154">
        <f t="shared" si="61"/>
        <v>0.13288256611957272</v>
      </c>
      <c r="Q152" s="154">
        <f t="shared" si="61"/>
        <v>0.1262763482706375</v>
      </c>
      <c r="R152" s="154">
        <f t="shared" si="61"/>
        <v>0.11649567495947924</v>
      </c>
      <c r="S152" s="154">
        <f t="shared" si="61"/>
        <v>0.11430372928812815</v>
      </c>
      <c r="T152" s="154">
        <f t="shared" si="61"/>
        <v>0.11347249135088693</v>
      </c>
      <c r="U152" s="154">
        <f t="shared" si="61"/>
        <v>0.10889319168425422</v>
      </c>
      <c r="V152" s="154">
        <f t="shared" si="61"/>
        <v>0.12642112894661758</v>
      </c>
      <c r="W152" s="154">
        <f t="shared" ref="W152:Y152" si="62">IF(W34=0,0,W34/W$17)</f>
        <v>0.12366582223011063</v>
      </c>
      <c r="X152" s="154">
        <f t="shared" si="62"/>
        <v>0.12394664963839595</v>
      </c>
      <c r="Y152" s="154">
        <f t="shared" si="62"/>
        <v>0.1257390544932363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1.3345271939607171E-3</v>
      </c>
      <c r="C153" s="103">
        <f t="shared" si="63"/>
        <v>1.1567621608604194E-3</v>
      </c>
      <c r="D153" s="103">
        <f t="shared" si="63"/>
        <v>1.044823526493416E-3</v>
      </c>
      <c r="E153" s="103">
        <f t="shared" si="63"/>
        <v>9.1621403131127903E-4</v>
      </c>
      <c r="F153" s="103">
        <f t="shared" si="63"/>
        <v>7.4145814501844025E-4</v>
      </c>
      <c r="G153" s="103">
        <f t="shared" si="63"/>
        <v>5.2829158486968498E-4</v>
      </c>
      <c r="H153" s="103">
        <f t="shared" si="63"/>
        <v>3.6525346691364269E-4</v>
      </c>
      <c r="I153" s="103">
        <f t="shared" si="63"/>
        <v>2.7183559455911445E-4</v>
      </c>
      <c r="J153" s="103">
        <f t="shared" si="63"/>
        <v>2.5532705576617121E-4</v>
      </c>
      <c r="K153" s="103">
        <f t="shared" si="63"/>
        <v>2.5469397941036586E-4</v>
      </c>
      <c r="L153" s="103">
        <f t="shared" ref="L153" si="64">IF(L35=0,0,L35/L$17)</f>
        <v>2.2949470196970237E-4</v>
      </c>
      <c r="M153" s="103">
        <f t="shared" ref="M153:V153" si="65">IF(M35=0,0,M35/M$17)</f>
        <v>2.0361172903218347E-4</v>
      </c>
      <c r="N153" s="103">
        <f t="shared" si="65"/>
        <v>1.6965223720352015E-4</v>
      </c>
      <c r="O153" s="103">
        <f t="shared" si="65"/>
        <v>1.5986911444070746E-4</v>
      </c>
      <c r="P153" s="103">
        <f t="shared" si="65"/>
        <v>1.415808022977258E-4</v>
      </c>
      <c r="Q153" s="103">
        <f t="shared" si="65"/>
        <v>1.2101176935417557E-4</v>
      </c>
      <c r="R153" s="103">
        <f t="shared" si="65"/>
        <v>1.0057693117624605E-4</v>
      </c>
      <c r="S153" s="103">
        <f t="shared" si="65"/>
        <v>1.1261525059974344E-4</v>
      </c>
      <c r="T153" s="103">
        <f t="shared" si="65"/>
        <v>1.1409094282350473E-4</v>
      </c>
      <c r="U153" s="103">
        <f t="shared" si="65"/>
        <v>1.2478628464235409E-4</v>
      </c>
      <c r="V153" s="103">
        <f t="shared" si="65"/>
        <v>1.8893577502481542E-4</v>
      </c>
      <c r="W153" s="103">
        <f t="shared" ref="W153:Y153" si="66">IF(W35=0,0,W35/W$17)</f>
        <v>2.052027091567496E-4</v>
      </c>
      <c r="X153" s="103">
        <f t="shared" si="66"/>
        <v>2.3846660051638611E-4</v>
      </c>
      <c r="Y153" s="103">
        <f t="shared" si="66"/>
        <v>3.4024808806348047E-4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0.12537628547330198</v>
      </c>
      <c r="C154" s="103">
        <f t="shared" si="67"/>
        <v>0.12380856985330151</v>
      </c>
      <c r="D154" s="103">
        <f t="shared" si="67"/>
        <v>0.12789998667718355</v>
      </c>
      <c r="E154" s="103">
        <f t="shared" si="67"/>
        <v>0.13308193979916183</v>
      </c>
      <c r="F154" s="103">
        <f t="shared" si="67"/>
        <v>0.13431232255871001</v>
      </c>
      <c r="G154" s="103">
        <f t="shared" si="67"/>
        <v>0.13447437221687852</v>
      </c>
      <c r="H154" s="103">
        <f t="shared" si="67"/>
        <v>0.133229142036561</v>
      </c>
      <c r="I154" s="103">
        <f t="shared" si="67"/>
        <v>0.1366135957308886</v>
      </c>
      <c r="J154" s="103">
        <f t="shared" si="67"/>
        <v>0.14058882472831416</v>
      </c>
      <c r="K154" s="103">
        <f t="shared" si="67"/>
        <v>0.14607211764513853</v>
      </c>
      <c r="L154" s="103">
        <f t="shared" ref="L154" si="68">IF(L36=0,0,L36/L$17)</f>
        <v>0.14508485311042393</v>
      </c>
      <c r="M154" s="103">
        <f t="shared" ref="M154:V154" si="69">IF(M36=0,0,M36/M$17)</f>
        <v>0.14666066445528514</v>
      </c>
      <c r="N154" s="103">
        <f t="shared" si="69"/>
        <v>0.14183696778113863</v>
      </c>
      <c r="O154" s="103">
        <f t="shared" si="69"/>
        <v>0.14165396254160492</v>
      </c>
      <c r="P154" s="103">
        <f t="shared" si="69"/>
        <v>0.13273979246249556</v>
      </c>
      <c r="Q154" s="103">
        <f t="shared" si="69"/>
        <v>0.12615417925832359</v>
      </c>
      <c r="R154" s="103">
        <f t="shared" si="69"/>
        <v>0.11639302862876817</v>
      </c>
      <c r="S154" s="103">
        <f t="shared" si="69"/>
        <v>0.11418882772106813</v>
      </c>
      <c r="T154" s="103">
        <f t="shared" si="69"/>
        <v>0.11335613746465928</v>
      </c>
      <c r="U154" s="103">
        <f t="shared" si="69"/>
        <v>0.10876601049847565</v>
      </c>
      <c r="V154" s="103">
        <f t="shared" si="69"/>
        <v>0.12622784446556812</v>
      </c>
      <c r="W154" s="103">
        <f t="shared" ref="W154:Y154" si="70">IF(W36=0,0,W36/W$17)</f>
        <v>0.12345320269397343</v>
      </c>
      <c r="X154" s="103">
        <f t="shared" si="70"/>
        <v>0.12370370751558958</v>
      </c>
      <c r="Y154" s="103">
        <f t="shared" si="70"/>
        <v>0.1253942312709718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0</v>
      </c>
      <c r="C155" s="103">
        <f t="shared" si="71"/>
        <v>0</v>
      </c>
      <c r="D155" s="103">
        <f t="shared" si="71"/>
        <v>0</v>
      </c>
      <c r="E155" s="103">
        <f t="shared" si="71"/>
        <v>0</v>
      </c>
      <c r="F155" s="103">
        <f t="shared" si="71"/>
        <v>0</v>
      </c>
      <c r="G155" s="103">
        <f t="shared" si="71"/>
        <v>0</v>
      </c>
      <c r="H155" s="103">
        <f t="shared" si="71"/>
        <v>0</v>
      </c>
      <c r="I155" s="103">
        <f t="shared" si="71"/>
        <v>0</v>
      </c>
      <c r="J155" s="103">
        <f t="shared" si="71"/>
        <v>0</v>
      </c>
      <c r="K155" s="103">
        <f t="shared" si="71"/>
        <v>0</v>
      </c>
      <c r="L155" s="103">
        <f t="shared" ref="L155" si="72">IF(L37=0,0,L37/L$17)</f>
        <v>0</v>
      </c>
      <c r="M155" s="103">
        <f t="shared" ref="M155:V155" si="73">IF(M37=0,0,M37/M$17)</f>
        <v>0</v>
      </c>
      <c r="N155" s="103">
        <f t="shared" si="73"/>
        <v>0</v>
      </c>
      <c r="O155" s="103">
        <f t="shared" si="73"/>
        <v>6.1830005645046257E-7</v>
      </c>
      <c r="P155" s="103">
        <f t="shared" si="73"/>
        <v>1.1928547794005409E-6</v>
      </c>
      <c r="Q155" s="103">
        <f t="shared" si="73"/>
        <v>1.1572429597208106E-6</v>
      </c>
      <c r="R155" s="103">
        <f t="shared" si="73"/>
        <v>1.0863168503674916E-6</v>
      </c>
      <c r="S155" s="103">
        <f t="shared" si="73"/>
        <v>1.3123302988917287E-6</v>
      </c>
      <c r="T155" s="103">
        <f t="shared" si="73"/>
        <v>1.3100763480449712E-6</v>
      </c>
      <c r="U155" s="103">
        <f t="shared" si="73"/>
        <v>1.2989167052500823E-6</v>
      </c>
      <c r="V155" s="103">
        <f t="shared" si="73"/>
        <v>1.2228154867835207E-6</v>
      </c>
      <c r="W155" s="103">
        <f t="shared" ref="W155:Y155" si="74">IF(W37=0,0,W37/W$17)</f>
        <v>1.1597448117535295E-6</v>
      </c>
      <c r="X155" s="103">
        <f t="shared" si="74"/>
        <v>1.0993789093017716E-6</v>
      </c>
      <c r="Y155" s="103">
        <f t="shared" si="74"/>
        <v>1.0978888735006175E-6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0</v>
      </c>
      <c r="I156" s="103">
        <f t="shared" si="75"/>
        <v>0</v>
      </c>
      <c r="J156" s="103">
        <f t="shared" si="75"/>
        <v>0</v>
      </c>
      <c r="K156" s="103">
        <f t="shared" si="75"/>
        <v>0</v>
      </c>
      <c r="L156" s="103">
        <f t="shared" ref="L156" si="76">IF(L38=0,0,L38/L$17)</f>
        <v>0</v>
      </c>
      <c r="M156" s="103">
        <f t="shared" ref="M156:V156" si="77">IF(M38=0,0,M38/M$17)</f>
        <v>0</v>
      </c>
      <c r="N156" s="103">
        <f t="shared" si="77"/>
        <v>0</v>
      </c>
      <c r="O156" s="103">
        <f t="shared" si="77"/>
        <v>0</v>
      </c>
      <c r="P156" s="103">
        <f t="shared" si="77"/>
        <v>0</v>
      </c>
      <c r="Q156" s="103">
        <f t="shared" si="77"/>
        <v>0</v>
      </c>
      <c r="R156" s="103">
        <f t="shared" si="77"/>
        <v>9.8308268445594156E-7</v>
      </c>
      <c r="S156" s="103">
        <f t="shared" si="77"/>
        <v>9.7398616140402751E-7</v>
      </c>
      <c r="T156" s="103">
        <f t="shared" si="77"/>
        <v>9.5286705612435105E-7</v>
      </c>
      <c r="U156" s="103">
        <f t="shared" si="77"/>
        <v>1.0959844309841405E-6</v>
      </c>
      <c r="V156" s="103">
        <f t="shared" si="77"/>
        <v>3.1258905378689506E-6</v>
      </c>
      <c r="W156" s="103">
        <f t="shared" ref="W156:Y156" si="78">IF(W38=0,0,W38/W$17)</f>
        <v>6.2570821686808445E-6</v>
      </c>
      <c r="X156" s="103">
        <f t="shared" si="78"/>
        <v>3.3761433806913567E-6</v>
      </c>
      <c r="Y156" s="103">
        <f t="shared" si="78"/>
        <v>3.4772453275401814E-6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:Y157" si="82">IF(W39=0,0,W39/W$17)</f>
        <v>0</v>
      </c>
      <c r="X157" s="103">
        <f t="shared" si="82"/>
        <v>0</v>
      </c>
      <c r="Y157" s="103">
        <f t="shared" si="82"/>
        <v>0</v>
      </c>
      <c r="DA157" s="191"/>
    </row>
    <row r="158" spans="1:105" ht="11.45" customHeight="1" x14ac:dyDescent="0.25">
      <c r="A158" s="155" t="s">
        <v>154</v>
      </c>
      <c r="B158" s="156">
        <f t="shared" ref="B158:K158" si="83">IF(B40=0,0,B40/B$17)</f>
        <v>0.26548600030092412</v>
      </c>
      <c r="C158" s="156">
        <f t="shared" si="83"/>
        <v>0.27140944946419732</v>
      </c>
      <c r="D158" s="156">
        <f t="shared" si="83"/>
        <v>0.27515361311317899</v>
      </c>
      <c r="E158" s="156">
        <f t="shared" si="83"/>
        <v>0.27597024053096675</v>
      </c>
      <c r="F158" s="156">
        <f t="shared" si="83"/>
        <v>0.28577149875082886</v>
      </c>
      <c r="G158" s="156">
        <f t="shared" si="83"/>
        <v>0.27943396069731097</v>
      </c>
      <c r="H158" s="156">
        <f t="shared" si="83"/>
        <v>0.26589303511168577</v>
      </c>
      <c r="I158" s="156">
        <f t="shared" si="83"/>
        <v>0.27871493163952998</v>
      </c>
      <c r="J158" s="156">
        <f t="shared" si="83"/>
        <v>0.24618656545233439</v>
      </c>
      <c r="K158" s="156">
        <f t="shared" si="83"/>
        <v>0.19307907750306344</v>
      </c>
      <c r="L158" s="156">
        <f t="shared" ref="L158" si="84">IF(L40=0,0,L40/L$17)</f>
        <v>0.17804627515419835</v>
      </c>
      <c r="M158" s="156">
        <f t="shared" ref="M158:V158" si="85">IF(M40=0,0,M40/M$17)</f>
        <v>0.16925667917765155</v>
      </c>
      <c r="N158" s="156">
        <f t="shared" si="85"/>
        <v>0.1710886584662559</v>
      </c>
      <c r="O158" s="156">
        <f t="shared" si="85"/>
        <v>0.167629442902896</v>
      </c>
      <c r="P158" s="156">
        <f t="shared" si="85"/>
        <v>0.17331219131682668</v>
      </c>
      <c r="Q158" s="156">
        <f t="shared" si="85"/>
        <v>0.17268535411673167</v>
      </c>
      <c r="R158" s="156">
        <f t="shared" si="85"/>
        <v>0.18260190630597337</v>
      </c>
      <c r="S158" s="156">
        <f t="shared" si="85"/>
        <v>0.17980046509400974</v>
      </c>
      <c r="T158" s="156">
        <f t="shared" si="85"/>
        <v>0.18662368547095717</v>
      </c>
      <c r="U158" s="156">
        <f t="shared" si="85"/>
        <v>0.19687110404102001</v>
      </c>
      <c r="V158" s="156">
        <f t="shared" si="85"/>
        <v>0.19197625377482613</v>
      </c>
      <c r="W158" s="156">
        <f t="shared" ref="W158:Y158" si="86">IF(W40=0,0,W40/W$17)</f>
        <v>0.20530740072383147</v>
      </c>
      <c r="X158" s="156">
        <f t="shared" si="86"/>
        <v>0.19954476377746064</v>
      </c>
      <c r="Y158" s="156">
        <f t="shared" si="86"/>
        <v>0.19850992995838884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0.24855658244394718</v>
      </c>
      <c r="C159" s="103">
        <f t="shared" si="87"/>
        <v>0.25331236990767397</v>
      </c>
      <c r="D159" s="103">
        <f t="shared" si="87"/>
        <v>0.25832847031383416</v>
      </c>
      <c r="E159" s="103">
        <f t="shared" si="87"/>
        <v>0.25966045249197539</v>
      </c>
      <c r="F159" s="103">
        <f t="shared" si="87"/>
        <v>0.26785921053172129</v>
      </c>
      <c r="G159" s="103">
        <f t="shared" si="87"/>
        <v>0.26283239813568948</v>
      </c>
      <c r="H159" s="103">
        <f t="shared" si="87"/>
        <v>0.24961337507947548</v>
      </c>
      <c r="I159" s="103">
        <f t="shared" si="87"/>
        <v>0.26121571510498093</v>
      </c>
      <c r="J159" s="103">
        <f t="shared" si="87"/>
        <v>0.23140152255914623</v>
      </c>
      <c r="K159" s="103">
        <f t="shared" si="87"/>
        <v>0.17899060898724198</v>
      </c>
      <c r="L159" s="103">
        <f t="shared" ref="L159" si="88">IF(L41=0,0,L41/L$17)</f>
        <v>0.16442568410767178</v>
      </c>
      <c r="M159" s="103">
        <f t="shared" ref="M159:V159" si="89">IF(M41=0,0,M41/M$17)</f>
        <v>0.15458852595043562</v>
      </c>
      <c r="N159" s="103">
        <f t="shared" si="89"/>
        <v>0.15746071626580016</v>
      </c>
      <c r="O159" s="103">
        <f t="shared" si="89"/>
        <v>0.15467817235752321</v>
      </c>
      <c r="P159" s="103">
        <f t="shared" si="89"/>
        <v>0.1603798327375478</v>
      </c>
      <c r="Q159" s="103">
        <f t="shared" si="89"/>
        <v>0.15832563731402363</v>
      </c>
      <c r="R159" s="103">
        <f t="shared" si="89"/>
        <v>0.17029866745466576</v>
      </c>
      <c r="S159" s="103">
        <f t="shared" si="89"/>
        <v>0.16810293261773623</v>
      </c>
      <c r="T159" s="103">
        <f t="shared" si="89"/>
        <v>0.17357598200441549</v>
      </c>
      <c r="U159" s="103">
        <f t="shared" si="89"/>
        <v>0.18214585875640035</v>
      </c>
      <c r="V159" s="103">
        <f t="shared" si="89"/>
        <v>0.18563034437895168</v>
      </c>
      <c r="W159" s="103">
        <f t="shared" ref="W159:Y159" si="90">IF(W41=0,0,W41/W$17)</f>
        <v>0.19897246413278538</v>
      </c>
      <c r="X159" s="103">
        <f t="shared" si="90"/>
        <v>0.19383756760874715</v>
      </c>
      <c r="Y159" s="103">
        <f t="shared" si="90"/>
        <v>0.19250094087764538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1.6929417856976901E-2</v>
      </c>
      <c r="C160" s="105">
        <f t="shared" si="91"/>
        <v>1.8097079556523347E-2</v>
      </c>
      <c r="D160" s="105">
        <f t="shared" si="91"/>
        <v>1.6825142799344838E-2</v>
      </c>
      <c r="E160" s="105">
        <f t="shared" si="91"/>
        <v>1.6309788038991382E-2</v>
      </c>
      <c r="F160" s="105">
        <f t="shared" si="91"/>
        <v>1.7912288219107581E-2</v>
      </c>
      <c r="G160" s="105">
        <f t="shared" si="91"/>
        <v>1.6601562561621461E-2</v>
      </c>
      <c r="H160" s="105">
        <f t="shared" si="91"/>
        <v>1.6279660032210288E-2</v>
      </c>
      <c r="I160" s="105">
        <f t="shared" si="91"/>
        <v>1.7499216534549059E-2</v>
      </c>
      <c r="J160" s="105">
        <f t="shared" si="91"/>
        <v>1.4785042893188168E-2</v>
      </c>
      <c r="K160" s="105">
        <f t="shared" si="91"/>
        <v>1.4088468515821455E-2</v>
      </c>
      <c r="L160" s="105">
        <f t="shared" ref="L160" si="92">IF(L42=0,0,L42/L$17)</f>
        <v>1.362059104652656E-2</v>
      </c>
      <c r="M160" s="105">
        <f t="shared" ref="M160:V160" si="93">IF(M42=0,0,M42/M$17)</f>
        <v>1.4668153227215937E-2</v>
      </c>
      <c r="N160" s="105">
        <f t="shared" si="93"/>
        <v>1.3627942200455764E-2</v>
      </c>
      <c r="O160" s="105">
        <f t="shared" si="93"/>
        <v>1.2951270545372798E-2</v>
      </c>
      <c r="P160" s="105">
        <f t="shared" si="93"/>
        <v>1.2932358579278882E-2</v>
      </c>
      <c r="Q160" s="105">
        <f t="shared" si="93"/>
        <v>1.4359716802708039E-2</v>
      </c>
      <c r="R160" s="105">
        <f t="shared" si="93"/>
        <v>1.2303238851307607E-2</v>
      </c>
      <c r="S160" s="105">
        <f t="shared" si="93"/>
        <v>1.1697532476273533E-2</v>
      </c>
      <c r="T160" s="105">
        <f t="shared" si="93"/>
        <v>1.3047703466541681E-2</v>
      </c>
      <c r="U160" s="105">
        <f t="shared" si="93"/>
        <v>1.4725245284619623E-2</v>
      </c>
      <c r="V160" s="105">
        <f t="shared" si="93"/>
        <v>6.345909395874481E-3</v>
      </c>
      <c r="W160" s="105">
        <f t="shared" ref="W160:Y160" si="94">IF(W42=0,0,W42/W$17)</f>
        <v>6.3349365910461081E-3</v>
      </c>
      <c r="X160" s="105">
        <f t="shared" si="94"/>
        <v>5.7071961687134524E-3</v>
      </c>
      <c r="Y160" s="105">
        <f t="shared" si="94"/>
        <v>6.0089890807434581E-3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 B10:Y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109</v>
      </c>
      <c r="B3" s="54">
        <f>TrRoad_act!B57</f>
        <v>1583440</v>
      </c>
      <c r="C3" s="54">
        <f>TrRoad_act!C57</f>
        <v>1690626</v>
      </c>
      <c r="D3" s="54">
        <f>TrRoad_act!D57</f>
        <v>1771616</v>
      </c>
      <c r="E3" s="54">
        <f>TrRoad_act!E57</f>
        <v>1851944</v>
      </c>
      <c r="F3" s="54">
        <f>TrRoad_act!F57</f>
        <v>1919961</v>
      </c>
      <c r="G3" s="54">
        <f>TrRoad_act!G57</f>
        <v>2022535</v>
      </c>
      <c r="H3" s="54">
        <f>TrRoad_act!H57</f>
        <v>2270456</v>
      </c>
      <c r="I3" s="54">
        <f>TrRoad_act!I57</f>
        <v>2304505</v>
      </c>
      <c r="J3" s="54">
        <f>TrRoad_act!J57</f>
        <v>2407906</v>
      </c>
      <c r="K3" s="54">
        <f>TrRoad_act!K57</f>
        <v>2362982</v>
      </c>
      <c r="L3" s="54">
        <f>TrRoad_act!L57</f>
        <v>2315088</v>
      </c>
      <c r="M3" s="54">
        <f>TrRoad_act!M57</f>
        <v>2331428</v>
      </c>
      <c r="N3" s="54">
        <f>TrRoad_act!N57</f>
        <v>2309701</v>
      </c>
      <c r="O3" s="54">
        <f>TrRoad_act!O57</f>
        <v>2341978</v>
      </c>
      <c r="P3" s="54">
        <f>TrRoad_act!P57</f>
        <v>2376488</v>
      </c>
      <c r="Q3" s="54">
        <f>TrRoad_act!Q57</f>
        <v>2416963</v>
      </c>
      <c r="R3" s="54">
        <f>TrRoad_act!R57</f>
        <v>2458623</v>
      </c>
      <c r="S3" s="54">
        <f>TrRoad_act!S57</f>
        <v>2504926</v>
      </c>
      <c r="T3" s="54">
        <f>TrRoad_act!T57</f>
        <v>2547945</v>
      </c>
      <c r="U3" s="54">
        <f>TrRoad_act!U57</f>
        <v>2622519</v>
      </c>
      <c r="V3" s="54">
        <f>TrRoad_act!V57</f>
        <v>2660997</v>
      </c>
      <c r="W3" s="54">
        <f>TrRoad_act!W57</f>
        <v>2688317</v>
      </c>
      <c r="X3" s="54">
        <f>TrRoad_act!X57</f>
        <v>2719127</v>
      </c>
      <c r="Y3" s="54">
        <f>TrRoad_act!Y57</f>
        <v>2801395</v>
      </c>
      <c r="DA3" s="172" t="s">
        <v>500</v>
      </c>
    </row>
    <row r="4" spans="1:105" ht="11.45" customHeight="1" x14ac:dyDescent="0.25">
      <c r="A4" s="27" t="s">
        <v>33</v>
      </c>
      <c r="B4" s="28">
        <f>TrRoad_act!B58</f>
        <v>1360485</v>
      </c>
      <c r="C4" s="28">
        <f>TrRoad_act!C58</f>
        <v>1445375</v>
      </c>
      <c r="D4" s="28">
        <f>TrRoad_act!D58</f>
        <v>1511642</v>
      </c>
      <c r="E4" s="28">
        <f>TrRoad_act!E58</f>
        <v>1575911</v>
      </c>
      <c r="F4" s="28">
        <f>TrRoad_act!F58</f>
        <v>1626849</v>
      </c>
      <c r="G4" s="28">
        <f>TrRoad_act!G58</f>
        <v>1705498</v>
      </c>
      <c r="H4" s="28">
        <f>TrRoad_act!H58</f>
        <v>1924601</v>
      </c>
      <c r="I4" s="28">
        <f>TrRoad_act!I58</f>
        <v>1930311</v>
      </c>
      <c r="J4" s="28">
        <f>TrRoad_act!J58</f>
        <v>2050536</v>
      </c>
      <c r="K4" s="28">
        <f>TrRoad_act!K58</f>
        <v>2021176</v>
      </c>
      <c r="L4" s="28">
        <f>TrRoad_act!L58</f>
        <v>1985217</v>
      </c>
      <c r="M4" s="28">
        <f>TrRoad_act!M58</f>
        <v>2008939</v>
      </c>
      <c r="N4" s="28">
        <f>TrRoad_act!N58</f>
        <v>1996167</v>
      </c>
      <c r="O4" s="28">
        <f>TrRoad_act!O58</f>
        <v>2028609</v>
      </c>
      <c r="P4" s="28">
        <f>TrRoad_act!P58</f>
        <v>2065290</v>
      </c>
      <c r="Q4" s="28">
        <f>TrRoad_act!Q58</f>
        <v>2108023</v>
      </c>
      <c r="R4" s="28">
        <f>TrRoad_act!R58</f>
        <v>2152190</v>
      </c>
      <c r="S4" s="28">
        <f>TrRoad_act!S58</f>
        <v>2194218</v>
      </c>
      <c r="T4" s="28">
        <f>TrRoad_act!T58</f>
        <v>2235618</v>
      </c>
      <c r="U4" s="28">
        <f>TrRoad_act!U58</f>
        <v>2308692</v>
      </c>
      <c r="V4" s="28">
        <f>TrRoad_act!V58</f>
        <v>2348691</v>
      </c>
      <c r="W4" s="28">
        <f>TrRoad_act!W58</f>
        <v>2369038</v>
      </c>
      <c r="X4" s="28">
        <f>TrRoad_act!X58</f>
        <v>2395720</v>
      </c>
      <c r="Y4" s="28">
        <f>TrRoad_act!Y58</f>
        <v>2466785</v>
      </c>
      <c r="DA4" s="173" t="s">
        <v>501</v>
      </c>
    </row>
    <row r="5" spans="1:105" ht="11.45" customHeight="1" x14ac:dyDescent="0.25">
      <c r="A5" s="136" t="s">
        <v>173</v>
      </c>
      <c r="B5" s="137">
        <f>TrRoad_act!B59</f>
        <v>30638</v>
      </c>
      <c r="C5" s="137">
        <f>TrRoad_act!C59</f>
        <v>32913</v>
      </c>
      <c r="D5" s="137">
        <f>TrRoad_act!D59</f>
        <v>33147</v>
      </c>
      <c r="E5" s="137">
        <f>TrRoad_act!E59</f>
        <v>35094</v>
      </c>
      <c r="F5" s="137">
        <f>TrRoad_act!F59</f>
        <v>34854</v>
      </c>
      <c r="G5" s="137">
        <f>TrRoad_act!G59</f>
        <v>34300</v>
      </c>
      <c r="H5" s="137">
        <f>TrRoad_act!H59</f>
        <v>34927</v>
      </c>
      <c r="I5" s="137">
        <f>TrRoad_act!I59</f>
        <v>37178</v>
      </c>
      <c r="J5" s="137">
        <f>TrRoad_act!J59</f>
        <v>39409</v>
      </c>
      <c r="K5" s="137">
        <f>TrRoad_act!K59</f>
        <v>39552</v>
      </c>
      <c r="L5" s="137">
        <f>TrRoad_act!L59</f>
        <v>38145</v>
      </c>
      <c r="M5" s="137">
        <f>TrRoad_act!M59</f>
        <v>36582</v>
      </c>
      <c r="N5" s="137">
        <f>TrRoad_act!N59</f>
        <v>35106</v>
      </c>
      <c r="O5" s="137">
        <f>TrRoad_act!O59</f>
        <v>36623</v>
      </c>
      <c r="P5" s="137">
        <f>TrRoad_act!P59</f>
        <v>36573</v>
      </c>
      <c r="Q5" s="137">
        <f>TrRoad_act!Q59</f>
        <v>36974</v>
      </c>
      <c r="R5" s="137">
        <f>TrRoad_act!R59</f>
        <v>38023</v>
      </c>
      <c r="S5" s="137">
        <f>TrRoad_act!S59</f>
        <v>39873</v>
      </c>
      <c r="T5" s="137">
        <f>TrRoad_act!T59</f>
        <v>40198</v>
      </c>
      <c r="U5" s="137">
        <f>TrRoad_act!U59</f>
        <v>42492</v>
      </c>
      <c r="V5" s="137">
        <f>TrRoad_act!V59</f>
        <v>44819</v>
      </c>
      <c r="W5" s="137">
        <f>TrRoad_act!W59</f>
        <v>46636</v>
      </c>
      <c r="X5" s="137">
        <f>TrRoad_act!X59</f>
        <v>47250</v>
      </c>
      <c r="Y5" s="137">
        <f>TrRoad_act!Y59</f>
        <v>48560</v>
      </c>
      <c r="DA5" s="174" t="s">
        <v>502</v>
      </c>
    </row>
    <row r="6" spans="1:105" ht="11.45" customHeight="1" x14ac:dyDescent="0.25">
      <c r="A6" s="109" t="s">
        <v>20</v>
      </c>
      <c r="B6" s="110">
        <f>TrRoad_act!B60</f>
        <v>1321600</v>
      </c>
      <c r="C6" s="110">
        <f>TrRoad_act!C60</f>
        <v>1404000</v>
      </c>
      <c r="D6" s="110">
        <f>TrRoad_act!D60</f>
        <v>1470000</v>
      </c>
      <c r="E6" s="110">
        <f>TrRoad_act!E60</f>
        <v>1532000</v>
      </c>
      <c r="F6" s="110">
        <f>TrRoad_act!F60</f>
        <v>1583000</v>
      </c>
      <c r="G6" s="110">
        <f>TrRoad_act!G60</f>
        <v>1662000</v>
      </c>
      <c r="H6" s="110">
        <f>TrRoad_act!H60</f>
        <v>1880000</v>
      </c>
      <c r="I6" s="110">
        <f>TrRoad_act!I60</f>
        <v>1883000</v>
      </c>
      <c r="J6" s="110">
        <f>TrRoad_act!J60</f>
        <v>2000500</v>
      </c>
      <c r="K6" s="110">
        <f>TrRoad_act!K60</f>
        <v>1971274</v>
      </c>
      <c r="L6" s="110">
        <f>TrRoad_act!L60</f>
        <v>1937130</v>
      </c>
      <c r="M6" s="110">
        <f>TrRoad_act!M60</f>
        <v>1962460</v>
      </c>
      <c r="N6" s="110">
        <f>TrRoad_act!N60</f>
        <v>1951130</v>
      </c>
      <c r="O6" s="110">
        <f>TrRoad_act!O60</f>
        <v>1981830</v>
      </c>
      <c r="P6" s="110">
        <f>TrRoad_act!P60</f>
        <v>2018310</v>
      </c>
      <c r="Q6" s="110">
        <f>TrRoad_act!Q60</f>
        <v>2060170</v>
      </c>
      <c r="R6" s="110">
        <f>TrRoad_act!R60</f>
        <v>2102720</v>
      </c>
      <c r="S6" s="110">
        <f>TrRoad_act!S60</f>
        <v>2142390</v>
      </c>
      <c r="T6" s="110">
        <f>TrRoad_act!T60</f>
        <v>2182920</v>
      </c>
      <c r="U6" s="110">
        <f>TrRoad_act!U60</f>
        <v>2253210</v>
      </c>
      <c r="V6" s="110">
        <f>TrRoad_act!V60</f>
        <v>2291940</v>
      </c>
      <c r="W6" s="110">
        <f>TrRoad_act!W60</f>
        <v>2309760</v>
      </c>
      <c r="X6" s="110">
        <f>TrRoad_act!X60</f>
        <v>2335130</v>
      </c>
      <c r="Y6" s="110">
        <f>TrRoad_act!Y60</f>
        <v>2404140</v>
      </c>
      <c r="DA6" s="176" t="s">
        <v>503</v>
      </c>
    </row>
    <row r="7" spans="1:105" ht="11.45" customHeight="1" x14ac:dyDescent="0.25">
      <c r="A7" s="111" t="s">
        <v>110</v>
      </c>
      <c r="B7" s="84">
        <f>TrRoad_act!B61</f>
        <v>1146869</v>
      </c>
      <c r="C7" s="84">
        <f>TrRoad_act!C61</f>
        <v>1221368</v>
      </c>
      <c r="D7" s="84">
        <f>TrRoad_act!D61</f>
        <v>1274051</v>
      </c>
      <c r="E7" s="84">
        <f>TrRoad_act!E61</f>
        <v>1323872</v>
      </c>
      <c r="F7" s="84">
        <f>TrRoad_act!F61</f>
        <v>1360374</v>
      </c>
      <c r="G7" s="84">
        <f>TrRoad_act!G61</f>
        <v>1388577</v>
      </c>
      <c r="H7" s="84">
        <f>TrRoad_act!H61</f>
        <v>1541639</v>
      </c>
      <c r="I7" s="84">
        <f>TrRoad_act!I61</f>
        <v>1544130</v>
      </c>
      <c r="J7" s="84">
        <f>TrRoad_act!J61</f>
        <v>1574499</v>
      </c>
      <c r="K7" s="84">
        <f>TrRoad_act!K61</f>
        <v>1505195</v>
      </c>
      <c r="L7" s="84">
        <f>TrRoad_act!L61</f>
        <v>1412432</v>
      </c>
      <c r="M7" s="84">
        <f>TrRoad_act!M61</f>
        <v>1350783</v>
      </c>
      <c r="N7" s="84">
        <f>TrRoad_act!N61</f>
        <v>1279510</v>
      </c>
      <c r="O7" s="84">
        <f>TrRoad_act!O61</f>
        <v>1235047</v>
      </c>
      <c r="P7" s="84">
        <f>TrRoad_act!P61</f>
        <v>1184836</v>
      </c>
      <c r="Q7" s="84">
        <f>TrRoad_act!Q61</f>
        <v>1135409</v>
      </c>
      <c r="R7" s="84">
        <f>TrRoad_act!R61</f>
        <v>1069676</v>
      </c>
      <c r="S7" s="84">
        <f>TrRoad_act!S61</f>
        <v>1002675</v>
      </c>
      <c r="T7" s="84">
        <f>TrRoad_act!T61</f>
        <v>953040</v>
      </c>
      <c r="U7" s="84">
        <f>TrRoad_act!U61</f>
        <v>928872</v>
      </c>
      <c r="V7" s="84">
        <f>TrRoad_act!V61</f>
        <v>905847</v>
      </c>
      <c r="W7" s="84">
        <f>TrRoad_act!W61</f>
        <v>889797</v>
      </c>
      <c r="X7" s="84">
        <f>TrRoad_act!X61</f>
        <v>901250</v>
      </c>
      <c r="Y7" s="84">
        <f>TrRoad_act!Y61</f>
        <v>933366</v>
      </c>
      <c r="DA7" s="171" t="s">
        <v>504</v>
      </c>
    </row>
    <row r="8" spans="1:105" ht="11.45" customHeight="1" x14ac:dyDescent="0.25">
      <c r="A8" s="111" t="s">
        <v>111</v>
      </c>
      <c r="B8" s="84">
        <f>TrRoad_act!B62</f>
        <v>173131</v>
      </c>
      <c r="C8" s="84">
        <f>TrRoad_act!C62</f>
        <v>181431</v>
      </c>
      <c r="D8" s="84">
        <f>TrRoad_act!D62</f>
        <v>194915</v>
      </c>
      <c r="E8" s="84">
        <f>TrRoad_act!E62</f>
        <v>207268</v>
      </c>
      <c r="F8" s="84">
        <f>TrRoad_act!F62</f>
        <v>221848</v>
      </c>
      <c r="G8" s="84">
        <f>TrRoad_act!G62</f>
        <v>272682</v>
      </c>
      <c r="H8" s="84">
        <f>TrRoad_act!H62</f>
        <v>337662</v>
      </c>
      <c r="I8" s="84">
        <f>TrRoad_act!I62</f>
        <v>337965</v>
      </c>
      <c r="J8" s="84">
        <f>TrRoad_act!J62</f>
        <v>425296</v>
      </c>
      <c r="K8" s="84">
        <f>TrRoad_act!K62</f>
        <v>465599</v>
      </c>
      <c r="L8" s="84">
        <f>TrRoad_act!L62</f>
        <v>524267</v>
      </c>
      <c r="M8" s="84">
        <f>TrRoad_act!M62</f>
        <v>610626</v>
      </c>
      <c r="N8" s="84">
        <f>TrRoad_act!N62</f>
        <v>669972</v>
      </c>
      <c r="O8" s="84">
        <f>TrRoad_act!O62</f>
        <v>745349</v>
      </c>
      <c r="P8" s="84">
        <f>TrRoad_act!P62</f>
        <v>830831</v>
      </c>
      <c r="Q8" s="84">
        <f>TrRoad_act!Q62</f>
        <v>921445</v>
      </c>
      <c r="R8" s="84">
        <f>TrRoad_act!R62</f>
        <v>1028856</v>
      </c>
      <c r="S8" s="84">
        <f>TrRoad_act!S62</f>
        <v>1134374</v>
      </c>
      <c r="T8" s="84">
        <f>TrRoad_act!T62</f>
        <v>1222001</v>
      </c>
      <c r="U8" s="84">
        <f>TrRoad_act!U62</f>
        <v>1311285</v>
      </c>
      <c r="V8" s="84">
        <f>TrRoad_act!V62</f>
        <v>1366188</v>
      </c>
      <c r="W8" s="84">
        <f>TrRoad_act!W62</f>
        <v>1380936</v>
      </c>
      <c r="X8" s="84">
        <f>TrRoad_act!X62</f>
        <v>1371144</v>
      </c>
      <c r="Y8" s="84">
        <f>TrRoad_act!Y62</f>
        <v>1376097</v>
      </c>
      <c r="DA8" s="171" t="s">
        <v>505</v>
      </c>
    </row>
    <row r="9" spans="1:105" ht="11.45" customHeight="1" x14ac:dyDescent="0.25">
      <c r="A9" s="111" t="s">
        <v>112</v>
      </c>
      <c r="B9" s="84">
        <f>TrRoad_act!B63</f>
        <v>1600</v>
      </c>
      <c r="C9" s="84">
        <f>TrRoad_act!C63</f>
        <v>1201</v>
      </c>
      <c r="D9" s="84">
        <f>TrRoad_act!D63</f>
        <v>1034</v>
      </c>
      <c r="E9" s="84">
        <f>TrRoad_act!E63</f>
        <v>860</v>
      </c>
      <c r="F9" s="84">
        <f>TrRoad_act!F63</f>
        <v>778</v>
      </c>
      <c r="G9" s="84">
        <f>TrRoad_act!G63</f>
        <v>741</v>
      </c>
      <c r="H9" s="84">
        <f>TrRoad_act!H63</f>
        <v>699</v>
      </c>
      <c r="I9" s="84">
        <f>TrRoad_act!I63</f>
        <v>905</v>
      </c>
      <c r="J9" s="84">
        <f>TrRoad_act!J63</f>
        <v>705</v>
      </c>
      <c r="K9" s="84">
        <f>TrRoad_act!K63</f>
        <v>478</v>
      </c>
      <c r="L9" s="84">
        <f>TrRoad_act!L63</f>
        <v>412</v>
      </c>
      <c r="M9" s="84">
        <f>TrRoad_act!M63</f>
        <v>454</v>
      </c>
      <c r="N9" s="84">
        <f>TrRoad_act!N63</f>
        <v>880</v>
      </c>
      <c r="O9" s="84">
        <f>TrRoad_act!O63</f>
        <v>1147</v>
      </c>
      <c r="P9" s="84">
        <f>TrRoad_act!P63</f>
        <v>2037</v>
      </c>
      <c r="Q9" s="84">
        <f>TrRoad_act!Q63</f>
        <v>2145</v>
      </c>
      <c r="R9" s="84">
        <f>TrRoad_act!R63</f>
        <v>2056</v>
      </c>
      <c r="S9" s="84">
        <f>TrRoad_act!S63</f>
        <v>1816</v>
      </c>
      <c r="T9" s="84">
        <f>TrRoad_act!T63</f>
        <v>1623</v>
      </c>
      <c r="U9" s="84">
        <f>TrRoad_act!U63</f>
        <v>1501</v>
      </c>
      <c r="V9" s="84">
        <f>TrRoad_act!V63</f>
        <v>1511</v>
      </c>
      <c r="W9" s="84">
        <f>TrRoad_act!W63</f>
        <v>1461</v>
      </c>
      <c r="X9" s="84">
        <f>TrRoad_act!X63</f>
        <v>1516</v>
      </c>
      <c r="Y9" s="84">
        <f>TrRoad_act!Y63</f>
        <v>1350</v>
      </c>
      <c r="DA9" s="171" t="s">
        <v>506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0</v>
      </c>
      <c r="G10" s="84">
        <f>TrRoad_act!G64</f>
        <v>0</v>
      </c>
      <c r="H10" s="84">
        <f>TrRoad_act!H64</f>
        <v>0</v>
      </c>
      <c r="I10" s="84">
        <f>TrRoad_act!I64</f>
        <v>0</v>
      </c>
      <c r="J10" s="84">
        <f>TrRoad_act!J64</f>
        <v>0</v>
      </c>
      <c r="K10" s="84">
        <f>TrRoad_act!K64</f>
        <v>0</v>
      </c>
      <c r="L10" s="84">
        <f>TrRoad_act!L64</f>
        <v>0</v>
      </c>
      <c r="M10" s="84">
        <f>TrRoad_act!M64</f>
        <v>0</v>
      </c>
      <c r="N10" s="84">
        <f>TrRoad_act!N64</f>
        <v>0</v>
      </c>
      <c r="O10" s="84">
        <f>TrRoad_act!O64</f>
        <v>0</v>
      </c>
      <c r="P10" s="84">
        <f>TrRoad_act!P64</f>
        <v>10</v>
      </c>
      <c r="Q10" s="84">
        <f>TrRoad_act!Q64</f>
        <v>16</v>
      </c>
      <c r="R10" s="84">
        <f>TrRoad_act!R64</f>
        <v>16</v>
      </c>
      <c r="S10" s="84">
        <f>TrRoad_act!S64</f>
        <v>16</v>
      </c>
      <c r="T10" s="84">
        <f>TrRoad_act!T64</f>
        <v>15</v>
      </c>
      <c r="U10" s="84">
        <f>TrRoad_act!U64</f>
        <v>15</v>
      </c>
      <c r="V10" s="84">
        <f>TrRoad_act!V64</f>
        <v>15</v>
      </c>
      <c r="W10" s="84">
        <f>TrRoad_act!W64</f>
        <v>14</v>
      </c>
      <c r="X10" s="84">
        <f>TrRoad_act!X64</f>
        <v>189</v>
      </c>
      <c r="Y10" s="84">
        <f>TrRoad_act!Y64</f>
        <v>175</v>
      </c>
      <c r="DA10" s="171" t="s">
        <v>507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0</v>
      </c>
      <c r="N11" s="84">
        <f>TrRoad_act!N65</f>
        <v>0</v>
      </c>
      <c r="O11" s="84">
        <f>TrRoad_act!O65</f>
        <v>7</v>
      </c>
      <c r="P11" s="84">
        <f>TrRoad_act!P65</f>
        <v>36</v>
      </c>
      <c r="Q11" s="84">
        <f>TrRoad_act!Q65</f>
        <v>135</v>
      </c>
      <c r="R11" s="84">
        <f>TrRoad_act!R65</f>
        <v>416</v>
      </c>
      <c r="S11" s="84">
        <f>TrRoad_act!S65</f>
        <v>739</v>
      </c>
      <c r="T11" s="84">
        <f>TrRoad_act!T65</f>
        <v>1631</v>
      </c>
      <c r="U11" s="84">
        <f>TrRoad_act!U65</f>
        <v>2947</v>
      </c>
      <c r="V11" s="84">
        <f>TrRoad_act!V65</f>
        <v>5659</v>
      </c>
      <c r="W11" s="84">
        <f>TrRoad_act!W65</f>
        <v>17570</v>
      </c>
      <c r="X11" s="84">
        <f>TrRoad_act!X65</f>
        <v>25318</v>
      </c>
      <c r="Y11" s="84">
        <f>TrRoad_act!Y65</f>
        <v>35785</v>
      </c>
      <c r="DA11" s="171" t="s">
        <v>508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0</v>
      </c>
      <c r="K12" s="84">
        <f>TrRoad_act!K66</f>
        <v>2</v>
      </c>
      <c r="L12" s="84">
        <f>TrRoad_act!L66</f>
        <v>19</v>
      </c>
      <c r="M12" s="84">
        <f>TrRoad_act!M66</f>
        <v>597</v>
      </c>
      <c r="N12" s="84">
        <f>TrRoad_act!N66</f>
        <v>768</v>
      </c>
      <c r="O12" s="84">
        <f>TrRoad_act!O66</f>
        <v>280</v>
      </c>
      <c r="P12" s="84">
        <f>TrRoad_act!P66</f>
        <v>560</v>
      </c>
      <c r="Q12" s="84">
        <f>TrRoad_act!Q66</f>
        <v>1020</v>
      </c>
      <c r="R12" s="84">
        <f>TrRoad_act!R66</f>
        <v>1700</v>
      </c>
      <c r="S12" s="84">
        <f>TrRoad_act!S66</f>
        <v>2770</v>
      </c>
      <c r="T12" s="84">
        <f>TrRoad_act!T66</f>
        <v>4610</v>
      </c>
      <c r="U12" s="84">
        <f>TrRoad_act!U66</f>
        <v>8590</v>
      </c>
      <c r="V12" s="84">
        <f>TrRoad_act!V66</f>
        <v>12720</v>
      </c>
      <c r="W12" s="84">
        <f>TrRoad_act!W66</f>
        <v>19982</v>
      </c>
      <c r="X12" s="84">
        <f>TrRoad_act!X66</f>
        <v>35713</v>
      </c>
      <c r="Y12" s="84">
        <f>TrRoad_act!Y66</f>
        <v>57367</v>
      </c>
      <c r="DA12" s="171" t="s">
        <v>509</v>
      </c>
    </row>
    <row r="13" spans="1:105" ht="11.45" customHeight="1" x14ac:dyDescent="0.25">
      <c r="A13" s="109" t="s">
        <v>21</v>
      </c>
      <c r="B13" s="110">
        <f>TrRoad_act!B67</f>
        <v>8247</v>
      </c>
      <c r="C13" s="110">
        <f>TrRoad_act!C67</f>
        <v>8462</v>
      </c>
      <c r="D13" s="110">
        <f>TrRoad_act!D67</f>
        <v>8495</v>
      </c>
      <c r="E13" s="110">
        <f>TrRoad_act!E67</f>
        <v>8817</v>
      </c>
      <c r="F13" s="110">
        <f>TrRoad_act!F67</f>
        <v>8995</v>
      </c>
      <c r="G13" s="110">
        <f>TrRoad_act!G67</f>
        <v>9198</v>
      </c>
      <c r="H13" s="110">
        <f>TrRoad_act!H67</f>
        <v>9674</v>
      </c>
      <c r="I13" s="110">
        <f>TrRoad_act!I67</f>
        <v>10133</v>
      </c>
      <c r="J13" s="110">
        <f>TrRoad_act!J67</f>
        <v>10627</v>
      </c>
      <c r="K13" s="110">
        <f>TrRoad_act!K67</f>
        <v>10350</v>
      </c>
      <c r="L13" s="110">
        <f>TrRoad_act!L67</f>
        <v>9942</v>
      </c>
      <c r="M13" s="110">
        <f>TrRoad_act!M67</f>
        <v>9897</v>
      </c>
      <c r="N13" s="110">
        <f>TrRoad_act!N67</f>
        <v>9931</v>
      </c>
      <c r="O13" s="110">
        <f>TrRoad_act!O67</f>
        <v>10156</v>
      </c>
      <c r="P13" s="110">
        <f>TrRoad_act!P67</f>
        <v>10407</v>
      </c>
      <c r="Q13" s="110">
        <f>TrRoad_act!Q67</f>
        <v>10879</v>
      </c>
      <c r="R13" s="110">
        <f>TrRoad_act!R67</f>
        <v>11447</v>
      </c>
      <c r="S13" s="110">
        <f>TrRoad_act!S67</f>
        <v>11955</v>
      </c>
      <c r="T13" s="110">
        <f>TrRoad_act!T67</f>
        <v>12500</v>
      </c>
      <c r="U13" s="110">
        <f>TrRoad_act!U67</f>
        <v>12990</v>
      </c>
      <c r="V13" s="110">
        <f>TrRoad_act!V67</f>
        <v>11932</v>
      </c>
      <c r="W13" s="110">
        <f>TrRoad_act!W67</f>
        <v>12642</v>
      </c>
      <c r="X13" s="110">
        <f>TrRoad_act!X67</f>
        <v>13340</v>
      </c>
      <c r="Y13" s="110">
        <f>TrRoad_act!Y67</f>
        <v>14085</v>
      </c>
      <c r="DA13" s="176" t="s">
        <v>510</v>
      </c>
    </row>
    <row r="14" spans="1:105" ht="11.45" customHeight="1" x14ac:dyDescent="0.25">
      <c r="A14" s="111" t="s">
        <v>110</v>
      </c>
      <c r="B14" s="102">
        <f>TrRoad_act!B68</f>
        <v>167</v>
      </c>
      <c r="C14" s="102">
        <f>TrRoad_act!C68</f>
        <v>153</v>
      </c>
      <c r="D14" s="102">
        <f>TrRoad_act!D68</f>
        <v>139</v>
      </c>
      <c r="E14" s="102">
        <f>TrRoad_act!E68</f>
        <v>125</v>
      </c>
      <c r="F14" s="102">
        <f>TrRoad_act!F68</f>
        <v>110</v>
      </c>
      <c r="G14" s="102">
        <f>TrRoad_act!G68</f>
        <v>96</v>
      </c>
      <c r="H14" s="102">
        <f>TrRoad_act!H68</f>
        <v>83</v>
      </c>
      <c r="I14" s="102">
        <f>TrRoad_act!I68</f>
        <v>71</v>
      </c>
      <c r="J14" s="102">
        <f>TrRoad_act!J68</f>
        <v>59</v>
      </c>
      <c r="K14" s="102">
        <f>TrRoad_act!K68</f>
        <v>49</v>
      </c>
      <c r="L14" s="102">
        <f>TrRoad_act!L68</f>
        <v>39</v>
      </c>
      <c r="M14" s="102">
        <f>TrRoad_act!M68</f>
        <v>31</v>
      </c>
      <c r="N14" s="102">
        <f>TrRoad_act!N68</f>
        <v>24</v>
      </c>
      <c r="O14" s="102">
        <f>TrRoad_act!O68</f>
        <v>24</v>
      </c>
      <c r="P14" s="102">
        <f>TrRoad_act!P68</f>
        <v>24</v>
      </c>
      <c r="Q14" s="102">
        <f>TrRoad_act!Q68</f>
        <v>21</v>
      </c>
      <c r="R14" s="102">
        <f>TrRoad_act!R68</f>
        <v>17</v>
      </c>
      <c r="S14" s="102">
        <f>TrRoad_act!S68</f>
        <v>20</v>
      </c>
      <c r="T14" s="102">
        <f>TrRoad_act!T68</f>
        <v>13</v>
      </c>
      <c r="U14" s="102">
        <f>TrRoad_act!U68</f>
        <v>16</v>
      </c>
      <c r="V14" s="102">
        <f>TrRoad_act!V68</f>
        <v>16</v>
      </c>
      <c r="W14" s="102">
        <f>TrRoad_act!W68</f>
        <v>15</v>
      </c>
      <c r="X14" s="102">
        <f>TrRoad_act!X68</f>
        <v>40</v>
      </c>
      <c r="Y14" s="102">
        <f>TrRoad_act!Y68</f>
        <v>98</v>
      </c>
      <c r="DA14" s="175" t="s">
        <v>511</v>
      </c>
    </row>
    <row r="15" spans="1:105" ht="11.45" customHeight="1" x14ac:dyDescent="0.25">
      <c r="A15" s="111" t="s">
        <v>111</v>
      </c>
      <c r="B15" s="102">
        <f>TrRoad_act!B69</f>
        <v>8080</v>
      </c>
      <c r="C15" s="102">
        <f>TrRoad_act!C69</f>
        <v>8308</v>
      </c>
      <c r="D15" s="102">
        <f>TrRoad_act!D69</f>
        <v>8355</v>
      </c>
      <c r="E15" s="102">
        <f>TrRoad_act!E69</f>
        <v>8691</v>
      </c>
      <c r="F15" s="102">
        <f>TrRoad_act!F69</f>
        <v>8884</v>
      </c>
      <c r="G15" s="102">
        <f>TrRoad_act!G69</f>
        <v>9101</v>
      </c>
      <c r="H15" s="102">
        <f>TrRoad_act!H69</f>
        <v>9590</v>
      </c>
      <c r="I15" s="102">
        <f>TrRoad_act!I69</f>
        <v>10061</v>
      </c>
      <c r="J15" s="102">
        <f>TrRoad_act!J69</f>
        <v>10567</v>
      </c>
      <c r="K15" s="102">
        <f>TrRoad_act!K69</f>
        <v>10300</v>
      </c>
      <c r="L15" s="102">
        <f>TrRoad_act!L69</f>
        <v>9902</v>
      </c>
      <c r="M15" s="102">
        <f>TrRoad_act!M69</f>
        <v>9865</v>
      </c>
      <c r="N15" s="102">
        <f>TrRoad_act!N69</f>
        <v>9906</v>
      </c>
      <c r="O15" s="102">
        <f>TrRoad_act!O69</f>
        <v>10131</v>
      </c>
      <c r="P15" s="102">
        <f>TrRoad_act!P69</f>
        <v>10382</v>
      </c>
      <c r="Q15" s="102">
        <f>TrRoad_act!Q69</f>
        <v>10857</v>
      </c>
      <c r="R15" s="102">
        <f>TrRoad_act!R69</f>
        <v>11429</v>
      </c>
      <c r="S15" s="102">
        <f>TrRoad_act!S69</f>
        <v>11934</v>
      </c>
      <c r="T15" s="102">
        <f>TrRoad_act!T69</f>
        <v>12485</v>
      </c>
      <c r="U15" s="102">
        <f>TrRoad_act!U69</f>
        <v>12952</v>
      </c>
      <c r="V15" s="102">
        <f>TrRoad_act!V69</f>
        <v>11866</v>
      </c>
      <c r="W15" s="102">
        <f>TrRoad_act!W69</f>
        <v>12575</v>
      </c>
      <c r="X15" s="102">
        <f>TrRoad_act!X69</f>
        <v>13225</v>
      </c>
      <c r="Y15" s="102">
        <f>TrRoad_act!Y69</f>
        <v>13873</v>
      </c>
      <c r="DA15" s="175" t="s">
        <v>512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1</v>
      </c>
      <c r="D16" s="102">
        <f>TrRoad_act!D70</f>
        <v>1</v>
      </c>
      <c r="E16" s="102">
        <f>TrRoad_act!E70</f>
        <v>1</v>
      </c>
      <c r="F16" s="102">
        <f>TrRoad_act!F70</f>
        <v>1</v>
      </c>
      <c r="G16" s="102">
        <f>TrRoad_act!G70</f>
        <v>1</v>
      </c>
      <c r="H16" s="102">
        <f>TrRoad_act!H70</f>
        <v>1</v>
      </c>
      <c r="I16" s="102">
        <f>TrRoad_act!I70</f>
        <v>1</v>
      </c>
      <c r="J16" s="102">
        <f>TrRoad_act!J70</f>
        <v>0</v>
      </c>
      <c r="K16" s="102">
        <f>TrRoad_act!K70</f>
        <v>0</v>
      </c>
      <c r="L16" s="102">
        <f>TrRoad_act!L70</f>
        <v>0</v>
      </c>
      <c r="M16" s="102">
        <f>TrRoad_act!M70</f>
        <v>0</v>
      </c>
      <c r="N16" s="102">
        <f>TrRoad_act!N70</f>
        <v>0</v>
      </c>
      <c r="O16" s="102">
        <f>TrRoad_act!O70</f>
        <v>0</v>
      </c>
      <c r="P16" s="102">
        <f>TrRoad_act!P70</f>
        <v>0</v>
      </c>
      <c r="Q16" s="102">
        <f>TrRoad_act!Q70</f>
        <v>0</v>
      </c>
      <c r="R16" s="102">
        <f>TrRoad_act!R70</f>
        <v>0</v>
      </c>
      <c r="S16" s="102">
        <f>TrRoad_act!S70</f>
        <v>0</v>
      </c>
      <c r="T16" s="102">
        <f>TrRoad_act!T70</f>
        <v>0</v>
      </c>
      <c r="U16" s="102">
        <f>TrRoad_act!U70</f>
        <v>0</v>
      </c>
      <c r="V16" s="102">
        <f>TrRoad_act!V70</f>
        <v>0</v>
      </c>
      <c r="W16" s="102">
        <f>TrRoad_act!W70</f>
        <v>0</v>
      </c>
      <c r="X16" s="102">
        <f>TrRoad_act!X70</f>
        <v>0</v>
      </c>
      <c r="Y16" s="102">
        <f>TrRoad_act!Y70</f>
        <v>0</v>
      </c>
      <c r="DA16" s="175" t="s">
        <v>513</v>
      </c>
    </row>
    <row r="17" spans="1:105" ht="11.45" customHeight="1" x14ac:dyDescent="0.25">
      <c r="A17" s="111" t="s">
        <v>113</v>
      </c>
      <c r="B17" s="102">
        <f>TrRoad_act!B71</f>
        <v>0</v>
      </c>
      <c r="C17" s="102">
        <f>TrRoad_act!C71</f>
        <v>0</v>
      </c>
      <c r="D17" s="102">
        <f>TrRoad_act!D71</f>
        <v>0</v>
      </c>
      <c r="E17" s="102">
        <f>TrRoad_act!E71</f>
        <v>0</v>
      </c>
      <c r="F17" s="102">
        <f>TrRoad_act!F71</f>
        <v>0</v>
      </c>
      <c r="G17" s="102">
        <f>TrRoad_act!G71</f>
        <v>0</v>
      </c>
      <c r="H17" s="102">
        <f>TrRoad_act!H71</f>
        <v>0</v>
      </c>
      <c r="I17" s="102">
        <f>TrRoad_act!I71</f>
        <v>0</v>
      </c>
      <c r="J17" s="102">
        <f>TrRoad_act!J71</f>
        <v>0</v>
      </c>
      <c r="K17" s="102">
        <f>TrRoad_act!K71</f>
        <v>0</v>
      </c>
      <c r="L17" s="102">
        <f>TrRoad_act!L71</f>
        <v>0</v>
      </c>
      <c r="M17" s="102">
        <f>TrRoad_act!M71</f>
        <v>0</v>
      </c>
      <c r="N17" s="102">
        <f>TrRoad_act!N71</f>
        <v>0</v>
      </c>
      <c r="O17" s="102">
        <f>TrRoad_act!O71</f>
        <v>0</v>
      </c>
      <c r="P17" s="102">
        <f>TrRoad_act!P71</f>
        <v>0</v>
      </c>
      <c r="Q17" s="102">
        <f>TrRoad_act!Q71</f>
        <v>0</v>
      </c>
      <c r="R17" s="102">
        <f>TrRoad_act!R71</f>
        <v>0</v>
      </c>
      <c r="S17" s="102">
        <f>TrRoad_act!S71</f>
        <v>0</v>
      </c>
      <c r="T17" s="102">
        <f>TrRoad_act!T71</f>
        <v>1</v>
      </c>
      <c r="U17" s="102">
        <f>TrRoad_act!U71</f>
        <v>21</v>
      </c>
      <c r="V17" s="102">
        <f>TrRoad_act!V71</f>
        <v>46</v>
      </c>
      <c r="W17" s="102">
        <f>TrRoad_act!W71</f>
        <v>46</v>
      </c>
      <c r="X17" s="102">
        <f>TrRoad_act!X71</f>
        <v>55</v>
      </c>
      <c r="Y17" s="102">
        <f>TrRoad_act!Y71</f>
        <v>53</v>
      </c>
      <c r="DA17" s="175" t="s">
        <v>514</v>
      </c>
    </row>
    <row r="18" spans="1:105" ht="11.45" customHeight="1" x14ac:dyDescent="0.25">
      <c r="A18" s="111" t="s">
        <v>115</v>
      </c>
      <c r="B18" s="102">
        <f>TrRoad_act!B72</f>
        <v>0</v>
      </c>
      <c r="C18" s="102">
        <f>TrRoad_act!C72</f>
        <v>0</v>
      </c>
      <c r="D18" s="102">
        <f>TrRoad_act!D72</f>
        <v>0</v>
      </c>
      <c r="E18" s="102">
        <f>TrRoad_act!E72</f>
        <v>0</v>
      </c>
      <c r="F18" s="102">
        <f>TrRoad_act!F72</f>
        <v>0</v>
      </c>
      <c r="G18" s="102">
        <f>TrRoad_act!G72</f>
        <v>0</v>
      </c>
      <c r="H18" s="102">
        <f>TrRoad_act!H72</f>
        <v>0</v>
      </c>
      <c r="I18" s="102">
        <f>TrRoad_act!I72</f>
        <v>0</v>
      </c>
      <c r="J18" s="102">
        <f>TrRoad_act!J72</f>
        <v>1</v>
      </c>
      <c r="K18" s="102">
        <f>TrRoad_act!K72</f>
        <v>1</v>
      </c>
      <c r="L18" s="102">
        <f>TrRoad_act!L72</f>
        <v>1</v>
      </c>
      <c r="M18" s="102">
        <f>TrRoad_act!M72</f>
        <v>1</v>
      </c>
      <c r="N18" s="102">
        <f>TrRoad_act!N72</f>
        <v>1</v>
      </c>
      <c r="O18" s="102">
        <f>TrRoad_act!O72</f>
        <v>1</v>
      </c>
      <c r="P18" s="102">
        <f>TrRoad_act!P72</f>
        <v>1</v>
      </c>
      <c r="Q18" s="102">
        <f>TrRoad_act!Q72</f>
        <v>1</v>
      </c>
      <c r="R18" s="102">
        <f>TrRoad_act!R72</f>
        <v>1</v>
      </c>
      <c r="S18" s="102">
        <f>TrRoad_act!S72</f>
        <v>1</v>
      </c>
      <c r="T18" s="102">
        <f>TrRoad_act!T72</f>
        <v>1</v>
      </c>
      <c r="U18" s="102">
        <f>TrRoad_act!U72</f>
        <v>1</v>
      </c>
      <c r="V18" s="102">
        <f>TrRoad_act!V72</f>
        <v>4</v>
      </c>
      <c r="W18" s="102">
        <f>TrRoad_act!W72</f>
        <v>6</v>
      </c>
      <c r="X18" s="102">
        <f>TrRoad_act!X72</f>
        <v>20</v>
      </c>
      <c r="Y18" s="102">
        <f>TrRoad_act!Y72</f>
        <v>61</v>
      </c>
      <c r="DA18" s="175" t="s">
        <v>515</v>
      </c>
    </row>
    <row r="19" spans="1:105" ht="11.45" customHeight="1" x14ac:dyDescent="0.25">
      <c r="A19" s="27" t="s">
        <v>34</v>
      </c>
      <c r="B19" s="28">
        <f>TrRoad_act!B73</f>
        <v>222955</v>
      </c>
      <c r="C19" s="28">
        <f>TrRoad_act!C73</f>
        <v>245251</v>
      </c>
      <c r="D19" s="28">
        <f>TrRoad_act!D73</f>
        <v>259974</v>
      </c>
      <c r="E19" s="28">
        <f>TrRoad_act!E73</f>
        <v>276033</v>
      </c>
      <c r="F19" s="28">
        <f>TrRoad_act!F73</f>
        <v>293112</v>
      </c>
      <c r="G19" s="28">
        <f>TrRoad_act!G73</f>
        <v>317037</v>
      </c>
      <c r="H19" s="28">
        <f>TrRoad_act!H73</f>
        <v>345855</v>
      </c>
      <c r="I19" s="28">
        <f>TrRoad_act!I73</f>
        <v>374194</v>
      </c>
      <c r="J19" s="28">
        <f>TrRoad_act!J73</f>
        <v>357370</v>
      </c>
      <c r="K19" s="28">
        <f>TrRoad_act!K73</f>
        <v>341806</v>
      </c>
      <c r="L19" s="28">
        <f>TrRoad_act!L73</f>
        <v>329871</v>
      </c>
      <c r="M19" s="28">
        <f>TrRoad_act!M73</f>
        <v>322489</v>
      </c>
      <c r="N19" s="28">
        <f>TrRoad_act!N73</f>
        <v>313534</v>
      </c>
      <c r="O19" s="28">
        <f>TrRoad_act!O73</f>
        <v>313369</v>
      </c>
      <c r="P19" s="28">
        <f>TrRoad_act!P73</f>
        <v>311198</v>
      </c>
      <c r="Q19" s="28">
        <f>TrRoad_act!Q73</f>
        <v>308940</v>
      </c>
      <c r="R19" s="28">
        <f>TrRoad_act!R73</f>
        <v>306433</v>
      </c>
      <c r="S19" s="28">
        <f>TrRoad_act!S73</f>
        <v>310708</v>
      </c>
      <c r="T19" s="28">
        <f>TrRoad_act!T73</f>
        <v>312327</v>
      </c>
      <c r="U19" s="28">
        <f>TrRoad_act!U73</f>
        <v>313827</v>
      </c>
      <c r="V19" s="28">
        <f>TrRoad_act!V73</f>
        <v>312306</v>
      </c>
      <c r="W19" s="28">
        <f>TrRoad_act!W73</f>
        <v>319279</v>
      </c>
      <c r="X19" s="28">
        <f>TrRoad_act!X73</f>
        <v>323407</v>
      </c>
      <c r="Y19" s="28">
        <f>TrRoad_act!Y73</f>
        <v>334610</v>
      </c>
      <c r="DA19" s="173" t="s">
        <v>516</v>
      </c>
    </row>
    <row r="20" spans="1:105" ht="11.45" customHeight="1" x14ac:dyDescent="0.25">
      <c r="A20" s="136" t="s">
        <v>153</v>
      </c>
      <c r="B20" s="137">
        <f>TrRoad_act!B74</f>
        <v>157329</v>
      </c>
      <c r="C20" s="137">
        <f>TrRoad_act!C74</f>
        <v>170664</v>
      </c>
      <c r="D20" s="137">
        <f>TrRoad_act!D74</f>
        <v>183596</v>
      </c>
      <c r="E20" s="137">
        <f>TrRoad_act!E74</f>
        <v>197676</v>
      </c>
      <c r="F20" s="137">
        <f>TrRoad_act!F74</f>
        <v>211065</v>
      </c>
      <c r="G20" s="137">
        <f>TrRoad_act!G74</f>
        <v>226069</v>
      </c>
      <c r="H20" s="137">
        <f>TrRoad_act!H74</f>
        <v>243303</v>
      </c>
      <c r="I20" s="137">
        <f>TrRoad_act!I74</f>
        <v>258412</v>
      </c>
      <c r="J20" s="137">
        <f>TrRoad_act!J74</f>
        <v>261710</v>
      </c>
      <c r="K20" s="137">
        <f>TrRoad_act!K74</f>
        <v>255603</v>
      </c>
      <c r="L20" s="137">
        <f>TrRoad_act!L74</f>
        <v>246984</v>
      </c>
      <c r="M20" s="137">
        <f>TrRoad_act!M74</f>
        <v>242353</v>
      </c>
      <c r="N20" s="137">
        <f>TrRoad_act!N74</f>
        <v>234787</v>
      </c>
      <c r="O20" s="137">
        <f>TrRoad_act!O74</f>
        <v>236544</v>
      </c>
      <c r="P20" s="137">
        <f>TrRoad_act!P74</f>
        <v>230023</v>
      </c>
      <c r="Q20" s="137">
        <f>TrRoad_act!Q74</f>
        <v>222726</v>
      </c>
      <c r="R20" s="137">
        <f>TrRoad_act!R74</f>
        <v>218233</v>
      </c>
      <c r="S20" s="137">
        <f>TrRoad_act!S74</f>
        <v>218339</v>
      </c>
      <c r="T20" s="137">
        <f>TrRoad_act!T74</f>
        <v>218365</v>
      </c>
      <c r="U20" s="137">
        <f>TrRoad_act!U74</f>
        <v>218594</v>
      </c>
      <c r="V20" s="137">
        <f>TrRoad_act!V74</f>
        <v>219394</v>
      </c>
      <c r="W20" s="137">
        <f>TrRoad_act!W74</f>
        <v>222720</v>
      </c>
      <c r="X20" s="137">
        <f>TrRoad_act!X74</f>
        <v>226368</v>
      </c>
      <c r="Y20" s="137">
        <f>TrRoad_act!Y74</f>
        <v>236639</v>
      </c>
      <c r="DA20" s="174" t="s">
        <v>517</v>
      </c>
    </row>
    <row r="21" spans="1:105" ht="11.45" customHeight="1" x14ac:dyDescent="0.25">
      <c r="A21" s="111" t="s">
        <v>110</v>
      </c>
      <c r="B21" s="84">
        <f>TrRoad_act!B75</f>
        <v>3828</v>
      </c>
      <c r="C21" s="84">
        <f>TrRoad_act!C75</f>
        <v>3537</v>
      </c>
      <c r="D21" s="84">
        <f>TrRoad_act!D75</f>
        <v>3307</v>
      </c>
      <c r="E21" s="84">
        <f>TrRoad_act!E75</f>
        <v>2993</v>
      </c>
      <c r="F21" s="84">
        <f>TrRoad_act!F75</f>
        <v>2616</v>
      </c>
      <c r="G21" s="84">
        <f>TrRoad_act!G75</f>
        <v>2027</v>
      </c>
      <c r="H21" s="84">
        <f>TrRoad_act!H75</f>
        <v>1571</v>
      </c>
      <c r="I21" s="84">
        <f>TrRoad_act!I75</f>
        <v>1246</v>
      </c>
      <c r="J21" s="84">
        <f>TrRoad_act!J75</f>
        <v>1132</v>
      </c>
      <c r="K21" s="84">
        <f>TrRoad_act!K75</f>
        <v>1046</v>
      </c>
      <c r="L21" s="84">
        <f>TrRoad_act!L75</f>
        <v>899</v>
      </c>
      <c r="M21" s="84">
        <f>TrRoad_act!M75</f>
        <v>765</v>
      </c>
      <c r="N21" s="84">
        <f>TrRoad_act!N75</f>
        <v>637</v>
      </c>
      <c r="O21" s="84">
        <f>TrRoad_act!O75</f>
        <v>604</v>
      </c>
      <c r="P21" s="84">
        <f>TrRoad_act!P75</f>
        <v>560</v>
      </c>
      <c r="Q21" s="84">
        <f>TrRoad_act!Q75</f>
        <v>503</v>
      </c>
      <c r="R21" s="84">
        <f>TrRoad_act!R75</f>
        <v>445</v>
      </c>
      <c r="S21" s="84">
        <f>TrRoad_act!S75</f>
        <v>484</v>
      </c>
      <c r="T21" s="84">
        <f>TrRoad_act!T75</f>
        <v>497</v>
      </c>
      <c r="U21" s="84">
        <f>TrRoad_act!U75</f>
        <v>555</v>
      </c>
      <c r="V21" s="84">
        <f>TrRoad_act!V75</f>
        <v>752</v>
      </c>
      <c r="W21" s="84">
        <f>TrRoad_act!W75</f>
        <v>854</v>
      </c>
      <c r="X21" s="84">
        <f>TrRoad_act!X75</f>
        <v>990</v>
      </c>
      <c r="Y21" s="84">
        <f>TrRoad_act!Y75</f>
        <v>1398</v>
      </c>
      <c r="DA21" s="171" t="s">
        <v>518</v>
      </c>
    </row>
    <row r="22" spans="1:105" ht="11.45" customHeight="1" x14ac:dyDescent="0.25">
      <c r="A22" s="111" t="s">
        <v>111</v>
      </c>
      <c r="B22" s="84">
        <f>TrRoad_act!B76</f>
        <v>153501</v>
      </c>
      <c r="C22" s="84">
        <f>TrRoad_act!C76</f>
        <v>167127</v>
      </c>
      <c r="D22" s="84">
        <f>TrRoad_act!D76</f>
        <v>180289</v>
      </c>
      <c r="E22" s="84">
        <f>TrRoad_act!E76</f>
        <v>194683</v>
      </c>
      <c r="F22" s="84">
        <f>TrRoad_act!F76</f>
        <v>208449</v>
      </c>
      <c r="G22" s="84">
        <f>TrRoad_act!G76</f>
        <v>224042</v>
      </c>
      <c r="H22" s="84">
        <f>TrRoad_act!H76</f>
        <v>241732</v>
      </c>
      <c r="I22" s="84">
        <f>TrRoad_act!I76</f>
        <v>257166</v>
      </c>
      <c r="J22" s="84">
        <f>TrRoad_act!J76</f>
        <v>260578</v>
      </c>
      <c r="K22" s="84">
        <f>TrRoad_act!K76</f>
        <v>254557</v>
      </c>
      <c r="L22" s="84">
        <f>TrRoad_act!L76</f>
        <v>246085</v>
      </c>
      <c r="M22" s="84">
        <f>TrRoad_act!M76</f>
        <v>241554</v>
      </c>
      <c r="N22" s="84">
        <f>TrRoad_act!N76</f>
        <v>234073</v>
      </c>
      <c r="O22" s="84">
        <f>TrRoad_act!O76</f>
        <v>235857</v>
      </c>
      <c r="P22" s="84">
        <f>TrRoad_act!P76</f>
        <v>229367</v>
      </c>
      <c r="Q22" s="84">
        <f>TrRoad_act!Q76</f>
        <v>222131</v>
      </c>
      <c r="R22" s="84">
        <f>TrRoad_act!R76</f>
        <v>217688</v>
      </c>
      <c r="S22" s="84">
        <f>TrRoad_act!S76</f>
        <v>217694</v>
      </c>
      <c r="T22" s="84">
        <f>TrRoad_act!T76</f>
        <v>217694</v>
      </c>
      <c r="U22" s="84">
        <f>TrRoad_act!U76</f>
        <v>217577</v>
      </c>
      <c r="V22" s="84">
        <f>TrRoad_act!V76</f>
        <v>217742</v>
      </c>
      <c r="W22" s="84">
        <f>TrRoad_act!W76</f>
        <v>220308</v>
      </c>
      <c r="X22" s="84">
        <f>TrRoad_act!X76</f>
        <v>223141</v>
      </c>
      <c r="Y22" s="84">
        <f>TrRoad_act!Y76</f>
        <v>232026</v>
      </c>
      <c r="DA22" s="171" t="s">
        <v>519</v>
      </c>
    </row>
    <row r="23" spans="1:105" ht="11.45" customHeight="1" x14ac:dyDescent="0.25">
      <c r="A23" s="111" t="s">
        <v>112</v>
      </c>
      <c r="B23" s="84">
        <f>TrRoad_act!B77</f>
        <v>0</v>
      </c>
      <c r="C23" s="84">
        <f>TrRoad_act!C77</f>
        <v>0</v>
      </c>
      <c r="D23" s="84">
        <f>TrRoad_act!D77</f>
        <v>0</v>
      </c>
      <c r="E23" s="84">
        <f>TrRoad_act!E77</f>
        <v>0</v>
      </c>
      <c r="F23" s="84">
        <f>TrRoad_act!F77</f>
        <v>0</v>
      </c>
      <c r="G23" s="84">
        <f>TrRoad_act!G77</f>
        <v>0</v>
      </c>
      <c r="H23" s="84">
        <f>TrRoad_act!H77</f>
        <v>0</v>
      </c>
      <c r="I23" s="84">
        <f>TrRoad_act!I77</f>
        <v>0</v>
      </c>
      <c r="J23" s="84">
        <f>TrRoad_act!J77</f>
        <v>0</v>
      </c>
      <c r="K23" s="84">
        <f>TrRoad_act!K77</f>
        <v>0</v>
      </c>
      <c r="L23" s="84">
        <f>TrRoad_act!L77</f>
        <v>0</v>
      </c>
      <c r="M23" s="84">
        <f>TrRoad_act!M77</f>
        <v>0</v>
      </c>
      <c r="N23" s="84">
        <f>TrRoad_act!N77</f>
        <v>0</v>
      </c>
      <c r="O23" s="84">
        <f>TrRoad_act!O77</f>
        <v>2</v>
      </c>
      <c r="P23" s="84">
        <f>TrRoad_act!P77</f>
        <v>4</v>
      </c>
      <c r="Q23" s="84">
        <f>TrRoad_act!Q77</f>
        <v>4</v>
      </c>
      <c r="R23" s="84">
        <f>TrRoad_act!R77</f>
        <v>4</v>
      </c>
      <c r="S23" s="84">
        <f>TrRoad_act!S77</f>
        <v>5</v>
      </c>
      <c r="T23" s="84">
        <f>TrRoad_act!T77</f>
        <v>5</v>
      </c>
      <c r="U23" s="84">
        <f>TrRoad_act!U77</f>
        <v>5</v>
      </c>
      <c r="V23" s="84">
        <f>TrRoad_act!V77</f>
        <v>4</v>
      </c>
      <c r="W23" s="84">
        <f>TrRoad_act!W77</f>
        <v>4</v>
      </c>
      <c r="X23" s="84">
        <f>TrRoad_act!X77</f>
        <v>4</v>
      </c>
      <c r="Y23" s="84">
        <f>TrRoad_act!Y77</f>
        <v>4</v>
      </c>
      <c r="DA23" s="171" t="s">
        <v>520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0</v>
      </c>
      <c r="I24" s="84">
        <f>TrRoad_act!I78</f>
        <v>0</v>
      </c>
      <c r="J24" s="84">
        <f>TrRoad_act!J78</f>
        <v>0</v>
      </c>
      <c r="K24" s="84">
        <f>TrRoad_act!K78</f>
        <v>0</v>
      </c>
      <c r="L24" s="84">
        <f>TrRoad_act!L78</f>
        <v>0</v>
      </c>
      <c r="M24" s="84">
        <f>TrRoad_act!M78</f>
        <v>0</v>
      </c>
      <c r="N24" s="84">
        <f>TrRoad_act!N78</f>
        <v>0</v>
      </c>
      <c r="O24" s="84">
        <f>TrRoad_act!O78</f>
        <v>0</v>
      </c>
      <c r="P24" s="84">
        <f>TrRoad_act!P78</f>
        <v>0</v>
      </c>
      <c r="Q24" s="84">
        <f>TrRoad_act!Q78</f>
        <v>0</v>
      </c>
      <c r="R24" s="84">
        <f>TrRoad_act!R78</f>
        <v>4</v>
      </c>
      <c r="S24" s="84">
        <f>TrRoad_act!S78</f>
        <v>4</v>
      </c>
      <c r="T24" s="84">
        <f>TrRoad_act!T78</f>
        <v>4</v>
      </c>
      <c r="U24" s="84">
        <f>TrRoad_act!U78</f>
        <v>4</v>
      </c>
      <c r="V24" s="84">
        <f>TrRoad_act!V78</f>
        <v>6</v>
      </c>
      <c r="W24" s="84">
        <f>TrRoad_act!W78</f>
        <v>6</v>
      </c>
      <c r="X24" s="84">
        <f>TrRoad_act!X78</f>
        <v>6</v>
      </c>
      <c r="Y24" s="84">
        <f>TrRoad_act!Y78</f>
        <v>6</v>
      </c>
      <c r="DA24" s="171" t="s">
        <v>521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0</v>
      </c>
      <c r="I25" s="84">
        <f>TrRoad_act!I79</f>
        <v>0</v>
      </c>
      <c r="J25" s="84">
        <f>TrRoad_act!J79</f>
        <v>0</v>
      </c>
      <c r="K25" s="84">
        <f>TrRoad_act!K79</f>
        <v>0</v>
      </c>
      <c r="L25" s="84">
        <f>TrRoad_act!L79</f>
        <v>0</v>
      </c>
      <c r="M25" s="84">
        <f>TrRoad_act!M79</f>
        <v>34</v>
      </c>
      <c r="N25" s="84">
        <f>TrRoad_act!N79</f>
        <v>77</v>
      </c>
      <c r="O25" s="84">
        <f>TrRoad_act!O79</f>
        <v>81</v>
      </c>
      <c r="P25" s="84">
        <f>TrRoad_act!P79</f>
        <v>92</v>
      </c>
      <c r="Q25" s="84">
        <f>TrRoad_act!Q79</f>
        <v>88</v>
      </c>
      <c r="R25" s="84">
        <f>TrRoad_act!R79</f>
        <v>92</v>
      </c>
      <c r="S25" s="84">
        <f>TrRoad_act!S79</f>
        <v>152</v>
      </c>
      <c r="T25" s="84">
        <f>TrRoad_act!T79</f>
        <v>165</v>
      </c>
      <c r="U25" s="84">
        <f>TrRoad_act!U79</f>
        <v>453</v>
      </c>
      <c r="V25" s="84">
        <f>TrRoad_act!V79</f>
        <v>890</v>
      </c>
      <c r="W25" s="84">
        <f>TrRoad_act!W79</f>
        <v>1548</v>
      </c>
      <c r="X25" s="84">
        <f>TrRoad_act!X79</f>
        <v>2227</v>
      </c>
      <c r="Y25" s="84">
        <f>TrRoad_act!Y79</f>
        <v>3205</v>
      </c>
      <c r="DA25" s="171" t="s">
        <v>522</v>
      </c>
    </row>
    <row r="26" spans="1:105" ht="11.45" customHeight="1" x14ac:dyDescent="0.25">
      <c r="A26" s="109" t="s">
        <v>154</v>
      </c>
      <c r="B26" s="110">
        <f>TrRoad_act!B80</f>
        <v>65626</v>
      </c>
      <c r="C26" s="110">
        <f>TrRoad_act!C80</f>
        <v>74587</v>
      </c>
      <c r="D26" s="110">
        <f>TrRoad_act!D80</f>
        <v>76378</v>
      </c>
      <c r="E26" s="110">
        <f>TrRoad_act!E80</f>
        <v>78357</v>
      </c>
      <c r="F26" s="110">
        <f>TrRoad_act!F80</f>
        <v>82047</v>
      </c>
      <c r="G26" s="110">
        <f>TrRoad_act!G80</f>
        <v>90968</v>
      </c>
      <c r="H26" s="110">
        <f>TrRoad_act!H80</f>
        <v>102552</v>
      </c>
      <c r="I26" s="110">
        <f>TrRoad_act!I80</f>
        <v>115782</v>
      </c>
      <c r="J26" s="110">
        <f>TrRoad_act!J80</f>
        <v>95660</v>
      </c>
      <c r="K26" s="110">
        <f>TrRoad_act!K80</f>
        <v>86203</v>
      </c>
      <c r="L26" s="110">
        <f>TrRoad_act!L80</f>
        <v>82887</v>
      </c>
      <c r="M26" s="110">
        <f>TrRoad_act!M80</f>
        <v>80136</v>
      </c>
      <c r="N26" s="110">
        <f>TrRoad_act!N80</f>
        <v>78747</v>
      </c>
      <c r="O26" s="110">
        <f>TrRoad_act!O80</f>
        <v>76825</v>
      </c>
      <c r="P26" s="110">
        <f>TrRoad_act!P80</f>
        <v>81175</v>
      </c>
      <c r="Q26" s="110">
        <f>TrRoad_act!Q80</f>
        <v>86214</v>
      </c>
      <c r="R26" s="110">
        <f>TrRoad_act!R80</f>
        <v>88200</v>
      </c>
      <c r="S26" s="110">
        <f>TrRoad_act!S80</f>
        <v>92369</v>
      </c>
      <c r="T26" s="110">
        <f>TrRoad_act!T80</f>
        <v>93962</v>
      </c>
      <c r="U26" s="110">
        <f>TrRoad_act!U80</f>
        <v>95233</v>
      </c>
      <c r="V26" s="110">
        <f>TrRoad_act!V80</f>
        <v>92912</v>
      </c>
      <c r="W26" s="110">
        <f>TrRoad_act!W80</f>
        <v>96559</v>
      </c>
      <c r="X26" s="110">
        <f>TrRoad_act!X80</f>
        <v>97039</v>
      </c>
      <c r="Y26" s="110">
        <f>TrRoad_act!Y80</f>
        <v>97971</v>
      </c>
      <c r="DA26" s="176" t="s">
        <v>837</v>
      </c>
    </row>
    <row r="27" spans="1:105" ht="11.45" customHeight="1" x14ac:dyDescent="0.25">
      <c r="A27" s="128" t="s">
        <v>27</v>
      </c>
      <c r="B27" s="102">
        <f>TrRoad_act!B81</f>
        <v>64655</v>
      </c>
      <c r="C27" s="102">
        <f>TrRoad_act!C81</f>
        <v>73546</v>
      </c>
      <c r="D27" s="102">
        <f>TrRoad_act!D81</f>
        <v>75282</v>
      </c>
      <c r="E27" s="102">
        <f>TrRoad_act!E81</f>
        <v>77237</v>
      </c>
      <c r="F27" s="102">
        <f>TrRoad_act!F81</f>
        <v>80723</v>
      </c>
      <c r="G27" s="102">
        <f>TrRoad_act!G81</f>
        <v>89599</v>
      </c>
      <c r="H27" s="102">
        <f>TrRoad_act!H81</f>
        <v>101146</v>
      </c>
      <c r="I27" s="102">
        <f>TrRoad_act!I81</f>
        <v>114266</v>
      </c>
      <c r="J27" s="102">
        <f>TrRoad_act!J81</f>
        <v>94323</v>
      </c>
      <c r="K27" s="102">
        <f>TrRoad_act!K81</f>
        <v>85050</v>
      </c>
      <c r="L27" s="102">
        <f>TrRoad_act!L81</f>
        <v>81696</v>
      </c>
      <c r="M27" s="102">
        <f>TrRoad_act!M81</f>
        <v>78837</v>
      </c>
      <c r="N27" s="102">
        <f>TrRoad_act!N81</f>
        <v>77579</v>
      </c>
      <c r="O27" s="102">
        <f>TrRoad_act!O81</f>
        <v>75709</v>
      </c>
      <c r="P27" s="102">
        <f>TrRoad_act!P81</f>
        <v>80087</v>
      </c>
      <c r="Q27" s="102">
        <f>TrRoad_act!Q81</f>
        <v>84988</v>
      </c>
      <c r="R27" s="102">
        <f>TrRoad_act!R81</f>
        <v>87095</v>
      </c>
      <c r="S27" s="102">
        <f>TrRoad_act!S81</f>
        <v>91290</v>
      </c>
      <c r="T27" s="102">
        <f>TrRoad_act!T81</f>
        <v>92774</v>
      </c>
      <c r="U27" s="102">
        <f>TrRoad_act!U81</f>
        <v>93874</v>
      </c>
      <c r="V27" s="102">
        <f>TrRoad_act!V81</f>
        <v>92415</v>
      </c>
      <c r="W27" s="102">
        <f>TrRoad_act!W81</f>
        <v>96051</v>
      </c>
      <c r="X27" s="102">
        <f>TrRoad_act!X81</f>
        <v>96551</v>
      </c>
      <c r="Y27" s="102">
        <f>TrRoad_act!Y81</f>
        <v>97451</v>
      </c>
      <c r="DA27" s="175" t="s">
        <v>524</v>
      </c>
    </row>
    <row r="28" spans="1:105" ht="11.45" customHeight="1" x14ac:dyDescent="0.25">
      <c r="A28" s="138" t="s">
        <v>116</v>
      </c>
      <c r="B28" s="86">
        <f>TrRoad_act!B82</f>
        <v>971</v>
      </c>
      <c r="C28" s="86">
        <f>TrRoad_act!C82</f>
        <v>1041</v>
      </c>
      <c r="D28" s="86">
        <f>TrRoad_act!D82</f>
        <v>1096</v>
      </c>
      <c r="E28" s="86">
        <f>TrRoad_act!E82</f>
        <v>1120</v>
      </c>
      <c r="F28" s="86">
        <f>TrRoad_act!F82</f>
        <v>1324</v>
      </c>
      <c r="G28" s="86">
        <f>TrRoad_act!G82</f>
        <v>1369</v>
      </c>
      <c r="H28" s="86">
        <f>TrRoad_act!H82</f>
        <v>1406</v>
      </c>
      <c r="I28" s="86">
        <f>TrRoad_act!I82</f>
        <v>1516</v>
      </c>
      <c r="J28" s="86">
        <f>TrRoad_act!J82</f>
        <v>1337</v>
      </c>
      <c r="K28" s="86">
        <f>TrRoad_act!K82</f>
        <v>1153</v>
      </c>
      <c r="L28" s="86">
        <f>TrRoad_act!L82</f>
        <v>1191</v>
      </c>
      <c r="M28" s="86">
        <f>TrRoad_act!M82</f>
        <v>1299</v>
      </c>
      <c r="N28" s="86">
        <f>TrRoad_act!N82</f>
        <v>1168</v>
      </c>
      <c r="O28" s="86">
        <f>TrRoad_act!O82</f>
        <v>1116</v>
      </c>
      <c r="P28" s="86">
        <f>TrRoad_act!P82</f>
        <v>1088</v>
      </c>
      <c r="Q28" s="86">
        <f>TrRoad_act!Q82</f>
        <v>1226</v>
      </c>
      <c r="R28" s="86">
        <f>TrRoad_act!R82</f>
        <v>1105</v>
      </c>
      <c r="S28" s="86">
        <f>TrRoad_act!S82</f>
        <v>1079</v>
      </c>
      <c r="T28" s="86">
        <f>TrRoad_act!T82</f>
        <v>1188</v>
      </c>
      <c r="U28" s="86">
        <f>TrRoad_act!U82</f>
        <v>1359</v>
      </c>
      <c r="V28" s="86">
        <f>TrRoad_act!V82</f>
        <v>497</v>
      </c>
      <c r="W28" s="86">
        <f>TrRoad_act!W82</f>
        <v>508</v>
      </c>
      <c r="X28" s="86">
        <f>TrRoad_act!X82</f>
        <v>488</v>
      </c>
      <c r="Y28" s="86">
        <f>TrRoad_act!Y82</f>
        <v>520</v>
      </c>
      <c r="DA28" s="178" t="s">
        <v>525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DA29" s="171"/>
    </row>
    <row r="30" spans="1:105" ht="11.45" customHeight="1" x14ac:dyDescent="0.25">
      <c r="A30" s="53" t="s">
        <v>117</v>
      </c>
      <c r="B30" s="54">
        <f>TrRoad_act!B111</f>
        <v>263970</v>
      </c>
      <c r="C30" s="54">
        <f>TrRoad_act!C111</f>
        <v>199545</v>
      </c>
      <c r="D30" s="54">
        <f>TrRoad_act!D111</f>
        <v>185961</v>
      </c>
      <c r="E30" s="54">
        <f>TrRoad_act!E111</f>
        <v>178407</v>
      </c>
      <c r="F30" s="54">
        <f>TrRoad_act!F111</f>
        <v>185357</v>
      </c>
      <c r="G30" s="54">
        <f>TrRoad_act!G111</f>
        <v>220541</v>
      </c>
      <c r="H30" s="54">
        <f>TrRoad_act!H111</f>
        <v>267326</v>
      </c>
      <c r="I30" s="54">
        <f>TrRoad_act!I111</f>
        <v>244705</v>
      </c>
      <c r="J30" s="54">
        <f>TrRoad_act!J111</f>
        <v>222393</v>
      </c>
      <c r="K30" s="54">
        <f>TrRoad_act!K111</f>
        <v>78471</v>
      </c>
      <c r="L30" s="54">
        <f>TrRoad_act!L111</f>
        <v>120315</v>
      </c>
      <c r="M30" s="54">
        <f>TrRoad_act!M111</f>
        <v>139506</v>
      </c>
      <c r="N30" s="54">
        <f>TrRoad_act!N111</f>
        <v>101117</v>
      </c>
      <c r="O30" s="54">
        <f>TrRoad_act!O111</f>
        <v>200384</v>
      </c>
      <c r="P30" s="54">
        <f>TrRoad_act!P111</f>
        <v>143385</v>
      </c>
      <c r="Q30" s="54">
        <f>TrRoad_act!Q111</f>
        <v>169772</v>
      </c>
      <c r="R30" s="54">
        <f>TrRoad_act!R111</f>
        <v>198863</v>
      </c>
      <c r="S30" s="54">
        <f>TrRoad_act!S111</f>
        <v>201559</v>
      </c>
      <c r="T30" s="54">
        <f>TrRoad_act!T111</f>
        <v>217853</v>
      </c>
      <c r="U30" s="54">
        <f>TrRoad_act!U111</f>
        <v>237893</v>
      </c>
      <c r="V30" s="54">
        <f>TrRoad_act!V111</f>
        <v>195571</v>
      </c>
      <c r="W30" s="54">
        <f>TrRoad_act!W111</f>
        <v>202027</v>
      </c>
      <c r="X30" s="54">
        <f>TrRoad_act!X111</f>
        <v>184820</v>
      </c>
      <c r="Y30" s="54">
        <f>TrRoad_act!Y111</f>
        <v>215811</v>
      </c>
      <c r="DA30" s="172" t="s">
        <v>526</v>
      </c>
    </row>
    <row r="31" spans="1:105" ht="11.45" customHeight="1" x14ac:dyDescent="0.25">
      <c r="A31" s="27" t="s">
        <v>33</v>
      </c>
      <c r="B31" s="28">
        <f>TrRoad_act!B112</f>
        <v>232481</v>
      </c>
      <c r="C31" s="28">
        <f>TrRoad_act!C112</f>
        <v>168651</v>
      </c>
      <c r="D31" s="28">
        <f>TrRoad_act!D112</f>
        <v>159122</v>
      </c>
      <c r="E31" s="28">
        <f>TrRoad_act!E112</f>
        <v>149341</v>
      </c>
      <c r="F31" s="28">
        <f>TrRoad_act!F112</f>
        <v>155848</v>
      </c>
      <c r="G31" s="28">
        <f>TrRoad_act!G112</f>
        <v>183638</v>
      </c>
      <c r="H31" s="28">
        <f>TrRoad_act!H112</f>
        <v>225914</v>
      </c>
      <c r="I31" s="28">
        <f>TrRoad_act!I112</f>
        <v>201572</v>
      </c>
      <c r="J31" s="28">
        <f>TrRoad_act!J112</f>
        <v>193355</v>
      </c>
      <c r="K31" s="28">
        <f>TrRoad_act!K112</f>
        <v>69231</v>
      </c>
      <c r="L31" s="28">
        <f>TrRoad_act!L112</f>
        <v>109456</v>
      </c>
      <c r="M31" s="28">
        <f>TrRoad_act!M112</f>
        <v>127537</v>
      </c>
      <c r="N31" s="28">
        <f>TrRoad_act!N112</f>
        <v>89981</v>
      </c>
      <c r="O31" s="28">
        <f>TrRoad_act!O112</f>
        <v>188275</v>
      </c>
      <c r="P31" s="28">
        <f>TrRoad_act!P112</f>
        <v>125728</v>
      </c>
      <c r="Q31" s="28">
        <f>TrRoad_act!Q112</f>
        <v>146829</v>
      </c>
      <c r="R31" s="28">
        <f>TrRoad_act!R112</f>
        <v>171579</v>
      </c>
      <c r="S31" s="28">
        <f>TrRoad_act!S112</f>
        <v>175667</v>
      </c>
      <c r="T31" s="28">
        <f>TrRoad_act!T112</f>
        <v>194416</v>
      </c>
      <c r="U31" s="28">
        <f>TrRoad_act!U112</f>
        <v>214238</v>
      </c>
      <c r="V31" s="28">
        <f>TrRoad_act!V112</f>
        <v>177821</v>
      </c>
      <c r="W31" s="28">
        <f>TrRoad_act!W112</f>
        <v>174765</v>
      </c>
      <c r="X31" s="28">
        <f>TrRoad_act!X112</f>
        <v>162528</v>
      </c>
      <c r="Y31" s="28">
        <f>TrRoad_act!Y112</f>
        <v>190693</v>
      </c>
      <c r="DA31" s="173" t="s">
        <v>527</v>
      </c>
    </row>
    <row r="32" spans="1:105" ht="11.45" customHeight="1" x14ac:dyDescent="0.25">
      <c r="A32" s="136" t="s">
        <v>173</v>
      </c>
      <c r="B32" s="137">
        <f>TrRoad_act!B113</f>
        <v>3848</v>
      </c>
      <c r="C32" s="137">
        <f>TrRoad_act!C113</f>
        <v>4705</v>
      </c>
      <c r="D32" s="137">
        <f>TrRoad_act!D113</f>
        <v>5596</v>
      </c>
      <c r="E32" s="137">
        <f>TrRoad_act!E113</f>
        <v>2853</v>
      </c>
      <c r="F32" s="137">
        <f>TrRoad_act!F113</f>
        <v>2534</v>
      </c>
      <c r="G32" s="137">
        <f>TrRoad_act!G113</f>
        <v>2391</v>
      </c>
      <c r="H32" s="137">
        <f>TrRoad_act!H113</f>
        <v>2508</v>
      </c>
      <c r="I32" s="137">
        <f>TrRoad_act!I113</f>
        <v>2882</v>
      </c>
      <c r="J32" s="137">
        <f>TrRoad_act!J113</f>
        <v>2789</v>
      </c>
      <c r="K32" s="137">
        <f>TrRoad_act!K113</f>
        <v>1422</v>
      </c>
      <c r="L32" s="137">
        <f>TrRoad_act!L113</f>
        <v>1112</v>
      </c>
      <c r="M32" s="137">
        <f>TrRoad_act!M113</f>
        <v>831</v>
      </c>
      <c r="N32" s="137">
        <f>TrRoad_act!N113</f>
        <v>663</v>
      </c>
      <c r="O32" s="137">
        <f>TrRoad_act!O113</f>
        <v>3044</v>
      </c>
      <c r="P32" s="137">
        <f>TrRoad_act!P113</f>
        <v>1499</v>
      </c>
      <c r="Q32" s="137">
        <f>TrRoad_act!Q113</f>
        <v>2022</v>
      </c>
      <c r="R32" s="137">
        <f>TrRoad_act!R113</f>
        <v>2604</v>
      </c>
      <c r="S32" s="137">
        <f>TrRoad_act!S113</f>
        <v>3420</v>
      </c>
      <c r="T32" s="137">
        <f>TrRoad_act!T113</f>
        <v>2371</v>
      </c>
      <c r="U32" s="137">
        <f>TrRoad_act!U113</f>
        <v>3897</v>
      </c>
      <c r="V32" s="137">
        <f>TrRoad_act!V113</f>
        <v>3964</v>
      </c>
      <c r="W32" s="137">
        <f>TrRoad_act!W113</f>
        <v>3489</v>
      </c>
      <c r="X32" s="137">
        <f>TrRoad_act!X113</f>
        <v>3776</v>
      </c>
      <c r="Y32" s="137">
        <f>TrRoad_act!Y113</f>
        <v>3877</v>
      </c>
      <c r="DA32" s="174" t="s">
        <v>528</v>
      </c>
    </row>
    <row r="33" spans="1:105" ht="11.45" customHeight="1" x14ac:dyDescent="0.25">
      <c r="A33" s="109" t="s">
        <v>20</v>
      </c>
      <c r="B33" s="110">
        <f>TrRoad_act!B114</f>
        <v>227432</v>
      </c>
      <c r="C33" s="110">
        <f>TrRoad_act!C114</f>
        <v>163143</v>
      </c>
      <c r="D33" s="110">
        <f>TrRoad_act!D114</f>
        <v>152879</v>
      </c>
      <c r="E33" s="110">
        <f>TrRoad_act!E114</f>
        <v>145532</v>
      </c>
      <c r="F33" s="110">
        <f>TrRoad_act!F114</f>
        <v>152487</v>
      </c>
      <c r="G33" s="110">
        <f>TrRoad_act!G114</f>
        <v>180386</v>
      </c>
      <c r="H33" s="110">
        <f>TrRoad_act!H114</f>
        <v>222270</v>
      </c>
      <c r="I33" s="110">
        <f>TrRoad_act!I114</f>
        <v>197572</v>
      </c>
      <c r="J33" s="110">
        <f>TrRoad_act!J114</f>
        <v>189414</v>
      </c>
      <c r="K33" s="110">
        <f>TrRoad_act!K114</f>
        <v>67434</v>
      </c>
      <c r="L33" s="110">
        <f>TrRoad_act!L114</f>
        <v>108103</v>
      </c>
      <c r="M33" s="110">
        <f>TrRoad_act!M114</f>
        <v>126109</v>
      </c>
      <c r="N33" s="110">
        <f>TrRoad_act!N114</f>
        <v>88649</v>
      </c>
      <c r="O33" s="110">
        <f>TrRoad_act!O114</f>
        <v>184381</v>
      </c>
      <c r="P33" s="110">
        <f>TrRoad_act!P114</f>
        <v>123354</v>
      </c>
      <c r="Q33" s="110">
        <f>TrRoad_act!Q114</f>
        <v>143704</v>
      </c>
      <c r="R33" s="110">
        <f>TrRoad_act!R114</f>
        <v>167878</v>
      </c>
      <c r="S33" s="110">
        <f>TrRoad_act!S114</f>
        <v>171170</v>
      </c>
      <c r="T33" s="110">
        <f>TrRoad_act!T114</f>
        <v>190883</v>
      </c>
      <c r="U33" s="110">
        <f>TrRoad_act!U114</f>
        <v>209201</v>
      </c>
      <c r="V33" s="110">
        <f>TrRoad_act!V114</f>
        <v>173582</v>
      </c>
      <c r="W33" s="110">
        <f>TrRoad_act!W114</f>
        <v>170481</v>
      </c>
      <c r="X33" s="110">
        <f>TrRoad_act!X114</f>
        <v>157190</v>
      </c>
      <c r="Y33" s="110">
        <f>TrRoad_act!Y114</f>
        <v>185198</v>
      </c>
      <c r="DA33" s="176" t="s">
        <v>529</v>
      </c>
    </row>
    <row r="34" spans="1:105" ht="11.45" customHeight="1" x14ac:dyDescent="0.25">
      <c r="A34" s="111" t="s">
        <v>110</v>
      </c>
      <c r="B34" s="84">
        <f>TrRoad_act!B115</f>
        <v>201938</v>
      </c>
      <c r="C34" s="84">
        <f>TrRoad_act!C115</f>
        <v>139909</v>
      </c>
      <c r="D34" s="84">
        <f>TrRoad_act!D115</f>
        <v>125347</v>
      </c>
      <c r="E34" s="84">
        <f>TrRoad_act!E115</f>
        <v>117765</v>
      </c>
      <c r="F34" s="84">
        <f>TrRoad_act!F115</f>
        <v>121504</v>
      </c>
      <c r="G34" s="84">
        <f>TrRoad_act!G115</f>
        <v>129552</v>
      </c>
      <c r="H34" s="84">
        <f>TrRoad_act!H115</f>
        <v>153065</v>
      </c>
      <c r="I34" s="84">
        <f>TrRoad_act!I115</f>
        <v>131964</v>
      </c>
      <c r="J34" s="84">
        <f>TrRoad_act!J115</f>
        <v>96775</v>
      </c>
      <c r="K34" s="84">
        <f>TrRoad_act!K115</f>
        <v>21275</v>
      </c>
      <c r="L34" s="84">
        <f>TrRoad_act!L115</f>
        <v>35382</v>
      </c>
      <c r="M34" s="84">
        <f>TrRoad_act!M115</f>
        <v>31492</v>
      </c>
      <c r="N34" s="84">
        <f>TrRoad_act!N115</f>
        <v>19759</v>
      </c>
      <c r="O34" s="84">
        <f>TrRoad_act!O115</f>
        <v>18032</v>
      </c>
      <c r="P34" s="84">
        <f>TrRoad_act!P115</f>
        <v>26309</v>
      </c>
      <c r="Q34" s="84">
        <f>TrRoad_act!Q115</f>
        <v>39089</v>
      </c>
      <c r="R34" s="84">
        <f>TrRoad_act!R115</f>
        <v>46686</v>
      </c>
      <c r="S34" s="84">
        <f>TrRoad_act!S115</f>
        <v>50143</v>
      </c>
      <c r="T34" s="84">
        <f>TrRoad_act!T115</f>
        <v>62142</v>
      </c>
      <c r="U34" s="84">
        <f>TrRoad_act!U115</f>
        <v>68121</v>
      </c>
      <c r="V34" s="84">
        <f>TrRoad_act!V115</f>
        <v>52593</v>
      </c>
      <c r="W34" s="84">
        <f>TrRoad_act!W115</f>
        <v>62836</v>
      </c>
      <c r="X34" s="84">
        <f>TrRoad_act!X115</f>
        <v>68237</v>
      </c>
      <c r="Y34" s="84">
        <f>TrRoad_act!Y115</f>
        <v>75042</v>
      </c>
      <c r="DA34" s="171" t="s">
        <v>530</v>
      </c>
    </row>
    <row r="35" spans="1:105" ht="11.45" customHeight="1" x14ac:dyDescent="0.25">
      <c r="A35" s="111" t="s">
        <v>111</v>
      </c>
      <c r="B35" s="84">
        <f>TrRoad_act!B116</f>
        <v>25494</v>
      </c>
      <c r="C35" s="84">
        <f>TrRoad_act!C116</f>
        <v>23234</v>
      </c>
      <c r="D35" s="84">
        <f>TrRoad_act!D116</f>
        <v>27532</v>
      </c>
      <c r="E35" s="84">
        <f>TrRoad_act!E116</f>
        <v>27767</v>
      </c>
      <c r="F35" s="84">
        <f>TrRoad_act!F116</f>
        <v>30983</v>
      </c>
      <c r="G35" s="84">
        <f>TrRoad_act!G116</f>
        <v>50834</v>
      </c>
      <c r="H35" s="84">
        <f>TrRoad_act!H116</f>
        <v>69205</v>
      </c>
      <c r="I35" s="84">
        <f>TrRoad_act!I116</f>
        <v>65402</v>
      </c>
      <c r="J35" s="84">
        <f>TrRoad_act!J116</f>
        <v>92639</v>
      </c>
      <c r="K35" s="84">
        <f>TrRoad_act!K116</f>
        <v>46137</v>
      </c>
      <c r="L35" s="84">
        <f>TrRoad_act!L116</f>
        <v>72686</v>
      </c>
      <c r="M35" s="84">
        <f>TrRoad_act!M116</f>
        <v>93962</v>
      </c>
      <c r="N35" s="84">
        <f>TrRoad_act!N116</f>
        <v>67689</v>
      </c>
      <c r="O35" s="84">
        <f>TrRoad_act!O116</f>
        <v>165908</v>
      </c>
      <c r="P35" s="84">
        <f>TrRoad_act!P116</f>
        <v>95828</v>
      </c>
      <c r="Q35" s="84">
        <f>TrRoad_act!Q116</f>
        <v>103908</v>
      </c>
      <c r="R35" s="84">
        <f>TrRoad_act!R116</f>
        <v>120214</v>
      </c>
      <c r="S35" s="84">
        <f>TrRoad_act!S116</f>
        <v>119609</v>
      </c>
      <c r="T35" s="84">
        <f>TrRoad_act!T116</f>
        <v>125981</v>
      </c>
      <c r="U35" s="84">
        <f>TrRoad_act!U116</f>
        <v>135532</v>
      </c>
      <c r="V35" s="84">
        <f>TrRoad_act!V116</f>
        <v>114083</v>
      </c>
      <c r="W35" s="84">
        <f>TrRoad_act!W116</f>
        <v>86189</v>
      </c>
      <c r="X35" s="84">
        <f>TrRoad_act!X116</f>
        <v>64085</v>
      </c>
      <c r="Y35" s="84">
        <f>TrRoad_act!Y116</f>
        <v>75910</v>
      </c>
      <c r="DA35" s="171" t="s">
        <v>531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0</v>
      </c>
      <c r="D36" s="84">
        <f>TrRoad_act!D117</f>
        <v>0</v>
      </c>
      <c r="E36" s="84">
        <f>TrRoad_act!E117</f>
        <v>0</v>
      </c>
      <c r="F36" s="84">
        <f>TrRoad_act!F117</f>
        <v>0</v>
      </c>
      <c r="G36" s="84">
        <f>TrRoad_act!G117</f>
        <v>0</v>
      </c>
      <c r="H36" s="84">
        <f>TrRoad_act!H117</f>
        <v>0</v>
      </c>
      <c r="I36" s="84">
        <f>TrRoad_act!I117</f>
        <v>206</v>
      </c>
      <c r="J36" s="84">
        <f>TrRoad_act!J117</f>
        <v>0</v>
      </c>
      <c r="K36" s="84">
        <f>TrRoad_act!K117</f>
        <v>20</v>
      </c>
      <c r="L36" s="84">
        <f>TrRoad_act!L117</f>
        <v>16</v>
      </c>
      <c r="M36" s="84">
        <f>TrRoad_act!M117</f>
        <v>58</v>
      </c>
      <c r="N36" s="84">
        <f>TrRoad_act!N117</f>
        <v>433</v>
      </c>
      <c r="O36" s="84">
        <f>TrRoad_act!O117</f>
        <v>267</v>
      </c>
      <c r="P36" s="84">
        <f>TrRoad_act!P117</f>
        <v>890</v>
      </c>
      <c r="Q36" s="84">
        <f>TrRoad_act!Q117</f>
        <v>108</v>
      </c>
      <c r="R36" s="84">
        <f>TrRoad_act!R117</f>
        <v>0</v>
      </c>
      <c r="S36" s="84">
        <f>TrRoad_act!S117</f>
        <v>8</v>
      </c>
      <c r="T36" s="84">
        <f>TrRoad_act!T117</f>
        <v>9</v>
      </c>
      <c r="U36" s="84">
        <f>TrRoad_act!U117</f>
        <v>11</v>
      </c>
      <c r="V36" s="84">
        <f>TrRoad_act!V117</f>
        <v>23</v>
      </c>
      <c r="W36" s="84">
        <f>TrRoad_act!W117</f>
        <v>334</v>
      </c>
      <c r="X36" s="84">
        <f>TrRoad_act!X117</f>
        <v>582</v>
      </c>
      <c r="Y36" s="84">
        <f>TrRoad_act!Y117</f>
        <v>0</v>
      </c>
      <c r="DA36" s="171" t="s">
        <v>532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0</v>
      </c>
      <c r="G37" s="84">
        <f>TrRoad_act!G118</f>
        <v>0</v>
      </c>
      <c r="H37" s="84">
        <f>TrRoad_act!H118</f>
        <v>0</v>
      </c>
      <c r="I37" s="84">
        <f>TrRoad_act!I118</f>
        <v>0</v>
      </c>
      <c r="J37" s="84">
        <f>TrRoad_act!J118</f>
        <v>0</v>
      </c>
      <c r="K37" s="84">
        <f>TrRoad_act!K118</f>
        <v>0</v>
      </c>
      <c r="L37" s="84">
        <f>TrRoad_act!L118</f>
        <v>0</v>
      </c>
      <c r="M37" s="84">
        <f>TrRoad_act!M118</f>
        <v>0</v>
      </c>
      <c r="N37" s="84">
        <f>TrRoad_act!N118</f>
        <v>0</v>
      </c>
      <c r="O37" s="84">
        <f>TrRoad_act!O118</f>
        <v>0</v>
      </c>
      <c r="P37" s="84">
        <f>TrRoad_act!P118</f>
        <v>10</v>
      </c>
      <c r="Q37" s="84">
        <f>TrRoad_act!Q118</f>
        <v>6</v>
      </c>
      <c r="R37" s="84">
        <f>TrRoad_act!R118</f>
        <v>0</v>
      </c>
      <c r="S37" s="84">
        <f>TrRoad_act!S118</f>
        <v>0</v>
      </c>
      <c r="T37" s="84">
        <f>TrRoad_act!T118</f>
        <v>0</v>
      </c>
      <c r="U37" s="84">
        <f>TrRoad_act!U118</f>
        <v>0</v>
      </c>
      <c r="V37" s="84">
        <f>TrRoad_act!V118</f>
        <v>0</v>
      </c>
      <c r="W37" s="84">
        <f>TrRoad_act!W118</f>
        <v>0</v>
      </c>
      <c r="X37" s="84">
        <f>TrRoad_act!X118</f>
        <v>176</v>
      </c>
      <c r="Y37" s="84">
        <f>TrRoad_act!Y118</f>
        <v>0</v>
      </c>
      <c r="DA37" s="171" t="s">
        <v>533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0</v>
      </c>
      <c r="N38" s="84">
        <f>TrRoad_act!N119</f>
        <v>0</v>
      </c>
      <c r="O38" s="84">
        <f>TrRoad_act!O119</f>
        <v>7</v>
      </c>
      <c r="P38" s="84">
        <f>TrRoad_act!P119</f>
        <v>33</v>
      </c>
      <c r="Q38" s="84">
        <f>TrRoad_act!Q119</f>
        <v>99</v>
      </c>
      <c r="R38" s="84">
        <f>TrRoad_act!R119</f>
        <v>289</v>
      </c>
      <c r="S38" s="84">
        <f>TrRoad_act!S119</f>
        <v>327</v>
      </c>
      <c r="T38" s="84">
        <f>TrRoad_act!T119</f>
        <v>893</v>
      </c>
      <c r="U38" s="84">
        <f>TrRoad_act!U119</f>
        <v>1533</v>
      </c>
      <c r="V38" s="84">
        <f>TrRoad_act!V119</f>
        <v>2718</v>
      </c>
      <c r="W38" s="84">
        <f>TrRoad_act!W119</f>
        <v>11923</v>
      </c>
      <c r="X38" s="84">
        <f>TrRoad_act!X119</f>
        <v>8238</v>
      </c>
      <c r="Y38" s="84">
        <f>TrRoad_act!Y119</f>
        <v>11065</v>
      </c>
      <c r="DA38" s="171" t="s">
        <v>534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0</v>
      </c>
      <c r="K39" s="84">
        <f>TrRoad_act!K120</f>
        <v>2</v>
      </c>
      <c r="L39" s="84">
        <f>TrRoad_act!L120</f>
        <v>19</v>
      </c>
      <c r="M39" s="84">
        <f>TrRoad_act!M120</f>
        <v>597</v>
      </c>
      <c r="N39" s="84">
        <f>TrRoad_act!N120</f>
        <v>768</v>
      </c>
      <c r="O39" s="84">
        <f>TrRoad_act!O120</f>
        <v>167</v>
      </c>
      <c r="P39" s="84">
        <f>TrRoad_act!P120</f>
        <v>284</v>
      </c>
      <c r="Q39" s="84">
        <f>TrRoad_act!Q120</f>
        <v>494</v>
      </c>
      <c r="R39" s="84">
        <f>TrRoad_act!R120</f>
        <v>689</v>
      </c>
      <c r="S39" s="84">
        <f>TrRoad_act!S120</f>
        <v>1083</v>
      </c>
      <c r="T39" s="84">
        <f>TrRoad_act!T120</f>
        <v>1858</v>
      </c>
      <c r="U39" s="84">
        <f>TrRoad_act!U120</f>
        <v>4004</v>
      </c>
      <c r="V39" s="84">
        <f>TrRoad_act!V120</f>
        <v>4165</v>
      </c>
      <c r="W39" s="84">
        <f>TrRoad_act!W120</f>
        <v>9199</v>
      </c>
      <c r="X39" s="84">
        <f>TrRoad_act!X120</f>
        <v>15872</v>
      </c>
      <c r="Y39" s="84">
        <f>TrRoad_act!Y120</f>
        <v>23181</v>
      </c>
      <c r="DA39" s="171" t="s">
        <v>535</v>
      </c>
    </row>
    <row r="40" spans="1:105" ht="11.45" customHeight="1" x14ac:dyDescent="0.25">
      <c r="A40" s="109" t="s">
        <v>21</v>
      </c>
      <c r="B40" s="110">
        <f>TrRoad_act!B121</f>
        <v>1201</v>
      </c>
      <c r="C40" s="110">
        <f>TrRoad_act!C121</f>
        <v>803</v>
      </c>
      <c r="D40" s="110">
        <f>TrRoad_act!D121</f>
        <v>647</v>
      </c>
      <c r="E40" s="110">
        <f>TrRoad_act!E121</f>
        <v>956</v>
      </c>
      <c r="F40" s="110">
        <f>TrRoad_act!F121</f>
        <v>827</v>
      </c>
      <c r="G40" s="110">
        <f>TrRoad_act!G121</f>
        <v>861</v>
      </c>
      <c r="H40" s="110">
        <f>TrRoad_act!H121</f>
        <v>1136</v>
      </c>
      <c r="I40" s="110">
        <f>TrRoad_act!I121</f>
        <v>1118</v>
      </c>
      <c r="J40" s="110">
        <f>TrRoad_act!J121</f>
        <v>1152</v>
      </c>
      <c r="K40" s="110">
        <f>TrRoad_act!K121</f>
        <v>375</v>
      </c>
      <c r="L40" s="110">
        <f>TrRoad_act!L121</f>
        <v>241</v>
      </c>
      <c r="M40" s="110">
        <f>TrRoad_act!M121</f>
        <v>597</v>
      </c>
      <c r="N40" s="110">
        <f>TrRoad_act!N121</f>
        <v>669</v>
      </c>
      <c r="O40" s="110">
        <f>TrRoad_act!O121</f>
        <v>850</v>
      </c>
      <c r="P40" s="110">
        <f>TrRoad_act!P121</f>
        <v>875</v>
      </c>
      <c r="Q40" s="110">
        <f>TrRoad_act!Q121</f>
        <v>1103</v>
      </c>
      <c r="R40" s="110">
        <f>TrRoad_act!R121</f>
        <v>1097</v>
      </c>
      <c r="S40" s="110">
        <f>TrRoad_act!S121</f>
        <v>1077</v>
      </c>
      <c r="T40" s="110">
        <f>TrRoad_act!T121</f>
        <v>1162</v>
      </c>
      <c r="U40" s="110">
        <f>TrRoad_act!U121</f>
        <v>1140</v>
      </c>
      <c r="V40" s="110">
        <f>TrRoad_act!V121</f>
        <v>275</v>
      </c>
      <c r="W40" s="110">
        <f>TrRoad_act!W121</f>
        <v>795</v>
      </c>
      <c r="X40" s="110">
        <f>TrRoad_act!X121</f>
        <v>1562</v>
      </c>
      <c r="Y40" s="110">
        <f>TrRoad_act!Y121</f>
        <v>1618</v>
      </c>
      <c r="DA40" s="176" t="s">
        <v>536</v>
      </c>
    </row>
    <row r="41" spans="1:105" ht="11.45" customHeight="1" x14ac:dyDescent="0.25">
      <c r="A41" s="111" t="s">
        <v>110</v>
      </c>
      <c r="B41" s="102">
        <f>TrRoad_act!B122</f>
        <v>1</v>
      </c>
      <c r="C41" s="102">
        <f>TrRoad_act!C122</f>
        <v>0</v>
      </c>
      <c r="D41" s="102">
        <f>TrRoad_act!D122</f>
        <v>0</v>
      </c>
      <c r="E41" s="102">
        <f>TrRoad_act!E122</f>
        <v>0</v>
      </c>
      <c r="F41" s="102">
        <f>TrRoad_act!F122</f>
        <v>0</v>
      </c>
      <c r="G41" s="102">
        <f>TrRoad_act!G122</f>
        <v>0</v>
      </c>
      <c r="H41" s="102">
        <f>TrRoad_act!H122</f>
        <v>0</v>
      </c>
      <c r="I41" s="102">
        <f>TrRoad_act!I122</f>
        <v>1</v>
      </c>
      <c r="J41" s="102">
        <f>TrRoad_act!J122</f>
        <v>0</v>
      </c>
      <c r="K41" s="102">
        <f>TrRoad_act!K122</f>
        <v>0</v>
      </c>
      <c r="L41" s="102">
        <f>TrRoad_act!L122</f>
        <v>0</v>
      </c>
      <c r="M41" s="102">
        <f>TrRoad_act!M122</f>
        <v>0</v>
      </c>
      <c r="N41" s="102">
        <f>TrRoad_act!N122</f>
        <v>0</v>
      </c>
      <c r="O41" s="102">
        <f>TrRoad_act!O122</f>
        <v>0</v>
      </c>
      <c r="P41" s="102">
        <f>TrRoad_act!P122</f>
        <v>0</v>
      </c>
      <c r="Q41" s="102">
        <f>TrRoad_act!Q122</f>
        <v>0</v>
      </c>
      <c r="R41" s="102">
        <f>TrRoad_act!R122</f>
        <v>0</v>
      </c>
      <c r="S41" s="102">
        <f>TrRoad_act!S122</f>
        <v>3</v>
      </c>
      <c r="T41" s="102">
        <f>TrRoad_act!T122</f>
        <v>0</v>
      </c>
      <c r="U41" s="102">
        <f>TrRoad_act!U122</f>
        <v>3</v>
      </c>
      <c r="V41" s="102">
        <f>TrRoad_act!V122</f>
        <v>0</v>
      </c>
      <c r="W41" s="102">
        <f>TrRoad_act!W122</f>
        <v>0</v>
      </c>
      <c r="X41" s="102">
        <f>TrRoad_act!X122</f>
        <v>25</v>
      </c>
      <c r="Y41" s="102">
        <f>TrRoad_act!Y122</f>
        <v>58</v>
      </c>
      <c r="DA41" s="175" t="s">
        <v>537</v>
      </c>
    </row>
    <row r="42" spans="1:105" ht="11.45" customHeight="1" x14ac:dyDescent="0.25">
      <c r="A42" s="111" t="s">
        <v>111</v>
      </c>
      <c r="B42" s="102">
        <f>TrRoad_act!B123</f>
        <v>1200</v>
      </c>
      <c r="C42" s="102">
        <f>TrRoad_act!C123</f>
        <v>802</v>
      </c>
      <c r="D42" s="102">
        <f>TrRoad_act!D123</f>
        <v>647</v>
      </c>
      <c r="E42" s="102">
        <f>TrRoad_act!E123</f>
        <v>956</v>
      </c>
      <c r="F42" s="102">
        <f>TrRoad_act!F123</f>
        <v>827</v>
      </c>
      <c r="G42" s="102">
        <f>TrRoad_act!G123</f>
        <v>861</v>
      </c>
      <c r="H42" s="102">
        <f>TrRoad_act!H123</f>
        <v>1136</v>
      </c>
      <c r="I42" s="102">
        <f>TrRoad_act!I123</f>
        <v>1117</v>
      </c>
      <c r="J42" s="102">
        <f>TrRoad_act!J123</f>
        <v>1151</v>
      </c>
      <c r="K42" s="102">
        <f>TrRoad_act!K123</f>
        <v>375</v>
      </c>
      <c r="L42" s="102">
        <f>TrRoad_act!L123</f>
        <v>241</v>
      </c>
      <c r="M42" s="102">
        <f>TrRoad_act!M123</f>
        <v>597</v>
      </c>
      <c r="N42" s="102">
        <f>TrRoad_act!N123</f>
        <v>669</v>
      </c>
      <c r="O42" s="102">
        <f>TrRoad_act!O123</f>
        <v>850</v>
      </c>
      <c r="P42" s="102">
        <f>TrRoad_act!P123</f>
        <v>875</v>
      </c>
      <c r="Q42" s="102">
        <f>TrRoad_act!Q123</f>
        <v>1103</v>
      </c>
      <c r="R42" s="102">
        <f>TrRoad_act!R123</f>
        <v>1097</v>
      </c>
      <c r="S42" s="102">
        <f>TrRoad_act!S123</f>
        <v>1074</v>
      </c>
      <c r="T42" s="102">
        <f>TrRoad_act!T123</f>
        <v>1161</v>
      </c>
      <c r="U42" s="102">
        <f>TrRoad_act!U123</f>
        <v>1116</v>
      </c>
      <c r="V42" s="102">
        <f>TrRoad_act!V123</f>
        <v>247</v>
      </c>
      <c r="W42" s="102">
        <f>TrRoad_act!W123</f>
        <v>792</v>
      </c>
      <c r="X42" s="102">
        <f>TrRoad_act!X123</f>
        <v>1508</v>
      </c>
      <c r="Y42" s="102">
        <f>TrRoad_act!Y123</f>
        <v>1502</v>
      </c>
      <c r="DA42" s="175" t="s">
        <v>538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1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0</v>
      </c>
      <c r="J43" s="102">
        <f>TrRoad_act!J124</f>
        <v>0</v>
      </c>
      <c r="K43" s="102">
        <f>TrRoad_act!K124</f>
        <v>0</v>
      </c>
      <c r="L43" s="102">
        <f>TrRoad_act!L124</f>
        <v>0</v>
      </c>
      <c r="M43" s="102">
        <f>TrRoad_act!M124</f>
        <v>0</v>
      </c>
      <c r="N43" s="102">
        <f>TrRoad_act!N124</f>
        <v>0</v>
      </c>
      <c r="O43" s="102">
        <f>TrRoad_act!O124</f>
        <v>0</v>
      </c>
      <c r="P43" s="102">
        <f>TrRoad_act!P124</f>
        <v>0</v>
      </c>
      <c r="Q43" s="102">
        <f>TrRoad_act!Q124</f>
        <v>0</v>
      </c>
      <c r="R43" s="102">
        <f>TrRoad_act!R124</f>
        <v>0</v>
      </c>
      <c r="S43" s="102">
        <f>TrRoad_act!S124</f>
        <v>0</v>
      </c>
      <c r="T43" s="102">
        <f>TrRoad_act!T124</f>
        <v>0</v>
      </c>
      <c r="U43" s="102">
        <f>TrRoad_act!U124</f>
        <v>0</v>
      </c>
      <c r="V43" s="102">
        <f>TrRoad_act!V124</f>
        <v>0</v>
      </c>
      <c r="W43" s="102">
        <f>TrRoad_act!W124</f>
        <v>0</v>
      </c>
      <c r="X43" s="102">
        <f>TrRoad_act!X124</f>
        <v>0</v>
      </c>
      <c r="Y43" s="102">
        <f>TrRoad_act!Y124</f>
        <v>0</v>
      </c>
      <c r="DA43" s="175" t="s">
        <v>539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0</v>
      </c>
      <c r="D44" s="102">
        <f>TrRoad_act!D125</f>
        <v>0</v>
      </c>
      <c r="E44" s="102">
        <f>TrRoad_act!E125</f>
        <v>0</v>
      </c>
      <c r="F44" s="102">
        <f>TrRoad_act!F125</f>
        <v>0</v>
      </c>
      <c r="G44" s="102">
        <f>TrRoad_act!G125</f>
        <v>0</v>
      </c>
      <c r="H44" s="102">
        <f>TrRoad_act!H125</f>
        <v>0</v>
      </c>
      <c r="I44" s="102">
        <f>TrRoad_act!I125</f>
        <v>0</v>
      </c>
      <c r="J44" s="102">
        <f>TrRoad_act!J125</f>
        <v>0</v>
      </c>
      <c r="K44" s="102">
        <f>TrRoad_act!K125</f>
        <v>0</v>
      </c>
      <c r="L44" s="102">
        <f>TrRoad_act!L125</f>
        <v>0</v>
      </c>
      <c r="M44" s="102">
        <f>TrRoad_act!M125</f>
        <v>0</v>
      </c>
      <c r="N44" s="102">
        <f>TrRoad_act!N125</f>
        <v>0</v>
      </c>
      <c r="O44" s="102">
        <f>TrRoad_act!O125</f>
        <v>0</v>
      </c>
      <c r="P44" s="102">
        <f>TrRoad_act!P125</f>
        <v>0</v>
      </c>
      <c r="Q44" s="102">
        <f>TrRoad_act!Q125</f>
        <v>0</v>
      </c>
      <c r="R44" s="102">
        <f>TrRoad_act!R125</f>
        <v>0</v>
      </c>
      <c r="S44" s="102">
        <f>TrRoad_act!S125</f>
        <v>0</v>
      </c>
      <c r="T44" s="102">
        <f>TrRoad_act!T125</f>
        <v>1</v>
      </c>
      <c r="U44" s="102">
        <f>TrRoad_act!U125</f>
        <v>20</v>
      </c>
      <c r="V44" s="102">
        <f>TrRoad_act!V125</f>
        <v>25</v>
      </c>
      <c r="W44" s="102">
        <f>TrRoad_act!W125</f>
        <v>0</v>
      </c>
      <c r="X44" s="102">
        <f>TrRoad_act!X125</f>
        <v>9</v>
      </c>
      <c r="Y44" s="102">
        <f>TrRoad_act!Y125</f>
        <v>0</v>
      </c>
      <c r="DA44" s="175" t="s">
        <v>540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0</v>
      </c>
      <c r="D45" s="102">
        <f>TrRoad_act!D126</f>
        <v>0</v>
      </c>
      <c r="E45" s="102">
        <f>TrRoad_act!E126</f>
        <v>0</v>
      </c>
      <c r="F45" s="102">
        <f>TrRoad_act!F126</f>
        <v>0</v>
      </c>
      <c r="G45" s="102">
        <f>TrRoad_act!G126</f>
        <v>0</v>
      </c>
      <c r="H45" s="102">
        <f>TrRoad_act!H126</f>
        <v>0</v>
      </c>
      <c r="I45" s="102">
        <f>TrRoad_act!I126</f>
        <v>0</v>
      </c>
      <c r="J45" s="102">
        <f>TrRoad_act!J126</f>
        <v>1</v>
      </c>
      <c r="K45" s="102">
        <f>TrRoad_act!K126</f>
        <v>0</v>
      </c>
      <c r="L45" s="102">
        <f>TrRoad_act!L126</f>
        <v>0</v>
      </c>
      <c r="M45" s="102">
        <f>TrRoad_act!M126</f>
        <v>0</v>
      </c>
      <c r="N45" s="102">
        <f>TrRoad_act!N126</f>
        <v>0</v>
      </c>
      <c r="O45" s="102">
        <f>TrRoad_act!O126</f>
        <v>0</v>
      </c>
      <c r="P45" s="102">
        <f>TrRoad_act!P126</f>
        <v>0</v>
      </c>
      <c r="Q45" s="102">
        <f>TrRoad_act!Q126</f>
        <v>0</v>
      </c>
      <c r="R45" s="102">
        <f>TrRoad_act!R126</f>
        <v>0</v>
      </c>
      <c r="S45" s="102">
        <f>TrRoad_act!S126</f>
        <v>0</v>
      </c>
      <c r="T45" s="102">
        <f>TrRoad_act!T126</f>
        <v>0</v>
      </c>
      <c r="U45" s="102">
        <f>TrRoad_act!U126</f>
        <v>1</v>
      </c>
      <c r="V45" s="102">
        <f>TrRoad_act!V126</f>
        <v>3</v>
      </c>
      <c r="W45" s="102">
        <f>TrRoad_act!W126</f>
        <v>3</v>
      </c>
      <c r="X45" s="102">
        <f>TrRoad_act!X126</f>
        <v>20</v>
      </c>
      <c r="Y45" s="102">
        <f>TrRoad_act!Y126</f>
        <v>58</v>
      </c>
      <c r="DA45" s="175" t="s">
        <v>541</v>
      </c>
    </row>
    <row r="46" spans="1:105" ht="11.45" customHeight="1" x14ac:dyDescent="0.25">
      <c r="A46" s="27" t="s">
        <v>34</v>
      </c>
      <c r="B46" s="28">
        <f>TrRoad_act!B127</f>
        <v>31489</v>
      </c>
      <c r="C46" s="28">
        <f>TrRoad_act!C127</f>
        <v>30894</v>
      </c>
      <c r="D46" s="28">
        <f>TrRoad_act!D127</f>
        <v>26839</v>
      </c>
      <c r="E46" s="28">
        <f>TrRoad_act!E127</f>
        <v>29066</v>
      </c>
      <c r="F46" s="28">
        <f>TrRoad_act!F127</f>
        <v>29509</v>
      </c>
      <c r="G46" s="28">
        <f>TrRoad_act!G127</f>
        <v>36903</v>
      </c>
      <c r="H46" s="28">
        <f>TrRoad_act!H127</f>
        <v>41412</v>
      </c>
      <c r="I46" s="28">
        <f>TrRoad_act!I127</f>
        <v>43133</v>
      </c>
      <c r="J46" s="28">
        <f>TrRoad_act!J127</f>
        <v>29038</v>
      </c>
      <c r="K46" s="28">
        <f>TrRoad_act!K127</f>
        <v>9240</v>
      </c>
      <c r="L46" s="28">
        <f>TrRoad_act!L127</f>
        <v>10859</v>
      </c>
      <c r="M46" s="28">
        <f>TrRoad_act!M127</f>
        <v>11969</v>
      </c>
      <c r="N46" s="28">
        <f>TrRoad_act!N127</f>
        <v>11136</v>
      </c>
      <c r="O46" s="28">
        <f>TrRoad_act!O127</f>
        <v>12109</v>
      </c>
      <c r="P46" s="28">
        <f>TrRoad_act!P127</f>
        <v>17657</v>
      </c>
      <c r="Q46" s="28">
        <f>TrRoad_act!Q127</f>
        <v>22943</v>
      </c>
      <c r="R46" s="28">
        <f>TrRoad_act!R127</f>
        <v>27284</v>
      </c>
      <c r="S46" s="28">
        <f>TrRoad_act!S127</f>
        <v>25892</v>
      </c>
      <c r="T46" s="28">
        <f>TrRoad_act!T127</f>
        <v>23437</v>
      </c>
      <c r="U46" s="28">
        <f>TrRoad_act!U127</f>
        <v>23655</v>
      </c>
      <c r="V46" s="28">
        <f>TrRoad_act!V127</f>
        <v>17750</v>
      </c>
      <c r="W46" s="28">
        <f>TrRoad_act!W127</f>
        <v>27262</v>
      </c>
      <c r="X46" s="28">
        <f>TrRoad_act!X127</f>
        <v>22292</v>
      </c>
      <c r="Y46" s="28">
        <f>TrRoad_act!Y127</f>
        <v>25118</v>
      </c>
      <c r="DA46" s="173" t="s">
        <v>542</v>
      </c>
    </row>
    <row r="47" spans="1:105" ht="11.45" customHeight="1" x14ac:dyDescent="0.25">
      <c r="A47" s="136" t="s">
        <v>153</v>
      </c>
      <c r="B47" s="137">
        <f>TrRoad_act!B128</f>
        <v>25683</v>
      </c>
      <c r="C47" s="137">
        <f>TrRoad_act!C128</f>
        <v>21891</v>
      </c>
      <c r="D47" s="137">
        <f>TrRoad_act!D128</f>
        <v>21603</v>
      </c>
      <c r="E47" s="137">
        <f>TrRoad_act!E128</f>
        <v>22983</v>
      </c>
      <c r="F47" s="137">
        <f>TrRoad_act!F128</f>
        <v>22746</v>
      </c>
      <c r="G47" s="137">
        <f>TrRoad_act!G128</f>
        <v>27901</v>
      </c>
      <c r="H47" s="137">
        <f>TrRoad_act!H128</f>
        <v>29739</v>
      </c>
      <c r="I47" s="137">
        <f>TrRoad_act!I128</f>
        <v>29785</v>
      </c>
      <c r="J47" s="137">
        <f>TrRoad_act!J128</f>
        <v>20266</v>
      </c>
      <c r="K47" s="137">
        <f>TrRoad_act!K128</f>
        <v>6794</v>
      </c>
      <c r="L47" s="137">
        <f>TrRoad_act!L128</f>
        <v>8214</v>
      </c>
      <c r="M47" s="137">
        <f>TrRoad_act!M128</f>
        <v>9189</v>
      </c>
      <c r="N47" s="137">
        <f>TrRoad_act!N128</f>
        <v>8436</v>
      </c>
      <c r="O47" s="137">
        <f>TrRoad_act!O128</f>
        <v>8692</v>
      </c>
      <c r="P47" s="137">
        <f>TrRoad_act!P128</f>
        <v>12889</v>
      </c>
      <c r="Q47" s="137">
        <f>TrRoad_act!Q128</f>
        <v>15954</v>
      </c>
      <c r="R47" s="137">
        <f>TrRoad_act!R128</f>
        <v>18038</v>
      </c>
      <c r="S47" s="137">
        <f>TrRoad_act!S128</f>
        <v>14916</v>
      </c>
      <c r="T47" s="137">
        <f>TrRoad_act!T128</f>
        <v>15453</v>
      </c>
      <c r="U47" s="137">
        <f>TrRoad_act!U128</f>
        <v>15438</v>
      </c>
      <c r="V47" s="137">
        <f>TrRoad_act!V128</f>
        <v>13815</v>
      </c>
      <c r="W47" s="137">
        <f>TrRoad_act!W128</f>
        <v>17946</v>
      </c>
      <c r="X47" s="137">
        <f>TrRoad_act!X128</f>
        <v>14755</v>
      </c>
      <c r="Y47" s="137">
        <f>TrRoad_act!Y128</f>
        <v>17259</v>
      </c>
      <c r="DA47" s="174" t="s">
        <v>543</v>
      </c>
    </row>
    <row r="48" spans="1:105" ht="11.45" customHeight="1" x14ac:dyDescent="0.25">
      <c r="A48" s="111" t="s">
        <v>110</v>
      </c>
      <c r="B48" s="84">
        <f>TrRoad_act!B129</f>
        <v>273</v>
      </c>
      <c r="C48" s="84">
        <f>TrRoad_act!C129</f>
        <v>134</v>
      </c>
      <c r="D48" s="84">
        <f>TrRoad_act!D129</f>
        <v>205</v>
      </c>
      <c r="E48" s="84">
        <f>TrRoad_act!E129</f>
        <v>153</v>
      </c>
      <c r="F48" s="84">
        <f>TrRoad_act!F129</f>
        <v>144</v>
      </c>
      <c r="G48" s="84">
        <f>TrRoad_act!G129</f>
        <v>141</v>
      </c>
      <c r="H48" s="84">
        <f>TrRoad_act!H129</f>
        <v>120</v>
      </c>
      <c r="I48" s="84">
        <f>TrRoad_act!I129</f>
        <v>82</v>
      </c>
      <c r="J48" s="84">
        <f>TrRoad_act!J129</f>
        <v>75</v>
      </c>
      <c r="K48" s="84">
        <f>TrRoad_act!K129</f>
        <v>62</v>
      </c>
      <c r="L48" s="84">
        <f>TrRoad_act!L129</f>
        <v>41</v>
      </c>
      <c r="M48" s="84">
        <f>TrRoad_act!M129</f>
        <v>20</v>
      </c>
      <c r="N48" s="84">
        <f>TrRoad_act!N129</f>
        <v>2</v>
      </c>
      <c r="O48" s="84">
        <f>TrRoad_act!O129</f>
        <v>10</v>
      </c>
      <c r="P48" s="84">
        <f>TrRoad_act!P129</f>
        <v>20</v>
      </c>
      <c r="Q48" s="84">
        <f>TrRoad_act!Q129</f>
        <v>17</v>
      </c>
      <c r="R48" s="84">
        <f>TrRoad_act!R129</f>
        <v>20</v>
      </c>
      <c r="S48" s="84">
        <f>TrRoad_act!S129</f>
        <v>74</v>
      </c>
      <c r="T48" s="84">
        <f>TrRoad_act!T129</f>
        <v>32</v>
      </c>
      <c r="U48" s="84">
        <f>TrRoad_act!U129</f>
        <v>89</v>
      </c>
      <c r="V48" s="84">
        <f>TrRoad_act!V129</f>
        <v>240</v>
      </c>
      <c r="W48" s="84">
        <f>TrRoad_act!W129</f>
        <v>174</v>
      </c>
      <c r="X48" s="84">
        <f>TrRoad_act!X129</f>
        <v>346</v>
      </c>
      <c r="Y48" s="84">
        <f>TrRoad_act!Y129</f>
        <v>620</v>
      </c>
      <c r="DA48" s="171" t="s">
        <v>544</v>
      </c>
    </row>
    <row r="49" spans="1:105" ht="11.45" customHeight="1" x14ac:dyDescent="0.25">
      <c r="A49" s="111" t="s">
        <v>111</v>
      </c>
      <c r="B49" s="84">
        <f>TrRoad_act!B130</f>
        <v>25410</v>
      </c>
      <c r="C49" s="84">
        <f>TrRoad_act!C130</f>
        <v>21757</v>
      </c>
      <c r="D49" s="84">
        <f>TrRoad_act!D130</f>
        <v>21398</v>
      </c>
      <c r="E49" s="84">
        <f>TrRoad_act!E130</f>
        <v>22830</v>
      </c>
      <c r="F49" s="84">
        <f>TrRoad_act!F130</f>
        <v>22602</v>
      </c>
      <c r="G49" s="84">
        <f>TrRoad_act!G130</f>
        <v>27760</v>
      </c>
      <c r="H49" s="84">
        <f>TrRoad_act!H130</f>
        <v>29619</v>
      </c>
      <c r="I49" s="84">
        <f>TrRoad_act!I130</f>
        <v>29703</v>
      </c>
      <c r="J49" s="84">
        <f>TrRoad_act!J130</f>
        <v>20191</v>
      </c>
      <c r="K49" s="84">
        <f>TrRoad_act!K130</f>
        <v>6732</v>
      </c>
      <c r="L49" s="84">
        <f>TrRoad_act!L130</f>
        <v>8173</v>
      </c>
      <c r="M49" s="84">
        <f>TrRoad_act!M130</f>
        <v>9135</v>
      </c>
      <c r="N49" s="84">
        <f>TrRoad_act!N130</f>
        <v>8389</v>
      </c>
      <c r="O49" s="84">
        <f>TrRoad_act!O130</f>
        <v>8673</v>
      </c>
      <c r="P49" s="84">
        <f>TrRoad_act!P130</f>
        <v>12856</v>
      </c>
      <c r="Q49" s="84">
        <f>TrRoad_act!Q130</f>
        <v>15917</v>
      </c>
      <c r="R49" s="84">
        <f>TrRoad_act!R130</f>
        <v>18003</v>
      </c>
      <c r="S49" s="84">
        <f>TrRoad_act!S130</f>
        <v>14780</v>
      </c>
      <c r="T49" s="84">
        <f>TrRoad_act!T130</f>
        <v>15337</v>
      </c>
      <c r="U49" s="84">
        <f>TrRoad_act!U130</f>
        <v>15017</v>
      </c>
      <c r="V49" s="84">
        <f>TrRoad_act!V130</f>
        <v>12840</v>
      </c>
      <c r="W49" s="84">
        <f>TrRoad_act!W130</f>
        <v>17111</v>
      </c>
      <c r="X49" s="84">
        <f>TrRoad_act!X130</f>
        <v>13724</v>
      </c>
      <c r="Y49" s="84">
        <f>TrRoad_act!Y130</f>
        <v>15650</v>
      </c>
      <c r="DA49" s="171" t="s">
        <v>545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0</v>
      </c>
      <c r="D50" s="84">
        <f>TrRoad_act!D131</f>
        <v>0</v>
      </c>
      <c r="E50" s="84">
        <f>TrRoad_act!E131</f>
        <v>0</v>
      </c>
      <c r="F50" s="84">
        <f>TrRoad_act!F131</f>
        <v>0</v>
      </c>
      <c r="G50" s="84">
        <f>TrRoad_act!G131</f>
        <v>0</v>
      </c>
      <c r="H50" s="84">
        <f>TrRoad_act!H131</f>
        <v>0</v>
      </c>
      <c r="I50" s="84">
        <f>TrRoad_act!I131</f>
        <v>0</v>
      </c>
      <c r="J50" s="84">
        <f>TrRoad_act!J131</f>
        <v>0</v>
      </c>
      <c r="K50" s="84">
        <f>TrRoad_act!K131</f>
        <v>0</v>
      </c>
      <c r="L50" s="84">
        <f>TrRoad_act!L131</f>
        <v>0</v>
      </c>
      <c r="M50" s="84">
        <f>TrRoad_act!M131</f>
        <v>0</v>
      </c>
      <c r="N50" s="84">
        <f>TrRoad_act!N131</f>
        <v>0</v>
      </c>
      <c r="O50" s="84">
        <f>TrRoad_act!O131</f>
        <v>2</v>
      </c>
      <c r="P50" s="84">
        <f>TrRoad_act!P131</f>
        <v>2</v>
      </c>
      <c r="Q50" s="84">
        <f>TrRoad_act!Q131</f>
        <v>0</v>
      </c>
      <c r="R50" s="84">
        <f>TrRoad_act!R131</f>
        <v>0</v>
      </c>
      <c r="S50" s="84">
        <f>TrRoad_act!S131</f>
        <v>1</v>
      </c>
      <c r="T50" s="84">
        <f>TrRoad_act!T131</f>
        <v>0</v>
      </c>
      <c r="U50" s="84">
        <f>TrRoad_act!U131</f>
        <v>0</v>
      </c>
      <c r="V50" s="84">
        <f>TrRoad_act!V131</f>
        <v>0</v>
      </c>
      <c r="W50" s="84">
        <f>TrRoad_act!W131</f>
        <v>0</v>
      </c>
      <c r="X50" s="84">
        <f>TrRoad_act!X131</f>
        <v>0</v>
      </c>
      <c r="Y50" s="84">
        <f>TrRoad_act!Y131</f>
        <v>0</v>
      </c>
      <c r="DA50" s="171" t="s">
        <v>546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0</v>
      </c>
      <c r="I51" s="84">
        <f>TrRoad_act!I132</f>
        <v>0</v>
      </c>
      <c r="J51" s="84">
        <f>TrRoad_act!J132</f>
        <v>0</v>
      </c>
      <c r="K51" s="84">
        <f>TrRoad_act!K132</f>
        <v>0</v>
      </c>
      <c r="L51" s="84">
        <f>TrRoad_act!L132</f>
        <v>0</v>
      </c>
      <c r="M51" s="84">
        <f>TrRoad_act!M132</f>
        <v>0</v>
      </c>
      <c r="N51" s="84">
        <f>TrRoad_act!N132</f>
        <v>0</v>
      </c>
      <c r="O51" s="84">
        <f>TrRoad_act!O132</f>
        <v>0</v>
      </c>
      <c r="P51" s="84">
        <f>TrRoad_act!P132</f>
        <v>0</v>
      </c>
      <c r="Q51" s="84">
        <f>TrRoad_act!Q132</f>
        <v>0</v>
      </c>
      <c r="R51" s="84">
        <f>TrRoad_act!R132</f>
        <v>4</v>
      </c>
      <c r="S51" s="84">
        <f>TrRoad_act!S132</f>
        <v>0</v>
      </c>
      <c r="T51" s="84">
        <f>TrRoad_act!T132</f>
        <v>0</v>
      </c>
      <c r="U51" s="84">
        <f>TrRoad_act!U132</f>
        <v>0</v>
      </c>
      <c r="V51" s="84">
        <f>TrRoad_act!V132</f>
        <v>2</v>
      </c>
      <c r="W51" s="84">
        <f>TrRoad_act!W132</f>
        <v>0</v>
      </c>
      <c r="X51" s="84">
        <f>TrRoad_act!X132</f>
        <v>0</v>
      </c>
      <c r="Y51" s="84">
        <f>TrRoad_act!Y132</f>
        <v>1</v>
      </c>
      <c r="DA51" s="171" t="s">
        <v>547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0</v>
      </c>
      <c r="J52" s="84">
        <f>TrRoad_act!J133</f>
        <v>0</v>
      </c>
      <c r="K52" s="84">
        <f>TrRoad_act!K133</f>
        <v>0</v>
      </c>
      <c r="L52" s="84">
        <f>TrRoad_act!L133</f>
        <v>0</v>
      </c>
      <c r="M52" s="84">
        <f>TrRoad_act!M133</f>
        <v>34</v>
      </c>
      <c r="N52" s="84">
        <f>TrRoad_act!N133</f>
        <v>45</v>
      </c>
      <c r="O52" s="84">
        <f>TrRoad_act!O133</f>
        <v>7</v>
      </c>
      <c r="P52" s="84">
        <f>TrRoad_act!P133</f>
        <v>11</v>
      </c>
      <c r="Q52" s="84">
        <f>TrRoad_act!Q133</f>
        <v>20</v>
      </c>
      <c r="R52" s="84">
        <f>TrRoad_act!R133</f>
        <v>11</v>
      </c>
      <c r="S52" s="84">
        <f>TrRoad_act!S133</f>
        <v>61</v>
      </c>
      <c r="T52" s="84">
        <f>TrRoad_act!T133</f>
        <v>84</v>
      </c>
      <c r="U52" s="84">
        <f>TrRoad_act!U133</f>
        <v>332</v>
      </c>
      <c r="V52" s="84">
        <f>TrRoad_act!V133</f>
        <v>733</v>
      </c>
      <c r="W52" s="84">
        <f>TrRoad_act!W133</f>
        <v>661</v>
      </c>
      <c r="X52" s="84">
        <f>TrRoad_act!X133</f>
        <v>685</v>
      </c>
      <c r="Y52" s="84">
        <f>TrRoad_act!Y133</f>
        <v>988</v>
      </c>
      <c r="DA52" s="171" t="s">
        <v>548</v>
      </c>
    </row>
    <row r="53" spans="1:105" ht="11.45" customHeight="1" x14ac:dyDescent="0.25">
      <c r="A53" s="109" t="s">
        <v>154</v>
      </c>
      <c r="B53" s="110">
        <f>TrRoad_act!B134</f>
        <v>5806</v>
      </c>
      <c r="C53" s="110">
        <f>TrRoad_act!C134</f>
        <v>9003</v>
      </c>
      <c r="D53" s="110">
        <f>TrRoad_act!D134</f>
        <v>5236</v>
      </c>
      <c r="E53" s="110">
        <f>TrRoad_act!E134</f>
        <v>6083</v>
      </c>
      <c r="F53" s="110">
        <f>TrRoad_act!F134</f>
        <v>6763</v>
      </c>
      <c r="G53" s="110">
        <f>TrRoad_act!G134</f>
        <v>9002</v>
      </c>
      <c r="H53" s="110">
        <f>TrRoad_act!H134</f>
        <v>11673</v>
      </c>
      <c r="I53" s="110">
        <f>TrRoad_act!I134</f>
        <v>13348</v>
      </c>
      <c r="J53" s="110">
        <f>TrRoad_act!J134</f>
        <v>8772</v>
      </c>
      <c r="K53" s="110">
        <f>TrRoad_act!K134</f>
        <v>2446</v>
      </c>
      <c r="L53" s="110">
        <f>TrRoad_act!L134</f>
        <v>2645</v>
      </c>
      <c r="M53" s="110">
        <f>TrRoad_act!M134</f>
        <v>2780</v>
      </c>
      <c r="N53" s="110">
        <f>TrRoad_act!N134</f>
        <v>2700</v>
      </c>
      <c r="O53" s="110">
        <f>TrRoad_act!O134</f>
        <v>3417</v>
      </c>
      <c r="P53" s="110">
        <f>TrRoad_act!P134</f>
        <v>4768</v>
      </c>
      <c r="Q53" s="110">
        <f>TrRoad_act!Q134</f>
        <v>6989</v>
      </c>
      <c r="R53" s="110">
        <f>TrRoad_act!R134</f>
        <v>9246</v>
      </c>
      <c r="S53" s="110">
        <f>TrRoad_act!S134</f>
        <v>10976</v>
      </c>
      <c r="T53" s="110">
        <f>TrRoad_act!T134</f>
        <v>7984</v>
      </c>
      <c r="U53" s="110">
        <f>TrRoad_act!U134</f>
        <v>8217</v>
      </c>
      <c r="V53" s="110">
        <f>TrRoad_act!V134</f>
        <v>3935</v>
      </c>
      <c r="W53" s="110">
        <f>TrRoad_act!W134</f>
        <v>9316</v>
      </c>
      <c r="X53" s="110">
        <f>TrRoad_act!X134</f>
        <v>7537</v>
      </c>
      <c r="Y53" s="110">
        <f>TrRoad_act!Y134</f>
        <v>7859</v>
      </c>
      <c r="DA53" s="176" t="s">
        <v>549</v>
      </c>
    </row>
    <row r="54" spans="1:105" ht="11.45" customHeight="1" x14ac:dyDescent="0.25">
      <c r="A54" s="128" t="s">
        <v>27</v>
      </c>
      <c r="B54" s="102">
        <f>TrRoad_act!B135</f>
        <v>5709</v>
      </c>
      <c r="C54" s="102">
        <f>TrRoad_act!C135</f>
        <v>8891</v>
      </c>
      <c r="D54" s="102">
        <f>TrRoad_act!D135</f>
        <v>5129</v>
      </c>
      <c r="E54" s="102">
        <f>TrRoad_act!E135</f>
        <v>5998</v>
      </c>
      <c r="F54" s="102">
        <f>TrRoad_act!F135</f>
        <v>6490</v>
      </c>
      <c r="G54" s="102">
        <f>TrRoad_act!G135</f>
        <v>8876</v>
      </c>
      <c r="H54" s="102">
        <f>TrRoad_act!H135</f>
        <v>11547</v>
      </c>
      <c r="I54" s="102">
        <f>TrRoad_act!I135</f>
        <v>13140</v>
      </c>
      <c r="J54" s="102">
        <f>TrRoad_act!J135</f>
        <v>8772</v>
      </c>
      <c r="K54" s="102">
        <f>TrRoad_act!K135</f>
        <v>2446</v>
      </c>
      <c r="L54" s="102">
        <f>TrRoad_act!L135</f>
        <v>2508</v>
      </c>
      <c r="M54" s="102">
        <f>TrRoad_act!M135</f>
        <v>2572</v>
      </c>
      <c r="N54" s="102">
        <f>TrRoad_act!N135</f>
        <v>2700</v>
      </c>
      <c r="O54" s="102">
        <f>TrRoad_act!O135</f>
        <v>3375</v>
      </c>
      <c r="P54" s="102">
        <f>TrRoad_act!P135</f>
        <v>4704</v>
      </c>
      <c r="Q54" s="102">
        <f>TrRoad_act!Q135</f>
        <v>6755</v>
      </c>
      <c r="R54" s="102">
        <f>TrRoad_act!R135</f>
        <v>9246</v>
      </c>
      <c r="S54" s="102">
        <f>TrRoad_act!S135</f>
        <v>10904</v>
      </c>
      <c r="T54" s="102">
        <f>TrRoad_act!T135</f>
        <v>7776</v>
      </c>
      <c r="U54" s="102">
        <f>TrRoad_act!U135</f>
        <v>7945</v>
      </c>
      <c r="V54" s="102">
        <f>TrRoad_act!V135</f>
        <v>3935</v>
      </c>
      <c r="W54" s="102">
        <f>TrRoad_act!W135</f>
        <v>9287</v>
      </c>
      <c r="X54" s="102">
        <f>TrRoad_act!X135</f>
        <v>7536</v>
      </c>
      <c r="Y54" s="102">
        <f>TrRoad_act!Y135</f>
        <v>7802</v>
      </c>
      <c r="DA54" s="175" t="s">
        <v>550</v>
      </c>
    </row>
    <row r="55" spans="1:105" ht="11.45" customHeight="1" x14ac:dyDescent="0.25">
      <c r="A55" s="138" t="s">
        <v>116</v>
      </c>
      <c r="B55" s="86">
        <f>TrRoad_act!B136</f>
        <v>97</v>
      </c>
      <c r="C55" s="86">
        <f>TrRoad_act!C136</f>
        <v>112</v>
      </c>
      <c r="D55" s="86">
        <f>TrRoad_act!D136</f>
        <v>107</v>
      </c>
      <c r="E55" s="86">
        <f>TrRoad_act!E136</f>
        <v>85</v>
      </c>
      <c r="F55" s="86">
        <f>TrRoad_act!F136</f>
        <v>273</v>
      </c>
      <c r="G55" s="86">
        <f>TrRoad_act!G136</f>
        <v>126</v>
      </c>
      <c r="H55" s="86">
        <f>TrRoad_act!H136</f>
        <v>126</v>
      </c>
      <c r="I55" s="86">
        <f>TrRoad_act!I136</f>
        <v>208</v>
      </c>
      <c r="J55" s="86">
        <f>TrRoad_act!J136</f>
        <v>0</v>
      </c>
      <c r="K55" s="86">
        <f>TrRoad_act!K136</f>
        <v>0</v>
      </c>
      <c r="L55" s="86">
        <f>TrRoad_act!L136</f>
        <v>137</v>
      </c>
      <c r="M55" s="86">
        <f>TrRoad_act!M136</f>
        <v>208</v>
      </c>
      <c r="N55" s="86">
        <f>TrRoad_act!N136</f>
        <v>0</v>
      </c>
      <c r="O55" s="86">
        <f>TrRoad_act!O136</f>
        <v>42</v>
      </c>
      <c r="P55" s="86">
        <f>TrRoad_act!P136</f>
        <v>64</v>
      </c>
      <c r="Q55" s="86">
        <f>TrRoad_act!Q136</f>
        <v>234</v>
      </c>
      <c r="R55" s="86">
        <f>TrRoad_act!R136</f>
        <v>0</v>
      </c>
      <c r="S55" s="86">
        <f>TrRoad_act!S136</f>
        <v>72</v>
      </c>
      <c r="T55" s="86">
        <f>TrRoad_act!T136</f>
        <v>208</v>
      </c>
      <c r="U55" s="86">
        <f>TrRoad_act!U136</f>
        <v>272</v>
      </c>
      <c r="V55" s="86">
        <f>TrRoad_act!V136</f>
        <v>0</v>
      </c>
      <c r="W55" s="86">
        <f>TrRoad_act!W136</f>
        <v>29</v>
      </c>
      <c r="X55" s="86">
        <f>TrRoad_act!X136</f>
        <v>1</v>
      </c>
      <c r="Y55" s="86">
        <f>TrRoad_act!Y136</f>
        <v>57</v>
      </c>
      <c r="DA55" s="178" t="s">
        <v>551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DA56" s="171"/>
    </row>
    <row r="57" spans="1:105" ht="11.45" customHeight="1" x14ac:dyDescent="0.25">
      <c r="A57" s="148"/>
      <c r="B57" s="231">
        <v>2020</v>
      </c>
      <c r="C57" s="231"/>
      <c r="D57" s="231"/>
      <c r="E57" s="231"/>
      <c r="F57" s="231"/>
      <c r="G57" s="231"/>
      <c r="H57" s="231"/>
      <c r="I57" s="231"/>
      <c r="J57" s="231"/>
      <c r="K57" s="231"/>
      <c r="L57" s="231"/>
      <c r="M57" s="231"/>
      <c r="N57" s="231"/>
      <c r="O57" s="231"/>
      <c r="P57" s="231"/>
      <c r="Q57" s="231"/>
      <c r="R57" s="231"/>
      <c r="S57" s="231"/>
      <c r="T57" s="231"/>
      <c r="U57" s="231"/>
      <c r="V57" s="231"/>
      <c r="W57" s="168"/>
      <c r="X57" s="168"/>
      <c r="Y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X58" s="147">
        <v>2021</v>
      </c>
      <c r="Y58" s="147">
        <v>2021</v>
      </c>
      <c r="DA58" s="210"/>
    </row>
    <row r="59" spans="1:105" ht="11.45" customHeight="1" x14ac:dyDescent="0.25">
      <c r="A59" s="53" t="s">
        <v>151</v>
      </c>
      <c r="B59" s="54">
        <f t="shared" ref="B59:K59" si="0">B60+B75</f>
        <v>615</v>
      </c>
      <c r="C59" s="54">
        <f t="shared" si="0"/>
        <v>1719</v>
      </c>
      <c r="D59" s="54">
        <f t="shared" si="0"/>
        <v>15292</v>
      </c>
      <c r="E59" s="54">
        <f t="shared" si="0"/>
        <v>33136</v>
      </c>
      <c r="F59" s="54">
        <f t="shared" si="0"/>
        <v>43192</v>
      </c>
      <c r="G59" s="54">
        <f t="shared" si="0"/>
        <v>63174</v>
      </c>
      <c r="H59" s="54">
        <f t="shared" si="0"/>
        <v>87367</v>
      </c>
      <c r="I59" s="54">
        <f t="shared" si="0"/>
        <v>115884</v>
      </c>
      <c r="J59" s="54">
        <f t="shared" si="0"/>
        <v>119157</v>
      </c>
      <c r="K59" s="54">
        <f t="shared" si="0"/>
        <v>46731</v>
      </c>
      <c r="L59" s="54">
        <f t="shared" ref="L59" si="1">L60+L75</f>
        <v>78063</v>
      </c>
      <c r="M59" s="54">
        <f t="shared" ref="M59:V59" si="2">M60+M75</f>
        <v>97182</v>
      </c>
      <c r="N59" s="54">
        <f t="shared" si="2"/>
        <v>75002</v>
      </c>
      <c r="O59" s="54">
        <f t="shared" si="2"/>
        <v>158844</v>
      </c>
      <c r="P59" s="54">
        <f t="shared" si="2"/>
        <v>119410</v>
      </c>
      <c r="Q59" s="54">
        <f t="shared" si="2"/>
        <v>147969</v>
      </c>
      <c r="R59" s="54">
        <f t="shared" si="2"/>
        <v>179546</v>
      </c>
      <c r="S59" s="54">
        <f t="shared" si="2"/>
        <v>186888</v>
      </c>
      <c r="T59" s="54">
        <f t="shared" si="2"/>
        <v>207430</v>
      </c>
      <c r="U59" s="54">
        <f t="shared" si="2"/>
        <v>230880</v>
      </c>
      <c r="V59" s="54">
        <f t="shared" si="2"/>
        <v>192654</v>
      </c>
      <c r="W59" s="54">
        <f t="shared" ref="W59:Y59" si="3">W60+W75</f>
        <v>200872</v>
      </c>
      <c r="X59" s="54">
        <f t="shared" si="3"/>
        <v>184577</v>
      </c>
      <c r="Y59" s="54">
        <f t="shared" si="3"/>
        <v>215811</v>
      </c>
      <c r="DA59" s="172" t="s">
        <v>838</v>
      </c>
    </row>
    <row r="60" spans="1:105" ht="11.45" customHeight="1" x14ac:dyDescent="0.25">
      <c r="A60" s="27" t="s">
        <v>33</v>
      </c>
      <c r="B60" s="28">
        <f t="shared" ref="B60:K60" si="4">B61+B62+B69</f>
        <v>536</v>
      </c>
      <c r="C60" s="28">
        <f t="shared" si="4"/>
        <v>1337</v>
      </c>
      <c r="D60" s="28">
        <f t="shared" si="4"/>
        <v>14917</v>
      </c>
      <c r="E60" s="28">
        <f t="shared" si="4"/>
        <v>32463</v>
      </c>
      <c r="F60" s="28">
        <f t="shared" si="4"/>
        <v>40672</v>
      </c>
      <c r="G60" s="28">
        <f t="shared" si="4"/>
        <v>50315</v>
      </c>
      <c r="H60" s="28">
        <f t="shared" si="4"/>
        <v>69192</v>
      </c>
      <c r="I60" s="28">
        <f t="shared" si="4"/>
        <v>94572</v>
      </c>
      <c r="J60" s="28">
        <f t="shared" si="4"/>
        <v>103036</v>
      </c>
      <c r="K60" s="28">
        <f t="shared" si="4"/>
        <v>41040</v>
      </c>
      <c r="L60" s="28">
        <f t="shared" ref="L60" si="5">L61+L62+L69</f>
        <v>70813</v>
      </c>
      <c r="M60" s="28">
        <f t="shared" ref="M60:V60" si="6">M61+M62+M69</f>
        <v>88624</v>
      </c>
      <c r="N60" s="28">
        <f t="shared" si="6"/>
        <v>66400</v>
      </c>
      <c r="O60" s="28">
        <f t="shared" si="6"/>
        <v>149003</v>
      </c>
      <c r="P60" s="28">
        <f t="shared" si="6"/>
        <v>104365</v>
      </c>
      <c r="Q60" s="28">
        <f t="shared" si="6"/>
        <v>127679</v>
      </c>
      <c r="R60" s="28">
        <f t="shared" si="6"/>
        <v>154467</v>
      </c>
      <c r="S60" s="28">
        <f t="shared" si="6"/>
        <v>162551</v>
      </c>
      <c r="T60" s="28">
        <f t="shared" si="6"/>
        <v>184991</v>
      </c>
      <c r="U60" s="28">
        <f t="shared" si="6"/>
        <v>208025</v>
      </c>
      <c r="V60" s="28">
        <f t="shared" si="6"/>
        <v>175088</v>
      </c>
      <c r="W60" s="28">
        <f t="shared" ref="W60:Y60" si="7">W61+W62+W69</f>
        <v>173704</v>
      </c>
      <c r="X60" s="28">
        <f t="shared" si="7"/>
        <v>162302</v>
      </c>
      <c r="Y60" s="28">
        <f t="shared" si="7"/>
        <v>190693</v>
      </c>
      <c r="DA60" s="173" t="s">
        <v>839</v>
      </c>
    </row>
    <row r="61" spans="1:105" ht="11.45" customHeight="1" x14ac:dyDescent="0.25">
      <c r="A61" s="136" t="s">
        <v>173</v>
      </c>
      <c r="B61" s="137">
        <v>526</v>
      </c>
      <c r="C61" s="137">
        <v>1337</v>
      </c>
      <c r="D61" s="137">
        <v>1884</v>
      </c>
      <c r="E61" s="137">
        <v>1118</v>
      </c>
      <c r="F61" s="137">
        <v>1137</v>
      </c>
      <c r="G61" s="137">
        <v>1211</v>
      </c>
      <c r="H61" s="137">
        <v>1412</v>
      </c>
      <c r="I61" s="137">
        <v>1785</v>
      </c>
      <c r="J61" s="137">
        <v>1878</v>
      </c>
      <c r="K61" s="137">
        <v>1030</v>
      </c>
      <c r="L61" s="137">
        <v>857</v>
      </c>
      <c r="M61" s="137">
        <v>678</v>
      </c>
      <c r="N61" s="137">
        <v>566</v>
      </c>
      <c r="O61" s="137">
        <v>2702</v>
      </c>
      <c r="P61" s="137">
        <v>1374</v>
      </c>
      <c r="Q61" s="137">
        <v>1903</v>
      </c>
      <c r="R61" s="137">
        <v>2504</v>
      </c>
      <c r="S61" s="137">
        <v>3339</v>
      </c>
      <c r="T61" s="137">
        <v>2342</v>
      </c>
      <c r="U61" s="137">
        <v>3876</v>
      </c>
      <c r="V61" s="137">
        <v>3959</v>
      </c>
      <c r="W61" s="137">
        <v>3489</v>
      </c>
      <c r="X61" s="137">
        <v>3776</v>
      </c>
      <c r="Y61" s="137">
        <v>3877</v>
      </c>
      <c r="DA61" s="174" t="s">
        <v>840</v>
      </c>
    </row>
    <row r="62" spans="1:105" ht="11.45" customHeight="1" x14ac:dyDescent="0.25">
      <c r="A62" s="109" t="s">
        <v>20</v>
      </c>
      <c r="B62" s="110">
        <f t="shared" ref="B62:K62" si="8">SUM(B63:B68)</f>
        <v>0</v>
      </c>
      <c r="C62" s="110">
        <f t="shared" si="8"/>
        <v>0</v>
      </c>
      <c r="D62" s="110">
        <f t="shared" si="8"/>
        <v>13033</v>
      </c>
      <c r="E62" s="110">
        <f t="shared" si="8"/>
        <v>31272</v>
      </c>
      <c r="F62" s="110">
        <f t="shared" si="8"/>
        <v>39318</v>
      </c>
      <c r="G62" s="110">
        <f t="shared" si="8"/>
        <v>48811</v>
      </c>
      <c r="H62" s="110">
        <f t="shared" si="8"/>
        <v>67324</v>
      </c>
      <c r="I62" s="110">
        <f t="shared" si="8"/>
        <v>92277</v>
      </c>
      <c r="J62" s="110">
        <f t="shared" si="8"/>
        <v>100569</v>
      </c>
      <c r="K62" s="110">
        <f t="shared" si="8"/>
        <v>39797</v>
      </c>
      <c r="L62" s="110">
        <f t="shared" ref="L62" si="9">SUM(L63:L68)</f>
        <v>69806</v>
      </c>
      <c r="M62" s="110">
        <f t="shared" ref="M62:V62" si="10">SUM(M63:M68)</f>
        <v>87543</v>
      </c>
      <c r="N62" s="110">
        <f t="shared" si="10"/>
        <v>65349</v>
      </c>
      <c r="O62" s="110">
        <f t="shared" si="10"/>
        <v>145645</v>
      </c>
      <c r="P62" s="110">
        <f t="shared" si="10"/>
        <v>102278</v>
      </c>
      <c r="Q62" s="110">
        <f t="shared" si="10"/>
        <v>124833</v>
      </c>
      <c r="R62" s="110">
        <f t="shared" si="10"/>
        <v>150987</v>
      </c>
      <c r="S62" s="110">
        <f t="shared" si="10"/>
        <v>158222</v>
      </c>
      <c r="T62" s="110">
        <f t="shared" si="10"/>
        <v>181551</v>
      </c>
      <c r="U62" s="110">
        <f t="shared" si="10"/>
        <v>203050</v>
      </c>
      <c r="V62" s="110">
        <f t="shared" si="10"/>
        <v>170863</v>
      </c>
      <c r="W62" s="110">
        <f t="shared" ref="W62:Y62" si="11">SUM(W63:W68)</f>
        <v>169430</v>
      </c>
      <c r="X62" s="110">
        <f t="shared" si="11"/>
        <v>156984</v>
      </c>
      <c r="Y62" s="110">
        <f t="shared" si="11"/>
        <v>185198</v>
      </c>
      <c r="DA62" s="176" t="s">
        <v>841</v>
      </c>
    </row>
    <row r="63" spans="1:105" ht="11.45" customHeight="1" x14ac:dyDescent="0.25">
      <c r="A63" s="111" t="s">
        <v>110</v>
      </c>
      <c r="B63" s="84">
        <v>0</v>
      </c>
      <c r="C63" s="84">
        <v>0</v>
      </c>
      <c r="D63" s="84">
        <v>13033</v>
      </c>
      <c r="E63" s="84">
        <v>31272</v>
      </c>
      <c r="F63" s="84">
        <v>39318</v>
      </c>
      <c r="G63" s="84">
        <v>48811</v>
      </c>
      <c r="H63" s="84">
        <v>66138</v>
      </c>
      <c r="I63" s="84">
        <v>64482</v>
      </c>
      <c r="J63" s="84">
        <v>52785</v>
      </c>
      <c r="K63" s="84">
        <v>12798</v>
      </c>
      <c r="L63" s="84">
        <v>23213</v>
      </c>
      <c r="M63" s="84">
        <v>22301</v>
      </c>
      <c r="N63" s="84">
        <v>14959</v>
      </c>
      <c r="O63" s="84">
        <v>14466</v>
      </c>
      <c r="P63" s="84">
        <v>22182</v>
      </c>
      <c r="Q63" s="84">
        <v>34374</v>
      </c>
      <c r="R63" s="84">
        <v>42521</v>
      </c>
      <c r="S63" s="84">
        <v>47001</v>
      </c>
      <c r="T63" s="84">
        <v>59591</v>
      </c>
      <c r="U63" s="84">
        <v>66464</v>
      </c>
      <c r="V63" s="84">
        <v>51942</v>
      </c>
      <c r="W63" s="84">
        <v>62520</v>
      </c>
      <c r="X63" s="84">
        <v>68153</v>
      </c>
      <c r="Y63" s="84">
        <v>75042</v>
      </c>
      <c r="DA63" s="171" t="s">
        <v>842</v>
      </c>
    </row>
    <row r="64" spans="1:105" ht="11.45" customHeight="1" x14ac:dyDescent="0.25">
      <c r="A64" s="111" t="s">
        <v>111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1186</v>
      </c>
      <c r="I64" s="84">
        <v>27795</v>
      </c>
      <c r="J64" s="84">
        <v>47784</v>
      </c>
      <c r="K64" s="84">
        <v>26999</v>
      </c>
      <c r="L64" s="84">
        <v>46593</v>
      </c>
      <c r="M64" s="84">
        <v>65242</v>
      </c>
      <c r="N64" s="84">
        <v>50390</v>
      </c>
      <c r="O64" s="84">
        <v>131179</v>
      </c>
      <c r="P64" s="84">
        <v>79786</v>
      </c>
      <c r="Q64" s="84">
        <v>90386</v>
      </c>
      <c r="R64" s="84">
        <v>108466</v>
      </c>
      <c r="S64" s="84">
        <v>111205</v>
      </c>
      <c r="T64" s="84">
        <v>119971</v>
      </c>
      <c r="U64" s="84">
        <v>131475</v>
      </c>
      <c r="V64" s="84">
        <v>112194</v>
      </c>
      <c r="W64" s="84">
        <v>85565</v>
      </c>
      <c r="X64" s="84">
        <v>63971</v>
      </c>
      <c r="Y64" s="84">
        <v>75910</v>
      </c>
      <c r="DA64" s="171" t="s">
        <v>843</v>
      </c>
    </row>
    <row r="65" spans="1:105" ht="11.45" customHeight="1" x14ac:dyDescent="0.25">
      <c r="A65" s="111" t="s">
        <v>112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0</v>
      </c>
      <c r="O65" s="84">
        <v>0</v>
      </c>
      <c r="P65" s="84">
        <v>310</v>
      </c>
      <c r="Q65" s="84">
        <v>73</v>
      </c>
      <c r="R65" s="84">
        <v>0</v>
      </c>
      <c r="S65" s="84">
        <v>8</v>
      </c>
      <c r="T65" s="84">
        <v>9</v>
      </c>
      <c r="U65" s="84">
        <v>11</v>
      </c>
      <c r="V65" s="84">
        <v>23</v>
      </c>
      <c r="W65" s="84">
        <v>334</v>
      </c>
      <c r="X65" s="84">
        <v>582</v>
      </c>
      <c r="Y65" s="84">
        <v>0</v>
      </c>
      <c r="DA65" s="171" t="s">
        <v>844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0</v>
      </c>
      <c r="P66" s="84">
        <v>0</v>
      </c>
      <c r="Q66" s="84">
        <v>0</v>
      </c>
      <c r="R66" s="84">
        <v>0</v>
      </c>
      <c r="S66" s="84">
        <v>0</v>
      </c>
      <c r="T66" s="84">
        <v>0</v>
      </c>
      <c r="U66" s="84">
        <v>0</v>
      </c>
      <c r="V66" s="84">
        <v>0</v>
      </c>
      <c r="W66" s="84">
        <v>0</v>
      </c>
      <c r="X66" s="84">
        <v>175</v>
      </c>
      <c r="Y66" s="84">
        <v>0</v>
      </c>
      <c r="DA66" s="171" t="s">
        <v>845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8</v>
      </c>
      <c r="T67" s="84">
        <v>645</v>
      </c>
      <c r="U67" s="84">
        <v>1357</v>
      </c>
      <c r="V67" s="84">
        <v>2624</v>
      </c>
      <c r="W67" s="84">
        <v>11851</v>
      </c>
      <c r="X67" s="84">
        <v>8235</v>
      </c>
      <c r="Y67" s="84">
        <v>11065</v>
      </c>
      <c r="DA67" s="171" t="s">
        <v>846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0</v>
      </c>
      <c r="T68" s="84">
        <v>1335</v>
      </c>
      <c r="U68" s="84">
        <v>3743</v>
      </c>
      <c r="V68" s="84">
        <v>4080</v>
      </c>
      <c r="W68" s="84">
        <v>9160</v>
      </c>
      <c r="X68" s="84">
        <v>15868</v>
      </c>
      <c r="Y68" s="84">
        <v>23181</v>
      </c>
      <c r="DA68" s="171" t="s">
        <v>847</v>
      </c>
    </row>
    <row r="69" spans="1:105" ht="11.45" customHeight="1" x14ac:dyDescent="0.25">
      <c r="A69" s="109" t="s">
        <v>21</v>
      </c>
      <c r="B69" s="110">
        <f t="shared" ref="B69:K69" si="12">SUM(B70:B74)</f>
        <v>10</v>
      </c>
      <c r="C69" s="110">
        <f t="shared" si="12"/>
        <v>0</v>
      </c>
      <c r="D69" s="110">
        <f t="shared" si="12"/>
        <v>0</v>
      </c>
      <c r="E69" s="110">
        <f t="shared" si="12"/>
        <v>73</v>
      </c>
      <c r="F69" s="110">
        <f t="shared" si="12"/>
        <v>217</v>
      </c>
      <c r="G69" s="110">
        <f t="shared" si="12"/>
        <v>293</v>
      </c>
      <c r="H69" s="110">
        <f t="shared" si="12"/>
        <v>456</v>
      </c>
      <c r="I69" s="110">
        <f t="shared" si="12"/>
        <v>510</v>
      </c>
      <c r="J69" s="110">
        <f t="shared" si="12"/>
        <v>589</v>
      </c>
      <c r="K69" s="110">
        <f t="shared" si="12"/>
        <v>213</v>
      </c>
      <c r="L69" s="110">
        <f t="shared" ref="L69" si="13">SUM(L70:L74)</f>
        <v>150</v>
      </c>
      <c r="M69" s="110">
        <f t="shared" ref="M69:V69" si="14">SUM(M70:M74)</f>
        <v>403</v>
      </c>
      <c r="N69" s="110">
        <f t="shared" si="14"/>
        <v>485</v>
      </c>
      <c r="O69" s="110">
        <f t="shared" si="14"/>
        <v>656</v>
      </c>
      <c r="P69" s="110">
        <f t="shared" si="14"/>
        <v>713</v>
      </c>
      <c r="Q69" s="110">
        <f t="shared" si="14"/>
        <v>943</v>
      </c>
      <c r="R69" s="110">
        <f t="shared" si="14"/>
        <v>976</v>
      </c>
      <c r="S69" s="110">
        <f t="shared" si="14"/>
        <v>990</v>
      </c>
      <c r="T69" s="110">
        <f t="shared" si="14"/>
        <v>1098</v>
      </c>
      <c r="U69" s="110">
        <f t="shared" si="14"/>
        <v>1099</v>
      </c>
      <c r="V69" s="110">
        <f t="shared" si="14"/>
        <v>266</v>
      </c>
      <c r="W69" s="110">
        <f t="shared" ref="W69:Y69" si="15">SUM(W70:W74)</f>
        <v>785</v>
      </c>
      <c r="X69" s="110">
        <f t="shared" si="15"/>
        <v>1542</v>
      </c>
      <c r="Y69" s="110">
        <f t="shared" si="15"/>
        <v>1618</v>
      </c>
      <c r="DA69" s="176" t="s">
        <v>848</v>
      </c>
    </row>
    <row r="70" spans="1:105" ht="11.45" customHeight="1" x14ac:dyDescent="0.25">
      <c r="A70" s="111" t="s">
        <v>110</v>
      </c>
      <c r="B70" s="102">
        <v>10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2</v>
      </c>
      <c r="T70" s="102">
        <v>0</v>
      </c>
      <c r="U70" s="102">
        <v>3</v>
      </c>
      <c r="V70" s="102">
        <v>0</v>
      </c>
      <c r="W70" s="102">
        <v>0</v>
      </c>
      <c r="X70" s="102">
        <v>25</v>
      </c>
      <c r="Y70" s="102">
        <v>58</v>
      </c>
      <c r="DA70" s="175" t="s">
        <v>849</v>
      </c>
    </row>
    <row r="71" spans="1:105" ht="11.45" customHeight="1" x14ac:dyDescent="0.25">
      <c r="A71" s="111" t="s">
        <v>111</v>
      </c>
      <c r="B71" s="102">
        <v>0</v>
      </c>
      <c r="C71" s="102">
        <v>0</v>
      </c>
      <c r="D71" s="102">
        <v>0</v>
      </c>
      <c r="E71" s="102">
        <v>73</v>
      </c>
      <c r="F71" s="102">
        <v>217</v>
      </c>
      <c r="G71" s="102">
        <v>293</v>
      </c>
      <c r="H71" s="102">
        <v>456</v>
      </c>
      <c r="I71" s="102">
        <v>510</v>
      </c>
      <c r="J71" s="102">
        <v>589</v>
      </c>
      <c r="K71" s="102">
        <v>213</v>
      </c>
      <c r="L71" s="102">
        <v>150</v>
      </c>
      <c r="M71" s="102">
        <v>403</v>
      </c>
      <c r="N71" s="102">
        <v>485</v>
      </c>
      <c r="O71" s="102">
        <v>656</v>
      </c>
      <c r="P71" s="102">
        <v>713</v>
      </c>
      <c r="Q71" s="102">
        <v>943</v>
      </c>
      <c r="R71" s="102">
        <v>976</v>
      </c>
      <c r="S71" s="102">
        <v>988</v>
      </c>
      <c r="T71" s="102">
        <v>1097</v>
      </c>
      <c r="U71" s="102">
        <v>1077</v>
      </c>
      <c r="V71" s="102">
        <v>242</v>
      </c>
      <c r="W71" s="102">
        <v>785</v>
      </c>
      <c r="X71" s="102">
        <v>1505</v>
      </c>
      <c r="Y71" s="102">
        <v>1502</v>
      </c>
      <c r="DA71" s="175" t="s">
        <v>850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0</v>
      </c>
      <c r="S72" s="102">
        <v>0</v>
      </c>
      <c r="T72" s="102">
        <v>0</v>
      </c>
      <c r="U72" s="102">
        <v>0</v>
      </c>
      <c r="V72" s="102">
        <v>0</v>
      </c>
      <c r="W72" s="102">
        <v>0</v>
      </c>
      <c r="X72" s="102">
        <v>0</v>
      </c>
      <c r="Y72" s="102">
        <v>0</v>
      </c>
      <c r="DA72" s="175" t="s">
        <v>851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1</v>
      </c>
      <c r="U73" s="102">
        <v>19</v>
      </c>
      <c r="V73" s="102">
        <v>24</v>
      </c>
      <c r="W73" s="102">
        <v>0</v>
      </c>
      <c r="X73" s="102">
        <v>9</v>
      </c>
      <c r="Y73" s="102">
        <v>0</v>
      </c>
      <c r="DA73" s="175" t="s">
        <v>852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0</v>
      </c>
      <c r="M74" s="102">
        <v>0</v>
      </c>
      <c r="N74" s="102">
        <v>0</v>
      </c>
      <c r="O74" s="102">
        <v>0</v>
      </c>
      <c r="P74" s="102">
        <v>0</v>
      </c>
      <c r="Q74" s="102">
        <v>0</v>
      </c>
      <c r="R74" s="102">
        <v>0</v>
      </c>
      <c r="S74" s="102">
        <v>0</v>
      </c>
      <c r="T74" s="102">
        <v>0</v>
      </c>
      <c r="U74" s="102">
        <v>0</v>
      </c>
      <c r="V74" s="102">
        <v>0</v>
      </c>
      <c r="W74" s="102">
        <v>0</v>
      </c>
      <c r="X74" s="102">
        <v>3</v>
      </c>
      <c r="Y74" s="102">
        <v>58</v>
      </c>
      <c r="DA74" s="175" t="s">
        <v>853</v>
      </c>
    </row>
    <row r="75" spans="1:105" ht="11.45" customHeight="1" x14ac:dyDescent="0.25">
      <c r="A75" s="27" t="s">
        <v>34</v>
      </c>
      <c r="B75" s="28">
        <f t="shared" ref="B75:K75" si="16">B76+B82</f>
        <v>79</v>
      </c>
      <c r="C75" s="28">
        <f t="shared" si="16"/>
        <v>382</v>
      </c>
      <c r="D75" s="28">
        <f t="shared" si="16"/>
        <v>375</v>
      </c>
      <c r="E75" s="28">
        <f t="shared" si="16"/>
        <v>673</v>
      </c>
      <c r="F75" s="28">
        <f t="shared" si="16"/>
        <v>2520</v>
      </c>
      <c r="G75" s="28">
        <f t="shared" si="16"/>
        <v>12859</v>
      </c>
      <c r="H75" s="28">
        <f t="shared" si="16"/>
        <v>18175</v>
      </c>
      <c r="I75" s="28">
        <f t="shared" si="16"/>
        <v>21312</v>
      </c>
      <c r="J75" s="28">
        <f t="shared" si="16"/>
        <v>16121</v>
      </c>
      <c r="K75" s="28">
        <f t="shared" si="16"/>
        <v>5691</v>
      </c>
      <c r="L75" s="28">
        <f t="shared" ref="L75" si="17">L76+L82</f>
        <v>7250</v>
      </c>
      <c r="M75" s="28">
        <f t="shared" ref="M75:V75" si="18">M76+M82</f>
        <v>8558</v>
      </c>
      <c r="N75" s="28">
        <f t="shared" si="18"/>
        <v>8602</v>
      </c>
      <c r="O75" s="28">
        <f t="shared" si="18"/>
        <v>9841</v>
      </c>
      <c r="P75" s="28">
        <f t="shared" si="18"/>
        <v>15045</v>
      </c>
      <c r="Q75" s="28">
        <f t="shared" si="18"/>
        <v>20290</v>
      </c>
      <c r="R75" s="28">
        <f t="shared" si="18"/>
        <v>25079</v>
      </c>
      <c r="S75" s="28">
        <f t="shared" si="18"/>
        <v>24337</v>
      </c>
      <c r="T75" s="28">
        <f t="shared" si="18"/>
        <v>22439</v>
      </c>
      <c r="U75" s="28">
        <f t="shared" si="18"/>
        <v>22855</v>
      </c>
      <c r="V75" s="28">
        <f t="shared" si="18"/>
        <v>17566</v>
      </c>
      <c r="W75" s="28">
        <f t="shared" ref="W75:Y75" si="19">W76+W82</f>
        <v>27168</v>
      </c>
      <c r="X75" s="28">
        <f t="shared" si="19"/>
        <v>22275</v>
      </c>
      <c r="Y75" s="28">
        <f t="shared" si="19"/>
        <v>25118</v>
      </c>
      <c r="DA75" s="173" t="s">
        <v>854</v>
      </c>
    </row>
    <row r="76" spans="1:105" ht="11.45" customHeight="1" x14ac:dyDescent="0.25">
      <c r="A76" s="136" t="s">
        <v>153</v>
      </c>
      <c r="B76" s="137">
        <f t="shared" ref="B76:K76" si="20">SUM(B77:B81)</f>
        <v>0</v>
      </c>
      <c r="C76" s="137">
        <f t="shared" si="20"/>
        <v>0</v>
      </c>
      <c r="D76" s="137">
        <f t="shared" si="20"/>
        <v>0</v>
      </c>
      <c r="E76" s="137">
        <f t="shared" si="20"/>
        <v>0</v>
      </c>
      <c r="F76" s="137">
        <f t="shared" si="20"/>
        <v>1484</v>
      </c>
      <c r="G76" s="137">
        <f t="shared" si="20"/>
        <v>10945</v>
      </c>
      <c r="H76" s="137">
        <f t="shared" si="20"/>
        <v>14953</v>
      </c>
      <c r="I76" s="137">
        <f t="shared" si="20"/>
        <v>16734</v>
      </c>
      <c r="J76" s="137">
        <f t="shared" si="20"/>
        <v>12421</v>
      </c>
      <c r="K76" s="137">
        <f t="shared" si="20"/>
        <v>4475</v>
      </c>
      <c r="L76" s="137">
        <f t="shared" ref="L76" si="21">SUM(L77:L81)</f>
        <v>5815</v>
      </c>
      <c r="M76" s="137">
        <f t="shared" ref="M76:V76" si="22">SUM(M77:M81)</f>
        <v>6900</v>
      </c>
      <c r="N76" s="137">
        <f t="shared" si="22"/>
        <v>6676</v>
      </c>
      <c r="O76" s="137">
        <f t="shared" si="22"/>
        <v>7223</v>
      </c>
      <c r="P76" s="137">
        <f t="shared" si="22"/>
        <v>11135</v>
      </c>
      <c r="Q76" s="137">
        <f t="shared" si="22"/>
        <v>14255</v>
      </c>
      <c r="R76" s="137">
        <f t="shared" si="22"/>
        <v>16592</v>
      </c>
      <c r="S76" s="137">
        <f t="shared" si="22"/>
        <v>13947</v>
      </c>
      <c r="T76" s="137">
        <f t="shared" si="22"/>
        <v>14753</v>
      </c>
      <c r="U76" s="137">
        <f t="shared" si="22"/>
        <v>14836</v>
      </c>
      <c r="V76" s="137">
        <f t="shared" si="22"/>
        <v>13643</v>
      </c>
      <c r="W76" s="137">
        <f t="shared" ref="W76:Y76" si="23">SUM(W77:W81)</f>
        <v>17855</v>
      </c>
      <c r="X76" s="137">
        <f t="shared" si="23"/>
        <v>14738</v>
      </c>
      <c r="Y76" s="137">
        <f t="shared" si="23"/>
        <v>17259</v>
      </c>
      <c r="DA76" s="174" t="s">
        <v>855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18</v>
      </c>
      <c r="V77" s="84">
        <v>240</v>
      </c>
      <c r="W77" s="84">
        <v>174</v>
      </c>
      <c r="X77" s="84">
        <v>346</v>
      </c>
      <c r="Y77" s="84">
        <v>620</v>
      </c>
      <c r="DA77" s="171" t="s">
        <v>856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0</v>
      </c>
      <c r="F78" s="84">
        <v>1484</v>
      </c>
      <c r="G78" s="84">
        <v>10945</v>
      </c>
      <c r="H78" s="84">
        <v>14953</v>
      </c>
      <c r="I78" s="84">
        <v>16734</v>
      </c>
      <c r="J78" s="84">
        <v>12421</v>
      </c>
      <c r="K78" s="84">
        <v>4475</v>
      </c>
      <c r="L78" s="84">
        <v>5815</v>
      </c>
      <c r="M78" s="84">
        <v>6900</v>
      </c>
      <c r="N78" s="84">
        <v>6676</v>
      </c>
      <c r="O78" s="84">
        <v>7222</v>
      </c>
      <c r="P78" s="84">
        <v>11133</v>
      </c>
      <c r="Q78" s="84">
        <v>14255</v>
      </c>
      <c r="R78" s="84">
        <v>16589</v>
      </c>
      <c r="S78" s="84">
        <v>13946</v>
      </c>
      <c r="T78" s="84">
        <v>14753</v>
      </c>
      <c r="U78" s="84">
        <v>14664</v>
      </c>
      <c r="V78" s="84">
        <v>12679</v>
      </c>
      <c r="W78" s="84">
        <v>17024</v>
      </c>
      <c r="X78" s="84">
        <v>13708</v>
      </c>
      <c r="Y78" s="84">
        <v>15650</v>
      </c>
      <c r="DA78" s="171" t="s">
        <v>857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1</v>
      </c>
      <c r="P79" s="84">
        <v>2</v>
      </c>
      <c r="Q79" s="84">
        <v>0</v>
      </c>
      <c r="R79" s="84">
        <v>0</v>
      </c>
      <c r="S79" s="84">
        <v>1</v>
      </c>
      <c r="T79" s="84">
        <v>0</v>
      </c>
      <c r="U79" s="84">
        <v>0</v>
      </c>
      <c r="V79" s="84">
        <v>0</v>
      </c>
      <c r="W79" s="84">
        <v>0</v>
      </c>
      <c r="X79" s="84">
        <v>0</v>
      </c>
      <c r="Y79" s="84">
        <v>0</v>
      </c>
      <c r="DA79" s="171" t="s">
        <v>858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3</v>
      </c>
      <c r="S80" s="84">
        <v>0</v>
      </c>
      <c r="T80" s="84">
        <v>0</v>
      </c>
      <c r="U80" s="84">
        <v>0</v>
      </c>
      <c r="V80" s="84">
        <v>2</v>
      </c>
      <c r="W80" s="84">
        <v>0</v>
      </c>
      <c r="X80" s="84">
        <v>0</v>
      </c>
      <c r="Y80" s="84">
        <v>1</v>
      </c>
      <c r="DA80" s="171" t="s">
        <v>859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154</v>
      </c>
      <c r="V81" s="84">
        <v>722</v>
      </c>
      <c r="W81" s="84">
        <v>657</v>
      </c>
      <c r="X81" s="84">
        <v>684</v>
      </c>
      <c r="Y81" s="84">
        <v>988</v>
      </c>
      <c r="DA81" s="171" t="s">
        <v>860</v>
      </c>
    </row>
    <row r="82" spans="1:105" ht="11.45" customHeight="1" x14ac:dyDescent="0.25">
      <c r="A82" s="109" t="s">
        <v>154</v>
      </c>
      <c r="B82" s="110">
        <f t="shared" ref="B82:K82" si="24">SUM(B83:B84)</f>
        <v>79</v>
      </c>
      <c r="C82" s="110">
        <f t="shared" si="24"/>
        <v>382</v>
      </c>
      <c r="D82" s="110">
        <f t="shared" si="24"/>
        <v>375</v>
      </c>
      <c r="E82" s="110">
        <f t="shared" si="24"/>
        <v>673</v>
      </c>
      <c r="F82" s="110">
        <f t="shared" si="24"/>
        <v>1036</v>
      </c>
      <c r="G82" s="110">
        <f t="shared" si="24"/>
        <v>1914</v>
      </c>
      <c r="H82" s="110">
        <f t="shared" si="24"/>
        <v>3222</v>
      </c>
      <c r="I82" s="110">
        <f t="shared" si="24"/>
        <v>4578</v>
      </c>
      <c r="J82" s="110">
        <f t="shared" si="24"/>
        <v>3700</v>
      </c>
      <c r="K82" s="110">
        <f t="shared" si="24"/>
        <v>1216</v>
      </c>
      <c r="L82" s="110">
        <f t="shared" ref="L82" si="25">SUM(L83:L84)</f>
        <v>1435</v>
      </c>
      <c r="M82" s="110">
        <f t="shared" ref="M82:V82" si="26">SUM(M83:M84)</f>
        <v>1658</v>
      </c>
      <c r="N82" s="110">
        <f t="shared" si="26"/>
        <v>1926</v>
      </c>
      <c r="O82" s="110">
        <f t="shared" si="26"/>
        <v>2618</v>
      </c>
      <c r="P82" s="110">
        <f t="shared" si="26"/>
        <v>3910</v>
      </c>
      <c r="Q82" s="110">
        <f t="shared" si="26"/>
        <v>6035</v>
      </c>
      <c r="R82" s="110">
        <f t="shared" si="26"/>
        <v>8487</v>
      </c>
      <c r="S82" s="110">
        <f t="shared" si="26"/>
        <v>10390</v>
      </c>
      <c r="T82" s="110">
        <f t="shared" si="26"/>
        <v>7686</v>
      </c>
      <c r="U82" s="110">
        <f t="shared" si="26"/>
        <v>8019</v>
      </c>
      <c r="V82" s="110">
        <f t="shared" si="26"/>
        <v>3923</v>
      </c>
      <c r="W82" s="110">
        <f t="shared" ref="W82:Y82" si="27">SUM(W83:W84)</f>
        <v>9313</v>
      </c>
      <c r="X82" s="110">
        <f t="shared" si="27"/>
        <v>7537</v>
      </c>
      <c r="Y82" s="110">
        <f t="shared" si="27"/>
        <v>7859</v>
      </c>
      <c r="DA82" s="176" t="s">
        <v>861</v>
      </c>
    </row>
    <row r="83" spans="1:105" ht="11.45" customHeight="1" x14ac:dyDescent="0.25">
      <c r="A83" s="128" t="s">
        <v>27</v>
      </c>
      <c r="B83" s="102">
        <v>79</v>
      </c>
      <c r="C83" s="102">
        <v>382</v>
      </c>
      <c r="D83" s="102">
        <v>375</v>
      </c>
      <c r="E83" s="102">
        <v>673</v>
      </c>
      <c r="F83" s="102">
        <v>1036</v>
      </c>
      <c r="G83" s="102">
        <v>1914</v>
      </c>
      <c r="H83" s="102">
        <v>3222</v>
      </c>
      <c r="I83" s="102">
        <v>4578</v>
      </c>
      <c r="J83" s="102">
        <v>3700</v>
      </c>
      <c r="K83" s="102">
        <v>1216</v>
      </c>
      <c r="L83" s="102">
        <v>1435</v>
      </c>
      <c r="M83" s="102">
        <v>1658</v>
      </c>
      <c r="N83" s="102">
        <v>1926</v>
      </c>
      <c r="O83" s="102">
        <v>2618</v>
      </c>
      <c r="P83" s="102">
        <v>3910</v>
      </c>
      <c r="Q83" s="102">
        <v>5935</v>
      </c>
      <c r="R83" s="102">
        <v>8487</v>
      </c>
      <c r="S83" s="102">
        <v>10349</v>
      </c>
      <c r="T83" s="102">
        <v>7561</v>
      </c>
      <c r="U83" s="102">
        <v>7850</v>
      </c>
      <c r="V83" s="102">
        <v>3923</v>
      </c>
      <c r="W83" s="102">
        <v>9286</v>
      </c>
      <c r="X83" s="102">
        <v>7536</v>
      </c>
      <c r="Y83" s="102">
        <v>7802</v>
      </c>
      <c r="DA83" s="175" t="s">
        <v>862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0</v>
      </c>
      <c r="K84" s="86">
        <v>0</v>
      </c>
      <c r="L84" s="86">
        <v>0</v>
      </c>
      <c r="M84" s="86">
        <v>0</v>
      </c>
      <c r="N84" s="86">
        <v>0</v>
      </c>
      <c r="O84" s="86">
        <v>0</v>
      </c>
      <c r="P84" s="86">
        <v>0</v>
      </c>
      <c r="Q84" s="86">
        <v>100</v>
      </c>
      <c r="R84" s="86">
        <v>0</v>
      </c>
      <c r="S84" s="86">
        <v>41</v>
      </c>
      <c r="T84" s="86">
        <v>125</v>
      </c>
      <c r="U84" s="86">
        <v>169</v>
      </c>
      <c r="V84" s="86">
        <v>0</v>
      </c>
      <c r="W84" s="86">
        <v>27</v>
      </c>
      <c r="X84" s="86">
        <v>1</v>
      </c>
      <c r="Y84" s="86">
        <v>57</v>
      </c>
      <c r="DA84" s="178" t="s">
        <v>863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DA89" s="173"/>
    </row>
    <row r="90" spans="1:105" ht="11.45" customHeight="1" x14ac:dyDescent="0.25">
      <c r="A90" s="136" t="s">
        <v>173</v>
      </c>
      <c r="B90" s="141">
        <v>3.5904218745763261</v>
      </c>
      <c r="C90" s="141">
        <v>3.5369045336132237</v>
      </c>
      <c r="D90" s="141">
        <v>3.4641928244491127</v>
      </c>
      <c r="E90" s="141">
        <v>3.4415049295999904</v>
      </c>
      <c r="F90" s="141">
        <v>3.4114632396505433</v>
      </c>
      <c r="G90" s="141">
        <v>3.3804374789628233</v>
      </c>
      <c r="H90" s="141">
        <v>3.3503342926051207</v>
      </c>
      <c r="I90" s="141">
        <v>3.3383355896719729</v>
      </c>
      <c r="J90" s="141">
        <v>3.324080692070392</v>
      </c>
      <c r="K90" s="141">
        <v>3.3015027401273866</v>
      </c>
      <c r="L90" s="141">
        <v>3.2654530059378728</v>
      </c>
      <c r="M90" s="141">
        <v>3.2295657734699215</v>
      </c>
      <c r="N90" s="141">
        <v>3.1957837335858792</v>
      </c>
      <c r="O90" s="141">
        <v>3.1392789931634648</v>
      </c>
      <c r="P90" s="141">
        <v>3.109781620296562</v>
      </c>
      <c r="Q90" s="141">
        <v>3.0696609452838088</v>
      </c>
      <c r="R90" s="141">
        <v>3.0050738458711139</v>
      </c>
      <c r="S90" s="141">
        <v>2.9443703919574604</v>
      </c>
      <c r="T90" s="141">
        <v>2.8984769156773713</v>
      </c>
      <c r="U90" s="141">
        <v>2.8240635928776676</v>
      </c>
      <c r="V90" s="141">
        <v>2.7685229816941526</v>
      </c>
      <c r="W90" s="141">
        <v>2.7217218998060955</v>
      </c>
      <c r="X90" s="141">
        <v>2.64743215471794</v>
      </c>
      <c r="Y90" s="141">
        <v>2.5894903669472726</v>
      </c>
      <c r="DA90" s="174" t="s">
        <v>864</v>
      </c>
    </row>
    <row r="91" spans="1:105" ht="11.45" customHeight="1" x14ac:dyDescent="0.25">
      <c r="A91" s="109" t="s">
        <v>20</v>
      </c>
      <c r="B91" s="130">
        <v>7.6978259480272895</v>
      </c>
      <c r="C91" s="130">
        <v>7.4236625662168505</v>
      </c>
      <c r="D91" s="130">
        <v>7.3227475753251143</v>
      </c>
      <c r="E91" s="130">
        <v>7.2404342772412278</v>
      </c>
      <c r="F91" s="130">
        <v>7.1597475402484712</v>
      </c>
      <c r="G91" s="130">
        <v>7.0812319908054953</v>
      </c>
      <c r="H91" s="130">
        <v>7.0248299057063344</v>
      </c>
      <c r="I91" s="130">
        <v>6.9330037401186244</v>
      </c>
      <c r="J91" s="130">
        <v>6.8785969887963017</v>
      </c>
      <c r="K91" s="130">
        <v>6.8377150080362039</v>
      </c>
      <c r="L91" s="130">
        <v>6.7253539522446584</v>
      </c>
      <c r="M91" s="130">
        <v>6.6314989990536457</v>
      </c>
      <c r="N91" s="130">
        <v>6.5453374665265951</v>
      </c>
      <c r="O91" s="130">
        <v>6.474878437490827</v>
      </c>
      <c r="P91" s="130">
        <v>6.383035697425993</v>
      </c>
      <c r="Q91" s="130">
        <v>6.2631597206849188</v>
      </c>
      <c r="R91" s="130">
        <v>6.093782125448465</v>
      </c>
      <c r="S91" s="130">
        <v>5.9349683843715644</v>
      </c>
      <c r="T91" s="130">
        <v>5.7937510156409804</v>
      </c>
      <c r="U91" s="130">
        <v>5.6543429615087124</v>
      </c>
      <c r="V91" s="130">
        <v>5.5200062511424584</v>
      </c>
      <c r="W91" s="130">
        <v>5.3769129799372131</v>
      </c>
      <c r="X91" s="130">
        <v>5.2233333779694773</v>
      </c>
      <c r="Y91" s="130">
        <v>5.1143999517343763</v>
      </c>
      <c r="DA91" s="176" t="s">
        <v>865</v>
      </c>
    </row>
    <row r="92" spans="1:105" ht="11.45" customHeight="1" x14ac:dyDescent="0.25">
      <c r="A92" s="111" t="s">
        <v>110</v>
      </c>
      <c r="B92" s="96">
        <v>7.6753069189613639</v>
      </c>
      <c r="C92" s="96">
        <v>7.3399061619595161</v>
      </c>
      <c r="D92" s="96">
        <v>7.2313020384170281</v>
      </c>
      <c r="E92" s="96">
        <v>7.1512099157783959</v>
      </c>
      <c r="F92" s="96">
        <v>7.073475095110048</v>
      </c>
      <c r="G92" s="96">
        <v>6.9958178815004928</v>
      </c>
      <c r="H92" s="96">
        <v>6.9263870632204272</v>
      </c>
      <c r="I92" s="96">
        <v>6.8495868317799422</v>
      </c>
      <c r="J92" s="96">
        <v>6.7972581812137154</v>
      </c>
      <c r="K92" s="96">
        <v>6.7631866605920505</v>
      </c>
      <c r="L92" s="96">
        <v>6.6772681492792643</v>
      </c>
      <c r="M92" s="96">
        <v>6.6018638932044214</v>
      </c>
      <c r="N92" s="96">
        <v>6.5347459580675258</v>
      </c>
      <c r="O92" s="96">
        <v>6.4993831775414472</v>
      </c>
      <c r="P92" s="96">
        <v>6.4395619573845115</v>
      </c>
      <c r="Q92" s="96">
        <v>6.3417542566775378</v>
      </c>
      <c r="R92" s="96">
        <v>6.1820291904301472</v>
      </c>
      <c r="S92" s="96">
        <v>6.0015106440599908</v>
      </c>
      <c r="T92" s="96">
        <v>5.820840304674797</v>
      </c>
      <c r="U92" s="96">
        <v>5.6496250144195956</v>
      </c>
      <c r="V92" s="96">
        <v>5.5072634506435287</v>
      </c>
      <c r="W92" s="96">
        <v>5.3677135427280191</v>
      </c>
      <c r="X92" s="96">
        <v>5.2104207312960513</v>
      </c>
      <c r="Y92" s="96">
        <v>5.0868921552051196</v>
      </c>
      <c r="DA92" s="171" t="s">
        <v>866</v>
      </c>
    </row>
    <row r="93" spans="1:105" ht="11.45" customHeight="1" x14ac:dyDescent="0.25">
      <c r="A93" s="111" t="s">
        <v>111</v>
      </c>
      <c r="B93" s="96">
        <v>7.8494458169608432</v>
      </c>
      <c r="C93" s="96">
        <v>7.4466477430325551</v>
      </c>
      <c r="D93" s="96">
        <v>7.3046953593126265</v>
      </c>
      <c r="E93" s="96">
        <v>7.1864039619643041</v>
      </c>
      <c r="F93" s="96">
        <v>7.111892720593735</v>
      </c>
      <c r="G93" s="96">
        <v>7.0684391329780345</v>
      </c>
      <c r="H93" s="96">
        <v>7.0487531882048842</v>
      </c>
      <c r="I93" s="96">
        <v>6.9375591903037677</v>
      </c>
      <c r="J93" s="96">
        <v>6.8639892641313134</v>
      </c>
      <c r="K93" s="96">
        <v>6.7986803557020048</v>
      </c>
      <c r="L93" s="96">
        <v>6.6392370819392452</v>
      </c>
      <c r="M93" s="96">
        <v>6.5158154114712019</v>
      </c>
      <c r="N93" s="96">
        <v>6.4061993692151713</v>
      </c>
      <c r="O93" s="96">
        <v>6.2782541804918006</v>
      </c>
      <c r="P93" s="96">
        <v>6.1280196171755614</v>
      </c>
      <c r="Q93" s="96">
        <v>5.9641601302947258</v>
      </c>
      <c r="R93" s="96">
        <v>5.7973528009241253</v>
      </c>
      <c r="S93" s="96">
        <v>5.6751736833380422</v>
      </c>
      <c r="T93" s="96">
        <v>5.5698468906736167</v>
      </c>
      <c r="U93" s="96">
        <v>5.4671631115988868</v>
      </c>
      <c r="V93" s="96">
        <v>5.361697835337381</v>
      </c>
      <c r="W93" s="96">
        <v>5.2547087037551821</v>
      </c>
      <c r="X93" s="96">
        <v>5.1638773561678555</v>
      </c>
      <c r="Y93" s="96">
        <v>5.1233431600555779</v>
      </c>
      <c r="DA93" s="171" t="s">
        <v>867</v>
      </c>
    </row>
    <row r="94" spans="1:105" ht="11.45" customHeight="1" x14ac:dyDescent="0.25">
      <c r="A94" s="111" t="s">
        <v>112</v>
      </c>
      <c r="B94" s="96">
        <v>7.4329989589485965</v>
      </c>
      <c r="C94" s="96">
        <v>7.4329989589485965</v>
      </c>
      <c r="D94" s="96">
        <v>7.4329989589485965</v>
      </c>
      <c r="E94" s="96">
        <v>7.4329989589485956</v>
      </c>
      <c r="F94" s="96">
        <v>7.4329989589485965</v>
      </c>
      <c r="G94" s="96">
        <v>7.4329989589485965</v>
      </c>
      <c r="H94" s="96">
        <v>7.4329989589485974</v>
      </c>
      <c r="I94" s="96">
        <v>7.2134908568588161</v>
      </c>
      <c r="J94" s="96">
        <v>7.1626809328556895</v>
      </c>
      <c r="K94" s="96">
        <v>7.0357734291516296</v>
      </c>
      <c r="L94" s="96">
        <v>6.9487795672869783</v>
      </c>
      <c r="M94" s="96">
        <v>6.8757175155462056</v>
      </c>
      <c r="N94" s="96">
        <v>6.6725068207250304</v>
      </c>
      <c r="O94" s="96">
        <v>6.542193131524332</v>
      </c>
      <c r="P94" s="96">
        <v>6.0674916630440388</v>
      </c>
      <c r="Q94" s="96">
        <v>6.0251460433336019</v>
      </c>
      <c r="R94" s="96">
        <v>6.0041141415355455</v>
      </c>
      <c r="S94" s="96">
        <v>5.9075764332309166</v>
      </c>
      <c r="T94" s="96">
        <v>5.840239551768458</v>
      </c>
      <c r="U94" s="96">
        <v>5.7891266416586769</v>
      </c>
      <c r="V94" s="96">
        <v>5.7785491455233959</v>
      </c>
      <c r="W94" s="96">
        <v>5.3183562115229384</v>
      </c>
      <c r="X94" s="96">
        <v>4.7357279248813908</v>
      </c>
      <c r="Y94" s="96">
        <v>4.655479444887181</v>
      </c>
      <c r="DA94" s="171" t="s">
        <v>868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0</v>
      </c>
      <c r="G95" s="96">
        <v>0</v>
      </c>
      <c r="H95" s="96">
        <v>0</v>
      </c>
      <c r="I95" s="96">
        <v>0</v>
      </c>
      <c r="J95" s="96">
        <v>0</v>
      </c>
      <c r="K95" s="96">
        <v>0</v>
      </c>
      <c r="L95" s="96">
        <v>0</v>
      </c>
      <c r="M95" s="96">
        <v>0</v>
      </c>
      <c r="N95" s="96">
        <v>0</v>
      </c>
      <c r="O95" s="96">
        <v>0</v>
      </c>
      <c r="P95" s="96">
        <v>5.057919417102557</v>
      </c>
      <c r="Q95" s="96">
        <v>5.0771524490635249</v>
      </c>
      <c r="R95" s="96">
        <v>5.0771524490635258</v>
      </c>
      <c r="S95" s="96">
        <v>5.0771524490635249</v>
      </c>
      <c r="T95" s="96">
        <v>5.0784157191102981</v>
      </c>
      <c r="U95" s="96">
        <v>5.078415719110299</v>
      </c>
      <c r="V95" s="96">
        <v>5.0784157191102972</v>
      </c>
      <c r="W95" s="96">
        <v>5.0798566043329085</v>
      </c>
      <c r="X95" s="96">
        <v>4.5254761790290692</v>
      </c>
      <c r="Y95" s="96">
        <v>4.4943454407025971</v>
      </c>
      <c r="DA95" s="171" t="s">
        <v>869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0</v>
      </c>
      <c r="N96" s="96">
        <v>0</v>
      </c>
      <c r="O96" s="96">
        <v>3.8350265058328903</v>
      </c>
      <c r="P96" s="96">
        <v>2.7476028036275233</v>
      </c>
      <c r="Q96" s="96">
        <v>2.841463724205588</v>
      </c>
      <c r="R96" s="96">
        <v>2.830016167014477</v>
      </c>
      <c r="S96" s="96">
        <v>2.8142399548167285</v>
      </c>
      <c r="T96" s="96">
        <v>2.8498618268976665</v>
      </c>
      <c r="U96" s="96">
        <v>2.9631829656669271</v>
      </c>
      <c r="V96" s="96">
        <v>2.8379588877846915</v>
      </c>
      <c r="W96" s="96">
        <v>2.8391047462172132</v>
      </c>
      <c r="X96" s="96">
        <v>2.8026472268694094</v>
      </c>
      <c r="Y96" s="96">
        <v>2.7196252285042943</v>
      </c>
      <c r="DA96" s="171" t="s">
        <v>870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0</v>
      </c>
      <c r="K97" s="96">
        <v>1.3232559726529953</v>
      </c>
      <c r="L97" s="96">
        <v>1.3047135028115466</v>
      </c>
      <c r="M97" s="96">
        <v>1.3047135028115464</v>
      </c>
      <c r="N97" s="96">
        <v>1.2037833190025795</v>
      </c>
      <c r="O97" s="96">
        <v>1.2037833190025793</v>
      </c>
      <c r="P97" s="96">
        <v>1.2415945762351694</v>
      </c>
      <c r="Q97" s="96">
        <v>1.2635778263954947</v>
      </c>
      <c r="R97" s="96">
        <v>1.1941675393572349</v>
      </c>
      <c r="S97" s="96">
        <v>1.169766337459754</v>
      </c>
      <c r="T97" s="96">
        <v>1.2088116710622214</v>
      </c>
      <c r="U97" s="96">
        <v>1.2912403887310415</v>
      </c>
      <c r="V97" s="96">
        <v>1.362769047942751</v>
      </c>
      <c r="W97" s="96">
        <v>1.4019785227313422</v>
      </c>
      <c r="X97" s="96">
        <v>1.4287976267592379</v>
      </c>
      <c r="Y97" s="96">
        <v>1.4269031932260727</v>
      </c>
      <c r="DA97" s="171" t="s">
        <v>871</v>
      </c>
    </row>
    <row r="98" spans="1:105" ht="11.45" customHeight="1" x14ac:dyDescent="0.25">
      <c r="A98" s="109" t="s">
        <v>21</v>
      </c>
      <c r="B98" s="130">
        <v>56.008825640487032</v>
      </c>
      <c r="C98" s="130">
        <v>53.843423374892083</v>
      </c>
      <c r="D98" s="130">
        <v>53.183577513434493</v>
      </c>
      <c r="E98" s="130">
        <v>52.353549643699473</v>
      </c>
      <c r="F98" s="130">
        <v>51.651132078704869</v>
      </c>
      <c r="G98" s="130">
        <v>50.967612299182839</v>
      </c>
      <c r="H98" s="130">
        <v>50.193957541981909</v>
      </c>
      <c r="I98" s="130">
        <v>49.53178289228029</v>
      </c>
      <c r="J98" s="130">
        <v>48.923845626220789</v>
      </c>
      <c r="K98" s="130">
        <v>48.509593760979868</v>
      </c>
      <c r="L98" s="130">
        <v>48.130621378135196</v>
      </c>
      <c r="M98" s="130">
        <v>47.641307982517262</v>
      </c>
      <c r="N98" s="130">
        <v>47.177522046276486</v>
      </c>
      <c r="O98" s="130">
        <v>46.453780952949081</v>
      </c>
      <c r="P98" s="130">
        <v>45.941588008427637</v>
      </c>
      <c r="Q98" s="130">
        <v>45.625087572517167</v>
      </c>
      <c r="R98" s="130">
        <v>45.279179559670652</v>
      </c>
      <c r="S98" s="130">
        <v>44.870593974975627</v>
      </c>
      <c r="T98" s="130">
        <v>44.39317737581959</v>
      </c>
      <c r="U98" s="130">
        <v>43.891437951617938</v>
      </c>
      <c r="V98" s="130">
        <v>43.410037052645507</v>
      </c>
      <c r="W98" s="130">
        <v>42.974790016579277</v>
      </c>
      <c r="X98" s="130">
        <v>41.742669462082908</v>
      </c>
      <c r="Y98" s="130">
        <v>40.550938072048716</v>
      </c>
      <c r="DA98" s="176" t="s">
        <v>872</v>
      </c>
    </row>
    <row r="99" spans="1:105" ht="11.45" customHeight="1" x14ac:dyDescent="0.25">
      <c r="A99" s="111" t="s">
        <v>110</v>
      </c>
      <c r="B99" s="97">
        <v>16.967978769505191</v>
      </c>
      <c r="C99" s="97">
        <v>16.938204060847216</v>
      </c>
      <c r="D99" s="97">
        <v>16.93522096992255</v>
      </c>
      <c r="E99" s="97">
        <v>16.931573579323764</v>
      </c>
      <c r="F99" s="97">
        <v>16.926642241279598</v>
      </c>
      <c r="G99" s="97">
        <v>16.920659877571321</v>
      </c>
      <c r="H99" s="97">
        <v>16.913313648912993</v>
      </c>
      <c r="I99" s="97">
        <v>16.807492603341682</v>
      </c>
      <c r="J99" s="97">
        <v>16.775912413615313</v>
      </c>
      <c r="K99" s="97">
        <v>16.738239301560633</v>
      </c>
      <c r="L99" s="97">
        <v>16.682181144453082</v>
      </c>
      <c r="M99" s="97">
        <v>16.612859782716157</v>
      </c>
      <c r="N99" s="97">
        <v>16.517185854834242</v>
      </c>
      <c r="O99" s="97">
        <v>16.517185854834239</v>
      </c>
      <c r="P99" s="97">
        <v>16.517185854834242</v>
      </c>
      <c r="Q99" s="97">
        <v>16.458341607132084</v>
      </c>
      <c r="R99" s="97">
        <v>16.350949777764292</v>
      </c>
      <c r="S99" s="97">
        <v>15.068105216565465</v>
      </c>
      <c r="T99" s="97">
        <v>14.796864503636289</v>
      </c>
      <c r="U99" s="97">
        <v>13.957112521732506</v>
      </c>
      <c r="V99" s="97">
        <v>13.957112521732512</v>
      </c>
      <c r="W99" s="97">
        <v>14.124444447386317</v>
      </c>
      <c r="X99" s="97">
        <v>12.518857339607885</v>
      </c>
      <c r="Y99" s="97">
        <v>12.161526472209246</v>
      </c>
      <c r="DA99" s="175" t="s">
        <v>873</v>
      </c>
    </row>
    <row r="100" spans="1:105" ht="11.45" customHeight="1" x14ac:dyDescent="0.25">
      <c r="A100" s="111" t="s">
        <v>111</v>
      </c>
      <c r="B100" s="97">
        <v>56.815734232993712</v>
      </c>
      <c r="C100" s="97">
        <v>53.403582130244445</v>
      </c>
      <c r="D100" s="97">
        <v>52.479069057601464</v>
      </c>
      <c r="E100" s="97">
        <v>51.427190701655491</v>
      </c>
      <c r="F100" s="97">
        <v>50.62821741253574</v>
      </c>
      <c r="G100" s="97">
        <v>49.928626806200135</v>
      </c>
      <c r="H100" s="97">
        <v>49.194022952244538</v>
      </c>
      <c r="I100" s="97">
        <v>48.635669395705094</v>
      </c>
      <c r="J100" s="97">
        <v>48.154328861820787</v>
      </c>
      <c r="K100" s="97">
        <v>47.852195144572306</v>
      </c>
      <c r="L100" s="97">
        <v>47.577532371003791</v>
      </c>
      <c r="M100" s="97">
        <v>47.170690886505753</v>
      </c>
      <c r="N100" s="97">
        <v>46.77329589442261</v>
      </c>
      <c r="O100" s="97">
        <v>46.229649001596627</v>
      </c>
      <c r="P100" s="97">
        <v>45.801314825862676</v>
      </c>
      <c r="Q100" s="97">
        <v>45.420807995378723</v>
      </c>
      <c r="R100" s="97">
        <v>45.020946610696484</v>
      </c>
      <c r="S100" s="97">
        <v>44.577828663683896</v>
      </c>
      <c r="T100" s="97">
        <v>44.035317548606415</v>
      </c>
      <c r="U100" s="97">
        <v>43.477271003033252</v>
      </c>
      <c r="V100" s="97">
        <v>43.065292884122989</v>
      </c>
      <c r="W100" s="97">
        <v>42.527042464547819</v>
      </c>
      <c r="X100" s="97">
        <v>41.241165177521154</v>
      </c>
      <c r="Y100" s="97">
        <v>40.02928006084796</v>
      </c>
      <c r="DA100" s="175" t="s">
        <v>874</v>
      </c>
    </row>
    <row r="101" spans="1:105" ht="11.45" customHeight="1" x14ac:dyDescent="0.25">
      <c r="A101" s="111" t="s">
        <v>112</v>
      </c>
      <c r="B101" s="97">
        <v>0</v>
      </c>
      <c r="C101" s="97">
        <v>39.338423320270067</v>
      </c>
      <c r="D101" s="97">
        <v>39.338423320270067</v>
      </c>
      <c r="E101" s="97">
        <v>39.338423320270067</v>
      </c>
      <c r="F101" s="97">
        <v>39.338423320270067</v>
      </c>
      <c r="G101" s="97">
        <v>39.338423320270067</v>
      </c>
      <c r="H101" s="97">
        <v>39.338423320270067</v>
      </c>
      <c r="I101" s="97">
        <v>39.338423320270067</v>
      </c>
      <c r="J101" s="97">
        <v>0</v>
      </c>
      <c r="K101" s="97">
        <v>0</v>
      </c>
      <c r="L101" s="97">
        <v>0</v>
      </c>
      <c r="M101" s="97">
        <v>0</v>
      </c>
      <c r="N101" s="97">
        <v>0</v>
      </c>
      <c r="O101" s="97">
        <v>0</v>
      </c>
      <c r="P101" s="97">
        <v>0</v>
      </c>
      <c r="Q101" s="97">
        <v>0</v>
      </c>
      <c r="R101" s="97">
        <v>0</v>
      </c>
      <c r="S101" s="97">
        <v>0</v>
      </c>
      <c r="T101" s="97">
        <v>0</v>
      </c>
      <c r="U101" s="97">
        <v>0</v>
      </c>
      <c r="V101" s="97">
        <v>0</v>
      </c>
      <c r="W101" s="97">
        <v>0</v>
      </c>
      <c r="X101" s="97">
        <v>0</v>
      </c>
      <c r="Y101" s="97">
        <v>0</v>
      </c>
      <c r="DA101" s="175" t="s">
        <v>875</v>
      </c>
    </row>
    <row r="102" spans="1:105" ht="11.45" customHeight="1" x14ac:dyDescent="0.25">
      <c r="A102" s="111" t="s">
        <v>113</v>
      </c>
      <c r="B102" s="97">
        <v>0</v>
      </c>
      <c r="C102" s="97">
        <v>0</v>
      </c>
      <c r="D102" s="97">
        <v>0</v>
      </c>
      <c r="E102" s="97">
        <v>0</v>
      </c>
      <c r="F102" s="97">
        <v>0</v>
      </c>
      <c r="G102" s="97">
        <v>0</v>
      </c>
      <c r="H102" s="97">
        <v>0</v>
      </c>
      <c r="I102" s="97">
        <v>0</v>
      </c>
      <c r="J102" s="97">
        <v>0</v>
      </c>
      <c r="K102" s="97">
        <v>0</v>
      </c>
      <c r="L102" s="97">
        <v>0</v>
      </c>
      <c r="M102" s="97">
        <v>0</v>
      </c>
      <c r="N102" s="97">
        <v>0</v>
      </c>
      <c r="O102" s="97">
        <v>0</v>
      </c>
      <c r="P102" s="97">
        <v>0</v>
      </c>
      <c r="Q102" s="97">
        <v>0</v>
      </c>
      <c r="R102" s="97">
        <v>0</v>
      </c>
      <c r="S102" s="97">
        <v>0</v>
      </c>
      <c r="T102" s="97">
        <v>34.048950692037614</v>
      </c>
      <c r="U102" s="97">
        <v>33.788958428377342</v>
      </c>
      <c r="V102" s="97">
        <v>33.673594471979506</v>
      </c>
      <c r="W102" s="97">
        <v>33.673594471979499</v>
      </c>
      <c r="X102" s="97">
        <v>33.608801710160662</v>
      </c>
      <c r="Y102" s="97">
        <v>33.606286683075503</v>
      </c>
      <c r="DA102" s="175" t="s">
        <v>876</v>
      </c>
    </row>
    <row r="103" spans="1:105" ht="11.45" customHeight="1" x14ac:dyDescent="0.25">
      <c r="A103" s="111" t="s">
        <v>115</v>
      </c>
      <c r="B103" s="97">
        <v>0</v>
      </c>
      <c r="C103" s="97">
        <v>0</v>
      </c>
      <c r="D103" s="97">
        <v>0</v>
      </c>
      <c r="E103" s="97">
        <v>0</v>
      </c>
      <c r="F103" s="97">
        <v>0</v>
      </c>
      <c r="G103" s="97">
        <v>0</v>
      </c>
      <c r="H103" s="97">
        <v>0</v>
      </c>
      <c r="I103" s="97">
        <v>0</v>
      </c>
      <c r="J103" s="97">
        <v>30.433074216232733</v>
      </c>
      <c r="K103" s="97">
        <v>30.433074216232729</v>
      </c>
      <c r="L103" s="97">
        <v>30.433074216232733</v>
      </c>
      <c r="M103" s="97">
        <v>30.433074216232736</v>
      </c>
      <c r="N103" s="97">
        <v>30.433074216232733</v>
      </c>
      <c r="O103" s="97">
        <v>30.433074216232733</v>
      </c>
      <c r="P103" s="97">
        <v>30.433074216232729</v>
      </c>
      <c r="Q103" s="97">
        <v>30.433074216232733</v>
      </c>
      <c r="R103" s="97">
        <v>30.433074216232733</v>
      </c>
      <c r="S103" s="97">
        <v>30.433074216232733</v>
      </c>
      <c r="T103" s="97">
        <v>30.433074216232733</v>
      </c>
      <c r="U103" s="97">
        <v>25.084930037295674</v>
      </c>
      <c r="V103" s="97">
        <v>24.848440399928414</v>
      </c>
      <c r="W103" s="97">
        <v>24.568591747598862</v>
      </c>
      <c r="X103" s="97">
        <v>23.897205415941951</v>
      </c>
      <c r="Y103" s="97">
        <v>23.385833565058519</v>
      </c>
      <c r="DA103" s="175" t="s">
        <v>877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DA104" s="173"/>
    </row>
    <row r="105" spans="1:105" ht="11.45" customHeight="1" x14ac:dyDescent="0.25">
      <c r="A105" s="136" t="s">
        <v>153</v>
      </c>
      <c r="B105" s="141">
        <v>9.7008279168802911</v>
      </c>
      <c r="C105" s="141">
        <v>9.2947639184428201</v>
      </c>
      <c r="D105" s="141">
        <v>9.1692237495638427</v>
      </c>
      <c r="E105" s="141">
        <v>9.0533852573888822</v>
      </c>
      <c r="F105" s="141">
        <v>8.9771948470835916</v>
      </c>
      <c r="G105" s="141">
        <v>8.8896532464345714</v>
      </c>
      <c r="H105" s="141">
        <v>8.8451536185066946</v>
      </c>
      <c r="I105" s="141">
        <v>8.775877474569036</v>
      </c>
      <c r="J105" s="141">
        <v>8.6805789421160764</v>
      </c>
      <c r="K105" s="141">
        <v>8.6140316319590546</v>
      </c>
      <c r="L105" s="141">
        <v>8.5596071404693568</v>
      </c>
      <c r="M105" s="141">
        <v>8.5208800620573744</v>
      </c>
      <c r="N105" s="141">
        <v>8.458246913577149</v>
      </c>
      <c r="O105" s="141">
        <v>8.3856493338197442</v>
      </c>
      <c r="P105" s="141">
        <v>8.2417106290755093</v>
      </c>
      <c r="Q105" s="141">
        <v>8.087065536078379</v>
      </c>
      <c r="R105" s="141">
        <v>7.8898647465447542</v>
      </c>
      <c r="S105" s="141">
        <v>7.7125657847093203</v>
      </c>
      <c r="T105" s="141">
        <v>7.527570253468939</v>
      </c>
      <c r="U105" s="141">
        <v>7.3391711597372131</v>
      </c>
      <c r="V105" s="141">
        <v>7.2014164372538447</v>
      </c>
      <c r="W105" s="141">
        <v>7.0363090613728403</v>
      </c>
      <c r="X105" s="141">
        <v>6.9636173959380034</v>
      </c>
      <c r="Y105" s="141">
        <v>6.8835295379545922</v>
      </c>
      <c r="DA105" s="174" t="s">
        <v>878</v>
      </c>
    </row>
    <row r="106" spans="1:105" ht="11.45" customHeight="1" x14ac:dyDescent="0.25">
      <c r="A106" s="111" t="s">
        <v>110</v>
      </c>
      <c r="B106" s="96">
        <v>8.4810034880013845</v>
      </c>
      <c r="C106" s="96">
        <v>8.3721282872339717</v>
      </c>
      <c r="D106" s="96">
        <v>8.3023851431986344</v>
      </c>
      <c r="E106" s="96">
        <v>8.2356465755095254</v>
      </c>
      <c r="F106" s="96">
        <v>8.1437368794407643</v>
      </c>
      <c r="G106" s="96">
        <v>7.9867101556801936</v>
      </c>
      <c r="H106" s="96">
        <v>7.7844858199012048</v>
      </c>
      <c r="I106" s="96">
        <v>7.5854672259035851</v>
      </c>
      <c r="J106" s="96">
        <v>7.5055502615318002</v>
      </c>
      <c r="K106" s="96">
        <v>7.460662353585934</v>
      </c>
      <c r="L106" s="96">
        <v>7.4169473898556424</v>
      </c>
      <c r="M106" s="96">
        <v>7.3746975421930347</v>
      </c>
      <c r="N106" s="96">
        <v>7.3419772179306877</v>
      </c>
      <c r="O106" s="96">
        <v>7.3217906043092951</v>
      </c>
      <c r="P106" s="96">
        <v>7.2700454623547985</v>
      </c>
      <c r="Q106" s="96">
        <v>7.1852880062146651</v>
      </c>
      <c r="R106" s="96">
        <v>7.0822788500211535</v>
      </c>
      <c r="S106" s="96">
        <v>7.087806377133</v>
      </c>
      <c r="T106" s="96">
        <v>6.9411287249786149</v>
      </c>
      <c r="U106" s="96">
        <v>6.7191299550447736</v>
      </c>
      <c r="V106" s="96">
        <v>6.1259165276933727</v>
      </c>
      <c r="W106" s="96">
        <v>6.0231272791723889</v>
      </c>
      <c r="X106" s="96">
        <v>6.1108961122419156</v>
      </c>
      <c r="Y106" s="96">
        <v>6.148249135365603</v>
      </c>
      <c r="DA106" s="171" t="s">
        <v>879</v>
      </c>
    </row>
    <row r="107" spans="1:105" ht="11.45" customHeight="1" x14ac:dyDescent="0.25">
      <c r="A107" s="111" t="s">
        <v>111</v>
      </c>
      <c r="B107" s="96">
        <v>9.7312478354068705</v>
      </c>
      <c r="C107" s="96">
        <v>9.2080133634899859</v>
      </c>
      <c r="D107" s="96">
        <v>9.0676413403431386</v>
      </c>
      <c r="E107" s="96">
        <v>8.9457318121702176</v>
      </c>
      <c r="F107" s="96">
        <v>8.8774873949857316</v>
      </c>
      <c r="G107" s="96">
        <v>8.8039486733093568</v>
      </c>
      <c r="H107" s="96">
        <v>8.7693033243836016</v>
      </c>
      <c r="I107" s="96">
        <v>8.7215421662483781</v>
      </c>
      <c r="J107" s="96">
        <v>8.634694576192679</v>
      </c>
      <c r="K107" s="96">
        <v>8.5752599220917496</v>
      </c>
      <c r="L107" s="96">
        <v>8.5399045266567555</v>
      </c>
      <c r="M107" s="96">
        <v>8.5208045244768371</v>
      </c>
      <c r="N107" s="96">
        <v>8.4519275636284785</v>
      </c>
      <c r="O107" s="96">
        <v>8.3572778498697158</v>
      </c>
      <c r="P107" s="96">
        <v>8.184051210702318</v>
      </c>
      <c r="Q107" s="96">
        <v>7.9874133795550817</v>
      </c>
      <c r="R107" s="96">
        <v>7.7482555285371575</v>
      </c>
      <c r="S107" s="96">
        <v>7.5425072176706527</v>
      </c>
      <c r="T107" s="96">
        <v>7.3355733721240606</v>
      </c>
      <c r="U107" s="96">
        <v>7.1409361203871136</v>
      </c>
      <c r="V107" s="96">
        <v>7.0214094853320761</v>
      </c>
      <c r="W107" s="96">
        <v>6.8839634575257911</v>
      </c>
      <c r="X107" s="96">
        <v>6.8238354419792762</v>
      </c>
      <c r="Y107" s="96">
        <v>6.7640233625212796</v>
      </c>
      <c r="DA107" s="171" t="s">
        <v>880</v>
      </c>
    </row>
    <row r="108" spans="1:105" ht="11.45" customHeight="1" x14ac:dyDescent="0.25">
      <c r="A108" s="111" t="s">
        <v>112</v>
      </c>
      <c r="B108" s="96">
        <v>0</v>
      </c>
      <c r="C108" s="96">
        <v>0</v>
      </c>
      <c r="D108" s="96">
        <v>0</v>
      </c>
      <c r="E108" s="96">
        <v>0</v>
      </c>
      <c r="F108" s="96">
        <v>0</v>
      </c>
      <c r="G108" s="96">
        <v>0</v>
      </c>
      <c r="H108" s="96">
        <v>0</v>
      </c>
      <c r="I108" s="96">
        <v>0</v>
      </c>
      <c r="J108" s="96">
        <v>0</v>
      </c>
      <c r="K108" s="96">
        <v>0</v>
      </c>
      <c r="L108" s="96">
        <v>0</v>
      </c>
      <c r="M108" s="96">
        <v>0</v>
      </c>
      <c r="N108" s="96">
        <v>0</v>
      </c>
      <c r="O108" s="96">
        <v>6.7110416905744836</v>
      </c>
      <c r="P108" s="96">
        <v>6.7110416905744836</v>
      </c>
      <c r="Q108" s="96">
        <v>6.7110416905744836</v>
      </c>
      <c r="R108" s="96">
        <v>6.7110416905744836</v>
      </c>
      <c r="S108" s="96">
        <v>6.3586898288084432</v>
      </c>
      <c r="T108" s="96">
        <v>6.3586898288084432</v>
      </c>
      <c r="U108" s="96">
        <v>6.3586898288084432</v>
      </c>
      <c r="V108" s="96">
        <v>6.2754590705255175</v>
      </c>
      <c r="W108" s="96">
        <v>6.2754590705255184</v>
      </c>
      <c r="X108" s="96">
        <v>6.2754590705255175</v>
      </c>
      <c r="Y108" s="96">
        <v>6.2754590705255184</v>
      </c>
      <c r="DA108" s="171" t="s">
        <v>881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0</v>
      </c>
      <c r="I109" s="96">
        <v>0</v>
      </c>
      <c r="J109" s="96">
        <v>0</v>
      </c>
      <c r="K109" s="96">
        <v>0</v>
      </c>
      <c r="L109" s="96">
        <v>0</v>
      </c>
      <c r="M109" s="96">
        <v>0</v>
      </c>
      <c r="N109" s="96">
        <v>0</v>
      </c>
      <c r="O109" s="96">
        <v>0</v>
      </c>
      <c r="P109" s="96">
        <v>0</v>
      </c>
      <c r="Q109" s="96">
        <v>0</v>
      </c>
      <c r="R109" s="96">
        <v>6.1944013365208228</v>
      </c>
      <c r="S109" s="96">
        <v>6.1944013365208237</v>
      </c>
      <c r="T109" s="96">
        <v>6.1944013365208237</v>
      </c>
      <c r="U109" s="96">
        <v>6.1944013365208237</v>
      </c>
      <c r="V109" s="96">
        <v>8.1230762198004722</v>
      </c>
      <c r="W109" s="96">
        <v>8.1230762198004722</v>
      </c>
      <c r="X109" s="96">
        <v>8.123076219800474</v>
      </c>
      <c r="Y109" s="96">
        <v>9.0580754040807445</v>
      </c>
      <c r="DA109" s="171" t="s">
        <v>882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  <c r="M110" s="96">
        <v>1.3462223264458864</v>
      </c>
      <c r="N110" s="96">
        <v>1.3382349170555818</v>
      </c>
      <c r="O110" s="96">
        <v>1.3354824800995644</v>
      </c>
      <c r="P110" s="96">
        <v>1.3337764348426788</v>
      </c>
      <c r="Q110" s="96">
        <v>1.3468389853636984</v>
      </c>
      <c r="R110" s="96">
        <v>1.3454471946493305</v>
      </c>
      <c r="S110" s="96">
        <v>1.3399455191944483</v>
      </c>
      <c r="T110" s="96">
        <v>1.4445611753728262</v>
      </c>
      <c r="U110" s="96">
        <v>2.10151815866775</v>
      </c>
      <c r="V110" s="96">
        <v>1.7553266689462987</v>
      </c>
      <c r="W110" s="96">
        <v>1.9039603391758413</v>
      </c>
      <c r="X110" s="96">
        <v>2.0196353088115817</v>
      </c>
      <c r="Y110" s="96">
        <v>2.0978257968762937</v>
      </c>
      <c r="DA110" s="171" t="s">
        <v>883</v>
      </c>
    </row>
    <row r="111" spans="1:105" ht="11.45" customHeight="1" x14ac:dyDescent="0.25">
      <c r="A111" s="109" t="s">
        <v>154</v>
      </c>
      <c r="B111" s="130">
        <v>25.921859543157506</v>
      </c>
      <c r="C111" s="130">
        <v>25.75678983824659</v>
      </c>
      <c r="D111" s="130">
        <v>25.662084965421485</v>
      </c>
      <c r="E111" s="130">
        <v>25.541301375542989</v>
      </c>
      <c r="F111" s="130">
        <v>25.426200374026855</v>
      </c>
      <c r="G111" s="130">
        <v>25.268940948558495</v>
      </c>
      <c r="H111" s="130">
        <v>25.076459386500321</v>
      </c>
      <c r="I111" s="130">
        <v>24.876845117188537</v>
      </c>
      <c r="J111" s="130">
        <v>24.43945681431715</v>
      </c>
      <c r="K111" s="130">
        <v>24.181412295879177</v>
      </c>
      <c r="L111" s="130">
        <v>24.010862685245545</v>
      </c>
      <c r="M111" s="130">
        <v>23.832327644896221</v>
      </c>
      <c r="N111" s="130">
        <v>23.728217100078361</v>
      </c>
      <c r="O111" s="130">
        <v>23.587609521436349</v>
      </c>
      <c r="P111" s="130">
        <v>23.40892372815204</v>
      </c>
      <c r="Q111" s="130">
        <v>23.147240341717648</v>
      </c>
      <c r="R111" s="130">
        <v>22.725462616480328</v>
      </c>
      <c r="S111" s="130">
        <v>22.256071025177324</v>
      </c>
      <c r="T111" s="130">
        <v>21.894624440482751</v>
      </c>
      <c r="U111" s="130">
        <v>21.4615484289865</v>
      </c>
      <c r="V111" s="130">
        <v>21.221766680692109</v>
      </c>
      <c r="W111" s="130">
        <v>20.891872553326195</v>
      </c>
      <c r="X111" s="130">
        <v>20.521325667360408</v>
      </c>
      <c r="Y111" s="130">
        <v>20.156219379545011</v>
      </c>
      <c r="DA111" s="176" t="s">
        <v>884</v>
      </c>
    </row>
    <row r="112" spans="1:105" ht="11.45" customHeight="1" x14ac:dyDescent="0.25">
      <c r="A112" s="128" t="s">
        <v>27</v>
      </c>
      <c r="B112" s="97">
        <v>25.759356772272589</v>
      </c>
      <c r="C112" s="97">
        <v>25.606489574061722</v>
      </c>
      <c r="D112" s="97">
        <v>25.51082347388866</v>
      </c>
      <c r="E112" s="97">
        <v>25.392638824442191</v>
      </c>
      <c r="F112" s="97">
        <v>25.266905562473429</v>
      </c>
      <c r="G112" s="97">
        <v>25.122736249246529</v>
      </c>
      <c r="H112" s="97">
        <v>24.94504941297868</v>
      </c>
      <c r="I112" s="97">
        <v>24.754853972020253</v>
      </c>
      <c r="J112" s="97">
        <v>24.305625328202858</v>
      </c>
      <c r="K112" s="97">
        <v>24.053289292972455</v>
      </c>
      <c r="L112" s="97">
        <v>23.877969670165115</v>
      </c>
      <c r="M112" s="97">
        <v>23.689981386231171</v>
      </c>
      <c r="N112" s="97">
        <v>23.600369986742628</v>
      </c>
      <c r="O112" s="97">
        <v>23.465162646114472</v>
      </c>
      <c r="P112" s="97">
        <v>23.297329060934096</v>
      </c>
      <c r="Q112" s="97">
        <v>23.036450406829282</v>
      </c>
      <c r="R112" s="97">
        <v>22.624317535687332</v>
      </c>
      <c r="S112" s="97">
        <v>22.160853516118426</v>
      </c>
      <c r="T112" s="97">
        <v>21.798065326467025</v>
      </c>
      <c r="U112" s="97">
        <v>21.360225014292382</v>
      </c>
      <c r="V112" s="97">
        <v>21.194320438537719</v>
      </c>
      <c r="W112" s="97">
        <v>20.863819896570121</v>
      </c>
      <c r="X112" s="97">
        <v>20.492814584114676</v>
      </c>
      <c r="Y112" s="97">
        <v>20.125452297957153</v>
      </c>
      <c r="DA112" s="175" t="s">
        <v>885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36.375409655480276</v>
      </c>
      <c r="D113" s="98">
        <v>36.051927671237344</v>
      </c>
      <c r="E113" s="98">
        <v>35.793309821411128</v>
      </c>
      <c r="F113" s="98">
        <v>35.13825103341307</v>
      </c>
      <c r="G113" s="98">
        <v>34.837819585266011</v>
      </c>
      <c r="H113" s="98">
        <v>34.529939601166078</v>
      </c>
      <c r="I113" s="98">
        <v>34.071726511515052</v>
      </c>
      <c r="J113" s="98">
        <v>33.881032928571869</v>
      </c>
      <c r="K113" s="98">
        <v>33.632289483404648</v>
      </c>
      <c r="L113" s="98">
        <v>33.126587084918903</v>
      </c>
      <c r="M113" s="98">
        <v>32.471397694454765</v>
      </c>
      <c r="N113" s="98">
        <v>32.219870529421414</v>
      </c>
      <c r="O113" s="98">
        <v>31.89435726672647</v>
      </c>
      <c r="P113" s="98">
        <v>31.623337435397797</v>
      </c>
      <c r="Q113" s="98">
        <v>30.827350444729429</v>
      </c>
      <c r="R113" s="98">
        <v>30.697617197173546</v>
      </c>
      <c r="S113" s="98">
        <v>30.312054715619219</v>
      </c>
      <c r="T113" s="98">
        <v>29.435175992414333</v>
      </c>
      <c r="U113" s="98">
        <v>28.460543448115022</v>
      </c>
      <c r="V113" s="98">
        <v>26.325276678072029</v>
      </c>
      <c r="W113" s="98">
        <v>26.195978329069742</v>
      </c>
      <c r="X113" s="98">
        <v>26.16225517239852</v>
      </c>
      <c r="Y113" s="98">
        <v>25.922147971503314</v>
      </c>
      <c r="DA113" s="178" t="s">
        <v>886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DA116" s="173"/>
    </row>
    <row r="117" spans="1:105" ht="11.45" customHeight="1" x14ac:dyDescent="0.25">
      <c r="A117" s="136" t="s">
        <v>173</v>
      </c>
      <c r="B117" s="150">
        <f>IF(TrRoad_act!B59=0,0,TrRoad_ene!B62/TrRoad_tech!B90)</f>
        <v>1.1275000000068984</v>
      </c>
      <c r="C117" s="150">
        <f>IF(TrRoad_act!C59=0,0,TrRoad_ene!C62/TrRoad_tech!C90)</f>
        <v>1.1280368189675676</v>
      </c>
      <c r="D117" s="150">
        <f>IF(TrRoad_act!D59=0,0,TrRoad_ene!D62/TrRoad_tech!D90)</f>
        <v>1.1295365396846484</v>
      </c>
      <c r="E117" s="150">
        <f>IF(TrRoad_act!E59=0,0,TrRoad_ene!E62/TrRoad_tech!E90)</f>
        <v>1.1306912220914409</v>
      </c>
      <c r="F117" s="150">
        <f>IF(TrRoad_act!F59=0,0,TrRoad_ene!F62/TrRoad_tech!F90)</f>
        <v>1.1324392353099586</v>
      </c>
      <c r="G117" s="150">
        <f>IF(TrRoad_act!G59=0,0,TrRoad_ene!G62/TrRoad_tech!G90)</f>
        <v>1.1348459894249219</v>
      </c>
      <c r="H117" s="150">
        <f>IF(TrRoad_act!H59=0,0,TrRoad_ene!H62/TrRoad_tech!H90)</f>
        <v>1.1378204283300717</v>
      </c>
      <c r="I117" s="150">
        <f>IF(TrRoad_act!I59=0,0,TrRoad_ene!I62/TrRoad_tech!I90)</f>
        <v>1.1413476010837507</v>
      </c>
      <c r="J117" s="150">
        <f>IF(TrRoad_act!J59=0,0,TrRoad_ene!J62/TrRoad_tech!J90)</f>
        <v>1.1452115888370638</v>
      </c>
      <c r="K117" s="150">
        <f>IF(TrRoad_act!K59=0,0,TrRoad_ene!K62/TrRoad_tech!K90)</f>
        <v>1.1480357528996226</v>
      </c>
      <c r="L117" s="150">
        <f>IF(TrRoad_act!L59=0,0,TrRoad_ene!L62/TrRoad_tech!L90)</f>
        <v>1.1515309430104632</v>
      </c>
      <c r="M117" s="150">
        <f>IF(TrRoad_act!M59=0,0,TrRoad_ene!M62/TrRoad_tech!M90)</f>
        <v>1.1550395681426671</v>
      </c>
      <c r="N117" s="150">
        <f>IF(TrRoad_act!N59=0,0,TrRoad_ene!N62/TrRoad_tech!N90)</f>
        <v>1.1585943231541458</v>
      </c>
      <c r="O117" s="150">
        <f>IF(TrRoad_act!O59=0,0,TrRoad_ene!O62/TrRoad_tech!O90)</f>
        <v>1.1677245557469687</v>
      </c>
      <c r="P117" s="150">
        <f>IF(TrRoad_act!P59=0,0,TrRoad_ene!P62/TrRoad_tech!P90)</f>
        <v>1.1732393077421968</v>
      </c>
      <c r="Q117" s="150">
        <f>IF(TrRoad_act!Q59=0,0,TrRoad_ene!Q62/TrRoad_tech!Q90)</f>
        <v>1.1812126988463212</v>
      </c>
      <c r="R117" s="150">
        <f>IF(TrRoad_act!R59=0,0,TrRoad_ene!R62/TrRoad_tech!R90)</f>
        <v>1.1925990377896762</v>
      </c>
      <c r="S117" s="150">
        <f>IF(TrRoad_act!S59=0,0,TrRoad_ene!S62/TrRoad_tech!S90)</f>
        <v>1.2058412937096368</v>
      </c>
      <c r="T117" s="150">
        <f>IF(TrRoad_act!T59=0,0,TrRoad_ene!T62/TrRoad_tech!T90)</f>
        <v>1.2169460026082</v>
      </c>
      <c r="U117" s="150">
        <f>IF(TrRoad_act!U59=0,0,TrRoad_ene!U62/TrRoad_tech!U90)</f>
        <v>1.2355267264186289</v>
      </c>
      <c r="V117" s="150">
        <f>IF(TrRoad_act!V59=0,0,TrRoad_ene!V62/TrRoad_tech!V90)</f>
        <v>1.2530671430998592</v>
      </c>
      <c r="W117" s="150">
        <f>IF(TrRoad_act!W59=0,0,TrRoad_ene!W62/TrRoad_tech!W90)</f>
        <v>1.2688360006750083</v>
      </c>
      <c r="X117" s="150">
        <f>IF(TrRoad_act!X59=0,0,TrRoad_ene!X62/TrRoad_tech!X90)</f>
        <v>1.2925953679585918</v>
      </c>
      <c r="Y117" s="150">
        <f>IF(TrRoad_act!Y59=0,0,TrRoad_ene!Y62/TrRoad_tech!Y90)</f>
        <v>1.3135409552307775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1.156318672161049</v>
      </c>
      <c r="C118" s="151">
        <f>IF(TrRoad_act!C60=0,0,TrRoad_ene!C63/TrRoad_tech!C91)</f>
        <v>1.1694096894140704</v>
      </c>
      <c r="D118" s="151">
        <f>IF(TrRoad_act!D60=0,0,TrRoad_ene!D63/TrRoad_tech!D91)</f>
        <v>1.150545142418038</v>
      </c>
      <c r="E118" s="151">
        <f>IF(TrRoad_act!E60=0,0,TrRoad_ene!E63/TrRoad_tech!E91)</f>
        <v>1.1238383210052858</v>
      </c>
      <c r="F118" s="151">
        <f>IF(TrRoad_act!F60=0,0,TrRoad_ene!F63/TrRoad_tech!F91)</f>
        <v>1.1487398047721578</v>
      </c>
      <c r="G118" s="151">
        <f>IF(TrRoad_act!G60=0,0,TrRoad_ene!G63/TrRoad_tech!G91)</f>
        <v>1.1858890802269169</v>
      </c>
      <c r="H118" s="151">
        <f>IF(TrRoad_act!H60=0,0,TrRoad_ene!H63/TrRoad_tech!H91)</f>
        <v>1.1980506780433589</v>
      </c>
      <c r="I118" s="151">
        <f>IF(TrRoad_act!I60=0,0,TrRoad_ene!I63/TrRoad_tech!I91)</f>
        <v>1.1967189177324324</v>
      </c>
      <c r="J118" s="151">
        <f>IF(TrRoad_act!J60=0,0,TrRoad_ene!J63/TrRoad_tech!J91)</f>
        <v>1.1350385707000048</v>
      </c>
      <c r="K118" s="151">
        <f>IF(TrRoad_act!K60=0,0,TrRoad_ene!K63/TrRoad_tech!K91)</f>
        <v>1.1391117807153104</v>
      </c>
      <c r="L118" s="151">
        <f>IF(TrRoad_act!L60=0,0,TrRoad_ene!L63/TrRoad_tech!L91)</f>
        <v>1.1191489383919611</v>
      </c>
      <c r="M118" s="151">
        <f>IF(TrRoad_act!M60=0,0,TrRoad_ene!M63/TrRoad_tech!M91)</f>
        <v>1.1136178582988572</v>
      </c>
      <c r="N118" s="151">
        <f>IF(TrRoad_act!N60=0,0,TrRoad_ene!N63/TrRoad_tech!N91)</f>
        <v>1.1460373415535843</v>
      </c>
      <c r="O118" s="151">
        <f>IF(TrRoad_act!O60=0,0,TrRoad_ene!O63/TrRoad_tech!O91)</f>
        <v>1.1460887831504887</v>
      </c>
      <c r="P118" s="151">
        <f>IF(TrRoad_act!P60=0,0,TrRoad_ene!P63/TrRoad_tech!P91)</f>
        <v>1.2238889094314085</v>
      </c>
      <c r="Q118" s="151">
        <f>IF(TrRoad_act!Q60=0,0,TrRoad_ene!Q63/TrRoad_tech!Q91)</f>
        <v>1.1924018695777014</v>
      </c>
      <c r="R118" s="151">
        <f>IF(TrRoad_act!R60=0,0,TrRoad_ene!R63/TrRoad_tech!R91)</f>
        <v>1.2341628160140918</v>
      </c>
      <c r="S118" s="151">
        <f>IF(TrRoad_act!S60=0,0,TrRoad_ene!S63/TrRoad_tech!S91)</f>
        <v>1.2123964289028131</v>
      </c>
      <c r="T118" s="151">
        <f>IF(TrRoad_act!T60=0,0,TrRoad_ene!T63/TrRoad_tech!T91)</f>
        <v>1.244239919947091</v>
      </c>
      <c r="U118" s="151">
        <f>IF(TrRoad_act!U60=0,0,TrRoad_ene!U63/TrRoad_tech!U91)</f>
        <v>1.2559528781264444</v>
      </c>
      <c r="V118" s="151">
        <f>IF(TrRoad_act!V60=0,0,TrRoad_ene!V63/TrRoad_tech!V91)</f>
        <v>1.2180627401954325</v>
      </c>
      <c r="W118" s="151">
        <f>IF(TrRoad_act!W60=0,0,TrRoad_ene!W63/TrRoad_tech!W91)</f>
        <v>1.2588666362498317</v>
      </c>
      <c r="X118" s="151">
        <f>IF(TrRoad_act!X60=0,0,TrRoad_ene!X63/TrRoad_tech!X91)</f>
        <v>1.2690419817424277</v>
      </c>
      <c r="Y118" s="151">
        <f>IF(TrRoad_act!Y60=0,0,TrRoad_ene!Y63/TrRoad_tech!Y91)</f>
        <v>1.2935160303663251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1.0817824821496613</v>
      </c>
      <c r="C119" s="91">
        <f>IF(TrRoad_act!C61=0,0,TrRoad_ene!C64/TrRoad_tech!C92)</f>
        <v>1.0984527045451327</v>
      </c>
      <c r="D119" s="91">
        <f>IF(TrRoad_act!D61=0,0,TrRoad_ene!D64/TrRoad_tech!D92)</f>
        <v>1.1012363888106096</v>
      </c>
      <c r="E119" s="91">
        <f>IF(TrRoad_act!E61=0,0,TrRoad_ene!E64/TrRoad_tech!E92)</f>
        <v>1.075550094995221</v>
      </c>
      <c r="F119" s="91">
        <f>IF(TrRoad_act!F61=0,0,TrRoad_ene!F64/TrRoad_tech!F92)</f>
        <v>1.0987086242553847</v>
      </c>
      <c r="G119" s="91">
        <f>IF(TrRoad_act!G61=0,0,TrRoad_ene!G64/TrRoad_tech!G92)</f>
        <v>1.1441479936293177</v>
      </c>
      <c r="H119" s="91">
        <f>IF(TrRoad_act!H61=0,0,TrRoad_ene!H64/TrRoad_tech!H92)</f>
        <v>1.1440693839166274</v>
      </c>
      <c r="I119" s="91">
        <f>IF(TrRoad_act!I61=0,0,TrRoad_ene!I64/TrRoad_tech!I92)</f>
        <v>1.1224302318525246</v>
      </c>
      <c r="J119" s="91">
        <f>IF(TrRoad_act!J61=0,0,TrRoad_ene!J64/TrRoad_tech!J92)</f>
        <v>1.0594518511545423</v>
      </c>
      <c r="K119" s="91">
        <f>IF(TrRoad_act!K61=0,0,TrRoad_ene!K64/TrRoad_tech!K92)</f>
        <v>1.0334991660368309</v>
      </c>
      <c r="L119" s="91">
        <f>IF(TrRoad_act!L61=0,0,TrRoad_ene!L64/TrRoad_tech!L92)</f>
        <v>1.0431507555107815</v>
      </c>
      <c r="M119" s="91">
        <f>IF(TrRoad_act!M61=0,0,TrRoad_ene!M64/TrRoad_tech!M92)</f>
        <v>1.0401347296883852</v>
      </c>
      <c r="N119" s="91">
        <f>IF(TrRoad_act!N61=0,0,TrRoad_ene!N64/TrRoad_tech!N92)</f>
        <v>1.0747880526479481</v>
      </c>
      <c r="O119" s="91">
        <f>IF(TrRoad_act!O61=0,0,TrRoad_ene!O64/TrRoad_tech!O92)</f>
        <v>1.0418934036304679</v>
      </c>
      <c r="P119" s="91">
        <f>IF(TrRoad_act!P61=0,0,TrRoad_ene!P64/TrRoad_tech!P92)</f>
        <v>1.10825667568987</v>
      </c>
      <c r="Q119" s="91">
        <f>IF(TrRoad_act!Q61=0,0,TrRoad_ene!Q64/TrRoad_tech!Q92)</f>
        <v>1.0092124329005032</v>
      </c>
      <c r="R119" s="91">
        <f>IF(TrRoad_act!R61=0,0,TrRoad_ene!R64/TrRoad_tech!R92)</f>
        <v>1.0814407974036351</v>
      </c>
      <c r="S119" s="91">
        <f>IF(TrRoad_act!S61=0,0,TrRoad_ene!S64/TrRoad_tech!S92)</f>
        <v>1.0543724587128196</v>
      </c>
      <c r="T119" s="91">
        <f>IF(TrRoad_act!T61=0,0,TrRoad_ene!T64/TrRoad_tech!T92)</f>
        <v>1.0581614703459576</v>
      </c>
      <c r="U119" s="91">
        <f>IF(TrRoad_act!U61=0,0,TrRoad_ene!U64/TrRoad_tech!U92)</f>
        <v>1.0628083369218735</v>
      </c>
      <c r="V119" s="91">
        <f>IF(TrRoad_act!V61=0,0,TrRoad_ene!V64/TrRoad_tech!V92)</f>
        <v>1.010800450475591</v>
      </c>
      <c r="W119" s="91">
        <f>IF(TrRoad_act!W61=0,0,TrRoad_ene!W64/TrRoad_tech!W92)</f>
        <v>1.0609361594589373</v>
      </c>
      <c r="X119" s="91">
        <f>IF(TrRoad_act!X61=0,0,TrRoad_ene!X64/TrRoad_tech!X92)</f>
        <v>1.0866263180512015</v>
      </c>
      <c r="Y119" s="91">
        <f>IF(TrRoad_act!Y61=0,0,TrRoad_ene!Y64/TrRoad_tech!Y92)</f>
        <v>1.1247298272519499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1.6185276168286149</v>
      </c>
      <c r="C120" s="91">
        <f>IF(TrRoad_act!C62=0,0,TrRoad_ene!C65/TrRoad_tech!C93)</f>
        <v>1.700543546753067</v>
      </c>
      <c r="D120" s="91">
        <f>IF(TrRoad_act!D62=0,0,TrRoad_ene!D65/TrRoad_tech!D93)</f>
        <v>1.5509269141843833</v>
      </c>
      <c r="E120" s="91">
        <f>IF(TrRoad_act!E62=0,0,TrRoad_ene!E65/TrRoad_tech!E93)</f>
        <v>1.5073432139101928</v>
      </c>
      <c r="F120" s="91">
        <f>IF(TrRoad_act!F62=0,0,TrRoad_ene!F65/TrRoad_tech!F93)</f>
        <v>1.5120251744444027</v>
      </c>
      <c r="G120" s="91">
        <f>IF(TrRoad_act!G62=0,0,TrRoad_ene!G65/TrRoad_tech!G93)</f>
        <v>1.4493173786101401</v>
      </c>
      <c r="H120" s="91">
        <f>IF(TrRoad_act!H62=0,0,TrRoad_ene!H65/TrRoad_tech!H93)</f>
        <v>1.5101321330094635</v>
      </c>
      <c r="I120" s="91">
        <f>IF(TrRoad_act!I62=0,0,TrRoad_ene!I65/TrRoad_tech!I93)</f>
        <v>1.5711206591539504</v>
      </c>
      <c r="J120" s="91">
        <f>IF(TrRoad_act!J62=0,0,TrRoad_ene!J65/TrRoad_tech!J93)</f>
        <v>1.4466683606330764</v>
      </c>
      <c r="K120" s="91">
        <f>IF(TrRoad_act!K62=0,0,TrRoad_ene!K65/TrRoad_tech!K93)</f>
        <v>1.4846289218139253</v>
      </c>
      <c r="L120" s="91">
        <f>IF(TrRoad_act!L62=0,0,TrRoad_ene!L65/TrRoad_tech!L93)</f>
        <v>1.3307352304336699</v>
      </c>
      <c r="M120" s="91">
        <f>IF(TrRoad_act!M62=0,0,TrRoad_ene!M65/TrRoad_tech!M93)</f>
        <v>1.2777480972962079</v>
      </c>
      <c r="N120" s="91">
        <f>IF(TrRoad_act!N62=0,0,TrRoad_ene!N65/TrRoad_tech!N93)</f>
        <v>1.2921621778787677</v>
      </c>
      <c r="O120" s="91">
        <f>IF(TrRoad_act!O62=0,0,TrRoad_ene!O65/TrRoad_tech!O93)</f>
        <v>1.3210729454890109</v>
      </c>
      <c r="P120" s="91">
        <f>IF(TrRoad_act!P62=0,0,TrRoad_ene!P65/TrRoad_tech!P93)</f>
        <v>1.4068180890775965</v>
      </c>
      <c r="Q120" s="91">
        <f>IF(TrRoad_act!Q62=0,0,TrRoad_ene!Q65/TrRoad_tech!Q93)</f>
        <v>1.4249106247718744</v>
      </c>
      <c r="R120" s="91">
        <f>IF(TrRoad_act!R62=0,0,TrRoad_ene!R65/TrRoad_tech!R93)</f>
        <v>1.4143130611139441</v>
      </c>
      <c r="S120" s="91">
        <f>IF(TrRoad_act!S62=0,0,TrRoad_ene!S65/TrRoad_tech!S93)</f>
        <v>1.3776508640241691</v>
      </c>
      <c r="T120" s="91">
        <f>IF(TrRoad_act!T62=0,0,TrRoad_ene!T65/TrRoad_tech!T93)</f>
        <v>1.4187532697440559</v>
      </c>
      <c r="U120" s="91">
        <f>IF(TrRoad_act!U62=0,0,TrRoad_ene!U65/TrRoad_tech!U93)</f>
        <v>1.4271885940206124</v>
      </c>
      <c r="V120" s="91">
        <f>IF(TrRoad_act!V62=0,0,TrRoad_ene!V65/TrRoad_tech!V93)</f>
        <v>1.3792218568384171</v>
      </c>
      <c r="W120" s="91">
        <f>IF(TrRoad_act!W62=0,0,TrRoad_ene!W65/TrRoad_tech!W93)</f>
        <v>1.4185460850752094</v>
      </c>
      <c r="X120" s="91">
        <f>IF(TrRoad_act!X62=0,0,TrRoad_ene!X65/TrRoad_tech!X93)</f>
        <v>1.4275854327888671</v>
      </c>
      <c r="Y120" s="91">
        <f>IF(TrRoad_act!Y62=0,0,TrRoad_ene!Y65/TrRoad_tech!Y93)</f>
        <v>1.4616421908810495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1.095070205854946</v>
      </c>
      <c r="C121" s="91">
        <f>IF(TrRoad_act!C63=0,0,TrRoad_ene!C66/TrRoad_tech!C94)</f>
        <v>1.0458626454564601</v>
      </c>
      <c r="D121" s="91">
        <f>IF(TrRoad_act!D63=0,0,TrRoad_ene!D66/TrRoad_tech!D94)</f>
        <v>1.0698567257517018</v>
      </c>
      <c r="E121" s="91">
        <f>IF(TrRoad_act!E63=0,0,TrRoad_ene!E66/TrRoad_tech!E94)</f>
        <v>1.0934466421455407</v>
      </c>
      <c r="F121" s="91">
        <f>IF(TrRoad_act!F63=0,0,TrRoad_ene!F66/TrRoad_tech!F94)</f>
        <v>1.0348676963474457</v>
      </c>
      <c r="G121" s="91">
        <f>IF(TrRoad_act!G63=0,0,TrRoad_ene!G66/TrRoad_tech!G94)</f>
        <v>1.0406464884326632</v>
      </c>
      <c r="H121" s="91">
        <f>IF(TrRoad_act!H63=0,0,TrRoad_ene!H66/TrRoad_tech!H94)</f>
        <v>1.0291499725101236</v>
      </c>
      <c r="I121" s="91">
        <f>IF(TrRoad_act!I63=0,0,TrRoad_ene!I66/TrRoad_tech!I94)</f>
        <v>1.0454352183638282</v>
      </c>
      <c r="J121" s="91">
        <f>IF(TrRoad_act!J63=0,0,TrRoad_ene!J66/TrRoad_tech!J94)</f>
        <v>1.0824007302815377</v>
      </c>
      <c r="K121" s="91">
        <f>IF(TrRoad_act!K63=0,0,TrRoad_ene!K66/TrRoad_tech!K94)</f>
        <v>1.0283507286597109</v>
      </c>
      <c r="L121" s="91">
        <f>IF(TrRoad_act!L63=0,0,TrRoad_ene!L66/TrRoad_tech!L94)</f>
        <v>1.0415412214251298</v>
      </c>
      <c r="M121" s="91">
        <f>IF(TrRoad_act!M63=0,0,TrRoad_ene!M66/TrRoad_tech!M94)</f>
        <v>1.031907075678157</v>
      </c>
      <c r="N121" s="91">
        <f>IF(TrRoad_act!N63=0,0,TrRoad_ene!N66/TrRoad_tech!N94)</f>
        <v>1.0645350507679403</v>
      </c>
      <c r="O121" s="91">
        <f>IF(TrRoad_act!O63=0,0,TrRoad_ene!O66/TrRoad_tech!O94)</f>
        <v>1.0370097135412384</v>
      </c>
      <c r="P121" s="91">
        <f>IF(TrRoad_act!P63=0,0,TrRoad_ene!P66/TrRoad_tech!P94)</f>
        <v>1.0575067122523296</v>
      </c>
      <c r="Q121" s="91">
        <f>IF(TrRoad_act!Q63=0,0,TrRoad_ene!Q66/TrRoad_tech!Q94)</f>
        <v>1.1117718234357261</v>
      </c>
      <c r="R121" s="91">
        <f>IF(TrRoad_act!R63=0,0,TrRoad_ene!R66/TrRoad_tech!R94)</f>
        <v>1.1441605945582025</v>
      </c>
      <c r="S121" s="91">
        <f>IF(TrRoad_act!S63=0,0,TrRoad_ene!S66/TrRoad_tech!S94)</f>
        <v>1.1683896422531741</v>
      </c>
      <c r="T121" s="91">
        <f>IF(TrRoad_act!T63=0,0,TrRoad_ene!T66/TrRoad_tech!T94)</f>
        <v>1.1460628035793452</v>
      </c>
      <c r="U121" s="91">
        <f>IF(TrRoad_act!U63=0,0,TrRoad_ene!U66/TrRoad_tech!U94)</f>
        <v>1.1533303605292951</v>
      </c>
      <c r="V121" s="91">
        <f>IF(TrRoad_act!V63=0,0,TrRoad_ene!V66/TrRoad_tech!V94)</f>
        <v>0.9419671764623202</v>
      </c>
      <c r="W121" s="91">
        <f>IF(TrRoad_act!W63=0,0,TrRoad_ene!W66/TrRoad_tech!W94)</f>
        <v>1.0517109438013976</v>
      </c>
      <c r="X121" s="91">
        <f>IF(TrRoad_act!X63=0,0,TrRoad_ene!X66/TrRoad_tech!X94)</f>
        <v>1.4747690293138191</v>
      </c>
      <c r="Y121" s="91">
        <f>IF(TrRoad_act!Y63=0,0,TrRoad_ene!Y66/TrRoad_tech!Y94)</f>
        <v>1.2467778587634972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0</v>
      </c>
      <c r="G122" s="91">
        <f>IF(TrRoad_act!G64=0,0,TrRoad_ene!G67/TrRoad_tech!G95)</f>
        <v>0</v>
      </c>
      <c r="H122" s="91">
        <f>IF(TrRoad_act!H64=0,0,TrRoad_ene!H67/TrRoad_tech!H95)</f>
        <v>0</v>
      </c>
      <c r="I122" s="91">
        <f>IF(TrRoad_act!I64=0,0,TrRoad_ene!I67/TrRoad_tech!I95)</f>
        <v>0</v>
      </c>
      <c r="J122" s="91">
        <f>IF(TrRoad_act!J64=0,0,TrRoad_ene!J67/TrRoad_tech!J95)</f>
        <v>0</v>
      </c>
      <c r="K122" s="91">
        <f>IF(TrRoad_act!K64=0,0,TrRoad_ene!K67/TrRoad_tech!K95)</f>
        <v>0</v>
      </c>
      <c r="L122" s="91">
        <f>IF(TrRoad_act!L64=0,0,TrRoad_ene!L67/TrRoad_tech!L95)</f>
        <v>0</v>
      </c>
      <c r="M122" s="91">
        <f>IF(TrRoad_act!M64=0,0,TrRoad_ene!M67/TrRoad_tech!M95)</f>
        <v>0</v>
      </c>
      <c r="N122" s="91">
        <f>IF(TrRoad_act!N64=0,0,TrRoad_ene!N67/TrRoad_tech!N95)</f>
        <v>0</v>
      </c>
      <c r="O122" s="91">
        <f>IF(TrRoad_act!O64=0,0,TrRoad_ene!O67/TrRoad_tech!O95)</f>
        <v>0</v>
      </c>
      <c r="P122" s="91">
        <f>IF(TrRoad_act!P64=0,0,TrRoad_ene!P67/TrRoad_tech!P95)</f>
        <v>3.2335703045453306</v>
      </c>
      <c r="Q122" s="91">
        <f>IF(TrRoad_act!Q64=0,0,TrRoad_ene!Q67/TrRoad_tech!Q95)</f>
        <v>0.99056176189340561</v>
      </c>
      <c r="R122" s="91">
        <f>IF(TrRoad_act!R64=0,0,TrRoad_ene!R67/TrRoad_tech!R95)</f>
        <v>0.61357725211142433</v>
      </c>
      <c r="S122" s="91">
        <f>IF(TrRoad_act!S64=0,0,TrRoad_ene!S67/TrRoad_tech!S95)</f>
        <v>0.74980637723104349</v>
      </c>
      <c r="T122" s="91">
        <f>IF(TrRoad_act!T64=0,0,TrRoad_ene!T67/TrRoad_tech!T95)</f>
        <v>1.0796263573871148</v>
      </c>
      <c r="U122" s="91">
        <f>IF(TrRoad_act!U64=0,0,TrRoad_ene!U67/TrRoad_tech!U95)</f>
        <v>1.2780115530153839</v>
      </c>
      <c r="V122" s="91">
        <f>IF(TrRoad_act!V64=0,0,TrRoad_ene!V67/TrRoad_tech!V95)</f>
        <v>1.5705249556942829</v>
      </c>
      <c r="W122" s="91">
        <f>IF(TrRoad_act!W64=0,0,TrRoad_ene!W67/TrRoad_tech!W95)</f>
        <v>3.3813575164305534</v>
      </c>
      <c r="X122" s="91">
        <f>IF(TrRoad_act!X64=0,0,TrRoad_ene!X67/TrRoad_tech!X95)</f>
        <v>1.9994757237929304</v>
      </c>
      <c r="Y122" s="91">
        <f>IF(TrRoad_act!Y64=0,0,TrRoad_ene!Y67/TrRoad_tech!Y95)</f>
        <v>1.8776656014447428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</v>
      </c>
      <c r="N123" s="91">
        <f>IF(TrRoad_act!N65=0,0,TrRoad_ene!N68/TrRoad_tech!N96)</f>
        <v>0</v>
      </c>
      <c r="O123" s="91">
        <f>IF(TrRoad_act!O65=0,0,TrRoad_ene!O68/TrRoad_tech!O96)</f>
        <v>1.0745875510560017</v>
      </c>
      <c r="P123" s="91">
        <f>IF(TrRoad_act!P65=0,0,TrRoad_ene!P68/TrRoad_tech!P96)</f>
        <v>1.119250289419889</v>
      </c>
      <c r="Q123" s="91">
        <f>IF(TrRoad_act!Q65=0,0,TrRoad_ene!Q68/TrRoad_tech!Q96)</f>
        <v>1.0620307885863971</v>
      </c>
      <c r="R123" s="91">
        <f>IF(TrRoad_act!R65=0,0,TrRoad_ene!R68/TrRoad_tech!R96)</f>
        <v>1.1113857120579669</v>
      </c>
      <c r="S123" s="91">
        <f>IF(TrRoad_act!S65=0,0,TrRoad_ene!S68/TrRoad_tech!S96)</f>
        <v>1.0936103283835421</v>
      </c>
      <c r="T123" s="91">
        <f>IF(TrRoad_act!T65=0,0,TrRoad_ene!T68/TrRoad_tech!T96)</f>
        <v>1.0960053389306073</v>
      </c>
      <c r="U123" s="91">
        <f>IF(TrRoad_act!U65=0,0,TrRoad_ene!U68/TrRoad_tech!U96)</f>
        <v>1.0983555437738193</v>
      </c>
      <c r="V123" s="91">
        <f>IF(TrRoad_act!V65=0,0,TrRoad_ene!V68/TrRoad_tech!V96)</f>
        <v>1.0671442553081349</v>
      </c>
      <c r="W123" s="91">
        <f>IF(TrRoad_act!W65=0,0,TrRoad_ene!W68/TrRoad_tech!W96)</f>
        <v>1.0960154360608927</v>
      </c>
      <c r="X123" s="91">
        <f>IF(TrRoad_act!X65=0,0,TrRoad_ene!X68/TrRoad_tech!X96)</f>
        <v>1.1071723294018023</v>
      </c>
      <c r="Y123" s="91">
        <f>IF(TrRoad_act!Y65=0,0,TrRoad_ene!Y68/TrRoad_tech!Y96)</f>
        <v>1.1232244513593623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0</v>
      </c>
      <c r="K124" s="91">
        <f>IF(TrRoad_act!K66=0,0,TrRoad_ene!K69/TrRoad_tech!K97)</f>
        <v>1.0511111111157001</v>
      </c>
      <c r="L124" s="91">
        <f>IF(TrRoad_act!L66=0,0,TrRoad_ene!L69/TrRoad_tech!L97)</f>
        <v>1.0555555555604397</v>
      </c>
      <c r="M124" s="91">
        <f>IF(TrRoad_act!M66=0,0,TrRoad_ene!M69/TrRoad_tech!M97)</f>
        <v>1.0603703703752703</v>
      </c>
      <c r="N124" s="91">
        <f>IF(TrRoad_act!N66=0,0,TrRoad_ene!N69/TrRoad_tech!N97)</f>
        <v>1.0655555555606799</v>
      </c>
      <c r="O124" s="91">
        <f>IF(TrRoad_act!O66=0,0,TrRoad_ene!O69/TrRoad_tech!O97)</f>
        <v>1.0689180537823624</v>
      </c>
      <c r="P124" s="91">
        <f>IF(TrRoad_act!P66=0,0,TrRoad_ene!P69/TrRoad_tech!P97)</f>
        <v>1.0732801524442397</v>
      </c>
      <c r="Q124" s="91">
        <f>IF(TrRoad_act!Q66=0,0,TrRoad_ene!Q69/TrRoad_tech!Q97)</f>
        <v>1.0785918541822077</v>
      </c>
      <c r="R124" s="91">
        <f>IF(TrRoad_act!R66=0,0,TrRoad_ene!R69/TrRoad_tech!R97)</f>
        <v>1.0824434432300842</v>
      </c>
      <c r="S124" s="91">
        <f>IF(TrRoad_act!S66=0,0,TrRoad_ene!S69/TrRoad_tech!S97)</f>
        <v>1.0861963256670022</v>
      </c>
      <c r="T124" s="91">
        <f>IF(TrRoad_act!T66=0,0,TrRoad_ene!T69/TrRoad_tech!T97)</f>
        <v>1.0898633160281934</v>
      </c>
      <c r="U124" s="91">
        <f>IF(TrRoad_act!U66=0,0,TrRoad_ene!U69/TrRoad_tech!U97)</f>
        <v>1.0932915189555967</v>
      </c>
      <c r="V124" s="91">
        <f>IF(TrRoad_act!V66=0,0,TrRoad_ene!V69/TrRoad_tech!V97)</f>
        <v>1.0950568820743358</v>
      </c>
      <c r="W124" s="91">
        <f>IF(TrRoad_act!W66=0,0,TrRoad_ene!W69/TrRoad_tech!W97)</f>
        <v>1.0977134116058638</v>
      </c>
      <c r="X124" s="91">
        <f>IF(TrRoad_act!X66=0,0,TrRoad_ene!X69/TrRoad_tech!X97)</f>
        <v>1.0987325543879363</v>
      </c>
      <c r="Y124" s="91">
        <f>IF(TrRoad_act!Y66=0,0,TrRoad_ene!Y69/TrRoad_tech!Y97)</f>
        <v>1.0995502619895769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1.1000699129158689</v>
      </c>
      <c r="C125" s="151">
        <f>IF(TrRoad_act!C67=0,0,TrRoad_ene!C70/TrRoad_tech!C98)</f>
        <v>1.078320176272892</v>
      </c>
      <c r="D125" s="151">
        <f>IF(TrRoad_act!D67=0,0,TrRoad_ene!D70/TrRoad_tech!D98)</f>
        <v>1.0752203936421236</v>
      </c>
      <c r="E125" s="151">
        <f>IF(TrRoad_act!E67=0,0,TrRoad_ene!E70/TrRoad_tech!E98)</f>
        <v>1.0743397589196393</v>
      </c>
      <c r="F125" s="151">
        <f>IF(TrRoad_act!F67=0,0,TrRoad_ene!F70/TrRoad_tech!F98)</f>
        <v>1.0761999181278683</v>
      </c>
      <c r="G125" s="151">
        <f>IF(TrRoad_act!G67=0,0,TrRoad_ene!G70/TrRoad_tech!G98)</f>
        <v>1.0804858816855827</v>
      </c>
      <c r="H125" s="151">
        <f>IF(TrRoad_act!H67=0,0,TrRoad_ene!H70/TrRoad_tech!H98)</f>
        <v>1.0877879180902672</v>
      </c>
      <c r="I125" s="151">
        <f>IF(TrRoad_act!I67=0,0,TrRoad_ene!I70/TrRoad_tech!I98)</f>
        <v>1.0968892632404841</v>
      </c>
      <c r="J125" s="151">
        <f>IF(TrRoad_act!J67=0,0,TrRoad_ene!J70/TrRoad_tech!J98)</f>
        <v>1.107468174500835</v>
      </c>
      <c r="K125" s="151">
        <f>IF(TrRoad_act!K67=0,0,TrRoad_ene!K70/TrRoad_tech!K98)</f>
        <v>1.1140083204121281</v>
      </c>
      <c r="L125" s="151">
        <f>IF(TrRoad_act!L67=0,0,TrRoad_ene!L70/TrRoad_tech!L98)</f>
        <v>1.1200494099155207</v>
      </c>
      <c r="M125" s="151">
        <f>IF(TrRoad_act!M67=0,0,TrRoad_ene!M70/TrRoad_tech!M98)</f>
        <v>1.1294375031332886</v>
      </c>
      <c r="N125" s="151">
        <f>IF(TrRoad_act!N67=0,0,TrRoad_ene!N70/TrRoad_tech!N98)</f>
        <v>1.1403097401669948</v>
      </c>
      <c r="O125" s="151">
        <f>IF(TrRoad_act!O67=0,0,TrRoad_ene!O70/TrRoad_tech!O98)</f>
        <v>1.1569075583770723</v>
      </c>
      <c r="P125" s="151">
        <f>IF(TrRoad_act!P67=0,0,TrRoad_ene!P70/TrRoad_tech!P98)</f>
        <v>1.1727966616251881</v>
      </c>
      <c r="Q125" s="151">
        <f>IF(TrRoad_act!Q67=0,0,TrRoad_ene!Q70/TrRoad_tech!Q98)</f>
        <v>1.187855227415616</v>
      </c>
      <c r="R125" s="151">
        <f>IF(TrRoad_act!R67=0,0,TrRoad_ene!R70/TrRoad_tech!R98)</f>
        <v>1.2034256418965534</v>
      </c>
      <c r="S125" s="151">
        <f>IF(TrRoad_act!S67=0,0,TrRoad_ene!S70/TrRoad_tech!S98)</f>
        <v>1.2181263687117962</v>
      </c>
      <c r="T125" s="151">
        <f>IF(TrRoad_act!T67=0,0,TrRoad_ene!T70/TrRoad_tech!T98)</f>
        <v>1.232633847507121</v>
      </c>
      <c r="U125" s="151">
        <f>IF(TrRoad_act!U67=0,0,TrRoad_ene!U70/TrRoad_tech!U98)</f>
        <v>1.2427360714203943</v>
      </c>
      <c r="V125" s="151">
        <f>IF(TrRoad_act!V67=0,0,TrRoad_ene!V70/TrRoad_tech!V98)</f>
        <v>1.2580810302786916</v>
      </c>
      <c r="W125" s="151">
        <f>IF(TrRoad_act!W67=0,0,TrRoad_ene!W70/TrRoad_tech!W98)</f>
        <v>1.2686424725026839</v>
      </c>
      <c r="X125" s="151">
        <f>IF(TrRoad_act!X67=0,0,TrRoad_ene!X70/TrRoad_tech!X98)</f>
        <v>1.2756631121783897</v>
      </c>
      <c r="Y125" s="151">
        <f>IF(TrRoad_act!Y67=0,0,TrRoad_ene!Y70/TrRoad_tech!Y98)</f>
        <v>1.2781435303528059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1.1000000000067303</v>
      </c>
      <c r="C126" s="93">
        <f>IF(TrRoad_act!C68=0,0,TrRoad_ene!C71/TrRoad_tech!C99)</f>
        <v>1.10000000000673</v>
      </c>
      <c r="D126" s="93">
        <f>IF(TrRoad_act!D68=0,0,TrRoad_ene!D71/TrRoad_tech!D99)</f>
        <v>1.1000000000067305</v>
      </c>
      <c r="E126" s="93">
        <f>IF(TrRoad_act!E68=0,0,TrRoad_ene!E71/TrRoad_tech!E99)</f>
        <v>1.1000000000067305</v>
      </c>
      <c r="F126" s="93">
        <f>IF(TrRoad_act!F68=0,0,TrRoad_ene!F71/TrRoad_tech!F99)</f>
        <v>1.1000000000067303</v>
      </c>
      <c r="G126" s="93">
        <f>IF(TrRoad_act!G68=0,0,TrRoad_ene!G71/TrRoad_tech!G99)</f>
        <v>1.1000000000067303</v>
      </c>
      <c r="H126" s="93">
        <f>IF(TrRoad_act!H68=0,0,TrRoad_ene!H71/TrRoad_tech!H99)</f>
        <v>1.1000000000067303</v>
      </c>
      <c r="I126" s="93">
        <f>IF(TrRoad_act!I68=0,0,TrRoad_ene!I71/TrRoad_tech!I99)</f>
        <v>1.1014141668931641</v>
      </c>
      <c r="J126" s="93">
        <f>IF(TrRoad_act!J68=0,0,TrRoad_ene!J71/TrRoad_tech!J99)</f>
        <v>1.1016956301822014</v>
      </c>
      <c r="K126" s="93">
        <f>IF(TrRoad_act!K68=0,0,TrRoad_ene!K71/TrRoad_tech!K99)</f>
        <v>1.1020327867911164</v>
      </c>
      <c r="L126" s="93">
        <f>IF(TrRoad_act!L68=0,0,TrRoad_ene!L71/TrRoad_tech!L99)</f>
        <v>1.1025372997354568</v>
      </c>
      <c r="M126" s="93">
        <f>IF(TrRoad_act!M68=0,0,TrRoad_ene!M71/TrRoad_tech!M99)</f>
        <v>1.103165887546621</v>
      </c>
      <c r="N126" s="93">
        <f>IF(TrRoad_act!N68=0,0,TrRoad_ene!N71/TrRoad_tech!N99)</f>
        <v>1.104042099657121</v>
      </c>
      <c r="O126" s="93">
        <f>IF(TrRoad_act!O68=0,0,TrRoad_ene!O71/TrRoad_tech!O99)</f>
        <v>1.104042099657121</v>
      </c>
      <c r="P126" s="93">
        <f>IF(TrRoad_act!P68=0,0,TrRoad_ene!P71/TrRoad_tech!P99)</f>
        <v>1.104042099657121</v>
      </c>
      <c r="Q126" s="93">
        <f>IF(TrRoad_act!Q68=0,0,TrRoad_ene!Q71/TrRoad_tech!Q99)</f>
        <v>1.1045860734654398</v>
      </c>
      <c r="R126" s="93">
        <f>IF(TrRoad_act!R68=0,0,TrRoad_ene!R71/TrRoad_tech!R99)</f>
        <v>1.1055889287928389</v>
      </c>
      <c r="S126" s="93">
        <f>IF(TrRoad_act!S68=0,0,TrRoad_ene!S71/TrRoad_tech!S99)</f>
        <v>1.1691305230755717</v>
      </c>
      <c r="T126" s="93">
        <f>IF(TrRoad_act!T68=0,0,TrRoad_ene!T71/TrRoad_tech!T99)</f>
        <v>1.1965000939472037</v>
      </c>
      <c r="U126" s="93">
        <f>IF(TrRoad_act!U68=0,0,TrRoad_ene!U71/TrRoad_tech!U99)</f>
        <v>1.2430087177359408</v>
      </c>
      <c r="V126" s="93">
        <f>IF(TrRoad_act!V68=0,0,TrRoad_ene!V71/TrRoad_tech!V99)</f>
        <v>1.2430087177359401</v>
      </c>
      <c r="W126" s="93">
        <f>IF(TrRoad_act!W68=0,0,TrRoad_ene!W71/TrRoad_tech!W99)</f>
        <v>1.2336575880669325</v>
      </c>
      <c r="X126" s="93">
        <f>IF(TrRoad_act!X68=0,0,TrRoad_ene!X71/TrRoad_tech!X99)</f>
        <v>1.3297367995008116</v>
      </c>
      <c r="Y126" s="93">
        <f>IF(TrRoad_act!Y68=0,0,TrRoad_ene!Y71/TrRoad_tech!Y99)</f>
        <v>1.3512756046727836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1.1000000000067303</v>
      </c>
      <c r="C127" s="93">
        <f>IF(TrRoad_act!C69=0,0,TrRoad_ene!C72/TrRoad_tech!C100)</f>
        <v>1.1005194885804293</v>
      </c>
      <c r="D127" s="93">
        <f>IF(TrRoad_act!D69=0,0,TrRoad_ene!D72/TrRoad_tech!D100)</f>
        <v>1.1014665666997399</v>
      </c>
      <c r="E127" s="93">
        <f>IF(TrRoad_act!E69=0,0,TrRoad_ene!E72/TrRoad_tech!E100)</f>
        <v>1.1036708736630036</v>
      </c>
      <c r="F127" s="93">
        <f>IF(TrRoad_act!F69=0,0,TrRoad_ene!F72/TrRoad_tech!F100)</f>
        <v>1.1063604092621848</v>
      </c>
      <c r="G127" s="93">
        <f>IF(TrRoad_act!G69=0,0,TrRoad_ene!G72/TrRoad_tech!G100)</f>
        <v>1.1100088051273651</v>
      </c>
      <c r="H127" s="93">
        <f>IF(TrRoad_act!H69=0,0,TrRoad_ene!H72/TrRoad_tech!H100)</f>
        <v>1.115580936127704</v>
      </c>
      <c r="I127" s="93">
        <f>IF(TrRoad_act!I69=0,0,TrRoad_ene!I72/TrRoad_tech!I100)</f>
        <v>1.1218663628325354</v>
      </c>
      <c r="J127" s="93">
        <f>IF(TrRoad_act!J69=0,0,TrRoad_ene!J72/TrRoad_tech!J100)</f>
        <v>1.1290839391452501</v>
      </c>
      <c r="K127" s="93">
        <f>IF(TrRoad_act!K69=0,0,TrRoad_ene!K72/TrRoad_tech!K100)</f>
        <v>1.1326079168887151</v>
      </c>
      <c r="L127" s="93">
        <f>IF(TrRoad_act!L69=0,0,TrRoad_ene!L72/TrRoad_tech!L100)</f>
        <v>1.135766932775595</v>
      </c>
      <c r="M127" s="93">
        <f>IF(TrRoad_act!M69=0,0,TrRoad_ene!M72/TrRoad_tech!M100)</f>
        <v>1.142931362626157</v>
      </c>
      <c r="N127" s="93">
        <f>IF(TrRoad_act!N69=0,0,TrRoad_ene!N72/TrRoad_tech!N100)</f>
        <v>1.1519026225481006</v>
      </c>
      <c r="O127" s="93">
        <f>IF(TrRoad_act!O69=0,0,TrRoad_ene!O72/TrRoad_tech!O100)</f>
        <v>1.1642701592611724</v>
      </c>
      <c r="P127" s="93">
        <f>IF(TrRoad_act!P69=0,0,TrRoad_ene!P72/TrRoad_tech!P100)</f>
        <v>1.1781367404603089</v>
      </c>
      <c r="Q127" s="93">
        <f>IF(TrRoad_act!Q69=0,0,TrRoad_ene!Q72/TrRoad_tech!Q100)</f>
        <v>1.1947081989548132</v>
      </c>
      <c r="R127" s="93">
        <f>IF(TrRoad_act!R69=0,0,TrRoad_ene!R72/TrRoad_tech!R100)</f>
        <v>1.2115463113317086</v>
      </c>
      <c r="S127" s="93">
        <f>IF(TrRoad_act!S69=0,0,TrRoad_ene!S72/TrRoad_tech!S100)</f>
        <v>1.2275545554566241</v>
      </c>
      <c r="T127" s="93">
        <f>IF(TrRoad_act!T69=0,0,TrRoad_ene!T72/TrRoad_tech!T100)</f>
        <v>1.2436155522064665</v>
      </c>
      <c r="U127" s="93">
        <f>IF(TrRoad_act!U69=0,0,TrRoad_ene!U72/TrRoad_tech!U100)</f>
        <v>1.2557413458693207</v>
      </c>
      <c r="V127" s="93">
        <f>IF(TrRoad_act!V69=0,0,TrRoad_ene!V72/TrRoad_tech!V100)</f>
        <v>1.2684112741775033</v>
      </c>
      <c r="W127" s="93">
        <f>IF(TrRoad_act!W69=0,0,TrRoad_ene!W72/TrRoad_tech!W100)</f>
        <v>1.2746694137868551</v>
      </c>
      <c r="X127" s="93">
        <f>IF(TrRoad_act!X69=0,0,TrRoad_ene!X72/TrRoad_tech!X100)</f>
        <v>1.2915623199212531</v>
      </c>
      <c r="Y127" s="93">
        <f>IF(TrRoad_act!Y69=0,0,TrRoad_ene!Y72/TrRoad_tech!Y100)</f>
        <v>1.3012123032623726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1.1040000000061809</v>
      </c>
      <c r="D128" s="93">
        <f>IF(TrRoad_act!D70=0,0,TrRoad_ene!D73/TrRoad_tech!D101)</f>
        <v>1.1040000000061809</v>
      </c>
      <c r="E128" s="93">
        <f>IF(TrRoad_act!E70=0,0,TrRoad_ene!E73/TrRoad_tech!E101)</f>
        <v>1.1040000000061809</v>
      </c>
      <c r="F128" s="93">
        <f>IF(TrRoad_act!F70=0,0,TrRoad_ene!F73/TrRoad_tech!F101)</f>
        <v>1.1040000000061811</v>
      </c>
      <c r="G128" s="93">
        <f>IF(TrRoad_act!G70=0,0,TrRoad_ene!G73/TrRoad_tech!G101)</f>
        <v>1.1040000000061809</v>
      </c>
      <c r="H128" s="93">
        <f>IF(TrRoad_act!H70=0,0,TrRoad_ene!H73/TrRoad_tech!H101)</f>
        <v>1.1040000000061809</v>
      </c>
      <c r="I128" s="93">
        <f>IF(TrRoad_act!I70=0,0,TrRoad_ene!I73/TrRoad_tech!I101)</f>
        <v>1.1040000000061811</v>
      </c>
      <c r="J128" s="93">
        <f>IF(TrRoad_act!J70=0,0,TrRoad_ene!J73/TrRoad_tech!J101)</f>
        <v>0</v>
      </c>
      <c r="K128" s="93">
        <f>IF(TrRoad_act!K70=0,0,TrRoad_ene!K73/TrRoad_tech!K101)</f>
        <v>0</v>
      </c>
      <c r="L128" s="93">
        <f>IF(TrRoad_act!L70=0,0,TrRoad_ene!L73/TrRoad_tech!L101)</f>
        <v>0</v>
      </c>
      <c r="M128" s="93">
        <f>IF(TrRoad_act!M70=0,0,TrRoad_ene!M73/TrRoad_tech!M101)</f>
        <v>0</v>
      </c>
      <c r="N128" s="93">
        <f>IF(TrRoad_act!N70=0,0,TrRoad_ene!N73/TrRoad_tech!N101)</f>
        <v>0</v>
      </c>
      <c r="O128" s="93">
        <f>IF(TrRoad_act!O70=0,0,TrRoad_ene!O73/TrRoad_tech!O101)</f>
        <v>0</v>
      </c>
      <c r="P128" s="93">
        <f>IF(TrRoad_act!P70=0,0,TrRoad_ene!P73/TrRoad_tech!P101)</f>
        <v>0</v>
      </c>
      <c r="Q128" s="93">
        <f>IF(TrRoad_act!Q70=0,0,TrRoad_ene!Q73/TrRoad_tech!Q101)</f>
        <v>0</v>
      </c>
      <c r="R128" s="93">
        <f>IF(TrRoad_act!R70=0,0,TrRoad_ene!R73/TrRoad_tech!R101)</f>
        <v>0</v>
      </c>
      <c r="S128" s="93">
        <f>IF(TrRoad_act!S70=0,0,TrRoad_ene!S73/TrRoad_tech!S101)</f>
        <v>0</v>
      </c>
      <c r="T128" s="93">
        <f>IF(TrRoad_act!T70=0,0,TrRoad_ene!T73/TrRoad_tech!T101)</f>
        <v>0</v>
      </c>
      <c r="U128" s="93">
        <f>IF(TrRoad_act!U70=0,0,TrRoad_ene!U73/TrRoad_tech!U101)</f>
        <v>0</v>
      </c>
      <c r="V128" s="93">
        <f>IF(TrRoad_act!V70=0,0,TrRoad_ene!V73/TrRoad_tech!V101)</f>
        <v>0</v>
      </c>
      <c r="W128" s="93">
        <f>IF(TrRoad_act!W70=0,0,TrRoad_ene!W73/TrRoad_tech!W101)</f>
        <v>0</v>
      </c>
      <c r="X128" s="93">
        <f>IF(TrRoad_act!X70=0,0,TrRoad_ene!X73/TrRoad_tech!X101)</f>
        <v>0</v>
      </c>
      <c r="Y128" s="93">
        <f>IF(TrRoad_act!Y70=0,0,TrRoad_ene!Y73/TrRoad_tech!Y101)</f>
        <v>0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0</v>
      </c>
      <c r="C129" s="93">
        <f>IF(TrRoad_act!C71=0,0,TrRoad_ene!C74/TrRoad_tech!C102)</f>
        <v>0</v>
      </c>
      <c r="D129" s="93">
        <f>IF(TrRoad_act!D71=0,0,TrRoad_ene!D74/TrRoad_tech!D102)</f>
        <v>0</v>
      </c>
      <c r="E129" s="93">
        <f>IF(TrRoad_act!E71=0,0,TrRoad_ene!E74/TrRoad_tech!E102)</f>
        <v>0</v>
      </c>
      <c r="F129" s="93">
        <f>IF(TrRoad_act!F71=0,0,TrRoad_ene!F74/TrRoad_tech!F102)</f>
        <v>0</v>
      </c>
      <c r="G129" s="93">
        <f>IF(TrRoad_act!G71=0,0,TrRoad_ene!G74/TrRoad_tech!G102)</f>
        <v>0</v>
      </c>
      <c r="H129" s="93">
        <f>IF(TrRoad_act!H71=0,0,TrRoad_ene!H74/TrRoad_tech!H102)</f>
        <v>0</v>
      </c>
      <c r="I129" s="93">
        <f>IF(TrRoad_act!I71=0,0,TrRoad_ene!I74/TrRoad_tech!I102)</f>
        <v>0</v>
      </c>
      <c r="J129" s="93">
        <f>IF(TrRoad_act!J71=0,0,TrRoad_ene!J74/TrRoad_tech!J102)</f>
        <v>0</v>
      </c>
      <c r="K129" s="93">
        <f>IF(TrRoad_act!K71=0,0,TrRoad_ene!K74/TrRoad_tech!K102)</f>
        <v>0</v>
      </c>
      <c r="L129" s="93">
        <f>IF(TrRoad_act!L71=0,0,TrRoad_ene!L74/TrRoad_tech!L102)</f>
        <v>0</v>
      </c>
      <c r="M129" s="93">
        <f>IF(TrRoad_act!M71=0,0,TrRoad_ene!M74/TrRoad_tech!M102)</f>
        <v>0</v>
      </c>
      <c r="N129" s="93">
        <f>IF(TrRoad_act!N71=0,0,TrRoad_ene!N74/TrRoad_tech!N102)</f>
        <v>0</v>
      </c>
      <c r="O129" s="93">
        <f>IF(TrRoad_act!O71=0,0,TrRoad_ene!O74/TrRoad_tech!O102)</f>
        <v>0</v>
      </c>
      <c r="P129" s="93">
        <f>IF(TrRoad_act!P71=0,0,TrRoad_ene!P74/TrRoad_tech!P102)</f>
        <v>0</v>
      </c>
      <c r="Q129" s="93">
        <f>IF(TrRoad_act!Q71=0,0,TrRoad_ene!Q74/TrRoad_tech!Q102)</f>
        <v>0</v>
      </c>
      <c r="R129" s="93">
        <f>IF(TrRoad_act!R71=0,0,TrRoad_ene!R74/TrRoad_tech!R102)</f>
        <v>0</v>
      </c>
      <c r="S129" s="93">
        <f>IF(TrRoad_act!S71=0,0,TrRoad_ene!S74/TrRoad_tech!S102)</f>
        <v>0</v>
      </c>
      <c r="T129" s="93">
        <f>IF(TrRoad_act!T71=0,0,TrRoad_ene!T74/TrRoad_tech!T102)</f>
        <v>1.1273049871986789</v>
      </c>
      <c r="U129" s="93">
        <f>IF(TrRoad_act!U71=0,0,TrRoad_ene!U74/TrRoad_tech!U102)</f>
        <v>1.5949941663972935</v>
      </c>
      <c r="V129" s="93">
        <f>IF(TrRoad_act!V71=0,0,TrRoad_ene!V74/TrRoad_tech!V102)</f>
        <v>1.9648596614141176</v>
      </c>
      <c r="W129" s="93">
        <f>IF(TrRoad_act!W71=0,0,TrRoad_ene!W74/TrRoad_tech!W102)</f>
        <v>4.2296544240704401</v>
      </c>
      <c r="X129" s="93">
        <f>IF(TrRoad_act!X71=0,0,TrRoad_ene!X74/TrRoad_tech!X102)</f>
        <v>2.4613920751680261</v>
      </c>
      <c r="Y129" s="93">
        <f>IF(TrRoad_act!Y71=0,0,TrRoad_ene!Y74/TrRoad_tech!Y102)</f>
        <v>2.3090791015689254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0</v>
      </c>
      <c r="C130" s="93">
        <f>IF(TrRoad_act!C72=0,0,TrRoad_ene!C75/TrRoad_tech!C103)</f>
        <v>0</v>
      </c>
      <c r="D130" s="93">
        <f>IF(TrRoad_act!D72=0,0,TrRoad_ene!D75/TrRoad_tech!D103)</f>
        <v>0</v>
      </c>
      <c r="E130" s="93">
        <f>IF(TrRoad_act!E72=0,0,TrRoad_ene!E75/TrRoad_tech!E103)</f>
        <v>0</v>
      </c>
      <c r="F130" s="93">
        <f>IF(TrRoad_act!F72=0,0,TrRoad_ene!F75/TrRoad_tech!F103)</f>
        <v>0</v>
      </c>
      <c r="G130" s="93">
        <f>IF(TrRoad_act!G72=0,0,TrRoad_ene!G75/TrRoad_tech!G103)</f>
        <v>0</v>
      </c>
      <c r="H130" s="93">
        <f>IF(TrRoad_act!H72=0,0,TrRoad_ene!H75/TrRoad_tech!H103)</f>
        <v>0</v>
      </c>
      <c r="I130" s="93">
        <f>IF(TrRoad_act!I72=0,0,TrRoad_ene!I75/TrRoad_tech!I103)</f>
        <v>0</v>
      </c>
      <c r="J130" s="93">
        <f>IF(TrRoad_act!J72=0,0,TrRoad_ene!J75/TrRoad_tech!J103)</f>
        <v>1.1693333333396367</v>
      </c>
      <c r="K130" s="93">
        <f>IF(TrRoad_act!K72=0,0,TrRoad_ene!K75/TrRoad_tech!K103)</f>
        <v>1.1693333333396367</v>
      </c>
      <c r="L130" s="93">
        <f>IF(TrRoad_act!L72=0,0,TrRoad_ene!L75/TrRoad_tech!L103)</f>
        <v>1.1693333333396365</v>
      </c>
      <c r="M130" s="93">
        <f>IF(TrRoad_act!M72=0,0,TrRoad_ene!M75/TrRoad_tech!M103)</f>
        <v>1.1693333333396363</v>
      </c>
      <c r="N130" s="93">
        <f>IF(TrRoad_act!N72=0,0,TrRoad_ene!N75/TrRoad_tech!N103)</f>
        <v>1.1693333333396367</v>
      </c>
      <c r="O130" s="93">
        <f>IF(TrRoad_act!O72=0,0,TrRoad_ene!O75/TrRoad_tech!O103)</f>
        <v>1.1693333333396367</v>
      </c>
      <c r="P130" s="93">
        <f>IF(TrRoad_act!P72=0,0,TrRoad_ene!P75/TrRoad_tech!P103)</f>
        <v>1.1693333333396365</v>
      </c>
      <c r="Q130" s="93">
        <f>IF(TrRoad_act!Q72=0,0,TrRoad_ene!Q75/TrRoad_tech!Q103)</f>
        <v>1.1693333333396367</v>
      </c>
      <c r="R130" s="93">
        <f>IF(TrRoad_act!R72=0,0,TrRoad_ene!R75/TrRoad_tech!R103)</f>
        <v>1.1693333333396365</v>
      </c>
      <c r="S130" s="93">
        <f>IF(TrRoad_act!S72=0,0,TrRoad_ene!S75/TrRoad_tech!S103)</f>
        <v>1.1693333333396367</v>
      </c>
      <c r="T130" s="93">
        <f>IF(TrRoad_act!T72=0,0,TrRoad_ene!T75/TrRoad_tech!T103)</f>
        <v>1.1693333333396365</v>
      </c>
      <c r="U130" s="93">
        <f>IF(TrRoad_act!U72=0,0,TrRoad_ene!U75/TrRoad_tech!U103)</f>
        <v>1.3477504606298738</v>
      </c>
      <c r="V130" s="93">
        <f>IF(TrRoad_act!V72=0,0,TrRoad_ene!V75/TrRoad_tech!V103)</f>
        <v>1.3520040030092397</v>
      </c>
      <c r="W130" s="93">
        <f>IF(TrRoad_act!W72=0,0,TrRoad_ene!W75/TrRoad_tech!W103)</f>
        <v>1.3555313890371832</v>
      </c>
      <c r="X130" s="93">
        <f>IF(TrRoad_act!X72=0,0,TrRoad_ene!X75/TrRoad_tech!X103)</f>
        <v>1.360822806764814</v>
      </c>
      <c r="Y130" s="93">
        <f>IF(TrRoad_act!Y72=0,0,TrRoad_ene!Y75/TrRoad_tech!Y103)</f>
        <v>1.3631048761638913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DA131" s="173"/>
    </row>
    <row r="132" spans="1:105" ht="11.45" customHeight="1" x14ac:dyDescent="0.25">
      <c r="A132" s="136" t="s">
        <v>153</v>
      </c>
      <c r="B132" s="150">
        <f>IF(TrRoad_act!B74=0,0,TrRoad_ene!B77/TrRoad_tech!B105)</f>
        <v>1.159738219454473</v>
      </c>
      <c r="C132" s="150">
        <f>IF(TrRoad_act!C74=0,0,TrRoad_ene!C77/TrRoad_tech!C105)</f>
        <v>1.1560207285890214</v>
      </c>
      <c r="D132" s="150">
        <f>IF(TrRoad_act!D74=0,0,TrRoad_ene!D77/TrRoad_tech!D105)</f>
        <v>1.1523466377000537</v>
      </c>
      <c r="E132" s="150">
        <f>IF(TrRoad_act!E74=0,0,TrRoad_ene!E77/TrRoad_tech!E105)</f>
        <v>1.1517250938923329</v>
      </c>
      <c r="F132" s="150">
        <f>IF(TrRoad_act!F74=0,0,TrRoad_ene!F77/TrRoad_tech!F105)</f>
        <v>1.1695064430924991</v>
      </c>
      <c r="G132" s="150">
        <f>IF(TrRoad_act!G74=0,0,TrRoad_ene!G77/TrRoad_tech!G105)</f>
        <v>1.174421875577534</v>
      </c>
      <c r="H132" s="150">
        <f>IF(TrRoad_act!H74=0,0,TrRoad_ene!H77/TrRoad_tech!H105)</f>
        <v>1.1851438813590887</v>
      </c>
      <c r="I132" s="150">
        <f>IF(TrRoad_act!I74=0,0,TrRoad_ene!I77/TrRoad_tech!I105)</f>
        <v>1.2023721986333635</v>
      </c>
      <c r="J132" s="150">
        <f>IF(TrRoad_act!J74=0,0,TrRoad_ene!J77/TrRoad_tech!J105)</f>
        <v>1.1834961723071844</v>
      </c>
      <c r="K132" s="150">
        <f>IF(TrRoad_act!K74=0,0,TrRoad_ene!K77/TrRoad_tech!K105)</f>
        <v>1.1777988518375209</v>
      </c>
      <c r="L132" s="150">
        <f>IF(TrRoad_act!L74=0,0,TrRoad_ene!L77/TrRoad_tech!L105)</f>
        <v>1.1682641969394811</v>
      </c>
      <c r="M132" s="150">
        <f>IF(TrRoad_act!M74=0,0,TrRoad_ene!M77/TrRoad_tech!M105)</f>
        <v>1.1593918259529179</v>
      </c>
      <c r="N132" s="150">
        <f>IF(TrRoad_act!N74=0,0,TrRoad_ene!N77/TrRoad_tech!N105)</f>
        <v>1.1612277522325927</v>
      </c>
      <c r="O132" s="150">
        <f>IF(TrRoad_act!O74=0,0,TrRoad_ene!O77/TrRoad_tech!O105)</f>
        <v>1.1610765373128515</v>
      </c>
      <c r="P132" s="150">
        <f>IF(TrRoad_act!P74=0,0,TrRoad_ene!P77/TrRoad_tech!P105)</f>
        <v>1.1840953007988788</v>
      </c>
      <c r="Q132" s="150">
        <f>IF(TrRoad_act!Q74=0,0,TrRoad_ene!Q77/TrRoad_tech!Q105)</f>
        <v>1.2339362049646214</v>
      </c>
      <c r="R132" s="150">
        <f>IF(TrRoad_act!R74=0,0,TrRoad_ene!R77/TrRoad_tech!R105)</f>
        <v>1.2478140704288414</v>
      </c>
      <c r="S132" s="150">
        <f>IF(TrRoad_act!S74=0,0,TrRoad_ene!S77/TrRoad_tech!S105)</f>
        <v>1.2581843814830331</v>
      </c>
      <c r="T132" s="150">
        <f>IF(TrRoad_act!T74=0,0,TrRoad_ene!T77/TrRoad_tech!T105)</f>
        <v>1.2773569054103786</v>
      </c>
      <c r="U132" s="150">
        <f>IF(TrRoad_act!U74=0,0,TrRoad_ene!U77/TrRoad_tech!U105)</f>
        <v>1.2896094514799266</v>
      </c>
      <c r="V132" s="150">
        <f>IF(TrRoad_act!V74=0,0,TrRoad_ene!V77/TrRoad_tech!V105)</f>
        <v>1.3038697613779484</v>
      </c>
      <c r="W132" s="150">
        <f>IF(TrRoad_act!W74=0,0,TrRoad_ene!W77/TrRoad_tech!W105)</f>
        <v>1.3408757176768735</v>
      </c>
      <c r="X132" s="150">
        <f>IF(TrRoad_act!X74=0,0,TrRoad_ene!X77/TrRoad_tech!X105)</f>
        <v>1.4178083290660144</v>
      </c>
      <c r="Y132" s="150">
        <f>IF(TrRoad_act!Y74=0,0,TrRoad_ene!Y77/TrRoad_tech!Y105)</f>
        <v>1.4266401937518478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</v>
      </c>
      <c r="C133" s="91">
        <f>IF(TrRoad_act!C75=0,0,TrRoad_ene!C78/TrRoad_tech!C106)</f>
        <v>1.1000127143992724</v>
      </c>
      <c r="D133" s="91">
        <f>IF(TrRoad_act!D75=0,0,TrRoad_ene!D78/TrRoad_tech!D106)</f>
        <v>1.1000605663767549</v>
      </c>
      <c r="E133" s="91">
        <f>IF(TrRoad_act!E75=0,0,TrRoad_ene!E78/TrRoad_tech!E106)</f>
        <v>1.100131146487662</v>
      </c>
      <c r="F133" s="91">
        <f>IF(TrRoad_act!F75=0,0,TrRoad_ene!F78/TrRoad_tech!F106)</f>
        <v>1.1002554127569149</v>
      </c>
      <c r="G133" s="91">
        <f>IF(TrRoad_act!G75=0,0,TrRoad_ene!G78/TrRoad_tech!G106)</f>
        <v>1.100503953566051</v>
      </c>
      <c r="H133" s="91">
        <f>IF(TrRoad_act!H75=0,0,TrRoad_ene!H78/TrRoad_tech!H106)</f>
        <v>1.1012042255508145</v>
      </c>
      <c r="I133" s="91">
        <f>IF(TrRoad_act!I75=0,0,TrRoad_ene!I78/TrRoad_tech!I106)</f>
        <v>1.1023921413174704</v>
      </c>
      <c r="J133" s="91">
        <f>IF(TrRoad_act!J75=0,0,TrRoad_ene!J78/TrRoad_tech!J106)</f>
        <v>1.1040511671170516</v>
      </c>
      <c r="K133" s="91">
        <f>IF(TrRoad_act!K75=0,0,TrRoad_ene!K78/TrRoad_tech!K106)</f>
        <v>1.1061765599377369</v>
      </c>
      <c r="L133" s="91">
        <f>IF(TrRoad_act!L75=0,0,TrRoad_ene!L78/TrRoad_tech!L106)</f>
        <v>1.1086905195012575</v>
      </c>
      <c r="M133" s="91">
        <f>IF(TrRoad_act!M75=0,0,TrRoad_ene!M78/TrRoad_tech!M106)</f>
        <v>1.1111459299687809</v>
      </c>
      <c r="N133" s="91">
        <f>IF(TrRoad_act!N75=0,0,TrRoad_ene!N78/TrRoad_tech!N106)</f>
        <v>1.1131091160165756</v>
      </c>
      <c r="O133" s="91">
        <f>IF(TrRoad_act!O75=0,0,TrRoad_ene!O78/TrRoad_tech!O106)</f>
        <v>1.1150696866742136</v>
      </c>
      <c r="P133" s="91">
        <f>IF(TrRoad_act!P75=0,0,TrRoad_ene!P78/TrRoad_tech!P106)</f>
        <v>1.1194208289477705</v>
      </c>
      <c r="Q133" s="91">
        <f>IF(TrRoad_act!Q75=0,0,TrRoad_ene!Q78/TrRoad_tech!Q106)</f>
        <v>1.12560109362536</v>
      </c>
      <c r="R133" s="91">
        <f>IF(TrRoad_act!R75=0,0,TrRoad_ene!R78/TrRoad_tech!R106)</f>
        <v>1.1354419096390229</v>
      </c>
      <c r="S133" s="91">
        <f>IF(TrRoad_act!S75=0,0,TrRoad_ene!S78/TrRoad_tech!S106)</f>
        <v>1.1627256613675301</v>
      </c>
      <c r="T133" s="91">
        <f>IF(TrRoad_act!T75=0,0,TrRoad_ene!T78/TrRoad_tech!T106)</f>
        <v>1.1732186655352741</v>
      </c>
      <c r="U133" s="91">
        <f>IF(TrRoad_act!U75=0,0,TrRoad_ene!U78/TrRoad_tech!U106)</f>
        <v>1.1983917491393823</v>
      </c>
      <c r="V133" s="91">
        <f>IF(TrRoad_act!V75=0,0,TrRoad_ene!V78/TrRoad_tech!V106)</f>
        <v>1.2379328300236692</v>
      </c>
      <c r="W133" s="91">
        <f>IF(TrRoad_act!W75=0,0,TrRoad_ene!W78/TrRoad_tech!W106)</f>
        <v>1.2684387971467368</v>
      </c>
      <c r="X133" s="91">
        <f>IF(TrRoad_act!X75=0,0,TrRoad_ene!X78/TrRoad_tech!X106)</f>
        <v>1.3206566400564392</v>
      </c>
      <c r="Y133" s="91">
        <f>IF(TrRoad_act!Y75=0,0,TrRoad_ene!Y78/TrRoad_tech!Y106)</f>
        <v>1.3410669551834282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1.1588291594873388</v>
      </c>
      <c r="C134" s="91">
        <f>IF(TrRoad_act!C76=0,0,TrRoad_ene!C79/TrRoad_tech!C107)</f>
        <v>1.168858781814071</v>
      </c>
      <c r="D134" s="91">
        <f>IF(TrRoad_act!D76=0,0,TrRoad_ene!D79/TrRoad_tech!D107)</f>
        <v>1.1668552663269018</v>
      </c>
      <c r="E134" s="91">
        <f>IF(TrRoad_act!E76=0,0,TrRoad_ene!E79/TrRoad_tech!E107)</f>
        <v>1.1668807851005625</v>
      </c>
      <c r="F134" s="91">
        <f>IF(TrRoad_act!F76=0,0,TrRoad_ene!F79/TrRoad_tech!F107)</f>
        <v>1.1838417592721608</v>
      </c>
      <c r="G134" s="91">
        <f>IF(TrRoad_act!G76=0,0,TrRoad_ene!G79/TrRoad_tech!G107)</f>
        <v>1.1867905134760399</v>
      </c>
      <c r="H134" s="91">
        <f>IF(TrRoad_act!H76=0,0,TrRoad_ene!H79/TrRoad_tech!H107)</f>
        <v>1.1961759021939575</v>
      </c>
      <c r="I134" s="91">
        <f>IF(TrRoad_act!I76=0,0,TrRoad_ene!I79/TrRoad_tech!I107)</f>
        <v>1.2105340838837975</v>
      </c>
      <c r="J134" s="91">
        <f>IF(TrRoad_act!J76=0,0,TrRoad_ene!J79/TrRoad_tech!J107)</f>
        <v>1.1903366918205209</v>
      </c>
      <c r="K134" s="91">
        <f>IF(TrRoad_act!K76=0,0,TrRoad_ene!K79/TrRoad_tech!K107)</f>
        <v>1.1836251722196349</v>
      </c>
      <c r="L134" s="91">
        <f>IF(TrRoad_act!L76=0,0,TrRoad_ene!L79/TrRoad_tech!L107)</f>
        <v>1.1713836458665134</v>
      </c>
      <c r="M134" s="91">
        <f>IF(TrRoad_act!M76=0,0,TrRoad_ene!M79/TrRoad_tech!M107)</f>
        <v>1.1598430218393405</v>
      </c>
      <c r="N134" s="91">
        <f>IF(TrRoad_act!N76=0,0,TrRoad_ene!N79/TrRoad_tech!N107)</f>
        <v>1.1626150730848945</v>
      </c>
      <c r="O134" s="91">
        <f>IF(TrRoad_act!O76=0,0,TrRoad_ene!O79/TrRoad_tech!O107)</f>
        <v>1.165512778354701</v>
      </c>
      <c r="P134" s="91">
        <f>IF(TrRoad_act!P76=0,0,TrRoad_ene!P79/TrRoad_tech!P107)</f>
        <v>1.1929745164718939</v>
      </c>
      <c r="Q134" s="91">
        <f>IF(TrRoad_act!Q76=0,0,TrRoad_ene!Q79/TrRoad_tech!Q107)</f>
        <v>1.2499130293228882</v>
      </c>
      <c r="R134" s="91">
        <f>IF(TrRoad_act!R76=0,0,TrRoad_ene!R79/TrRoad_tech!R107)</f>
        <v>1.2711939096516187</v>
      </c>
      <c r="S134" s="91">
        <f>IF(TrRoad_act!S76=0,0,TrRoad_ene!S79/TrRoad_tech!S107)</f>
        <v>1.2873113785583898</v>
      </c>
      <c r="T134" s="91">
        <f>IF(TrRoad_act!T76=0,0,TrRoad_ene!T79/TrRoad_tech!T107)</f>
        <v>1.3115967168227842</v>
      </c>
      <c r="U134" s="91">
        <f>IF(TrRoad_act!U76=0,0,TrRoad_ene!U79/TrRoad_tech!U107)</f>
        <v>1.3270501260667815</v>
      </c>
      <c r="V134" s="91">
        <f>IF(TrRoad_act!V76=0,0,TrRoad_ene!V79/TrRoad_tech!V107)</f>
        <v>1.3406863755782121</v>
      </c>
      <c r="W134" s="91">
        <f>IF(TrRoad_act!W76=0,0,TrRoad_ene!W79/TrRoad_tech!W107)</f>
        <v>1.3759605785887614</v>
      </c>
      <c r="X134" s="91">
        <f>IF(TrRoad_act!X76=0,0,TrRoad_ene!X79/TrRoad_tech!X107)</f>
        <v>1.4546595675507161</v>
      </c>
      <c r="Y134" s="91">
        <f>IF(TrRoad_act!Y76=0,0,TrRoad_ene!Y79/TrRoad_tech!Y107)</f>
        <v>1.4622606578513635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0</v>
      </c>
      <c r="C135" s="91">
        <f>IF(TrRoad_act!C77=0,0,TrRoad_ene!C80/TrRoad_tech!C108)</f>
        <v>0</v>
      </c>
      <c r="D135" s="91">
        <f>IF(TrRoad_act!D77=0,0,TrRoad_ene!D80/TrRoad_tech!D108)</f>
        <v>0</v>
      </c>
      <c r="E135" s="91">
        <f>IF(TrRoad_act!E77=0,0,TrRoad_ene!E80/TrRoad_tech!E108)</f>
        <v>0</v>
      </c>
      <c r="F135" s="91">
        <f>IF(TrRoad_act!F77=0,0,TrRoad_ene!F80/TrRoad_tech!F108)</f>
        <v>0</v>
      </c>
      <c r="G135" s="91">
        <f>IF(TrRoad_act!G77=0,0,TrRoad_ene!G80/TrRoad_tech!G108)</f>
        <v>0</v>
      </c>
      <c r="H135" s="91">
        <f>IF(TrRoad_act!H77=0,0,TrRoad_ene!H80/TrRoad_tech!H108)</f>
        <v>0</v>
      </c>
      <c r="I135" s="91">
        <f>IF(TrRoad_act!I77=0,0,TrRoad_ene!I80/TrRoad_tech!I108)</f>
        <v>0</v>
      </c>
      <c r="J135" s="91">
        <f>IF(TrRoad_act!J77=0,0,TrRoad_ene!J80/TrRoad_tech!J108)</f>
        <v>0</v>
      </c>
      <c r="K135" s="91">
        <f>IF(TrRoad_act!K77=0,0,TrRoad_ene!K80/TrRoad_tech!K108)</f>
        <v>0</v>
      </c>
      <c r="L135" s="91">
        <f>IF(TrRoad_act!L77=0,0,TrRoad_ene!L80/TrRoad_tech!L108)</f>
        <v>0</v>
      </c>
      <c r="M135" s="91">
        <f>IF(TrRoad_act!M77=0,0,TrRoad_ene!M80/TrRoad_tech!M108)</f>
        <v>0</v>
      </c>
      <c r="N135" s="91">
        <f>IF(TrRoad_act!N77=0,0,TrRoad_ene!N80/TrRoad_tech!N108)</f>
        <v>0</v>
      </c>
      <c r="O135" s="91">
        <f>IF(TrRoad_act!O77=0,0,TrRoad_ene!O80/TrRoad_tech!O108)</f>
        <v>1.2560000000062248</v>
      </c>
      <c r="P135" s="91">
        <f>IF(TrRoad_act!P77=0,0,TrRoad_ene!P80/TrRoad_tech!P108)</f>
        <v>1.2668628131422308</v>
      </c>
      <c r="Q135" s="91">
        <f>IF(TrRoad_act!Q77=0,0,TrRoad_ene!Q80/TrRoad_tech!Q108)</f>
        <v>1.2668628131422315</v>
      </c>
      <c r="R135" s="91">
        <f>IF(TrRoad_act!R77=0,0,TrRoad_ene!R80/TrRoad_tech!R108)</f>
        <v>1.2668628131422308</v>
      </c>
      <c r="S135" s="91">
        <f>IF(TrRoad_act!S77=0,0,TrRoad_ene!S80/TrRoad_tech!S108)</f>
        <v>1.278179496243949</v>
      </c>
      <c r="T135" s="91">
        <f>IF(TrRoad_act!T77=0,0,TrRoad_ene!T80/TrRoad_tech!T108)</f>
        <v>1.278179496243949</v>
      </c>
      <c r="U135" s="91">
        <f>IF(TrRoad_act!U77=0,0,TrRoad_ene!U80/TrRoad_tech!U108)</f>
        <v>1.278179496243949</v>
      </c>
      <c r="V135" s="91">
        <f>IF(TrRoad_act!V77=0,0,TrRoad_ene!V80/TrRoad_tech!V108)</f>
        <v>1.2837822739765667</v>
      </c>
      <c r="W135" s="91">
        <f>IF(TrRoad_act!W77=0,0,TrRoad_ene!W80/TrRoad_tech!W108)</f>
        <v>1.2837822739765665</v>
      </c>
      <c r="X135" s="91">
        <f>IF(TrRoad_act!X77=0,0,TrRoad_ene!X80/TrRoad_tech!X108)</f>
        <v>1.2837822739765667</v>
      </c>
      <c r="Y135" s="91">
        <f>IF(TrRoad_act!Y77=0,0,TrRoad_ene!Y80/TrRoad_tech!Y108)</f>
        <v>1.2837822739765665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0</v>
      </c>
      <c r="I136" s="91">
        <f>IF(TrRoad_act!I78=0,0,TrRoad_ene!I81/TrRoad_tech!I109)</f>
        <v>0</v>
      </c>
      <c r="J136" s="91">
        <f>IF(TrRoad_act!J78=0,0,TrRoad_ene!J81/TrRoad_tech!J109)</f>
        <v>0</v>
      </c>
      <c r="K136" s="91">
        <f>IF(TrRoad_act!K78=0,0,TrRoad_ene!K81/TrRoad_tech!K109)</f>
        <v>0</v>
      </c>
      <c r="L136" s="91">
        <f>IF(TrRoad_act!L78=0,0,TrRoad_ene!L81/TrRoad_tech!L109)</f>
        <v>0</v>
      </c>
      <c r="M136" s="91">
        <f>IF(TrRoad_act!M78=0,0,TrRoad_ene!M81/TrRoad_tech!M109)</f>
        <v>0</v>
      </c>
      <c r="N136" s="91">
        <f>IF(TrRoad_act!N78=0,0,TrRoad_ene!N81/TrRoad_tech!N109)</f>
        <v>0</v>
      </c>
      <c r="O136" s="91">
        <f>IF(TrRoad_act!O78=0,0,TrRoad_ene!O81/TrRoad_tech!O109)</f>
        <v>0</v>
      </c>
      <c r="P136" s="91">
        <f>IF(TrRoad_act!P78=0,0,TrRoad_ene!P81/TrRoad_tech!P109)</f>
        <v>0</v>
      </c>
      <c r="Q136" s="91">
        <f>IF(TrRoad_act!Q78=0,0,TrRoad_ene!Q81/TrRoad_tech!Q109)</f>
        <v>0</v>
      </c>
      <c r="R136" s="91">
        <f>IF(TrRoad_act!R78=0,0,TrRoad_ene!R81/TrRoad_tech!R109)</f>
        <v>1.317263573193203</v>
      </c>
      <c r="S136" s="91">
        <f>IF(TrRoad_act!S78=0,0,TrRoad_ene!S81/TrRoad_tech!S109)</f>
        <v>1.3172635731932032</v>
      </c>
      <c r="T136" s="91">
        <f>IF(TrRoad_act!T78=0,0,TrRoad_ene!T81/TrRoad_tech!T109)</f>
        <v>1.317263573193203</v>
      </c>
      <c r="U136" s="91">
        <f>IF(TrRoad_act!U78=0,0,TrRoad_ene!U81/TrRoad_tech!U109)</f>
        <v>1.5593154551928052</v>
      </c>
      <c r="V136" s="91">
        <f>IF(TrRoad_act!V78=0,0,TrRoad_ene!V81/TrRoad_tech!V109)</f>
        <v>1.9433893699479354</v>
      </c>
      <c r="W136" s="91">
        <f>IF(TrRoad_act!W78=0,0,TrRoad_ene!W81/TrRoad_tech!W109)</f>
        <v>4.1834364090796567</v>
      </c>
      <c r="X136" s="91">
        <f>IF(TrRoad_act!X78=0,0,TrRoad_ene!X81/TrRoad_tech!X109)</f>
        <v>2.4313107838129127</v>
      </c>
      <c r="Y136" s="91">
        <f>IF(TrRoad_act!Y78=0,0,TrRoad_ene!Y81/TrRoad_tech!Y109)</f>
        <v>2.295520848578426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0</v>
      </c>
      <c r="I137" s="91">
        <f>IF(TrRoad_act!I79=0,0,TrRoad_ene!I82/TrRoad_tech!I110)</f>
        <v>0</v>
      </c>
      <c r="J137" s="91">
        <f>IF(TrRoad_act!J79=0,0,TrRoad_ene!J82/TrRoad_tech!J110)</f>
        <v>0</v>
      </c>
      <c r="K137" s="91">
        <f>IF(TrRoad_act!K79=0,0,TrRoad_ene!K82/TrRoad_tech!K110)</f>
        <v>0</v>
      </c>
      <c r="L137" s="91">
        <f>IF(TrRoad_act!L79=0,0,TrRoad_ene!L82/TrRoad_tech!L110)</f>
        <v>0</v>
      </c>
      <c r="M137" s="91">
        <f>IF(TrRoad_act!M79=0,0,TrRoad_ene!M82/TrRoad_tech!M110)</f>
        <v>1.2173333333398662</v>
      </c>
      <c r="N137" s="91">
        <f>IF(TrRoad_act!N79=0,0,TrRoad_ene!N82/TrRoad_tech!N110)</f>
        <v>1.2283633343996871</v>
      </c>
      <c r="O137" s="91">
        <f>IF(TrRoad_act!O79=0,0,TrRoad_ene!O82/TrRoad_tech!O110)</f>
        <v>1.231220393498738</v>
      </c>
      <c r="P137" s="91">
        <f>IF(TrRoad_act!P79=0,0,TrRoad_ene!P82/TrRoad_tech!P110)</f>
        <v>1.2370998569870557</v>
      </c>
      <c r="Q137" s="91">
        <f>IF(TrRoad_act!Q79=0,0,TrRoad_ene!Q82/TrRoad_tech!Q110)</f>
        <v>1.2565426588875399</v>
      </c>
      <c r="R137" s="91">
        <f>IF(TrRoad_act!R79=0,0,TrRoad_ene!R82/TrRoad_tech!R110)</f>
        <v>1.2666487034821099</v>
      </c>
      <c r="S137" s="91">
        <f>IF(TrRoad_act!S79=0,0,TrRoad_ene!S82/TrRoad_tech!S110)</f>
        <v>1.2943893915406364</v>
      </c>
      <c r="T137" s="91">
        <f>IF(TrRoad_act!T79=0,0,TrRoad_ene!T82/TrRoad_tech!T110)</f>
        <v>1.333640449460735</v>
      </c>
      <c r="U137" s="91">
        <f>IF(TrRoad_act!U79=0,0,TrRoad_ene!U82/TrRoad_tech!U110)</f>
        <v>1.3459101787005636</v>
      </c>
      <c r="V137" s="91">
        <f>IF(TrRoad_act!V79=0,0,TrRoad_ene!V82/TrRoad_tech!V110)</f>
        <v>1.352114073822456</v>
      </c>
      <c r="W137" s="91">
        <f>IF(TrRoad_act!W79=0,0,TrRoad_ene!W82/TrRoad_tech!W110)</f>
        <v>1.3547833688306454</v>
      </c>
      <c r="X137" s="91">
        <f>IF(TrRoad_act!X79=0,0,TrRoad_ene!X82/TrRoad_tech!X110)</f>
        <v>1.356955295346767</v>
      </c>
      <c r="Y137" s="91">
        <f>IF(TrRoad_act!Y79=0,0,TrRoad_ene!Y82/TrRoad_tech!Y110)</f>
        <v>1.3591526063372725</v>
      </c>
      <c r="DA137" s="171"/>
    </row>
    <row r="138" spans="1:105" ht="11.45" customHeight="1" x14ac:dyDescent="0.25">
      <c r="A138" s="109" t="s">
        <v>154</v>
      </c>
      <c r="B138" s="151">
        <f>IF(TrRoad_act!B80=0,0,TrRoad_ene!B83/TrRoad_tech!B111)</f>
        <v>1.7530201388190134</v>
      </c>
      <c r="C138" s="151">
        <f>IF(TrRoad_act!C80=0,0,TrRoad_ene!C83/TrRoad_tech!C111)</f>
        <v>1.8443713717063102</v>
      </c>
      <c r="D138" s="151">
        <f>IF(TrRoad_act!D80=0,0,TrRoad_ene!D83/TrRoad_tech!D111)</f>
        <v>1.6795960274014263</v>
      </c>
      <c r="E138" s="151">
        <f>IF(TrRoad_act!E80=0,0,TrRoad_ene!E83/TrRoad_tech!E111)</f>
        <v>1.6325035098561309</v>
      </c>
      <c r="F138" s="151">
        <f>IF(TrRoad_act!F80=0,0,TrRoad_ene!F83/TrRoad_tech!F111)</f>
        <v>1.6393636959319942</v>
      </c>
      <c r="G138" s="151">
        <f>IF(TrRoad_act!G80=0,0,TrRoad_ene!G83/TrRoad_tech!G111)</f>
        <v>1.5729530448205735</v>
      </c>
      <c r="H138" s="151">
        <f>IF(TrRoad_act!H80=0,0,TrRoad_ene!H83/TrRoad_tech!H111)</f>
        <v>1.6440396290556707</v>
      </c>
      <c r="I138" s="151">
        <f>IF(TrRoad_act!I80=0,0,TrRoad_ene!I83/TrRoad_tech!I111)</f>
        <v>1.7153300012595702</v>
      </c>
      <c r="J138" s="151">
        <f>IF(TrRoad_act!J80=0,0,TrRoad_ene!J83/TrRoad_tech!J111)</f>
        <v>1.5883197875052675</v>
      </c>
      <c r="K138" s="151">
        <f>IF(TrRoad_act!K80=0,0,TrRoad_ene!K83/TrRoad_tech!K111)</f>
        <v>1.6422901712603377</v>
      </c>
      <c r="L138" s="151">
        <f>IF(TrRoad_act!L80=0,0,TrRoad_ene!L83/TrRoad_tech!L111)</f>
        <v>1.4757633211297714</v>
      </c>
      <c r="M138" s="151">
        <f>IF(TrRoad_act!M80=0,0,TrRoad_ene!M83/TrRoad_tech!M111)</f>
        <v>1.423334037160078</v>
      </c>
      <c r="N138" s="151">
        <f>IF(TrRoad_act!N80=0,0,TrRoad_ene!N83/TrRoad_tech!N111)</f>
        <v>1.4388336661692707</v>
      </c>
      <c r="O138" s="151">
        <f>IF(TrRoad_act!O80=0,0,TrRoad_ene!O83/TrRoad_tech!O111)</f>
        <v>1.4717415719476754</v>
      </c>
      <c r="P138" s="151">
        <f>IF(TrRoad_act!P80=0,0,TrRoad_ene!P83/TrRoad_tech!P111)</f>
        <v>1.5720169300513831</v>
      </c>
      <c r="Q138" s="151">
        <f>IF(TrRoad_act!Q80=0,0,TrRoad_ene!Q83/TrRoad_tech!Q111)</f>
        <v>1.605418011351806</v>
      </c>
      <c r="R138" s="151">
        <f>IF(TrRoad_act!R80=0,0,TrRoad_ene!R83/TrRoad_tech!R111)</f>
        <v>1.6040336921990872</v>
      </c>
      <c r="S138" s="151">
        <f>IF(TrRoad_act!S80=0,0,TrRoad_ene!S83/TrRoad_tech!S111)</f>
        <v>1.5826054247990411</v>
      </c>
      <c r="T138" s="151">
        <f>IF(TrRoad_act!T80=0,0,TrRoad_ene!T83/TrRoad_tech!T111)</f>
        <v>1.6480941186058962</v>
      </c>
      <c r="U138" s="151">
        <f>IF(TrRoad_act!U80=0,0,TrRoad_ene!U83/TrRoad_tech!U111)</f>
        <v>1.6814635635028947</v>
      </c>
      <c r="V138" s="151">
        <f>IF(TrRoad_act!V80=0,0,TrRoad_ene!V83/TrRoad_tech!V111)</f>
        <v>1.6193189588701284</v>
      </c>
      <c r="W138" s="151">
        <f>IF(TrRoad_act!W80=0,0,TrRoad_ene!W83/TrRoad_tech!W111)</f>
        <v>1.687972057798079</v>
      </c>
      <c r="X138" s="151">
        <f>IF(TrRoad_act!X80=0,0,TrRoad_ene!X83/TrRoad_tech!X111)</f>
        <v>1.724816798518886</v>
      </c>
      <c r="Y138" s="151">
        <f>IF(TrRoad_act!Y80=0,0,TrRoad_ene!Y83/TrRoad_tech!Y111)</f>
        <v>1.796421103113198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1.7259393700082266</v>
      </c>
      <c r="C139" s="93">
        <f>IF(TrRoad_act!C81=0,0,TrRoad_ene!C84/TrRoad_tech!C112)</f>
        <v>1.8134146782428502</v>
      </c>
      <c r="D139" s="93">
        <f>IF(TrRoad_act!D81=0,0,TrRoad_ene!D84/TrRoad_tech!D112)</f>
        <v>1.6553082913374988</v>
      </c>
      <c r="E139" s="93">
        <f>IF(TrRoad_act!E81=0,0,TrRoad_ene!E84/TrRoad_tech!E112)</f>
        <v>1.6101584322110154</v>
      </c>
      <c r="F139" s="93">
        <f>IF(TrRoad_act!F81=0,0,TrRoad_ene!F84/TrRoad_tech!F112)</f>
        <v>1.6166982040461852</v>
      </c>
      <c r="G139" s="93">
        <f>IF(TrRoad_act!G81=0,0,TrRoad_ene!G84/TrRoad_tech!G112)</f>
        <v>1.5524601366774571</v>
      </c>
      <c r="H139" s="93">
        <f>IF(TrRoad_act!H81=0,0,TrRoad_ene!H84/TrRoad_tech!H112)</f>
        <v>1.6207326492425904</v>
      </c>
      <c r="I139" s="93">
        <f>IF(TrRoad_act!I81=0,0,TrRoad_ene!I84/TrRoad_tech!I112)</f>
        <v>1.6897227211174755</v>
      </c>
      <c r="J139" s="93">
        <f>IF(TrRoad_act!J81=0,0,TrRoad_ene!J84/TrRoad_tech!J112)</f>
        <v>1.567018581950822</v>
      </c>
      <c r="K139" s="93">
        <f>IF(TrRoad_act!K81=0,0,TrRoad_ene!K84/TrRoad_tech!K112)</f>
        <v>1.6138229042071159</v>
      </c>
      <c r="L139" s="93">
        <f>IF(TrRoad_act!L81=0,0,TrRoad_ene!L84/TrRoad_tech!L112)</f>
        <v>1.4502013484927085</v>
      </c>
      <c r="M139" s="93">
        <f>IF(TrRoad_act!M81=0,0,TrRoad_ene!M84/TrRoad_tech!M112)</f>
        <v>1.3959574761945119</v>
      </c>
      <c r="N139" s="93">
        <f>IF(TrRoad_act!N81=0,0,TrRoad_ene!N84/TrRoad_tech!N112)</f>
        <v>1.4134229645253726</v>
      </c>
      <c r="O139" s="93">
        <f>IF(TrRoad_act!O81=0,0,TrRoad_ene!O84/TrRoad_tech!O112)</f>
        <v>1.446588161046332</v>
      </c>
      <c r="P139" s="93">
        <f>IF(TrRoad_act!P81=0,0,TrRoad_ene!P84/TrRoad_tech!P112)</f>
        <v>1.5450257326383772</v>
      </c>
      <c r="Q139" s="93">
        <f>IF(TrRoad_act!Q81=0,0,TrRoad_ene!Q84/TrRoad_tech!Q112)</f>
        <v>1.5741776337379658</v>
      </c>
      <c r="R139" s="93">
        <f>IF(TrRoad_act!R81=0,0,TrRoad_ene!R84/TrRoad_tech!R112)</f>
        <v>1.57888416834014</v>
      </c>
      <c r="S139" s="93">
        <f>IF(TrRoad_act!S81=0,0,TrRoad_ene!S84/TrRoad_tech!S112)</f>
        <v>1.5585595037126918</v>
      </c>
      <c r="T139" s="93">
        <f>IF(TrRoad_act!T81=0,0,TrRoad_ene!T84/TrRoad_tech!T112)</f>
        <v>1.6209023592835217</v>
      </c>
      <c r="U139" s="93">
        <f>IF(TrRoad_act!U81=0,0,TrRoad_ene!U84/TrRoad_tech!U112)</f>
        <v>1.6520879734772309</v>
      </c>
      <c r="V139" s="93">
        <f>IF(TrRoad_act!V81=0,0,TrRoad_ene!V84/TrRoad_tech!V112)</f>
        <v>1.6046605721480793</v>
      </c>
      <c r="W139" s="93">
        <f>IF(TrRoad_act!W81=0,0,TrRoad_ene!W84/TrRoad_tech!W112)</f>
        <v>1.6735352887368322</v>
      </c>
      <c r="X139" s="93">
        <f>IF(TrRoad_act!X81=0,0,TrRoad_ene!X84/TrRoad_tech!X112)</f>
        <v>1.7111473511714455</v>
      </c>
      <c r="Y139" s="93">
        <f>IF(TrRoad_act!Y81=0,0,TrRoad_ene!Y84/TrRoad_tech!Y112)</f>
        <v>1.7813987339260682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1.8307261469147345</v>
      </c>
      <c r="C140" s="94">
        <f>IF(TrRoad_act!C82=0,0,TrRoad_ene!C85/TrRoad_tech!C113)</f>
        <v>1.9276581218499689</v>
      </c>
      <c r="D140" s="94">
        <f>IF(TrRoad_act!D82=0,0,TrRoad_ene!D85/TrRoad_tech!D113)</f>
        <v>1.7521143561880652</v>
      </c>
      <c r="E140" s="94">
        <f>IF(TrRoad_act!E82=0,0,TrRoad_ene!E85/TrRoad_tech!E113)</f>
        <v>1.7017011296769866</v>
      </c>
      <c r="F140" s="94">
        <f>IF(TrRoad_act!F82=0,0,TrRoad_ene!F85/TrRoad_tech!F113)</f>
        <v>1.7074431078934531</v>
      </c>
      <c r="G140" s="94">
        <f>IF(TrRoad_act!G82=0,0,TrRoad_ene!G85/TrRoad_tech!G113)</f>
        <v>1.6353284530336729</v>
      </c>
      <c r="H140" s="94">
        <f>IF(TrRoad_act!H82=0,0,TrRoad_ene!H85/TrRoad_tech!H113)</f>
        <v>1.7115679053801314</v>
      </c>
      <c r="I140" s="94">
        <f>IF(TrRoad_act!I82=0,0,TrRoad_ene!I85/TrRoad_tech!I113)</f>
        <v>1.7914566243844099</v>
      </c>
      <c r="J140" s="94">
        <f>IF(TrRoad_act!J82=0,0,TrRoad_ene!J85/TrRoad_tech!J113)</f>
        <v>1.6369582624540333</v>
      </c>
      <c r="K140" s="94">
        <f>IF(TrRoad_act!K82=0,0,TrRoad_ene!K85/TrRoad_tech!K113)</f>
        <v>1.6700913462721638</v>
      </c>
      <c r="L140" s="94">
        <f>IF(TrRoad_act!L82=0,0,TrRoad_ene!L85/TrRoad_tech!L113)</f>
        <v>1.4880320307537473</v>
      </c>
      <c r="M140" s="94">
        <f>IF(TrRoad_act!M82=0,0,TrRoad_ene!M85/TrRoad_tech!M113)</f>
        <v>1.4334925829936156</v>
      </c>
      <c r="N140" s="94">
        <f>IF(TrRoad_act!N82=0,0,TrRoad_ene!N85/TrRoad_tech!N113)</f>
        <v>1.4544100596838225</v>
      </c>
      <c r="O140" s="94">
        <f>IF(TrRoad_act!O82=0,0,TrRoad_ene!O85/TrRoad_tech!O113)</f>
        <v>1.4931989252164983</v>
      </c>
      <c r="P140" s="94">
        <f>IF(TrRoad_act!P82=0,0,TrRoad_ene!P85/TrRoad_tech!P113)</f>
        <v>1.6097083305743498</v>
      </c>
      <c r="Q140" s="94">
        <f>IF(TrRoad_act!Q82=0,0,TrRoad_ene!Q85/TrRoad_tech!Q113)</f>
        <v>1.657869540846278</v>
      </c>
      <c r="R140" s="94">
        <f>IF(TrRoad_act!R82=0,0,TrRoad_ene!R85/TrRoad_tech!R113)</f>
        <v>1.6569652838675768</v>
      </c>
      <c r="S140" s="94">
        <f>IF(TrRoad_act!S82=0,0,TrRoad_ene!S85/TrRoad_tech!S113)</f>
        <v>1.6238472441025469</v>
      </c>
      <c r="T140" s="94">
        <f>IF(TrRoad_act!T82=0,0,TrRoad_ene!T85/TrRoad_tech!T113)</f>
        <v>1.70996403521227</v>
      </c>
      <c r="U140" s="94">
        <f>IF(TrRoad_act!U82=0,0,TrRoad_ene!U85/TrRoad_tech!U113)</f>
        <v>1.7602292074209884</v>
      </c>
      <c r="V140" s="94">
        <f>IF(TrRoad_act!V82=0,0,TrRoad_ene!V85/TrRoad_tech!V113)</f>
        <v>1.8794521935305977</v>
      </c>
      <c r="W140" s="94">
        <f>IF(TrRoad_act!W82=0,0,TrRoad_ene!W85/TrRoad_tech!W113)</f>
        <v>1.9610776094506321</v>
      </c>
      <c r="X140" s="94">
        <f>IF(TrRoad_act!X82=0,0,TrRoad_ene!X85/TrRoad_tech!X113)</f>
        <v>1.9865208558904683</v>
      </c>
      <c r="Y140" s="94">
        <f>IF(TrRoad_act!Y82=0,0,TrRoad_ene!Y85/TrRoad_tech!Y113)</f>
        <v>2.0527860415370869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DA143" s="173"/>
    </row>
    <row r="144" spans="1:105" ht="11.45" customHeight="1" x14ac:dyDescent="0.25">
      <c r="A144" s="136" t="s">
        <v>173</v>
      </c>
      <c r="B144" s="141">
        <v>3.2746078639060054</v>
      </c>
      <c r="C144" s="141">
        <v>3.2394790073953819</v>
      </c>
      <c r="D144" s="141">
        <v>3.200888753353718</v>
      </c>
      <c r="E144" s="141">
        <v>3.2394790073953823</v>
      </c>
      <c r="F144" s="141">
        <v>3.2394790073953823</v>
      </c>
      <c r="G144" s="141">
        <v>3.2394790073953823</v>
      </c>
      <c r="H144" s="141">
        <v>3.1490234519217193</v>
      </c>
      <c r="I144" s="141">
        <v>3.1715215700280104</v>
      </c>
      <c r="J144" s="141">
        <v>3.116761999542887</v>
      </c>
      <c r="K144" s="141">
        <v>2.960703012198393</v>
      </c>
      <c r="L144" s="141">
        <v>2.7666712148769004</v>
      </c>
      <c r="M144" s="141">
        <v>2.6578011933776167</v>
      </c>
      <c r="N144" s="141">
        <v>2.6141987453041913</v>
      </c>
      <c r="O144" s="141">
        <v>2.5259635994226599</v>
      </c>
      <c r="P144" s="141">
        <v>2.4922124229600731</v>
      </c>
      <c r="Q144" s="141">
        <v>2.4461873839946175</v>
      </c>
      <c r="R144" s="141">
        <v>2.4030361659818622</v>
      </c>
      <c r="S144" s="141">
        <v>2.368515191571658</v>
      </c>
      <c r="T144" s="141">
        <v>2.3408984120434946</v>
      </c>
      <c r="U144" s="141">
        <v>2.3188049884209638</v>
      </c>
      <c r="V144" s="141">
        <v>2.3011302495229393</v>
      </c>
      <c r="W144" s="141">
        <v>2.2869904584045195</v>
      </c>
      <c r="X144" s="141">
        <v>2.2756786255097836</v>
      </c>
      <c r="Y144" s="141">
        <v>2.2666291591939949</v>
      </c>
      <c r="DA144" s="174" t="s">
        <v>887</v>
      </c>
    </row>
    <row r="145" spans="1:105" ht="11.45" customHeight="1" x14ac:dyDescent="0.25">
      <c r="A145" s="109" t="s">
        <v>20</v>
      </c>
      <c r="B145" s="130">
        <v>6.7216462760579709</v>
      </c>
      <c r="C145" s="130">
        <v>6.6581228243225521</v>
      </c>
      <c r="D145" s="130">
        <v>6.601214847029043</v>
      </c>
      <c r="E145" s="130">
        <v>6.673308485082754</v>
      </c>
      <c r="F145" s="130">
        <v>6.7257849604144617</v>
      </c>
      <c r="G145" s="130">
        <v>6.7456858455452773</v>
      </c>
      <c r="H145" s="130">
        <v>6.6342164662119911</v>
      </c>
      <c r="I145" s="130">
        <v>6.6531125486280525</v>
      </c>
      <c r="J145" s="130">
        <v>6.4254847976875462</v>
      </c>
      <c r="K145" s="130">
        <v>5.8944635137137293</v>
      </c>
      <c r="L145" s="130">
        <v>5.5371525498242953</v>
      </c>
      <c r="M145" s="130">
        <v>5.338031697638062</v>
      </c>
      <c r="N145" s="130">
        <v>5.2050180442869411</v>
      </c>
      <c r="O145" s="130">
        <v>5.0782521814392956</v>
      </c>
      <c r="P145" s="130">
        <v>4.8918785206312769</v>
      </c>
      <c r="Q145" s="130">
        <v>4.7690263612058921</v>
      </c>
      <c r="R145" s="130">
        <v>4.6632369367140161</v>
      </c>
      <c r="S145" s="130">
        <v>4.6434739507086062</v>
      </c>
      <c r="T145" s="130">
        <v>4.7354290321101642</v>
      </c>
      <c r="U145" s="130">
        <v>4.7332911586353754</v>
      </c>
      <c r="V145" s="130">
        <v>4.5703018649239411</v>
      </c>
      <c r="W145" s="130">
        <v>4.1103774338770647</v>
      </c>
      <c r="X145" s="130">
        <v>3.9360538030436549</v>
      </c>
      <c r="Y145" s="130">
        <v>3.8220159157644851</v>
      </c>
      <c r="DA145" s="176" t="s">
        <v>888</v>
      </c>
    </row>
    <row r="146" spans="1:105" ht="11.45" customHeight="1" x14ac:dyDescent="0.25">
      <c r="A146" s="111" t="s">
        <v>110</v>
      </c>
      <c r="B146" s="96">
        <v>6.7231817734690029</v>
      </c>
      <c r="C146" s="96">
        <v>6.636678795581191</v>
      </c>
      <c r="D146" s="96">
        <v>6.5418690985014623</v>
      </c>
      <c r="E146" s="96">
        <v>6.6366787955811937</v>
      </c>
      <c r="F146" s="96">
        <v>6.6366787955811937</v>
      </c>
      <c r="G146" s="96">
        <v>6.6366787955811937</v>
      </c>
      <c r="H146" s="96">
        <v>6.4144448656263018</v>
      </c>
      <c r="I146" s="96">
        <v>6.4697189190237854</v>
      </c>
      <c r="J146" s="96">
        <v>6.3351839588676464</v>
      </c>
      <c r="K146" s="96">
        <v>5.9517735438772128</v>
      </c>
      <c r="L146" s="96">
        <v>5.4750703869603647</v>
      </c>
      <c r="M146" s="96">
        <v>5.1856007237020174</v>
      </c>
      <c r="N146" s="96">
        <v>5.077159506923226</v>
      </c>
      <c r="O146" s="96">
        <v>4.8836429301509705</v>
      </c>
      <c r="P146" s="96">
        <v>4.8051664119392266</v>
      </c>
      <c r="Q146" s="96">
        <v>4.6955867656924219</v>
      </c>
      <c r="R146" s="96">
        <v>4.6578100919021033</v>
      </c>
      <c r="S146" s="96">
        <v>4.5861922674000235</v>
      </c>
      <c r="T146" s="96">
        <v>4.6283240037361599</v>
      </c>
      <c r="U146" s="96">
        <v>4.6981092807587679</v>
      </c>
      <c r="V146" s="96">
        <v>4.5493854275438395</v>
      </c>
      <c r="W146" s="96">
        <v>4.3336991448088273</v>
      </c>
      <c r="X146" s="96">
        <v>4.2401255254954036</v>
      </c>
      <c r="Y146" s="96">
        <v>4.1905185830971856</v>
      </c>
      <c r="DA146" s="171" t="s">
        <v>889</v>
      </c>
    </row>
    <row r="147" spans="1:105" ht="11.45" customHeight="1" x14ac:dyDescent="0.25">
      <c r="A147" s="111" t="s">
        <v>111</v>
      </c>
      <c r="B147" s="96">
        <v>6.7123999169600914</v>
      </c>
      <c r="C147" s="96">
        <v>6.7872530910512667</v>
      </c>
      <c r="D147" s="96">
        <v>6.8714026844795253</v>
      </c>
      <c r="E147" s="96">
        <v>6.8286617959968323</v>
      </c>
      <c r="F147" s="96">
        <v>7.0752267656593162</v>
      </c>
      <c r="G147" s="96">
        <v>7.0234936383010478</v>
      </c>
      <c r="H147" s="96">
        <v>7.1202989753319752</v>
      </c>
      <c r="I147" s="96">
        <v>7.0236046535958083</v>
      </c>
      <c r="J147" s="96">
        <v>6.5198172459738615</v>
      </c>
      <c r="K147" s="96">
        <v>5.8683794963208022</v>
      </c>
      <c r="L147" s="96">
        <v>5.5685271851734486</v>
      </c>
      <c r="M147" s="96">
        <v>5.4147216722453786</v>
      </c>
      <c r="N147" s="96">
        <v>5.2873490064542699</v>
      </c>
      <c r="O147" s="96">
        <v>5.1032669407390969</v>
      </c>
      <c r="P147" s="96">
        <v>4.927491544161378</v>
      </c>
      <c r="Q147" s="96">
        <v>4.8146566635665611</v>
      </c>
      <c r="R147" s="96">
        <v>4.6901797096599349</v>
      </c>
      <c r="S147" s="96">
        <v>4.7042875002731579</v>
      </c>
      <c r="T147" s="96">
        <v>4.8526289287716766</v>
      </c>
      <c r="U147" s="96">
        <v>4.8690062826224398</v>
      </c>
      <c r="V147" s="96">
        <v>4.7363459536840216</v>
      </c>
      <c r="W147" s="96">
        <v>4.4100799791195655</v>
      </c>
      <c r="X147" s="96">
        <v>4.3753779916493087</v>
      </c>
      <c r="Y147" s="96">
        <v>4.3786304880292635</v>
      </c>
      <c r="DA147" s="171" t="s">
        <v>890</v>
      </c>
    </row>
    <row r="148" spans="1:105" ht="11.45" customHeight="1" x14ac:dyDescent="0.25">
      <c r="A148" s="111" t="s">
        <v>112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6.5095799660869362</v>
      </c>
      <c r="J148" s="96">
        <v>0</v>
      </c>
      <c r="K148" s="96">
        <v>5.5599552042885154</v>
      </c>
      <c r="L148" s="96">
        <v>5.3190702595887238</v>
      </c>
      <c r="M148" s="96">
        <v>5.3777523778560656</v>
      </c>
      <c r="N148" s="96">
        <v>5.2659986693301182</v>
      </c>
      <c r="O148" s="96">
        <v>5.1336237659928816</v>
      </c>
      <c r="P148" s="96">
        <v>4.8554675887489527</v>
      </c>
      <c r="Q148" s="96">
        <v>5.1099156711073013</v>
      </c>
      <c r="R148" s="96">
        <v>0</v>
      </c>
      <c r="S148" s="96">
        <v>4.9908684275888824</v>
      </c>
      <c r="T148" s="96">
        <v>5.0367177815669546</v>
      </c>
      <c r="U148" s="96">
        <v>5.0954765952544125</v>
      </c>
      <c r="V148" s="96">
        <v>4.947386074691881</v>
      </c>
      <c r="W148" s="96">
        <v>4.3355713279409791</v>
      </c>
      <c r="X148" s="96">
        <v>4.3534311932063021</v>
      </c>
      <c r="Y148" s="96">
        <v>0</v>
      </c>
      <c r="DA148" s="171" t="s">
        <v>891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0</v>
      </c>
      <c r="M149" s="96">
        <v>0</v>
      </c>
      <c r="N149" s="96">
        <v>0</v>
      </c>
      <c r="O149" s="96">
        <v>0</v>
      </c>
      <c r="P149" s="96">
        <v>5.0579194171025561</v>
      </c>
      <c r="Q149" s="96">
        <v>5.1080498858948333</v>
      </c>
      <c r="R149" s="96">
        <v>0</v>
      </c>
      <c r="S149" s="96">
        <v>0</v>
      </c>
      <c r="T149" s="96">
        <v>0</v>
      </c>
      <c r="U149" s="96">
        <v>0</v>
      </c>
      <c r="V149" s="96">
        <v>0</v>
      </c>
      <c r="W149" s="96">
        <v>0</v>
      </c>
      <c r="X149" s="96">
        <v>4.4943454407025971</v>
      </c>
      <c r="Y149" s="96">
        <v>0</v>
      </c>
      <c r="DA149" s="171" t="s">
        <v>892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0</v>
      </c>
      <c r="N150" s="96">
        <v>0</v>
      </c>
      <c r="O150" s="96">
        <v>3.8350265058328903</v>
      </c>
      <c r="P150" s="96">
        <v>2.6523161533689006</v>
      </c>
      <c r="Q150" s="96">
        <v>2.8742633665534063</v>
      </c>
      <c r="R150" s="96">
        <v>2.8321206140821245</v>
      </c>
      <c r="S150" s="96">
        <v>2.7939951342142857</v>
      </c>
      <c r="T150" s="96">
        <v>2.8774873399230536</v>
      </c>
      <c r="U150" s="96">
        <v>3.0592034945474578</v>
      </c>
      <c r="V150" s="96">
        <v>2.7107009379661484</v>
      </c>
      <c r="W150" s="96">
        <v>2.8396917037723677</v>
      </c>
      <c r="X150" s="96">
        <v>2.7321806143614999</v>
      </c>
      <c r="Y150" s="96">
        <v>2.5493915078835787</v>
      </c>
      <c r="DA150" s="171" t="s">
        <v>893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0</v>
      </c>
      <c r="K151" s="96">
        <v>1.3232559726529953</v>
      </c>
      <c r="L151" s="96">
        <v>1.3047135028115466</v>
      </c>
      <c r="M151" s="96">
        <v>1.3047135028115466</v>
      </c>
      <c r="N151" s="96">
        <v>1.2037833190025795</v>
      </c>
      <c r="O151" s="96">
        <v>1.2037833190025795</v>
      </c>
      <c r="P151" s="96">
        <v>1.2765085462186896</v>
      </c>
      <c r="Q151" s="96">
        <v>1.2833142988310242</v>
      </c>
      <c r="R151" s="96">
        <v>1.0981451910084754</v>
      </c>
      <c r="S151" s="96">
        <v>1.1350972318300012</v>
      </c>
      <c r="T151" s="96">
        <v>1.2624423928644488</v>
      </c>
      <c r="U151" s="96">
        <v>1.3779652015578374</v>
      </c>
      <c r="V151" s="96">
        <v>1.4977863296927472</v>
      </c>
      <c r="W151" s="96">
        <v>1.4156786078532229</v>
      </c>
      <c r="X151" s="96">
        <v>1.4583132289085521</v>
      </c>
      <c r="Y151" s="96">
        <v>1.4138281641835495</v>
      </c>
      <c r="DA151" s="171" t="s">
        <v>894</v>
      </c>
    </row>
    <row r="152" spans="1:105" ht="11.45" customHeight="1" x14ac:dyDescent="0.25">
      <c r="A152" s="109" t="s">
        <v>21</v>
      </c>
      <c r="B152" s="130">
        <v>47.332512308985024</v>
      </c>
      <c r="C152" s="130">
        <v>47.19631012048341</v>
      </c>
      <c r="D152" s="130">
        <v>47.035688821925802</v>
      </c>
      <c r="E152" s="130">
        <v>47.204275520212278</v>
      </c>
      <c r="F152" s="130">
        <v>47.204275520212278</v>
      </c>
      <c r="G152" s="130">
        <v>47.204275520212278</v>
      </c>
      <c r="H152" s="130">
        <v>46.798928293360134</v>
      </c>
      <c r="I152" s="130">
        <v>46.869485481776849</v>
      </c>
      <c r="J152" s="130">
        <v>46.637346252008264</v>
      </c>
      <c r="K152" s="130">
        <v>45.912017116167554</v>
      </c>
      <c r="L152" s="130">
        <v>44.933940588500022</v>
      </c>
      <c r="M152" s="130">
        <v>44.364275492360761</v>
      </c>
      <c r="N152" s="130">
        <v>44.132549526455513</v>
      </c>
      <c r="O152" s="130">
        <v>43.64818249400205</v>
      </c>
      <c r="P152" s="130">
        <v>43.460515516609632</v>
      </c>
      <c r="Q152" s="130">
        <v>43.199999999908329</v>
      </c>
      <c r="R152" s="130">
        <v>42.623136506016536</v>
      </c>
      <c r="S152" s="130">
        <v>41.692306787545625</v>
      </c>
      <c r="T152" s="130">
        <v>40.689714622452939</v>
      </c>
      <c r="U152" s="130">
        <v>39.247869669298403</v>
      </c>
      <c r="V152" s="130">
        <v>37.471653549462729</v>
      </c>
      <c r="W152" s="130">
        <v>36.452884310677426</v>
      </c>
      <c r="X152" s="130">
        <v>34.384903999334185</v>
      </c>
      <c r="Y152" s="130">
        <v>32.136032891740982</v>
      </c>
      <c r="DA152" s="176" t="s">
        <v>895</v>
      </c>
    </row>
    <row r="153" spans="1:105" ht="11.45" customHeight="1" x14ac:dyDescent="0.25">
      <c r="A153" s="111" t="s">
        <v>110</v>
      </c>
      <c r="B153" s="97">
        <v>14.331568234902953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13.791270453898496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12.566417908247312</v>
      </c>
      <c r="T153" s="97">
        <v>0</v>
      </c>
      <c r="U153" s="97">
        <v>12.375402129746412</v>
      </c>
      <c r="V153" s="97">
        <v>0</v>
      </c>
      <c r="W153" s="97">
        <v>0</v>
      </c>
      <c r="X153" s="97">
        <v>12.074761629838385</v>
      </c>
      <c r="Y153" s="97">
        <v>11.97200374947383</v>
      </c>
      <c r="DA153" s="175" t="s">
        <v>896</v>
      </c>
    </row>
    <row r="154" spans="1:105" ht="11.45" customHeight="1" x14ac:dyDescent="0.25">
      <c r="A154" s="111" t="s">
        <v>111</v>
      </c>
      <c r="B154" s="97">
        <v>47.36001309571342</v>
      </c>
      <c r="C154" s="97">
        <v>47.206107984324078</v>
      </c>
      <c r="D154" s="97">
        <v>47.035688821925802</v>
      </c>
      <c r="E154" s="97">
        <v>47.204275520212278</v>
      </c>
      <c r="F154" s="97">
        <v>47.204275520212278</v>
      </c>
      <c r="G154" s="97">
        <v>47.204275520212278</v>
      </c>
      <c r="H154" s="97">
        <v>46.798928293360134</v>
      </c>
      <c r="I154" s="97">
        <v>46.899098924057853</v>
      </c>
      <c r="J154" s="97">
        <v>46.651424681231354</v>
      </c>
      <c r="K154" s="97">
        <v>45.912017116167554</v>
      </c>
      <c r="L154" s="97">
        <v>44.933940588500022</v>
      </c>
      <c r="M154" s="97">
        <v>44.364275492360761</v>
      </c>
      <c r="N154" s="97">
        <v>44.132549526455513</v>
      </c>
      <c r="O154" s="97">
        <v>43.64818249400205</v>
      </c>
      <c r="P154" s="97">
        <v>43.460515516609632</v>
      </c>
      <c r="Q154" s="97">
        <v>43.199999999908329</v>
      </c>
      <c r="R154" s="97">
        <v>42.623136506016536</v>
      </c>
      <c r="S154" s="97">
        <v>41.773664019052042</v>
      </c>
      <c r="T154" s="97">
        <v>40.695434488026081</v>
      </c>
      <c r="U154" s="97">
        <v>39.430852796657163</v>
      </c>
      <c r="V154" s="97">
        <v>38.019751537719237</v>
      </c>
      <c r="W154" s="97">
        <v>36.498644901108484</v>
      </c>
      <c r="X154" s="97">
        <v>34.900297757983253</v>
      </c>
      <c r="Y154" s="97">
        <v>33.253545518004763</v>
      </c>
      <c r="DA154" s="175" t="s">
        <v>897</v>
      </c>
    </row>
    <row r="155" spans="1:105" ht="11.45" customHeight="1" x14ac:dyDescent="0.25">
      <c r="A155" s="111" t="s">
        <v>112</v>
      </c>
      <c r="B155" s="97">
        <v>0</v>
      </c>
      <c r="C155" s="97">
        <v>39.338423320270067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0</v>
      </c>
      <c r="Q155" s="97">
        <v>0</v>
      </c>
      <c r="R155" s="97">
        <v>0</v>
      </c>
      <c r="S155" s="97">
        <v>0</v>
      </c>
      <c r="T155" s="97">
        <v>0</v>
      </c>
      <c r="U155" s="97">
        <v>0</v>
      </c>
      <c r="V155" s="97">
        <v>0</v>
      </c>
      <c r="W155" s="97">
        <v>0</v>
      </c>
      <c r="X155" s="97">
        <v>0</v>
      </c>
      <c r="Y155" s="97">
        <v>0</v>
      </c>
      <c r="DA155" s="175" t="s">
        <v>898</v>
      </c>
    </row>
    <row r="156" spans="1:105" ht="11.45" customHeight="1" x14ac:dyDescent="0.25">
      <c r="A156" s="111" t="s">
        <v>113</v>
      </c>
      <c r="B156" s="97">
        <v>0</v>
      </c>
      <c r="C156" s="97">
        <v>0</v>
      </c>
      <c r="D156" s="97">
        <v>0</v>
      </c>
      <c r="E156" s="97">
        <v>0</v>
      </c>
      <c r="F156" s="97">
        <v>0</v>
      </c>
      <c r="G156" s="97">
        <v>0</v>
      </c>
      <c r="H156" s="97">
        <v>0</v>
      </c>
      <c r="I156" s="97">
        <v>0</v>
      </c>
      <c r="J156" s="97">
        <v>0</v>
      </c>
      <c r="K156" s="97">
        <v>0</v>
      </c>
      <c r="L156" s="97">
        <v>0</v>
      </c>
      <c r="M156" s="97">
        <v>0</v>
      </c>
      <c r="N156" s="97">
        <v>0</v>
      </c>
      <c r="O156" s="97">
        <v>0</v>
      </c>
      <c r="P156" s="97">
        <v>0</v>
      </c>
      <c r="Q156" s="97">
        <v>0</v>
      </c>
      <c r="R156" s="97">
        <v>0</v>
      </c>
      <c r="S156" s="97">
        <v>0</v>
      </c>
      <c r="T156" s="97">
        <v>34.048950692037614</v>
      </c>
      <c r="U156" s="97">
        <v>33.776428275212652</v>
      </c>
      <c r="V156" s="97">
        <v>33.580348971286931</v>
      </c>
      <c r="W156" s="97">
        <v>0</v>
      </c>
      <c r="X156" s="97">
        <v>33.306430984049797</v>
      </c>
      <c r="Y156" s="97">
        <v>0</v>
      </c>
      <c r="DA156" s="175" t="s">
        <v>899</v>
      </c>
    </row>
    <row r="157" spans="1:105" ht="11.45" customHeight="1" x14ac:dyDescent="0.25">
      <c r="A157" s="111" t="s">
        <v>115</v>
      </c>
      <c r="B157" s="97">
        <v>0</v>
      </c>
      <c r="C157" s="97">
        <v>0</v>
      </c>
      <c r="D157" s="97">
        <v>0</v>
      </c>
      <c r="E157" s="97">
        <v>0</v>
      </c>
      <c r="F157" s="97">
        <v>0</v>
      </c>
      <c r="G157" s="97">
        <v>0</v>
      </c>
      <c r="H157" s="97">
        <v>0</v>
      </c>
      <c r="I157" s="97">
        <v>0</v>
      </c>
      <c r="J157" s="97">
        <v>30.433074216232733</v>
      </c>
      <c r="K157" s="97">
        <v>0</v>
      </c>
      <c r="L157" s="97">
        <v>0</v>
      </c>
      <c r="M157" s="97">
        <v>0</v>
      </c>
      <c r="N157" s="97">
        <v>0</v>
      </c>
      <c r="O157" s="97">
        <v>0</v>
      </c>
      <c r="P157" s="97">
        <v>0</v>
      </c>
      <c r="Q157" s="97">
        <v>0</v>
      </c>
      <c r="R157" s="97">
        <v>0</v>
      </c>
      <c r="S157" s="97">
        <v>0</v>
      </c>
      <c r="T157" s="97">
        <v>0</v>
      </c>
      <c r="U157" s="97">
        <v>25.084930037295674</v>
      </c>
      <c r="V157" s="97">
        <v>24.772457334474748</v>
      </c>
      <c r="W157" s="97">
        <v>24.372088436877242</v>
      </c>
      <c r="X157" s="97">
        <v>23.897205415941951</v>
      </c>
      <c r="Y157" s="97">
        <v>23.360338505591002</v>
      </c>
      <c r="DA157" s="175" t="s">
        <v>900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DA158" s="173"/>
    </row>
    <row r="159" spans="1:105" ht="11.45" customHeight="1" x14ac:dyDescent="0.25">
      <c r="A159" s="136" t="s">
        <v>153</v>
      </c>
      <c r="B159" s="141">
        <v>8.2103811199347998</v>
      </c>
      <c r="C159" s="141">
        <v>8.2914594957282777</v>
      </c>
      <c r="D159" s="141">
        <v>8.3777241892112286</v>
      </c>
      <c r="E159" s="141">
        <v>8.3644910954016556</v>
      </c>
      <c r="F159" s="141">
        <v>8.5943898784207882</v>
      </c>
      <c r="G159" s="141">
        <v>8.5782203128179333</v>
      </c>
      <c r="H159" s="141">
        <v>8.6898452317463057</v>
      </c>
      <c r="I159" s="141">
        <v>8.6432296082129039</v>
      </c>
      <c r="J159" s="141">
        <v>8.2018427649430059</v>
      </c>
      <c r="K159" s="141">
        <v>7.7488178575760402</v>
      </c>
      <c r="L159" s="141">
        <v>8.7004264458521572</v>
      </c>
      <c r="M159" s="141">
        <v>8.795830947616583</v>
      </c>
      <c r="N159" s="141">
        <v>7.2572088871166418</v>
      </c>
      <c r="O159" s="141">
        <v>6.5265203172382362</v>
      </c>
      <c r="P159" s="141">
        <v>6.3026048912966104</v>
      </c>
      <c r="Q159" s="141">
        <v>6.269572208535811</v>
      </c>
      <c r="R159" s="141">
        <v>6.0882109266989133</v>
      </c>
      <c r="S159" s="141">
        <v>5.8197124102259785</v>
      </c>
      <c r="T159" s="141">
        <v>5.8137875860741408</v>
      </c>
      <c r="U159" s="141">
        <v>5.7570495050685562</v>
      </c>
      <c r="V159" s="141">
        <v>6.079195231153971</v>
      </c>
      <c r="W159" s="141">
        <v>6.2104211173137944</v>
      </c>
      <c r="X159" s="141">
        <v>6.1438060511247201</v>
      </c>
      <c r="Y159" s="141">
        <v>6.0782210881245655</v>
      </c>
      <c r="DA159" s="174" t="s">
        <v>901</v>
      </c>
    </row>
    <row r="160" spans="1:105" ht="11.45" customHeight="1" x14ac:dyDescent="0.25">
      <c r="A160" s="111" t="s">
        <v>110</v>
      </c>
      <c r="B160" s="96">
        <v>7.4289313343803132</v>
      </c>
      <c r="C160" s="96">
        <v>7.3333479179860248</v>
      </c>
      <c r="D160" s="96">
        <v>7.228585804871944</v>
      </c>
      <c r="E160" s="96">
        <v>7.3333479179860275</v>
      </c>
      <c r="F160" s="96">
        <v>7.3333479179860275</v>
      </c>
      <c r="G160" s="96">
        <v>7.3333479179860275</v>
      </c>
      <c r="H160" s="96">
        <v>7.08778552484661</v>
      </c>
      <c r="I160" s="96">
        <v>7.1488618367921237</v>
      </c>
      <c r="J160" s="96">
        <v>7.0002043982832332</v>
      </c>
      <c r="K160" s="96">
        <v>6.5765464128498685</v>
      </c>
      <c r="L160" s="96">
        <v>6.0498025081122453</v>
      </c>
      <c r="M160" s="96">
        <v>5.7542498150740844</v>
      </c>
      <c r="N160" s="96">
        <v>6.6054852385877165</v>
      </c>
      <c r="O160" s="96">
        <v>5.3963463683725914</v>
      </c>
      <c r="P160" s="96">
        <v>6.086104926736005</v>
      </c>
      <c r="Q160" s="96">
        <v>5.3151983026827772</v>
      </c>
      <c r="R160" s="96">
        <v>6.4269268026332211</v>
      </c>
      <c r="S160" s="96">
        <v>8.6242360924784993</v>
      </c>
      <c r="T160" s="96">
        <v>5.371551126078483</v>
      </c>
      <c r="U160" s="96">
        <v>5.5462938810602882</v>
      </c>
      <c r="V160" s="96">
        <v>4.7005635999617077</v>
      </c>
      <c r="W160" s="96">
        <v>5.3362097619418636</v>
      </c>
      <c r="X160" s="96">
        <v>5.0178278864905526</v>
      </c>
      <c r="Y160" s="96">
        <v>7.2248422972766191</v>
      </c>
      <c r="DA160" s="171" t="s">
        <v>902</v>
      </c>
    </row>
    <row r="161" spans="1:105" ht="11.45" customHeight="1" x14ac:dyDescent="0.25">
      <c r="A161" s="111" t="s">
        <v>111</v>
      </c>
      <c r="B161" s="96">
        <v>8.3216100455348769</v>
      </c>
      <c r="C161" s="96">
        <v>8.4144082895553858</v>
      </c>
      <c r="D161" s="96">
        <v>8.5187316479165176</v>
      </c>
      <c r="E161" s="96">
        <v>8.46574419017373</v>
      </c>
      <c r="F161" s="96">
        <v>8.7714198879574727</v>
      </c>
      <c r="G161" s="96">
        <v>8.7072844196246404</v>
      </c>
      <c r="H161" s="96">
        <v>8.8272975706680565</v>
      </c>
      <c r="I161" s="96">
        <v>8.7074220493850092</v>
      </c>
      <c r="J161" s="96">
        <v>8.0828581968219186</v>
      </c>
      <c r="K161" s="96">
        <v>7.275246762965546</v>
      </c>
      <c r="L161" s="96">
        <v>6.9035087802037749</v>
      </c>
      <c r="M161" s="96">
        <v>6.712830406257881</v>
      </c>
      <c r="N161" s="96">
        <v>6.5549218089921739</v>
      </c>
      <c r="O161" s="96">
        <v>6.5303259811172012</v>
      </c>
      <c r="P161" s="96">
        <v>6.3064147073416228</v>
      </c>
      <c r="Q161" s="96">
        <v>6.2762085667638612</v>
      </c>
      <c r="R161" s="96">
        <v>6.0912024103815767</v>
      </c>
      <c r="S161" s="96">
        <v>5.8313289695715307</v>
      </c>
      <c r="T161" s="96">
        <v>5.8380886582352867</v>
      </c>
      <c r="U161" s="96">
        <v>5.83204313247969</v>
      </c>
      <c r="V161" s="96">
        <v>6.3483405856457003</v>
      </c>
      <c r="W161" s="96">
        <v>6.3747570984241575</v>
      </c>
      <c r="X161" s="96">
        <v>6.3265068985514885</v>
      </c>
      <c r="Y161" s="96">
        <v>6.3174891942061659</v>
      </c>
      <c r="DA161" s="171" t="s">
        <v>903</v>
      </c>
    </row>
    <row r="162" spans="1:105" ht="11.45" customHeight="1" x14ac:dyDescent="0.25">
      <c r="A162" s="111" t="s">
        <v>112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</v>
      </c>
      <c r="O162" s="96">
        <v>6.7110416905744845</v>
      </c>
      <c r="P162" s="96">
        <v>6.7110416905744845</v>
      </c>
      <c r="Q162" s="96">
        <v>0</v>
      </c>
      <c r="R162" s="96">
        <v>0</v>
      </c>
      <c r="S162" s="96">
        <v>5.1193202639638686</v>
      </c>
      <c r="T162" s="96">
        <v>0</v>
      </c>
      <c r="U162" s="96">
        <v>0</v>
      </c>
      <c r="V162" s="96">
        <v>0</v>
      </c>
      <c r="W162" s="96">
        <v>0</v>
      </c>
      <c r="X162" s="96">
        <v>0</v>
      </c>
      <c r="Y162" s="96">
        <v>0</v>
      </c>
      <c r="DA162" s="171" t="s">
        <v>904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0</v>
      </c>
      <c r="I163" s="96">
        <v>0</v>
      </c>
      <c r="J163" s="96">
        <v>0</v>
      </c>
      <c r="K163" s="96">
        <v>0</v>
      </c>
      <c r="L163" s="96">
        <v>0</v>
      </c>
      <c r="M163" s="96">
        <v>0</v>
      </c>
      <c r="N163" s="96">
        <v>0</v>
      </c>
      <c r="O163" s="96">
        <v>0</v>
      </c>
      <c r="P163" s="96">
        <v>0</v>
      </c>
      <c r="Q163" s="96">
        <v>0</v>
      </c>
      <c r="R163" s="96">
        <v>6.1944013365208237</v>
      </c>
      <c r="S163" s="96">
        <v>0</v>
      </c>
      <c r="T163" s="96">
        <v>0</v>
      </c>
      <c r="U163" s="96">
        <v>0</v>
      </c>
      <c r="V163" s="96">
        <v>11.452682030801498</v>
      </c>
      <c r="W163" s="96">
        <v>0</v>
      </c>
      <c r="X163" s="96">
        <v>0</v>
      </c>
      <c r="Y163" s="96">
        <v>11.410107004664688</v>
      </c>
      <c r="DA163" s="171" t="s">
        <v>905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0</v>
      </c>
      <c r="J164" s="96">
        <v>0</v>
      </c>
      <c r="K164" s="96">
        <v>0</v>
      </c>
      <c r="L164" s="96">
        <v>0</v>
      </c>
      <c r="M164" s="96">
        <v>1.3462223264458864</v>
      </c>
      <c r="N164" s="96">
        <v>1.3327601031814273</v>
      </c>
      <c r="O164" s="96">
        <v>1.3110134101701103</v>
      </c>
      <c r="P164" s="96">
        <v>1.3222178350973721</v>
      </c>
      <c r="Q164" s="96">
        <v>1.3952120197311848</v>
      </c>
      <c r="R164" s="96">
        <v>1.3327601031814273</v>
      </c>
      <c r="S164" s="96">
        <v>1.3327601031814273</v>
      </c>
      <c r="T164" s="96">
        <v>1.5411553193152503</v>
      </c>
      <c r="U164" s="96">
        <v>2.3177751668821744</v>
      </c>
      <c r="V164" s="96">
        <v>1.6392073742835711</v>
      </c>
      <c r="W164" s="96">
        <v>2.0973761532740061</v>
      </c>
      <c r="X164" s="96">
        <v>2.263046497784245</v>
      </c>
      <c r="Y164" s="96">
        <v>2.2583878532078425</v>
      </c>
      <c r="DA164" s="171" t="s">
        <v>906</v>
      </c>
    </row>
    <row r="165" spans="1:105" ht="11.45" customHeight="1" x14ac:dyDescent="0.25">
      <c r="A165" s="109" t="s">
        <v>154</v>
      </c>
      <c r="B165" s="130">
        <v>24.757391627682612</v>
      </c>
      <c r="C165" s="130">
        <v>24.60565378545893</v>
      </c>
      <c r="D165" s="130">
        <v>24.550981739004609</v>
      </c>
      <c r="E165" s="130">
        <v>24.33716631315804</v>
      </c>
      <c r="F165" s="130">
        <v>24.381999194906747</v>
      </c>
      <c r="G165" s="130">
        <v>23.933647004424625</v>
      </c>
      <c r="H165" s="130">
        <v>23.659696667149284</v>
      </c>
      <c r="I165" s="130">
        <v>23.425993523929595</v>
      </c>
      <c r="J165" s="130">
        <v>22.990323937693248</v>
      </c>
      <c r="K165" s="130">
        <v>22.661060404013707</v>
      </c>
      <c r="L165" s="130">
        <v>22.735697851104931</v>
      </c>
      <c r="M165" s="130">
        <v>22.53781650470459</v>
      </c>
      <c r="N165" s="130">
        <v>21.517721550875528</v>
      </c>
      <c r="O165" s="130">
        <v>21.185748302736609</v>
      </c>
      <c r="P165" s="130">
        <v>20.740208241889512</v>
      </c>
      <c r="Q165" s="130">
        <v>20.418596495748758</v>
      </c>
      <c r="R165" s="130">
        <v>19.723956155940179</v>
      </c>
      <c r="S165" s="130">
        <v>19.465550708131826</v>
      </c>
      <c r="T165" s="130">
        <v>19.277605985164019</v>
      </c>
      <c r="U165" s="130">
        <v>18.924193885685622</v>
      </c>
      <c r="V165" s="130">
        <v>19.032319228197686</v>
      </c>
      <c r="W165" s="130">
        <v>18.792501204235489</v>
      </c>
      <c r="X165" s="130">
        <v>18.671258839036113</v>
      </c>
      <c r="Y165" s="130">
        <v>18.526428343371901</v>
      </c>
      <c r="DA165" s="176" t="s">
        <v>907</v>
      </c>
    </row>
    <row r="166" spans="1:105" ht="11.45" customHeight="1" x14ac:dyDescent="0.25">
      <c r="A166" s="128" t="s">
        <v>27</v>
      </c>
      <c r="B166" s="97">
        <v>24.608064372177505</v>
      </c>
      <c r="C166" s="97">
        <v>24.494845360775969</v>
      </c>
      <c r="D166" s="97">
        <v>24.369657296818115</v>
      </c>
      <c r="E166" s="97">
        <v>24.213774855215977</v>
      </c>
      <c r="F166" s="97">
        <v>24.02759413618967</v>
      </c>
      <c r="G166" s="97">
        <v>23.811584889217819</v>
      </c>
      <c r="H166" s="97">
        <v>23.566287583692876</v>
      </c>
      <c r="I166" s="97">
        <v>23.292310079869843</v>
      </c>
      <c r="J166" s="97">
        <v>22.990323937693248</v>
      </c>
      <c r="K166" s="97">
        <v>22.661060404013707</v>
      </c>
      <c r="L166" s="97">
        <v>22.305306122391805</v>
      </c>
      <c r="M166" s="97">
        <v>21.923898610375414</v>
      </c>
      <c r="N166" s="97">
        <v>21.517721550875528</v>
      </c>
      <c r="O166" s="97">
        <v>21.08769994481133</v>
      </c>
      <c r="P166" s="97">
        <v>20.634795171085287</v>
      </c>
      <c r="Q166" s="97">
        <v>20.159999999957218</v>
      </c>
      <c r="R166" s="97">
        <v>19.723956155940179</v>
      </c>
      <c r="S166" s="97">
        <v>19.418725465128251</v>
      </c>
      <c r="T166" s="97">
        <v>19.098233239775727</v>
      </c>
      <c r="U166" s="97">
        <v>18.706520519900423</v>
      </c>
      <c r="V166" s="97">
        <v>19.032319228197686</v>
      </c>
      <c r="W166" s="97">
        <v>18.773902969859094</v>
      </c>
      <c r="X166" s="97">
        <v>18.670470513895591</v>
      </c>
      <c r="Y166" s="97">
        <v>18.483765808756633</v>
      </c>
      <c r="DA166" s="175" t="s">
        <v>908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0</v>
      </c>
      <c r="K167" s="98">
        <v>0</v>
      </c>
      <c r="L167" s="98">
        <v>30.614693877473673</v>
      </c>
      <c r="M167" s="98">
        <v>30.129147390351896</v>
      </c>
      <c r="N167" s="98">
        <v>0</v>
      </c>
      <c r="O167" s="98">
        <v>29.064634207446638</v>
      </c>
      <c r="P167" s="98">
        <v>28.488068946000222</v>
      </c>
      <c r="Q167" s="98">
        <v>27.883636363577196</v>
      </c>
      <c r="R167" s="98">
        <v>0</v>
      </c>
      <c r="S167" s="98">
        <v>26.556973620783872</v>
      </c>
      <c r="T167" s="98">
        <v>25.983387081987935</v>
      </c>
      <c r="U167" s="98">
        <v>25.282336867904011</v>
      </c>
      <c r="V167" s="98">
        <v>0</v>
      </c>
      <c r="W167" s="98">
        <v>24.748425433669372</v>
      </c>
      <c r="X167" s="98">
        <v>24.612077098006637</v>
      </c>
      <c r="Y167" s="98">
        <v>24.36595632702657</v>
      </c>
      <c r="DA167" s="178" t="s">
        <v>909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DA170" s="173"/>
    </row>
    <row r="171" spans="1:105" ht="11.45" customHeight="1" x14ac:dyDescent="0.25">
      <c r="A171" s="136" t="s">
        <v>173</v>
      </c>
      <c r="B171" s="152">
        <v>104.17438165001981</v>
      </c>
      <c r="C171" s="152">
        <v>102.62160147622969</v>
      </c>
      <c r="D171" s="152">
        <v>100.51190584560658</v>
      </c>
      <c r="E171" s="152">
        <v>99.853627375997235</v>
      </c>
      <c r="F171" s="152">
        <v>98.981982041958446</v>
      </c>
      <c r="G171" s="152">
        <v>98.081784363866333</v>
      </c>
      <c r="H171" s="152">
        <v>97.208354740814286</v>
      </c>
      <c r="I171" s="152">
        <v>96.860218086591601</v>
      </c>
      <c r="J171" s="152">
        <v>96.44661901801301</v>
      </c>
      <c r="K171" s="152">
        <v>95.791530489491834</v>
      </c>
      <c r="L171" s="152">
        <v>94.745564611656576</v>
      </c>
      <c r="M171" s="152">
        <v>93.704313643921608</v>
      </c>
      <c r="N171" s="152">
        <v>92.724143836937102</v>
      </c>
      <c r="O171" s="152">
        <v>91.084685689837187</v>
      </c>
      <c r="P171" s="152">
        <v>90.228833456853494</v>
      </c>
      <c r="Q171" s="152">
        <v>89.064751168799773</v>
      </c>
      <c r="R171" s="152">
        <v>87.190787222799742</v>
      </c>
      <c r="S171" s="152">
        <v>85.429505402339146</v>
      </c>
      <c r="T171" s="152">
        <v>84.097928033367069</v>
      </c>
      <c r="U171" s="152">
        <v>81.938860893075329</v>
      </c>
      <c r="V171" s="152">
        <v>80.327376496916571</v>
      </c>
      <c r="W171" s="152">
        <v>78.96946538324957</v>
      </c>
      <c r="X171" s="152">
        <v>76.813983791435376</v>
      </c>
      <c r="Y171" s="152">
        <v>75.132830399560447</v>
      </c>
      <c r="DA171" s="174" t="s">
        <v>910</v>
      </c>
    </row>
    <row r="172" spans="1:105" ht="11.45" customHeight="1" x14ac:dyDescent="0.25">
      <c r="A172" s="109" t="s">
        <v>20</v>
      </c>
      <c r="B172" s="116">
        <v>225.54889031278628</v>
      </c>
      <c r="C172" s="116">
        <v>217.55994096809513</v>
      </c>
      <c r="D172" s="116">
        <v>215.22476386595955</v>
      </c>
      <c r="E172" s="116">
        <v>212.91863439761337</v>
      </c>
      <c r="F172" s="116">
        <v>210.81212055025583</v>
      </c>
      <c r="G172" s="116">
        <v>209.63409790492207</v>
      </c>
      <c r="H172" s="116">
        <v>208.53973246285665</v>
      </c>
      <c r="I172" s="116">
        <v>206.00851024594706</v>
      </c>
      <c r="J172" s="116">
        <v>206.43938338978816</v>
      </c>
      <c r="K172" s="116">
        <v>207.74682308579858</v>
      </c>
      <c r="L172" s="116">
        <v>204.26152346951602</v>
      </c>
      <c r="M172" s="116">
        <v>202.25165574359804</v>
      </c>
      <c r="N172" s="116">
        <v>199.64809313016434</v>
      </c>
      <c r="O172" s="116">
        <v>199.56540990541941</v>
      </c>
      <c r="P172" s="116">
        <v>194.99441175355787</v>
      </c>
      <c r="Q172" s="116">
        <v>190.69873641018464</v>
      </c>
      <c r="R172" s="116">
        <v>185.39045885740373</v>
      </c>
      <c r="S172" s="116">
        <v>180.30012128314291</v>
      </c>
      <c r="T172" s="116">
        <v>175.35075471835256</v>
      </c>
      <c r="U172" s="116">
        <v>170.38287803752434</v>
      </c>
      <c r="V172" s="116">
        <v>165.74735522279695</v>
      </c>
      <c r="W172" s="116">
        <v>154.99639584119052</v>
      </c>
      <c r="X172" s="116">
        <v>147.36311324987068</v>
      </c>
      <c r="Y172" s="116">
        <v>142.79067009185408</v>
      </c>
      <c r="DA172" s="176" t="s">
        <v>911</v>
      </c>
    </row>
    <row r="173" spans="1:105" ht="11.45" customHeight="1" x14ac:dyDescent="0.25">
      <c r="A173" s="111" t="s">
        <v>110</v>
      </c>
      <c r="B173" s="87">
        <v>222.69537680757054</v>
      </c>
      <c r="C173" s="87">
        <v>212.96388349392225</v>
      </c>
      <c r="D173" s="87">
        <v>209.81278654489981</v>
      </c>
      <c r="E173" s="87">
        <v>207.48895173039026</v>
      </c>
      <c r="F173" s="87">
        <v>205.23351291047277</v>
      </c>
      <c r="G173" s="87">
        <v>202.98032582242521</v>
      </c>
      <c r="H173" s="87">
        <v>200.96582367909863</v>
      </c>
      <c r="I173" s="87">
        <v>198.73750152076312</v>
      </c>
      <c r="J173" s="87">
        <v>197.2192106330217</v>
      </c>
      <c r="K173" s="87">
        <v>196.2306416802279</v>
      </c>
      <c r="L173" s="87">
        <v>193.73775697169879</v>
      </c>
      <c r="M173" s="87">
        <v>191.54993837411314</v>
      </c>
      <c r="N173" s="87">
        <v>189.60254343425325</v>
      </c>
      <c r="O173" s="87">
        <v>188.57650918997263</v>
      </c>
      <c r="P173" s="87">
        <v>186.84082496201987</v>
      </c>
      <c r="Q173" s="87">
        <v>184.00298108247262</v>
      </c>
      <c r="R173" s="87">
        <v>179.36863431443609</v>
      </c>
      <c r="S173" s="87">
        <v>174.13097461833408</v>
      </c>
      <c r="T173" s="87">
        <v>168.88891072015423</v>
      </c>
      <c r="U173" s="87">
        <v>163.9211805718777</v>
      </c>
      <c r="V173" s="87">
        <v>159.79062756301951</v>
      </c>
      <c r="W173" s="87">
        <v>155.74165341060714</v>
      </c>
      <c r="X173" s="87">
        <v>151.17787735828685</v>
      </c>
      <c r="Y173" s="87">
        <v>147.59375452261068</v>
      </c>
      <c r="DA173" s="171" t="s">
        <v>912</v>
      </c>
    </row>
    <row r="174" spans="1:105" ht="11.45" customHeight="1" x14ac:dyDescent="0.25">
      <c r="A174" s="111" t="s">
        <v>111</v>
      </c>
      <c r="B174" s="87">
        <v>243.52268272120679</v>
      </c>
      <c r="C174" s="87">
        <v>231.0261995496177</v>
      </c>
      <c r="D174" s="87">
        <v>226.62224211004249</v>
      </c>
      <c r="E174" s="87">
        <v>222.95234755992547</v>
      </c>
      <c r="F174" s="87">
        <v>220.64069679953153</v>
      </c>
      <c r="G174" s="87">
        <v>219.29258452806755</v>
      </c>
      <c r="H174" s="87">
        <v>218.68184407646771</v>
      </c>
      <c r="I174" s="87">
        <v>215.23214058111188</v>
      </c>
      <c r="J174" s="87">
        <v>212.94969336039151</v>
      </c>
      <c r="K174" s="87">
        <v>210.92353750720585</v>
      </c>
      <c r="L174" s="87">
        <v>205.97693940665457</v>
      </c>
      <c r="M174" s="87">
        <v>202.14788229877993</v>
      </c>
      <c r="N174" s="87">
        <v>198.74713359601287</v>
      </c>
      <c r="O174" s="87">
        <v>194.77773800736355</v>
      </c>
      <c r="P174" s="87">
        <v>190.11683267094267</v>
      </c>
      <c r="Q174" s="87">
        <v>185.03322514436812</v>
      </c>
      <c r="R174" s="87">
        <v>179.85816319819665</v>
      </c>
      <c r="S174" s="87">
        <v>176.06765528453192</v>
      </c>
      <c r="T174" s="87">
        <v>172.79997706747372</v>
      </c>
      <c r="U174" s="87">
        <v>169.61429620090883</v>
      </c>
      <c r="V174" s="87">
        <v>166.34232164269997</v>
      </c>
      <c r="W174" s="87">
        <v>163.0230707105371</v>
      </c>
      <c r="X174" s="87">
        <v>160.20510190669452</v>
      </c>
      <c r="Y174" s="87">
        <v>158.94756138607832</v>
      </c>
      <c r="DA174" s="171" t="s">
        <v>913</v>
      </c>
    </row>
    <row r="175" spans="1:105" ht="11.45" customHeight="1" x14ac:dyDescent="0.25">
      <c r="A175" s="111" t="s">
        <v>112</v>
      </c>
      <c r="B175" s="87">
        <v>196.37022906076695</v>
      </c>
      <c r="C175" s="87">
        <v>196.370229060767</v>
      </c>
      <c r="D175" s="87">
        <v>196.370229060767</v>
      </c>
      <c r="E175" s="87">
        <v>196.37022906076697</v>
      </c>
      <c r="F175" s="87">
        <v>196.37022906076697</v>
      </c>
      <c r="G175" s="87">
        <v>196.37022906076697</v>
      </c>
      <c r="H175" s="87">
        <v>196.37022906076703</v>
      </c>
      <c r="I175" s="87">
        <v>190.57110860802288</v>
      </c>
      <c r="J175" s="87">
        <v>189.22877606228209</v>
      </c>
      <c r="K175" s="87">
        <v>185.8760437789156</v>
      </c>
      <c r="L175" s="87">
        <v>183.57777834452111</v>
      </c>
      <c r="M175" s="87">
        <v>181.64757333370071</v>
      </c>
      <c r="N175" s="87">
        <v>176.27900932474293</v>
      </c>
      <c r="O175" s="87">
        <v>172.83629002134697</v>
      </c>
      <c r="P175" s="87">
        <v>160.29529053839488</v>
      </c>
      <c r="Q175" s="87">
        <v>159.17657397618578</v>
      </c>
      <c r="R175" s="87">
        <v>158.62093830389824</v>
      </c>
      <c r="S175" s="87">
        <v>156.0705367772091</v>
      </c>
      <c r="T175" s="87">
        <v>154.29158336822181</v>
      </c>
      <c r="U175" s="87">
        <v>152.94124632100124</v>
      </c>
      <c r="V175" s="87">
        <v>152.66180253923213</v>
      </c>
      <c r="W175" s="87">
        <v>140.50409979221078</v>
      </c>
      <c r="X175" s="87">
        <v>125.11181321488742</v>
      </c>
      <c r="Y175" s="87">
        <v>122.99175205447655</v>
      </c>
      <c r="DA175" s="171" t="s">
        <v>914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0</v>
      </c>
      <c r="G176" s="87">
        <v>0</v>
      </c>
      <c r="H176" s="87">
        <v>0</v>
      </c>
      <c r="I176" s="87">
        <v>0</v>
      </c>
      <c r="J176" s="87">
        <v>0</v>
      </c>
      <c r="K176" s="87">
        <v>0</v>
      </c>
      <c r="L176" s="87">
        <v>0</v>
      </c>
      <c r="M176" s="87">
        <v>0</v>
      </c>
      <c r="N176" s="87">
        <v>0</v>
      </c>
      <c r="O176" s="87">
        <v>0</v>
      </c>
      <c r="P176" s="87">
        <v>118.80014825709519</v>
      </c>
      <c r="Q176" s="87">
        <v>119.25189271167672</v>
      </c>
      <c r="R176" s="87">
        <v>119.25189271167676</v>
      </c>
      <c r="S176" s="87">
        <v>119.25189271167673</v>
      </c>
      <c r="T176" s="87">
        <v>119.28156433284531</v>
      </c>
      <c r="U176" s="87">
        <v>119.28156433284532</v>
      </c>
      <c r="V176" s="87">
        <v>119.28156433284531</v>
      </c>
      <c r="W176" s="87">
        <v>119.31540777002795</v>
      </c>
      <c r="X176" s="87">
        <v>106.29414916827348</v>
      </c>
      <c r="Y176" s="87">
        <v>105.5629520052597</v>
      </c>
      <c r="DA176" s="171" t="s">
        <v>915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0</v>
      </c>
      <c r="N177" s="87">
        <v>0</v>
      </c>
      <c r="O177" s="87">
        <v>80.781595923912093</v>
      </c>
      <c r="P177" s="87">
        <v>47.188399875920048</v>
      </c>
      <c r="Q177" s="87">
        <v>49.940203612248098</v>
      </c>
      <c r="R177" s="87">
        <v>51.517636142180777</v>
      </c>
      <c r="S177" s="87">
        <v>50.713591243982783</v>
      </c>
      <c r="T177" s="87">
        <v>50.510556081959756</v>
      </c>
      <c r="U177" s="87">
        <v>50.714130921520294</v>
      </c>
      <c r="V177" s="87">
        <v>45.985401146724996</v>
      </c>
      <c r="W177" s="87">
        <v>41.426212388163407</v>
      </c>
      <c r="X177" s="87">
        <v>38.596275514785773</v>
      </c>
      <c r="Y177" s="87">
        <v>35.460943817380198</v>
      </c>
      <c r="DA177" s="171" t="s">
        <v>916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X178" s="87">
        <v>0</v>
      </c>
      <c r="Y178" s="87">
        <v>0</v>
      </c>
      <c r="DA178" s="171" t="s">
        <v>917</v>
      </c>
    </row>
    <row r="179" spans="1:105" ht="11.45" customHeight="1" x14ac:dyDescent="0.25">
      <c r="A179" s="109" t="s">
        <v>21</v>
      </c>
      <c r="B179" s="116">
        <v>1737.5999590296924</v>
      </c>
      <c r="C179" s="116">
        <v>1670.1910938620399</v>
      </c>
      <c r="D179" s="116">
        <v>1649.977307289364</v>
      </c>
      <c r="E179" s="116">
        <v>1624.2263666134654</v>
      </c>
      <c r="F179" s="116">
        <v>1602.4344320225705</v>
      </c>
      <c r="G179" s="116">
        <v>1581.2287858809607</v>
      </c>
      <c r="H179" s="116">
        <v>1557.226775246465</v>
      </c>
      <c r="I179" s="116">
        <v>1536.6571457278546</v>
      </c>
      <c r="J179" s="116">
        <v>1516.962817876853</v>
      </c>
      <c r="K179" s="116">
        <v>1504.9707566442669</v>
      </c>
      <c r="L179" s="116">
        <v>1493.2134461920855</v>
      </c>
      <c r="M179" s="116">
        <v>1478.0328954155164</v>
      </c>
      <c r="N179" s="116">
        <v>1463.6443133378266</v>
      </c>
      <c r="O179" s="116">
        <v>1441.1908335951111</v>
      </c>
      <c r="P179" s="116">
        <v>1425.3004633920048</v>
      </c>
      <c r="Q179" s="116">
        <v>1415.4812943662364</v>
      </c>
      <c r="R179" s="116">
        <v>1404.7497791449796</v>
      </c>
      <c r="S179" s="116">
        <v>1391.9980343453926</v>
      </c>
      <c r="T179" s="116">
        <v>1377.0213546910827</v>
      </c>
      <c r="U179" s="116">
        <v>1355.865494660608</v>
      </c>
      <c r="V179" s="116">
        <v>1310.3960393593413</v>
      </c>
      <c r="W179" s="116">
        <v>1329.8941725215172</v>
      </c>
      <c r="X179" s="116">
        <v>1281.281058005769</v>
      </c>
      <c r="Y179" s="116">
        <v>1224.1894587174916</v>
      </c>
      <c r="DA179" s="176" t="s">
        <v>918</v>
      </c>
    </row>
    <row r="180" spans="1:105" ht="11.45" customHeight="1" x14ac:dyDescent="0.25">
      <c r="A180" s="111" t="s">
        <v>110</v>
      </c>
      <c r="B180" s="101">
        <v>492.31782723929877</v>
      </c>
      <c r="C180" s="101">
        <v>491.45392824034906</v>
      </c>
      <c r="D180" s="101">
        <v>491.36737527712114</v>
      </c>
      <c r="E180" s="101">
        <v>491.26154797505529</v>
      </c>
      <c r="F180" s="101">
        <v>491.11846754902064</v>
      </c>
      <c r="G180" s="101">
        <v>490.9448921136302</v>
      </c>
      <c r="H180" s="101">
        <v>490.73174478591363</v>
      </c>
      <c r="I180" s="101">
        <v>487.66139751947975</v>
      </c>
      <c r="J180" s="101">
        <v>486.7451133467394</v>
      </c>
      <c r="K180" s="101">
        <v>485.65204593287427</v>
      </c>
      <c r="L180" s="101">
        <v>484.02554518808142</v>
      </c>
      <c r="M180" s="101">
        <v>482.01421887425278</v>
      </c>
      <c r="N180" s="101">
        <v>479.23828539754868</v>
      </c>
      <c r="O180" s="101">
        <v>479.23828539754851</v>
      </c>
      <c r="P180" s="101">
        <v>479.23828539754874</v>
      </c>
      <c r="Q180" s="101">
        <v>477.53094756033244</v>
      </c>
      <c r="R180" s="101">
        <v>474.41502474973674</v>
      </c>
      <c r="S180" s="101">
        <v>437.19390044056394</v>
      </c>
      <c r="T180" s="101">
        <v>429.32398026550328</v>
      </c>
      <c r="U180" s="101">
        <v>404.95897623250835</v>
      </c>
      <c r="V180" s="101">
        <v>404.95897623250852</v>
      </c>
      <c r="W180" s="101">
        <v>409.81403240535712</v>
      </c>
      <c r="X180" s="101">
        <v>363.22868673262923</v>
      </c>
      <c r="Y180" s="101">
        <v>352.86090170455054</v>
      </c>
      <c r="DA180" s="175" t="s">
        <v>919</v>
      </c>
    </row>
    <row r="181" spans="1:105" ht="11.45" customHeight="1" x14ac:dyDescent="0.25">
      <c r="A181" s="111" t="s">
        <v>111</v>
      </c>
      <c r="B181" s="101">
        <v>1762.6620202024328</v>
      </c>
      <c r="C181" s="101">
        <v>1656.802771882144</v>
      </c>
      <c r="D181" s="101">
        <v>1628.1205045080103</v>
      </c>
      <c r="E181" s="101">
        <v>1595.4868326400117</v>
      </c>
      <c r="F181" s="101">
        <v>1570.6993351113822</v>
      </c>
      <c r="G181" s="101">
        <v>1548.9951046173926</v>
      </c>
      <c r="H181" s="101">
        <v>1526.2046165467498</v>
      </c>
      <c r="I181" s="101">
        <v>1508.8821508382011</v>
      </c>
      <c r="J181" s="101">
        <v>1493.9489516229542</v>
      </c>
      <c r="K181" s="101">
        <v>1484.5754983778986</v>
      </c>
      <c r="L181" s="101">
        <v>1476.0543088541074</v>
      </c>
      <c r="M181" s="101">
        <v>1463.4323821528412</v>
      </c>
      <c r="N181" s="101">
        <v>1451.1035252081954</v>
      </c>
      <c r="O181" s="101">
        <v>1434.237321799546</v>
      </c>
      <c r="P181" s="101">
        <v>1420.948601804751</v>
      </c>
      <c r="Q181" s="101">
        <v>1409.1436863605329</v>
      </c>
      <c r="R181" s="101">
        <v>1396.7383115882105</v>
      </c>
      <c r="S181" s="101">
        <v>1382.9909370939181</v>
      </c>
      <c r="T181" s="101">
        <v>1366.1599702676644</v>
      </c>
      <c r="U181" s="101">
        <v>1348.8470293250523</v>
      </c>
      <c r="V181" s="101">
        <v>1336.0657427120937</v>
      </c>
      <c r="W181" s="101">
        <v>1319.366960504115</v>
      </c>
      <c r="X181" s="101">
        <v>1279.4736618064696</v>
      </c>
      <c r="Y181" s="101">
        <v>1241.8759101123987</v>
      </c>
      <c r="DA181" s="175" t="s">
        <v>920</v>
      </c>
    </row>
    <row r="182" spans="1:105" ht="11.45" customHeight="1" x14ac:dyDescent="0.25">
      <c r="A182" s="111" t="s">
        <v>112</v>
      </c>
      <c r="B182" s="101">
        <v>0</v>
      </c>
      <c r="C182" s="101">
        <v>1039.2703188786054</v>
      </c>
      <c r="D182" s="101">
        <v>1039.2703188786054</v>
      </c>
      <c r="E182" s="101">
        <v>1039.2703188786056</v>
      </c>
      <c r="F182" s="101">
        <v>1039.2703188786056</v>
      </c>
      <c r="G182" s="101">
        <v>1039.2703188786054</v>
      </c>
      <c r="H182" s="101">
        <v>1039.2703188786056</v>
      </c>
      <c r="I182" s="101">
        <v>1039.2703188786054</v>
      </c>
      <c r="J182" s="101">
        <v>0</v>
      </c>
      <c r="K182" s="101">
        <v>0</v>
      </c>
      <c r="L182" s="101">
        <v>0</v>
      </c>
      <c r="M182" s="101">
        <v>0</v>
      </c>
      <c r="N182" s="101">
        <v>0</v>
      </c>
      <c r="O182" s="101">
        <v>0</v>
      </c>
      <c r="P182" s="101">
        <v>0</v>
      </c>
      <c r="Q182" s="101">
        <v>0</v>
      </c>
      <c r="R182" s="101">
        <v>0</v>
      </c>
      <c r="S182" s="101">
        <v>0</v>
      </c>
      <c r="T182" s="101">
        <v>0</v>
      </c>
      <c r="U182" s="101">
        <v>0</v>
      </c>
      <c r="V182" s="101">
        <v>0</v>
      </c>
      <c r="W182" s="101">
        <v>0</v>
      </c>
      <c r="X182" s="101">
        <v>0</v>
      </c>
      <c r="Y182" s="101">
        <v>0</v>
      </c>
      <c r="DA182" s="175" t="s">
        <v>921</v>
      </c>
    </row>
    <row r="183" spans="1:105" ht="11.45" customHeight="1" x14ac:dyDescent="0.25">
      <c r="A183" s="111" t="s">
        <v>113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799.73998330914355</v>
      </c>
      <c r="U183" s="101">
        <v>793.63329853988898</v>
      </c>
      <c r="V183" s="101">
        <v>790.92363593094217</v>
      </c>
      <c r="W183" s="101">
        <v>790.92363593094205</v>
      </c>
      <c r="X183" s="101">
        <v>789.40178691056485</v>
      </c>
      <c r="Y183" s="101">
        <v>789.34271408516986</v>
      </c>
      <c r="DA183" s="175" t="s">
        <v>922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X184" s="101">
        <v>0</v>
      </c>
      <c r="Y184" s="101">
        <v>0</v>
      </c>
      <c r="DA184" s="175" t="s">
        <v>923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X185" s="29">
        <v>0</v>
      </c>
      <c r="Y185" s="29">
        <v>0</v>
      </c>
      <c r="DA185" s="173"/>
    </row>
    <row r="186" spans="1:105" ht="11.45" customHeight="1" x14ac:dyDescent="0.25">
      <c r="A186" s="136" t="s">
        <v>153</v>
      </c>
      <c r="B186" s="152">
        <v>304.72924689273697</v>
      </c>
      <c r="C186" s="152">
        <v>292.30717710696604</v>
      </c>
      <c r="D186" s="152">
        <v>288.68908266977684</v>
      </c>
      <c r="E186" s="152">
        <v>283.91461012136722</v>
      </c>
      <c r="F186" s="152">
        <v>283.85453837324121</v>
      </c>
      <c r="G186" s="152">
        <v>279.64333998960086</v>
      </c>
      <c r="H186" s="152">
        <v>278.47411225484888</v>
      </c>
      <c r="I186" s="152">
        <v>274.11123307665838</v>
      </c>
      <c r="J186" s="152">
        <v>265.21438822900814</v>
      </c>
      <c r="K186" s="152">
        <v>250.55670815857118</v>
      </c>
      <c r="L186" s="152">
        <v>210.5194814230687</v>
      </c>
      <c r="M186" s="152">
        <v>200.91648444866317</v>
      </c>
      <c r="N186" s="152">
        <v>235.74900345390623</v>
      </c>
      <c r="O186" s="152">
        <v>260.02450875073782</v>
      </c>
      <c r="P186" s="152">
        <v>255.58617992172003</v>
      </c>
      <c r="Q186" s="152">
        <v>250.78969808647761</v>
      </c>
      <c r="R186" s="152">
        <v>244.73148776831633</v>
      </c>
      <c r="S186" s="152">
        <v>239.22488824056282</v>
      </c>
      <c r="T186" s="152">
        <v>233.17039001613082</v>
      </c>
      <c r="U186" s="152">
        <v>225.55037783067942</v>
      </c>
      <c r="V186" s="152">
        <v>219.69644350824595</v>
      </c>
      <c r="W186" s="152">
        <v>215.34723679119676</v>
      </c>
      <c r="X186" s="152">
        <v>210.78999482115466</v>
      </c>
      <c r="Y186" s="152">
        <v>209.81539905783754</v>
      </c>
      <c r="DA186" s="174" t="s">
        <v>924</v>
      </c>
    </row>
    <row r="187" spans="1:105" ht="11.45" customHeight="1" x14ac:dyDescent="0.25">
      <c r="A187" s="111" t="s">
        <v>110</v>
      </c>
      <c r="B187" s="87">
        <v>246.07227924669988</v>
      </c>
      <c r="C187" s="87">
        <v>242.91331712102897</v>
      </c>
      <c r="D187" s="87">
        <v>240.88975299458016</v>
      </c>
      <c r="E187" s="87">
        <v>238.95336522063894</v>
      </c>
      <c r="F187" s="87">
        <v>236.28664913821916</v>
      </c>
      <c r="G187" s="87">
        <v>231.73059349302673</v>
      </c>
      <c r="H187" s="87">
        <v>225.86315064918321</v>
      </c>
      <c r="I187" s="87">
        <v>220.088720877193</v>
      </c>
      <c r="J187" s="87">
        <v>217.76996819642073</v>
      </c>
      <c r="K187" s="87">
        <v>216.46756691401561</v>
      </c>
      <c r="L187" s="87">
        <v>215.19919804970388</v>
      </c>
      <c r="M187" s="87">
        <v>213.97333883070087</v>
      </c>
      <c r="N187" s="87">
        <v>213.02397419710317</v>
      </c>
      <c r="O187" s="87">
        <v>212.43826921170657</v>
      </c>
      <c r="P187" s="87">
        <v>210.93690854858443</v>
      </c>
      <c r="Q187" s="87">
        <v>208.47771130322758</v>
      </c>
      <c r="R187" s="87">
        <v>205.48894966863119</v>
      </c>
      <c r="S187" s="87">
        <v>205.64932823667849</v>
      </c>
      <c r="T187" s="87">
        <v>201.39354597798143</v>
      </c>
      <c r="U187" s="87">
        <v>194.95235733976554</v>
      </c>
      <c r="V187" s="87">
        <v>177.74055211475607</v>
      </c>
      <c r="W187" s="87">
        <v>174.75817099660202</v>
      </c>
      <c r="X187" s="87">
        <v>177.30474191014974</v>
      </c>
      <c r="Y187" s="87">
        <v>178.38852209604454</v>
      </c>
      <c r="DA187" s="171" t="s">
        <v>925</v>
      </c>
    </row>
    <row r="188" spans="1:105" ht="11.45" customHeight="1" x14ac:dyDescent="0.25">
      <c r="A188" s="111" t="s">
        <v>111</v>
      </c>
      <c r="B188" s="87">
        <v>301.90406232025578</v>
      </c>
      <c r="C188" s="87">
        <v>285.67113769542567</v>
      </c>
      <c r="D188" s="87">
        <v>281.31620965937759</v>
      </c>
      <c r="E188" s="87">
        <v>277.53406553834952</v>
      </c>
      <c r="F188" s="87">
        <v>275.41683790966761</v>
      </c>
      <c r="G188" s="87">
        <v>273.13535878310012</v>
      </c>
      <c r="H188" s="87">
        <v>272.06051496470184</v>
      </c>
      <c r="I188" s="87">
        <v>270.57876381561704</v>
      </c>
      <c r="J188" s="87">
        <v>267.884387854382</v>
      </c>
      <c r="K188" s="87">
        <v>266.04047597183978</v>
      </c>
      <c r="L188" s="87">
        <v>264.94360353705019</v>
      </c>
      <c r="M188" s="87">
        <v>264.35104147862</v>
      </c>
      <c r="N188" s="87">
        <v>262.21418969639188</v>
      </c>
      <c r="O188" s="87">
        <v>259.27775918259385</v>
      </c>
      <c r="P188" s="87">
        <v>253.9035433624563</v>
      </c>
      <c r="Q188" s="87">
        <v>247.80301432103221</v>
      </c>
      <c r="R188" s="87">
        <v>240.38333618937617</v>
      </c>
      <c r="S188" s="87">
        <v>234.00016191237125</v>
      </c>
      <c r="T188" s="87">
        <v>227.58020738457083</v>
      </c>
      <c r="U188" s="87">
        <v>221.54174469488044</v>
      </c>
      <c r="V188" s="87">
        <v>217.83352789792559</v>
      </c>
      <c r="W188" s="87">
        <v>213.56937649141017</v>
      </c>
      <c r="X188" s="87">
        <v>211.70395363302814</v>
      </c>
      <c r="Y188" s="87">
        <v>209.84833243525233</v>
      </c>
      <c r="DA188" s="171" t="s">
        <v>926</v>
      </c>
    </row>
    <row r="189" spans="1:105" ht="11.45" customHeight="1" x14ac:dyDescent="0.25">
      <c r="A189" s="111" t="s">
        <v>112</v>
      </c>
      <c r="B189" s="87">
        <v>0</v>
      </c>
      <c r="C189" s="87">
        <v>0</v>
      </c>
      <c r="D189" s="87">
        <v>0</v>
      </c>
      <c r="E189" s="87">
        <v>0</v>
      </c>
      <c r="F189" s="87">
        <v>0</v>
      </c>
      <c r="G189" s="87">
        <v>0</v>
      </c>
      <c r="H189" s="87">
        <v>0</v>
      </c>
      <c r="I189" s="87">
        <v>0</v>
      </c>
      <c r="J189" s="87">
        <v>0</v>
      </c>
      <c r="K189" s="87">
        <v>0</v>
      </c>
      <c r="L189" s="87">
        <v>0</v>
      </c>
      <c r="M189" s="87">
        <v>0</v>
      </c>
      <c r="N189" s="87">
        <v>0</v>
      </c>
      <c r="O189" s="87">
        <v>177.29705079911366</v>
      </c>
      <c r="P189" s="87">
        <v>177.29705079911366</v>
      </c>
      <c r="Q189" s="87">
        <v>177.29705079911366</v>
      </c>
      <c r="R189" s="87">
        <v>177.29705079911366</v>
      </c>
      <c r="S189" s="87">
        <v>167.98836984986028</v>
      </c>
      <c r="T189" s="87">
        <v>167.98836984986028</v>
      </c>
      <c r="U189" s="87">
        <v>167.98836984986028</v>
      </c>
      <c r="V189" s="87">
        <v>165.78952075016508</v>
      </c>
      <c r="W189" s="87">
        <v>165.78952075016511</v>
      </c>
      <c r="X189" s="87">
        <v>165.78952075016508</v>
      </c>
      <c r="Y189" s="87">
        <v>165.78952075016508</v>
      </c>
      <c r="DA189" s="171" t="s">
        <v>927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0</v>
      </c>
      <c r="I190" s="87">
        <v>0</v>
      </c>
      <c r="J190" s="87">
        <v>0</v>
      </c>
      <c r="K190" s="87">
        <v>0</v>
      </c>
      <c r="L190" s="87">
        <v>0</v>
      </c>
      <c r="M190" s="87">
        <v>0</v>
      </c>
      <c r="N190" s="87">
        <v>0</v>
      </c>
      <c r="O190" s="87">
        <v>0</v>
      </c>
      <c r="P190" s="87">
        <v>0</v>
      </c>
      <c r="Q190" s="87">
        <v>0</v>
      </c>
      <c r="R190" s="87">
        <v>145.4937764833316</v>
      </c>
      <c r="S190" s="87">
        <v>145.4937764833316</v>
      </c>
      <c r="T190" s="87">
        <v>145.49377648333163</v>
      </c>
      <c r="U190" s="87">
        <v>145.4937764833316</v>
      </c>
      <c r="V190" s="87">
        <v>190.7943918507101</v>
      </c>
      <c r="W190" s="87">
        <v>190.79439185071007</v>
      </c>
      <c r="X190" s="87">
        <v>190.79439185071013</v>
      </c>
      <c r="Y190" s="87">
        <v>212.75560407112755</v>
      </c>
      <c r="DA190" s="171" t="s">
        <v>928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X191" s="87">
        <v>0</v>
      </c>
      <c r="Y191" s="87">
        <v>0</v>
      </c>
      <c r="DA191" s="171" t="s">
        <v>929</v>
      </c>
    </row>
    <row r="192" spans="1:105" ht="11.45" customHeight="1" x14ac:dyDescent="0.25">
      <c r="A192" s="109" t="s">
        <v>154</v>
      </c>
      <c r="B192" s="116">
        <v>804.20464377651274</v>
      </c>
      <c r="C192" s="116">
        <v>799.08349021825188</v>
      </c>
      <c r="D192" s="116">
        <v>796.14534843920956</v>
      </c>
      <c r="E192" s="116">
        <v>792.39813563950418</v>
      </c>
      <c r="F192" s="116">
        <v>788.8272205294794</v>
      </c>
      <c r="G192" s="116">
        <v>783.94837454897709</v>
      </c>
      <c r="H192" s="116">
        <v>777.97679038115064</v>
      </c>
      <c r="I192" s="116">
        <v>771.78391976253931</v>
      </c>
      <c r="J192" s="116">
        <v>758.21430282525637</v>
      </c>
      <c r="K192" s="116">
        <v>750.20868117286727</v>
      </c>
      <c r="L192" s="116">
        <v>744.9175179892427</v>
      </c>
      <c r="M192" s="116">
        <v>739.37861333285764</v>
      </c>
      <c r="N192" s="116">
        <v>736.14866821764588</v>
      </c>
      <c r="O192" s="116">
        <v>731.78643226363147</v>
      </c>
      <c r="P192" s="116">
        <v>726.24285061984972</v>
      </c>
      <c r="Q192" s="116">
        <v>718.12433604263265</v>
      </c>
      <c r="R192" s="116">
        <v>705.03902460065763</v>
      </c>
      <c r="S192" s="116">
        <v>690.47653162645429</v>
      </c>
      <c r="T192" s="116">
        <v>679.2629448309317</v>
      </c>
      <c r="U192" s="116">
        <v>665.82711323198191</v>
      </c>
      <c r="V192" s="116">
        <v>658.38807919392798</v>
      </c>
      <c r="W192" s="116">
        <v>648.15338176643183</v>
      </c>
      <c r="X192" s="116">
        <v>636.65746551341488</v>
      </c>
      <c r="Y192" s="116">
        <v>625.33033940024791</v>
      </c>
      <c r="DA192" s="176" t="s">
        <v>930</v>
      </c>
    </row>
    <row r="193" spans="1:105" ht="11.45" customHeight="1" x14ac:dyDescent="0.25">
      <c r="A193" s="128" t="s">
        <v>27</v>
      </c>
      <c r="B193" s="101">
        <v>747.39547529366575</v>
      </c>
      <c r="C193" s="101">
        <v>742.96010630236367</v>
      </c>
      <c r="D193" s="101">
        <v>740.184399942906</v>
      </c>
      <c r="E193" s="101">
        <v>736.75532859510975</v>
      </c>
      <c r="F193" s="101">
        <v>733.10723784811876</v>
      </c>
      <c r="G193" s="101">
        <v>728.92423384943356</v>
      </c>
      <c r="H193" s="101">
        <v>723.76873487405589</v>
      </c>
      <c r="I193" s="101">
        <v>718.25030468767704</v>
      </c>
      <c r="J193" s="101">
        <v>705.21614942014969</v>
      </c>
      <c r="K193" s="101">
        <v>697.89473946989244</v>
      </c>
      <c r="L193" s="101">
        <v>692.80792406627779</v>
      </c>
      <c r="M193" s="101">
        <v>687.35353349035768</v>
      </c>
      <c r="N193" s="101">
        <v>684.75350138922374</v>
      </c>
      <c r="O193" s="101">
        <v>680.83052475959198</v>
      </c>
      <c r="P193" s="101">
        <v>675.96091317436992</v>
      </c>
      <c r="Q193" s="101">
        <v>668.39164320375812</v>
      </c>
      <c r="R193" s="101">
        <v>656.4338041228209</v>
      </c>
      <c r="S193" s="101">
        <v>642.98661620390237</v>
      </c>
      <c r="T193" s="101">
        <v>632.46048956834534</v>
      </c>
      <c r="U193" s="101">
        <v>619.75676132258673</v>
      </c>
      <c r="V193" s="101">
        <v>614.94311902764332</v>
      </c>
      <c r="W193" s="101">
        <v>605.3538031207114</v>
      </c>
      <c r="X193" s="101">
        <v>594.58926057834537</v>
      </c>
      <c r="Y193" s="101">
        <v>583.93041870993295</v>
      </c>
      <c r="DA193" s="175" t="s">
        <v>931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1055.4151964587643</v>
      </c>
      <c r="D194" s="88">
        <v>1046.02952066338</v>
      </c>
      <c r="E194" s="88">
        <v>1038.5258468527688</v>
      </c>
      <c r="F194" s="88">
        <v>1019.5196279269884</v>
      </c>
      <c r="G194" s="88">
        <v>1010.8027524643708</v>
      </c>
      <c r="H194" s="88">
        <v>1001.8697612765836</v>
      </c>
      <c r="I194" s="88">
        <v>988.57492658978981</v>
      </c>
      <c r="J194" s="88">
        <v>983.04204305083886</v>
      </c>
      <c r="K194" s="88">
        <v>975.82487039119189</v>
      </c>
      <c r="L194" s="88">
        <v>961.15215601346972</v>
      </c>
      <c r="M194" s="88">
        <v>942.14214771930244</v>
      </c>
      <c r="N194" s="88">
        <v>934.84420675279046</v>
      </c>
      <c r="O194" s="88">
        <v>925.39959438000949</v>
      </c>
      <c r="P194" s="88">
        <v>917.53608297944788</v>
      </c>
      <c r="Q194" s="88">
        <v>894.44089933501266</v>
      </c>
      <c r="R194" s="88">
        <v>890.67675091020465</v>
      </c>
      <c r="S194" s="88">
        <v>879.48983903564704</v>
      </c>
      <c r="T194" s="88">
        <v>854.04762027612958</v>
      </c>
      <c r="U194" s="88">
        <v>825.7691209283762</v>
      </c>
      <c r="V194" s="88">
        <v>763.81537198256126</v>
      </c>
      <c r="W194" s="88">
        <v>760.06384193227393</v>
      </c>
      <c r="X194" s="88">
        <v>759.08538059368107</v>
      </c>
      <c r="Y194" s="88">
        <v>752.11878445073421</v>
      </c>
      <c r="DA194" s="178" t="s">
        <v>932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DA197" s="173"/>
    </row>
    <row r="198" spans="1:105" ht="11.45" customHeight="1" x14ac:dyDescent="0.25">
      <c r="A198" s="136" t="s">
        <v>173</v>
      </c>
      <c r="B198" s="150">
        <f>IF(TrRoad_act!B59=0,0,TrRoad_emi!B56/TrRoad_tech!B171)</f>
        <v>1.1275000000068984</v>
      </c>
      <c r="C198" s="150">
        <f>IF(TrRoad_act!C59=0,0,TrRoad_emi!C56/TrRoad_tech!C171)</f>
        <v>1.1280368189675676</v>
      </c>
      <c r="D198" s="150">
        <f>IF(TrRoad_act!D59=0,0,TrRoad_emi!D56/TrRoad_tech!D171)</f>
        <v>1.1295365396846486</v>
      </c>
      <c r="E198" s="150">
        <f>IF(TrRoad_act!E59=0,0,TrRoad_emi!E56/TrRoad_tech!E171)</f>
        <v>1.1306912220914409</v>
      </c>
      <c r="F198" s="150">
        <f>IF(TrRoad_act!F59=0,0,TrRoad_emi!F56/TrRoad_tech!F171)</f>
        <v>1.1324392353099586</v>
      </c>
      <c r="G198" s="150">
        <f>IF(TrRoad_act!G59=0,0,TrRoad_emi!G56/TrRoad_tech!G171)</f>
        <v>1.1348404705481414</v>
      </c>
      <c r="H198" s="150">
        <f>IF(TrRoad_act!H59=0,0,TrRoad_emi!H56/TrRoad_tech!H171)</f>
        <v>1.1374522541527672</v>
      </c>
      <c r="I198" s="150">
        <f>IF(TrRoad_act!I59=0,0,TrRoad_emi!I56/TrRoad_tech!I171)</f>
        <v>1.1392828187932418</v>
      </c>
      <c r="J198" s="150">
        <f>IF(TrRoad_act!J59=0,0,TrRoad_emi!J56/TrRoad_tech!J171)</f>
        <v>1.1338907118267818</v>
      </c>
      <c r="K198" s="150">
        <f>IF(TrRoad_act!K59=0,0,TrRoad_emi!K56/TrRoad_tech!K171)</f>
        <v>1.1323479846061402</v>
      </c>
      <c r="L198" s="150">
        <f>IF(TrRoad_act!L59=0,0,TrRoad_emi!L56/TrRoad_tech!L171)</f>
        <v>1.129198967153298</v>
      </c>
      <c r="M198" s="150">
        <f>IF(TrRoad_act!M59=0,0,TrRoad_emi!M56/TrRoad_tech!M171)</f>
        <v>1.135257610294524</v>
      </c>
      <c r="N198" s="150">
        <f>IF(TrRoad_act!N59=0,0,TrRoad_emi!N56/TrRoad_tech!N171)</f>
        <v>1.1332371447713594</v>
      </c>
      <c r="O198" s="150">
        <f>IF(TrRoad_act!O59=0,0,TrRoad_emi!O56/TrRoad_tech!O171)</f>
        <v>1.1410273571546834</v>
      </c>
      <c r="P198" s="150">
        <f>IF(TrRoad_act!P59=0,0,TrRoad_emi!P56/TrRoad_tech!P171)</f>
        <v>1.149024435637479</v>
      </c>
      <c r="Q198" s="150">
        <f>IF(TrRoad_act!Q59=0,0,TrRoad_emi!Q56/TrRoad_tech!Q171)</f>
        <v>1.1538549651789716</v>
      </c>
      <c r="R198" s="150">
        <f>IF(TrRoad_act!R59=0,0,TrRoad_emi!R56/TrRoad_tech!R171)</f>
        <v>1.1615746634773059</v>
      </c>
      <c r="S198" s="150">
        <f>IF(TrRoad_act!S59=0,0,TrRoad_emi!S56/TrRoad_tech!S171)</f>
        <v>1.1675787801146587</v>
      </c>
      <c r="T198" s="150">
        <f>IF(TrRoad_act!T59=0,0,TrRoad_emi!T56/TrRoad_tech!T171)</f>
        <v>1.1779332370632336</v>
      </c>
      <c r="U198" s="150">
        <f>IF(TrRoad_act!U59=0,0,TrRoad_emi!U56/TrRoad_tech!U171)</f>
        <v>1.1953916562662643</v>
      </c>
      <c r="V198" s="150">
        <f>IF(TrRoad_act!V59=0,0,TrRoad_emi!V56/TrRoad_tech!V171)</f>
        <v>1.2122735595012284</v>
      </c>
      <c r="W198" s="150">
        <f>IF(TrRoad_act!W59=0,0,TrRoad_emi!W56/TrRoad_tech!W171)</f>
        <v>1.2280447838417332</v>
      </c>
      <c r="X198" s="150">
        <f>IF(TrRoad_act!X59=0,0,TrRoad_emi!X56/TrRoad_tech!X171)</f>
        <v>1.2508199201589754</v>
      </c>
      <c r="Y198" s="150">
        <f>IF(TrRoad_act!Y59=0,0,TrRoad_emi!Y56/TrRoad_tech!Y171)</f>
        <v>1.2580260661473757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1.1603132615949712</v>
      </c>
      <c r="C199" s="151">
        <f>IF(TrRoad_act!C60=0,0,TrRoad_emi!C57/TrRoad_tech!C172)</f>
        <v>1.1734268660785903</v>
      </c>
      <c r="D199" s="151">
        <f>IF(TrRoad_act!D60=0,0,TrRoad_emi!D57/TrRoad_tech!D172)</f>
        <v>1.1502443082170231</v>
      </c>
      <c r="E199" s="151">
        <f>IF(TrRoad_act!E60=0,0,TrRoad_emi!E57/TrRoad_tech!E172)</f>
        <v>1.1232834019664604</v>
      </c>
      <c r="F199" s="151">
        <f>IF(TrRoad_act!F60=0,0,TrRoad_emi!F57/TrRoad_tech!F172)</f>
        <v>1.147507292551371</v>
      </c>
      <c r="G199" s="151">
        <f>IF(TrRoad_act!G60=0,0,TrRoad_emi!G57/TrRoad_tech!G172)</f>
        <v>1.1793409827232686</v>
      </c>
      <c r="H199" s="151">
        <f>IF(TrRoad_act!H60=0,0,TrRoad_emi!H57/TrRoad_tech!H172)</f>
        <v>1.1889363141277463</v>
      </c>
      <c r="I199" s="151">
        <f>IF(TrRoad_act!I60=0,0,TrRoad_emi!I57/TrRoad_tech!I172)</f>
        <v>1.1849577153132491</v>
      </c>
      <c r="J199" s="151">
        <f>IF(TrRoad_act!J60=0,0,TrRoad_emi!J57/TrRoad_tech!J172)</f>
        <v>1.1060505669241085</v>
      </c>
      <c r="K199" s="151">
        <f>IF(TrRoad_act!K60=0,0,TrRoad_emi!K57/TrRoad_tech!K172)</f>
        <v>1.0939294871348491</v>
      </c>
      <c r="L199" s="151">
        <f>IF(TrRoad_act!L60=0,0,TrRoad_emi!L57/TrRoad_tech!L172)</f>
        <v>1.0703073548324187</v>
      </c>
      <c r="M199" s="151">
        <f>IF(TrRoad_act!M60=0,0,TrRoad_emi!M57/TrRoad_tech!M172)</f>
        <v>1.0637946938361884</v>
      </c>
      <c r="N199" s="151">
        <f>IF(TrRoad_act!N60=0,0,TrRoad_emi!N57/TrRoad_tech!N172)</f>
        <v>1.0954450330638417</v>
      </c>
      <c r="O199" s="151">
        <f>IF(TrRoad_act!O60=0,0,TrRoad_emi!O57/TrRoad_tech!O172)</f>
        <v>1.0842635628929871</v>
      </c>
      <c r="P199" s="151">
        <f>IF(TrRoad_act!P60=0,0,TrRoad_emi!P57/TrRoad_tech!P172)</f>
        <v>1.1684865969522056</v>
      </c>
      <c r="Q199" s="151">
        <f>IF(TrRoad_act!Q60=0,0,TrRoad_emi!Q57/TrRoad_tech!Q172)</f>
        <v>1.1452194352791176</v>
      </c>
      <c r="R199" s="151">
        <f>IF(TrRoad_act!R60=0,0,TrRoad_emi!R57/TrRoad_tech!R172)</f>
        <v>1.1915933212991026</v>
      </c>
      <c r="S199" s="151">
        <f>IF(TrRoad_act!S60=0,0,TrRoad_emi!S57/TrRoad_tech!S172)</f>
        <v>1.1605692702961885</v>
      </c>
      <c r="T199" s="151">
        <f>IF(TrRoad_act!T60=0,0,TrRoad_emi!T57/TrRoad_tech!T172)</f>
        <v>1.1995417909370083</v>
      </c>
      <c r="U199" s="151">
        <f>IF(TrRoad_act!U60=0,0,TrRoad_emi!U57/TrRoad_tech!U172)</f>
        <v>1.2072882707103894</v>
      </c>
      <c r="V199" s="151">
        <f>IF(TrRoad_act!V60=0,0,TrRoad_emi!V57/TrRoad_tech!V172)</f>
        <v>1.1705170727739798</v>
      </c>
      <c r="W199" s="151">
        <f>IF(TrRoad_act!W60=0,0,TrRoad_emi!W57/TrRoad_tech!W172)</f>
        <v>1.2595615669563636</v>
      </c>
      <c r="X199" s="151">
        <f>IF(TrRoad_act!X60=0,0,TrRoad_emi!X57/TrRoad_tech!X172)</f>
        <v>1.2827467776908996</v>
      </c>
      <c r="Y199" s="151">
        <f>IF(TrRoad_act!Y60=0,0,TrRoad_emi!Y57/TrRoad_tech!Y172)</f>
        <v>1.2927038442773993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1.0817824821496616</v>
      </c>
      <c r="C200" s="91">
        <f>IF(TrRoad_act!C61=0,0,TrRoad_emi!C58/TrRoad_tech!C173)</f>
        <v>1.0984527045451331</v>
      </c>
      <c r="D200" s="91">
        <f>IF(TrRoad_act!D61=0,0,TrRoad_emi!D58/TrRoad_tech!D173)</f>
        <v>1.1012363888106096</v>
      </c>
      <c r="E200" s="91">
        <f>IF(TrRoad_act!E61=0,0,TrRoad_emi!E58/TrRoad_tech!E173)</f>
        <v>1.0755500949952208</v>
      </c>
      <c r="F200" s="91">
        <f>IF(TrRoad_act!F61=0,0,TrRoad_emi!F58/TrRoad_tech!F173)</f>
        <v>1.098708624255385</v>
      </c>
      <c r="G200" s="91">
        <f>IF(TrRoad_act!G61=0,0,TrRoad_emi!G58/TrRoad_tech!G173)</f>
        <v>1.1441424295159008</v>
      </c>
      <c r="H200" s="91">
        <f>IF(TrRoad_act!H61=0,0,TrRoad_emi!H58/TrRoad_tech!H173)</f>
        <v>1.1436991877119227</v>
      </c>
      <c r="I200" s="91">
        <f>IF(TrRoad_act!I61=0,0,TrRoad_emi!I58/TrRoad_tech!I173)</f>
        <v>1.1203996724831784</v>
      </c>
      <c r="J200" s="91">
        <f>IF(TrRoad_act!J61=0,0,TrRoad_emi!J58/TrRoad_tech!J173)</f>
        <v>1.048978743632625</v>
      </c>
      <c r="K200" s="91">
        <f>IF(TrRoad_act!K61=0,0,TrRoad_emi!K58/TrRoad_tech!K173)</f>
        <v>1.0193765262084611</v>
      </c>
      <c r="L200" s="91">
        <f>IF(TrRoad_act!L61=0,0,TrRoad_emi!L58/TrRoad_tech!L173)</f>
        <v>1.0229206282798553</v>
      </c>
      <c r="M200" s="91">
        <f>IF(TrRoad_act!M61=0,0,TrRoad_emi!M58/TrRoad_tech!M173)</f>
        <v>1.0223207067348927</v>
      </c>
      <c r="N200" s="91">
        <f>IF(TrRoad_act!N61=0,0,TrRoad_emi!N58/TrRoad_tech!N173)</f>
        <v>1.0512650715405605</v>
      </c>
      <c r="O200" s="91">
        <f>IF(TrRoad_act!O61=0,0,TrRoad_emi!O58/TrRoad_tech!O173)</f>
        <v>1.0180730300913314</v>
      </c>
      <c r="P200" s="91">
        <f>IF(TrRoad_act!P61=0,0,TrRoad_emi!P58/TrRoad_tech!P173)</f>
        <v>1.0853830015093873</v>
      </c>
      <c r="Q200" s="91">
        <f>IF(TrRoad_act!Q61=0,0,TrRoad_emi!Q58/TrRoad_tech!Q173)</f>
        <v>0.98583834880875898</v>
      </c>
      <c r="R200" s="91">
        <f>IF(TrRoad_act!R61=0,0,TrRoad_emi!R58/TrRoad_tech!R173)</f>
        <v>1.0533081031516749</v>
      </c>
      <c r="S200" s="91">
        <f>IF(TrRoad_act!S61=0,0,TrRoad_emi!S58/TrRoad_tech!S173)</f>
        <v>1.0209161981368033</v>
      </c>
      <c r="T200" s="91">
        <f>IF(TrRoad_act!T61=0,0,TrRoad_emi!T58/TrRoad_tech!T173)</f>
        <v>1.0242390076706647</v>
      </c>
      <c r="U200" s="91">
        <f>IF(TrRoad_act!U61=0,0,TrRoad_emi!U58/TrRoad_tech!U173)</f>
        <v>1.0282838816844526</v>
      </c>
      <c r="V200" s="91">
        <f>IF(TrRoad_act!V61=0,0,TrRoad_emi!V58/TrRoad_tech!V173)</f>
        <v>0.97789385572121557</v>
      </c>
      <c r="W200" s="91">
        <f>IF(TrRoad_act!W61=0,0,TrRoad_emi!W58/TrRoad_tech!W173)</f>
        <v>1.0268286176617871</v>
      </c>
      <c r="X200" s="91">
        <f>IF(TrRoad_act!X61=0,0,TrRoad_emi!X58/TrRoad_tech!X173)</f>
        <v>1.0515075932339144</v>
      </c>
      <c r="Y200" s="91">
        <f>IF(TrRoad_act!Y61=0,0,TrRoad_emi!Y58/TrRoad_tech!Y173)</f>
        <v>1.0771947645955167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1.6185276168286149</v>
      </c>
      <c r="C201" s="91">
        <f>IF(TrRoad_act!C62=0,0,TrRoad_emi!C59/TrRoad_tech!C174)</f>
        <v>1.7005435467530667</v>
      </c>
      <c r="D201" s="91">
        <f>IF(TrRoad_act!D62=0,0,TrRoad_emi!D59/TrRoad_tech!D174)</f>
        <v>1.5509269141843831</v>
      </c>
      <c r="E201" s="91">
        <f>IF(TrRoad_act!E62=0,0,TrRoad_emi!E59/TrRoad_tech!E174)</f>
        <v>1.5073432139101928</v>
      </c>
      <c r="F201" s="91">
        <f>IF(TrRoad_act!F62=0,0,TrRoad_emi!F59/TrRoad_tech!F174)</f>
        <v>1.5120251744444022</v>
      </c>
      <c r="G201" s="91">
        <f>IF(TrRoad_act!G62=0,0,TrRoad_emi!G59/TrRoad_tech!G174)</f>
        <v>1.4486344905938446</v>
      </c>
      <c r="H201" s="91">
        <f>IF(TrRoad_act!H62=0,0,TrRoad_emi!H59/TrRoad_tech!H174)</f>
        <v>1.5088925409502905</v>
      </c>
      <c r="I201" s="91">
        <f>IF(TrRoad_act!I62=0,0,TrRoad_emi!I59/TrRoad_tech!I174)</f>
        <v>1.5604962044334458</v>
      </c>
      <c r="J201" s="91">
        <f>IF(TrRoad_act!J62=0,0,TrRoad_emi!J59/TrRoad_tech!J174)</f>
        <v>1.4251853786483564</v>
      </c>
      <c r="K201" s="91">
        <f>IF(TrRoad_act!K62=0,0,TrRoad_emi!K59/TrRoad_tech!K174)</f>
        <v>1.4497852208710771</v>
      </c>
      <c r="L201" s="91">
        <f>IF(TrRoad_act!L62=0,0,TrRoad_emi!L59/TrRoad_tech!L174)</f>
        <v>1.292828220482837</v>
      </c>
      <c r="M201" s="91">
        <f>IF(TrRoad_act!M62=0,0,TrRoad_emi!M59/TrRoad_tech!M174)</f>
        <v>1.2379425576528618</v>
      </c>
      <c r="N201" s="91">
        <f>IF(TrRoad_act!N62=0,0,TrRoad_emi!N59/TrRoad_tech!N174)</f>
        <v>1.2588354194099947</v>
      </c>
      <c r="O201" s="91">
        <f>IF(TrRoad_act!O62=0,0,TrRoad_emi!O59/TrRoad_tech!O174)</f>
        <v>1.2794883582258005</v>
      </c>
      <c r="P201" s="91">
        <f>IF(TrRoad_act!P62=0,0,TrRoad_emi!P59/TrRoad_tech!P174)</f>
        <v>1.3563282174660327</v>
      </c>
      <c r="Q201" s="91">
        <f>IF(TrRoad_act!Q62=0,0,TrRoad_emi!Q59/TrRoad_tech!Q174)</f>
        <v>1.3733639586576409</v>
      </c>
      <c r="R201" s="91">
        <f>IF(TrRoad_act!R62=0,0,TrRoad_emi!R59/TrRoad_tech!R174)</f>
        <v>1.3726944339548242</v>
      </c>
      <c r="S201" s="91">
        <f>IF(TrRoad_act!S62=0,0,TrRoad_emi!S59/TrRoad_tech!S174)</f>
        <v>1.3168903331865947</v>
      </c>
      <c r="T201" s="91">
        <f>IF(TrRoad_act!T62=0,0,TrRoad_emi!T59/TrRoad_tech!T174)</f>
        <v>1.360297967097954</v>
      </c>
      <c r="U201" s="91">
        <f>IF(TrRoad_act!U62=0,0,TrRoad_emi!U59/TrRoad_tech!U174)</f>
        <v>1.3535590215972853</v>
      </c>
      <c r="V201" s="91">
        <f>IF(TrRoad_act!V62=0,0,TrRoad_emi!V59/TrRoad_tech!V174)</f>
        <v>1.2999316591957037</v>
      </c>
      <c r="W201" s="91">
        <f>IF(TrRoad_act!W62=0,0,TrRoad_emi!W59/TrRoad_tech!W174)</f>
        <v>1.3401441473434277</v>
      </c>
      <c r="X201" s="91">
        <f>IF(TrRoad_act!X62=0,0,TrRoad_emi!X59/TrRoad_tech!X174)</f>
        <v>1.3336734746309855</v>
      </c>
      <c r="Y201" s="91">
        <f>IF(TrRoad_act!Y62=0,0,TrRoad_emi!Y59/TrRoad_tech!Y174)</f>
        <v>1.3369366491959012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1.0950702058549462</v>
      </c>
      <c r="C202" s="91">
        <f>IF(TrRoad_act!C63=0,0,TrRoad_emi!C60/TrRoad_tech!C175)</f>
        <v>1.0458626454564601</v>
      </c>
      <c r="D202" s="91">
        <f>IF(TrRoad_act!D63=0,0,TrRoad_emi!D60/TrRoad_tech!D175)</f>
        <v>1.0698567257517018</v>
      </c>
      <c r="E202" s="91">
        <f>IF(TrRoad_act!E63=0,0,TrRoad_emi!E60/TrRoad_tech!E175)</f>
        <v>1.0934466421455407</v>
      </c>
      <c r="F202" s="91">
        <f>IF(TrRoad_act!F63=0,0,TrRoad_emi!F60/TrRoad_tech!F175)</f>
        <v>1.0348676963474459</v>
      </c>
      <c r="G202" s="91">
        <f>IF(TrRoad_act!G63=0,0,TrRoad_emi!G60/TrRoad_tech!G175)</f>
        <v>1.0406464884326632</v>
      </c>
      <c r="H202" s="91">
        <f>IF(TrRoad_act!H63=0,0,TrRoad_emi!H60/TrRoad_tech!H175)</f>
        <v>1.0291499725101239</v>
      </c>
      <c r="I202" s="91">
        <f>IF(TrRoad_act!I63=0,0,TrRoad_emi!I60/TrRoad_tech!I175)</f>
        <v>1.0454352183638282</v>
      </c>
      <c r="J202" s="91">
        <f>IF(TrRoad_act!J63=0,0,TrRoad_emi!J60/TrRoad_tech!J175)</f>
        <v>1.0824007302815377</v>
      </c>
      <c r="K202" s="91">
        <f>IF(TrRoad_act!K63=0,0,TrRoad_emi!K60/TrRoad_tech!K175)</f>
        <v>1.0283507286597111</v>
      </c>
      <c r="L202" s="91">
        <f>IF(TrRoad_act!L63=0,0,TrRoad_emi!L60/TrRoad_tech!L175)</f>
        <v>1.0415412214251294</v>
      </c>
      <c r="M202" s="91">
        <f>IF(TrRoad_act!M63=0,0,TrRoad_emi!M60/TrRoad_tech!M175)</f>
        <v>1.031907075678157</v>
      </c>
      <c r="N202" s="91">
        <f>IF(TrRoad_act!N63=0,0,TrRoad_emi!N60/TrRoad_tech!N175)</f>
        <v>1.0645350507679405</v>
      </c>
      <c r="O202" s="91">
        <f>IF(TrRoad_act!O63=0,0,TrRoad_emi!O60/TrRoad_tech!O175)</f>
        <v>1.0370097135412384</v>
      </c>
      <c r="P202" s="91">
        <f>IF(TrRoad_act!P63=0,0,TrRoad_emi!P60/TrRoad_tech!P175)</f>
        <v>1.0575067122523294</v>
      </c>
      <c r="Q202" s="91">
        <f>IF(TrRoad_act!Q63=0,0,TrRoad_emi!Q60/TrRoad_tech!Q175)</f>
        <v>1.1117718234357263</v>
      </c>
      <c r="R202" s="91">
        <f>IF(TrRoad_act!R63=0,0,TrRoad_emi!R60/TrRoad_tech!R175)</f>
        <v>1.1441605945582027</v>
      </c>
      <c r="S202" s="91">
        <f>IF(TrRoad_act!S63=0,0,TrRoad_emi!S60/TrRoad_tech!S175)</f>
        <v>1.1683896422531743</v>
      </c>
      <c r="T202" s="91">
        <f>IF(TrRoad_act!T63=0,0,TrRoad_emi!T60/TrRoad_tech!T175)</f>
        <v>1.1460628035793454</v>
      </c>
      <c r="U202" s="91">
        <f>IF(TrRoad_act!U63=0,0,TrRoad_emi!U60/TrRoad_tech!U175)</f>
        <v>1.1533303605292951</v>
      </c>
      <c r="V202" s="91">
        <f>IF(TrRoad_act!V63=0,0,TrRoad_emi!V60/TrRoad_tech!V175)</f>
        <v>0.9419671764623202</v>
      </c>
      <c r="W202" s="91">
        <f>IF(TrRoad_act!W63=0,0,TrRoad_emi!W60/TrRoad_tech!W175)</f>
        <v>1.0517109438013976</v>
      </c>
      <c r="X202" s="91">
        <f>IF(TrRoad_act!X63=0,0,TrRoad_emi!X60/TrRoad_tech!X175)</f>
        <v>1.4747690293138191</v>
      </c>
      <c r="Y202" s="91">
        <f>IF(TrRoad_act!Y63=0,0,TrRoad_emi!Y60/TrRoad_tech!Y175)</f>
        <v>1.2467778587634972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0</v>
      </c>
      <c r="G203" s="91">
        <f>IF(TrRoad_act!G64=0,0,TrRoad_emi!G61/TrRoad_tech!G176)</f>
        <v>0</v>
      </c>
      <c r="H203" s="91">
        <f>IF(TrRoad_act!H64=0,0,TrRoad_emi!H61/TrRoad_tech!H176)</f>
        <v>0</v>
      </c>
      <c r="I203" s="91">
        <f>IF(TrRoad_act!I64=0,0,TrRoad_emi!I61/TrRoad_tech!I176)</f>
        <v>0</v>
      </c>
      <c r="J203" s="91">
        <f>IF(TrRoad_act!J64=0,0,TrRoad_emi!J61/TrRoad_tech!J176)</f>
        <v>0</v>
      </c>
      <c r="K203" s="91">
        <f>IF(TrRoad_act!K64=0,0,TrRoad_emi!K61/TrRoad_tech!K176)</f>
        <v>0</v>
      </c>
      <c r="L203" s="91">
        <f>IF(TrRoad_act!L64=0,0,TrRoad_emi!L61/TrRoad_tech!L176)</f>
        <v>0</v>
      </c>
      <c r="M203" s="91">
        <f>IF(TrRoad_act!M64=0,0,TrRoad_emi!M61/TrRoad_tech!M176)</f>
        <v>0</v>
      </c>
      <c r="N203" s="91">
        <f>IF(TrRoad_act!N64=0,0,TrRoad_emi!N61/TrRoad_tech!N176)</f>
        <v>0</v>
      </c>
      <c r="O203" s="91">
        <f>IF(TrRoad_act!O64=0,0,TrRoad_emi!O61/TrRoad_tech!O176)</f>
        <v>0</v>
      </c>
      <c r="P203" s="91">
        <f>IF(TrRoad_act!P64=0,0,TrRoad_emi!P61/TrRoad_tech!P176)</f>
        <v>3.2335703045453306</v>
      </c>
      <c r="Q203" s="91">
        <f>IF(TrRoad_act!Q64=0,0,TrRoad_emi!Q61/TrRoad_tech!Q176)</f>
        <v>0.99056176189340583</v>
      </c>
      <c r="R203" s="91">
        <f>IF(TrRoad_act!R64=0,0,TrRoad_emi!R61/TrRoad_tech!R176)</f>
        <v>0.61357725211142433</v>
      </c>
      <c r="S203" s="91">
        <f>IF(TrRoad_act!S64=0,0,TrRoad_emi!S61/TrRoad_tech!S176)</f>
        <v>0.74980637723104326</v>
      </c>
      <c r="T203" s="91">
        <f>IF(TrRoad_act!T64=0,0,TrRoad_emi!T61/TrRoad_tech!T176)</f>
        <v>1.0796263573871148</v>
      </c>
      <c r="U203" s="91">
        <f>IF(TrRoad_act!U64=0,0,TrRoad_emi!U61/TrRoad_tech!U176)</f>
        <v>1.2780115530153839</v>
      </c>
      <c r="V203" s="91">
        <f>IF(TrRoad_act!V64=0,0,TrRoad_emi!V61/TrRoad_tech!V176)</f>
        <v>1.5704980497257461</v>
      </c>
      <c r="W203" s="91">
        <f>IF(TrRoad_act!W64=0,0,TrRoad_emi!W61/TrRoad_tech!W176)</f>
        <v>3.3810563320632463</v>
      </c>
      <c r="X203" s="91">
        <f>IF(TrRoad_act!X64=0,0,TrRoad_emi!X61/TrRoad_tech!X176)</f>
        <v>1.9980581868226013</v>
      </c>
      <c r="Y203" s="91">
        <f>IF(TrRoad_act!Y64=0,0,TrRoad_emi!Y61/TrRoad_tech!Y176)</f>
        <v>1.8755621898638317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</v>
      </c>
      <c r="N204" s="91">
        <f>IF(TrRoad_act!N65=0,0,TrRoad_emi!N62/TrRoad_tech!N177)</f>
        <v>0</v>
      </c>
      <c r="O204" s="91">
        <f>IF(TrRoad_act!O65=0,0,TrRoad_emi!O62/TrRoad_tech!O177)</f>
        <v>1.0513018392976992</v>
      </c>
      <c r="P204" s="91">
        <f>IF(TrRoad_act!P65=0,0,TrRoad_emi!P62/TrRoad_tech!P177)</f>
        <v>1.1251010828994128</v>
      </c>
      <c r="Q204" s="91">
        <f>IF(TrRoad_act!Q65=0,0,TrRoad_emi!Q62/TrRoad_tech!Q177)</f>
        <v>1.0249982358420566</v>
      </c>
      <c r="R204" s="91">
        <f>IF(TrRoad_act!R65=0,0,TrRoad_emi!R62/TrRoad_tech!R177)</f>
        <v>1.0968668096522898</v>
      </c>
      <c r="S204" s="91">
        <f>IF(TrRoad_act!S65=0,0,TrRoad_emi!S62/TrRoad_tech!S177)</f>
        <v>1.0616585770870834</v>
      </c>
      <c r="T204" s="91">
        <f>IF(TrRoad_act!T65=0,0,TrRoad_emi!T62/TrRoad_tech!T177)</f>
        <v>1.0632837395314605</v>
      </c>
      <c r="U204" s="91">
        <f>IF(TrRoad_act!U65=0,0,TrRoad_emi!U62/TrRoad_tech!U177)</f>
        <v>1.0649958221050051</v>
      </c>
      <c r="V204" s="91">
        <f>IF(TrRoad_act!V65=0,0,TrRoad_emi!V62/TrRoad_tech!V177)</f>
        <v>1.0100823293773658</v>
      </c>
      <c r="W204" s="91">
        <f>IF(TrRoad_act!W65=0,0,TrRoad_emi!W62/TrRoad_tech!W177)</f>
        <v>1.0587007214139852</v>
      </c>
      <c r="X204" s="91">
        <f>IF(TrRoad_act!X65=0,0,TrRoad_emi!X62/TrRoad_tech!X177)</f>
        <v>1.0803164922045267</v>
      </c>
      <c r="Y204" s="91">
        <f>IF(TrRoad_act!Y65=0,0,TrRoad_emi!Y62/TrRoad_tech!Y177)</f>
        <v>1.1037150462920977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X205" s="91">
        <f>0</f>
        <v>0</v>
      </c>
      <c r="Y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1.0996526706253986</v>
      </c>
      <c r="C206" s="151">
        <f>IF(TrRoad_act!C67=0,0,TrRoad_emi!C64/TrRoad_tech!C179)</f>
        <v>1.0780812338821559</v>
      </c>
      <c r="D206" s="151">
        <f>IF(TrRoad_act!D67=0,0,TrRoad_emi!D64/TrRoad_tech!D179)</f>
        <v>1.0748533250401406</v>
      </c>
      <c r="E206" s="151">
        <f>IF(TrRoad_act!E67=0,0,TrRoad_emi!E64/TrRoad_tech!E179)</f>
        <v>1.0740216962070066</v>
      </c>
      <c r="F206" s="151">
        <f>IF(TrRoad_act!F67=0,0,TrRoad_emi!F64/TrRoad_tech!F179)</f>
        <v>1.0759258850643592</v>
      </c>
      <c r="G206" s="151">
        <f>IF(TrRoad_act!G67=0,0,TrRoad_emi!G64/TrRoad_tech!G179)</f>
        <v>1.0797446531557564</v>
      </c>
      <c r="H206" s="151">
        <f>IF(TrRoad_act!H67=0,0,TrRoad_emi!H64/TrRoad_tech!H179)</f>
        <v>1.0867038115872132</v>
      </c>
      <c r="I206" s="151">
        <f>IF(TrRoad_act!I67=0,0,TrRoad_emi!I64/TrRoad_tech!I179)</f>
        <v>1.0893396219003306</v>
      </c>
      <c r="J206" s="151">
        <f>IF(TrRoad_act!J67=0,0,TrRoad_emi!J64/TrRoad_tech!J179)</f>
        <v>1.0914326182992853</v>
      </c>
      <c r="K206" s="151">
        <f>IF(TrRoad_act!K67=0,0,TrRoad_emi!K64/TrRoad_tech!K179)</f>
        <v>1.0876809614241383</v>
      </c>
      <c r="L206" s="151">
        <f>IF(TrRoad_act!L67=0,0,TrRoad_emi!L64/TrRoad_tech!L179)</f>
        <v>1.0879754291949739</v>
      </c>
      <c r="M206" s="151">
        <f>IF(TrRoad_act!M67=0,0,TrRoad_emi!M64/TrRoad_tech!M179)</f>
        <v>1.0940990057611066</v>
      </c>
      <c r="N206" s="151">
        <f>IF(TrRoad_act!N67=0,0,TrRoad_emi!N64/TrRoad_tech!N179)</f>
        <v>1.1107472603553228</v>
      </c>
      <c r="O206" s="151">
        <f>IF(TrRoad_act!O67=0,0,TrRoad_emi!O64/TrRoad_tech!O179)</f>
        <v>1.1203410284415973</v>
      </c>
      <c r="P206" s="151">
        <f>IF(TrRoad_act!P67=0,0,TrRoad_emi!P64/TrRoad_tech!P179)</f>
        <v>1.1305631575128809</v>
      </c>
      <c r="Q206" s="151">
        <f>IF(TrRoad_act!Q67=0,0,TrRoad_emi!Q64/TrRoad_tech!Q179)</f>
        <v>1.1447483959289415</v>
      </c>
      <c r="R206" s="151">
        <f>IF(TrRoad_act!R67=0,0,TrRoad_emi!R64/TrRoad_tech!R179)</f>
        <v>1.1678828884322674</v>
      </c>
      <c r="S206" s="151">
        <f>IF(TrRoad_act!S67=0,0,TrRoad_emi!S64/TrRoad_tech!S179)</f>
        <v>1.164345789010822</v>
      </c>
      <c r="T206" s="151">
        <f>IF(TrRoad_act!T67=0,0,TrRoad_emi!T64/TrRoad_tech!T179)</f>
        <v>1.1819340622835155</v>
      </c>
      <c r="U206" s="151">
        <f>IF(TrRoad_act!U67=0,0,TrRoad_emi!U64/TrRoad_tech!U179)</f>
        <v>1.1831619052841</v>
      </c>
      <c r="V206" s="151">
        <f>IF(TrRoad_act!V67=0,0,TrRoad_emi!V64/TrRoad_tech!V179)</f>
        <v>1.2170066608349972</v>
      </c>
      <c r="W206" s="151">
        <f>IF(TrRoad_act!W67=0,0,TrRoad_emi!W64/TrRoad_tech!W179)</f>
        <v>1.1983422575432361</v>
      </c>
      <c r="X206" s="151">
        <f>IF(TrRoad_act!X67=0,0,TrRoad_emi!X64/TrRoad_tech!X179)</f>
        <v>1.2012718203081698</v>
      </c>
      <c r="Y206" s="151">
        <f>IF(TrRoad_act!Y67=0,0,TrRoad_emi!Y64/TrRoad_tech!Y179)</f>
        <v>1.1964364853952152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1.1000000000067305</v>
      </c>
      <c r="C207" s="93">
        <f>IF(TrRoad_act!C68=0,0,TrRoad_emi!C65/TrRoad_tech!C180)</f>
        <v>1.10000000000673</v>
      </c>
      <c r="D207" s="93">
        <f>IF(TrRoad_act!D68=0,0,TrRoad_emi!D65/TrRoad_tech!D180)</f>
        <v>1.1000000000067307</v>
      </c>
      <c r="E207" s="93">
        <f>IF(TrRoad_act!E68=0,0,TrRoad_emi!E65/TrRoad_tech!E180)</f>
        <v>1.10000000000673</v>
      </c>
      <c r="F207" s="93">
        <f>IF(TrRoad_act!F68=0,0,TrRoad_emi!F65/TrRoad_tech!F180)</f>
        <v>1.1000000000067307</v>
      </c>
      <c r="G207" s="93">
        <f>IF(TrRoad_act!G68=0,0,TrRoad_emi!G65/TrRoad_tech!G180)</f>
        <v>1.0999946505897034</v>
      </c>
      <c r="H207" s="93">
        <f>IF(TrRoad_act!H68=0,0,TrRoad_emi!H65/TrRoad_tech!H180)</f>
        <v>1.0996440637052241</v>
      </c>
      <c r="I207" s="93">
        <f>IF(TrRoad_act!I68=0,0,TrRoad_emi!I65/TrRoad_tech!I180)</f>
        <v>1.0994216271408943</v>
      </c>
      <c r="J207" s="93">
        <f>IF(TrRoad_act!J68=0,0,TrRoad_emi!J65/TrRoad_tech!J180)</f>
        <v>1.0908049259196613</v>
      </c>
      <c r="K207" s="93">
        <f>IF(TrRoad_act!K68=0,0,TrRoad_emi!K65/TrRoad_tech!K180)</f>
        <v>1.0869736434087487</v>
      </c>
      <c r="L207" s="93">
        <f>IF(TrRoad_act!L68=0,0,TrRoad_emi!L65/TrRoad_tech!L180)</f>
        <v>1.0811554719098431</v>
      </c>
      <c r="M207" s="93">
        <f>IF(TrRoad_act!M68=0,0,TrRoad_emi!M65/TrRoad_tech!M180)</f>
        <v>1.0842723520445876</v>
      </c>
      <c r="N207" s="93">
        <f>IF(TrRoad_act!N68=0,0,TrRoad_emi!N65/TrRoad_tech!N180)</f>
        <v>1.0798788598555509</v>
      </c>
      <c r="O207" s="93">
        <f>IF(TrRoad_act!O68=0,0,TrRoad_emi!O65/TrRoad_tech!O180)</f>
        <v>1.0788008464491368</v>
      </c>
      <c r="P207" s="93">
        <f>IF(TrRoad_act!P68=0,0,TrRoad_emi!P65/TrRoad_tech!P180)</f>
        <v>1.081255411498105</v>
      </c>
      <c r="Q207" s="93">
        <f>IF(TrRoad_act!Q68=0,0,TrRoad_emi!Q65/TrRoad_tech!Q180)</f>
        <v>1.079003067424237</v>
      </c>
      <c r="R207" s="93">
        <f>IF(TrRoad_act!R68=0,0,TrRoad_emi!R65/TrRoad_tech!R180)</f>
        <v>1.0768280429664907</v>
      </c>
      <c r="S207" s="93">
        <f>IF(TrRoad_act!S68=0,0,TrRoad_emi!S65/TrRoad_tech!S180)</f>
        <v>1.1320328778325031</v>
      </c>
      <c r="T207" s="93">
        <f>IF(TrRoad_act!T68=0,0,TrRoad_emi!T65/TrRoad_tech!T180)</f>
        <v>1.1581427818399703</v>
      </c>
      <c r="U207" s="93">
        <f>IF(TrRoad_act!U68=0,0,TrRoad_emi!U65/TrRoad_tech!U180)</f>
        <v>1.2026306012455417</v>
      </c>
      <c r="V207" s="93">
        <f>IF(TrRoad_act!V68=0,0,TrRoad_emi!V65/TrRoad_tech!V180)</f>
        <v>1.2025425860366055</v>
      </c>
      <c r="W207" s="93">
        <f>IF(TrRoad_act!W68=0,0,TrRoad_emi!W65/TrRoad_tech!W180)</f>
        <v>1.193997305614289</v>
      </c>
      <c r="X207" s="93">
        <f>IF(TrRoad_act!X68=0,0,TrRoad_emi!X65/TrRoad_tech!X180)</f>
        <v>1.2867609761056626</v>
      </c>
      <c r="Y207" s="93">
        <f>IF(TrRoad_act!Y68=0,0,TrRoad_emi!Y65/TrRoad_tech!Y180)</f>
        <v>1.2941659157698313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1.1000000000067303</v>
      </c>
      <c r="C208" s="93">
        <f>IF(TrRoad_act!C69=0,0,TrRoad_emi!C66/TrRoad_tech!C181)</f>
        <v>1.1005194885804295</v>
      </c>
      <c r="D208" s="93">
        <f>IF(TrRoad_act!D69=0,0,TrRoad_emi!D66/TrRoad_tech!D181)</f>
        <v>1.1014665666997401</v>
      </c>
      <c r="E208" s="93">
        <f>IF(TrRoad_act!E69=0,0,TrRoad_emi!E66/TrRoad_tech!E181)</f>
        <v>1.1036708736630036</v>
      </c>
      <c r="F208" s="93">
        <f>IF(TrRoad_act!F69=0,0,TrRoad_emi!F66/TrRoad_tech!F181)</f>
        <v>1.1063604092621848</v>
      </c>
      <c r="G208" s="93">
        <f>IF(TrRoad_act!G69=0,0,TrRoad_emi!G66/TrRoad_tech!G181)</f>
        <v>1.1094857922095658</v>
      </c>
      <c r="H208" s="93">
        <f>IF(TrRoad_act!H69=0,0,TrRoad_emi!H66/TrRoad_tech!H181)</f>
        <v>1.1146652114440414</v>
      </c>
      <c r="I208" s="93">
        <f>IF(TrRoad_act!I69=0,0,TrRoad_emi!I66/TrRoad_tech!I181)</f>
        <v>1.1142799191657649</v>
      </c>
      <c r="J208" s="93">
        <f>IF(TrRoad_act!J69=0,0,TrRoad_emi!J66/TrRoad_tech!J181)</f>
        <v>1.1123170763424446</v>
      </c>
      <c r="K208" s="93">
        <f>IF(TrRoad_act!K69=0,0,TrRoad_emi!K66/TrRoad_tech!K181)</f>
        <v>1.1060260209268904</v>
      </c>
      <c r="L208" s="93">
        <f>IF(TrRoad_act!L69=0,0,TrRoad_emi!L66/TrRoad_tech!L181)</f>
        <v>1.1034137437730609</v>
      </c>
      <c r="M208" s="93">
        <f>IF(TrRoad_act!M69=0,0,TrRoad_emi!M66/TrRoad_tech!M181)</f>
        <v>1.1073257532255958</v>
      </c>
      <c r="N208" s="93">
        <f>IF(TrRoad_act!N69=0,0,TrRoad_emi!N66/TrRoad_tech!N181)</f>
        <v>1.1221933638045682</v>
      </c>
      <c r="O208" s="93">
        <f>IF(TrRoad_act!O69=0,0,TrRoad_emi!O66/TrRoad_tech!O181)</f>
        <v>1.1276213926649976</v>
      </c>
      <c r="P208" s="93">
        <f>IF(TrRoad_act!P69=0,0,TrRoad_emi!P66/TrRoad_tech!P181)</f>
        <v>1.1358541075964474</v>
      </c>
      <c r="Q208" s="93">
        <f>IF(TrRoad_act!Q69=0,0,TrRoad_emi!Q66/TrRoad_tech!Q181)</f>
        <v>1.1514891902922031</v>
      </c>
      <c r="R208" s="93">
        <f>IF(TrRoad_act!R69=0,0,TrRoad_emi!R66/TrRoad_tech!R181)</f>
        <v>1.1758944492343544</v>
      </c>
      <c r="S208" s="93">
        <f>IF(TrRoad_act!S69=0,0,TrRoad_emi!S66/TrRoad_tech!S181)</f>
        <v>1.1734139394490561</v>
      </c>
      <c r="T208" s="93">
        <f>IF(TrRoad_act!T69=0,0,TrRoad_emi!T66/TrRoad_tech!T181)</f>
        <v>1.1923762528653323</v>
      </c>
      <c r="U208" s="93">
        <f>IF(TrRoad_act!U69=0,0,TrRoad_emi!U66/TrRoad_tech!U181)</f>
        <v>1.1909568466391396</v>
      </c>
      <c r="V208" s="93">
        <f>IF(TrRoad_act!V69=0,0,TrRoad_emi!V66/TrRoad_tech!V181)</f>
        <v>1.195491475145082</v>
      </c>
      <c r="W208" s="93">
        <f>IF(TrRoad_act!W69=0,0,TrRoad_emi!W66/TrRoad_tech!W181)</f>
        <v>1.204219427663898</v>
      </c>
      <c r="X208" s="93">
        <f>IF(TrRoad_act!X69=0,0,TrRoad_emi!X66/TrRoad_tech!X181)</f>
        <v>1.2065984755439765</v>
      </c>
      <c r="Y208" s="93">
        <f>IF(TrRoad_act!Y69=0,0,TrRoad_emi!Y66/TrRoad_tech!Y181)</f>
        <v>1.1901944453091191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1.1040000000061809</v>
      </c>
      <c r="D209" s="93">
        <f>IF(TrRoad_act!D70=0,0,TrRoad_emi!D67/TrRoad_tech!D182)</f>
        <v>1.1040000000061809</v>
      </c>
      <c r="E209" s="93">
        <f>IF(TrRoad_act!E70=0,0,TrRoad_emi!E67/TrRoad_tech!E182)</f>
        <v>1.1040000000061805</v>
      </c>
      <c r="F209" s="93">
        <f>IF(TrRoad_act!F70=0,0,TrRoad_emi!F67/TrRoad_tech!F182)</f>
        <v>1.1040000000061807</v>
      </c>
      <c r="G209" s="93">
        <f>IF(TrRoad_act!G70=0,0,TrRoad_emi!G67/TrRoad_tech!G182)</f>
        <v>1.1040000000061807</v>
      </c>
      <c r="H209" s="93">
        <f>IF(TrRoad_act!H70=0,0,TrRoad_emi!H67/TrRoad_tech!H182)</f>
        <v>1.1040000000061809</v>
      </c>
      <c r="I209" s="93">
        <f>IF(TrRoad_act!I70=0,0,TrRoad_emi!I67/TrRoad_tech!I182)</f>
        <v>1.1040000000061811</v>
      </c>
      <c r="J209" s="93">
        <f>IF(TrRoad_act!J70=0,0,TrRoad_emi!J67/TrRoad_tech!J182)</f>
        <v>0</v>
      </c>
      <c r="K209" s="93">
        <f>IF(TrRoad_act!K70=0,0,TrRoad_emi!K67/TrRoad_tech!K182)</f>
        <v>0</v>
      </c>
      <c r="L209" s="93">
        <f>IF(TrRoad_act!L70=0,0,TrRoad_emi!L67/TrRoad_tech!L182)</f>
        <v>0</v>
      </c>
      <c r="M209" s="93">
        <f>IF(TrRoad_act!M70=0,0,TrRoad_emi!M67/TrRoad_tech!M182)</f>
        <v>0</v>
      </c>
      <c r="N209" s="93">
        <f>IF(TrRoad_act!N70=0,0,TrRoad_emi!N67/TrRoad_tech!N182)</f>
        <v>0</v>
      </c>
      <c r="O209" s="93">
        <f>IF(TrRoad_act!O70=0,0,TrRoad_emi!O67/TrRoad_tech!O182)</f>
        <v>0</v>
      </c>
      <c r="P209" s="93">
        <f>IF(TrRoad_act!P70=0,0,TrRoad_emi!P67/TrRoad_tech!P182)</f>
        <v>0</v>
      </c>
      <c r="Q209" s="93">
        <f>IF(TrRoad_act!Q70=0,0,TrRoad_emi!Q67/TrRoad_tech!Q182)</f>
        <v>0</v>
      </c>
      <c r="R209" s="93">
        <f>IF(TrRoad_act!R70=0,0,TrRoad_emi!R67/TrRoad_tech!R182)</f>
        <v>0</v>
      </c>
      <c r="S209" s="93">
        <f>IF(TrRoad_act!S70=0,0,TrRoad_emi!S67/TrRoad_tech!S182)</f>
        <v>0</v>
      </c>
      <c r="T209" s="93">
        <f>IF(TrRoad_act!T70=0,0,TrRoad_emi!T67/TrRoad_tech!T182)</f>
        <v>0</v>
      </c>
      <c r="U209" s="93">
        <f>IF(TrRoad_act!U70=0,0,TrRoad_emi!U67/TrRoad_tech!U182)</f>
        <v>0</v>
      </c>
      <c r="V209" s="93">
        <f>IF(TrRoad_act!V70=0,0,TrRoad_emi!V67/TrRoad_tech!V182)</f>
        <v>0</v>
      </c>
      <c r="W209" s="93">
        <f>IF(TrRoad_act!W70=0,0,TrRoad_emi!W67/TrRoad_tech!W182)</f>
        <v>0</v>
      </c>
      <c r="X209" s="93">
        <f>IF(TrRoad_act!X70=0,0,TrRoad_emi!X67/TrRoad_tech!X182)</f>
        <v>0</v>
      </c>
      <c r="Y209" s="93">
        <f>IF(TrRoad_act!Y70=0,0,TrRoad_emi!Y67/TrRoad_tech!Y182)</f>
        <v>0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0</v>
      </c>
      <c r="C210" s="93">
        <f>IF(TrRoad_act!C71=0,0,TrRoad_emi!C68/TrRoad_tech!C183)</f>
        <v>0</v>
      </c>
      <c r="D210" s="93">
        <f>IF(TrRoad_act!D71=0,0,TrRoad_emi!D68/TrRoad_tech!D183)</f>
        <v>0</v>
      </c>
      <c r="E210" s="93">
        <f>IF(TrRoad_act!E71=0,0,TrRoad_emi!E68/TrRoad_tech!E183)</f>
        <v>0</v>
      </c>
      <c r="F210" s="93">
        <f>IF(TrRoad_act!F71=0,0,TrRoad_emi!F68/TrRoad_tech!F183)</f>
        <v>0</v>
      </c>
      <c r="G210" s="93">
        <f>IF(TrRoad_act!G71=0,0,TrRoad_emi!G68/TrRoad_tech!G183)</f>
        <v>0</v>
      </c>
      <c r="H210" s="93">
        <f>IF(TrRoad_act!H71=0,0,TrRoad_emi!H68/TrRoad_tech!H183)</f>
        <v>0</v>
      </c>
      <c r="I210" s="93">
        <f>IF(TrRoad_act!I71=0,0,TrRoad_emi!I68/TrRoad_tech!I183)</f>
        <v>0</v>
      </c>
      <c r="J210" s="93">
        <f>IF(TrRoad_act!J71=0,0,TrRoad_emi!J68/TrRoad_tech!J183)</f>
        <v>0</v>
      </c>
      <c r="K210" s="93">
        <f>IF(TrRoad_act!K71=0,0,TrRoad_emi!K68/TrRoad_tech!K183)</f>
        <v>0</v>
      </c>
      <c r="L210" s="93">
        <f>IF(TrRoad_act!L71=0,0,TrRoad_emi!L68/TrRoad_tech!L183)</f>
        <v>0</v>
      </c>
      <c r="M210" s="93">
        <f>IF(TrRoad_act!M71=0,0,TrRoad_emi!M68/TrRoad_tech!M183)</f>
        <v>0</v>
      </c>
      <c r="N210" s="93">
        <f>IF(TrRoad_act!N71=0,0,TrRoad_emi!N68/TrRoad_tech!N183)</f>
        <v>0</v>
      </c>
      <c r="O210" s="93">
        <f>IF(TrRoad_act!O71=0,0,TrRoad_emi!O68/TrRoad_tech!O183)</f>
        <v>0</v>
      </c>
      <c r="P210" s="93">
        <f>IF(TrRoad_act!P71=0,0,TrRoad_emi!P68/TrRoad_tech!P183)</f>
        <v>0</v>
      </c>
      <c r="Q210" s="93">
        <f>IF(TrRoad_act!Q71=0,0,TrRoad_emi!Q68/TrRoad_tech!Q183)</f>
        <v>0</v>
      </c>
      <c r="R210" s="93">
        <f>IF(TrRoad_act!R71=0,0,TrRoad_emi!R68/TrRoad_tech!R183)</f>
        <v>0</v>
      </c>
      <c r="S210" s="93">
        <f>IF(TrRoad_act!S71=0,0,TrRoad_emi!S68/TrRoad_tech!S183)</f>
        <v>0</v>
      </c>
      <c r="T210" s="93">
        <f>IF(TrRoad_act!T71=0,0,TrRoad_emi!T68/TrRoad_tech!T183)</f>
        <v>1.1273049871986789</v>
      </c>
      <c r="U210" s="93">
        <f>IF(TrRoad_act!U71=0,0,TrRoad_emi!U68/TrRoad_tech!U183)</f>
        <v>1.5949941663972929</v>
      </c>
      <c r="V210" s="93">
        <f>IF(TrRoad_act!V71=0,0,TrRoad_emi!V68/TrRoad_tech!V183)</f>
        <v>1.9648259997699413</v>
      </c>
      <c r="W210" s="93">
        <f>IF(TrRoad_act!W71=0,0,TrRoad_emi!W68/TrRoad_tech!W183)</f>
        <v>4.229277680178245</v>
      </c>
      <c r="X210" s="93">
        <f>IF(TrRoad_act!X71=0,0,TrRoad_emi!X68/TrRoad_tech!X183)</f>
        <v>2.4596470606007039</v>
      </c>
      <c r="Y210" s="93">
        <f>IF(TrRoad_act!Y71=0,0,TrRoad_emi!Y68/TrRoad_tech!Y183)</f>
        <v>2.3064924089652248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X211" s="93">
        <f>0</f>
        <v>0</v>
      </c>
      <c r="Y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DA212" s="173"/>
    </row>
    <row r="213" spans="1:105" ht="11.45" customHeight="1" x14ac:dyDescent="0.25">
      <c r="A213" s="136" t="s">
        <v>153</v>
      </c>
      <c r="B213" s="150">
        <f>IF(TrRoad_act!B74=0,0,TrRoad_emi!B71/TrRoad_tech!B186)</f>
        <v>1.1445594508072419</v>
      </c>
      <c r="C213" s="150">
        <f>IF(TrRoad_act!C74=0,0,TrRoad_emi!C71/TrRoad_tech!C186)</f>
        <v>1.1396895574065058</v>
      </c>
      <c r="D213" s="150">
        <f>IF(TrRoad_act!D74=0,0,TrRoad_emi!D71/TrRoad_tech!D186)</f>
        <v>1.134859502189137</v>
      </c>
      <c r="E213" s="150">
        <f>IF(TrRoad_act!E74=0,0,TrRoad_emi!E71/TrRoad_tech!E186)</f>
        <v>1.1388509340622974</v>
      </c>
      <c r="F213" s="150">
        <f>IF(TrRoad_act!F74=0,0,TrRoad_emi!F71/TrRoad_tech!F186)</f>
        <v>1.1470510196399513</v>
      </c>
      <c r="G213" s="150">
        <f>IF(TrRoad_act!G74=0,0,TrRoad_emi!G71/TrRoad_tech!G186)</f>
        <v>1.1573997058218413</v>
      </c>
      <c r="H213" s="150">
        <f>IF(TrRoad_act!H74=0,0,TrRoad_emi!H71/TrRoad_tech!H186)</f>
        <v>1.1666855346762393</v>
      </c>
      <c r="I213" s="150">
        <f>IF(TrRoad_act!I74=0,0,TrRoad_emi!I71/TrRoad_tech!I186)</f>
        <v>1.1860447827933998</v>
      </c>
      <c r="J213" s="150">
        <f>IF(TrRoad_act!J74=0,0,TrRoad_emi!J71/TrRoad_tech!J186)</f>
        <v>1.1837798892221985</v>
      </c>
      <c r="K213" s="150">
        <f>IF(TrRoad_act!K74=0,0,TrRoad_emi!K71/TrRoad_tech!K186)</f>
        <v>1.2266295076823912</v>
      </c>
      <c r="L213" s="150">
        <f>IF(TrRoad_act!L74=0,0,TrRoad_emi!L71/TrRoad_tech!L186)</f>
        <v>1.4315663968836958</v>
      </c>
      <c r="M213" s="150">
        <f>IF(TrRoad_act!M74=0,0,TrRoad_emi!M71/TrRoad_tech!M186)</f>
        <v>1.4777992232133752</v>
      </c>
      <c r="N213" s="150">
        <f>IF(TrRoad_act!N74=0,0,TrRoad_emi!N71/TrRoad_tech!N186)</f>
        <v>1.2590704223216709</v>
      </c>
      <c r="O213" s="150">
        <f>IF(TrRoad_act!O74=0,0,TrRoad_emi!O71/TrRoad_tech!O186)</f>
        <v>1.1249847542684219</v>
      </c>
      <c r="P213" s="150">
        <f>IF(TrRoad_act!P74=0,0,TrRoad_emi!P71/TrRoad_tech!P186)</f>
        <v>1.1419555913091988</v>
      </c>
      <c r="Q213" s="150">
        <f>IF(TrRoad_act!Q74=0,0,TrRoad_emi!Q71/TrRoad_tech!Q186)</f>
        <v>1.1896764540015923</v>
      </c>
      <c r="R213" s="150">
        <f>IF(TrRoad_act!R74=0,0,TrRoad_emi!R71/TrRoad_tech!R186)</f>
        <v>1.211184301387157</v>
      </c>
      <c r="S213" s="150">
        <f>IF(TrRoad_act!S74=0,0,TrRoad_emi!S71/TrRoad_tech!S186)</f>
        <v>1.2027753047507199</v>
      </c>
      <c r="T213" s="150">
        <f>IF(TrRoad_act!T74=0,0,TrRoad_emi!T71/TrRoad_tech!T186)</f>
        <v>1.2264458213489893</v>
      </c>
      <c r="U213" s="150">
        <f>IF(TrRoad_act!U74=0,0,TrRoad_emi!U71/TrRoad_tech!U186)</f>
        <v>1.2340793906682643</v>
      </c>
      <c r="V213" s="150">
        <f>IF(TrRoad_act!V74=0,0,TrRoad_emi!V71/TrRoad_tech!V186)</f>
        <v>1.2487283699809173</v>
      </c>
      <c r="W213" s="150">
        <f>IF(TrRoad_act!W74=0,0,TrRoad_emi!W71/TrRoad_tech!W186)</f>
        <v>1.2822819108983479</v>
      </c>
      <c r="X213" s="150">
        <f>IF(TrRoad_act!X74=0,0,TrRoad_emi!X71/TrRoad_tech!X186)</f>
        <v>1.3548729788987126</v>
      </c>
      <c r="Y213" s="150">
        <f>IF(TrRoad_act!Y74=0,0,TrRoad_emi!Y71/TrRoad_tech!Y186)</f>
        <v>1.3245287083468171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</v>
      </c>
      <c r="C214" s="91">
        <f>IF(TrRoad_act!C75=0,0,TrRoad_emi!C72/TrRoad_tech!C187)</f>
        <v>1.1000127143992724</v>
      </c>
      <c r="D214" s="91">
        <f>IF(TrRoad_act!D75=0,0,TrRoad_emi!D72/TrRoad_tech!D187)</f>
        <v>1.1000605663767553</v>
      </c>
      <c r="E214" s="91">
        <f>IF(TrRoad_act!E75=0,0,TrRoad_emi!E72/TrRoad_tech!E187)</f>
        <v>1.100131146487662</v>
      </c>
      <c r="F214" s="91">
        <f>IF(TrRoad_act!F75=0,0,TrRoad_emi!F72/TrRoad_tech!F187)</f>
        <v>1.1002554127569151</v>
      </c>
      <c r="G214" s="91">
        <f>IF(TrRoad_act!G75=0,0,TrRoad_emi!G72/TrRoad_tech!G187)</f>
        <v>1.1004986016982441</v>
      </c>
      <c r="H214" s="91">
        <f>IF(TrRoad_act!H75=0,0,TrRoad_emi!H72/TrRoad_tech!H187)</f>
        <v>1.1008478995878666</v>
      </c>
      <c r="I214" s="91">
        <f>IF(TrRoad_act!I75=0,0,TrRoad_emi!I72/TrRoad_tech!I187)</f>
        <v>1.1003978323370796</v>
      </c>
      <c r="J214" s="91">
        <f>IF(TrRoad_act!J75=0,0,TrRoad_emi!J72/TrRoad_tech!J187)</f>
        <v>1.0931371774248209</v>
      </c>
      <c r="K214" s="91">
        <f>IF(TrRoad_act!K75=0,0,TrRoad_emi!K72/TrRoad_tech!K187)</f>
        <v>1.0910607924016176</v>
      </c>
      <c r="L214" s="91">
        <f>IF(TrRoad_act!L75=0,0,TrRoad_emi!L72/TrRoad_tech!L187)</f>
        <v>1.0871893604878131</v>
      </c>
      <c r="M214" s="91">
        <f>IF(TrRoad_act!M75=0,0,TrRoad_emi!M72/TrRoad_tech!M187)</f>
        <v>1.0921157230771472</v>
      </c>
      <c r="N214" s="91">
        <f>IF(TrRoad_act!N75=0,0,TrRoad_emi!N72/TrRoad_tech!N187)</f>
        <v>1.0887474340626218</v>
      </c>
      <c r="O214" s="91">
        <f>IF(TrRoad_act!O75=0,0,TrRoad_emi!O72/TrRoad_tech!O187)</f>
        <v>1.0895763143520596</v>
      </c>
      <c r="P214" s="91">
        <f>IF(TrRoad_act!P75=0,0,TrRoad_emi!P72/TrRoad_tech!P187)</f>
        <v>1.0963167341348443</v>
      </c>
      <c r="Q214" s="91">
        <f>IF(TrRoad_act!Q75=0,0,TrRoad_emi!Q72/TrRoad_tech!Q187)</f>
        <v>1.0995313646382299</v>
      </c>
      <c r="R214" s="91">
        <f>IF(TrRoad_act!R75=0,0,TrRoad_emi!R72/TrRoad_tech!R187)</f>
        <v>1.1059044257920787</v>
      </c>
      <c r="S214" s="91">
        <f>IF(TrRoad_act!S75=0,0,TrRoad_emi!S72/TrRoad_tech!S187)</f>
        <v>1.1258312485974711</v>
      </c>
      <c r="T214" s="91">
        <f>IF(TrRoad_act!T75=0,0,TrRoad_emi!T72/TrRoad_tech!T187)</f>
        <v>1.1356077077496298</v>
      </c>
      <c r="U214" s="91">
        <f>IF(TrRoad_act!U75=0,0,TrRoad_emi!U72/TrRoad_tech!U187)</f>
        <v>1.1594629782004138</v>
      </c>
      <c r="V214" s="91">
        <f>IF(TrRoad_act!V75=0,0,TrRoad_emi!V72/TrRoad_tech!V187)</f>
        <v>1.1976319437789515</v>
      </c>
      <c r="W214" s="91">
        <f>IF(TrRoad_act!W75=0,0,TrRoad_emi!W72/TrRoad_tech!W187)</f>
        <v>1.2276603498244467</v>
      </c>
      <c r="X214" s="91">
        <f>IF(TrRoad_act!X75=0,0,TrRoad_emi!X72/TrRoad_tech!X187)</f>
        <v>1.2779742787425294</v>
      </c>
      <c r="Y214" s="91">
        <f>IF(TrRoad_act!Y75=0,0,TrRoad_emi!Y72/TrRoad_tech!Y187)</f>
        <v>1.2843887199339277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1.1588291594873392</v>
      </c>
      <c r="C215" s="91">
        <f>IF(TrRoad_act!C76=0,0,TrRoad_emi!C73/TrRoad_tech!C188)</f>
        <v>1.168858781814071</v>
      </c>
      <c r="D215" s="91">
        <f>IF(TrRoad_act!D76=0,0,TrRoad_emi!D73/TrRoad_tech!D188)</f>
        <v>1.1668552663269016</v>
      </c>
      <c r="E215" s="91">
        <f>IF(TrRoad_act!E76=0,0,TrRoad_emi!E73/TrRoad_tech!E188)</f>
        <v>1.1668807851005627</v>
      </c>
      <c r="F215" s="91">
        <f>IF(TrRoad_act!F76=0,0,TrRoad_emi!F73/TrRoad_tech!F188)</f>
        <v>1.1838417592721608</v>
      </c>
      <c r="G215" s="91">
        <f>IF(TrRoad_act!G76=0,0,TrRoad_emi!G73/TrRoad_tech!G188)</f>
        <v>1.1862313226242174</v>
      </c>
      <c r="H215" s="91">
        <f>IF(TrRoad_act!H76=0,0,TrRoad_emi!H73/TrRoad_tech!H188)</f>
        <v>1.1951940211271803</v>
      </c>
      <c r="I215" s="91">
        <f>IF(TrRoad_act!I76=0,0,TrRoad_emi!I73/TrRoad_tech!I188)</f>
        <v>1.2023480387911327</v>
      </c>
      <c r="J215" s="91">
        <f>IF(TrRoad_act!J76=0,0,TrRoad_emi!J73/TrRoad_tech!J188)</f>
        <v>1.1726602274683584</v>
      </c>
      <c r="K215" s="91">
        <f>IF(TrRoad_act!K76=0,0,TrRoad_emi!K73/TrRoad_tech!K188)</f>
        <v>1.155845919826479</v>
      </c>
      <c r="L215" s="91">
        <f>IF(TrRoad_act!L76=0,0,TrRoad_emi!L73/TrRoad_tech!L188)</f>
        <v>1.1380158875742539</v>
      </c>
      <c r="M215" s="91">
        <f>IF(TrRoad_act!M76=0,0,TrRoad_emi!M73/TrRoad_tech!M188)</f>
        <v>1.1237105654627051</v>
      </c>
      <c r="N215" s="91">
        <f>IF(TrRoad_act!N76=0,0,TrRoad_emi!N73/TrRoad_tech!N188)</f>
        <v>1.1326295245243714</v>
      </c>
      <c r="O215" s="91">
        <f>IF(TrRoad_act!O76=0,0,TrRoad_emi!O73/TrRoad_tech!O188)</f>
        <v>1.1288248967328902</v>
      </c>
      <c r="P215" s="91">
        <f>IF(TrRoad_act!P76=0,0,TrRoad_emi!P73/TrRoad_tech!P188)</f>
        <v>1.150159364576864</v>
      </c>
      <c r="Q215" s="91">
        <f>IF(TrRoad_act!Q76=0,0,TrRoad_emi!Q73/TrRoad_tech!Q188)</f>
        <v>1.204696965610365</v>
      </c>
      <c r="R215" s="91">
        <f>IF(TrRoad_act!R76=0,0,TrRoad_emi!R73/TrRoad_tech!R188)</f>
        <v>1.2337868130000007</v>
      </c>
      <c r="S215" s="91">
        <f>IF(TrRoad_act!S76=0,0,TrRoad_emi!S73/TrRoad_tech!S188)</f>
        <v>1.230535220856154</v>
      </c>
      <c r="T215" s="91">
        <f>IF(TrRoad_act!T76=0,0,TrRoad_emi!T73/TrRoad_tech!T188)</f>
        <v>1.2575564656624532</v>
      </c>
      <c r="U215" s="91">
        <f>IF(TrRoad_act!U76=0,0,TrRoad_emi!U73/TrRoad_tech!U188)</f>
        <v>1.2585867612557196</v>
      </c>
      <c r="V215" s="91">
        <f>IF(TrRoad_act!V76=0,0,TrRoad_emi!V73/TrRoad_tech!V188)</f>
        <v>1.2636115473557477</v>
      </c>
      <c r="W215" s="91">
        <f>IF(TrRoad_act!W76=0,0,TrRoad_emi!W73/TrRoad_tech!W188)</f>
        <v>1.2999123086461022</v>
      </c>
      <c r="X215" s="91">
        <f>IF(TrRoad_act!X76=0,0,TrRoad_emi!X73/TrRoad_tech!X188)</f>
        <v>1.3589665706174896</v>
      </c>
      <c r="Y215" s="91">
        <f>IF(TrRoad_act!Y76=0,0,TrRoad_emi!Y73/TrRoad_tech!Y188)</f>
        <v>1.3375023493132678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0</v>
      </c>
      <c r="C216" s="91">
        <f>IF(TrRoad_act!C77=0,0,TrRoad_emi!C74/TrRoad_tech!C189)</f>
        <v>0</v>
      </c>
      <c r="D216" s="91">
        <f>IF(TrRoad_act!D77=0,0,TrRoad_emi!D74/TrRoad_tech!D189)</f>
        <v>0</v>
      </c>
      <c r="E216" s="91">
        <f>IF(TrRoad_act!E77=0,0,TrRoad_emi!E74/TrRoad_tech!E189)</f>
        <v>0</v>
      </c>
      <c r="F216" s="91">
        <f>IF(TrRoad_act!F77=0,0,TrRoad_emi!F74/TrRoad_tech!F189)</f>
        <v>0</v>
      </c>
      <c r="G216" s="91">
        <f>IF(TrRoad_act!G77=0,0,TrRoad_emi!G74/TrRoad_tech!G189)</f>
        <v>0</v>
      </c>
      <c r="H216" s="91">
        <f>IF(TrRoad_act!H77=0,0,TrRoad_emi!H74/TrRoad_tech!H189)</f>
        <v>0</v>
      </c>
      <c r="I216" s="91">
        <f>IF(TrRoad_act!I77=0,0,TrRoad_emi!I74/TrRoad_tech!I189)</f>
        <v>0</v>
      </c>
      <c r="J216" s="91">
        <f>IF(TrRoad_act!J77=0,0,TrRoad_emi!J74/TrRoad_tech!J189)</f>
        <v>0</v>
      </c>
      <c r="K216" s="91">
        <f>IF(TrRoad_act!K77=0,0,TrRoad_emi!K74/TrRoad_tech!K189)</f>
        <v>0</v>
      </c>
      <c r="L216" s="91">
        <f>IF(TrRoad_act!L77=0,0,TrRoad_emi!L74/TrRoad_tech!L189)</f>
        <v>0</v>
      </c>
      <c r="M216" s="91">
        <f>IF(TrRoad_act!M77=0,0,TrRoad_emi!M74/TrRoad_tech!M189)</f>
        <v>0</v>
      </c>
      <c r="N216" s="91">
        <f>IF(TrRoad_act!N77=0,0,TrRoad_emi!N74/TrRoad_tech!N189)</f>
        <v>0</v>
      </c>
      <c r="O216" s="91">
        <f>IF(TrRoad_act!O77=0,0,TrRoad_emi!O74/TrRoad_tech!O189)</f>
        <v>1.2560000000062248</v>
      </c>
      <c r="P216" s="91">
        <f>IF(TrRoad_act!P77=0,0,TrRoad_emi!P74/TrRoad_tech!P189)</f>
        <v>1.2668628131422308</v>
      </c>
      <c r="Q216" s="91">
        <f>IF(TrRoad_act!Q77=0,0,TrRoad_emi!Q74/TrRoad_tech!Q189)</f>
        <v>1.2668628131422313</v>
      </c>
      <c r="R216" s="91">
        <f>IF(TrRoad_act!R77=0,0,TrRoad_emi!R74/TrRoad_tech!R189)</f>
        <v>1.2668628131422308</v>
      </c>
      <c r="S216" s="91">
        <f>IF(TrRoad_act!S77=0,0,TrRoad_emi!S74/TrRoad_tech!S189)</f>
        <v>1.2781794962439492</v>
      </c>
      <c r="T216" s="91">
        <f>IF(TrRoad_act!T77=0,0,TrRoad_emi!T74/TrRoad_tech!T189)</f>
        <v>1.2781794962439492</v>
      </c>
      <c r="U216" s="91">
        <f>IF(TrRoad_act!U77=0,0,TrRoad_emi!U74/TrRoad_tech!U189)</f>
        <v>1.278179496243949</v>
      </c>
      <c r="V216" s="91">
        <f>IF(TrRoad_act!V77=0,0,TrRoad_emi!V74/TrRoad_tech!V189)</f>
        <v>1.2837822739765667</v>
      </c>
      <c r="W216" s="91">
        <f>IF(TrRoad_act!W77=0,0,TrRoad_emi!W74/TrRoad_tech!W189)</f>
        <v>1.2837822739765661</v>
      </c>
      <c r="X216" s="91">
        <f>IF(TrRoad_act!X77=0,0,TrRoad_emi!X74/TrRoad_tech!X189)</f>
        <v>1.2837822739765667</v>
      </c>
      <c r="Y216" s="91">
        <f>IF(TrRoad_act!Y77=0,0,TrRoad_emi!Y74/TrRoad_tech!Y189)</f>
        <v>1.2837822739765667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0</v>
      </c>
      <c r="I217" s="91">
        <f>IF(TrRoad_act!I78=0,0,TrRoad_emi!I75/TrRoad_tech!I190)</f>
        <v>0</v>
      </c>
      <c r="J217" s="91">
        <f>IF(TrRoad_act!J78=0,0,TrRoad_emi!J75/TrRoad_tech!J190)</f>
        <v>0</v>
      </c>
      <c r="K217" s="91">
        <f>IF(TrRoad_act!K78=0,0,TrRoad_emi!K75/TrRoad_tech!K190)</f>
        <v>0</v>
      </c>
      <c r="L217" s="91">
        <f>IF(TrRoad_act!L78=0,0,TrRoad_emi!L75/TrRoad_tech!L190)</f>
        <v>0</v>
      </c>
      <c r="M217" s="91">
        <f>IF(TrRoad_act!M78=0,0,TrRoad_emi!M75/TrRoad_tech!M190)</f>
        <v>0</v>
      </c>
      <c r="N217" s="91">
        <f>IF(TrRoad_act!N78=0,0,TrRoad_emi!N75/TrRoad_tech!N190)</f>
        <v>0</v>
      </c>
      <c r="O217" s="91">
        <f>IF(TrRoad_act!O78=0,0,TrRoad_emi!O75/TrRoad_tech!O190)</f>
        <v>0</v>
      </c>
      <c r="P217" s="91">
        <f>IF(TrRoad_act!P78=0,0,TrRoad_emi!P75/TrRoad_tech!P190)</f>
        <v>0</v>
      </c>
      <c r="Q217" s="91">
        <f>IF(TrRoad_act!Q78=0,0,TrRoad_emi!Q75/TrRoad_tech!Q190)</f>
        <v>0</v>
      </c>
      <c r="R217" s="91">
        <f>IF(TrRoad_act!R78=0,0,TrRoad_emi!R75/TrRoad_tech!R190)</f>
        <v>1.317263573193203</v>
      </c>
      <c r="S217" s="91">
        <f>IF(TrRoad_act!S78=0,0,TrRoad_emi!S75/TrRoad_tech!S190)</f>
        <v>1.317263573193203</v>
      </c>
      <c r="T217" s="91">
        <f>IF(TrRoad_act!T78=0,0,TrRoad_emi!T75/TrRoad_tech!T190)</f>
        <v>1.3172635731932025</v>
      </c>
      <c r="U217" s="91">
        <f>IF(TrRoad_act!U78=0,0,TrRoad_emi!U75/TrRoad_tech!U190)</f>
        <v>1.5593154551928052</v>
      </c>
      <c r="V217" s="91">
        <f>IF(TrRoad_act!V78=0,0,TrRoad_emi!V75/TrRoad_tech!V190)</f>
        <v>1.9433560761291695</v>
      </c>
      <c r="W217" s="91">
        <f>IF(TrRoad_act!W78=0,0,TrRoad_emi!W75/TrRoad_tech!W190)</f>
        <v>4.1830637819197323</v>
      </c>
      <c r="X217" s="91">
        <f>IF(TrRoad_act!X78=0,0,TrRoad_emi!X75/TrRoad_tech!X190)</f>
        <v>2.4295870955073218</v>
      </c>
      <c r="Y217" s="91">
        <f>IF(TrRoad_act!Y78=0,0,TrRoad_emi!Y75/TrRoad_tech!Y190)</f>
        <v>2.2929493442949114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X218" s="91">
        <f>0</f>
        <v>0</v>
      </c>
      <c r="Y218" s="91">
        <f>0</f>
        <v>0</v>
      </c>
      <c r="DA218" s="171"/>
    </row>
    <row r="219" spans="1:105" ht="11.45" customHeight="1" x14ac:dyDescent="0.25">
      <c r="A219" s="109" t="s">
        <v>154</v>
      </c>
      <c r="B219" s="151">
        <f>IF(TrRoad_act!B80=0,0,TrRoad_emi!B77/TrRoad_tech!B192)</f>
        <v>1.7530201388190134</v>
      </c>
      <c r="C219" s="151">
        <f>IF(TrRoad_act!C80=0,0,TrRoad_emi!C77/TrRoad_tech!C192)</f>
        <v>1.8443713717063099</v>
      </c>
      <c r="D219" s="151">
        <f>IF(TrRoad_act!D80=0,0,TrRoad_emi!D77/TrRoad_tech!D192)</f>
        <v>1.6795960274014268</v>
      </c>
      <c r="E219" s="151">
        <f>IF(TrRoad_act!E80=0,0,TrRoad_emi!E77/TrRoad_tech!E192)</f>
        <v>1.6325035098561314</v>
      </c>
      <c r="F219" s="151">
        <f>IF(TrRoad_act!F80=0,0,TrRoad_emi!F77/TrRoad_tech!F192)</f>
        <v>1.6393636959319944</v>
      </c>
      <c r="G219" s="151">
        <f>IF(TrRoad_act!G80=0,0,TrRoad_emi!G77/TrRoad_tech!G192)</f>
        <v>1.5722119022659082</v>
      </c>
      <c r="H219" s="151">
        <f>IF(TrRoad_act!H80=0,0,TrRoad_emi!H77/TrRoad_tech!H192)</f>
        <v>1.642690119019697</v>
      </c>
      <c r="I219" s="151">
        <f>IF(TrRoad_act!I80=0,0,TrRoad_emi!I77/TrRoad_tech!I192)</f>
        <v>1.7037303536940429</v>
      </c>
      <c r="J219" s="151">
        <f>IF(TrRoad_act!J80=0,0,TrRoad_emi!J77/TrRoad_tech!J192)</f>
        <v>1.564733286058579</v>
      </c>
      <c r="K219" s="151">
        <f>IF(TrRoad_act!K80=0,0,TrRoad_emi!K77/TrRoad_tech!K192)</f>
        <v>1.6037462181229714</v>
      </c>
      <c r="L219" s="151">
        <f>IF(TrRoad_act!L80=0,0,TrRoad_emi!L77/TrRoad_tech!L192)</f>
        <v>1.4337250751889086</v>
      </c>
      <c r="M219" s="151">
        <f>IF(TrRoad_act!M80=0,0,TrRoad_emi!M77/TrRoad_tech!M192)</f>
        <v>1.3789930754620814</v>
      </c>
      <c r="N219" s="151">
        <f>IF(TrRoad_act!N80=0,0,TrRoad_emi!N77/TrRoad_tech!N192)</f>
        <v>1.4017240348164317</v>
      </c>
      <c r="O219" s="151">
        <f>IF(TrRoad_act!O80=0,0,TrRoad_emi!O77/TrRoad_tech!O192)</f>
        <v>1.4254142544164707</v>
      </c>
      <c r="P219" s="151">
        <f>IF(TrRoad_act!P80=0,0,TrRoad_emi!P77/TrRoad_tech!P192)</f>
        <v>1.5155981694555916</v>
      </c>
      <c r="Q219" s="151">
        <f>IF(TrRoad_act!Q80=0,0,TrRoad_emi!Q77/TrRoad_tech!Q192)</f>
        <v>1.5473414241145003</v>
      </c>
      <c r="R219" s="151">
        <f>IF(TrRoad_act!R80=0,0,TrRoad_emi!R77/TrRoad_tech!R192)</f>
        <v>1.5568322047619851</v>
      </c>
      <c r="S219" s="151">
        <f>IF(TrRoad_act!S80=0,0,TrRoad_emi!S77/TrRoad_tech!S192)</f>
        <v>1.512805486201878</v>
      </c>
      <c r="T219" s="151">
        <f>IF(TrRoad_act!T80=0,0,TrRoad_emi!T77/TrRoad_tech!T192)</f>
        <v>1.5801895417165346</v>
      </c>
      <c r="U219" s="151">
        <f>IF(TrRoad_act!U80=0,0,TrRoad_emi!U77/TrRoad_tech!U192)</f>
        <v>1.5947157827647211</v>
      </c>
      <c r="V219" s="151">
        <f>IF(TrRoad_act!V80=0,0,TrRoad_emi!V77/TrRoad_tech!V192)</f>
        <v>1.5262257993767547</v>
      </c>
      <c r="W219" s="151">
        <f>IF(TrRoad_act!W80=0,0,TrRoad_emi!W77/TrRoad_tech!W192)</f>
        <v>1.5946791563119385</v>
      </c>
      <c r="X219" s="151">
        <f>IF(TrRoad_act!X80=0,0,TrRoad_emi!X77/TrRoad_tech!X192)</f>
        <v>1.6113518392301953</v>
      </c>
      <c r="Y219" s="151">
        <f>IF(TrRoad_act!Y80=0,0,TrRoad_emi!Y77/TrRoad_tech!Y192)</f>
        <v>1.643152630051862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1.8454849540780602</v>
      </c>
      <c r="C220" s="93">
        <f>IF(TrRoad_act!C81=0,0,TrRoad_emi!C78/TrRoad_tech!C193)</f>
        <v>1.9390191581211427</v>
      </c>
      <c r="D220" s="93">
        <f>IF(TrRoad_act!D81=0,0,TrRoad_emi!D78/TrRoad_tech!D193)</f>
        <v>1.7699616794820874</v>
      </c>
      <c r="E220" s="93">
        <f>IF(TrRoad_act!E81=0,0,TrRoad_emi!E78/TrRoad_tech!E193)</f>
        <v>1.7216845573858048</v>
      </c>
      <c r="F220" s="93">
        <f>IF(TrRoad_act!F81=0,0,TrRoad_emi!F78/TrRoad_tech!F193)</f>
        <v>1.7286773004303368</v>
      </c>
      <c r="G220" s="93">
        <f>IF(TrRoad_act!G81=0,0,TrRoad_emi!G78/TrRoad_tech!G193)</f>
        <v>1.6592076906415474</v>
      </c>
      <c r="H220" s="93">
        <f>IF(TrRoad_act!H81=0,0,TrRoad_emi!H78/TrRoad_tech!H193)</f>
        <v>1.7315686617896053</v>
      </c>
      <c r="I220" s="93">
        <f>IF(TrRoad_act!I81=0,0,TrRoad_emi!I78/TrRoad_tech!I193)</f>
        <v>1.7945418656548184</v>
      </c>
      <c r="J220" s="93">
        <f>IF(TrRoad_act!J81=0,0,TrRoad_emi!J78/TrRoad_tech!J193)</f>
        <v>1.6506746990667822</v>
      </c>
      <c r="K220" s="93">
        <f>IF(TrRoad_act!K81=0,0,TrRoad_emi!K78/TrRoad_tech!K193)</f>
        <v>1.685103574314168</v>
      </c>
      <c r="L220" s="93">
        <f>IF(TrRoad_act!L81=0,0,TrRoad_emi!L78/TrRoad_tech!L193)</f>
        <v>1.5064767963394672</v>
      </c>
      <c r="M220" s="93">
        <f>IF(TrRoad_act!M81=0,0,TrRoad_emi!M78/TrRoad_tech!M193)</f>
        <v>1.4461469057078584</v>
      </c>
      <c r="N220" s="93">
        <f>IF(TrRoad_act!N81=0,0,TrRoad_emi!N78/TrRoad_tech!N193)</f>
        <v>1.4723431687250004</v>
      </c>
      <c r="O220" s="93">
        <f>IF(TrRoad_act!O81=0,0,TrRoad_emi!O78/TrRoad_tech!O193)</f>
        <v>1.4980952254856774</v>
      </c>
      <c r="P220" s="93">
        <f>IF(TrRoad_act!P81=0,0,TrRoad_emi!P78/TrRoad_tech!P193)</f>
        <v>1.5927497425958062</v>
      </c>
      <c r="Q220" s="93">
        <f>IF(TrRoad_act!Q81=0,0,TrRoad_emi!Q78/TrRoad_tech!Q193)</f>
        <v>1.6223207841029861</v>
      </c>
      <c r="R220" s="93">
        <f>IF(TrRoad_act!R81=0,0,TrRoad_emi!R78/TrRoad_tech!R193)</f>
        <v>1.6385645849434791</v>
      </c>
      <c r="S220" s="93">
        <f>IF(TrRoad_act!S81=0,0,TrRoad_emi!S78/TrRoad_tech!S193)</f>
        <v>1.5930110995935201</v>
      </c>
      <c r="T220" s="93">
        <f>IF(TrRoad_act!T81=0,0,TrRoad_emi!T78/TrRoad_tech!T193)</f>
        <v>1.6617626800904493</v>
      </c>
      <c r="U220" s="93">
        <f>IF(TrRoad_act!U81=0,0,TrRoad_emi!U78/TrRoad_tech!U193)</f>
        <v>1.675382499825836</v>
      </c>
      <c r="V220" s="93">
        <f>IF(TrRoad_act!V81=0,0,TrRoad_emi!V78/TrRoad_tech!V193)</f>
        <v>1.6171657884464736</v>
      </c>
      <c r="W220" s="93">
        <f>IF(TrRoad_act!W81=0,0,TrRoad_emi!W78/TrRoad_tech!W193)</f>
        <v>1.6905495808250053</v>
      </c>
      <c r="X220" s="93">
        <f>IF(TrRoad_act!X81=0,0,TrRoad_emi!X78/TrRoad_tech!X193)</f>
        <v>1.7093058877571414</v>
      </c>
      <c r="Y220" s="93">
        <f>IF(TrRoad_act!Y81=0,0,TrRoad_emi!Y78/TrRoad_tech!Y193)</f>
        <v>1.7422716534602045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1.9575296895581786</v>
      </c>
      <c r="C221" s="94">
        <f>IF(TrRoad_act!C82=0,0,TrRoad_emi!C79/TrRoad_tech!C194)</f>
        <v>2.0611755675192307</v>
      </c>
      <c r="D221" s="94">
        <f>IF(TrRoad_act!D82=0,0,TrRoad_emi!D79/TrRoad_tech!D194)</f>
        <v>1.8734729263136456</v>
      </c>
      <c r="E221" s="94">
        <f>IF(TrRoad_act!E82=0,0,TrRoad_emi!E79/TrRoad_tech!E194)</f>
        <v>1.8195678745896784</v>
      </c>
      <c r="F221" s="94">
        <f>IF(TrRoad_act!F82=0,0,TrRoad_emi!F79/TrRoad_tech!F194)</f>
        <v>1.8257075655830433</v>
      </c>
      <c r="G221" s="94">
        <f>IF(TrRoad_act!G82=0,0,TrRoad_emi!G79/TrRoad_tech!G194)</f>
        <v>1.7477740535131996</v>
      </c>
      <c r="H221" s="94">
        <f>IF(TrRoad_act!H82=0,0,TrRoad_emi!H79/TrRoad_tech!H194)</f>
        <v>1.8286158107977417</v>
      </c>
      <c r="I221" s="94">
        <f>IF(TrRoad_act!I82=0,0,TrRoad_emi!I79/TrRoad_tech!I194)</f>
        <v>1.9025866627610879</v>
      </c>
      <c r="J221" s="94">
        <f>IF(TrRoad_act!J82=0,0,TrRoad_emi!J79/TrRoad_tech!J194)</f>
        <v>1.7243481464637755</v>
      </c>
      <c r="K221" s="94">
        <f>IF(TrRoad_act!K82=0,0,TrRoad_emi!K79/TrRoad_tech!K194)</f>
        <v>1.743857327652107</v>
      </c>
      <c r="L221" s="94">
        <f>IF(TrRoad_act!L82=0,0,TrRoad_emi!L79/TrRoad_tech!L194)</f>
        <v>1.5457755082563891</v>
      </c>
      <c r="M221" s="94">
        <f>IF(TrRoad_act!M82=0,0,TrRoad_emi!M79/TrRoad_tech!M194)</f>
        <v>1.4850315275381116</v>
      </c>
      <c r="N221" s="94">
        <f>IF(TrRoad_act!N82=0,0,TrRoad_emi!N79/TrRoad_tech!N194)</f>
        <v>1.5150388593123467</v>
      </c>
      <c r="O221" s="94">
        <f>IF(TrRoad_act!O82=0,0,TrRoad_emi!O79/TrRoad_tech!O194)</f>
        <v>1.5463656075749783</v>
      </c>
      <c r="P221" s="94">
        <f>IF(TrRoad_act!P82=0,0,TrRoad_emi!P79/TrRoad_tech!P194)</f>
        <v>1.6594303091628242</v>
      </c>
      <c r="Q221" s="94">
        <f>IF(TrRoad_act!Q82=0,0,TrRoad_emi!Q79/TrRoad_tech!Q194)</f>
        <v>1.7085722448359322</v>
      </c>
      <c r="R221" s="94">
        <f>IF(TrRoad_act!R82=0,0,TrRoad_emi!R79/TrRoad_tech!R194)</f>
        <v>1.7195970971578742</v>
      </c>
      <c r="S221" s="94">
        <f>IF(TrRoad_act!S82=0,0,TrRoad_emi!S79/TrRoad_tech!S194)</f>
        <v>1.6597420103227336</v>
      </c>
      <c r="T221" s="94">
        <f>IF(TrRoad_act!T82=0,0,TrRoad_emi!T79/TrRoad_tech!T194)</f>
        <v>1.7530694564900602</v>
      </c>
      <c r="U221" s="94">
        <f>IF(TrRoad_act!U82=0,0,TrRoad_emi!U79/TrRoad_tech!U194)</f>
        <v>1.7850485307924611</v>
      </c>
      <c r="V221" s="94">
        <f>IF(TrRoad_act!V82=0,0,TrRoad_emi!V79/TrRoad_tech!V194)</f>
        <v>1.8940988774527496</v>
      </c>
      <c r="W221" s="94">
        <f>IF(TrRoad_act!W82=0,0,TrRoad_emi!W79/TrRoad_tech!W194)</f>
        <v>1.9810152513272814</v>
      </c>
      <c r="X221" s="94">
        <f>IF(TrRoad_act!X82=0,0,TrRoad_emi!X79/TrRoad_tech!X194)</f>
        <v>1.9843830473169581</v>
      </c>
      <c r="Y221" s="94">
        <f>IF(TrRoad_act!Y82=0,0,TrRoad_emi!Y79/TrRoad_tech!Y194)</f>
        <v>2.0076981434170493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DA224" s="173"/>
    </row>
    <row r="225" spans="1:105" ht="11.45" customHeight="1" x14ac:dyDescent="0.25">
      <c r="A225" s="136" t="s">
        <v>173</v>
      </c>
      <c r="B225" s="152">
        <v>95.011188457889531</v>
      </c>
      <c r="C225" s="152">
        <v>93.991941407569485</v>
      </c>
      <c r="D225" s="152">
        <v>92.872263555511537</v>
      </c>
      <c r="E225" s="152">
        <v>93.991941407569499</v>
      </c>
      <c r="F225" s="152">
        <v>93.991941407569499</v>
      </c>
      <c r="G225" s="152">
        <v>93.991941407569499</v>
      </c>
      <c r="H225" s="152">
        <v>91.367416522345565</v>
      </c>
      <c r="I225" s="152">
        <v>92.020188710095383</v>
      </c>
      <c r="J225" s="152">
        <v>90.431365838025087</v>
      </c>
      <c r="K225" s="152">
        <v>85.903388604302577</v>
      </c>
      <c r="L225" s="152">
        <v>80.273648364154994</v>
      </c>
      <c r="M225" s="152">
        <v>77.114836512483507</v>
      </c>
      <c r="N225" s="152">
        <v>75.849732236398353</v>
      </c>
      <c r="O225" s="152">
        <v>73.28963147857516</v>
      </c>
      <c r="P225" s="152">
        <v>72.310357159073192</v>
      </c>
      <c r="Q225" s="152">
        <v>70.974962561409058</v>
      </c>
      <c r="R225" s="152">
        <v>69.722950510748731</v>
      </c>
      <c r="S225" s="152">
        <v>68.721340870220473</v>
      </c>
      <c r="T225" s="152">
        <v>67.920053157797867</v>
      </c>
      <c r="U225" s="152">
        <v>67.27902298785979</v>
      </c>
      <c r="V225" s="152">
        <v>66.766198851909323</v>
      </c>
      <c r="W225" s="152">
        <v>66.355939543148949</v>
      </c>
      <c r="X225" s="152">
        <v>66.027732096140625</v>
      </c>
      <c r="Y225" s="152">
        <v>65.765166138533985</v>
      </c>
      <c r="DA225" s="174" t="s">
        <v>933</v>
      </c>
    </row>
    <row r="226" spans="1:105" ht="11.45" customHeight="1" x14ac:dyDescent="0.25">
      <c r="A226" s="109" t="s">
        <v>20</v>
      </c>
      <c r="B226" s="116">
        <v>196.94649747549386</v>
      </c>
      <c r="C226" s="116">
        <v>195.12481820090696</v>
      </c>
      <c r="D226" s="116">
        <v>194.0180092329912</v>
      </c>
      <c r="E226" s="116">
        <v>196.24123017372528</v>
      </c>
      <c r="F226" s="116">
        <v>198.03449519684952</v>
      </c>
      <c r="G226" s="116">
        <v>199.70052793313835</v>
      </c>
      <c r="H226" s="116">
        <v>196.94394676242607</v>
      </c>
      <c r="I226" s="116">
        <v>197.69177343874188</v>
      </c>
      <c r="J226" s="116">
        <v>192.84065075706619</v>
      </c>
      <c r="K226" s="116">
        <v>179.08849189092982</v>
      </c>
      <c r="L226" s="116">
        <v>168.17363421188165</v>
      </c>
      <c r="M226" s="116">
        <v>162.80267092148796</v>
      </c>
      <c r="N226" s="116">
        <v>158.76521761702853</v>
      </c>
      <c r="O226" s="116">
        <v>156.51930580255919</v>
      </c>
      <c r="P226" s="116">
        <v>149.44127210271182</v>
      </c>
      <c r="Q226" s="116">
        <v>145.20582925344434</v>
      </c>
      <c r="R226" s="116">
        <v>141.86914098025483</v>
      </c>
      <c r="S226" s="116">
        <v>141.06543830840087</v>
      </c>
      <c r="T226" s="116">
        <v>143.32011376637485</v>
      </c>
      <c r="U226" s="116">
        <v>142.62873258446243</v>
      </c>
      <c r="V226" s="116">
        <v>137.23090377373745</v>
      </c>
      <c r="W226" s="116">
        <v>118.48688832701657</v>
      </c>
      <c r="X226" s="116">
        <v>111.0457825230729</v>
      </c>
      <c r="Y226" s="116">
        <v>106.70816104803656</v>
      </c>
      <c r="DA226" s="176" t="s">
        <v>934</v>
      </c>
    </row>
    <row r="227" spans="1:105" ht="11.45" customHeight="1" x14ac:dyDescent="0.25">
      <c r="A227" s="111" t="s">
        <v>110</v>
      </c>
      <c r="B227" s="87">
        <v>195.06991892267894</v>
      </c>
      <c r="C227" s="87">
        <v>192.56007619468156</v>
      </c>
      <c r="D227" s="87">
        <v>189.80921796332905</v>
      </c>
      <c r="E227" s="87">
        <v>192.56007619468164</v>
      </c>
      <c r="F227" s="87">
        <v>192.56007619468164</v>
      </c>
      <c r="G227" s="87">
        <v>192.56007619468164</v>
      </c>
      <c r="H227" s="87">
        <v>186.11206450039114</v>
      </c>
      <c r="I227" s="87">
        <v>187.71581484926969</v>
      </c>
      <c r="J227" s="87">
        <v>183.81234701898035</v>
      </c>
      <c r="K227" s="87">
        <v>172.68787633139044</v>
      </c>
      <c r="L227" s="87">
        <v>158.85656114415079</v>
      </c>
      <c r="M227" s="87">
        <v>150.45773665226957</v>
      </c>
      <c r="N227" s="87">
        <v>147.31136636545213</v>
      </c>
      <c r="O227" s="87">
        <v>141.69657500429568</v>
      </c>
      <c r="P227" s="87">
        <v>139.41961618320457</v>
      </c>
      <c r="Q227" s="87">
        <v>136.24021490726517</v>
      </c>
      <c r="R227" s="87">
        <v>135.14414269893578</v>
      </c>
      <c r="S227" s="87">
        <v>133.06618561109241</v>
      </c>
      <c r="T227" s="87">
        <v>134.28861788617891</v>
      </c>
      <c r="U227" s="87">
        <v>136.31340448119801</v>
      </c>
      <c r="V227" s="87">
        <v>131.99825267272101</v>
      </c>
      <c r="W227" s="87">
        <v>125.7402178458352</v>
      </c>
      <c r="X227" s="87">
        <v>123.025223822499</v>
      </c>
      <c r="Y227" s="87">
        <v>121.5859020017193</v>
      </c>
      <c r="DA227" s="171" t="s">
        <v>935</v>
      </c>
    </row>
    <row r="228" spans="1:105" ht="11.45" customHeight="1" x14ac:dyDescent="0.25">
      <c r="A228" s="111" t="s">
        <v>111</v>
      </c>
      <c r="B228" s="87">
        <v>208.24675695495426</v>
      </c>
      <c r="C228" s="87">
        <v>210.56901590035562</v>
      </c>
      <c r="D228" s="87">
        <v>213.1796887069975</v>
      </c>
      <c r="E228" s="87">
        <v>211.8536873474234</v>
      </c>
      <c r="F228" s="87">
        <v>219.50316532044658</v>
      </c>
      <c r="G228" s="87">
        <v>217.89818705145572</v>
      </c>
      <c r="H228" s="87">
        <v>220.90149402690656</v>
      </c>
      <c r="I228" s="87">
        <v>217.90163121083125</v>
      </c>
      <c r="J228" s="87">
        <v>202.27203596473532</v>
      </c>
      <c r="K228" s="87">
        <v>182.06170874920187</v>
      </c>
      <c r="L228" s="87">
        <v>172.7590342759319</v>
      </c>
      <c r="M228" s="87">
        <v>167.98734312741502</v>
      </c>
      <c r="N228" s="87">
        <v>164.03570959785048</v>
      </c>
      <c r="O228" s="87">
        <v>158.3247129836746</v>
      </c>
      <c r="P228" s="87">
        <v>152.87142403447291</v>
      </c>
      <c r="Q228" s="87">
        <v>149.37081348594177</v>
      </c>
      <c r="R228" s="87">
        <v>145.50901706627525</v>
      </c>
      <c r="S228" s="87">
        <v>145.94669981452452</v>
      </c>
      <c r="T228" s="87">
        <v>150.5488721804511</v>
      </c>
      <c r="U228" s="87">
        <v>151.0569662852597</v>
      </c>
      <c r="V228" s="87">
        <v>146.94128730013239</v>
      </c>
      <c r="W228" s="87">
        <v>136.81915036724149</v>
      </c>
      <c r="X228" s="87">
        <v>135.74254938399059</v>
      </c>
      <c r="Y228" s="87">
        <v>135.84345544315161</v>
      </c>
      <c r="DA228" s="171" t="s">
        <v>936</v>
      </c>
    </row>
    <row r="229" spans="1:105" ht="11.45" customHeight="1" x14ac:dyDescent="0.25">
      <c r="A229" s="111" t="s">
        <v>112</v>
      </c>
      <c r="B229" s="87">
        <v>0</v>
      </c>
      <c r="C229" s="87">
        <v>0</v>
      </c>
      <c r="D229" s="87">
        <v>0</v>
      </c>
      <c r="E229" s="87">
        <v>0</v>
      </c>
      <c r="F229" s="87">
        <v>0</v>
      </c>
      <c r="G229" s="87">
        <v>0</v>
      </c>
      <c r="H229" s="87">
        <v>0</v>
      </c>
      <c r="I229" s="87">
        <v>171.97469232670068</v>
      </c>
      <c r="J229" s="87">
        <v>0</v>
      </c>
      <c r="K229" s="87">
        <v>146.88683303517865</v>
      </c>
      <c r="L229" s="87">
        <v>140.52296401955874</v>
      </c>
      <c r="M229" s="87">
        <v>142.07326976688509</v>
      </c>
      <c r="N229" s="87">
        <v>139.12088117342097</v>
      </c>
      <c r="O229" s="87">
        <v>135.6237072556263</v>
      </c>
      <c r="P229" s="87">
        <v>128.2751804306227</v>
      </c>
      <c r="Q229" s="87">
        <v>134.99737001960784</v>
      </c>
      <c r="R229" s="87">
        <v>0</v>
      </c>
      <c r="S229" s="87">
        <v>131.85229565488984</v>
      </c>
      <c r="T229" s="87">
        <v>133.06357634962518</v>
      </c>
      <c r="U229" s="87">
        <v>134.61590829086052</v>
      </c>
      <c r="V229" s="87">
        <v>130.70354807055102</v>
      </c>
      <c r="W229" s="87">
        <v>114.54019292604499</v>
      </c>
      <c r="X229" s="87">
        <v>115.0120274914089</v>
      </c>
      <c r="Y229" s="87">
        <v>0</v>
      </c>
      <c r="DA229" s="171" t="s">
        <v>937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0</v>
      </c>
      <c r="G230" s="87">
        <v>0</v>
      </c>
      <c r="H230" s="87">
        <v>0</v>
      </c>
      <c r="I230" s="87">
        <v>0</v>
      </c>
      <c r="J230" s="87">
        <v>0</v>
      </c>
      <c r="K230" s="87">
        <v>0</v>
      </c>
      <c r="L230" s="87">
        <v>0</v>
      </c>
      <c r="M230" s="87">
        <v>0</v>
      </c>
      <c r="N230" s="87">
        <v>0</v>
      </c>
      <c r="O230" s="87">
        <v>0</v>
      </c>
      <c r="P230" s="87">
        <v>118.80014825709516</v>
      </c>
      <c r="Q230" s="87">
        <v>119.97761010130378</v>
      </c>
      <c r="R230" s="87">
        <v>0</v>
      </c>
      <c r="S230" s="87">
        <v>0</v>
      </c>
      <c r="T230" s="87">
        <v>0</v>
      </c>
      <c r="U230" s="87">
        <v>0</v>
      </c>
      <c r="V230" s="87">
        <v>0</v>
      </c>
      <c r="W230" s="87">
        <v>0</v>
      </c>
      <c r="X230" s="87">
        <v>105.5629520052597</v>
      </c>
      <c r="Y230" s="87">
        <v>0</v>
      </c>
      <c r="DA230" s="171" t="s">
        <v>938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0</v>
      </c>
      <c r="N231" s="87">
        <v>0</v>
      </c>
      <c r="O231" s="87">
        <v>80.781595923912079</v>
      </c>
      <c r="P231" s="87">
        <v>44.614010687509662</v>
      </c>
      <c r="Q231" s="87">
        <v>50.935931382991825</v>
      </c>
      <c r="R231" s="87">
        <v>52.412546143565173</v>
      </c>
      <c r="S231" s="87">
        <v>49.662671777578261</v>
      </c>
      <c r="T231" s="87">
        <v>50.296690964662822</v>
      </c>
      <c r="U231" s="87">
        <v>50.707455429497578</v>
      </c>
      <c r="V231" s="87">
        <v>41.251499400239901</v>
      </c>
      <c r="W231" s="87">
        <v>39.267693103894423</v>
      </c>
      <c r="X231" s="87">
        <v>33.48349113862588</v>
      </c>
      <c r="Y231" s="87">
        <v>29.481432360742701</v>
      </c>
      <c r="DA231" s="171" t="s">
        <v>939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X232" s="87">
        <v>0</v>
      </c>
      <c r="Y232" s="87">
        <v>0</v>
      </c>
      <c r="DA232" s="171" t="s">
        <v>940</v>
      </c>
    </row>
    <row r="233" spans="1:105" ht="11.45" customHeight="1" x14ac:dyDescent="0.25">
      <c r="A233" s="109" t="s">
        <v>21</v>
      </c>
      <c r="B233" s="116">
        <v>1468.428779006794</v>
      </c>
      <c r="C233" s="116">
        <v>1464.0015787543755</v>
      </c>
      <c r="D233" s="116">
        <v>1459.2440527209244</v>
      </c>
      <c r="E233" s="116">
        <v>1464.4743181428635</v>
      </c>
      <c r="F233" s="116">
        <v>1464.4743181428635</v>
      </c>
      <c r="G233" s="116">
        <v>1464.4743181428635</v>
      </c>
      <c r="H233" s="116">
        <v>1451.8987495717242</v>
      </c>
      <c r="I233" s="116">
        <v>1454.0629385134707</v>
      </c>
      <c r="J233" s="116">
        <v>1446.0662133809847</v>
      </c>
      <c r="K233" s="116">
        <v>1424.3830504712002</v>
      </c>
      <c r="L233" s="116">
        <v>1394.0390203984555</v>
      </c>
      <c r="M233" s="116">
        <v>1376.3656233587928</v>
      </c>
      <c r="N233" s="116">
        <v>1369.176513428067</v>
      </c>
      <c r="O233" s="116">
        <v>1354.1494195522282</v>
      </c>
      <c r="P233" s="116">
        <v>1348.3272039642145</v>
      </c>
      <c r="Q233" s="116">
        <v>1340.2449215971562</v>
      </c>
      <c r="R233" s="116">
        <v>1322.3482001123202</v>
      </c>
      <c r="S233" s="116">
        <v>1293.3996177531124</v>
      </c>
      <c r="T233" s="116">
        <v>1262.1445290357358</v>
      </c>
      <c r="U233" s="116">
        <v>1212.4194309194813</v>
      </c>
      <c r="V233" s="116">
        <v>1131.13716857491</v>
      </c>
      <c r="W233" s="116">
        <v>1128.0678369264492</v>
      </c>
      <c r="X233" s="116">
        <v>1055.4362417025766</v>
      </c>
      <c r="Y233" s="116">
        <v>970.15246949823097</v>
      </c>
      <c r="DA233" s="176" t="s">
        <v>941</v>
      </c>
    </row>
    <row r="234" spans="1:105" ht="11.45" customHeight="1" x14ac:dyDescent="0.25">
      <c r="A234" s="111" t="s">
        <v>110</v>
      </c>
      <c r="B234" s="101">
        <v>415.82363050922936</v>
      </c>
      <c r="C234" s="101">
        <v>0</v>
      </c>
      <c r="D234" s="101">
        <v>0</v>
      </c>
      <c r="E234" s="101">
        <v>0</v>
      </c>
      <c r="F234" s="101">
        <v>0</v>
      </c>
      <c r="G234" s="101">
        <v>0</v>
      </c>
      <c r="H234" s="101">
        <v>0</v>
      </c>
      <c r="I234" s="101">
        <v>400.14714757512883</v>
      </c>
      <c r="J234" s="101">
        <v>0</v>
      </c>
      <c r="K234" s="101">
        <v>0</v>
      </c>
      <c r="L234" s="101">
        <v>0</v>
      </c>
      <c r="M234" s="101">
        <v>0</v>
      </c>
      <c r="N234" s="101">
        <v>0</v>
      </c>
      <c r="O234" s="101">
        <v>0</v>
      </c>
      <c r="P234" s="101">
        <v>0</v>
      </c>
      <c r="Q234" s="101">
        <v>0</v>
      </c>
      <c r="R234" s="101">
        <v>0</v>
      </c>
      <c r="S234" s="101">
        <v>364.60863399287143</v>
      </c>
      <c r="T234" s="101">
        <v>0</v>
      </c>
      <c r="U234" s="101">
        <v>359.0664021031784</v>
      </c>
      <c r="V234" s="101">
        <v>0</v>
      </c>
      <c r="W234" s="101">
        <v>0</v>
      </c>
      <c r="X234" s="101">
        <v>350.34346110322497</v>
      </c>
      <c r="Y234" s="101">
        <v>347.36199011719845</v>
      </c>
      <c r="DA234" s="175" t="s">
        <v>942</v>
      </c>
    </row>
    <row r="235" spans="1:105" ht="11.45" customHeight="1" x14ac:dyDescent="0.25">
      <c r="A235" s="111" t="s">
        <v>111</v>
      </c>
      <c r="B235" s="101">
        <v>1469.3059499638753</v>
      </c>
      <c r="C235" s="101">
        <v>1464.5311688539712</v>
      </c>
      <c r="D235" s="101">
        <v>1459.2440527209244</v>
      </c>
      <c r="E235" s="101">
        <v>1464.4743181428635</v>
      </c>
      <c r="F235" s="101">
        <v>1464.4743181428635</v>
      </c>
      <c r="G235" s="101">
        <v>1464.4743181428635</v>
      </c>
      <c r="H235" s="101">
        <v>1451.8987495717242</v>
      </c>
      <c r="I235" s="101">
        <v>1455.0064620505684</v>
      </c>
      <c r="J235" s="101">
        <v>1447.3225697783616</v>
      </c>
      <c r="K235" s="101">
        <v>1424.3830504712002</v>
      </c>
      <c r="L235" s="101">
        <v>1394.0390203984555</v>
      </c>
      <c r="M235" s="101">
        <v>1376.3656233587928</v>
      </c>
      <c r="N235" s="101">
        <v>1369.176513428067</v>
      </c>
      <c r="O235" s="101">
        <v>1354.1494195522284</v>
      </c>
      <c r="P235" s="101">
        <v>1348.3272039642145</v>
      </c>
      <c r="Q235" s="101">
        <v>1340.2449215971562</v>
      </c>
      <c r="R235" s="101">
        <v>1322.3482001123202</v>
      </c>
      <c r="S235" s="101">
        <v>1295.9940059759062</v>
      </c>
      <c r="T235" s="101">
        <v>1262.5428102982048</v>
      </c>
      <c r="U235" s="101">
        <v>1223.3101901638177</v>
      </c>
      <c r="V235" s="101">
        <v>1179.5319194194906</v>
      </c>
      <c r="W235" s="101">
        <v>1132.3408211572312</v>
      </c>
      <c r="X235" s="101">
        <v>1082.7533988996508</v>
      </c>
      <c r="Y235" s="101">
        <v>1031.6642478171373</v>
      </c>
      <c r="DA235" s="175" t="s">
        <v>943</v>
      </c>
    </row>
    <row r="236" spans="1:105" ht="11.45" customHeight="1" x14ac:dyDescent="0.25">
      <c r="A236" s="111" t="s">
        <v>112</v>
      </c>
      <c r="B236" s="101">
        <v>0</v>
      </c>
      <c r="C236" s="101">
        <v>1039.2703188786054</v>
      </c>
      <c r="D236" s="101">
        <v>0</v>
      </c>
      <c r="E236" s="101">
        <v>0</v>
      </c>
      <c r="F236" s="101">
        <v>0</v>
      </c>
      <c r="G236" s="101">
        <v>0</v>
      </c>
      <c r="H236" s="101">
        <v>0</v>
      </c>
      <c r="I236" s="101">
        <v>0</v>
      </c>
      <c r="J236" s="101">
        <v>0</v>
      </c>
      <c r="K236" s="101">
        <v>0</v>
      </c>
      <c r="L236" s="101">
        <v>0</v>
      </c>
      <c r="M236" s="101">
        <v>0</v>
      </c>
      <c r="N236" s="101">
        <v>0</v>
      </c>
      <c r="O236" s="101">
        <v>0</v>
      </c>
      <c r="P236" s="101">
        <v>0</v>
      </c>
      <c r="Q236" s="101">
        <v>0</v>
      </c>
      <c r="R236" s="101">
        <v>0</v>
      </c>
      <c r="S236" s="101">
        <v>0</v>
      </c>
      <c r="T236" s="101">
        <v>0</v>
      </c>
      <c r="U236" s="101">
        <v>0</v>
      </c>
      <c r="V236" s="101">
        <v>0</v>
      </c>
      <c r="W236" s="101">
        <v>0</v>
      </c>
      <c r="X236" s="101">
        <v>0</v>
      </c>
      <c r="Y236" s="101">
        <v>0</v>
      </c>
      <c r="DA236" s="175" t="s">
        <v>944</v>
      </c>
    </row>
    <row r="237" spans="1:105" ht="11.45" customHeight="1" x14ac:dyDescent="0.25">
      <c r="A237" s="111" t="s">
        <v>113</v>
      </c>
      <c r="B237" s="101">
        <v>0</v>
      </c>
      <c r="C237" s="101">
        <v>0</v>
      </c>
      <c r="D237" s="101">
        <v>0</v>
      </c>
      <c r="E237" s="101">
        <v>0</v>
      </c>
      <c r="F237" s="101">
        <v>0</v>
      </c>
      <c r="G237" s="101">
        <v>0</v>
      </c>
      <c r="H237" s="101">
        <v>0</v>
      </c>
      <c r="I237" s="101">
        <v>0</v>
      </c>
      <c r="J237" s="101">
        <v>0</v>
      </c>
      <c r="K237" s="101">
        <v>0</v>
      </c>
      <c r="L237" s="101">
        <v>0</v>
      </c>
      <c r="M237" s="101">
        <v>0</v>
      </c>
      <c r="N237" s="101">
        <v>0</v>
      </c>
      <c r="O237" s="101">
        <v>0</v>
      </c>
      <c r="P237" s="101">
        <v>0</v>
      </c>
      <c r="Q237" s="101">
        <v>0</v>
      </c>
      <c r="R237" s="101">
        <v>0</v>
      </c>
      <c r="S237" s="101">
        <v>0</v>
      </c>
      <c r="T237" s="101">
        <v>799.73998330914355</v>
      </c>
      <c r="U237" s="101">
        <v>793.33899095392462</v>
      </c>
      <c r="V237" s="101">
        <v>788.73349045944099</v>
      </c>
      <c r="W237" s="101">
        <v>0</v>
      </c>
      <c r="X237" s="101">
        <v>782.29971901895055</v>
      </c>
      <c r="Y237" s="101">
        <v>0</v>
      </c>
      <c r="DA237" s="175" t="s">
        <v>945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X238" s="101">
        <v>0</v>
      </c>
      <c r="Y238" s="101">
        <v>0</v>
      </c>
      <c r="DA238" s="175" t="s">
        <v>946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DA239" s="173"/>
    </row>
    <row r="240" spans="1:105" ht="11.45" customHeight="1" x14ac:dyDescent="0.25">
      <c r="A240" s="136" t="s">
        <v>153</v>
      </c>
      <c r="B240" s="152">
        <v>257.91028114481622</v>
      </c>
      <c r="C240" s="152">
        <v>260.75467226058635</v>
      </c>
      <c r="D240" s="152">
        <v>263.76905800328348</v>
      </c>
      <c r="E240" s="152">
        <v>262.31085507782018</v>
      </c>
      <c r="F240" s="152">
        <v>271.75043129773712</v>
      </c>
      <c r="G240" s="152">
        <v>269.8465410228643</v>
      </c>
      <c r="H240" s="152">
        <v>273.5845007235871</v>
      </c>
      <c r="I240" s="152">
        <v>269.9680268483088</v>
      </c>
      <c r="J240" s="152">
        <v>250.58774602015345</v>
      </c>
      <c r="K240" s="152">
        <v>225.3901979314015</v>
      </c>
      <c r="L240" s="152">
        <v>213.98286550799742</v>
      </c>
      <c r="M240" s="152">
        <v>207.39963700101404</v>
      </c>
      <c r="N240" s="152">
        <v>202.27356572533748</v>
      </c>
      <c r="O240" s="152">
        <v>202.37612757038062</v>
      </c>
      <c r="P240" s="152">
        <v>195.4519856641875</v>
      </c>
      <c r="Q240" s="152">
        <v>194.4270284809063</v>
      </c>
      <c r="R240" s="152">
        <v>188.84695312310109</v>
      </c>
      <c r="S240" s="152">
        <v>180.51321567832795</v>
      </c>
      <c r="T240" s="152">
        <v>180.08508366841784</v>
      </c>
      <c r="U240" s="152">
        <v>176.9279749437855</v>
      </c>
      <c r="V240" s="152">
        <v>185.46039981352885</v>
      </c>
      <c r="W240" s="152">
        <v>190.07081912662397</v>
      </c>
      <c r="X240" s="152">
        <v>185.97415280945575</v>
      </c>
      <c r="Y240" s="152">
        <v>185.26896356510295</v>
      </c>
      <c r="DA240" s="174" t="s">
        <v>947</v>
      </c>
    </row>
    <row r="241" spans="1:105" ht="11.45" customHeight="1" x14ac:dyDescent="0.25">
      <c r="A241" s="111" t="s">
        <v>110</v>
      </c>
      <c r="B241" s="87">
        <v>215.54690649572962</v>
      </c>
      <c r="C241" s="87">
        <v>212.77359916675556</v>
      </c>
      <c r="D241" s="87">
        <v>209.73397632151631</v>
      </c>
      <c r="E241" s="87">
        <v>212.77359916675564</v>
      </c>
      <c r="F241" s="87">
        <v>212.77359916675564</v>
      </c>
      <c r="G241" s="87">
        <v>212.77359916675564</v>
      </c>
      <c r="H241" s="87">
        <v>205.6487232175146</v>
      </c>
      <c r="I241" s="87">
        <v>207.42082333628917</v>
      </c>
      <c r="J241" s="87">
        <v>203.10759851889446</v>
      </c>
      <c r="K241" s="87">
        <v>190.81536373274645</v>
      </c>
      <c r="L241" s="87">
        <v>175.53214006688293</v>
      </c>
      <c r="M241" s="87">
        <v>166.95681936146261</v>
      </c>
      <c r="N241" s="87">
        <v>191.65500998664905</v>
      </c>
      <c r="O241" s="87">
        <v>156.57242121745941</v>
      </c>
      <c r="P241" s="87">
        <v>176.58543746330008</v>
      </c>
      <c r="Q241" s="87">
        <v>154.21794871794873</v>
      </c>
      <c r="R241" s="87">
        <v>186.47422196124489</v>
      </c>
      <c r="S241" s="87">
        <v>250.22810508688366</v>
      </c>
      <c r="T241" s="87">
        <v>155.85299906483118</v>
      </c>
      <c r="U241" s="87">
        <v>160.92307692307691</v>
      </c>
      <c r="V241" s="87">
        <v>136.38461538461539</v>
      </c>
      <c r="W241" s="87">
        <v>154.82758620689651</v>
      </c>
      <c r="X241" s="87">
        <v>145.5898876404494</v>
      </c>
      <c r="Y241" s="87">
        <v>209.62536023054761</v>
      </c>
      <c r="DA241" s="171" t="s">
        <v>948</v>
      </c>
    </row>
    <row r="242" spans="1:105" ht="11.45" customHeight="1" x14ac:dyDescent="0.25">
      <c r="A242" s="111" t="s">
        <v>111</v>
      </c>
      <c r="B242" s="87">
        <v>258.17119451536257</v>
      </c>
      <c r="C242" s="87">
        <v>261.05018468392473</v>
      </c>
      <c r="D242" s="87">
        <v>264.28673216651191</v>
      </c>
      <c r="E242" s="87">
        <v>262.64283931585754</v>
      </c>
      <c r="F242" s="87">
        <v>272.12617963093157</v>
      </c>
      <c r="G242" s="87">
        <v>270.13642880390574</v>
      </c>
      <c r="H242" s="87">
        <v>273.85973936434908</v>
      </c>
      <c r="I242" s="87">
        <v>270.14069865546588</v>
      </c>
      <c r="J242" s="87">
        <v>250.76411227554422</v>
      </c>
      <c r="K242" s="87">
        <v>225.70862332063453</v>
      </c>
      <c r="L242" s="87">
        <v>214.17575425669261</v>
      </c>
      <c r="M242" s="87">
        <v>208.26011253586086</v>
      </c>
      <c r="N242" s="87">
        <v>203.36112652747332</v>
      </c>
      <c r="O242" s="87">
        <v>202.59806093946449</v>
      </c>
      <c r="P242" s="87">
        <v>195.65139548653147</v>
      </c>
      <c r="Q242" s="87">
        <v>194.71427450249257</v>
      </c>
      <c r="R242" s="87">
        <v>188.9746087257312</v>
      </c>
      <c r="S242" s="87">
        <v>180.91224624183346</v>
      </c>
      <c r="T242" s="87">
        <v>181.1219600937593</v>
      </c>
      <c r="U242" s="87">
        <v>180.93440256615881</v>
      </c>
      <c r="V242" s="87">
        <v>196.95211181710232</v>
      </c>
      <c r="W242" s="87">
        <v>197.77166267584559</v>
      </c>
      <c r="X242" s="87">
        <v>196.27473940395831</v>
      </c>
      <c r="Y242" s="87">
        <v>195.99497244902059</v>
      </c>
      <c r="DA242" s="171" t="s">
        <v>949</v>
      </c>
    </row>
    <row r="243" spans="1:105" ht="11.45" customHeight="1" x14ac:dyDescent="0.25">
      <c r="A243" s="111" t="s">
        <v>112</v>
      </c>
      <c r="B243" s="87">
        <v>0</v>
      </c>
      <c r="C243" s="87">
        <v>0</v>
      </c>
      <c r="D243" s="87">
        <v>0</v>
      </c>
      <c r="E243" s="87">
        <v>0</v>
      </c>
      <c r="F243" s="87">
        <v>0</v>
      </c>
      <c r="G243" s="87">
        <v>0</v>
      </c>
      <c r="H243" s="87">
        <v>0</v>
      </c>
      <c r="I243" s="87">
        <v>0</v>
      </c>
      <c r="J243" s="87">
        <v>0</v>
      </c>
      <c r="K243" s="87">
        <v>0</v>
      </c>
      <c r="L243" s="87">
        <v>0</v>
      </c>
      <c r="M243" s="87">
        <v>0</v>
      </c>
      <c r="N243" s="87">
        <v>0</v>
      </c>
      <c r="O243" s="87">
        <v>177.29705079911366</v>
      </c>
      <c r="P243" s="87">
        <v>177.29705079911366</v>
      </c>
      <c r="Q243" s="87">
        <v>0</v>
      </c>
      <c r="R243" s="87">
        <v>0</v>
      </c>
      <c r="S243" s="87">
        <v>135.24582721214438</v>
      </c>
      <c r="T243" s="87">
        <v>0</v>
      </c>
      <c r="U243" s="87">
        <v>0</v>
      </c>
      <c r="V243" s="87">
        <v>0</v>
      </c>
      <c r="W243" s="87">
        <v>0</v>
      </c>
      <c r="X243" s="87">
        <v>0</v>
      </c>
      <c r="Y243" s="87">
        <v>0</v>
      </c>
      <c r="DA243" s="171" t="s">
        <v>950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0</v>
      </c>
      <c r="I244" s="87">
        <v>0</v>
      </c>
      <c r="J244" s="87">
        <v>0</v>
      </c>
      <c r="K244" s="87">
        <v>0</v>
      </c>
      <c r="L244" s="87">
        <v>0</v>
      </c>
      <c r="M244" s="87">
        <v>0</v>
      </c>
      <c r="N244" s="87">
        <v>0</v>
      </c>
      <c r="O244" s="87">
        <v>0</v>
      </c>
      <c r="P244" s="87">
        <v>0</v>
      </c>
      <c r="Q244" s="87">
        <v>0</v>
      </c>
      <c r="R244" s="87">
        <v>145.49377648333163</v>
      </c>
      <c r="S244" s="87">
        <v>0</v>
      </c>
      <c r="T244" s="87">
        <v>0</v>
      </c>
      <c r="U244" s="87">
        <v>0</v>
      </c>
      <c r="V244" s="87">
        <v>269</v>
      </c>
      <c r="W244" s="87">
        <v>0</v>
      </c>
      <c r="X244" s="87">
        <v>0</v>
      </c>
      <c r="Y244" s="87">
        <v>268</v>
      </c>
      <c r="DA244" s="171" t="s">
        <v>951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X245" s="87">
        <v>0</v>
      </c>
      <c r="Y245" s="87">
        <v>0</v>
      </c>
      <c r="DA245" s="171" t="s">
        <v>952</v>
      </c>
    </row>
    <row r="246" spans="1:105" ht="11.45" customHeight="1" x14ac:dyDescent="0.25">
      <c r="A246" s="109" t="s">
        <v>154</v>
      </c>
      <c r="B246" s="116">
        <v>768.07797224685146</v>
      </c>
      <c r="C246" s="116">
        <v>763.3704289029896</v>
      </c>
      <c r="D246" s="116">
        <v>761.67427305544584</v>
      </c>
      <c r="E246" s="116">
        <v>755.04082308668183</v>
      </c>
      <c r="F246" s="116">
        <v>756.43172683863554</v>
      </c>
      <c r="G246" s="116">
        <v>742.52196419090637</v>
      </c>
      <c r="H246" s="116">
        <v>734.02287742461283</v>
      </c>
      <c r="I246" s="116">
        <v>726.77242717317426</v>
      </c>
      <c r="J246" s="116">
        <v>713.25613202389559</v>
      </c>
      <c r="K246" s="116">
        <v>703.04099825347726</v>
      </c>
      <c r="L246" s="116">
        <v>705.35656444387541</v>
      </c>
      <c r="M246" s="116">
        <v>699.21745635145817</v>
      </c>
      <c r="N246" s="116">
        <v>667.56983872601393</v>
      </c>
      <c r="O246" s="116">
        <v>657.27063826478161</v>
      </c>
      <c r="P246" s="116">
        <v>643.44811965552969</v>
      </c>
      <c r="Q246" s="116">
        <v>633.47037638025074</v>
      </c>
      <c r="R246" s="116">
        <v>611.91972388564545</v>
      </c>
      <c r="S246" s="116">
        <v>603.90290469261504</v>
      </c>
      <c r="T246" s="116">
        <v>598.07207227365382</v>
      </c>
      <c r="U246" s="116">
        <v>587.10774885796127</v>
      </c>
      <c r="V246" s="116">
        <v>590.46224981161993</v>
      </c>
      <c r="W246" s="116">
        <v>583.02209035042813</v>
      </c>
      <c r="X246" s="116">
        <v>579.26064441891822</v>
      </c>
      <c r="Y246" s="116">
        <v>574.7673958932985</v>
      </c>
      <c r="DA246" s="176" t="s">
        <v>953</v>
      </c>
    </row>
    <row r="247" spans="1:105" ht="11.45" customHeight="1" x14ac:dyDescent="0.25">
      <c r="A247" s="128" t="s">
        <v>27</v>
      </c>
      <c r="B247" s="101">
        <v>713.99127432008925</v>
      </c>
      <c r="C247" s="101">
        <v>710.70627859652302</v>
      </c>
      <c r="D247" s="101">
        <v>707.07400651030434</v>
      </c>
      <c r="E247" s="101">
        <v>702.55115166726057</v>
      </c>
      <c r="F247" s="101">
        <v>697.14920672673441</v>
      </c>
      <c r="G247" s="101">
        <v>690.88180124624785</v>
      </c>
      <c r="H247" s="101">
        <v>683.76461668795901</v>
      </c>
      <c r="I247" s="101">
        <v>675.8152898278255</v>
      </c>
      <c r="J247" s="101">
        <v>667.05330565797522</v>
      </c>
      <c r="K247" s="101">
        <v>657.4998809577055</v>
      </c>
      <c r="L247" s="101">
        <v>647.17783981548394</v>
      </c>
      <c r="M247" s="101">
        <v>636.11148240430418</v>
      </c>
      <c r="N247" s="101">
        <v>624.32644836319525</v>
      </c>
      <c r="O247" s="101">
        <v>611.8495761535271</v>
      </c>
      <c r="P247" s="101">
        <v>598.70875972653823</v>
      </c>
      <c r="Q247" s="101">
        <v>584.93280383875879</v>
      </c>
      <c r="R247" s="101">
        <v>572.28119926147406</v>
      </c>
      <c r="S247" s="101">
        <v>563.42507605737478</v>
      </c>
      <c r="T247" s="101">
        <v>554.12614669307061</v>
      </c>
      <c r="U247" s="101">
        <v>542.76078858114329</v>
      </c>
      <c r="V247" s="101">
        <v>552.21368302220333</v>
      </c>
      <c r="W247" s="101">
        <v>544.71585829264802</v>
      </c>
      <c r="X247" s="101">
        <v>541.71481481671606</v>
      </c>
      <c r="Y247" s="101">
        <v>536.29766666854869</v>
      </c>
      <c r="DA247" s="175" t="s">
        <v>954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0</v>
      </c>
      <c r="K248" s="88">
        <v>0</v>
      </c>
      <c r="L248" s="88">
        <v>888.27077026061306</v>
      </c>
      <c r="M248" s="88">
        <v>874.1828700569024</v>
      </c>
      <c r="N248" s="88">
        <v>0</v>
      </c>
      <c r="O248" s="88">
        <v>843.29652676318142</v>
      </c>
      <c r="P248" s="88">
        <v>826.56776014737818</v>
      </c>
      <c r="Q248" s="88">
        <v>809.03043647828326</v>
      </c>
      <c r="R248" s="88">
        <v>0</v>
      </c>
      <c r="S248" s="88">
        <v>770.5379484876006</v>
      </c>
      <c r="T248" s="88">
        <v>753.89560809162901</v>
      </c>
      <c r="U248" s="88">
        <v>733.55496982988586</v>
      </c>
      <c r="V248" s="88">
        <v>0</v>
      </c>
      <c r="W248" s="88">
        <v>718.06378370741038</v>
      </c>
      <c r="X248" s="88">
        <v>714.10770164996393</v>
      </c>
      <c r="Y248" s="88">
        <v>706.96662463346422</v>
      </c>
      <c r="DA248" s="178" t="s">
        <v>955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1030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1389</v>
      </c>
      <c r="C4" s="28">
        <f t="shared" ref="C4:V4" si="1">SUM(C5,C6,C9)</f>
        <v>1515</v>
      </c>
      <c r="D4" s="28">
        <f t="shared" si="1"/>
        <v>1628</v>
      </c>
      <c r="E4" s="28">
        <f t="shared" si="1"/>
        <v>1601</v>
      </c>
      <c r="F4" s="28">
        <f t="shared" si="1"/>
        <v>1632</v>
      </c>
      <c r="G4" s="28">
        <f t="shared" si="1"/>
        <v>1891</v>
      </c>
      <c r="H4" s="28">
        <f t="shared" si="1"/>
        <v>1985.11</v>
      </c>
      <c r="I4" s="28">
        <f t="shared" si="1"/>
        <v>2182</v>
      </c>
      <c r="J4" s="28">
        <f t="shared" si="1"/>
        <v>2117</v>
      </c>
      <c r="K4" s="28">
        <f t="shared" si="1"/>
        <v>1815</v>
      </c>
      <c r="L4" s="28">
        <f t="shared" si="1"/>
        <v>1809</v>
      </c>
      <c r="M4" s="28">
        <f t="shared" si="1"/>
        <v>1776</v>
      </c>
      <c r="N4" s="28">
        <f t="shared" si="1"/>
        <v>1722</v>
      </c>
      <c r="O4" s="28">
        <f t="shared" si="1"/>
        <v>1718.82473</v>
      </c>
      <c r="P4" s="28">
        <f t="shared" si="1"/>
        <v>1888.072934</v>
      </c>
      <c r="Q4" s="28">
        <f t="shared" si="1"/>
        <v>2097.6676819999998</v>
      </c>
      <c r="R4" s="28">
        <f t="shared" si="1"/>
        <v>2174.5483549999999</v>
      </c>
      <c r="S4" s="28">
        <f t="shared" si="1"/>
        <v>2306.8992669999998</v>
      </c>
      <c r="T4" s="28">
        <f t="shared" si="1"/>
        <v>2598</v>
      </c>
      <c r="U4" s="28">
        <f t="shared" si="1"/>
        <v>2704.0478929999999</v>
      </c>
      <c r="V4" s="28">
        <f t="shared" si="1"/>
        <v>954.308179</v>
      </c>
      <c r="W4" s="28">
        <f t="shared" ref="W4:Y4" si="2">SUM(W5,W6,W9)</f>
        <v>991.65362000000005</v>
      </c>
      <c r="X4" s="28">
        <f t="shared" si="2"/>
        <v>1912.9406778994764</v>
      </c>
      <c r="Y4" s="28">
        <f t="shared" si="2"/>
        <v>2441.1758473743453</v>
      </c>
      <c r="DA4" s="173" t="s">
        <v>376</v>
      </c>
    </row>
    <row r="5" spans="1:105" ht="11.45" customHeight="1" x14ac:dyDescent="0.25">
      <c r="A5" s="107" t="s">
        <v>23</v>
      </c>
      <c r="B5" s="108">
        <v>0</v>
      </c>
      <c r="C5" s="108">
        <v>0</v>
      </c>
      <c r="D5" s="108">
        <v>0</v>
      </c>
      <c r="E5" s="108">
        <v>0</v>
      </c>
      <c r="F5" s="108">
        <v>50</v>
      </c>
      <c r="G5" s="108">
        <v>110</v>
      </c>
      <c r="H5" s="108">
        <v>113.10999999999999</v>
      </c>
      <c r="I5" s="108">
        <v>175</v>
      </c>
      <c r="J5" s="108">
        <v>141</v>
      </c>
      <c r="K5" s="108">
        <v>132</v>
      </c>
      <c r="L5" s="108">
        <v>131</v>
      </c>
      <c r="M5" s="108">
        <v>138</v>
      </c>
      <c r="N5" s="108">
        <v>144.00000000000003</v>
      </c>
      <c r="O5" s="108">
        <v>149.82472999999999</v>
      </c>
      <c r="P5" s="108">
        <v>160.072934</v>
      </c>
      <c r="Q5" s="108">
        <v>179.66768199999999</v>
      </c>
      <c r="R5" s="108">
        <v>183.54835499999999</v>
      </c>
      <c r="S5" s="108">
        <v>184.89926700000001</v>
      </c>
      <c r="T5" s="108">
        <v>317</v>
      </c>
      <c r="U5" s="108">
        <v>305.04789299999999</v>
      </c>
      <c r="V5" s="108">
        <v>120.308179</v>
      </c>
      <c r="W5" s="108">
        <v>121.65362</v>
      </c>
      <c r="X5" s="108">
        <v>164.94067789947636</v>
      </c>
      <c r="Y5" s="108">
        <v>206.17584737434547</v>
      </c>
      <c r="DA5" s="203" t="s">
        <v>377</v>
      </c>
    </row>
    <row r="6" spans="1:105" ht="11.45" customHeight="1" x14ac:dyDescent="0.25">
      <c r="A6" s="109" t="s">
        <v>24</v>
      </c>
      <c r="B6" s="110">
        <f t="shared" ref="B6" si="3">SUM(B7:B8)</f>
        <v>1389</v>
      </c>
      <c r="C6" s="110">
        <f t="shared" ref="C6:V6" si="4">SUM(C7:C8)</f>
        <v>1515</v>
      </c>
      <c r="D6" s="110">
        <f t="shared" si="4"/>
        <v>1628</v>
      </c>
      <c r="E6" s="110">
        <f t="shared" si="4"/>
        <v>1601</v>
      </c>
      <c r="F6" s="110">
        <f t="shared" si="4"/>
        <v>1582</v>
      </c>
      <c r="G6" s="110">
        <f t="shared" si="4"/>
        <v>1781</v>
      </c>
      <c r="H6" s="110">
        <f t="shared" si="4"/>
        <v>1872</v>
      </c>
      <c r="I6" s="110">
        <f t="shared" si="4"/>
        <v>2007.0000000000002</v>
      </c>
      <c r="J6" s="110">
        <f t="shared" si="4"/>
        <v>1976</v>
      </c>
      <c r="K6" s="110">
        <f t="shared" si="4"/>
        <v>1683</v>
      </c>
      <c r="L6" s="110">
        <f t="shared" si="4"/>
        <v>1678</v>
      </c>
      <c r="M6" s="110">
        <f t="shared" si="4"/>
        <v>1638</v>
      </c>
      <c r="N6" s="110">
        <f t="shared" si="4"/>
        <v>1578</v>
      </c>
      <c r="O6" s="110">
        <f t="shared" si="4"/>
        <v>1569</v>
      </c>
      <c r="P6" s="110">
        <f t="shared" si="4"/>
        <v>1728</v>
      </c>
      <c r="Q6" s="110">
        <f t="shared" si="4"/>
        <v>1918</v>
      </c>
      <c r="R6" s="110">
        <f t="shared" si="4"/>
        <v>1991</v>
      </c>
      <c r="S6" s="110">
        <f t="shared" si="4"/>
        <v>2122</v>
      </c>
      <c r="T6" s="110">
        <f t="shared" si="4"/>
        <v>2281</v>
      </c>
      <c r="U6" s="110">
        <f t="shared" si="4"/>
        <v>2399</v>
      </c>
      <c r="V6" s="110">
        <f t="shared" si="4"/>
        <v>834</v>
      </c>
      <c r="W6" s="110">
        <f t="shared" ref="W6:Y6" si="5">SUM(W7:W8)</f>
        <v>870</v>
      </c>
      <c r="X6" s="110">
        <f t="shared" si="5"/>
        <v>1748</v>
      </c>
      <c r="Y6" s="110">
        <f t="shared" si="5"/>
        <v>2235</v>
      </c>
      <c r="DA6" s="176" t="s">
        <v>378</v>
      </c>
    </row>
    <row r="7" spans="1:105" ht="11.45" customHeight="1" x14ac:dyDescent="0.25">
      <c r="A7" s="111" t="s">
        <v>90</v>
      </c>
      <c r="B7" s="84">
        <v>1212.4690547862733</v>
      </c>
      <c r="C7" s="84">
        <v>1337.5864927761081</v>
      </c>
      <c r="D7" s="84">
        <v>1401.8916497730586</v>
      </c>
      <c r="E7" s="84">
        <v>1390.0417728072835</v>
      </c>
      <c r="F7" s="84">
        <v>1379.1461412886667</v>
      </c>
      <c r="G7" s="84">
        <v>1603.4600091520738</v>
      </c>
      <c r="H7" s="84">
        <v>1707.8043182429678</v>
      </c>
      <c r="I7" s="84">
        <v>1952.5333377468189</v>
      </c>
      <c r="J7" s="84">
        <v>1900.8347473586352</v>
      </c>
      <c r="K7" s="84">
        <v>1597.7425744120424</v>
      </c>
      <c r="L7" s="84">
        <v>1583.103362411227</v>
      </c>
      <c r="M7" s="84">
        <v>1562.8703868035034</v>
      </c>
      <c r="N7" s="84">
        <v>1514.7766286465915</v>
      </c>
      <c r="O7" s="84">
        <v>1510.4626781997642</v>
      </c>
      <c r="P7" s="84">
        <v>1668.671771772837</v>
      </c>
      <c r="Q7" s="84">
        <v>1868.8408525894029</v>
      </c>
      <c r="R7" s="84">
        <v>1938.655329749206</v>
      </c>
      <c r="S7" s="84">
        <v>2074.5048323800424</v>
      </c>
      <c r="T7" s="84">
        <v>2237.2413892468339</v>
      </c>
      <c r="U7" s="84">
        <v>2355.7309394589397</v>
      </c>
      <c r="V7" s="84">
        <v>800.26675937330685</v>
      </c>
      <c r="W7" s="84">
        <v>836.28819492156947</v>
      </c>
      <c r="X7" s="84">
        <v>1599.4899721086779</v>
      </c>
      <c r="Y7" s="84">
        <v>2038.6523111871543</v>
      </c>
      <c r="DA7" s="171" t="s">
        <v>1031</v>
      </c>
    </row>
    <row r="8" spans="1:105" ht="11.45" customHeight="1" x14ac:dyDescent="0.25">
      <c r="A8" s="111" t="s">
        <v>93</v>
      </c>
      <c r="B8" s="84">
        <v>176.53094521372668</v>
      </c>
      <c r="C8" s="84">
        <v>177.41350722389188</v>
      </c>
      <c r="D8" s="84">
        <v>226.10835022694141</v>
      </c>
      <c r="E8" s="84">
        <v>210.95822719271655</v>
      </c>
      <c r="F8" s="84">
        <v>202.85385871133326</v>
      </c>
      <c r="G8" s="84">
        <v>177.53999084792622</v>
      </c>
      <c r="H8" s="84">
        <v>164.19568175703216</v>
      </c>
      <c r="I8" s="84">
        <v>54.466662253181312</v>
      </c>
      <c r="J8" s="84">
        <v>75.165252641364759</v>
      </c>
      <c r="K8" s="84">
        <v>85.257425587957641</v>
      </c>
      <c r="L8" s="84">
        <v>94.896637588773046</v>
      </c>
      <c r="M8" s="84">
        <v>75.129613196496621</v>
      </c>
      <c r="N8" s="84">
        <v>63.223371353408538</v>
      </c>
      <c r="O8" s="84">
        <v>58.537321800235759</v>
      </c>
      <c r="P8" s="84">
        <v>59.328228227162981</v>
      </c>
      <c r="Q8" s="84">
        <v>49.159147410597143</v>
      </c>
      <c r="R8" s="84">
        <v>52.344670250794024</v>
      </c>
      <c r="S8" s="84">
        <v>47.495167619957556</v>
      </c>
      <c r="T8" s="84">
        <v>43.758610753166067</v>
      </c>
      <c r="U8" s="84">
        <v>43.269060541060298</v>
      </c>
      <c r="V8" s="84">
        <v>33.733240626693146</v>
      </c>
      <c r="W8" s="84">
        <v>33.71180507843053</v>
      </c>
      <c r="X8" s="84">
        <v>148.51002789132212</v>
      </c>
      <c r="Y8" s="84">
        <v>196.34768881284572</v>
      </c>
      <c r="DA8" s="171" t="s">
        <v>1032</v>
      </c>
    </row>
    <row r="9" spans="1:105" ht="11.45" customHeight="1" x14ac:dyDescent="0.25">
      <c r="A9" s="112" t="s">
        <v>25</v>
      </c>
      <c r="B9" s="113">
        <v>0</v>
      </c>
      <c r="C9" s="113">
        <v>0</v>
      </c>
      <c r="D9" s="113">
        <v>0</v>
      </c>
      <c r="E9" s="113">
        <v>0</v>
      </c>
      <c r="F9" s="113">
        <v>0</v>
      </c>
      <c r="G9" s="113">
        <v>0</v>
      </c>
      <c r="H9" s="113">
        <v>0</v>
      </c>
      <c r="I9" s="113">
        <v>0</v>
      </c>
      <c r="J9" s="113">
        <v>0</v>
      </c>
      <c r="K9" s="113">
        <v>0</v>
      </c>
      <c r="L9" s="113">
        <v>0</v>
      </c>
      <c r="M9" s="113">
        <v>0</v>
      </c>
      <c r="N9" s="113">
        <v>0</v>
      </c>
      <c r="O9" s="113">
        <v>0</v>
      </c>
      <c r="P9" s="113">
        <v>0</v>
      </c>
      <c r="Q9" s="113">
        <v>0</v>
      </c>
      <c r="R9" s="113">
        <v>0</v>
      </c>
      <c r="S9" s="113">
        <v>0</v>
      </c>
      <c r="T9" s="113">
        <v>0</v>
      </c>
      <c r="U9" s="113">
        <v>0</v>
      </c>
      <c r="V9" s="113">
        <v>0</v>
      </c>
      <c r="W9" s="113">
        <v>0</v>
      </c>
      <c r="X9" s="113">
        <v>0</v>
      </c>
      <c r="Y9" s="113">
        <v>0</v>
      </c>
      <c r="DA9" s="204" t="s">
        <v>379</v>
      </c>
    </row>
    <row r="10" spans="1:105" ht="11.45" customHeight="1" x14ac:dyDescent="0.25">
      <c r="A10" s="27" t="s">
        <v>28</v>
      </c>
      <c r="B10" s="28">
        <f t="shared" ref="B10" si="6">SUM(B11:B12)</f>
        <v>491.00000000000006</v>
      </c>
      <c r="C10" s="28">
        <f t="shared" ref="C10:V10" si="7">SUM(C11:C12)</f>
        <v>516</v>
      </c>
      <c r="D10" s="28">
        <f t="shared" si="7"/>
        <v>426</v>
      </c>
      <c r="E10" s="28">
        <f t="shared" si="7"/>
        <v>398</v>
      </c>
      <c r="F10" s="28">
        <f t="shared" si="7"/>
        <v>399</v>
      </c>
      <c r="G10" s="28">
        <f t="shared" si="7"/>
        <v>303</v>
      </c>
      <c r="H10" s="28">
        <f t="shared" si="7"/>
        <v>205</v>
      </c>
      <c r="I10" s="28">
        <f t="shared" si="7"/>
        <v>129</v>
      </c>
      <c r="J10" s="28">
        <f t="shared" si="7"/>
        <v>103</v>
      </c>
      <c r="K10" s="28">
        <f t="shared" si="7"/>
        <v>79</v>
      </c>
      <c r="L10" s="28">
        <f t="shared" si="7"/>
        <v>92</v>
      </c>
      <c r="M10" s="28">
        <f t="shared" si="7"/>
        <v>105</v>
      </c>
      <c r="N10" s="28">
        <f t="shared" si="7"/>
        <v>91</v>
      </c>
      <c r="O10" s="28">
        <f t="shared" si="7"/>
        <v>99</v>
      </c>
      <c r="P10" s="28">
        <f t="shared" si="7"/>
        <v>100</v>
      </c>
      <c r="Q10" s="28">
        <f t="shared" si="7"/>
        <v>96</v>
      </c>
      <c r="R10" s="28">
        <f t="shared" si="7"/>
        <v>101</v>
      </c>
      <c r="S10" s="28">
        <f t="shared" si="7"/>
        <v>100</v>
      </c>
      <c r="T10" s="28">
        <f t="shared" si="7"/>
        <v>89</v>
      </c>
      <c r="U10" s="28">
        <f t="shared" si="7"/>
        <v>72</v>
      </c>
      <c r="V10" s="28">
        <f t="shared" si="7"/>
        <v>74</v>
      </c>
      <c r="W10" s="28">
        <f t="shared" ref="W10:Y10" si="8">SUM(W11:W12)</f>
        <v>70</v>
      </c>
      <c r="X10" s="28">
        <f t="shared" si="8"/>
        <v>81</v>
      </c>
      <c r="Y10" s="28">
        <f t="shared" si="8"/>
        <v>76</v>
      </c>
      <c r="DA10" s="173" t="s">
        <v>384</v>
      </c>
    </row>
    <row r="11" spans="1:105" ht="11.45" customHeight="1" x14ac:dyDescent="0.25">
      <c r="A11" s="83" t="s">
        <v>90</v>
      </c>
      <c r="B11" s="84">
        <v>491.00000000000006</v>
      </c>
      <c r="C11" s="84">
        <v>516</v>
      </c>
      <c r="D11" s="84">
        <v>422.12374886260244</v>
      </c>
      <c r="E11" s="84">
        <v>394.37852593266609</v>
      </c>
      <c r="F11" s="84">
        <v>378.70982671030441</v>
      </c>
      <c r="G11" s="84">
        <v>280.62119901517246</v>
      </c>
      <c r="H11" s="84">
        <v>190.62544570402378</v>
      </c>
      <c r="I11" s="84">
        <v>121.98755832437158</v>
      </c>
      <c r="J11" s="84">
        <v>97.39328139372914</v>
      </c>
      <c r="K11" s="84">
        <v>75.05374181561875</v>
      </c>
      <c r="L11" s="84">
        <v>87.232486599390882</v>
      </c>
      <c r="M11" s="84">
        <v>99.595809968009149</v>
      </c>
      <c r="N11" s="84">
        <v>86.141486582033252</v>
      </c>
      <c r="O11" s="84">
        <v>94.238918186849929</v>
      </c>
      <c r="P11" s="84">
        <v>95.057039360364584</v>
      </c>
      <c r="Q11" s="84">
        <v>91.028226229118161</v>
      </c>
      <c r="R11" s="84">
        <v>95.248403812795985</v>
      </c>
      <c r="S11" s="84">
        <v>94.420297072714888</v>
      </c>
      <c r="T11" s="84">
        <v>83.372944602714881</v>
      </c>
      <c r="U11" s="84">
        <v>67.246190767865144</v>
      </c>
      <c r="V11" s="84">
        <v>68.062432398138057</v>
      </c>
      <c r="W11" s="84">
        <v>64.776168416511837</v>
      </c>
      <c r="X11" s="84">
        <v>75.808009856421663</v>
      </c>
      <c r="Y11" s="84">
        <v>71.045096549948553</v>
      </c>
      <c r="DA11" s="171" t="s">
        <v>1033</v>
      </c>
    </row>
    <row r="12" spans="1:105" ht="11.45" customHeight="1" x14ac:dyDescent="0.25">
      <c r="A12" s="85" t="s">
        <v>93</v>
      </c>
      <c r="B12" s="86">
        <v>0</v>
      </c>
      <c r="C12" s="86">
        <v>0</v>
      </c>
      <c r="D12" s="86">
        <v>3.8762511373975599</v>
      </c>
      <c r="E12" s="86">
        <v>3.6214740673339065</v>
      </c>
      <c r="F12" s="86">
        <v>20.290173289695588</v>
      </c>
      <c r="G12" s="86">
        <v>22.378800984827535</v>
      </c>
      <c r="H12" s="86">
        <v>14.374554295976225</v>
      </c>
      <c r="I12" s="86">
        <v>7.0124416756284234</v>
      </c>
      <c r="J12" s="86">
        <v>5.6067186062708601</v>
      </c>
      <c r="K12" s="86">
        <v>3.9462581843812501</v>
      </c>
      <c r="L12" s="86">
        <v>4.7675134006091184</v>
      </c>
      <c r="M12" s="86">
        <v>5.4041900319908507</v>
      </c>
      <c r="N12" s="86">
        <v>4.8585134179667477</v>
      </c>
      <c r="O12" s="86">
        <v>4.7610818131500707</v>
      </c>
      <c r="P12" s="86">
        <v>4.942960639635416</v>
      </c>
      <c r="Q12" s="86">
        <v>4.971773770881839</v>
      </c>
      <c r="R12" s="86">
        <v>5.7515961872040151</v>
      </c>
      <c r="S12" s="86">
        <v>5.579702927285112</v>
      </c>
      <c r="T12" s="86">
        <v>5.6270553972851189</v>
      </c>
      <c r="U12" s="86">
        <v>4.7538092321348557</v>
      </c>
      <c r="V12" s="86">
        <v>5.937567601861943</v>
      </c>
      <c r="W12" s="86">
        <v>5.2238315834881632</v>
      </c>
      <c r="X12" s="86">
        <v>5.1919901435783373</v>
      </c>
      <c r="Y12" s="86">
        <v>4.9549034500514466</v>
      </c>
      <c r="DA12" s="178" t="s">
        <v>1034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12.513622058197871</v>
      </c>
      <c r="C14" s="62">
        <f t="shared" ref="C14:V14" si="10">C15+C21</f>
        <v>13.665646787971863</v>
      </c>
      <c r="D14" s="62">
        <f t="shared" si="10"/>
        <v>12.525750067825212</v>
      </c>
      <c r="E14" s="62">
        <f t="shared" si="10"/>
        <v>14.073268375318937</v>
      </c>
      <c r="F14" s="62">
        <f t="shared" si="10"/>
        <v>16.703500684646212</v>
      </c>
      <c r="G14" s="62">
        <f t="shared" si="10"/>
        <v>16.843211378901934</v>
      </c>
      <c r="H14" s="62">
        <f t="shared" si="10"/>
        <v>17.174145071717607</v>
      </c>
      <c r="I14" s="62">
        <f t="shared" si="10"/>
        <v>19.356189103475266</v>
      </c>
      <c r="J14" s="62">
        <f t="shared" si="10"/>
        <v>20.320015762715915</v>
      </c>
      <c r="K14" s="62">
        <f t="shared" si="10"/>
        <v>19.048299136460948</v>
      </c>
      <c r="L14" s="62">
        <f t="shared" si="10"/>
        <v>19.601884864546101</v>
      </c>
      <c r="M14" s="62">
        <f t="shared" si="10"/>
        <v>20.430029493927165</v>
      </c>
      <c r="N14" s="62">
        <f t="shared" si="10"/>
        <v>21.119978365681643</v>
      </c>
      <c r="O14" s="62">
        <f t="shared" si="10"/>
        <v>21.097827936888386</v>
      </c>
      <c r="P14" s="62">
        <f t="shared" si="10"/>
        <v>19.730300339524742</v>
      </c>
      <c r="Q14" s="62">
        <f t="shared" si="10"/>
        <v>22.095202133553823</v>
      </c>
      <c r="R14" s="62">
        <f t="shared" si="10"/>
        <v>23.893280721367955</v>
      </c>
      <c r="S14" s="62">
        <f t="shared" si="10"/>
        <v>25.634943774477406</v>
      </c>
      <c r="T14" s="62">
        <f t="shared" si="10"/>
        <v>27.977114050642935</v>
      </c>
      <c r="U14" s="62">
        <f t="shared" si="10"/>
        <v>29.75956624872352</v>
      </c>
      <c r="V14" s="62">
        <f t="shared" si="10"/>
        <v>24.666094021110343</v>
      </c>
      <c r="W14" s="62">
        <f t="shared" ref="W14:Y14" si="11">W15+W21</f>
        <v>26.687819369810949</v>
      </c>
      <c r="X14" s="62">
        <f t="shared" si="11"/>
        <v>28.648384455104168</v>
      </c>
      <c r="Y14" s="62">
        <f t="shared" si="11"/>
        <v>30.598451371403065</v>
      </c>
      <c r="DA14" s="172" t="s">
        <v>1035</v>
      </c>
    </row>
    <row r="15" spans="1:105" ht="11.45" customHeight="1" x14ac:dyDescent="0.25">
      <c r="A15" s="27" t="s">
        <v>33</v>
      </c>
      <c r="B15" s="29">
        <f t="shared" ref="B15" si="12">SUM(B16,B17,B20)</f>
        <v>11.530372058534091</v>
      </c>
      <c r="C15" s="29">
        <f t="shared" ref="C15:V15" si="13">SUM(C16,C17,C20)</f>
        <v>12.632396788314127</v>
      </c>
      <c r="D15" s="29">
        <f t="shared" si="13"/>
        <v>11.621166131507493</v>
      </c>
      <c r="E15" s="29">
        <f t="shared" si="13"/>
        <v>13.228358210634205</v>
      </c>
      <c r="F15" s="29">
        <f t="shared" si="13"/>
        <v>15.856637571721324</v>
      </c>
      <c r="G15" s="29">
        <f t="shared" si="13"/>
        <v>16.199474014976253</v>
      </c>
      <c r="H15" s="29">
        <f t="shared" si="13"/>
        <v>16.741071609302541</v>
      </c>
      <c r="I15" s="29">
        <f t="shared" si="13"/>
        <v>19.08046640313345</v>
      </c>
      <c r="J15" s="29">
        <f t="shared" si="13"/>
        <v>20.103003708628528</v>
      </c>
      <c r="K15" s="29">
        <f t="shared" si="13"/>
        <v>18.902292826085581</v>
      </c>
      <c r="L15" s="29">
        <f t="shared" si="13"/>
        <v>19.418877397320291</v>
      </c>
      <c r="M15" s="29">
        <f t="shared" si="13"/>
        <v>20.219029493927167</v>
      </c>
      <c r="N15" s="29">
        <f t="shared" si="13"/>
        <v>20.941978365681642</v>
      </c>
      <c r="O15" s="29">
        <f t="shared" si="13"/>
        <v>20.904827936888385</v>
      </c>
      <c r="P15" s="29">
        <f t="shared" si="13"/>
        <v>19.526300339524742</v>
      </c>
      <c r="Q15" s="29">
        <f t="shared" si="13"/>
        <v>21.899202133553821</v>
      </c>
      <c r="R15" s="29">
        <f t="shared" si="13"/>
        <v>23.686780721367956</v>
      </c>
      <c r="S15" s="29">
        <f t="shared" si="13"/>
        <v>25.433943774477406</v>
      </c>
      <c r="T15" s="29">
        <f t="shared" si="13"/>
        <v>27.798114050642937</v>
      </c>
      <c r="U15" s="29">
        <f t="shared" si="13"/>
        <v>29.61006624872352</v>
      </c>
      <c r="V15" s="29">
        <f t="shared" si="13"/>
        <v>24.516094021110344</v>
      </c>
      <c r="W15" s="29">
        <f t="shared" ref="W15:Y15" si="14">SUM(W16,W17,W20)</f>
        <v>26.521897543085135</v>
      </c>
      <c r="X15" s="29">
        <f t="shared" si="14"/>
        <v>28.317810693091356</v>
      </c>
      <c r="Y15" s="29">
        <f t="shared" si="14"/>
        <v>30.419584112244586</v>
      </c>
      <c r="DA15" s="173" t="s">
        <v>1036</v>
      </c>
    </row>
    <row r="16" spans="1:105" ht="11.45" customHeight="1" x14ac:dyDescent="0.25">
      <c r="A16" s="107" t="s">
        <v>23</v>
      </c>
      <c r="B16" s="115">
        <v>0</v>
      </c>
      <c r="C16" s="115">
        <v>0</v>
      </c>
      <c r="D16" s="115">
        <v>0</v>
      </c>
      <c r="E16" s="115">
        <v>0</v>
      </c>
      <c r="F16" s="115">
        <v>0.6347132193939673</v>
      </c>
      <c r="G16" s="115">
        <v>1.3943936429060024</v>
      </c>
      <c r="H16" s="115">
        <v>1.4312284592033289</v>
      </c>
      <c r="I16" s="115">
        <v>2.2322487044705985</v>
      </c>
      <c r="J16" s="115">
        <v>1.7525142379569387</v>
      </c>
      <c r="K16" s="115">
        <v>1.7966468993603282</v>
      </c>
      <c r="L16" s="115">
        <v>1.8016380210775551</v>
      </c>
      <c r="M16" s="115">
        <v>1.8787496497266798</v>
      </c>
      <c r="N16" s="115">
        <v>1.9649357174319635</v>
      </c>
      <c r="O16" s="115">
        <v>2.0990239476433925</v>
      </c>
      <c r="P16" s="115">
        <v>2.1891601750747691</v>
      </c>
      <c r="Q16" s="115">
        <v>2.3786737435463863</v>
      </c>
      <c r="R16" s="115">
        <v>2.3797876920503058</v>
      </c>
      <c r="S16" s="115">
        <v>2.3663218451417647</v>
      </c>
      <c r="T16" s="115">
        <v>3.6301236667261083</v>
      </c>
      <c r="U16" s="115">
        <v>3.485237778600931</v>
      </c>
      <c r="V16" s="115">
        <v>3.062315073552587</v>
      </c>
      <c r="W16" s="115">
        <v>3.1055359839080454</v>
      </c>
      <c r="X16" s="115">
        <v>2.4040144243701058</v>
      </c>
      <c r="Y16" s="115">
        <v>2.4307532788876971</v>
      </c>
      <c r="DA16" s="203" t="s">
        <v>1037</v>
      </c>
    </row>
    <row r="17" spans="1:105" ht="11.45" customHeight="1" x14ac:dyDescent="0.25">
      <c r="A17" s="109" t="s">
        <v>24</v>
      </c>
      <c r="B17" s="116">
        <f t="shared" ref="B17" si="15">SUM(B18:B19)</f>
        <v>11.530372058534091</v>
      </c>
      <c r="C17" s="116">
        <f t="shared" ref="C17:V17" si="16">SUM(C18:C19)</f>
        <v>12.632396788314127</v>
      </c>
      <c r="D17" s="116">
        <f t="shared" si="16"/>
        <v>11.621166131507493</v>
      </c>
      <c r="E17" s="116">
        <f t="shared" si="16"/>
        <v>13.228358210634205</v>
      </c>
      <c r="F17" s="116">
        <f t="shared" si="16"/>
        <v>15.221924352327356</v>
      </c>
      <c r="G17" s="116">
        <f t="shared" si="16"/>
        <v>14.805080372070252</v>
      </c>
      <c r="H17" s="116">
        <f t="shared" si="16"/>
        <v>15.30984315009921</v>
      </c>
      <c r="I17" s="116">
        <f t="shared" si="16"/>
        <v>16.84821769866285</v>
      </c>
      <c r="J17" s="116">
        <f t="shared" si="16"/>
        <v>18.35048947067159</v>
      </c>
      <c r="K17" s="116">
        <f t="shared" si="16"/>
        <v>17.105645926725252</v>
      </c>
      <c r="L17" s="116">
        <f t="shared" si="16"/>
        <v>17.617239376242736</v>
      </c>
      <c r="M17" s="116">
        <f t="shared" si="16"/>
        <v>18.340279844200488</v>
      </c>
      <c r="N17" s="116">
        <f t="shared" si="16"/>
        <v>18.977042648249679</v>
      </c>
      <c r="O17" s="116">
        <f t="shared" si="16"/>
        <v>18.805803989244993</v>
      </c>
      <c r="P17" s="116">
        <f t="shared" si="16"/>
        <v>17.337140164449973</v>
      </c>
      <c r="Q17" s="116">
        <f t="shared" si="16"/>
        <v>19.520528390007435</v>
      </c>
      <c r="R17" s="116">
        <f t="shared" si="16"/>
        <v>21.306993029317649</v>
      </c>
      <c r="S17" s="116">
        <f t="shared" si="16"/>
        <v>23.06762192933564</v>
      </c>
      <c r="T17" s="116">
        <f t="shared" si="16"/>
        <v>24.167990383916827</v>
      </c>
      <c r="U17" s="116">
        <f t="shared" si="16"/>
        <v>26.124828470122587</v>
      </c>
      <c r="V17" s="116">
        <f t="shared" si="16"/>
        <v>21.453778947557758</v>
      </c>
      <c r="W17" s="116">
        <f t="shared" ref="W17:Y17" si="17">SUM(W18:W19)</f>
        <v>23.416361559177091</v>
      </c>
      <c r="X17" s="116">
        <f t="shared" si="17"/>
        <v>25.913796268721249</v>
      </c>
      <c r="Y17" s="116">
        <f t="shared" si="17"/>
        <v>27.988830833356889</v>
      </c>
      <c r="DA17" s="176" t="s">
        <v>1038</v>
      </c>
    </row>
    <row r="18" spans="1:105" ht="11.45" customHeight="1" x14ac:dyDescent="0.25">
      <c r="A18" s="111" t="s">
        <v>92</v>
      </c>
      <c r="B18" s="87">
        <v>10.428132075072236</v>
      </c>
      <c r="C18" s="87">
        <v>11.523902058905964</v>
      </c>
      <c r="D18" s="87">
        <v>10.648456279638538</v>
      </c>
      <c r="E18" s="87">
        <v>12.243555093486984</v>
      </c>
      <c r="F18" s="87">
        <v>13.215327605083797</v>
      </c>
      <c r="G18" s="87">
        <v>12.57307640614162</v>
      </c>
      <c r="H18" s="87">
        <v>13.139525963229573</v>
      </c>
      <c r="I18" s="87">
        <v>15.053575121089157</v>
      </c>
      <c r="J18" s="87">
        <v>16.254981280744616</v>
      </c>
      <c r="K18" s="87">
        <v>15.3893151847147</v>
      </c>
      <c r="L18" s="87">
        <v>15.831330389567714</v>
      </c>
      <c r="M18" s="87">
        <v>16.531775481573032</v>
      </c>
      <c r="N18" s="87">
        <v>17.178724660233737</v>
      </c>
      <c r="O18" s="87">
        <v>17.168451519254134</v>
      </c>
      <c r="P18" s="87">
        <v>15.805518268058909</v>
      </c>
      <c r="Q18" s="87">
        <v>17.885863805469906</v>
      </c>
      <c r="R18" s="87">
        <v>19.467704066242813</v>
      </c>
      <c r="S18" s="87">
        <v>21.16916865966045</v>
      </c>
      <c r="T18" s="87">
        <v>22.290587186248981</v>
      </c>
      <c r="U18" s="87">
        <v>24.109989016528296</v>
      </c>
      <c r="V18" s="87">
        <v>19.535756577199454</v>
      </c>
      <c r="W18" s="87">
        <v>21.452487685059111</v>
      </c>
      <c r="X18" s="87">
        <v>23.817990439451652</v>
      </c>
      <c r="Y18" s="87">
        <v>25.721975998323131</v>
      </c>
      <c r="DA18" s="171" t="s">
        <v>1039</v>
      </c>
    </row>
    <row r="19" spans="1:105" ht="11.45" customHeight="1" x14ac:dyDescent="0.25">
      <c r="A19" s="111" t="s">
        <v>93</v>
      </c>
      <c r="B19" s="87">
        <v>1.102239983461855</v>
      </c>
      <c r="C19" s="87">
        <v>1.1084947294081626</v>
      </c>
      <c r="D19" s="87">
        <v>0.97270985186895587</v>
      </c>
      <c r="E19" s="87">
        <v>0.98480311714722113</v>
      </c>
      <c r="F19" s="87">
        <v>2.0065967472435595</v>
      </c>
      <c r="G19" s="87">
        <v>2.2320039659286319</v>
      </c>
      <c r="H19" s="87">
        <v>2.1703171868696369</v>
      </c>
      <c r="I19" s="87">
        <v>1.7946425775736934</v>
      </c>
      <c r="J19" s="87">
        <v>2.0955081899269743</v>
      </c>
      <c r="K19" s="87">
        <v>1.7163307420105518</v>
      </c>
      <c r="L19" s="87">
        <v>1.7859089866750217</v>
      </c>
      <c r="M19" s="87">
        <v>1.8085043626274562</v>
      </c>
      <c r="N19" s="87">
        <v>1.7983179880159417</v>
      </c>
      <c r="O19" s="87">
        <v>1.6373524699908586</v>
      </c>
      <c r="P19" s="87">
        <v>1.5316218963910642</v>
      </c>
      <c r="Q19" s="87">
        <v>1.6346645845375285</v>
      </c>
      <c r="R19" s="87">
        <v>1.8392889630748357</v>
      </c>
      <c r="S19" s="87">
        <v>1.8984532696751906</v>
      </c>
      <c r="T19" s="87">
        <v>1.8774031976678458</v>
      </c>
      <c r="U19" s="87">
        <v>2.0148394535942913</v>
      </c>
      <c r="V19" s="87">
        <v>1.9180223703583046</v>
      </c>
      <c r="W19" s="87">
        <v>1.9638738741179793</v>
      </c>
      <c r="X19" s="87">
        <v>2.0958058292695974</v>
      </c>
      <c r="Y19" s="87">
        <v>2.2668548350337581</v>
      </c>
      <c r="DA19" s="171" t="s">
        <v>1040</v>
      </c>
    </row>
    <row r="20" spans="1:105" ht="11.45" customHeight="1" x14ac:dyDescent="0.25">
      <c r="A20" s="112" t="s">
        <v>25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  <c r="O20" s="117">
        <v>0</v>
      </c>
      <c r="P20" s="117">
        <v>0</v>
      </c>
      <c r="Q20" s="117">
        <v>0</v>
      </c>
      <c r="R20" s="117">
        <v>0</v>
      </c>
      <c r="S20" s="117">
        <v>0</v>
      </c>
      <c r="T20" s="117">
        <v>0</v>
      </c>
      <c r="U20" s="117">
        <v>0</v>
      </c>
      <c r="V20" s="117">
        <v>0</v>
      </c>
      <c r="W20" s="117">
        <v>0</v>
      </c>
      <c r="X20" s="117">
        <v>0</v>
      </c>
      <c r="Y20" s="117">
        <v>0</v>
      </c>
      <c r="DA20" s="204" t="s">
        <v>1041</v>
      </c>
    </row>
    <row r="21" spans="1:105" ht="11.45" customHeight="1" x14ac:dyDescent="0.25">
      <c r="A21" s="27" t="s">
        <v>34</v>
      </c>
      <c r="B21" s="29">
        <f t="shared" ref="B21" si="18">SUM(B22:B23)</f>
        <v>0.98324999966378024</v>
      </c>
      <c r="C21" s="29">
        <f t="shared" ref="C21:V21" si="19">SUM(C22:C23)</f>
        <v>1.0332499996577356</v>
      </c>
      <c r="D21" s="29">
        <f t="shared" si="19"/>
        <v>0.90458393631771872</v>
      </c>
      <c r="E21" s="29">
        <f t="shared" si="19"/>
        <v>0.84491016468473279</v>
      </c>
      <c r="F21" s="29">
        <f t="shared" si="19"/>
        <v>0.84686311292488647</v>
      </c>
      <c r="G21" s="29">
        <f t="shared" si="19"/>
        <v>0.64373736392567993</v>
      </c>
      <c r="H21" s="29">
        <f t="shared" si="19"/>
        <v>0.433073462415068</v>
      </c>
      <c r="I21" s="29">
        <f t="shared" si="19"/>
        <v>0.27572270034181529</v>
      </c>
      <c r="J21" s="29">
        <f t="shared" si="19"/>
        <v>0.21701205408738633</v>
      </c>
      <c r="K21" s="29">
        <f t="shared" si="19"/>
        <v>0.14600631037536765</v>
      </c>
      <c r="L21" s="29">
        <f t="shared" si="19"/>
        <v>0.18300746722581115</v>
      </c>
      <c r="M21" s="29">
        <f t="shared" si="19"/>
        <v>0.21099999999999999</v>
      </c>
      <c r="N21" s="29">
        <f t="shared" si="19"/>
        <v>0.17799999999999999</v>
      </c>
      <c r="O21" s="29">
        <f t="shared" si="19"/>
        <v>0.19299999999999998</v>
      </c>
      <c r="P21" s="29">
        <f t="shared" si="19"/>
        <v>0.20399999999999999</v>
      </c>
      <c r="Q21" s="29">
        <f t="shared" si="19"/>
        <v>0.19600000000000001</v>
      </c>
      <c r="R21" s="29">
        <f t="shared" si="19"/>
        <v>0.20649999999999999</v>
      </c>
      <c r="S21" s="29">
        <f t="shared" si="19"/>
        <v>0.20100000000000001</v>
      </c>
      <c r="T21" s="29">
        <f t="shared" si="19"/>
        <v>0.17899999999999999</v>
      </c>
      <c r="U21" s="29">
        <f t="shared" si="19"/>
        <v>0.14949999999999999</v>
      </c>
      <c r="V21" s="29">
        <f t="shared" si="19"/>
        <v>0.15</v>
      </c>
      <c r="W21" s="29">
        <f t="shared" ref="W21:Y21" si="20">SUM(W22:W23)</f>
        <v>0.16592182672581293</v>
      </c>
      <c r="X21" s="29">
        <f t="shared" si="20"/>
        <v>0.3305737620128098</v>
      </c>
      <c r="Y21" s="29">
        <f t="shared" si="20"/>
        <v>0.17886725915848048</v>
      </c>
      <c r="DA21" s="173" t="s">
        <v>1042</v>
      </c>
    </row>
    <row r="22" spans="1:105" ht="11.45" customHeight="1" x14ac:dyDescent="0.25">
      <c r="A22" s="83" t="s">
        <v>92</v>
      </c>
      <c r="B22" s="87">
        <v>0.98324999966378024</v>
      </c>
      <c r="C22" s="87">
        <v>1.0332499996577356</v>
      </c>
      <c r="D22" s="87">
        <v>0.8951391528832453</v>
      </c>
      <c r="E22" s="87">
        <v>0.83630421584697345</v>
      </c>
      <c r="F22" s="87">
        <v>0.799744214598751</v>
      </c>
      <c r="G22" s="87">
        <v>0.59183215294702562</v>
      </c>
      <c r="H22" s="87">
        <v>0.39990482557405016</v>
      </c>
      <c r="I22" s="87">
        <v>0.25931630782286202</v>
      </c>
      <c r="J22" s="87">
        <v>0.20407584655244987</v>
      </c>
      <c r="K22" s="87">
        <v>0.13801697372114069</v>
      </c>
      <c r="L22" s="87">
        <v>0.17262160140096031</v>
      </c>
      <c r="M22" s="87">
        <v>0.19911493117111509</v>
      </c>
      <c r="N22" s="87">
        <v>0.16760111373322656</v>
      </c>
      <c r="O22" s="87">
        <v>0.18283860471617508</v>
      </c>
      <c r="P22" s="87">
        <v>0.19296291113353184</v>
      </c>
      <c r="Q22" s="87">
        <v>0.18489175358141996</v>
      </c>
      <c r="R22" s="87">
        <v>0.19363784867454337</v>
      </c>
      <c r="S22" s="87">
        <v>0.18873173012908412</v>
      </c>
      <c r="T22" s="87">
        <v>0.16662914540099547</v>
      </c>
      <c r="U22" s="87">
        <v>0.13871338641803285</v>
      </c>
      <c r="V22" s="87">
        <v>0.13686621110320418</v>
      </c>
      <c r="W22" s="87">
        <v>0.15241253368819738</v>
      </c>
      <c r="X22" s="87">
        <v>0.30764408825448869</v>
      </c>
      <c r="Y22" s="87">
        <v>0.1660637577738126</v>
      </c>
      <c r="DA22" s="171" t="s">
        <v>1043</v>
      </c>
    </row>
    <row r="23" spans="1:105" ht="11.45" customHeight="1" x14ac:dyDescent="0.25">
      <c r="A23" s="85" t="s">
        <v>93</v>
      </c>
      <c r="B23" s="88">
        <v>0</v>
      </c>
      <c r="C23" s="88">
        <v>0</v>
      </c>
      <c r="D23" s="88">
        <v>9.4447834344734138E-3</v>
      </c>
      <c r="E23" s="88">
        <v>8.6059488377593363E-3</v>
      </c>
      <c r="F23" s="88">
        <v>4.7118898326135472E-2</v>
      </c>
      <c r="G23" s="88">
        <v>5.1905210978654304E-2</v>
      </c>
      <c r="H23" s="88">
        <v>3.316863684101784E-2</v>
      </c>
      <c r="I23" s="88">
        <v>1.6406392518953261E-2</v>
      </c>
      <c r="J23" s="88">
        <v>1.2936207534936461E-2</v>
      </c>
      <c r="K23" s="88">
        <v>7.9893366542269639E-3</v>
      </c>
      <c r="L23" s="88">
        <v>1.0385865824850848E-2</v>
      </c>
      <c r="M23" s="88">
        <v>1.1885068828884904E-2</v>
      </c>
      <c r="N23" s="88">
        <v>1.0398886266773433E-2</v>
      </c>
      <c r="O23" s="88">
        <v>1.0161395283824898E-2</v>
      </c>
      <c r="P23" s="88">
        <v>1.1037088866468148E-2</v>
      </c>
      <c r="Q23" s="88">
        <v>1.1108246418580048E-2</v>
      </c>
      <c r="R23" s="88">
        <v>1.2862151325456622E-2</v>
      </c>
      <c r="S23" s="88">
        <v>1.2268269870915893E-2</v>
      </c>
      <c r="T23" s="88">
        <v>1.2370854599004527E-2</v>
      </c>
      <c r="U23" s="88">
        <v>1.0786613581967142E-2</v>
      </c>
      <c r="V23" s="88">
        <v>1.3133788896795812E-2</v>
      </c>
      <c r="W23" s="88">
        <v>1.3509293037615553E-2</v>
      </c>
      <c r="X23" s="88">
        <v>2.2929673758321112E-2</v>
      </c>
      <c r="Y23" s="88">
        <v>1.2803501384667876E-2</v>
      </c>
      <c r="DA23" s="178" t="s">
        <v>1044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81.785398000000001</v>
      </c>
      <c r="C25" s="62">
        <f t="shared" ref="C25:V25" si="22">C26+C32</f>
        <v>89.382229000000009</v>
      </c>
      <c r="D25" s="62">
        <f t="shared" si="22"/>
        <v>82.366697000000002</v>
      </c>
      <c r="E25" s="62">
        <f t="shared" si="22"/>
        <v>92.419279999999986</v>
      </c>
      <c r="F25" s="62">
        <f t="shared" si="22"/>
        <v>111.483935</v>
      </c>
      <c r="G25" s="62">
        <f t="shared" si="22"/>
        <v>115.14346699999999</v>
      </c>
      <c r="H25" s="62">
        <f t="shared" si="22"/>
        <v>118.351789</v>
      </c>
      <c r="I25" s="62">
        <f t="shared" si="22"/>
        <v>137.16766900000002</v>
      </c>
      <c r="J25" s="62">
        <f t="shared" si="22"/>
        <v>144.92151700000002</v>
      </c>
      <c r="K25" s="62">
        <f t="shared" si="22"/>
        <v>137.923959</v>
      </c>
      <c r="L25" s="62">
        <f t="shared" si="22"/>
        <v>139.64427600000002</v>
      </c>
      <c r="M25" s="62">
        <f t="shared" si="22"/>
        <v>143.81680600000001</v>
      </c>
      <c r="N25" s="62">
        <f t="shared" si="22"/>
        <v>147.90432300000001</v>
      </c>
      <c r="O25" s="62">
        <f t="shared" si="22"/>
        <v>147.17719700000001</v>
      </c>
      <c r="P25" s="62">
        <f t="shared" si="22"/>
        <v>139.54090400000001</v>
      </c>
      <c r="Q25" s="62">
        <f t="shared" si="22"/>
        <v>152.94515000000001</v>
      </c>
      <c r="R25" s="62">
        <f t="shared" si="22"/>
        <v>164.90877200000003</v>
      </c>
      <c r="S25" s="62">
        <f t="shared" si="22"/>
        <v>176.62176799999997</v>
      </c>
      <c r="T25" s="62">
        <f t="shared" si="22"/>
        <v>195.21373499999999</v>
      </c>
      <c r="U25" s="62">
        <f t="shared" si="22"/>
        <v>208.119744</v>
      </c>
      <c r="V25" s="62">
        <f t="shared" si="22"/>
        <v>200.51297299999999</v>
      </c>
      <c r="W25" s="62">
        <f t="shared" ref="W25:Y25" si="23">W26+W32</f>
        <v>193.94429299999999</v>
      </c>
      <c r="X25" s="62">
        <f t="shared" si="23"/>
        <v>207.557515</v>
      </c>
      <c r="Y25" s="62">
        <f t="shared" si="23"/>
        <v>220.89945400000002</v>
      </c>
      <c r="DA25" s="172" t="s">
        <v>1045</v>
      </c>
    </row>
    <row r="26" spans="1:105" ht="11.45" customHeight="1" x14ac:dyDescent="0.25">
      <c r="A26" s="27" t="s">
        <v>33</v>
      </c>
      <c r="B26" s="29">
        <f t="shared" ref="B26" si="24">SUM(B27,B28,B31)</f>
        <v>76.869147999999996</v>
      </c>
      <c r="C26" s="29">
        <f t="shared" ref="C26:V26" si="25">SUM(C27,C28,C31)</f>
        <v>84.215979000000004</v>
      </c>
      <c r="D26" s="29">
        <f t="shared" si="25"/>
        <v>77.644847999999996</v>
      </c>
      <c r="E26" s="29">
        <f t="shared" si="25"/>
        <v>88.189055999999994</v>
      </c>
      <c r="F26" s="29">
        <f t="shared" si="25"/>
        <v>107.249618</v>
      </c>
      <c r="G26" s="29">
        <f t="shared" si="25"/>
        <v>111.37684299999999</v>
      </c>
      <c r="H26" s="29">
        <f t="shared" si="25"/>
        <v>115.07679</v>
      </c>
      <c r="I26" s="29">
        <f t="shared" si="25"/>
        <v>134.38429500000001</v>
      </c>
      <c r="J26" s="29">
        <f t="shared" si="25"/>
        <v>142.62976800000001</v>
      </c>
      <c r="K26" s="29">
        <f t="shared" si="25"/>
        <v>136.12383499999999</v>
      </c>
      <c r="L26" s="29">
        <f t="shared" si="25"/>
        <v>138.33577700000001</v>
      </c>
      <c r="M26" s="29">
        <f t="shared" si="25"/>
        <v>142.56170400000002</v>
      </c>
      <c r="N26" s="29">
        <f t="shared" si="25"/>
        <v>146.80679000000001</v>
      </c>
      <c r="O26" s="29">
        <f t="shared" si="25"/>
        <v>146.00347600000001</v>
      </c>
      <c r="P26" s="29">
        <f t="shared" si="25"/>
        <v>138.316562</v>
      </c>
      <c r="Q26" s="29">
        <f t="shared" si="25"/>
        <v>151.76116400000001</v>
      </c>
      <c r="R26" s="29">
        <f t="shared" si="25"/>
        <v>163.68105500000001</v>
      </c>
      <c r="S26" s="29">
        <f t="shared" si="25"/>
        <v>175.41858199999999</v>
      </c>
      <c r="T26" s="29">
        <f t="shared" si="25"/>
        <v>194.12106199999999</v>
      </c>
      <c r="U26" s="29">
        <f t="shared" si="25"/>
        <v>207.16665</v>
      </c>
      <c r="V26" s="29">
        <f t="shared" si="25"/>
        <v>199.56911399999998</v>
      </c>
      <c r="W26" s="29">
        <f t="shared" ref="W26:Y26" si="26">SUM(W27,W28,W31)</f>
        <v>192.92270299999998</v>
      </c>
      <c r="X26" s="29">
        <f t="shared" si="26"/>
        <v>205.75976699999998</v>
      </c>
      <c r="Y26" s="29">
        <f t="shared" si="26"/>
        <v>219.59333100000001</v>
      </c>
      <c r="DA26" s="173" t="s">
        <v>1046</v>
      </c>
    </row>
    <row r="27" spans="1:105" ht="11.45" customHeight="1" x14ac:dyDescent="0.25">
      <c r="A27" s="107" t="s">
        <v>23</v>
      </c>
      <c r="B27" s="115">
        <v>0</v>
      </c>
      <c r="C27" s="115">
        <v>0</v>
      </c>
      <c r="D27" s="115">
        <v>0</v>
      </c>
      <c r="E27" s="115">
        <v>0</v>
      </c>
      <c r="F27" s="115">
        <v>5.7701210000000005</v>
      </c>
      <c r="G27" s="115">
        <v>12.676305999999999</v>
      </c>
      <c r="H27" s="115">
        <v>13.011168</v>
      </c>
      <c r="I27" s="115">
        <v>20.293171000000001</v>
      </c>
      <c r="J27" s="115">
        <v>20.293171000000001</v>
      </c>
      <c r="K27" s="115">
        <v>20.293171000000001</v>
      </c>
      <c r="L27" s="115">
        <v>20.293171000000001</v>
      </c>
      <c r="M27" s="115">
        <v>20.293171000000001</v>
      </c>
      <c r="N27" s="115">
        <v>20.293171000000001</v>
      </c>
      <c r="O27" s="115">
        <v>20.293171000000001</v>
      </c>
      <c r="P27" s="115">
        <v>20.293171000000001</v>
      </c>
      <c r="Q27" s="115">
        <v>21.624307000000002</v>
      </c>
      <c r="R27" s="115">
        <v>21.634434000000002</v>
      </c>
      <c r="S27" s="115">
        <v>21.634433999999999</v>
      </c>
      <c r="T27" s="115">
        <v>33.001124999999995</v>
      </c>
      <c r="U27" s="115">
        <v>33.001125000000002</v>
      </c>
      <c r="V27" s="115">
        <v>33.001125000000002</v>
      </c>
      <c r="W27" s="115">
        <v>33.001125000000002</v>
      </c>
      <c r="X27" s="115">
        <v>33.001125000000002</v>
      </c>
      <c r="Y27" s="115">
        <v>33.001125000000002</v>
      </c>
      <c r="DA27" s="203" t="s">
        <v>1047</v>
      </c>
    </row>
    <row r="28" spans="1:105" ht="11.45" customHeight="1" x14ac:dyDescent="0.25">
      <c r="A28" s="109" t="s">
        <v>24</v>
      </c>
      <c r="B28" s="116">
        <f t="shared" ref="B28" si="27">SUM(B29:B30)</f>
        <v>76.869147999999996</v>
      </c>
      <c r="C28" s="116">
        <f t="shared" ref="C28:V28" si="28">SUM(C29:C30)</f>
        <v>84.215979000000004</v>
      </c>
      <c r="D28" s="116">
        <f t="shared" si="28"/>
        <v>77.644847999999996</v>
      </c>
      <c r="E28" s="116">
        <f t="shared" si="28"/>
        <v>88.189055999999994</v>
      </c>
      <c r="F28" s="116">
        <f t="shared" si="28"/>
        <v>101.47949699999999</v>
      </c>
      <c r="G28" s="116">
        <f t="shared" si="28"/>
        <v>98.700536999999997</v>
      </c>
      <c r="H28" s="116">
        <f t="shared" si="28"/>
        <v>102.065622</v>
      </c>
      <c r="I28" s="116">
        <f t="shared" si="28"/>
        <v>114.09112400000001</v>
      </c>
      <c r="J28" s="116">
        <f t="shared" si="28"/>
        <v>122.336597</v>
      </c>
      <c r="K28" s="116">
        <f t="shared" si="28"/>
        <v>115.830664</v>
      </c>
      <c r="L28" s="116">
        <f t="shared" si="28"/>
        <v>118.04260600000001</v>
      </c>
      <c r="M28" s="116">
        <f t="shared" si="28"/>
        <v>122.26853300000001</v>
      </c>
      <c r="N28" s="116">
        <f t="shared" si="28"/>
        <v>126.51361900000001</v>
      </c>
      <c r="O28" s="116">
        <f t="shared" si="28"/>
        <v>125.71030500000001</v>
      </c>
      <c r="P28" s="116">
        <f t="shared" si="28"/>
        <v>118.023391</v>
      </c>
      <c r="Q28" s="116">
        <f t="shared" si="28"/>
        <v>130.13685699999999</v>
      </c>
      <c r="R28" s="116">
        <f t="shared" si="28"/>
        <v>142.04662100000002</v>
      </c>
      <c r="S28" s="116">
        <f t="shared" si="28"/>
        <v>153.78414799999999</v>
      </c>
      <c r="T28" s="116">
        <f t="shared" si="28"/>
        <v>161.11993699999999</v>
      </c>
      <c r="U28" s="116">
        <f t="shared" si="28"/>
        <v>174.165525</v>
      </c>
      <c r="V28" s="116">
        <f t="shared" si="28"/>
        <v>166.56798899999998</v>
      </c>
      <c r="W28" s="116">
        <f t="shared" ref="W28:Y28" si="29">SUM(W29:W30)</f>
        <v>159.92157799999998</v>
      </c>
      <c r="X28" s="116">
        <f t="shared" si="29"/>
        <v>172.75864199999998</v>
      </c>
      <c r="Y28" s="116">
        <f t="shared" si="29"/>
        <v>186.592206</v>
      </c>
      <c r="DA28" s="176" t="s">
        <v>1048</v>
      </c>
    </row>
    <row r="29" spans="1:105" ht="11.45" customHeight="1" x14ac:dyDescent="0.25">
      <c r="A29" s="111" t="s">
        <v>92</v>
      </c>
      <c r="B29" s="87">
        <v>69.520881000000003</v>
      </c>
      <c r="C29" s="87">
        <v>76.826014000000001</v>
      </c>
      <c r="D29" s="87">
        <v>70.989708999999991</v>
      </c>
      <c r="E29" s="87">
        <v>81.623700999999997</v>
      </c>
      <c r="F29" s="87">
        <v>88.102184999999992</v>
      </c>
      <c r="G29" s="87">
        <v>83.820509999999999</v>
      </c>
      <c r="H29" s="87">
        <v>87.59684</v>
      </c>
      <c r="I29" s="87">
        <v>100.357168</v>
      </c>
      <c r="J29" s="87">
        <v>108.366542</v>
      </c>
      <c r="K29" s="87">
        <v>102.59543499999999</v>
      </c>
      <c r="L29" s="87">
        <v>105.542203</v>
      </c>
      <c r="M29" s="87">
        <v>110.211837</v>
      </c>
      <c r="N29" s="87">
        <v>114.524832</v>
      </c>
      <c r="O29" s="87">
        <v>114.456344</v>
      </c>
      <c r="P29" s="87">
        <v>107.504256</v>
      </c>
      <c r="Q29" s="87">
        <v>119.239093</v>
      </c>
      <c r="R29" s="87">
        <v>129.784694</v>
      </c>
      <c r="S29" s="87">
        <v>141.127792</v>
      </c>
      <c r="T29" s="87">
        <v>148.603915</v>
      </c>
      <c r="U29" s="87">
        <v>160.733261</v>
      </c>
      <c r="V29" s="87">
        <v>153.781173</v>
      </c>
      <c r="W29" s="87">
        <v>146.82908499999999</v>
      </c>
      <c r="X29" s="87">
        <v>158.78660299999999</v>
      </c>
      <c r="Y29" s="87">
        <v>171.47984</v>
      </c>
      <c r="DA29" s="171" t="s">
        <v>1049</v>
      </c>
    </row>
    <row r="30" spans="1:105" ht="11.45" customHeight="1" x14ac:dyDescent="0.25">
      <c r="A30" s="111" t="s">
        <v>93</v>
      </c>
      <c r="B30" s="87">
        <v>7.3482669999999999</v>
      </c>
      <c r="C30" s="87">
        <v>7.3899650000000001</v>
      </c>
      <c r="D30" s="87">
        <v>6.6551390000000001</v>
      </c>
      <c r="E30" s="87">
        <v>6.5653550000000003</v>
      </c>
      <c r="F30" s="87">
        <v>13.377312</v>
      </c>
      <c r="G30" s="87">
        <v>14.880027</v>
      </c>
      <c r="H30" s="87">
        <v>14.468781999999999</v>
      </c>
      <c r="I30" s="87">
        <v>13.733955999999999</v>
      </c>
      <c r="J30" s="87">
        <v>13.970054999999999</v>
      </c>
      <c r="K30" s="87">
        <v>13.235228999999999</v>
      </c>
      <c r="L30" s="87">
        <v>12.500402999999999</v>
      </c>
      <c r="M30" s="87">
        <v>12.056695999999999</v>
      </c>
      <c r="N30" s="87">
        <v>11.988786999999999</v>
      </c>
      <c r="O30" s="87">
        <v>11.253960999999999</v>
      </c>
      <c r="P30" s="87">
        <v>10.519134999999999</v>
      </c>
      <c r="Q30" s="87">
        <v>10.897763999999999</v>
      </c>
      <c r="R30" s="87">
        <v>12.261927</v>
      </c>
      <c r="S30" s="87">
        <v>12.656355999999999</v>
      </c>
      <c r="T30" s="87">
        <v>12.516022</v>
      </c>
      <c r="U30" s="87">
        <v>13.432264</v>
      </c>
      <c r="V30" s="87">
        <v>12.786816</v>
      </c>
      <c r="W30" s="87">
        <v>13.092492999999999</v>
      </c>
      <c r="X30" s="87">
        <v>13.972038999999999</v>
      </c>
      <c r="Y30" s="87">
        <v>15.112366</v>
      </c>
      <c r="DA30" s="171" t="s">
        <v>1050</v>
      </c>
    </row>
    <row r="31" spans="1:105" ht="11.45" customHeight="1" x14ac:dyDescent="0.25">
      <c r="A31" s="112" t="s">
        <v>25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  <c r="O31" s="117">
        <v>0</v>
      </c>
      <c r="P31" s="117">
        <v>0</v>
      </c>
      <c r="Q31" s="117">
        <v>0</v>
      </c>
      <c r="R31" s="117">
        <v>0</v>
      </c>
      <c r="S31" s="117">
        <v>0</v>
      </c>
      <c r="T31" s="117">
        <v>0</v>
      </c>
      <c r="U31" s="117">
        <v>0</v>
      </c>
      <c r="V31" s="117">
        <v>0</v>
      </c>
      <c r="W31" s="117">
        <v>0</v>
      </c>
      <c r="X31" s="117">
        <v>0</v>
      </c>
      <c r="Y31" s="117">
        <v>0</v>
      </c>
      <c r="DA31" s="204" t="s">
        <v>1051</v>
      </c>
    </row>
    <row r="32" spans="1:105" ht="11.45" customHeight="1" x14ac:dyDescent="0.25">
      <c r="A32" s="27" t="s">
        <v>34</v>
      </c>
      <c r="B32" s="29">
        <f t="shared" ref="B32" si="30">SUM(B33:B34)</f>
        <v>4.9162499999999998</v>
      </c>
      <c r="C32" s="29">
        <f t="shared" ref="C32:V32" si="31">SUM(C33:C34)</f>
        <v>5.1662499999999998</v>
      </c>
      <c r="D32" s="29">
        <f t="shared" si="31"/>
        <v>4.7218489999999997</v>
      </c>
      <c r="E32" s="29">
        <f t="shared" si="31"/>
        <v>4.2302239999999998</v>
      </c>
      <c r="F32" s="29">
        <f t="shared" si="31"/>
        <v>4.2343170000000008</v>
      </c>
      <c r="G32" s="29">
        <f t="shared" si="31"/>
        <v>3.7666239999999998</v>
      </c>
      <c r="H32" s="29">
        <f t="shared" si="31"/>
        <v>3.2749989999999998</v>
      </c>
      <c r="I32" s="29">
        <f t="shared" si="31"/>
        <v>2.7833739999999998</v>
      </c>
      <c r="J32" s="29">
        <f t="shared" si="31"/>
        <v>2.2917489999999998</v>
      </c>
      <c r="K32" s="29">
        <f t="shared" si="31"/>
        <v>1.8001240000000001</v>
      </c>
      <c r="L32" s="29">
        <f t="shared" si="31"/>
        <v>1.3084990000000001</v>
      </c>
      <c r="M32" s="29">
        <f t="shared" si="31"/>
        <v>1.2551019999999999</v>
      </c>
      <c r="N32" s="29">
        <f t="shared" si="31"/>
        <v>1.0975330000000001</v>
      </c>
      <c r="O32" s="29">
        <f t="shared" si="31"/>
        <v>1.173721</v>
      </c>
      <c r="P32" s="29">
        <f t="shared" si="31"/>
        <v>1.224342</v>
      </c>
      <c r="Q32" s="29">
        <f t="shared" si="31"/>
        <v>1.183986</v>
      </c>
      <c r="R32" s="29">
        <f t="shared" si="31"/>
        <v>1.2277169999999999</v>
      </c>
      <c r="S32" s="29">
        <f t="shared" si="31"/>
        <v>1.2031860000000001</v>
      </c>
      <c r="T32" s="29">
        <f t="shared" si="31"/>
        <v>1.092673</v>
      </c>
      <c r="U32" s="29">
        <f t="shared" si="31"/>
        <v>0.95309400000000011</v>
      </c>
      <c r="V32" s="29">
        <f t="shared" si="31"/>
        <v>0.943859</v>
      </c>
      <c r="W32" s="29">
        <f t="shared" ref="W32:Y32" si="32">SUM(W33:W34)</f>
        <v>1.02159</v>
      </c>
      <c r="X32" s="29">
        <f t="shared" si="32"/>
        <v>1.7977479999999999</v>
      </c>
      <c r="Y32" s="29">
        <f t="shared" si="32"/>
        <v>1.3061230000000001</v>
      </c>
      <c r="DA32" s="173" t="s">
        <v>1052</v>
      </c>
    </row>
    <row r="33" spans="1:105" ht="11.45" customHeight="1" x14ac:dyDescent="0.25">
      <c r="A33" s="83" t="s">
        <v>92</v>
      </c>
      <c r="B33" s="87">
        <v>4.9162499999999998</v>
      </c>
      <c r="C33" s="87">
        <v>5.1662499999999998</v>
      </c>
      <c r="D33" s="87">
        <v>4.6746249999999998</v>
      </c>
      <c r="E33" s="87">
        <v>4.1829999999999998</v>
      </c>
      <c r="F33" s="87">
        <v>3.9987220000000003</v>
      </c>
      <c r="G33" s="87">
        <v>3.5070969999999999</v>
      </c>
      <c r="H33" s="87">
        <v>3.0154719999999999</v>
      </c>
      <c r="I33" s="87">
        <v>2.523847</v>
      </c>
      <c r="J33" s="87">
        <v>2.032222</v>
      </c>
      <c r="K33" s="87">
        <v>1.540597</v>
      </c>
      <c r="L33" s="87">
        <v>1.048972</v>
      </c>
      <c r="M33" s="87">
        <v>0.99557499999999999</v>
      </c>
      <c r="N33" s="87">
        <v>0.83800600000000003</v>
      </c>
      <c r="O33" s="87">
        <v>0.91419400000000006</v>
      </c>
      <c r="P33" s="87">
        <v>0.96481499999999998</v>
      </c>
      <c r="Q33" s="87">
        <v>0.92445900000000003</v>
      </c>
      <c r="R33" s="87">
        <v>0.96819</v>
      </c>
      <c r="S33" s="87">
        <v>0.94365900000000003</v>
      </c>
      <c r="T33" s="87">
        <v>0.83314600000000005</v>
      </c>
      <c r="U33" s="87">
        <v>0.69356700000000004</v>
      </c>
      <c r="V33" s="87">
        <v>0.68433200000000005</v>
      </c>
      <c r="W33" s="87">
        <v>0.76206300000000005</v>
      </c>
      <c r="X33" s="87">
        <v>1.5382209999999998</v>
      </c>
      <c r="Y33" s="87">
        <v>1.0465960000000001</v>
      </c>
      <c r="DA33" s="171" t="s">
        <v>1053</v>
      </c>
    </row>
    <row r="34" spans="1:105" ht="11.45" customHeight="1" x14ac:dyDescent="0.25">
      <c r="A34" s="85" t="s">
        <v>93</v>
      </c>
      <c r="B34" s="88">
        <v>0</v>
      </c>
      <c r="C34" s="88">
        <v>0</v>
      </c>
      <c r="D34" s="88">
        <v>4.7224000000000002E-2</v>
      </c>
      <c r="E34" s="88">
        <v>4.7224000000000002E-2</v>
      </c>
      <c r="F34" s="88">
        <v>0.235595</v>
      </c>
      <c r="G34" s="88">
        <v>0.25952699999999995</v>
      </c>
      <c r="H34" s="88">
        <v>0.25952700000000001</v>
      </c>
      <c r="I34" s="88">
        <v>0.25952700000000001</v>
      </c>
      <c r="J34" s="88">
        <v>0.25952700000000001</v>
      </c>
      <c r="K34" s="88">
        <v>0.25952700000000001</v>
      </c>
      <c r="L34" s="88">
        <v>0.25952700000000001</v>
      </c>
      <c r="M34" s="88">
        <v>0.25952700000000001</v>
      </c>
      <c r="N34" s="88">
        <v>0.25952700000000001</v>
      </c>
      <c r="O34" s="88">
        <v>0.25952700000000001</v>
      </c>
      <c r="P34" s="88">
        <v>0.25952700000000001</v>
      </c>
      <c r="Q34" s="88">
        <v>0.25952700000000001</v>
      </c>
      <c r="R34" s="88">
        <v>0.25952700000000001</v>
      </c>
      <c r="S34" s="88">
        <v>0.25952700000000001</v>
      </c>
      <c r="T34" s="88">
        <v>0.25952700000000001</v>
      </c>
      <c r="U34" s="88">
        <v>0.25952700000000001</v>
      </c>
      <c r="V34" s="88">
        <v>0.25952700000000001</v>
      </c>
      <c r="W34" s="88">
        <v>0.25952700000000001</v>
      </c>
      <c r="X34" s="88">
        <v>0.25952700000000001</v>
      </c>
      <c r="Y34" s="88">
        <v>0.25952700000000001</v>
      </c>
      <c r="DA34" s="178" t="s">
        <v>1054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10.575490999999996</v>
      </c>
      <c r="D36" s="54">
        <f t="shared" ref="D36:V36" si="34">D37+D43</f>
        <v>4.7224000000000002E-2</v>
      </c>
      <c r="E36" s="54">
        <f t="shared" si="34"/>
        <v>13.316218000000006</v>
      </c>
      <c r="F36" s="54">
        <f t="shared" si="34"/>
        <v>22.043314999999996</v>
      </c>
      <c r="G36" s="54">
        <f t="shared" si="34"/>
        <v>8.6439739999999983</v>
      </c>
      <c r="H36" s="54">
        <f t="shared" si="34"/>
        <v>6.6720600000000019</v>
      </c>
      <c r="I36" s="54">
        <f t="shared" si="34"/>
        <v>22.603199000000004</v>
      </c>
      <c r="J36" s="54">
        <f t="shared" si="34"/>
        <v>11.017482999999993</v>
      </c>
      <c r="K36" s="54">
        <f t="shared" si="34"/>
        <v>0</v>
      </c>
      <c r="L36" s="54">
        <f t="shared" si="34"/>
        <v>5.5076360000000051</v>
      </c>
      <c r="M36" s="54">
        <f t="shared" si="34"/>
        <v>7.3837550000000007</v>
      </c>
      <c r="N36" s="54">
        <f t="shared" si="34"/>
        <v>7.0661770000000006</v>
      </c>
      <c r="O36" s="54">
        <f t="shared" si="34"/>
        <v>2.7752179999999971</v>
      </c>
      <c r="P36" s="54">
        <f t="shared" si="34"/>
        <v>0.25727099999999992</v>
      </c>
      <c r="Q36" s="54">
        <f t="shared" si="34"/>
        <v>16.382905999999998</v>
      </c>
      <c r="R36" s="54">
        <f t="shared" si="34"/>
        <v>14.942282000000008</v>
      </c>
      <c r="S36" s="54">
        <f t="shared" si="34"/>
        <v>14.691655999999996</v>
      </c>
      <c r="T36" s="54">
        <f t="shared" si="34"/>
        <v>21.570626999999995</v>
      </c>
      <c r="U36" s="54">
        <f t="shared" si="34"/>
        <v>15.884669000000006</v>
      </c>
      <c r="V36" s="54">
        <f t="shared" si="34"/>
        <v>0.19741500000000001</v>
      </c>
      <c r="W36" s="54">
        <f t="shared" ref="W36:Y36" si="35">W37+W43</f>
        <v>0.80119999999999991</v>
      </c>
      <c r="X36" s="54">
        <f t="shared" si="35"/>
        <v>16.591881999999991</v>
      </c>
      <c r="Y36" s="54">
        <f t="shared" si="35"/>
        <v>16.605574000000011</v>
      </c>
      <c r="DA36" s="172" t="s">
        <v>1055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10.118840999999996</v>
      </c>
      <c r="D37" s="28">
        <f t="shared" ref="D37:V37" si="37">SUM(D38,D39,D42)</f>
        <v>0</v>
      </c>
      <c r="E37" s="28">
        <f t="shared" si="37"/>
        <v>13.316218000000006</v>
      </c>
      <c r="F37" s="28">
        <f t="shared" si="37"/>
        <v>21.832571999999995</v>
      </c>
      <c r="G37" s="28">
        <f t="shared" si="37"/>
        <v>8.620041999999998</v>
      </c>
      <c r="H37" s="28">
        <f t="shared" si="37"/>
        <v>6.6720600000000019</v>
      </c>
      <c r="I37" s="28">
        <f t="shared" si="37"/>
        <v>22.603199000000004</v>
      </c>
      <c r="J37" s="28">
        <f t="shared" si="37"/>
        <v>11.017482999999993</v>
      </c>
      <c r="K37" s="28">
        <f t="shared" si="37"/>
        <v>0</v>
      </c>
      <c r="L37" s="28">
        <f t="shared" si="37"/>
        <v>5.5076360000000051</v>
      </c>
      <c r="M37" s="28">
        <f t="shared" si="37"/>
        <v>7.2305020000000013</v>
      </c>
      <c r="N37" s="28">
        <f t="shared" si="37"/>
        <v>7.0170960000000004</v>
      </c>
      <c r="O37" s="28">
        <f t="shared" si="37"/>
        <v>2.4923799999999972</v>
      </c>
      <c r="P37" s="28">
        <f t="shared" si="37"/>
        <v>0</v>
      </c>
      <c r="Q37" s="28">
        <f t="shared" si="37"/>
        <v>16.216611999999998</v>
      </c>
      <c r="R37" s="28">
        <f t="shared" si="37"/>
        <v>14.691901000000007</v>
      </c>
      <c r="S37" s="28">
        <f t="shared" si="37"/>
        <v>14.509536999999996</v>
      </c>
      <c r="T37" s="28">
        <f t="shared" si="37"/>
        <v>21.474489999999996</v>
      </c>
      <c r="U37" s="28">
        <f t="shared" si="37"/>
        <v>15.817598000000006</v>
      </c>
      <c r="V37" s="28">
        <f t="shared" si="37"/>
        <v>0</v>
      </c>
      <c r="W37" s="28">
        <f t="shared" ref="W37:Y37" si="38">SUM(W38,W39,W42)</f>
        <v>0.51681899999999992</v>
      </c>
      <c r="X37" s="28">
        <f t="shared" si="38"/>
        <v>15.609073999999993</v>
      </c>
      <c r="Y37" s="28">
        <f t="shared" si="38"/>
        <v>16.605574000000011</v>
      </c>
      <c r="DA37" s="173" t="s">
        <v>1056</v>
      </c>
    </row>
    <row r="38" spans="1:105" ht="11.45" customHeight="1" x14ac:dyDescent="0.25">
      <c r="A38" s="107" t="s">
        <v>23</v>
      </c>
      <c r="B38" s="108"/>
      <c r="C38" s="108">
        <v>0</v>
      </c>
      <c r="D38" s="108">
        <v>0</v>
      </c>
      <c r="E38" s="108">
        <v>0</v>
      </c>
      <c r="F38" s="108">
        <v>5.7701210000000005</v>
      </c>
      <c r="G38" s="108">
        <v>6.906184999999998</v>
      </c>
      <c r="H38" s="108">
        <v>0.3348620000000011</v>
      </c>
      <c r="I38" s="108">
        <v>7.2820030000000013</v>
      </c>
      <c r="J38" s="108">
        <v>0</v>
      </c>
      <c r="K38" s="108">
        <v>0</v>
      </c>
      <c r="L38" s="108">
        <v>0</v>
      </c>
      <c r="M38" s="108">
        <v>0</v>
      </c>
      <c r="N38" s="108">
        <v>0</v>
      </c>
      <c r="O38" s="108">
        <v>0</v>
      </c>
      <c r="P38" s="108">
        <v>0</v>
      </c>
      <c r="Q38" s="108">
        <v>1.3311360000000008</v>
      </c>
      <c r="R38" s="108">
        <v>1.0127000000000663E-2</v>
      </c>
      <c r="S38" s="108">
        <v>0</v>
      </c>
      <c r="T38" s="108">
        <v>11.366690999999996</v>
      </c>
      <c r="U38" s="108">
        <v>7.1054273576010019E-15</v>
      </c>
      <c r="V38" s="108">
        <v>0</v>
      </c>
      <c r="W38" s="108">
        <v>0</v>
      </c>
      <c r="X38" s="108">
        <v>0</v>
      </c>
      <c r="Y38" s="108">
        <v>0</v>
      </c>
      <c r="DA38" s="203" t="s">
        <v>1057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10.118840999999996</v>
      </c>
      <c r="D39" s="110">
        <f t="shared" ref="D39:V39" si="40">SUM(D40:D41)</f>
        <v>0</v>
      </c>
      <c r="E39" s="110">
        <f t="shared" si="40"/>
        <v>13.316218000000006</v>
      </c>
      <c r="F39" s="110">
        <f t="shared" si="40"/>
        <v>16.062450999999996</v>
      </c>
      <c r="G39" s="110">
        <f t="shared" si="40"/>
        <v>1.7138570000000009</v>
      </c>
      <c r="H39" s="110">
        <f t="shared" si="40"/>
        <v>6.3371980000000008</v>
      </c>
      <c r="I39" s="110">
        <f t="shared" si="40"/>
        <v>15.321196</v>
      </c>
      <c r="J39" s="110">
        <f t="shared" si="40"/>
        <v>11.017482999999993</v>
      </c>
      <c r="K39" s="110">
        <f t="shared" si="40"/>
        <v>0</v>
      </c>
      <c r="L39" s="110">
        <f t="shared" si="40"/>
        <v>5.5076360000000051</v>
      </c>
      <c r="M39" s="110">
        <f t="shared" si="40"/>
        <v>7.2305020000000013</v>
      </c>
      <c r="N39" s="110">
        <f t="shared" si="40"/>
        <v>7.0170960000000004</v>
      </c>
      <c r="O39" s="110">
        <f t="shared" si="40"/>
        <v>2.4923799999999972</v>
      </c>
      <c r="P39" s="110">
        <f t="shared" si="40"/>
        <v>0</v>
      </c>
      <c r="Q39" s="110">
        <f t="shared" si="40"/>
        <v>14.885475999999999</v>
      </c>
      <c r="R39" s="110">
        <f t="shared" si="40"/>
        <v>14.681774000000006</v>
      </c>
      <c r="S39" s="110">
        <f t="shared" si="40"/>
        <v>14.509536999999996</v>
      </c>
      <c r="T39" s="110">
        <f t="shared" si="40"/>
        <v>10.107799000000002</v>
      </c>
      <c r="U39" s="110">
        <f t="shared" si="40"/>
        <v>15.817597999999998</v>
      </c>
      <c r="V39" s="110">
        <f t="shared" si="40"/>
        <v>0</v>
      </c>
      <c r="W39" s="110">
        <f t="shared" ref="W39:Y39" si="41">SUM(W40:W41)</f>
        <v>0.51681899999999992</v>
      </c>
      <c r="X39" s="110">
        <f t="shared" si="41"/>
        <v>15.609073999999993</v>
      </c>
      <c r="Y39" s="110">
        <f t="shared" si="41"/>
        <v>16.605574000000011</v>
      </c>
      <c r="DA39" s="176" t="s">
        <v>1058</v>
      </c>
    </row>
    <row r="40" spans="1:105" ht="11.45" customHeight="1" x14ac:dyDescent="0.25">
      <c r="A40" s="111" t="s">
        <v>92</v>
      </c>
      <c r="B40" s="84"/>
      <c r="C40" s="84">
        <v>9.8660009999999971</v>
      </c>
      <c r="D40" s="84">
        <v>0</v>
      </c>
      <c r="E40" s="84">
        <v>13.194860000000006</v>
      </c>
      <c r="F40" s="84">
        <v>9.0393519999999938</v>
      </c>
      <c r="G40" s="84">
        <v>0</v>
      </c>
      <c r="H40" s="84">
        <v>6.3371980000000008</v>
      </c>
      <c r="I40" s="84">
        <v>15.321196</v>
      </c>
      <c r="J40" s="84">
        <v>10.570241999999993</v>
      </c>
      <c r="K40" s="84">
        <v>0</v>
      </c>
      <c r="L40" s="84">
        <v>5.5076360000000051</v>
      </c>
      <c r="M40" s="84">
        <v>7.2305020000000013</v>
      </c>
      <c r="N40" s="84">
        <v>6.8738630000000001</v>
      </c>
      <c r="O40" s="84">
        <v>2.4923799999999972</v>
      </c>
      <c r="P40" s="84">
        <v>0</v>
      </c>
      <c r="Q40" s="84">
        <v>14.295704999999998</v>
      </c>
      <c r="R40" s="84">
        <v>13.106469000000004</v>
      </c>
      <c r="S40" s="84">
        <v>13.903965999999997</v>
      </c>
      <c r="T40" s="84">
        <v>10.036991</v>
      </c>
      <c r="U40" s="84">
        <v>14.690213999999997</v>
      </c>
      <c r="V40" s="84">
        <v>0</v>
      </c>
      <c r="W40" s="84">
        <v>0</v>
      </c>
      <c r="X40" s="84">
        <v>14.518385999999992</v>
      </c>
      <c r="Y40" s="84">
        <v>15.25410500000001</v>
      </c>
      <c r="DA40" s="171" t="s">
        <v>1059</v>
      </c>
    </row>
    <row r="41" spans="1:105" ht="11.45" customHeight="1" x14ac:dyDescent="0.25">
      <c r="A41" s="111" t="s">
        <v>93</v>
      </c>
      <c r="B41" s="84"/>
      <c r="C41" s="84">
        <v>0.25283999999999995</v>
      </c>
      <c r="D41" s="84">
        <v>0</v>
      </c>
      <c r="E41" s="84">
        <v>0.12135799999999985</v>
      </c>
      <c r="F41" s="84">
        <v>7.0230990000000002</v>
      </c>
      <c r="G41" s="84">
        <v>1.7138570000000009</v>
      </c>
      <c r="H41" s="84">
        <v>0</v>
      </c>
      <c r="I41" s="84">
        <v>0</v>
      </c>
      <c r="J41" s="84">
        <v>0.447241</v>
      </c>
      <c r="K41" s="84">
        <v>0</v>
      </c>
      <c r="L41" s="84">
        <v>0</v>
      </c>
      <c r="M41" s="84">
        <v>0</v>
      </c>
      <c r="N41" s="84">
        <v>0.14323300000000039</v>
      </c>
      <c r="O41" s="84">
        <v>0</v>
      </c>
      <c r="P41" s="84">
        <v>0</v>
      </c>
      <c r="Q41" s="84">
        <v>0.58977100000000071</v>
      </c>
      <c r="R41" s="84">
        <v>1.575305000000002</v>
      </c>
      <c r="S41" s="84">
        <v>0.60557099999999942</v>
      </c>
      <c r="T41" s="84">
        <v>7.0808000000001314E-2</v>
      </c>
      <c r="U41" s="84">
        <v>1.1273840000000011</v>
      </c>
      <c r="V41" s="84">
        <v>0</v>
      </c>
      <c r="W41" s="84">
        <v>0.51681899999999992</v>
      </c>
      <c r="X41" s="84">
        <v>1.0906880000000001</v>
      </c>
      <c r="Y41" s="84">
        <v>1.3514690000000016</v>
      </c>
      <c r="DA41" s="171" t="s">
        <v>1060</v>
      </c>
    </row>
    <row r="42" spans="1:105" ht="11.45" customHeight="1" x14ac:dyDescent="0.25">
      <c r="A42" s="112" t="s">
        <v>25</v>
      </c>
      <c r="B42" s="113"/>
      <c r="C42" s="113">
        <v>0</v>
      </c>
      <c r="D42" s="113">
        <v>0</v>
      </c>
      <c r="E42" s="113">
        <v>0</v>
      </c>
      <c r="F42" s="113">
        <v>0</v>
      </c>
      <c r="G42" s="113">
        <v>0</v>
      </c>
      <c r="H42" s="113">
        <v>0</v>
      </c>
      <c r="I42" s="113">
        <v>0</v>
      </c>
      <c r="J42" s="113">
        <v>0</v>
      </c>
      <c r="K42" s="113">
        <v>0</v>
      </c>
      <c r="L42" s="113">
        <v>0</v>
      </c>
      <c r="M42" s="113">
        <v>0</v>
      </c>
      <c r="N42" s="113">
        <v>0</v>
      </c>
      <c r="O42" s="113">
        <v>0</v>
      </c>
      <c r="P42" s="113">
        <v>0</v>
      </c>
      <c r="Q42" s="113">
        <v>0</v>
      </c>
      <c r="R42" s="113">
        <v>0</v>
      </c>
      <c r="S42" s="113">
        <v>0</v>
      </c>
      <c r="T42" s="113">
        <v>0</v>
      </c>
      <c r="U42" s="113">
        <v>0</v>
      </c>
      <c r="V42" s="113">
        <v>0</v>
      </c>
      <c r="W42" s="113">
        <v>0</v>
      </c>
      <c r="X42" s="113">
        <v>0</v>
      </c>
      <c r="Y42" s="113">
        <v>0</v>
      </c>
      <c r="DA42" s="204" t="s">
        <v>1061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0.45664999999999978</v>
      </c>
      <c r="D43" s="28">
        <f t="shared" ref="D43:V43" si="43">SUM(D44:D45)</f>
        <v>4.7224000000000002E-2</v>
      </c>
      <c r="E43" s="28">
        <f t="shared" si="43"/>
        <v>0</v>
      </c>
      <c r="F43" s="28">
        <f t="shared" si="43"/>
        <v>0.21074300000000074</v>
      </c>
      <c r="G43" s="28">
        <f t="shared" si="43"/>
        <v>2.3931999999999953E-2</v>
      </c>
      <c r="H43" s="28">
        <f t="shared" si="43"/>
        <v>5.5511151231257827E-17</v>
      </c>
      <c r="I43" s="28">
        <f t="shared" si="43"/>
        <v>0</v>
      </c>
      <c r="J43" s="28">
        <f t="shared" si="43"/>
        <v>0</v>
      </c>
      <c r="K43" s="28">
        <f t="shared" si="43"/>
        <v>0</v>
      </c>
      <c r="L43" s="28">
        <f t="shared" si="43"/>
        <v>0</v>
      </c>
      <c r="M43" s="28">
        <f t="shared" si="43"/>
        <v>0.15325299999999986</v>
      </c>
      <c r="N43" s="28">
        <f t="shared" si="43"/>
        <v>4.9081000000000041E-2</v>
      </c>
      <c r="O43" s="28">
        <f t="shared" si="43"/>
        <v>0.28283799999999992</v>
      </c>
      <c r="P43" s="28">
        <f t="shared" si="43"/>
        <v>0.25727099999999992</v>
      </c>
      <c r="Q43" s="28">
        <f t="shared" si="43"/>
        <v>0.16629399999999994</v>
      </c>
      <c r="R43" s="28">
        <f t="shared" si="43"/>
        <v>0.25038100000000008</v>
      </c>
      <c r="S43" s="28">
        <f t="shared" si="43"/>
        <v>0.18211900000000003</v>
      </c>
      <c r="T43" s="28">
        <f t="shared" si="43"/>
        <v>9.6136999999999917E-2</v>
      </c>
      <c r="U43" s="28">
        <f t="shared" si="43"/>
        <v>6.7070999999999992E-2</v>
      </c>
      <c r="V43" s="28">
        <f t="shared" si="43"/>
        <v>0.19741500000000001</v>
      </c>
      <c r="W43" s="28">
        <f t="shared" ref="W43:Y43" si="44">SUM(W44:W45)</f>
        <v>0.28438099999999999</v>
      </c>
      <c r="X43" s="28">
        <f t="shared" si="44"/>
        <v>0.98280799999999979</v>
      </c>
      <c r="Y43" s="28">
        <f t="shared" si="44"/>
        <v>0</v>
      </c>
      <c r="DA43" s="173" t="s">
        <v>1062</v>
      </c>
    </row>
    <row r="44" spans="1:105" ht="11.45" customHeight="1" x14ac:dyDescent="0.25">
      <c r="A44" s="83" t="s">
        <v>92</v>
      </c>
      <c r="B44" s="84"/>
      <c r="C44" s="84">
        <v>0.45664999999999978</v>
      </c>
      <c r="D44" s="84">
        <v>0</v>
      </c>
      <c r="E44" s="84">
        <v>0</v>
      </c>
      <c r="F44" s="84">
        <v>2.2372000000000725E-2</v>
      </c>
      <c r="G44" s="84">
        <v>0</v>
      </c>
      <c r="H44" s="84">
        <v>0</v>
      </c>
      <c r="I44" s="84">
        <v>0</v>
      </c>
      <c r="J44" s="84">
        <v>0</v>
      </c>
      <c r="K44" s="84">
        <v>0</v>
      </c>
      <c r="L44" s="84">
        <v>0</v>
      </c>
      <c r="M44" s="84">
        <v>0.15325299999999986</v>
      </c>
      <c r="N44" s="84">
        <v>4.9081000000000041E-2</v>
      </c>
      <c r="O44" s="84">
        <v>0.28283799999999992</v>
      </c>
      <c r="P44" s="84">
        <v>0.25727099999999992</v>
      </c>
      <c r="Q44" s="84">
        <v>0.16629399999999994</v>
      </c>
      <c r="R44" s="84">
        <v>0.25038100000000008</v>
      </c>
      <c r="S44" s="84">
        <v>0.18211900000000003</v>
      </c>
      <c r="T44" s="84">
        <v>9.6136999999999917E-2</v>
      </c>
      <c r="U44" s="84">
        <v>6.7070999999999992E-2</v>
      </c>
      <c r="V44" s="84">
        <v>0.19741500000000001</v>
      </c>
      <c r="W44" s="84">
        <v>0.28438099999999999</v>
      </c>
      <c r="X44" s="84">
        <v>0.98280799999999979</v>
      </c>
      <c r="Y44" s="84">
        <v>0</v>
      </c>
      <c r="DA44" s="171" t="s">
        <v>1063</v>
      </c>
    </row>
    <row r="45" spans="1:105" ht="11.45" customHeight="1" x14ac:dyDescent="0.25">
      <c r="A45" s="85" t="s">
        <v>93</v>
      </c>
      <c r="B45" s="86"/>
      <c r="C45" s="86">
        <v>0</v>
      </c>
      <c r="D45" s="86">
        <v>4.7224000000000002E-2</v>
      </c>
      <c r="E45" s="86">
        <v>0</v>
      </c>
      <c r="F45" s="86">
        <v>0.18837100000000001</v>
      </c>
      <c r="G45" s="86">
        <v>2.3931999999999953E-2</v>
      </c>
      <c r="H45" s="86">
        <v>5.5511151231257827E-17</v>
      </c>
      <c r="I45" s="86">
        <v>0</v>
      </c>
      <c r="J45" s="86">
        <v>0</v>
      </c>
      <c r="K45" s="86">
        <v>0</v>
      </c>
      <c r="L45" s="86">
        <v>0</v>
      </c>
      <c r="M45" s="86">
        <v>0</v>
      </c>
      <c r="N45" s="86">
        <v>0</v>
      </c>
      <c r="O45" s="86">
        <v>0</v>
      </c>
      <c r="P45" s="86">
        <v>0</v>
      </c>
      <c r="Q45" s="86">
        <v>0</v>
      </c>
      <c r="R45" s="86">
        <v>0</v>
      </c>
      <c r="S45" s="86">
        <v>0</v>
      </c>
      <c r="T45" s="86">
        <v>0</v>
      </c>
      <c r="U45" s="86">
        <v>0</v>
      </c>
      <c r="V45" s="86">
        <v>0</v>
      </c>
      <c r="W45" s="86">
        <v>0</v>
      </c>
      <c r="X45" s="86">
        <v>0</v>
      </c>
      <c r="Y45" s="86">
        <v>0</v>
      </c>
      <c r="DA45" s="178" t="s">
        <v>1064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120.46445621604599</v>
      </c>
      <c r="C50" s="29">
        <f t="shared" si="45"/>
        <v>119.92973506037141</v>
      </c>
      <c r="D50" s="29">
        <f t="shared" si="45"/>
        <v>140.08921149368479</v>
      </c>
      <c r="E50" s="29">
        <f t="shared" si="45"/>
        <v>121.02786865213287</v>
      </c>
      <c r="F50" s="29">
        <f t="shared" si="45"/>
        <v>102.92219851896618</v>
      </c>
      <c r="G50" s="29">
        <f t="shared" si="45"/>
        <v>116.73218514698621</v>
      </c>
      <c r="H50" s="29">
        <f t="shared" si="45"/>
        <v>118.5772360532124</v>
      </c>
      <c r="I50" s="29">
        <f t="shared" si="45"/>
        <v>114.35779157063297</v>
      </c>
      <c r="J50" s="29">
        <f t="shared" si="45"/>
        <v>105.30764609526237</v>
      </c>
      <c r="K50" s="29">
        <f t="shared" ref="K50:V50" si="46">IF(K4=0,0,K4/K15)</f>
        <v>96.020097492895673</v>
      </c>
      <c r="L50" s="29">
        <f t="shared" si="46"/>
        <v>93.156775388552234</v>
      </c>
      <c r="M50" s="29">
        <f t="shared" si="46"/>
        <v>87.838043885015637</v>
      </c>
      <c r="N50" s="29">
        <f t="shared" si="46"/>
        <v>82.227188374041205</v>
      </c>
      <c r="O50" s="29">
        <f t="shared" si="46"/>
        <v>82.221424409190405</v>
      </c>
      <c r="P50" s="29">
        <f t="shared" si="46"/>
        <v>96.693838626367992</v>
      </c>
      <c r="Q50" s="29">
        <f t="shared" si="46"/>
        <v>95.787402171422784</v>
      </c>
      <c r="R50" s="29">
        <f t="shared" si="46"/>
        <v>91.804301334977509</v>
      </c>
      <c r="S50" s="29">
        <f t="shared" si="46"/>
        <v>90.701594980914436</v>
      </c>
      <c r="T50" s="29">
        <f t="shared" si="46"/>
        <v>93.459577698937863</v>
      </c>
      <c r="U50" s="29">
        <f t="shared" si="46"/>
        <v>91.32191296993706</v>
      </c>
      <c r="V50" s="29">
        <f t="shared" si="46"/>
        <v>38.92578394332569</v>
      </c>
      <c r="W50" s="29">
        <f t="shared" ref="W50:Y50" si="47">IF(W4=0,0,W4/W15)</f>
        <v>37.389995130968551</v>
      </c>
      <c r="X50" s="29">
        <f t="shared" si="47"/>
        <v>67.552562542067321</v>
      </c>
      <c r="Y50" s="29">
        <f t="shared" si="47"/>
        <v>80.25013880422236</v>
      </c>
      <c r="DA50" s="173" t="s">
        <v>1065</v>
      </c>
    </row>
    <row r="51" spans="1:105" ht="11.45" customHeight="1" x14ac:dyDescent="0.25">
      <c r="A51" s="107" t="s">
        <v>23</v>
      </c>
      <c r="B51" s="115">
        <f t="shared" ref="B51:J51" si="48">IF(B5=0,0,B5/B16)</f>
        <v>0</v>
      </c>
      <c r="C51" s="115">
        <f t="shared" si="48"/>
        <v>0</v>
      </c>
      <c r="D51" s="115">
        <f t="shared" si="48"/>
        <v>0</v>
      </c>
      <c r="E51" s="115">
        <f t="shared" si="48"/>
        <v>0</v>
      </c>
      <c r="F51" s="115">
        <f t="shared" si="48"/>
        <v>78.77573441394631</v>
      </c>
      <c r="G51" s="115">
        <f t="shared" si="48"/>
        <v>78.887336126083596</v>
      </c>
      <c r="H51" s="115">
        <f t="shared" si="48"/>
        <v>79.030010389089739</v>
      </c>
      <c r="I51" s="115">
        <f t="shared" si="48"/>
        <v>78.396282479421629</v>
      </c>
      <c r="J51" s="115">
        <f t="shared" si="48"/>
        <v>80.455837074611281</v>
      </c>
      <c r="K51" s="115">
        <f t="shared" ref="K51:V51" si="49">IF(K5=0,0,K5/K16)</f>
        <v>73.47019608972515</v>
      </c>
      <c r="L51" s="115">
        <f t="shared" si="49"/>
        <v>72.711609361823548</v>
      </c>
      <c r="M51" s="115">
        <f t="shared" si="49"/>
        <v>73.453107506940171</v>
      </c>
      <c r="N51" s="115">
        <f t="shared" si="49"/>
        <v>73.284840171869931</v>
      </c>
      <c r="O51" s="115">
        <f t="shared" si="49"/>
        <v>71.378285211186181</v>
      </c>
      <c r="P51" s="115">
        <f t="shared" si="49"/>
        <v>73.120704379035601</v>
      </c>
      <c r="Q51" s="115">
        <f t="shared" si="49"/>
        <v>75.532713339716693</v>
      </c>
      <c r="R51" s="115">
        <f t="shared" si="49"/>
        <v>77.128037771245019</v>
      </c>
      <c r="S51" s="115">
        <f t="shared" si="49"/>
        <v>78.137835467990968</v>
      </c>
      <c r="T51" s="115">
        <f t="shared" si="49"/>
        <v>87.324848711253992</v>
      </c>
      <c r="U51" s="115">
        <f t="shared" si="49"/>
        <v>87.525704809286921</v>
      </c>
      <c r="V51" s="115">
        <f t="shared" si="49"/>
        <v>39.286675639300128</v>
      </c>
      <c r="W51" s="115">
        <f t="shared" ref="W51:Y51" si="50">IF(W5=0,0,W5/W16)</f>
        <v>39.173147769136314</v>
      </c>
      <c r="X51" s="115">
        <f t="shared" si="50"/>
        <v>68.610519232925867</v>
      </c>
      <c r="Y51" s="115">
        <f t="shared" si="50"/>
        <v>84.819734345351037</v>
      </c>
      <c r="DA51" s="203" t="s">
        <v>1066</v>
      </c>
    </row>
    <row r="52" spans="1:105" ht="11.45" customHeight="1" x14ac:dyDescent="0.25">
      <c r="A52" s="109" t="s">
        <v>24</v>
      </c>
      <c r="B52" s="116">
        <f t="shared" ref="B52:J52" si="51">IF(B6=0,0,B6/B17)</f>
        <v>120.46445621604599</v>
      </c>
      <c r="C52" s="116">
        <f t="shared" si="51"/>
        <v>119.92973506037141</v>
      </c>
      <c r="D52" s="116">
        <f t="shared" si="51"/>
        <v>140.08921149368479</v>
      </c>
      <c r="E52" s="116">
        <f t="shared" si="51"/>
        <v>121.02786865213287</v>
      </c>
      <c r="F52" s="116">
        <f t="shared" si="51"/>
        <v>103.9290409926469</v>
      </c>
      <c r="G52" s="116">
        <f t="shared" si="51"/>
        <v>120.29654383773911</v>
      </c>
      <c r="H52" s="116">
        <f t="shared" si="51"/>
        <v>122.2742768587978</v>
      </c>
      <c r="I52" s="116">
        <f t="shared" si="51"/>
        <v>119.12239240351724</v>
      </c>
      <c r="J52" s="116">
        <f t="shared" si="51"/>
        <v>107.6810514050927</v>
      </c>
      <c r="K52" s="116">
        <f t="shared" ref="K52:V52" si="52">IF(K6=0,0,K6/K17)</f>
        <v>98.388567564732568</v>
      </c>
      <c r="L52" s="116">
        <f t="shared" si="52"/>
        <v>95.24761310008779</v>
      </c>
      <c r="M52" s="116">
        <f t="shared" si="52"/>
        <v>89.311614321848197</v>
      </c>
      <c r="N52" s="116">
        <f t="shared" si="52"/>
        <v>83.153103950343109</v>
      </c>
      <c r="O52" s="116">
        <f t="shared" si="52"/>
        <v>83.431689541021939</v>
      </c>
      <c r="P52" s="116">
        <f t="shared" si="52"/>
        <v>99.67041758959104</v>
      </c>
      <c r="Q52" s="116">
        <f t="shared" si="52"/>
        <v>98.255537026437509</v>
      </c>
      <c r="R52" s="116">
        <f t="shared" si="52"/>
        <v>93.443499852863155</v>
      </c>
      <c r="S52" s="116">
        <f t="shared" si="52"/>
        <v>91.990410043152409</v>
      </c>
      <c r="T52" s="116">
        <f t="shared" si="52"/>
        <v>94.381037221776893</v>
      </c>
      <c r="U52" s="116">
        <f t="shared" si="52"/>
        <v>91.828354116988507</v>
      </c>
      <c r="V52" s="116">
        <f t="shared" si="52"/>
        <v>38.874270217785586</v>
      </c>
      <c r="W52" s="116">
        <f t="shared" ref="W52:Y52" si="53">IF(W6=0,0,W6/W17)</f>
        <v>37.153509002727148</v>
      </c>
      <c r="X52" s="116">
        <f t="shared" si="53"/>
        <v>67.454416245059775</v>
      </c>
      <c r="Y52" s="116">
        <f t="shared" si="53"/>
        <v>79.853281950468002</v>
      </c>
      <c r="DA52" s="176" t="s">
        <v>1067</v>
      </c>
    </row>
    <row r="53" spans="1:105" ht="11.45" customHeight="1" x14ac:dyDescent="0.25">
      <c r="A53" s="111" t="s">
        <v>92</v>
      </c>
      <c r="B53" s="87">
        <f t="shared" ref="B53:J53" si="54">IF(B7=0,0,B7/B18)</f>
        <v>116.26905432897239</v>
      </c>
      <c r="C53" s="87">
        <f t="shared" si="54"/>
        <v>116.07062312217305</v>
      </c>
      <c r="D53" s="87">
        <f t="shared" si="54"/>
        <v>131.65210176555712</v>
      </c>
      <c r="E53" s="87">
        <f t="shared" si="54"/>
        <v>113.53252892590997</v>
      </c>
      <c r="F53" s="87">
        <f t="shared" si="54"/>
        <v>104.35958778336482</v>
      </c>
      <c r="G53" s="87">
        <f t="shared" si="54"/>
        <v>127.53123876419183</v>
      </c>
      <c r="H53" s="87">
        <f t="shared" si="54"/>
        <v>129.97457617741983</v>
      </c>
      <c r="I53" s="87">
        <f t="shared" si="54"/>
        <v>129.70562288631601</v>
      </c>
      <c r="J53" s="87">
        <f t="shared" si="54"/>
        <v>116.93859959164227</v>
      </c>
      <c r="K53" s="87">
        <f t="shared" ref="K53:V53" si="55">IF(K7=0,0,K7/K18)</f>
        <v>103.82155120190052</v>
      </c>
      <c r="L53" s="87">
        <f t="shared" si="55"/>
        <v>99.998125454727159</v>
      </c>
      <c r="M53" s="87">
        <f t="shared" si="55"/>
        <v>94.537358588346436</v>
      </c>
      <c r="N53" s="87">
        <f t="shared" si="55"/>
        <v>88.177478748063308</v>
      </c>
      <c r="O53" s="87">
        <f t="shared" si="55"/>
        <v>87.97896982764027</v>
      </c>
      <c r="P53" s="87">
        <f t="shared" si="55"/>
        <v>105.57526450398188</v>
      </c>
      <c r="Q53" s="87">
        <f t="shared" si="55"/>
        <v>104.48703361018933</v>
      </c>
      <c r="R53" s="87">
        <f t="shared" si="55"/>
        <v>99.58315182686863</v>
      </c>
      <c r="S53" s="87">
        <f t="shared" si="55"/>
        <v>97.996518698118649</v>
      </c>
      <c r="T53" s="87">
        <f t="shared" si="55"/>
        <v>100.36709085110974</v>
      </c>
      <c r="U53" s="87">
        <f t="shared" si="55"/>
        <v>97.707673688444999</v>
      </c>
      <c r="V53" s="87">
        <f t="shared" si="55"/>
        <v>40.964206132017082</v>
      </c>
      <c r="W53" s="87">
        <f t="shared" ref="W53:Y53" si="56">IF(W7=0,0,W7/W18)</f>
        <v>38.983273511165521</v>
      </c>
      <c r="X53" s="87">
        <f t="shared" si="56"/>
        <v>67.154698721320926</v>
      </c>
      <c r="Y53" s="87">
        <f t="shared" si="56"/>
        <v>79.257220025400002</v>
      </c>
      <c r="DA53" s="171" t="s">
        <v>1068</v>
      </c>
    </row>
    <row r="54" spans="1:105" ht="11.45" customHeight="1" x14ac:dyDescent="0.25">
      <c r="A54" s="111" t="s">
        <v>93</v>
      </c>
      <c r="B54" s="87">
        <f t="shared" ref="B54:J54" si="57">IF(B8=0,0,B8/B19)</f>
        <v>160.15654291480877</v>
      </c>
      <c r="C54" s="87">
        <f t="shared" si="57"/>
        <v>160.0490309219737</v>
      </c>
      <c r="D54" s="87">
        <f t="shared" si="57"/>
        <v>232.45199973301277</v>
      </c>
      <c r="E54" s="87">
        <f t="shared" si="57"/>
        <v>214.21360627271429</v>
      </c>
      <c r="F54" s="87">
        <f t="shared" si="57"/>
        <v>101.09348527051658</v>
      </c>
      <c r="G54" s="87">
        <f t="shared" si="57"/>
        <v>79.542865316576695</v>
      </c>
      <c r="H54" s="87">
        <f t="shared" si="57"/>
        <v>75.655154348134829</v>
      </c>
      <c r="I54" s="87">
        <f t="shared" si="57"/>
        <v>30.34958767489999</v>
      </c>
      <c r="J54" s="87">
        <f t="shared" si="57"/>
        <v>35.869701203116833</v>
      </c>
      <c r="K54" s="87">
        <f t="shared" ref="K54:V54" si="58">IF(K8=0,0,K8/K19)</f>
        <v>49.67424022719829</v>
      </c>
      <c r="L54" s="87">
        <f t="shared" si="58"/>
        <v>53.136323461505263</v>
      </c>
      <c r="M54" s="87">
        <f t="shared" si="58"/>
        <v>41.542400863963515</v>
      </c>
      <c r="N54" s="87">
        <f t="shared" si="58"/>
        <v>35.156947644816682</v>
      </c>
      <c r="O54" s="87">
        <f t="shared" si="58"/>
        <v>35.751203771392348</v>
      </c>
      <c r="P54" s="87">
        <f t="shared" si="58"/>
        <v>38.735557624866246</v>
      </c>
      <c r="Q54" s="87">
        <f t="shared" si="58"/>
        <v>30.072926198804886</v>
      </c>
      <c r="R54" s="87">
        <f t="shared" si="58"/>
        <v>28.459187926233568</v>
      </c>
      <c r="S54" s="87">
        <f t="shared" si="58"/>
        <v>25.017822865918411</v>
      </c>
      <c r="T54" s="87">
        <f t="shared" si="58"/>
        <v>23.308051678789106</v>
      </c>
      <c r="U54" s="87">
        <f t="shared" si="58"/>
        <v>21.475190226135492</v>
      </c>
      <c r="V54" s="87">
        <f t="shared" si="58"/>
        <v>17.587511568173973</v>
      </c>
      <c r="W54" s="87">
        <f t="shared" ref="W54:Y54" si="59">IF(W8=0,0,W8/W19)</f>
        <v>17.165972582415087</v>
      </c>
      <c r="X54" s="87">
        <f t="shared" si="59"/>
        <v>70.860585373540488</v>
      </c>
      <c r="Y54" s="87">
        <f t="shared" si="59"/>
        <v>86.616789826297676</v>
      </c>
      <c r="DA54" s="171" t="s">
        <v>1069</v>
      </c>
    </row>
    <row r="55" spans="1:105" ht="11.45" customHeight="1" x14ac:dyDescent="0.25">
      <c r="A55" s="112" t="s">
        <v>25</v>
      </c>
      <c r="B55" s="117">
        <f t="shared" ref="B55:J55" si="60">IF(B9=0,0,B9/B20)</f>
        <v>0</v>
      </c>
      <c r="C55" s="117">
        <f t="shared" si="60"/>
        <v>0</v>
      </c>
      <c r="D55" s="117">
        <f t="shared" si="60"/>
        <v>0</v>
      </c>
      <c r="E55" s="117">
        <f t="shared" si="60"/>
        <v>0</v>
      </c>
      <c r="F55" s="117">
        <f t="shared" si="60"/>
        <v>0</v>
      </c>
      <c r="G55" s="117">
        <f t="shared" si="60"/>
        <v>0</v>
      </c>
      <c r="H55" s="117">
        <f t="shared" si="60"/>
        <v>0</v>
      </c>
      <c r="I55" s="117">
        <f t="shared" si="60"/>
        <v>0</v>
      </c>
      <c r="J55" s="117">
        <f t="shared" si="60"/>
        <v>0</v>
      </c>
      <c r="K55" s="117">
        <f t="shared" ref="K55:V55" si="61">IF(K9=0,0,K9/K20)</f>
        <v>0</v>
      </c>
      <c r="L55" s="117">
        <f t="shared" si="61"/>
        <v>0</v>
      </c>
      <c r="M55" s="117">
        <f t="shared" si="61"/>
        <v>0</v>
      </c>
      <c r="N55" s="117">
        <f t="shared" si="61"/>
        <v>0</v>
      </c>
      <c r="O55" s="117">
        <f t="shared" si="61"/>
        <v>0</v>
      </c>
      <c r="P55" s="117">
        <f t="shared" si="61"/>
        <v>0</v>
      </c>
      <c r="Q55" s="117">
        <f t="shared" si="61"/>
        <v>0</v>
      </c>
      <c r="R55" s="117">
        <f t="shared" si="61"/>
        <v>0</v>
      </c>
      <c r="S55" s="117">
        <f t="shared" si="61"/>
        <v>0</v>
      </c>
      <c r="T55" s="117">
        <f t="shared" si="61"/>
        <v>0</v>
      </c>
      <c r="U55" s="117">
        <f t="shared" si="61"/>
        <v>0</v>
      </c>
      <c r="V55" s="117">
        <f t="shared" si="61"/>
        <v>0</v>
      </c>
      <c r="W55" s="117">
        <f t="shared" ref="W55:Y55" si="62">IF(W9=0,0,W9/W20)</f>
        <v>0</v>
      </c>
      <c r="X55" s="117">
        <f t="shared" si="62"/>
        <v>0</v>
      </c>
      <c r="Y55" s="117">
        <f t="shared" si="62"/>
        <v>0</v>
      </c>
      <c r="DA55" s="204" t="s">
        <v>1070</v>
      </c>
    </row>
    <row r="56" spans="1:105" ht="11.45" customHeight="1" x14ac:dyDescent="0.25">
      <c r="A56" s="27" t="s">
        <v>101</v>
      </c>
      <c r="B56" s="29">
        <f t="shared" ref="B56:J56" si="63">IF(B10=0,0,B10/B21)</f>
        <v>499.36435308202005</v>
      </c>
      <c r="C56" s="29">
        <f t="shared" si="63"/>
        <v>499.39511267449814</v>
      </c>
      <c r="D56" s="29">
        <f t="shared" si="63"/>
        <v>470.9347390515403</v>
      </c>
      <c r="E56" s="29">
        <f t="shared" si="63"/>
        <v>471.05599699881526</v>
      </c>
      <c r="F56" s="29">
        <f t="shared" si="63"/>
        <v>471.15052469570696</v>
      </c>
      <c r="G56" s="29">
        <f t="shared" si="63"/>
        <v>470.68885073289243</v>
      </c>
      <c r="H56" s="29">
        <f t="shared" si="63"/>
        <v>473.36079855090054</v>
      </c>
      <c r="I56" s="29">
        <f t="shared" si="63"/>
        <v>467.8613688320832</v>
      </c>
      <c r="J56" s="29">
        <f t="shared" si="63"/>
        <v>474.62801286846491</v>
      </c>
      <c r="K56" s="29">
        <f t="shared" ref="K56:V56" si="64">IF(K10=0,0,K10/K21)</f>
        <v>541.07250431093621</v>
      </c>
      <c r="L56" s="29">
        <f t="shared" si="64"/>
        <v>502.7117275301236</v>
      </c>
      <c r="M56" s="29">
        <f t="shared" si="64"/>
        <v>497.63033175355451</v>
      </c>
      <c r="N56" s="29">
        <f t="shared" si="64"/>
        <v>511.23595505617982</v>
      </c>
      <c r="O56" s="29">
        <f t="shared" si="64"/>
        <v>512.9533678756477</v>
      </c>
      <c r="P56" s="29">
        <f t="shared" si="64"/>
        <v>490.1960784313726</v>
      </c>
      <c r="Q56" s="29">
        <f t="shared" si="64"/>
        <v>489.79591836734693</v>
      </c>
      <c r="R56" s="29">
        <f t="shared" si="64"/>
        <v>489.1041162227603</v>
      </c>
      <c r="S56" s="29">
        <f t="shared" si="64"/>
        <v>497.51243781094524</v>
      </c>
      <c r="T56" s="29">
        <f t="shared" si="64"/>
        <v>497.20670391061452</v>
      </c>
      <c r="U56" s="29">
        <f t="shared" si="64"/>
        <v>481.60535117056855</v>
      </c>
      <c r="V56" s="29">
        <f t="shared" si="64"/>
        <v>493.33333333333337</v>
      </c>
      <c r="W56" s="29">
        <f t="shared" ref="W56:Y56" si="65">IF(W10=0,0,W10/W21)</f>
        <v>421.8854226796546</v>
      </c>
      <c r="X56" s="29">
        <f t="shared" si="65"/>
        <v>245.02852103810113</v>
      </c>
      <c r="Y56" s="29">
        <f t="shared" si="65"/>
        <v>424.89609533661081</v>
      </c>
      <c r="DA56" s="173" t="s">
        <v>1071</v>
      </c>
    </row>
    <row r="57" spans="1:105" ht="11.45" customHeight="1" x14ac:dyDescent="0.25">
      <c r="A57" s="83" t="s">
        <v>92</v>
      </c>
      <c r="B57" s="87">
        <f t="shared" ref="B57:J57" si="66">IF(B11=0,0,B11/B22)</f>
        <v>499.36435308202005</v>
      </c>
      <c r="C57" s="87">
        <f t="shared" si="66"/>
        <v>499.39511267449814</v>
      </c>
      <c r="D57" s="87">
        <f t="shared" si="66"/>
        <v>471.57332745745828</v>
      </c>
      <c r="E57" s="87">
        <f t="shared" si="66"/>
        <v>471.57304538188447</v>
      </c>
      <c r="F57" s="87">
        <f t="shared" si="66"/>
        <v>473.53868874226407</v>
      </c>
      <c r="G57" s="87">
        <f t="shared" si="66"/>
        <v>474.15673112354648</v>
      </c>
      <c r="H57" s="87">
        <f t="shared" si="66"/>
        <v>476.67703291748791</v>
      </c>
      <c r="I57" s="87">
        <f t="shared" si="66"/>
        <v>470.41992595275116</v>
      </c>
      <c r="J57" s="87">
        <f t="shared" si="66"/>
        <v>477.2406095039666</v>
      </c>
      <c r="K57" s="87">
        <f t="shared" ref="K57:V57" si="67">IF(K11=0,0,K11/K22)</f>
        <v>543.80080791557327</v>
      </c>
      <c r="L57" s="87">
        <f t="shared" si="67"/>
        <v>505.33934276724654</v>
      </c>
      <c r="M57" s="87">
        <f t="shared" si="67"/>
        <v>500.19257411900793</v>
      </c>
      <c r="N57" s="87">
        <f t="shared" si="67"/>
        <v>513.96726825542498</v>
      </c>
      <c r="O57" s="87">
        <f t="shared" si="67"/>
        <v>515.42133748580807</v>
      </c>
      <c r="P57" s="87">
        <f t="shared" si="67"/>
        <v>492.61818658293549</v>
      </c>
      <c r="Q57" s="87">
        <f t="shared" si="67"/>
        <v>492.332537638205</v>
      </c>
      <c r="R57" s="87">
        <f t="shared" si="67"/>
        <v>491.88939282673323</v>
      </c>
      <c r="S57" s="87">
        <f t="shared" si="67"/>
        <v>500.28840941655966</v>
      </c>
      <c r="T57" s="87">
        <f t="shared" si="67"/>
        <v>500.35031027781292</v>
      </c>
      <c r="U57" s="87">
        <f t="shared" si="67"/>
        <v>484.78515667701328</v>
      </c>
      <c r="V57" s="87">
        <f t="shared" si="67"/>
        <v>497.29171173457468</v>
      </c>
      <c r="W57" s="87">
        <f t="shared" ref="W57:Y57" si="68">IF(W11=0,0,W11/W22)</f>
        <v>425.0055218492048</v>
      </c>
      <c r="X57" s="87">
        <f t="shared" si="68"/>
        <v>246.41464845478168</v>
      </c>
      <c r="Y57" s="87">
        <f t="shared" si="68"/>
        <v>427.81819165332655</v>
      </c>
      <c r="DA57" s="171" t="s">
        <v>1072</v>
      </c>
    </row>
    <row r="58" spans="1:105" ht="11.45" customHeight="1" x14ac:dyDescent="0.25">
      <c r="A58" s="85" t="s">
        <v>93</v>
      </c>
      <c r="B58" s="88">
        <f t="shared" ref="B58:J58" si="69">IF(B12=0,0,B12/B23)</f>
        <v>0</v>
      </c>
      <c r="C58" s="88">
        <f t="shared" si="69"/>
        <v>0</v>
      </c>
      <c r="D58" s="88">
        <f t="shared" si="69"/>
        <v>410.41186008027057</v>
      </c>
      <c r="E58" s="88">
        <f t="shared" si="69"/>
        <v>420.81055042349072</v>
      </c>
      <c r="F58" s="88">
        <f t="shared" si="69"/>
        <v>430.61646198211776</v>
      </c>
      <c r="G58" s="88">
        <f t="shared" si="69"/>
        <v>431.14748139701578</v>
      </c>
      <c r="H58" s="88">
        <f t="shared" si="69"/>
        <v>433.37790349587112</v>
      </c>
      <c r="I58" s="88">
        <f t="shared" si="69"/>
        <v>427.42130346615784</v>
      </c>
      <c r="J58" s="88">
        <f t="shared" si="69"/>
        <v>433.41285234710006</v>
      </c>
      <c r="K58" s="88">
        <f t="shared" ref="K58:V58" si="70">IF(K12=0,0,K12/K23)</f>
        <v>493.94065554783958</v>
      </c>
      <c r="L58" s="88">
        <f t="shared" si="70"/>
        <v>459.03860891420527</v>
      </c>
      <c r="M58" s="88">
        <f t="shared" si="70"/>
        <v>454.70414263456053</v>
      </c>
      <c r="N58" s="88">
        <f t="shared" si="70"/>
        <v>467.2147856343704</v>
      </c>
      <c r="O58" s="88">
        <f t="shared" si="70"/>
        <v>468.54606874007266</v>
      </c>
      <c r="P58" s="88">
        <f t="shared" si="70"/>
        <v>447.850035406769</v>
      </c>
      <c r="Q58" s="88">
        <f t="shared" si="70"/>
        <v>447.57503421655048</v>
      </c>
      <c r="R58" s="88">
        <f t="shared" si="70"/>
        <v>447.17217529702998</v>
      </c>
      <c r="S58" s="88">
        <f t="shared" si="70"/>
        <v>454.80764492414585</v>
      </c>
      <c r="T58" s="88">
        <f t="shared" si="70"/>
        <v>454.86391843437588</v>
      </c>
      <c r="U58" s="88">
        <f t="shared" si="70"/>
        <v>440.71377879728487</v>
      </c>
      <c r="V58" s="88">
        <f t="shared" si="70"/>
        <v>452.08337430415861</v>
      </c>
      <c r="W58" s="88">
        <f t="shared" ref="W58:Y58" si="71">IF(W12=0,0,W12/W23)</f>
        <v>386.68430457040341</v>
      </c>
      <c r="X58" s="88">
        <f t="shared" si="71"/>
        <v>226.43105167138191</v>
      </c>
      <c r="Y58" s="88">
        <f t="shared" si="71"/>
        <v>386.99597096032784</v>
      </c>
      <c r="DA58" s="178" t="s">
        <v>1073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320.00000000000006</v>
      </c>
      <c r="C61" s="29">
        <f t="shared" ref="C61" si="73">IF(C26=0,0,(C62*C27+C64*C29+C65*C30+C66*C31)/(C27+C29+C30+C31))</f>
        <v>319.99999999999994</v>
      </c>
      <c r="D61" s="29">
        <f t="shared" ref="D61" si="74">IF(D26=0,0,(D62*D27+D64*D29+D65*D30+D66*D31)/(D27+D29+D30+D31))</f>
        <v>320</v>
      </c>
      <c r="E61" s="29">
        <f t="shared" ref="E61" si="75">IF(E26=0,0,(E62*E27+E64*E29+E65*E30+E66*E31)/(E27+E29+E30+E31))</f>
        <v>320</v>
      </c>
      <c r="F61" s="29">
        <f t="shared" ref="F61" si="76">IF(F26=0,0,(F62*F27+F64*F29+F65*F30+F66*F31)/(F27+F29+F30+F31))</f>
        <v>324.30406829048098</v>
      </c>
      <c r="G61" s="29">
        <f t="shared" ref="G61" si="77">IF(G26=0,0,(G62*G27+G64*G29+G65*G30+G66*G31)/(G27+G29+G30+G31))</f>
        <v>329.10516452688461</v>
      </c>
      <c r="H61" s="29">
        <f t="shared" ref="H61" si="78">IF(H26=0,0,(H62*H27+H64*H29+H65*H30+H66*H31)/(H27+H29+H30+H31))</f>
        <v>329.04520746538026</v>
      </c>
      <c r="I61" s="29">
        <f t="shared" ref="I61" si="79">IF(I26=0,0,(I62*I27+I64*I29+I65*I30+I66*I31)/(I27+I29+I30+I31))</f>
        <v>332.08068011221098</v>
      </c>
      <c r="J61" s="29">
        <f t="shared" ref="J61" si="80">IF(J26=0,0,(J62*J27+J64*J29+J65*J30+J66*J31)/(J27+J29+J30+J31))</f>
        <v>331.3822920892643</v>
      </c>
      <c r="K61" s="29">
        <f t="shared" ref="K61" si="81">IF(K26=0,0,(K62*K27+K64*K29+K65*K30+K66*K31)/(K27+K29+K30+K31))</f>
        <v>331.92629990185043</v>
      </c>
      <c r="L61" s="29">
        <f t="shared" ref="L61" si="82">IF(L26=0,0,(L62*L27+L64*L29+L65*L30+L66*L31)/(L27+L29+L30+L31))</f>
        <v>331.73560242481597</v>
      </c>
      <c r="M61" s="29">
        <f t="shared" ref="M61" si="83">IF(M26=0,0,(M62*M27+M64*M29+M65*M30+M66*M31)/(M27+M29+M30+M31))</f>
        <v>331.38772639810765</v>
      </c>
      <c r="N61" s="29">
        <f t="shared" ref="N61" si="84">IF(N26=0,0,(N62*N27+N64*N29+N65*N30+N66*N31)/(N27+N29+N30+N31))</f>
        <v>331.05843728345263</v>
      </c>
      <c r="O61" s="29">
        <f t="shared" ref="O61" si="85">IF(O26=0,0,(O62*O27+O64*O29+O65*O30+O66*O31)/(O27+O29+O30+O31))</f>
        <v>331.11928102314494</v>
      </c>
      <c r="P61" s="29">
        <f t="shared" ref="P61" si="86">IF(P26=0,0,(P62*P27+P64*P29+P65*P30+P66*P31)/(P27+P29+P30+P31))</f>
        <v>331.73723274006767</v>
      </c>
      <c r="Q61" s="29">
        <f t="shared" ref="Q61" si="87">IF(Q26=0,0,(Q62*Q27+Q64*Q29+Q65*Q30+Q66*Q31)/(Q27+Q29+Q30+Q31))</f>
        <v>331.39912553649106</v>
      </c>
      <c r="R61" s="29">
        <f t="shared" ref="R61" si="88">IF(R26=0,0,(R62*R27+R64*R29+R65*R30+R66*R31)/(R27+R29+R30+R31))</f>
        <v>330.57394650834812</v>
      </c>
      <c r="S61" s="29">
        <f t="shared" ref="S61" si="89">IF(S26=0,0,(S62*S27+S64*S29+S65*S30+S66*S31)/(S27+S29+S30+S31))</f>
        <v>329.86642749170102</v>
      </c>
      <c r="T61" s="29">
        <f t="shared" ref="T61" si="90">IF(T26=0,0,(T62*T27+T64*T29+T65*T30+T66*T31)/(T27+T29+T30+T31))</f>
        <v>333.60022437956786</v>
      </c>
      <c r="U61" s="29">
        <f t="shared" ref="U61" si="91">IF(U26=0,0,(U62*U27+U64*U29+U65*U30+U66*U31)/(U27+U29+U30+U31))</f>
        <v>332.74379828992738</v>
      </c>
      <c r="V61" s="29">
        <f t="shared" ref="V61" si="92">IF(V26=0,0,(V62*V27+V64*V29+V65*V30+V66*V31)/(V27+V29+V30+V31))</f>
        <v>333.22895084857669</v>
      </c>
      <c r="W61" s="29">
        <f t="shared" ref="W61:Y61" si="93">IF(W26=0,0,(W62*W27+W64*W29+W65*W30+W66*W31)/(W27+W29+W30+W31))</f>
        <v>333.68470355715465</v>
      </c>
      <c r="X61" s="29">
        <f t="shared" si="93"/>
        <v>332.83093404747103</v>
      </c>
      <c r="Y61" s="29">
        <f t="shared" si="93"/>
        <v>332.02263287312678</v>
      </c>
      <c r="DA61" s="173" t="s">
        <v>1074</v>
      </c>
    </row>
    <row r="62" spans="1:105" ht="11.45" customHeight="1" x14ac:dyDescent="0.25">
      <c r="A62" s="107" t="s">
        <v>23</v>
      </c>
      <c r="B62" s="115">
        <v>0</v>
      </c>
      <c r="C62" s="115">
        <v>0</v>
      </c>
      <c r="D62" s="115">
        <v>0</v>
      </c>
      <c r="E62" s="115">
        <v>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X62" s="115">
        <v>400</v>
      </c>
      <c r="Y62" s="115">
        <v>400</v>
      </c>
      <c r="DA62" s="203" t="s">
        <v>1075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320.00000000000006</v>
      </c>
      <c r="C63" s="116">
        <f t="shared" ref="C63" si="95">IF(C28=0,0,(C64*C29+C65*C30)/(C29+C30))</f>
        <v>319.99999999999994</v>
      </c>
      <c r="D63" s="116">
        <f t="shared" ref="D63" si="96">IF(D28=0,0,(D64*D29+D65*D30)/(D29+D30))</f>
        <v>320</v>
      </c>
      <c r="E63" s="116">
        <f t="shared" ref="E63" si="97">IF(E28=0,0,(E64*E29+E65*E30)/(E29+E30))</f>
        <v>320</v>
      </c>
      <c r="F63" s="116">
        <f t="shared" ref="F63" si="98">IF(F28=0,0,(F64*F29+F65*F30)/(F29+F30))</f>
        <v>320</v>
      </c>
      <c r="G63" s="116">
        <f t="shared" ref="G63" si="99">IF(G28=0,0,(G64*G29+G65*G30)/(G29+G30))</f>
        <v>320.00000000000006</v>
      </c>
      <c r="H63" s="116">
        <f t="shared" ref="H63" si="100">IF(H28=0,0,(H64*H29+H65*H30)/(H29+H30))</f>
        <v>320</v>
      </c>
      <c r="I63" s="116">
        <f t="shared" ref="I63" si="101">IF(I28=0,0,(I64*I29+I65*I30)/(I29+I30))</f>
        <v>319.99999999999994</v>
      </c>
      <c r="J63" s="116">
        <f t="shared" ref="J63" si="102">IF(J28=0,0,(J64*J29+J65*J30)/(J29+J30))</f>
        <v>320</v>
      </c>
      <c r="K63" s="116">
        <f t="shared" ref="K63" si="103">IF(K28=0,0,(K64*K29+K65*K30)/(K29+K30))</f>
        <v>320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320.00000000000006</v>
      </c>
      <c r="N63" s="116">
        <f t="shared" ref="N63" si="106">IF(N28=0,0,(N64*N29+N65*N30)/(N29+N30))</f>
        <v>320.00000000000006</v>
      </c>
      <c r="O63" s="116">
        <f t="shared" ref="O63" si="107">IF(O28=0,0,(O64*O29+O65*O30)/(O29+O30))</f>
        <v>319.99999999999994</v>
      </c>
      <c r="P63" s="116">
        <f t="shared" ref="P63" si="108">IF(P28=0,0,(P64*P29+P65*P30)/(P29+P30))</f>
        <v>319.99999999999994</v>
      </c>
      <c r="Q63" s="116">
        <f t="shared" ref="Q63" si="109">IF(Q28=0,0,(Q64*Q29+Q65*Q30)/(Q29+Q30))</f>
        <v>320.00000000000006</v>
      </c>
      <c r="R63" s="116">
        <f t="shared" ref="R63" si="110">IF(R28=0,0,(R64*R29+R65*R30)/(R29+R30))</f>
        <v>319.99999999999994</v>
      </c>
      <c r="S63" s="116">
        <f t="shared" ref="S63" si="111">IF(S28=0,0,(S64*S29+S65*S30)/(S29+S30))</f>
        <v>320.00000000000006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320</v>
      </c>
      <c r="W63" s="116">
        <f t="shared" ref="W63:Y63" si="115">IF(W28=0,0,(W64*W29+W65*W30)/(W29+W30))</f>
        <v>320</v>
      </c>
      <c r="X63" s="116">
        <f t="shared" si="115"/>
        <v>320</v>
      </c>
      <c r="Y63" s="116">
        <f t="shared" si="115"/>
        <v>319.99999999999994</v>
      </c>
      <c r="DA63" s="176" t="s">
        <v>1076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X64" s="87">
        <v>320</v>
      </c>
      <c r="Y64" s="87">
        <v>320</v>
      </c>
      <c r="DA64" s="171" t="s">
        <v>1077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X65" s="87">
        <v>320</v>
      </c>
      <c r="Y65" s="87">
        <v>320</v>
      </c>
      <c r="DA65" s="171" t="s">
        <v>1078</v>
      </c>
    </row>
    <row r="66" spans="1:105" ht="11.45" customHeight="1" x14ac:dyDescent="0.25">
      <c r="A66" s="112" t="s">
        <v>25</v>
      </c>
      <c r="B66" s="117">
        <v>0</v>
      </c>
      <c r="C66" s="117">
        <v>0</v>
      </c>
      <c r="D66" s="117">
        <v>0</v>
      </c>
      <c r="E66" s="117">
        <v>0</v>
      </c>
      <c r="F66" s="117">
        <v>0</v>
      </c>
      <c r="G66" s="117">
        <v>0</v>
      </c>
      <c r="H66" s="117">
        <v>0</v>
      </c>
      <c r="I66" s="117">
        <v>0</v>
      </c>
      <c r="J66" s="117">
        <v>0</v>
      </c>
      <c r="K66" s="117">
        <v>0</v>
      </c>
      <c r="L66" s="117">
        <v>0</v>
      </c>
      <c r="M66" s="117">
        <v>0</v>
      </c>
      <c r="N66" s="117">
        <v>0</v>
      </c>
      <c r="O66" s="117">
        <v>0</v>
      </c>
      <c r="P66" s="117">
        <v>0</v>
      </c>
      <c r="Q66" s="117">
        <v>0</v>
      </c>
      <c r="R66" s="117">
        <v>0</v>
      </c>
      <c r="S66" s="117">
        <v>0</v>
      </c>
      <c r="T66" s="117">
        <v>0</v>
      </c>
      <c r="U66" s="117">
        <v>0</v>
      </c>
      <c r="V66" s="117">
        <v>0</v>
      </c>
      <c r="W66" s="117">
        <v>0</v>
      </c>
      <c r="X66" s="117">
        <v>0</v>
      </c>
      <c r="Y66" s="117">
        <v>0</v>
      </c>
      <c r="DA66" s="204" t="s">
        <v>1079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</v>
      </c>
      <c r="G67" s="29">
        <f t="shared" ref="G67" si="121">IF(G32=0,0,(G68*G33+G69*G34)/(G33+G34))</f>
        <v>2100</v>
      </c>
      <c r="H67" s="29">
        <f t="shared" ref="H67" si="122">IF(H32=0,0,(H68*H33+H69*H34)/(H33+H34))</f>
        <v>2100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</v>
      </c>
      <c r="L67" s="29">
        <f t="shared" ref="L67" si="126">IF(L32=0,0,(L68*L33+L69*L34)/(L33+L34))</f>
        <v>2099.9999999999995</v>
      </c>
      <c r="M67" s="29">
        <f t="shared" ref="M67" si="127">IF(M32=0,0,(M68*M33+M69*M34)/(M33+M34))</f>
        <v>2100</v>
      </c>
      <c r="N67" s="29">
        <f t="shared" ref="N67" si="128">IF(N32=0,0,(N68*N33+N69*N34)/(N33+N34))</f>
        <v>2100</v>
      </c>
      <c r="O67" s="29">
        <f t="shared" ref="O67" si="129">IF(O32=0,0,(O68*O33+O69*O34)/(O33+O34))</f>
        <v>2100</v>
      </c>
      <c r="P67" s="29">
        <f t="shared" ref="P67" si="130">IF(P32=0,0,(P68*P33+P69*P34)/(P33+P34))</f>
        <v>2100</v>
      </c>
      <c r="Q67" s="29">
        <f t="shared" ref="Q67" si="131">IF(Q32=0,0,(Q68*Q33+Q69*Q34)/(Q33+Q34))</f>
        <v>2100</v>
      </c>
      <c r="R67" s="29">
        <f t="shared" ref="R67" si="132">IF(R32=0,0,(R68*R33+R69*R34)/(R33+R34))</f>
        <v>2100</v>
      </c>
      <c r="S67" s="29">
        <f t="shared" ref="S67" si="133">IF(S32=0,0,(S68*S33+S69*S34)/(S33+S34))</f>
        <v>2099.9999999999995</v>
      </c>
      <c r="T67" s="29">
        <f t="shared" ref="T67" si="134">IF(T32=0,0,(T68*T33+T69*T34)/(T33+T34))</f>
        <v>2100</v>
      </c>
      <c r="U67" s="29">
        <f t="shared" ref="U67" si="135">IF(U32=0,0,(U68*U33+U69*U34)/(U33+U34))</f>
        <v>2100</v>
      </c>
      <c r="V67" s="29">
        <f t="shared" ref="V67" si="136">IF(V32=0,0,(V68*V33+V69*V34)/(V33+V34))</f>
        <v>2100</v>
      </c>
      <c r="W67" s="29">
        <f t="shared" ref="W67:Y67" si="137">IF(W32=0,0,(W68*W33+W69*W34)/(W33+W34))</f>
        <v>2100</v>
      </c>
      <c r="X67" s="29">
        <f t="shared" si="137"/>
        <v>2100</v>
      </c>
      <c r="Y67" s="29">
        <f t="shared" si="137"/>
        <v>2099.9999999999995</v>
      </c>
      <c r="DA67" s="173" t="s">
        <v>1080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X68" s="87">
        <v>2100</v>
      </c>
      <c r="Y68" s="87">
        <v>2100</v>
      </c>
      <c r="DA68" s="171" t="s">
        <v>1081</v>
      </c>
    </row>
    <row r="69" spans="1:105" ht="11.45" customHeight="1" x14ac:dyDescent="0.25">
      <c r="A69" s="85" t="s">
        <v>93</v>
      </c>
      <c r="B69" s="88">
        <v>0</v>
      </c>
      <c r="C69" s="88">
        <v>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X69" s="88">
        <v>2100</v>
      </c>
      <c r="Y69" s="88">
        <v>2100</v>
      </c>
      <c r="DA69" s="178" t="s">
        <v>1082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DA71" s="172"/>
    </row>
    <row r="72" spans="1:105" ht="11.45" customHeight="1" x14ac:dyDescent="0.25">
      <c r="A72" s="27" t="s">
        <v>33</v>
      </c>
      <c r="B72" s="30">
        <f>IF(B50=0,0,B50/B61)</f>
        <v>0.37645142567514367</v>
      </c>
      <c r="C72" s="30">
        <f t="shared" ref="C72:J72" si="138">IF(C50=0,0,C50/C61)</f>
        <v>0.37478042206366075</v>
      </c>
      <c r="D72" s="30">
        <f t="shared" si="138"/>
        <v>0.43777878591776498</v>
      </c>
      <c r="E72" s="30">
        <f t="shared" si="138"/>
        <v>0.37821208953791519</v>
      </c>
      <c r="F72" s="30">
        <f t="shared" si="138"/>
        <v>0.31736326670678144</v>
      </c>
      <c r="G72" s="30">
        <f t="shared" si="138"/>
        <v>0.35469569526445505</v>
      </c>
      <c r="H72" s="30">
        <f t="shared" si="138"/>
        <v>0.36036761321220045</v>
      </c>
      <c r="I72" s="30">
        <f t="shared" si="138"/>
        <v>0.34436749386321164</v>
      </c>
      <c r="J72" s="30">
        <f t="shared" si="138"/>
        <v>0.31778296127813521</v>
      </c>
      <c r="K72" s="30">
        <f t="shared" ref="K72:V72" si="139">IF(K50=0,0,K50/K61)</f>
        <v>0.28928137818934058</v>
      </c>
      <c r="L72" s="30">
        <f t="shared" si="139"/>
        <v>0.28081633297006503</v>
      </c>
      <c r="M72" s="30">
        <f t="shared" si="139"/>
        <v>0.26506124665429742</v>
      </c>
      <c r="N72" s="30">
        <f t="shared" si="139"/>
        <v>0.24837665835907449</v>
      </c>
      <c r="O72" s="30">
        <f t="shared" si="139"/>
        <v>0.24831361120116471</v>
      </c>
      <c r="P72" s="30">
        <f t="shared" si="139"/>
        <v>0.29147719665863475</v>
      </c>
      <c r="Q72" s="30">
        <f t="shared" si="139"/>
        <v>0.28903939325837308</v>
      </c>
      <c r="R72" s="30">
        <f t="shared" si="139"/>
        <v>0.27771184724219983</v>
      </c>
      <c r="S72" s="30">
        <f t="shared" si="139"/>
        <v>0.27496461422463603</v>
      </c>
      <c r="T72" s="30">
        <f t="shared" si="139"/>
        <v>0.28015442097724808</v>
      </c>
      <c r="U72" s="30">
        <f t="shared" si="139"/>
        <v>0.27445113459444903</v>
      </c>
      <c r="V72" s="30">
        <f t="shared" si="139"/>
        <v>0.11681393181534831</v>
      </c>
      <c r="W72" s="30">
        <f t="shared" ref="W72:Y72" si="140">IF(W50=0,0,W50/W61)</f>
        <v>0.11205187032064316</v>
      </c>
      <c r="X72" s="30">
        <f t="shared" si="140"/>
        <v>0.20296359392012653</v>
      </c>
      <c r="Y72" s="30">
        <f t="shared" si="140"/>
        <v>0.24170080849544892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</v>
      </c>
      <c r="C73" s="118">
        <f t="shared" si="141"/>
        <v>0</v>
      </c>
      <c r="D73" s="118">
        <f t="shared" si="141"/>
        <v>0</v>
      </c>
      <c r="E73" s="118">
        <f t="shared" si="141"/>
        <v>0</v>
      </c>
      <c r="F73" s="118">
        <f t="shared" si="141"/>
        <v>0.19693933603486577</v>
      </c>
      <c r="G73" s="118">
        <f t="shared" si="141"/>
        <v>0.19721834031520899</v>
      </c>
      <c r="H73" s="118">
        <f t="shared" si="141"/>
        <v>0.19757502597272436</v>
      </c>
      <c r="I73" s="118">
        <f t="shared" si="141"/>
        <v>0.19599070619855408</v>
      </c>
      <c r="J73" s="118">
        <f t="shared" si="141"/>
        <v>0.2011395926865282</v>
      </c>
      <c r="K73" s="118">
        <f t="shared" ref="K73:V73" si="142">IF(K51=0,0,K51/K62)</f>
        <v>0.18367549022431287</v>
      </c>
      <c r="L73" s="118">
        <f t="shared" si="142"/>
        <v>0.18177902340455887</v>
      </c>
      <c r="M73" s="118">
        <f t="shared" si="142"/>
        <v>0.18363276876735043</v>
      </c>
      <c r="N73" s="118">
        <f t="shared" si="142"/>
        <v>0.18321210042967484</v>
      </c>
      <c r="O73" s="118">
        <f t="shared" si="142"/>
        <v>0.17844571302796544</v>
      </c>
      <c r="P73" s="118">
        <f t="shared" si="142"/>
        <v>0.18280176094758901</v>
      </c>
      <c r="Q73" s="118">
        <f t="shared" si="142"/>
        <v>0.18883178334929174</v>
      </c>
      <c r="R73" s="118">
        <f t="shared" si="142"/>
        <v>0.19282009442811254</v>
      </c>
      <c r="S73" s="118">
        <f t="shared" si="142"/>
        <v>0.19534458866997742</v>
      </c>
      <c r="T73" s="118">
        <f t="shared" si="142"/>
        <v>0.21831212177813497</v>
      </c>
      <c r="U73" s="118">
        <f t="shared" si="142"/>
        <v>0.2188142620232173</v>
      </c>
      <c r="V73" s="118">
        <f t="shared" si="142"/>
        <v>9.821668909825032E-2</v>
      </c>
      <c r="W73" s="118">
        <f t="shared" ref="W73:Y73" si="143">IF(W51=0,0,W51/W62)</f>
        <v>9.7932869422840782E-2</v>
      </c>
      <c r="X73" s="118">
        <f t="shared" si="143"/>
        <v>0.17152629808231468</v>
      </c>
      <c r="Y73" s="118">
        <f t="shared" si="143"/>
        <v>0.2120493358633776</v>
      </c>
      <c r="DA73" s="203"/>
    </row>
    <row r="74" spans="1:105" ht="11.45" customHeight="1" x14ac:dyDescent="0.25">
      <c r="A74" s="109" t="s">
        <v>24</v>
      </c>
      <c r="B74" s="119">
        <f t="shared" si="141"/>
        <v>0.37645142567514367</v>
      </c>
      <c r="C74" s="119">
        <f t="shared" si="141"/>
        <v>0.37478042206366075</v>
      </c>
      <c r="D74" s="119">
        <f t="shared" si="141"/>
        <v>0.43777878591776498</v>
      </c>
      <c r="E74" s="119">
        <f t="shared" si="141"/>
        <v>0.37821208953791519</v>
      </c>
      <c r="F74" s="119">
        <f t="shared" si="141"/>
        <v>0.32477825310202157</v>
      </c>
      <c r="G74" s="119">
        <f t="shared" si="141"/>
        <v>0.37592669949293467</v>
      </c>
      <c r="H74" s="119">
        <f t="shared" si="141"/>
        <v>0.38210711518374313</v>
      </c>
      <c r="I74" s="119">
        <f t="shared" si="141"/>
        <v>0.37225747626099143</v>
      </c>
      <c r="J74" s="119">
        <f t="shared" si="141"/>
        <v>0.3365032856409147</v>
      </c>
      <c r="K74" s="119">
        <f t="shared" ref="K74:V74" si="144">IF(K52=0,0,K52/K63)</f>
        <v>0.30746427363978929</v>
      </c>
      <c r="L74" s="119">
        <f t="shared" si="144"/>
        <v>0.29764879093777435</v>
      </c>
      <c r="M74" s="119">
        <f t="shared" si="144"/>
        <v>0.27909879475577559</v>
      </c>
      <c r="N74" s="119">
        <f t="shared" si="144"/>
        <v>0.25985344984482217</v>
      </c>
      <c r="O74" s="119">
        <f t="shared" si="144"/>
        <v>0.26072402981569359</v>
      </c>
      <c r="P74" s="119">
        <f t="shared" si="144"/>
        <v>0.31147005496747204</v>
      </c>
      <c r="Q74" s="119">
        <f t="shared" si="144"/>
        <v>0.30704855320761715</v>
      </c>
      <c r="R74" s="119">
        <f t="shared" si="144"/>
        <v>0.29201093704019743</v>
      </c>
      <c r="S74" s="119">
        <f t="shared" si="144"/>
        <v>0.28747003138485122</v>
      </c>
      <c r="T74" s="119">
        <f t="shared" si="144"/>
        <v>0.29494074131805281</v>
      </c>
      <c r="U74" s="119">
        <f t="shared" si="144"/>
        <v>0.28696360661558906</v>
      </c>
      <c r="V74" s="119">
        <f t="shared" si="144"/>
        <v>0.12148209443057996</v>
      </c>
      <c r="W74" s="119">
        <f t="shared" ref="W74:Y74" si="145">IF(W52=0,0,W52/W63)</f>
        <v>0.11610471563352234</v>
      </c>
      <c r="X74" s="119">
        <f t="shared" si="145"/>
        <v>0.21079505076581179</v>
      </c>
      <c r="Y74" s="119">
        <f t="shared" si="145"/>
        <v>0.24954150609521256</v>
      </c>
      <c r="DA74" s="176"/>
    </row>
    <row r="75" spans="1:105" ht="11.45" customHeight="1" x14ac:dyDescent="0.25">
      <c r="A75" s="111" t="s">
        <v>92</v>
      </c>
      <c r="B75" s="120">
        <f t="shared" si="141"/>
        <v>0.36334079477803871</v>
      </c>
      <c r="C75" s="120">
        <f t="shared" si="141"/>
        <v>0.36272069725679079</v>
      </c>
      <c r="D75" s="120">
        <f t="shared" si="141"/>
        <v>0.41141281801736601</v>
      </c>
      <c r="E75" s="120">
        <f t="shared" si="141"/>
        <v>0.35478915289346868</v>
      </c>
      <c r="F75" s="120">
        <f t="shared" si="141"/>
        <v>0.32612371182301503</v>
      </c>
      <c r="G75" s="120">
        <f t="shared" si="141"/>
        <v>0.39853512113809947</v>
      </c>
      <c r="H75" s="120">
        <f t="shared" si="141"/>
        <v>0.40617055055443696</v>
      </c>
      <c r="I75" s="120">
        <f t="shared" si="141"/>
        <v>0.40533007151973754</v>
      </c>
      <c r="J75" s="120">
        <f t="shared" si="141"/>
        <v>0.36543312372388209</v>
      </c>
      <c r="K75" s="120">
        <f t="shared" ref="K75:V75" si="146">IF(K53=0,0,K53/K64)</f>
        <v>0.32444234750593914</v>
      </c>
      <c r="L75" s="120">
        <f t="shared" si="146"/>
        <v>0.31249414204602238</v>
      </c>
      <c r="M75" s="120">
        <f t="shared" si="146"/>
        <v>0.29542924558858263</v>
      </c>
      <c r="N75" s="120">
        <f t="shared" si="146"/>
        <v>0.27555462108769785</v>
      </c>
      <c r="O75" s="120">
        <f t="shared" si="146"/>
        <v>0.27493428071137582</v>
      </c>
      <c r="P75" s="120">
        <f t="shared" si="146"/>
        <v>0.32992270157494341</v>
      </c>
      <c r="Q75" s="120">
        <f t="shared" si="146"/>
        <v>0.32652198003184163</v>
      </c>
      <c r="R75" s="120">
        <f t="shared" si="146"/>
        <v>0.31119734945896449</v>
      </c>
      <c r="S75" s="120">
        <f t="shared" si="146"/>
        <v>0.30623912093162076</v>
      </c>
      <c r="T75" s="120">
        <f t="shared" si="146"/>
        <v>0.31364715890971795</v>
      </c>
      <c r="U75" s="120">
        <f t="shared" si="146"/>
        <v>0.3053364802763906</v>
      </c>
      <c r="V75" s="120">
        <f t="shared" si="146"/>
        <v>0.12801314416255338</v>
      </c>
      <c r="W75" s="120">
        <f t="shared" ref="W75:Y75" si="147">IF(W53=0,0,W53/W64)</f>
        <v>0.12182272972239225</v>
      </c>
      <c r="X75" s="120">
        <f t="shared" si="147"/>
        <v>0.20985843350412789</v>
      </c>
      <c r="Y75" s="120">
        <f t="shared" si="147"/>
        <v>0.24767881257937502</v>
      </c>
      <c r="DA75" s="171"/>
    </row>
    <row r="76" spans="1:105" ht="11.45" customHeight="1" x14ac:dyDescent="0.25">
      <c r="A76" s="111" t="s">
        <v>93</v>
      </c>
      <c r="B76" s="120">
        <f t="shared" si="141"/>
        <v>0.50048919660877744</v>
      </c>
      <c r="C76" s="120">
        <f t="shared" si="141"/>
        <v>0.50015322163116782</v>
      </c>
      <c r="D76" s="120">
        <f t="shared" si="141"/>
        <v>0.72641249916566486</v>
      </c>
      <c r="E76" s="120">
        <f t="shared" si="141"/>
        <v>0.66941751960223217</v>
      </c>
      <c r="F76" s="120">
        <f t="shared" si="141"/>
        <v>0.31591714147036432</v>
      </c>
      <c r="G76" s="120">
        <f t="shared" si="141"/>
        <v>0.24857145411430218</v>
      </c>
      <c r="H76" s="120">
        <f t="shared" si="141"/>
        <v>0.23642235733792133</v>
      </c>
      <c r="I76" s="120">
        <f t="shared" si="141"/>
        <v>9.4842461484062474E-2</v>
      </c>
      <c r="J76" s="120">
        <f t="shared" si="141"/>
        <v>0.1120928162597401</v>
      </c>
      <c r="K76" s="120">
        <f t="shared" ref="K76:V76" si="148">IF(K54=0,0,K54/K65)</f>
        <v>0.15523200070999466</v>
      </c>
      <c r="L76" s="120">
        <f t="shared" si="148"/>
        <v>0.16605101081720394</v>
      </c>
      <c r="M76" s="120">
        <f t="shared" si="148"/>
        <v>0.12982000269988597</v>
      </c>
      <c r="N76" s="120">
        <f t="shared" si="148"/>
        <v>0.10986546139005213</v>
      </c>
      <c r="O76" s="120">
        <f t="shared" si="148"/>
        <v>0.11172251178560108</v>
      </c>
      <c r="P76" s="120">
        <f t="shared" si="148"/>
        <v>0.12104861757770702</v>
      </c>
      <c r="Q76" s="120">
        <f t="shared" si="148"/>
        <v>9.3977894371265275E-2</v>
      </c>
      <c r="R76" s="120">
        <f t="shared" si="148"/>
        <v>8.8934962269479903E-2</v>
      </c>
      <c r="S76" s="120">
        <f t="shared" si="148"/>
        <v>7.8180696455995041E-2</v>
      </c>
      <c r="T76" s="120">
        <f t="shared" si="148"/>
        <v>7.2837661496215955E-2</v>
      </c>
      <c r="U76" s="120">
        <f t="shared" si="148"/>
        <v>6.7109969456673413E-2</v>
      </c>
      <c r="V76" s="120">
        <f t="shared" si="148"/>
        <v>5.4960973650543664E-2</v>
      </c>
      <c r="W76" s="120">
        <f t="shared" ref="W76:Y76" si="149">IF(W54=0,0,W54/W65)</f>
        <v>5.3643664320047149E-2</v>
      </c>
      <c r="X76" s="120">
        <f t="shared" si="149"/>
        <v>0.22143932929231402</v>
      </c>
      <c r="Y76" s="120">
        <f t="shared" si="149"/>
        <v>0.27067746820718025</v>
      </c>
      <c r="DA76" s="171"/>
    </row>
    <row r="77" spans="1:105" ht="11.45" customHeight="1" x14ac:dyDescent="0.25">
      <c r="A77" s="112" t="s">
        <v>25</v>
      </c>
      <c r="B77" s="121">
        <f t="shared" si="141"/>
        <v>0</v>
      </c>
      <c r="C77" s="121">
        <f t="shared" si="141"/>
        <v>0</v>
      </c>
      <c r="D77" s="121">
        <f t="shared" si="141"/>
        <v>0</v>
      </c>
      <c r="E77" s="121">
        <f t="shared" si="141"/>
        <v>0</v>
      </c>
      <c r="F77" s="121">
        <f t="shared" si="141"/>
        <v>0</v>
      </c>
      <c r="G77" s="121">
        <f t="shared" si="141"/>
        <v>0</v>
      </c>
      <c r="H77" s="121">
        <f t="shared" si="141"/>
        <v>0</v>
      </c>
      <c r="I77" s="121">
        <f t="shared" si="141"/>
        <v>0</v>
      </c>
      <c r="J77" s="121">
        <f t="shared" si="141"/>
        <v>0</v>
      </c>
      <c r="K77" s="121">
        <f t="shared" ref="K77:V77" si="150">IF(K55=0,0,K55/K66)</f>
        <v>0</v>
      </c>
      <c r="L77" s="121">
        <f t="shared" si="150"/>
        <v>0</v>
      </c>
      <c r="M77" s="121">
        <f t="shared" si="150"/>
        <v>0</v>
      </c>
      <c r="N77" s="121">
        <f t="shared" si="150"/>
        <v>0</v>
      </c>
      <c r="O77" s="121">
        <f t="shared" si="150"/>
        <v>0</v>
      </c>
      <c r="P77" s="121">
        <f t="shared" si="150"/>
        <v>0</v>
      </c>
      <c r="Q77" s="121">
        <f t="shared" si="150"/>
        <v>0</v>
      </c>
      <c r="R77" s="121">
        <f t="shared" si="150"/>
        <v>0</v>
      </c>
      <c r="S77" s="121">
        <f t="shared" si="150"/>
        <v>0</v>
      </c>
      <c r="T77" s="121">
        <f t="shared" si="150"/>
        <v>0</v>
      </c>
      <c r="U77" s="121">
        <f t="shared" si="150"/>
        <v>0</v>
      </c>
      <c r="V77" s="121">
        <f t="shared" si="150"/>
        <v>0</v>
      </c>
      <c r="W77" s="121">
        <f t="shared" ref="W77:Y77" si="151">IF(W55=0,0,W55/W66)</f>
        <v>0</v>
      </c>
      <c r="X77" s="121">
        <f t="shared" si="151"/>
        <v>0</v>
      </c>
      <c r="Y77" s="121">
        <f t="shared" si="151"/>
        <v>0</v>
      </c>
      <c r="DA77" s="204"/>
    </row>
    <row r="78" spans="1:105" ht="11.45" customHeight="1" x14ac:dyDescent="0.25">
      <c r="A78" s="27" t="s">
        <v>34</v>
      </c>
      <c r="B78" s="30">
        <f t="shared" si="141"/>
        <v>0.23779254908667621</v>
      </c>
      <c r="C78" s="30">
        <f t="shared" si="141"/>
        <v>0.23780719651166579</v>
      </c>
      <c r="D78" s="30">
        <f t="shared" si="141"/>
        <v>0.22425463764359063</v>
      </c>
      <c r="E78" s="30">
        <f t="shared" si="141"/>
        <v>0.22431237952324537</v>
      </c>
      <c r="F78" s="30">
        <f t="shared" si="141"/>
        <v>0.22435739271224142</v>
      </c>
      <c r="G78" s="30">
        <f t="shared" si="141"/>
        <v>0.22413754796804403</v>
      </c>
      <c r="H78" s="30">
        <f t="shared" si="141"/>
        <v>0.2254099040718574</v>
      </c>
      <c r="I78" s="30">
        <f t="shared" si="141"/>
        <v>0.22279112801527773</v>
      </c>
      <c r="J78" s="30">
        <f t="shared" si="141"/>
        <v>0.22601333946117377</v>
      </c>
      <c r="K78" s="30">
        <f t="shared" ref="K78:V78" si="152">IF(K56=0,0,K56/K67)</f>
        <v>0.25765357348139817</v>
      </c>
      <c r="L78" s="30">
        <f t="shared" si="152"/>
        <v>0.23938653691910652</v>
      </c>
      <c r="M78" s="30">
        <f t="shared" si="152"/>
        <v>0.23696682464454977</v>
      </c>
      <c r="N78" s="30">
        <f t="shared" si="152"/>
        <v>0.24344569288389514</v>
      </c>
      <c r="O78" s="30">
        <f t="shared" si="152"/>
        <v>0.24426350851221318</v>
      </c>
      <c r="P78" s="30">
        <f t="shared" si="152"/>
        <v>0.23342670401493934</v>
      </c>
      <c r="Q78" s="30">
        <f t="shared" si="152"/>
        <v>0.23323615160349853</v>
      </c>
      <c r="R78" s="30">
        <f t="shared" si="152"/>
        <v>0.23290672201083823</v>
      </c>
      <c r="S78" s="30">
        <f t="shared" si="152"/>
        <v>0.23691068467187873</v>
      </c>
      <c r="T78" s="30">
        <f t="shared" si="152"/>
        <v>0.23676509710029264</v>
      </c>
      <c r="U78" s="30">
        <f t="shared" si="152"/>
        <v>0.22933588150979456</v>
      </c>
      <c r="V78" s="30">
        <f t="shared" si="152"/>
        <v>0.23492063492063495</v>
      </c>
      <c r="W78" s="30">
        <f t="shared" ref="W78:Y78" si="153">IF(W56=0,0,W56/W67)</f>
        <v>0.20089782032364503</v>
      </c>
      <c r="X78" s="30">
        <f t="shared" si="153"/>
        <v>0.11668024811338149</v>
      </c>
      <c r="Y78" s="30">
        <f t="shared" si="153"/>
        <v>0.20233147396981471</v>
      </c>
      <c r="DA78" s="173"/>
    </row>
    <row r="79" spans="1:105" ht="11.45" customHeight="1" x14ac:dyDescent="0.25">
      <c r="A79" s="83" t="s">
        <v>92</v>
      </c>
      <c r="B79" s="120">
        <f t="shared" si="141"/>
        <v>0.23779254908667621</v>
      </c>
      <c r="C79" s="120">
        <f t="shared" si="141"/>
        <v>0.23780719651166579</v>
      </c>
      <c r="D79" s="120">
        <f t="shared" si="141"/>
        <v>0.2245587273606944</v>
      </c>
      <c r="E79" s="120">
        <f t="shared" si="141"/>
        <v>0.22455859303899262</v>
      </c>
      <c r="F79" s="120">
        <f t="shared" si="141"/>
        <v>0.22549461368679241</v>
      </c>
      <c r="G79" s="120">
        <f t="shared" si="141"/>
        <v>0.22578891958264119</v>
      </c>
      <c r="H79" s="120">
        <f t="shared" si="141"/>
        <v>0.22698906329404187</v>
      </c>
      <c r="I79" s="120">
        <f t="shared" si="141"/>
        <v>0.22400948854892913</v>
      </c>
      <c r="J79" s="120">
        <f t="shared" si="141"/>
        <v>0.22725743309712695</v>
      </c>
      <c r="K79" s="120">
        <f t="shared" ref="K79:V79" si="154">IF(K57=0,0,K57/K68)</f>
        <v>0.25895276567408249</v>
      </c>
      <c r="L79" s="120">
        <f t="shared" si="154"/>
        <v>0.2406377822701174</v>
      </c>
      <c r="M79" s="120">
        <f t="shared" si="154"/>
        <v>0.23818694005667043</v>
      </c>
      <c r="N79" s="120">
        <f t="shared" si="154"/>
        <v>0.24474631821686904</v>
      </c>
      <c r="O79" s="120">
        <f t="shared" si="154"/>
        <v>0.24543873213609907</v>
      </c>
      <c r="P79" s="120">
        <f t="shared" si="154"/>
        <v>0.2345800888490169</v>
      </c>
      <c r="Q79" s="120">
        <f t="shared" si="154"/>
        <v>0.23444406554200237</v>
      </c>
      <c r="R79" s="120">
        <f t="shared" si="154"/>
        <v>0.23423304420320629</v>
      </c>
      <c r="S79" s="120">
        <f t="shared" si="154"/>
        <v>0.23823257591264746</v>
      </c>
      <c r="T79" s="120">
        <f t="shared" si="154"/>
        <v>0.23826205251324425</v>
      </c>
      <c r="U79" s="120">
        <f t="shared" si="154"/>
        <v>0.23085007460810156</v>
      </c>
      <c r="V79" s="120">
        <f t="shared" si="154"/>
        <v>0.23680557701646412</v>
      </c>
      <c r="W79" s="120">
        <f t="shared" ref="W79:Y79" si="155">IF(W57=0,0,W57/W68)</f>
        <v>0.20238358183295466</v>
      </c>
      <c r="X79" s="120">
        <f t="shared" si="155"/>
        <v>0.11734030878799127</v>
      </c>
      <c r="Y79" s="120">
        <f t="shared" si="155"/>
        <v>0.20372294840634597</v>
      </c>
      <c r="DA79" s="171"/>
    </row>
    <row r="80" spans="1:105" ht="11.45" customHeight="1" x14ac:dyDescent="0.25">
      <c r="A80" s="85" t="s">
        <v>93</v>
      </c>
      <c r="B80" s="122">
        <f t="shared" si="141"/>
        <v>0</v>
      </c>
      <c r="C80" s="122">
        <f t="shared" si="141"/>
        <v>0</v>
      </c>
      <c r="D80" s="122">
        <f t="shared" si="141"/>
        <v>0.19543421908584313</v>
      </c>
      <c r="E80" s="122">
        <f t="shared" si="141"/>
        <v>0.20038597639213845</v>
      </c>
      <c r="F80" s="122">
        <f t="shared" si="141"/>
        <v>0.20505545808672274</v>
      </c>
      <c r="G80" s="122">
        <f t="shared" si="141"/>
        <v>0.20530832447476943</v>
      </c>
      <c r="H80" s="122">
        <f t="shared" si="141"/>
        <v>0.20637043023612911</v>
      </c>
      <c r="I80" s="122">
        <f t="shared" si="141"/>
        <v>0.20353395403150373</v>
      </c>
      <c r="J80" s="122">
        <f t="shared" si="141"/>
        <v>0.20638707254623812</v>
      </c>
      <c r="K80" s="122">
        <f t="shared" ref="K80:V80" si="156">IF(K58=0,0,K58/K69)</f>
        <v>0.23520983597516171</v>
      </c>
      <c r="L80" s="122">
        <f t="shared" si="156"/>
        <v>0.21858981376866918</v>
      </c>
      <c r="M80" s="122">
        <f t="shared" si="156"/>
        <v>0.21652578220693358</v>
      </c>
      <c r="N80" s="122">
        <f t="shared" si="156"/>
        <v>0.22248323125446209</v>
      </c>
      <c r="O80" s="122">
        <f t="shared" si="156"/>
        <v>0.22311717559051078</v>
      </c>
      <c r="P80" s="122">
        <f t="shared" si="156"/>
        <v>0.21326192162227095</v>
      </c>
      <c r="Q80" s="122">
        <f t="shared" si="156"/>
        <v>0.21313096867454784</v>
      </c>
      <c r="R80" s="122">
        <f t="shared" si="156"/>
        <v>0.21293913109382381</v>
      </c>
      <c r="S80" s="122">
        <f t="shared" si="156"/>
        <v>0.21657506901149803</v>
      </c>
      <c r="T80" s="122">
        <f t="shared" si="156"/>
        <v>0.21660186592113137</v>
      </c>
      <c r="U80" s="122">
        <f t="shared" si="156"/>
        <v>0.20986370418918326</v>
      </c>
      <c r="V80" s="122">
        <f t="shared" si="156"/>
        <v>0.21527779728769458</v>
      </c>
      <c r="W80" s="122">
        <f t="shared" ref="W80:Y80" si="157">IF(W58=0,0,W58/W69)</f>
        <v>0.18413538312876354</v>
      </c>
      <c r="X80" s="122">
        <f t="shared" si="157"/>
        <v>0.10782431031970567</v>
      </c>
      <c r="Y80" s="122">
        <f t="shared" si="157"/>
        <v>0.18428379569539421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153005.57757508097</v>
      </c>
      <c r="C82" s="54">
        <f t="shared" si="158"/>
        <v>152889.97534366546</v>
      </c>
      <c r="D82" s="54">
        <f t="shared" si="158"/>
        <v>152072.99216848786</v>
      </c>
      <c r="E82" s="54">
        <f t="shared" si="158"/>
        <v>152276.32562511784</v>
      </c>
      <c r="F82" s="54">
        <f t="shared" si="158"/>
        <v>149828.768464678</v>
      </c>
      <c r="G82" s="54">
        <f t="shared" si="158"/>
        <v>146280.21734747605</v>
      </c>
      <c r="H82" s="54">
        <f t="shared" si="158"/>
        <v>145110.98832411913</v>
      </c>
      <c r="I82" s="54">
        <f t="shared" si="158"/>
        <v>141113.34868186223</v>
      </c>
      <c r="J82" s="54">
        <f t="shared" si="158"/>
        <v>140213.93222592273</v>
      </c>
      <c r="K82" s="54">
        <f t="shared" ref="K82:V82" si="159">IF(K14=0,0,K14/K25*1000000)</f>
        <v>138107.25326163924</v>
      </c>
      <c r="L82" s="54">
        <f t="shared" si="159"/>
        <v>140370.12777055107</v>
      </c>
      <c r="M82" s="54">
        <f t="shared" si="159"/>
        <v>142055.92560529514</v>
      </c>
      <c r="N82" s="54">
        <f t="shared" si="159"/>
        <v>142794.86858326406</v>
      </c>
      <c r="O82" s="54">
        <f t="shared" si="159"/>
        <v>143349.84200635637</v>
      </c>
      <c r="P82" s="54">
        <f t="shared" si="159"/>
        <v>141394.38525871054</v>
      </c>
      <c r="Q82" s="54">
        <f t="shared" si="159"/>
        <v>144464.87602616899</v>
      </c>
      <c r="R82" s="54">
        <f t="shared" si="159"/>
        <v>144887.87001196001</v>
      </c>
      <c r="S82" s="54">
        <f t="shared" si="159"/>
        <v>145140.34178662175</v>
      </c>
      <c r="T82" s="54">
        <f t="shared" si="159"/>
        <v>143315.29515913897</v>
      </c>
      <c r="U82" s="54">
        <f t="shared" si="159"/>
        <v>142992.51804155362</v>
      </c>
      <c r="V82" s="54">
        <f t="shared" si="159"/>
        <v>123014.95335720919</v>
      </c>
      <c r="W82" s="54">
        <f t="shared" ref="W82:Y82" si="160">IF(W14=0,0,W14/W25*1000000)</f>
        <v>137605.59260081427</v>
      </c>
      <c r="X82" s="54">
        <f t="shared" si="160"/>
        <v>138026.24518367436</v>
      </c>
      <c r="Y82" s="54">
        <f t="shared" si="160"/>
        <v>138517.55093701166</v>
      </c>
      <c r="DA82" s="172" t="s">
        <v>1083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149999.99815965298</v>
      </c>
      <c r="C83" s="28">
        <f t="shared" si="161"/>
        <v>149999.99926752769</v>
      </c>
      <c r="D83" s="28">
        <f t="shared" si="161"/>
        <v>149670.79504756702</v>
      </c>
      <c r="E83" s="28">
        <f t="shared" si="161"/>
        <v>149999.99785272911</v>
      </c>
      <c r="F83" s="28">
        <f t="shared" si="161"/>
        <v>147847.96316683688</v>
      </c>
      <c r="G83" s="28">
        <f t="shared" si="161"/>
        <v>145447.4159855317</v>
      </c>
      <c r="H83" s="28">
        <f t="shared" si="161"/>
        <v>145477.3947839746</v>
      </c>
      <c r="I83" s="28">
        <f t="shared" si="161"/>
        <v>141984.34722698398</v>
      </c>
      <c r="J83" s="28">
        <f t="shared" si="161"/>
        <v>140945.35797484103</v>
      </c>
      <c r="K83" s="28">
        <f t="shared" ref="K83:V83" si="162">IF(K15=0,0,K15/K26*1000000)</f>
        <v>138861.00715635571</v>
      </c>
      <c r="L83" s="28">
        <f t="shared" si="162"/>
        <v>140374.94723668115</v>
      </c>
      <c r="M83" s="28">
        <f t="shared" si="162"/>
        <v>141826.51389974382</v>
      </c>
      <c r="N83" s="28">
        <f t="shared" si="162"/>
        <v>142649.93033143523</v>
      </c>
      <c r="O83" s="28">
        <f t="shared" si="162"/>
        <v>143180.34412337129</v>
      </c>
      <c r="P83" s="28">
        <f t="shared" si="162"/>
        <v>141171.0937373121</v>
      </c>
      <c r="Q83" s="28">
        <f t="shared" si="162"/>
        <v>144300.43600320449</v>
      </c>
      <c r="R83" s="28">
        <f t="shared" si="162"/>
        <v>144713.02571557809</v>
      </c>
      <c r="S83" s="28">
        <f t="shared" si="162"/>
        <v>144990.02035301714</v>
      </c>
      <c r="T83" s="28">
        <f t="shared" si="162"/>
        <v>143199.88652567202</v>
      </c>
      <c r="U83" s="28">
        <f t="shared" si="162"/>
        <v>142928.73031795185</v>
      </c>
      <c r="V83" s="28">
        <f t="shared" si="162"/>
        <v>122845.1313418686</v>
      </c>
      <c r="W83" s="28">
        <f t="shared" ref="W83:Y83" si="163">IF(W15=0,0,W15/W26*1000000)</f>
        <v>137474.21703440024</v>
      </c>
      <c r="X83" s="28">
        <f t="shared" si="163"/>
        <v>137625.59661671545</v>
      </c>
      <c r="Y83" s="28">
        <f t="shared" si="163"/>
        <v>138526.90322478229</v>
      </c>
      <c r="DA83" s="173" t="s">
        <v>1084</v>
      </c>
    </row>
    <row r="84" spans="1:105" ht="11.45" customHeight="1" x14ac:dyDescent="0.25">
      <c r="A84" s="107" t="s">
        <v>23</v>
      </c>
      <c r="B84" s="108">
        <f t="shared" si="161"/>
        <v>0</v>
      </c>
      <c r="C84" s="108">
        <f t="shared" si="161"/>
        <v>0</v>
      </c>
      <c r="D84" s="108">
        <f t="shared" si="161"/>
        <v>0</v>
      </c>
      <c r="E84" s="108">
        <f t="shared" si="161"/>
        <v>0</v>
      </c>
      <c r="F84" s="108">
        <f t="shared" si="161"/>
        <v>109999.98429737733</v>
      </c>
      <c r="G84" s="108">
        <f t="shared" si="161"/>
        <v>109999.99865150009</v>
      </c>
      <c r="H84" s="108">
        <f t="shared" si="161"/>
        <v>109999.99840162919</v>
      </c>
      <c r="I84" s="108">
        <f t="shared" si="161"/>
        <v>109999.99479975793</v>
      </c>
      <c r="J84" s="108">
        <f t="shared" si="161"/>
        <v>86359.802416139835</v>
      </c>
      <c r="K84" s="108">
        <f t="shared" ref="K84:V84" si="164">IF(K16=0,0,K16/K27*1000000)</f>
        <v>88534.55674129627</v>
      </c>
      <c r="L84" s="108">
        <f t="shared" si="164"/>
        <v>88780.507545003944</v>
      </c>
      <c r="M84" s="108">
        <f t="shared" si="164"/>
        <v>92580.38823635201</v>
      </c>
      <c r="N84" s="108">
        <f t="shared" si="164"/>
        <v>96827.436058759049</v>
      </c>
      <c r="O84" s="108">
        <f t="shared" si="164"/>
        <v>103434.99040358908</v>
      </c>
      <c r="P84" s="108">
        <f t="shared" si="164"/>
        <v>107876.69285764995</v>
      </c>
      <c r="Q84" s="108">
        <f t="shared" si="164"/>
        <v>109999.99877667229</v>
      </c>
      <c r="R84" s="108">
        <f t="shared" si="164"/>
        <v>109999.99778363999</v>
      </c>
      <c r="S84" s="108">
        <f t="shared" si="164"/>
        <v>109377.5711969985</v>
      </c>
      <c r="T84" s="108">
        <f t="shared" si="164"/>
        <v>109999.99747663477</v>
      </c>
      <c r="U84" s="108">
        <f t="shared" si="164"/>
        <v>105609.6656886979</v>
      </c>
      <c r="V84" s="108">
        <f t="shared" si="164"/>
        <v>92794.263030505375</v>
      </c>
      <c r="W84" s="108">
        <f t="shared" ref="W84:Y84" si="165">IF(W16=0,0,W16/W27*1000000)</f>
        <v>94103.942938552704</v>
      </c>
      <c r="X84" s="108">
        <f t="shared" si="165"/>
        <v>72846.438549295082</v>
      </c>
      <c r="Y84" s="108">
        <f t="shared" si="165"/>
        <v>73656.679246168031</v>
      </c>
      <c r="DA84" s="203" t="s">
        <v>1085</v>
      </c>
    </row>
    <row r="85" spans="1:105" ht="11.45" customHeight="1" x14ac:dyDescent="0.25">
      <c r="A85" s="109" t="s">
        <v>24</v>
      </c>
      <c r="B85" s="110">
        <f t="shared" si="161"/>
        <v>149999.99815965298</v>
      </c>
      <c r="C85" s="110">
        <f t="shared" si="161"/>
        <v>149999.99926752769</v>
      </c>
      <c r="D85" s="110">
        <f t="shared" si="161"/>
        <v>149670.79504756702</v>
      </c>
      <c r="E85" s="110">
        <f t="shared" si="161"/>
        <v>149999.99785272911</v>
      </c>
      <c r="F85" s="110">
        <f t="shared" si="161"/>
        <v>149999.99805209279</v>
      </c>
      <c r="G85" s="110">
        <f t="shared" si="161"/>
        <v>149999.99819727681</v>
      </c>
      <c r="H85" s="110">
        <f t="shared" si="161"/>
        <v>149999.99853132927</v>
      </c>
      <c r="I85" s="110">
        <f t="shared" si="161"/>
        <v>147673.34309602249</v>
      </c>
      <c r="J85" s="110">
        <f t="shared" si="161"/>
        <v>149999.99935155621</v>
      </c>
      <c r="K85" s="110">
        <f t="shared" ref="K85:V85" si="166">IF(K17=0,0,K17/K28*1000000)</f>
        <v>147678.04427612753</v>
      </c>
      <c r="L85" s="110">
        <f t="shared" si="166"/>
        <v>149244.7513082076</v>
      </c>
      <c r="M85" s="110">
        <f t="shared" si="166"/>
        <v>149999.99913469551</v>
      </c>
      <c r="N85" s="110">
        <f t="shared" si="166"/>
        <v>149999.99840530747</v>
      </c>
      <c r="O85" s="110">
        <f t="shared" si="166"/>
        <v>149596.35957644833</v>
      </c>
      <c r="P85" s="110">
        <f t="shared" si="166"/>
        <v>146895.79766819254</v>
      </c>
      <c r="Q85" s="110">
        <f t="shared" si="166"/>
        <v>149999.99877058223</v>
      </c>
      <c r="R85" s="110">
        <f t="shared" si="166"/>
        <v>149999.99915040322</v>
      </c>
      <c r="S85" s="110">
        <f t="shared" si="166"/>
        <v>149999.99823997231</v>
      </c>
      <c r="T85" s="110">
        <f t="shared" si="166"/>
        <v>149999.99896919541</v>
      </c>
      <c r="U85" s="110">
        <f t="shared" si="166"/>
        <v>149999.99839303782</v>
      </c>
      <c r="V85" s="110">
        <f t="shared" si="166"/>
        <v>128798.93115331879</v>
      </c>
      <c r="W85" s="110">
        <f t="shared" ref="W85:Y85" si="167">IF(W17=0,0,W17/W28*1000000)</f>
        <v>146424.02765170997</v>
      </c>
      <c r="X85" s="110">
        <f t="shared" si="167"/>
        <v>149999.99981894542</v>
      </c>
      <c r="Y85" s="110">
        <f t="shared" si="167"/>
        <v>149999.99964284085</v>
      </c>
      <c r="DA85" s="176" t="s">
        <v>1086</v>
      </c>
    </row>
    <row r="86" spans="1:105" ht="11.45" customHeight="1" x14ac:dyDescent="0.25">
      <c r="A86" s="111" t="s">
        <v>92</v>
      </c>
      <c r="B86" s="84">
        <f t="shared" si="161"/>
        <v>149999.99892222648</v>
      </c>
      <c r="C86" s="84">
        <f t="shared" si="161"/>
        <v>149999.99946510259</v>
      </c>
      <c r="D86" s="84">
        <f t="shared" si="161"/>
        <v>149999.99900884985</v>
      </c>
      <c r="E86" s="84">
        <f t="shared" si="161"/>
        <v>149999.99930763963</v>
      </c>
      <c r="F86" s="84">
        <f t="shared" si="161"/>
        <v>149999.99835513497</v>
      </c>
      <c r="G86" s="84">
        <f t="shared" si="161"/>
        <v>149999.99888024566</v>
      </c>
      <c r="H86" s="84">
        <f t="shared" si="161"/>
        <v>149999.99958023115</v>
      </c>
      <c r="I86" s="84">
        <f t="shared" si="161"/>
        <v>149999.99921369998</v>
      </c>
      <c r="J86" s="84">
        <f t="shared" si="161"/>
        <v>149999.99982231247</v>
      </c>
      <c r="K86" s="84">
        <f t="shared" ref="K86:V86" si="168">IF(K18=0,0,K18/K29*1000000)</f>
        <v>149999.99936366273</v>
      </c>
      <c r="L86" s="84">
        <f t="shared" si="168"/>
        <v>149999.99942741118</v>
      </c>
      <c r="M86" s="84">
        <f t="shared" si="168"/>
        <v>149999.99937913229</v>
      </c>
      <c r="N86" s="84">
        <f t="shared" si="168"/>
        <v>149999.99877959859</v>
      </c>
      <c r="O86" s="84">
        <f t="shared" si="168"/>
        <v>149999.99929452696</v>
      </c>
      <c r="P86" s="84">
        <f t="shared" si="168"/>
        <v>147022.25619847933</v>
      </c>
      <c r="Q86" s="84">
        <f t="shared" si="168"/>
        <v>149999.99878789674</v>
      </c>
      <c r="R86" s="84">
        <f t="shared" si="168"/>
        <v>149999.99973989854</v>
      </c>
      <c r="S86" s="84">
        <f t="shared" si="168"/>
        <v>149999.9990055853</v>
      </c>
      <c r="T86" s="84">
        <f t="shared" si="168"/>
        <v>149999.9995710004</v>
      </c>
      <c r="U86" s="84">
        <f t="shared" si="168"/>
        <v>149999.99916960744</v>
      </c>
      <c r="V86" s="84">
        <f t="shared" si="168"/>
        <v>127036.07467735633</v>
      </c>
      <c r="W86" s="84">
        <f t="shared" ref="W86:Y86" si="169">IF(W18=0,0,W18/W29*1000000)</f>
        <v>146105.16496141831</v>
      </c>
      <c r="X86" s="84">
        <f t="shared" si="169"/>
        <v>149999.99993356905</v>
      </c>
      <c r="Y86" s="84">
        <f t="shared" si="169"/>
        <v>149999.9999902212</v>
      </c>
      <c r="DA86" s="171" t="s">
        <v>1087</v>
      </c>
    </row>
    <row r="87" spans="1:105" ht="11.45" customHeight="1" x14ac:dyDescent="0.25">
      <c r="A87" s="111" t="s">
        <v>93</v>
      </c>
      <c r="B87" s="84">
        <f t="shared" si="161"/>
        <v>149999.99094505617</v>
      </c>
      <c r="C87" s="84">
        <f t="shared" si="161"/>
        <v>149999.9972135406</v>
      </c>
      <c r="D87" s="84">
        <f t="shared" si="161"/>
        <v>146159.20897654517</v>
      </c>
      <c r="E87" s="84">
        <f t="shared" si="161"/>
        <v>149999.97976457039</v>
      </c>
      <c r="F87" s="84">
        <f t="shared" si="161"/>
        <v>149999.99605627495</v>
      </c>
      <c r="G87" s="84">
        <f t="shared" si="161"/>
        <v>149999.9943500527</v>
      </c>
      <c r="H87" s="84">
        <f t="shared" si="161"/>
        <v>149999.99218107213</v>
      </c>
      <c r="I87" s="84">
        <f t="shared" si="161"/>
        <v>130671.9329502507</v>
      </c>
      <c r="J87" s="84">
        <f t="shared" si="161"/>
        <v>149999.99569987194</v>
      </c>
      <c r="K87" s="84">
        <f t="shared" ref="K87:V87" si="170">IF(K19=0,0,K19/K30*1000000)</f>
        <v>129678.96075017305</v>
      </c>
      <c r="L87" s="84">
        <f t="shared" si="170"/>
        <v>142868.11286604294</v>
      </c>
      <c r="M87" s="84">
        <f t="shared" si="170"/>
        <v>149999.99690026659</v>
      </c>
      <c r="N87" s="84">
        <f t="shared" si="170"/>
        <v>149999.99482983074</v>
      </c>
      <c r="O87" s="84">
        <f t="shared" si="170"/>
        <v>145491.21593640308</v>
      </c>
      <c r="P87" s="84">
        <f t="shared" si="170"/>
        <v>145603.40716143147</v>
      </c>
      <c r="Q87" s="84">
        <f t="shared" si="170"/>
        <v>149999.99858113358</v>
      </c>
      <c r="R87" s="84">
        <f t="shared" si="170"/>
        <v>149999.99291097032</v>
      </c>
      <c r="S87" s="84">
        <f t="shared" si="170"/>
        <v>149999.98970281737</v>
      </c>
      <c r="T87" s="84">
        <f t="shared" si="170"/>
        <v>149999.99182390748</v>
      </c>
      <c r="U87" s="84">
        <f t="shared" si="170"/>
        <v>149999.98910044436</v>
      </c>
      <c r="V87" s="84">
        <f t="shared" si="170"/>
        <v>149999.99768185485</v>
      </c>
      <c r="W87" s="84">
        <f t="shared" ref="W87:Y87" si="171">IF(W19=0,0,W19/W30*1000000)</f>
        <v>149999.99420415802</v>
      </c>
      <c r="X87" s="84">
        <f t="shared" si="171"/>
        <v>149999.99851629371</v>
      </c>
      <c r="Y87" s="84">
        <f t="shared" si="171"/>
        <v>149999.99570112041</v>
      </c>
      <c r="DA87" s="171" t="s">
        <v>1088</v>
      </c>
    </row>
    <row r="88" spans="1:105" ht="11.45" customHeight="1" x14ac:dyDescent="0.25">
      <c r="A88" s="112" t="s">
        <v>25</v>
      </c>
      <c r="B88" s="113">
        <f t="shared" si="161"/>
        <v>0</v>
      </c>
      <c r="C88" s="113">
        <f t="shared" si="161"/>
        <v>0</v>
      </c>
      <c r="D88" s="113">
        <f t="shared" si="161"/>
        <v>0</v>
      </c>
      <c r="E88" s="113">
        <f t="shared" si="161"/>
        <v>0</v>
      </c>
      <c r="F88" s="113">
        <f t="shared" si="161"/>
        <v>0</v>
      </c>
      <c r="G88" s="113">
        <f t="shared" si="161"/>
        <v>0</v>
      </c>
      <c r="H88" s="113">
        <f t="shared" si="161"/>
        <v>0</v>
      </c>
      <c r="I88" s="113">
        <f t="shared" si="161"/>
        <v>0</v>
      </c>
      <c r="J88" s="113">
        <f t="shared" si="161"/>
        <v>0</v>
      </c>
      <c r="K88" s="113">
        <f t="shared" ref="K88:V88" si="172">IF(K20=0,0,K20/K31*1000000)</f>
        <v>0</v>
      </c>
      <c r="L88" s="113">
        <f t="shared" si="172"/>
        <v>0</v>
      </c>
      <c r="M88" s="113">
        <f t="shared" si="172"/>
        <v>0</v>
      </c>
      <c r="N88" s="113">
        <f t="shared" si="172"/>
        <v>0</v>
      </c>
      <c r="O88" s="113">
        <f t="shared" si="172"/>
        <v>0</v>
      </c>
      <c r="P88" s="113">
        <f t="shared" si="172"/>
        <v>0</v>
      </c>
      <c r="Q88" s="113">
        <f t="shared" si="172"/>
        <v>0</v>
      </c>
      <c r="R88" s="113">
        <f t="shared" si="172"/>
        <v>0</v>
      </c>
      <c r="S88" s="113">
        <f t="shared" si="172"/>
        <v>0</v>
      </c>
      <c r="T88" s="113">
        <f t="shared" si="172"/>
        <v>0</v>
      </c>
      <c r="U88" s="113">
        <f t="shared" si="172"/>
        <v>0</v>
      </c>
      <c r="V88" s="113">
        <f t="shared" si="172"/>
        <v>0</v>
      </c>
      <c r="W88" s="113">
        <f t="shared" ref="W88:Y88" si="173">IF(W20=0,0,W20/W31*1000000)</f>
        <v>0</v>
      </c>
      <c r="X88" s="113">
        <f t="shared" si="173"/>
        <v>0</v>
      </c>
      <c r="Y88" s="113">
        <f t="shared" si="173"/>
        <v>0</v>
      </c>
      <c r="DA88" s="204" t="s">
        <v>1089</v>
      </c>
    </row>
    <row r="89" spans="1:105" ht="11.45" customHeight="1" x14ac:dyDescent="0.25">
      <c r="A89" s="27" t="s">
        <v>34</v>
      </c>
      <c r="B89" s="28">
        <f t="shared" si="161"/>
        <v>199999.99993161051</v>
      </c>
      <c r="C89" s="28">
        <f t="shared" si="161"/>
        <v>199999.99993374993</v>
      </c>
      <c r="D89" s="28">
        <f t="shared" si="161"/>
        <v>191574.09233495581</v>
      </c>
      <c r="E89" s="28">
        <f t="shared" si="161"/>
        <v>199731.77890455278</v>
      </c>
      <c r="F89" s="28">
        <f t="shared" si="161"/>
        <v>199999.93220273455</v>
      </c>
      <c r="G89" s="28">
        <f t="shared" si="161"/>
        <v>170905.6608585513</v>
      </c>
      <c r="H89" s="28">
        <f t="shared" si="161"/>
        <v>132236.21210726112</v>
      </c>
      <c r="I89" s="28">
        <f t="shared" si="161"/>
        <v>99060.600674510613</v>
      </c>
      <c r="J89" s="28">
        <f t="shared" si="161"/>
        <v>94692.767003448607</v>
      </c>
      <c r="K89" s="28">
        <f t="shared" ref="K89:V89" si="174">IF(K21=0,0,K21/K32*1000000)</f>
        <v>81109.029364292481</v>
      </c>
      <c r="L89" s="28">
        <f t="shared" si="174"/>
        <v>139860.6091604282</v>
      </c>
      <c r="M89" s="28">
        <f t="shared" si="174"/>
        <v>168113.82660532769</v>
      </c>
      <c r="N89" s="28">
        <f t="shared" si="174"/>
        <v>162181.91161450269</v>
      </c>
      <c r="O89" s="28">
        <f t="shared" si="174"/>
        <v>164434.30764210573</v>
      </c>
      <c r="P89" s="28">
        <f t="shared" si="174"/>
        <v>166620.11104740339</v>
      </c>
      <c r="Q89" s="28">
        <f t="shared" si="174"/>
        <v>165542.49796872601</v>
      </c>
      <c r="R89" s="28">
        <f t="shared" si="174"/>
        <v>168198.37144879479</v>
      </c>
      <c r="S89" s="28">
        <f t="shared" si="174"/>
        <v>167056.46508519881</v>
      </c>
      <c r="T89" s="28">
        <f t="shared" si="174"/>
        <v>163818.45254710238</v>
      </c>
      <c r="U89" s="28">
        <f t="shared" si="174"/>
        <v>156857.56074427074</v>
      </c>
      <c r="V89" s="28">
        <f t="shared" si="174"/>
        <v>158922.04238133025</v>
      </c>
      <c r="W89" s="28">
        <f t="shared" ref="W89:Y89" si="175">IF(W21=0,0,W21/W32*1000000)</f>
        <v>162415.28081305898</v>
      </c>
      <c r="X89" s="28">
        <f t="shared" si="175"/>
        <v>183882.14700436869</v>
      </c>
      <c r="Y89" s="28">
        <f t="shared" si="175"/>
        <v>136945.1875194606</v>
      </c>
      <c r="DA89" s="173" t="s">
        <v>1090</v>
      </c>
    </row>
    <row r="90" spans="1:105" ht="11.45" customHeight="1" x14ac:dyDescent="0.25">
      <c r="A90" s="83" t="s">
        <v>92</v>
      </c>
      <c r="B90" s="84">
        <f t="shared" si="161"/>
        <v>199999.99993161051</v>
      </c>
      <c r="C90" s="84">
        <f t="shared" si="161"/>
        <v>199999.99993374993</v>
      </c>
      <c r="D90" s="84">
        <f t="shared" si="161"/>
        <v>191488.97566826118</v>
      </c>
      <c r="E90" s="84">
        <f t="shared" si="161"/>
        <v>199929.28899043115</v>
      </c>
      <c r="F90" s="84">
        <f t="shared" si="161"/>
        <v>199999.95363487408</v>
      </c>
      <c r="G90" s="84">
        <f t="shared" si="161"/>
        <v>168752.71854386281</v>
      </c>
      <c r="H90" s="84">
        <f t="shared" si="161"/>
        <v>132617.65507159414</v>
      </c>
      <c r="I90" s="84">
        <f t="shared" si="161"/>
        <v>102746.44533637025</v>
      </c>
      <c r="J90" s="84">
        <f t="shared" si="161"/>
        <v>100420.05575790926</v>
      </c>
      <c r="K90" s="84">
        <f t="shared" ref="K90:V90" si="176">IF(K22=0,0,K22/K33*1000000)</f>
        <v>89586.682124618368</v>
      </c>
      <c r="L90" s="84">
        <f t="shared" si="176"/>
        <v>164562.63980445647</v>
      </c>
      <c r="M90" s="84">
        <f t="shared" si="176"/>
        <v>199999.93086519357</v>
      </c>
      <c r="N90" s="84">
        <f t="shared" si="176"/>
        <v>199999.89705709333</v>
      </c>
      <c r="O90" s="84">
        <f t="shared" si="176"/>
        <v>199999.78638688842</v>
      </c>
      <c r="P90" s="84">
        <f t="shared" si="176"/>
        <v>199999.90789273783</v>
      </c>
      <c r="Q90" s="84">
        <f t="shared" si="176"/>
        <v>199999.94978838429</v>
      </c>
      <c r="R90" s="84">
        <f t="shared" si="176"/>
        <v>199999.84370272711</v>
      </c>
      <c r="S90" s="84">
        <f t="shared" si="176"/>
        <v>199999.92595745297</v>
      </c>
      <c r="T90" s="84">
        <f t="shared" si="176"/>
        <v>199999.93446646261</v>
      </c>
      <c r="U90" s="84">
        <f t="shared" si="176"/>
        <v>199999.98041722405</v>
      </c>
      <c r="V90" s="84">
        <f t="shared" si="176"/>
        <v>199999.72396907376</v>
      </c>
      <c r="W90" s="84">
        <f t="shared" ref="W90:Y90" si="177">IF(W22=0,0,W22/W33*1000000)</f>
        <v>199999.91298383122</v>
      </c>
      <c r="X90" s="84">
        <f t="shared" si="177"/>
        <v>199999.92735405947</v>
      </c>
      <c r="Y90" s="84">
        <f t="shared" si="177"/>
        <v>158670.3539606616</v>
      </c>
      <c r="DA90" s="171" t="s">
        <v>1091</v>
      </c>
    </row>
    <row r="91" spans="1:105" ht="11.45" customHeight="1" x14ac:dyDescent="0.25">
      <c r="A91" s="85" t="s">
        <v>93</v>
      </c>
      <c r="B91" s="86">
        <f t="shared" si="161"/>
        <v>0</v>
      </c>
      <c r="C91" s="86">
        <f t="shared" si="161"/>
        <v>0</v>
      </c>
      <c r="D91" s="86">
        <f t="shared" si="161"/>
        <v>199999.64921381953</v>
      </c>
      <c r="E91" s="86">
        <f t="shared" si="161"/>
        <v>182236.76176857817</v>
      </c>
      <c r="F91" s="86">
        <f t="shared" si="161"/>
        <v>199999.56843793576</v>
      </c>
      <c r="G91" s="86">
        <f t="shared" si="161"/>
        <v>199999.27166982362</v>
      </c>
      <c r="H91" s="86">
        <f t="shared" si="161"/>
        <v>127804.18546439424</v>
      </c>
      <c r="I91" s="86">
        <f t="shared" si="161"/>
        <v>63216.515117707444</v>
      </c>
      <c r="J91" s="86">
        <f t="shared" si="161"/>
        <v>49845.324513196931</v>
      </c>
      <c r="K91" s="86">
        <f t="shared" ref="K91:V91" si="178">IF(K23=0,0,K23/K34*1000000)</f>
        <v>30784.221503839537</v>
      </c>
      <c r="L91" s="86">
        <f t="shared" si="178"/>
        <v>40018.440566302728</v>
      </c>
      <c r="M91" s="86">
        <f t="shared" si="178"/>
        <v>45795.115070435459</v>
      </c>
      <c r="N91" s="86">
        <f t="shared" si="178"/>
        <v>40068.61045969565</v>
      </c>
      <c r="O91" s="86">
        <f t="shared" si="178"/>
        <v>39153.518839368917</v>
      </c>
      <c r="P91" s="86">
        <f t="shared" si="178"/>
        <v>42527.709511797024</v>
      </c>
      <c r="Q91" s="86">
        <f t="shared" si="178"/>
        <v>42801.891204306477</v>
      </c>
      <c r="R91" s="86">
        <f t="shared" si="178"/>
        <v>49559.97381951251</v>
      </c>
      <c r="S91" s="86">
        <f t="shared" si="178"/>
        <v>47271.651392401924</v>
      </c>
      <c r="T91" s="86">
        <f t="shared" si="178"/>
        <v>47666.927136693012</v>
      </c>
      <c r="U91" s="86">
        <f t="shared" si="178"/>
        <v>41562.587252837438</v>
      </c>
      <c r="V91" s="86">
        <f t="shared" si="178"/>
        <v>50606.637832656379</v>
      </c>
      <c r="W91" s="86">
        <f t="shared" ref="W91:Y91" si="179">IF(W23=0,0,W23/W34*1000000)</f>
        <v>52053.516734734934</v>
      </c>
      <c r="X91" s="86">
        <f t="shared" si="179"/>
        <v>88351.785202777013</v>
      </c>
      <c r="Y91" s="86">
        <f t="shared" si="179"/>
        <v>49333.986000176767</v>
      </c>
      <c r="DA91" s="178" t="s">
        <v>1092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18069668.210710492</v>
      </c>
      <c r="C94" s="28">
        <f t="shared" si="180"/>
        <v>17989460.171210498</v>
      </c>
      <c r="D94" s="28">
        <f t="shared" si="180"/>
        <v>20967263.661846567</v>
      </c>
      <c r="E94" s="28">
        <f t="shared" si="180"/>
        <v>18154180.037940312</v>
      </c>
      <c r="F94" s="28">
        <f t="shared" si="180"/>
        <v>15216837.415681984</v>
      </c>
      <c r="G94" s="28">
        <f t="shared" si="180"/>
        <v>16978394.691973809</v>
      </c>
      <c r="H94" s="28">
        <f t="shared" si="180"/>
        <v>17250307.381705727</v>
      </c>
      <c r="I94" s="28">
        <f t="shared" si="180"/>
        <v>16237016.386475816</v>
      </c>
      <c r="J94" s="28">
        <f t="shared" si="180"/>
        <v>14842623.876384625</v>
      </c>
      <c r="K94" s="28">
        <f t="shared" ref="K94:V94" si="181">IF(K4=0,0,K4/K26*1000000)</f>
        <v>13333447.445114957</v>
      </c>
      <c r="L94" s="28">
        <f t="shared" si="181"/>
        <v>13076877.429907378</v>
      </c>
      <c r="M94" s="28">
        <f t="shared" si="181"/>
        <v>12457763.551984478</v>
      </c>
      <c r="N94" s="28">
        <f t="shared" si="181"/>
        <v>11729702.692906778</v>
      </c>
      <c r="O94" s="28">
        <f t="shared" si="181"/>
        <v>11772491.841221642</v>
      </c>
      <c r="P94" s="28">
        <f t="shared" si="181"/>
        <v>13650374.956543526</v>
      </c>
      <c r="Q94" s="28">
        <f t="shared" si="181"/>
        <v>13822163.896950604</v>
      </c>
      <c r="R94" s="28">
        <f t="shared" si="181"/>
        <v>13285278.219889281</v>
      </c>
      <c r="S94" s="28">
        <f t="shared" si="181"/>
        <v>13150826.102333901</v>
      </c>
      <c r="T94" s="28">
        <f t="shared" si="181"/>
        <v>13383400.921225129</v>
      </c>
      <c r="U94" s="28">
        <f t="shared" si="181"/>
        <v>13052525.070999604</v>
      </c>
      <c r="V94" s="28">
        <f t="shared" si="181"/>
        <v>4781843.0411030436</v>
      </c>
      <c r="W94" s="28">
        <f t="shared" ref="W94:Y94" si="182">IF(W4=0,0,W4/W26*1000000)</f>
        <v>5140160.3055499392</v>
      </c>
      <c r="X94" s="28">
        <f t="shared" si="182"/>
        <v>9296961.7228399981</v>
      </c>
      <c r="Y94" s="28">
        <f t="shared" si="182"/>
        <v>11116803.211907858</v>
      </c>
      <c r="DA94" s="173" t="s">
        <v>1093</v>
      </c>
    </row>
    <row r="95" spans="1:105" ht="11.45" customHeight="1" x14ac:dyDescent="0.25">
      <c r="A95" s="107" t="s">
        <v>23</v>
      </c>
      <c r="B95" s="108">
        <f t="shared" si="180"/>
        <v>0</v>
      </c>
      <c r="C95" s="108">
        <f t="shared" si="180"/>
        <v>0</v>
      </c>
      <c r="D95" s="108">
        <f t="shared" si="180"/>
        <v>0</v>
      </c>
      <c r="E95" s="108">
        <f t="shared" si="180"/>
        <v>0</v>
      </c>
      <c r="F95" s="108">
        <f t="shared" si="180"/>
        <v>8665329.5485484619</v>
      </c>
      <c r="G95" s="108">
        <f t="shared" si="180"/>
        <v>8677606.8674896304</v>
      </c>
      <c r="H95" s="108">
        <f t="shared" si="180"/>
        <v>8693301.0164806098</v>
      </c>
      <c r="I95" s="108">
        <f t="shared" si="180"/>
        <v>8623590.6650567316</v>
      </c>
      <c r="J95" s="108">
        <f t="shared" si="180"/>
        <v>6948150.1929885671</v>
      </c>
      <c r="K95" s="108">
        <f t="shared" ref="K95:V95" si="183">IF(K5=0,0,K5/K27*1000000)</f>
        <v>6504651.2444999348</v>
      </c>
      <c r="L95" s="108">
        <f t="shared" si="183"/>
        <v>6455373.5835567536</v>
      </c>
      <c r="M95" s="108">
        <f t="shared" si="183"/>
        <v>6800317.2101590233</v>
      </c>
      <c r="N95" s="108">
        <f t="shared" si="183"/>
        <v>7095983.1758181127</v>
      </c>
      <c r="O95" s="108">
        <f t="shared" si="183"/>
        <v>7383012.2458436871</v>
      </c>
      <c r="P95" s="108">
        <f t="shared" si="183"/>
        <v>7888019.767832242</v>
      </c>
      <c r="Q95" s="108">
        <f t="shared" si="183"/>
        <v>8308598.3749675751</v>
      </c>
      <c r="R95" s="108">
        <f t="shared" si="183"/>
        <v>8484083.9838934522</v>
      </c>
      <c r="S95" s="108">
        <f t="shared" si="183"/>
        <v>8546526.6620795354</v>
      </c>
      <c r="T95" s="108">
        <f t="shared" si="183"/>
        <v>9605733.1378854532</v>
      </c>
      <c r="U95" s="108">
        <f t="shared" si="183"/>
        <v>9243560.424076451</v>
      </c>
      <c r="V95" s="108">
        <f t="shared" si="183"/>
        <v>3645578.1128673637</v>
      </c>
      <c r="W95" s="108">
        <f t="shared" ref="W95:Y95" si="184">IF(W5=0,0,W5/W27*1000000)</f>
        <v>3686347.6623902973</v>
      </c>
      <c r="X95" s="108">
        <f t="shared" si="184"/>
        <v>4998031.9731365629</v>
      </c>
      <c r="Y95" s="108">
        <f t="shared" si="184"/>
        <v>6247539.9664207045</v>
      </c>
      <c r="DA95" s="203" t="s">
        <v>1094</v>
      </c>
    </row>
    <row r="96" spans="1:105" ht="11.45" customHeight="1" x14ac:dyDescent="0.25">
      <c r="A96" s="109" t="s">
        <v>24</v>
      </c>
      <c r="B96" s="110">
        <f t="shared" si="180"/>
        <v>18069668.210710492</v>
      </c>
      <c r="C96" s="110">
        <f t="shared" si="180"/>
        <v>17989460.171210498</v>
      </c>
      <c r="D96" s="110">
        <f t="shared" si="180"/>
        <v>20967263.661846567</v>
      </c>
      <c r="E96" s="110">
        <f t="shared" si="180"/>
        <v>18154180.037940312</v>
      </c>
      <c r="F96" s="110">
        <f t="shared" si="180"/>
        <v>15589355.946452908</v>
      </c>
      <c r="G96" s="110">
        <f t="shared" si="180"/>
        <v>18044481.358799499</v>
      </c>
      <c r="H96" s="110">
        <f t="shared" si="180"/>
        <v>18341141.349239022</v>
      </c>
      <c r="I96" s="110">
        <f t="shared" si="180"/>
        <v>17591201.923823629</v>
      </c>
      <c r="J96" s="110">
        <f t="shared" si="180"/>
        <v>16152157.640938796</v>
      </c>
      <c r="K96" s="110">
        <f t="shared" ref="K96:V96" si="185">IF(K6=0,0,K6/K28*1000000)</f>
        <v>14529831.237089343</v>
      </c>
      <c r="L96" s="110">
        <f t="shared" si="185"/>
        <v>14215206.329822978</v>
      </c>
      <c r="M96" s="110">
        <f t="shared" si="185"/>
        <v>13396742.070995487</v>
      </c>
      <c r="N96" s="110">
        <f t="shared" si="185"/>
        <v>12472965.459947834</v>
      </c>
      <c r="O96" s="110">
        <f t="shared" si="185"/>
        <v>12481077.028649323</v>
      </c>
      <c r="P96" s="110">
        <f t="shared" si="185"/>
        <v>14641165.495744823</v>
      </c>
      <c r="Q96" s="110">
        <f t="shared" si="185"/>
        <v>14738330.433168523</v>
      </c>
      <c r="R96" s="110">
        <f t="shared" si="185"/>
        <v>14016524.898540176</v>
      </c>
      <c r="S96" s="110">
        <f t="shared" si="185"/>
        <v>13798561.344567193</v>
      </c>
      <c r="T96" s="110">
        <f t="shared" si="185"/>
        <v>14157155.485978127</v>
      </c>
      <c r="U96" s="110">
        <f t="shared" si="185"/>
        <v>13774252.969983583</v>
      </c>
      <c r="V96" s="110">
        <f t="shared" si="185"/>
        <v>5006964.4534160774</v>
      </c>
      <c r="W96" s="110">
        <f t="shared" ref="W96:Y96" si="186">IF(W6=0,0,W6/W28*1000000)</f>
        <v>5440166.4295733757</v>
      </c>
      <c r="X96" s="110">
        <f t="shared" si="186"/>
        <v>10118162.424546033</v>
      </c>
      <c r="Y96" s="110">
        <f t="shared" si="186"/>
        <v>11977992.264049871</v>
      </c>
      <c r="DA96" s="176" t="s">
        <v>1095</v>
      </c>
    </row>
    <row r="97" spans="1:105" ht="11.45" customHeight="1" x14ac:dyDescent="0.25">
      <c r="A97" s="111" t="s">
        <v>92</v>
      </c>
      <c r="B97" s="84">
        <f t="shared" si="180"/>
        <v>17440358.02403415</v>
      </c>
      <c r="C97" s="84">
        <f t="shared" si="180"/>
        <v>17410593.406240083</v>
      </c>
      <c r="D97" s="84">
        <f t="shared" si="180"/>
        <v>19747815.134346567</v>
      </c>
      <c r="E97" s="84">
        <f t="shared" si="180"/>
        <v>17029879.260281075</v>
      </c>
      <c r="F97" s="84">
        <f t="shared" si="180"/>
        <v>15653937.995847287</v>
      </c>
      <c r="G97" s="84">
        <f t="shared" si="180"/>
        <v>19129685.671825115</v>
      </c>
      <c r="H97" s="84">
        <f t="shared" si="180"/>
        <v>19496186.372053694</v>
      </c>
      <c r="I97" s="84">
        <f t="shared" si="180"/>
        <v>19455843.330959864</v>
      </c>
      <c r="J97" s="84">
        <f t="shared" si="180"/>
        <v>17540789.917967811</v>
      </c>
      <c r="K97" s="84">
        <f t="shared" ref="K97:V97" si="187">IF(K7=0,0,K7/K29*1000000)</f>
        <v>15573232.614219554</v>
      </c>
      <c r="L97" s="84">
        <f t="shared" si="187"/>
        <v>14999718.760951266</v>
      </c>
      <c r="M97" s="84">
        <f t="shared" si="187"/>
        <v>14180603.729556775</v>
      </c>
      <c r="N97" s="84">
        <f t="shared" si="187"/>
        <v>13226621.704597579</v>
      </c>
      <c r="O97" s="84">
        <f t="shared" si="187"/>
        <v>13196845.412079249</v>
      </c>
      <c r="P97" s="84">
        <f t="shared" si="187"/>
        <v>15521913.586126648</v>
      </c>
      <c r="Q97" s="84">
        <f t="shared" si="187"/>
        <v>15673054.914879324</v>
      </c>
      <c r="R97" s="84">
        <f t="shared" si="187"/>
        <v>14937472.748128574</v>
      </c>
      <c r="S97" s="84">
        <f t="shared" si="187"/>
        <v>14699477.707268618</v>
      </c>
      <c r="T97" s="84">
        <f t="shared" si="187"/>
        <v>15055063.584609019</v>
      </c>
      <c r="U97" s="84">
        <f t="shared" si="187"/>
        <v>14656150.972131025</v>
      </c>
      <c r="V97" s="84">
        <f t="shared" si="187"/>
        <v>5203931.9492855398</v>
      </c>
      <c r="W97" s="84">
        <f t="shared" ref="W97:Y97" si="188">IF(W7=0,0,W7/W29*1000000)</f>
        <v>5695657.6070849281</v>
      </c>
      <c r="X97" s="84">
        <f t="shared" si="188"/>
        <v>10073204.803736988</v>
      </c>
      <c r="Y97" s="84">
        <f t="shared" si="188"/>
        <v>11888583.003034959</v>
      </c>
      <c r="DA97" s="171" t="s">
        <v>1096</v>
      </c>
    </row>
    <row r="98" spans="1:105" ht="11.45" customHeight="1" x14ac:dyDescent="0.25">
      <c r="A98" s="111" t="s">
        <v>93</v>
      </c>
      <c r="B98" s="84">
        <f t="shared" si="180"/>
        <v>24023479.987012811</v>
      </c>
      <c r="C98" s="84">
        <f t="shared" si="180"/>
        <v>24007354.192325927</v>
      </c>
      <c r="D98" s="84">
        <f t="shared" si="180"/>
        <v>33975000.405993238</v>
      </c>
      <c r="E98" s="84">
        <f t="shared" si="180"/>
        <v>32132036.606202796</v>
      </c>
      <c r="F98" s="84">
        <f t="shared" si="180"/>
        <v>15164022.391892577</v>
      </c>
      <c r="G98" s="84">
        <f t="shared" si="180"/>
        <v>11931429.348073509</v>
      </c>
      <c r="H98" s="84">
        <f t="shared" si="180"/>
        <v>11348272.560678028</v>
      </c>
      <c r="I98" s="84">
        <f t="shared" si="180"/>
        <v>3965839.2857222864</v>
      </c>
      <c r="J98" s="84">
        <f t="shared" si="180"/>
        <v>5380455.0262232162</v>
      </c>
      <c r="K98" s="84">
        <f t="shared" ref="K98:V98" si="189">IF(K8=0,0,K8/K30*1000000)</f>
        <v>6441703.8487175135</v>
      </c>
      <c r="L98" s="84">
        <f t="shared" si="189"/>
        <v>7591486.2575848997</v>
      </c>
      <c r="M98" s="84">
        <f t="shared" si="189"/>
        <v>6231360.0008241581</v>
      </c>
      <c r="N98" s="84">
        <f t="shared" si="189"/>
        <v>5273541.9649551325</v>
      </c>
      <c r="O98" s="84">
        <f t="shared" si="189"/>
        <v>5201486.1078899922</v>
      </c>
      <c r="P98" s="84">
        <f t="shared" si="189"/>
        <v>5640029.1684784908</v>
      </c>
      <c r="Q98" s="84">
        <f t="shared" si="189"/>
        <v>4510938.8871512674</v>
      </c>
      <c r="R98" s="84">
        <f t="shared" si="189"/>
        <v>4268877.9871870074</v>
      </c>
      <c r="S98" s="84">
        <f t="shared" si="189"/>
        <v>3752673.1722746706</v>
      </c>
      <c r="T98" s="84">
        <f t="shared" si="189"/>
        <v>3496207.5612495784</v>
      </c>
      <c r="U98" s="84">
        <f t="shared" si="189"/>
        <v>3221278.2998502934</v>
      </c>
      <c r="V98" s="84">
        <f t="shared" si="189"/>
        <v>2638126.6944556911</v>
      </c>
      <c r="W98" s="84">
        <f t="shared" ref="W98:Y98" si="190">IF(W8=0,0,W8/W30*1000000)</f>
        <v>2574895.7878709985</v>
      </c>
      <c r="X98" s="84">
        <f t="shared" si="190"/>
        <v>10629087.700894775</v>
      </c>
      <c r="Y98" s="84">
        <f t="shared" si="190"/>
        <v>12992518.101589501</v>
      </c>
      <c r="DA98" s="171" t="s">
        <v>1097</v>
      </c>
    </row>
    <row r="99" spans="1:105" ht="11.45" customHeight="1" x14ac:dyDescent="0.25">
      <c r="A99" s="112" t="s">
        <v>25</v>
      </c>
      <c r="B99" s="113">
        <f t="shared" si="180"/>
        <v>0</v>
      </c>
      <c r="C99" s="113">
        <f t="shared" si="180"/>
        <v>0</v>
      </c>
      <c r="D99" s="113">
        <f t="shared" si="180"/>
        <v>0</v>
      </c>
      <c r="E99" s="113">
        <f t="shared" si="180"/>
        <v>0</v>
      </c>
      <c r="F99" s="113">
        <f t="shared" si="180"/>
        <v>0</v>
      </c>
      <c r="G99" s="113">
        <f t="shared" si="180"/>
        <v>0</v>
      </c>
      <c r="H99" s="113">
        <f t="shared" si="180"/>
        <v>0</v>
      </c>
      <c r="I99" s="113">
        <f t="shared" si="180"/>
        <v>0</v>
      </c>
      <c r="J99" s="113">
        <f t="shared" si="180"/>
        <v>0</v>
      </c>
      <c r="K99" s="113">
        <f t="shared" ref="K99:V99" si="191">IF(K9=0,0,K9/K31*1000000)</f>
        <v>0</v>
      </c>
      <c r="L99" s="113">
        <f t="shared" si="191"/>
        <v>0</v>
      </c>
      <c r="M99" s="113">
        <f t="shared" si="191"/>
        <v>0</v>
      </c>
      <c r="N99" s="113">
        <f t="shared" si="191"/>
        <v>0</v>
      </c>
      <c r="O99" s="113">
        <f t="shared" si="191"/>
        <v>0</v>
      </c>
      <c r="P99" s="113">
        <f t="shared" si="191"/>
        <v>0</v>
      </c>
      <c r="Q99" s="113">
        <f t="shared" si="191"/>
        <v>0</v>
      </c>
      <c r="R99" s="113">
        <f t="shared" si="191"/>
        <v>0</v>
      </c>
      <c r="S99" s="113">
        <f t="shared" si="191"/>
        <v>0</v>
      </c>
      <c r="T99" s="113">
        <f t="shared" si="191"/>
        <v>0</v>
      </c>
      <c r="U99" s="113">
        <f t="shared" si="191"/>
        <v>0</v>
      </c>
      <c r="V99" s="113">
        <f t="shared" si="191"/>
        <v>0</v>
      </c>
      <c r="W99" s="113">
        <f t="shared" ref="W99:Y99" si="192">IF(W9=0,0,W9/W31*1000000)</f>
        <v>0</v>
      </c>
      <c r="X99" s="113">
        <f t="shared" si="192"/>
        <v>0</v>
      </c>
      <c r="Y99" s="113">
        <f t="shared" si="192"/>
        <v>0</v>
      </c>
      <c r="DA99" s="204" t="s">
        <v>1098</v>
      </c>
    </row>
    <row r="100" spans="1:105" ht="11.45" customHeight="1" x14ac:dyDescent="0.25">
      <c r="A100" s="27" t="s">
        <v>108</v>
      </c>
      <c r="B100" s="28">
        <f t="shared" si="180"/>
        <v>99872870.582252741</v>
      </c>
      <c r="C100" s="28">
        <f t="shared" si="180"/>
        <v>99879022.501814663</v>
      </c>
      <c r="D100" s="28">
        <f t="shared" si="180"/>
        <v>90218895.182798088</v>
      </c>
      <c r="E100" s="28">
        <f t="shared" si="180"/>
        <v>94084852.244231045</v>
      </c>
      <c r="F100" s="28">
        <f t="shared" si="180"/>
        <v>94230072.996424198</v>
      </c>
      <c r="G100" s="28">
        <f t="shared" si="180"/>
        <v>80443389.093256995</v>
      </c>
      <c r="H100" s="28">
        <f t="shared" si="180"/>
        <v>62595438.960439384</v>
      </c>
      <c r="I100" s="28">
        <f t="shared" si="180"/>
        <v>46346628.228904918</v>
      </c>
      <c r="J100" s="28">
        <f t="shared" si="180"/>
        <v>44943839.835863359</v>
      </c>
      <c r="K100" s="28">
        <f t="shared" ref="K100:V100" si="193">IF(K10=0,0,K10/K32*1000000)</f>
        <v>43885865.640366994</v>
      </c>
      <c r="L100" s="28">
        <f t="shared" si="193"/>
        <v>70309568.444454283</v>
      </c>
      <c r="M100" s="28">
        <f t="shared" si="193"/>
        <v>83658539.305968761</v>
      </c>
      <c r="N100" s="28">
        <f t="shared" si="193"/>
        <v>82913224.477077216</v>
      </c>
      <c r="O100" s="28">
        <f t="shared" si="193"/>
        <v>84347131.899318501</v>
      </c>
      <c r="P100" s="28">
        <f t="shared" si="193"/>
        <v>81676525.02323696</v>
      </c>
      <c r="Q100" s="28">
        <f t="shared" si="193"/>
        <v>81082039.82141681</v>
      </c>
      <c r="R100" s="28">
        <f t="shared" si="193"/>
        <v>82266515.817570344</v>
      </c>
      <c r="S100" s="28">
        <f t="shared" si="193"/>
        <v>83112669.196616307</v>
      </c>
      <c r="T100" s="28">
        <f t="shared" si="193"/>
        <v>81451632.830682188</v>
      </c>
      <c r="U100" s="28">
        <f t="shared" si="193"/>
        <v>75543440.62600331</v>
      </c>
      <c r="V100" s="28">
        <f t="shared" si="193"/>
        <v>78401540.908122927</v>
      </c>
      <c r="W100" s="28">
        <f t="shared" ref="W100:Y100" si="194">IF(W10=0,0,W10/W32*1000000)</f>
        <v>68520639.395452186</v>
      </c>
      <c r="X100" s="28">
        <f t="shared" si="194"/>
        <v>45056370.525791161</v>
      </c>
      <c r="Y100" s="28">
        <f t="shared" si="194"/>
        <v>58187475.452158786</v>
      </c>
      <c r="DA100" s="173" t="s">
        <v>1099</v>
      </c>
    </row>
    <row r="101" spans="1:105" ht="11.45" customHeight="1" x14ac:dyDescent="0.25">
      <c r="A101" s="83" t="s">
        <v>92</v>
      </c>
      <c r="B101" s="84">
        <f t="shared" si="180"/>
        <v>99872870.582252741</v>
      </c>
      <c r="C101" s="84">
        <f t="shared" si="180"/>
        <v>99879022.501814663</v>
      </c>
      <c r="D101" s="84">
        <f t="shared" si="180"/>
        <v>90301093.427302182</v>
      </c>
      <c r="E101" s="84">
        <f t="shared" si="180"/>
        <v>94281263.670252472</v>
      </c>
      <c r="F101" s="84">
        <f t="shared" si="180"/>
        <v>94707715.792771891</v>
      </c>
      <c r="G101" s="84">
        <f t="shared" si="180"/>
        <v>80015237.392969877</v>
      </c>
      <c r="H101" s="84">
        <f t="shared" si="180"/>
        <v>63215790.332002349</v>
      </c>
      <c r="I101" s="84">
        <f t="shared" si="180"/>
        <v>48333975.207043685</v>
      </c>
      <c r="J101" s="84">
        <f t="shared" si="180"/>
        <v>47924528.616326921</v>
      </c>
      <c r="K101" s="84">
        <f t="shared" ref="K101:V101" si="195">IF(K11=0,0,K11/K33*1000000)</f>
        <v>48717310.117843114</v>
      </c>
      <c r="L101" s="84">
        <f t="shared" si="195"/>
        <v>83159976.242827162</v>
      </c>
      <c r="M101" s="84">
        <f t="shared" si="195"/>
        <v>100038480.2430848</v>
      </c>
      <c r="N101" s="84">
        <f t="shared" si="195"/>
        <v>102793400.74180049</v>
      </c>
      <c r="O101" s="84">
        <f t="shared" si="195"/>
        <v>103084157.39640594</v>
      </c>
      <c r="P101" s="84">
        <f t="shared" si="195"/>
        <v>98523591.942874625</v>
      </c>
      <c r="Q101" s="84">
        <f t="shared" si="195"/>
        <v>98466482.806828812</v>
      </c>
      <c r="R101" s="84">
        <f t="shared" si="195"/>
        <v>98377801.684375986</v>
      </c>
      <c r="S101" s="84">
        <f t="shared" si="195"/>
        <v>100057644.84068385</v>
      </c>
      <c r="T101" s="84">
        <f t="shared" si="195"/>
        <v>100070029.26583681</v>
      </c>
      <c r="U101" s="84">
        <f t="shared" si="195"/>
        <v>96957021.841963559</v>
      </c>
      <c r="V101" s="84">
        <f t="shared" si="195"/>
        <v>99458205.079023123</v>
      </c>
      <c r="W101" s="84">
        <f t="shared" ref="W101:Y101" si="196">IF(W11=0,0,W11/W33*1000000)</f>
        <v>85001067.387488753</v>
      </c>
      <c r="X101" s="84">
        <f t="shared" si="196"/>
        <v>49282911.789932445</v>
      </c>
      <c r="Y101" s="84">
        <f t="shared" si="196"/>
        <v>67882063.900443479</v>
      </c>
      <c r="DA101" s="171" t="s">
        <v>1100</v>
      </c>
    </row>
    <row r="102" spans="1:105" ht="11.45" customHeight="1" x14ac:dyDescent="0.25">
      <c r="A102" s="85" t="s">
        <v>93</v>
      </c>
      <c r="B102" s="86">
        <f t="shared" si="180"/>
        <v>0</v>
      </c>
      <c r="C102" s="86">
        <f t="shared" si="180"/>
        <v>0</v>
      </c>
      <c r="D102" s="86">
        <f t="shared" si="180"/>
        <v>82082228.049245283</v>
      </c>
      <c r="E102" s="86">
        <f t="shared" si="180"/>
        <v>76687152.027229935</v>
      </c>
      <c r="F102" s="86">
        <f t="shared" si="180"/>
        <v>86123106.558694318</v>
      </c>
      <c r="G102" s="86">
        <f t="shared" si="180"/>
        <v>86229182.261681989</v>
      </c>
      <c r="H102" s="86">
        <f t="shared" si="180"/>
        <v>55387509.954556659</v>
      </c>
      <c r="I102" s="86">
        <f t="shared" si="180"/>
        <v>27020085.292198587</v>
      </c>
      <c r="J102" s="86">
        <f t="shared" si="180"/>
        <v>21603604.27343151</v>
      </c>
      <c r="K102" s="86">
        <f t="shared" ref="K102:V102" si="197">IF(K12=0,0,K12/K34*1000000)</f>
        <v>15205578.550136402</v>
      </c>
      <c r="L102" s="86">
        <f t="shared" si="197"/>
        <v>18370009.288471404</v>
      </c>
      <c r="M102" s="86">
        <f t="shared" si="197"/>
        <v>20823228.534953397</v>
      </c>
      <c r="N102" s="86">
        <f t="shared" si="197"/>
        <v>18720647.246593796</v>
      </c>
      <c r="O102" s="86">
        <f t="shared" si="197"/>
        <v>18345227.329526678</v>
      </c>
      <c r="P102" s="86">
        <f t="shared" si="197"/>
        <v>19046036.210627086</v>
      </c>
      <c r="Q102" s="86">
        <f t="shared" si="197"/>
        <v>19157057.920300543</v>
      </c>
      <c r="R102" s="86">
        <f t="shared" si="197"/>
        <v>22161841.300535262</v>
      </c>
      <c r="S102" s="86">
        <f t="shared" si="197"/>
        <v>21499508.441453535</v>
      </c>
      <c r="T102" s="86">
        <f t="shared" si="197"/>
        <v>21681965.257122066</v>
      </c>
      <c r="U102" s="86">
        <f t="shared" si="197"/>
        <v>18317204.884789851</v>
      </c>
      <c r="V102" s="86">
        <f t="shared" si="197"/>
        <v>22878419.593575787</v>
      </c>
      <c r="W102" s="86">
        <f t="shared" ref="W102:Y102" si="198">IF(W12=0,0,W12/W34*1000000)</f>
        <v>20128277.919014834</v>
      </c>
      <c r="X102" s="86">
        <f t="shared" si="198"/>
        <v>20005587.640508838</v>
      </c>
      <c r="Y102" s="86">
        <f t="shared" si="198"/>
        <v>19092053.813481625</v>
      </c>
      <c r="DA102" s="178" t="s">
        <v>1101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:Y105" si="201">IF(W4=0,0,W4/W$4)</f>
        <v>1</v>
      </c>
      <c r="X105" s="31">
        <f t="shared" si="201"/>
        <v>1</v>
      </c>
      <c r="Y105" s="31">
        <f t="shared" si="201"/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</v>
      </c>
      <c r="C106" s="123">
        <f t="shared" si="199"/>
        <v>0</v>
      </c>
      <c r="D106" s="123">
        <f t="shared" si="199"/>
        <v>0</v>
      </c>
      <c r="E106" s="123">
        <f t="shared" si="199"/>
        <v>0</v>
      </c>
      <c r="F106" s="123">
        <f t="shared" si="199"/>
        <v>3.0637254901960783E-2</v>
      </c>
      <c r="G106" s="123">
        <f t="shared" si="199"/>
        <v>5.8170280274986781E-2</v>
      </c>
      <c r="H106" s="123">
        <f t="shared" si="199"/>
        <v>5.6979210220088554E-2</v>
      </c>
      <c r="I106" s="123">
        <f t="shared" si="199"/>
        <v>8.0201649862511451E-2</v>
      </c>
      <c r="J106" s="123">
        <f t="shared" si="199"/>
        <v>6.6603684459140292E-2</v>
      </c>
      <c r="K106" s="123">
        <f t="shared" ref="K106:V106" si="202">IF(K5=0,0,K5/K$4)</f>
        <v>7.2727272727272724E-2</v>
      </c>
      <c r="L106" s="123">
        <f t="shared" si="202"/>
        <v>7.2415699281370927E-2</v>
      </c>
      <c r="M106" s="123">
        <f t="shared" si="202"/>
        <v>7.77027027027027E-2</v>
      </c>
      <c r="N106" s="123">
        <f t="shared" si="202"/>
        <v>8.3623693379790962E-2</v>
      </c>
      <c r="O106" s="123">
        <f t="shared" si="202"/>
        <v>8.716696204388448E-2</v>
      </c>
      <c r="P106" s="123">
        <f t="shared" si="202"/>
        <v>8.4781117888743596E-2</v>
      </c>
      <c r="Q106" s="123">
        <f t="shared" si="202"/>
        <v>8.5651165597735515E-2</v>
      </c>
      <c r="R106" s="123">
        <f t="shared" si="202"/>
        <v>8.4407575751517375E-2</v>
      </c>
      <c r="S106" s="123">
        <f t="shared" si="202"/>
        <v>8.0150559517256997E-2</v>
      </c>
      <c r="T106" s="123">
        <f t="shared" si="202"/>
        <v>0.12201693610469592</v>
      </c>
      <c r="U106" s="123">
        <f t="shared" si="202"/>
        <v>0.11281157178823681</v>
      </c>
      <c r="V106" s="123">
        <f t="shared" si="202"/>
        <v>0.12606847729846399</v>
      </c>
      <c r="W106" s="123">
        <f t="shared" ref="W106:Y106" si="203">IF(W5=0,0,W5/W$4)</f>
        <v>0.12267753331047185</v>
      </c>
      <c r="X106" s="123">
        <f t="shared" si="203"/>
        <v>8.6223624080486963E-2</v>
      </c>
      <c r="Y106" s="123">
        <f t="shared" si="203"/>
        <v>8.4457597594250311E-2</v>
      </c>
      <c r="DA106" s="203"/>
    </row>
    <row r="107" spans="1:105" ht="11.45" customHeight="1" x14ac:dyDescent="0.25">
      <c r="A107" s="109" t="s">
        <v>24</v>
      </c>
      <c r="B107" s="124">
        <f t="shared" si="199"/>
        <v>1</v>
      </c>
      <c r="C107" s="124">
        <f t="shared" si="199"/>
        <v>1</v>
      </c>
      <c r="D107" s="124">
        <f t="shared" si="199"/>
        <v>1</v>
      </c>
      <c r="E107" s="124">
        <f t="shared" si="199"/>
        <v>1</v>
      </c>
      <c r="F107" s="124">
        <f t="shared" si="199"/>
        <v>0.96936274509803921</v>
      </c>
      <c r="G107" s="124">
        <f t="shared" si="199"/>
        <v>0.94182971972501317</v>
      </c>
      <c r="H107" s="124">
        <f t="shared" si="199"/>
        <v>0.94302078977991144</v>
      </c>
      <c r="I107" s="124">
        <f t="shared" si="199"/>
        <v>0.91979835013748867</v>
      </c>
      <c r="J107" s="124">
        <f t="shared" si="199"/>
        <v>0.93339631554085967</v>
      </c>
      <c r="K107" s="124">
        <f t="shared" ref="K107:V107" si="204">IF(K6=0,0,K6/K$4)</f>
        <v>0.92727272727272725</v>
      </c>
      <c r="L107" s="124">
        <f t="shared" si="204"/>
        <v>0.92758430071862907</v>
      </c>
      <c r="M107" s="124">
        <f t="shared" si="204"/>
        <v>0.92229729729729726</v>
      </c>
      <c r="N107" s="124">
        <f t="shared" si="204"/>
        <v>0.91637630662020908</v>
      </c>
      <c r="O107" s="124">
        <f t="shared" si="204"/>
        <v>0.91283303795611548</v>
      </c>
      <c r="P107" s="124">
        <f t="shared" si="204"/>
        <v>0.91521888211125635</v>
      </c>
      <c r="Q107" s="124">
        <f t="shared" si="204"/>
        <v>0.91434883440226455</v>
      </c>
      <c r="R107" s="124">
        <f t="shared" si="204"/>
        <v>0.91559242424848264</v>
      </c>
      <c r="S107" s="124">
        <f t="shared" si="204"/>
        <v>0.91984944048274309</v>
      </c>
      <c r="T107" s="124">
        <f t="shared" si="204"/>
        <v>0.87798306389530412</v>
      </c>
      <c r="U107" s="124">
        <f t="shared" si="204"/>
        <v>0.88718842821176325</v>
      </c>
      <c r="V107" s="124">
        <f t="shared" si="204"/>
        <v>0.87393152270153607</v>
      </c>
      <c r="W107" s="124">
        <f t="shared" ref="W107:Y107" si="205">IF(W6=0,0,W6/W$4)</f>
        <v>0.87732246668952807</v>
      </c>
      <c r="X107" s="124">
        <f t="shared" si="205"/>
        <v>0.913776375919513</v>
      </c>
      <c r="Y107" s="124">
        <f t="shared" si="205"/>
        <v>0.9155424024057498</v>
      </c>
      <c r="DA107" s="176"/>
    </row>
    <row r="108" spans="1:105" ht="11.45" customHeight="1" x14ac:dyDescent="0.25">
      <c r="A108" s="111" t="s">
        <v>92</v>
      </c>
      <c r="B108" s="125">
        <f t="shared" si="199"/>
        <v>0.87290788681517162</v>
      </c>
      <c r="C108" s="125">
        <f t="shared" si="199"/>
        <v>0.88289537476970836</v>
      </c>
      <c r="D108" s="125">
        <f t="shared" si="199"/>
        <v>0.8611128069859082</v>
      </c>
      <c r="E108" s="125">
        <f t="shared" si="199"/>
        <v>0.86823346209074548</v>
      </c>
      <c r="F108" s="125">
        <f t="shared" si="199"/>
        <v>0.84506503755433016</v>
      </c>
      <c r="G108" s="125">
        <f t="shared" si="199"/>
        <v>0.84794289220099084</v>
      </c>
      <c r="H108" s="125">
        <f t="shared" si="199"/>
        <v>0.86030714582212975</v>
      </c>
      <c r="I108" s="125">
        <f t="shared" si="199"/>
        <v>0.8948365434220068</v>
      </c>
      <c r="J108" s="125">
        <f t="shared" si="199"/>
        <v>0.8978907639861291</v>
      </c>
      <c r="K108" s="125">
        <f t="shared" ref="K108:V108" si="206">IF(K7=0,0,K7/K$4)</f>
        <v>0.88029893906999579</v>
      </c>
      <c r="L108" s="125">
        <f t="shared" si="206"/>
        <v>0.87512623682212654</v>
      </c>
      <c r="M108" s="125">
        <f t="shared" si="206"/>
        <v>0.87999458716413481</v>
      </c>
      <c r="N108" s="125">
        <f t="shared" si="206"/>
        <v>0.87966122453344453</v>
      </c>
      <c r="O108" s="125">
        <f t="shared" si="206"/>
        <v>0.87877644057388227</v>
      </c>
      <c r="P108" s="125">
        <f t="shared" si="206"/>
        <v>0.8837962462804082</v>
      </c>
      <c r="Q108" s="125">
        <f t="shared" si="206"/>
        <v>0.89091368886780753</v>
      </c>
      <c r="R108" s="125">
        <f t="shared" si="206"/>
        <v>0.89152091067168104</v>
      </c>
      <c r="S108" s="125">
        <f t="shared" si="206"/>
        <v>0.89926112598658281</v>
      </c>
      <c r="T108" s="125">
        <f t="shared" si="206"/>
        <v>0.86113987268931247</v>
      </c>
      <c r="U108" s="125">
        <f t="shared" si="206"/>
        <v>0.8711868401285523</v>
      </c>
      <c r="V108" s="125">
        <f t="shared" si="206"/>
        <v>0.83858315058337862</v>
      </c>
      <c r="W108" s="125">
        <f t="shared" ref="W108:Y108" si="207">IF(W7=0,0,W7/W$4)</f>
        <v>0.84332692187577496</v>
      </c>
      <c r="X108" s="125">
        <f t="shared" si="207"/>
        <v>0.83614196226148207</v>
      </c>
      <c r="Y108" s="125">
        <f t="shared" si="207"/>
        <v>0.83511079850305203</v>
      </c>
      <c r="DA108" s="171"/>
    </row>
    <row r="109" spans="1:105" ht="11.45" customHeight="1" x14ac:dyDescent="0.25">
      <c r="A109" s="111" t="s">
        <v>93</v>
      </c>
      <c r="B109" s="125">
        <f t="shared" si="199"/>
        <v>0.12709211318482844</v>
      </c>
      <c r="C109" s="125">
        <f t="shared" si="199"/>
        <v>0.11710462523029168</v>
      </c>
      <c r="D109" s="125">
        <f t="shared" si="199"/>
        <v>0.13888719301409178</v>
      </c>
      <c r="E109" s="125">
        <f t="shared" si="199"/>
        <v>0.13176653790925455</v>
      </c>
      <c r="F109" s="125">
        <f t="shared" si="199"/>
        <v>0.1242977075437091</v>
      </c>
      <c r="G109" s="125">
        <f t="shared" si="199"/>
        <v>9.3886827524022332E-2</v>
      </c>
      <c r="H109" s="125">
        <f t="shared" si="199"/>
        <v>8.2713643957781774E-2</v>
      </c>
      <c r="I109" s="125">
        <f t="shared" si="199"/>
        <v>2.4961806715481812E-2</v>
      </c>
      <c r="J109" s="125">
        <f t="shared" si="199"/>
        <v>3.550555155473064E-2</v>
      </c>
      <c r="K109" s="125">
        <f t="shared" ref="K109:V109" si="208">IF(K8=0,0,K8/K$4)</f>
        <v>4.697378820273148E-2</v>
      </c>
      <c r="L109" s="125">
        <f t="shared" si="208"/>
        <v>5.245806389650251E-2</v>
      </c>
      <c r="M109" s="125">
        <f t="shared" si="208"/>
        <v>4.2302710133162509E-2</v>
      </c>
      <c r="N109" s="125">
        <f t="shared" si="208"/>
        <v>3.6715082086764543E-2</v>
      </c>
      <c r="O109" s="125">
        <f t="shared" si="208"/>
        <v>3.4056597382233239E-2</v>
      </c>
      <c r="P109" s="125">
        <f t="shared" si="208"/>
        <v>3.1422635830848145E-2</v>
      </c>
      <c r="Q109" s="125">
        <f t="shared" si="208"/>
        <v>2.3435145534457039E-2</v>
      </c>
      <c r="R109" s="125">
        <f t="shared" si="208"/>
        <v>2.4071513576801574E-2</v>
      </c>
      <c r="S109" s="125">
        <f t="shared" si="208"/>
        <v>2.0588314496160252E-2</v>
      </c>
      <c r="T109" s="125">
        <f t="shared" si="208"/>
        <v>1.6843191205991558E-2</v>
      </c>
      <c r="U109" s="125">
        <f t="shared" si="208"/>
        <v>1.6001588083210883E-2</v>
      </c>
      <c r="V109" s="125">
        <f t="shared" si="208"/>
        <v>3.5348372118157383E-2</v>
      </c>
      <c r="W109" s="125">
        <f t="shared" ref="W109:Y109" si="209">IF(W8=0,0,W8/W$4)</f>
        <v>3.3995544813753144E-2</v>
      </c>
      <c r="X109" s="125">
        <f t="shared" si="209"/>
        <v>7.7634413658030962E-2</v>
      </c>
      <c r="Y109" s="125">
        <f t="shared" si="209"/>
        <v>8.0431603902697685E-2</v>
      </c>
      <c r="DA109" s="171"/>
    </row>
    <row r="110" spans="1:105" ht="11.45" customHeight="1" x14ac:dyDescent="0.25">
      <c r="A110" s="112" t="s">
        <v>25</v>
      </c>
      <c r="B110" s="126">
        <f t="shared" si="199"/>
        <v>0</v>
      </c>
      <c r="C110" s="126">
        <f t="shared" si="199"/>
        <v>0</v>
      </c>
      <c r="D110" s="126">
        <f t="shared" si="199"/>
        <v>0</v>
      </c>
      <c r="E110" s="126">
        <f t="shared" si="199"/>
        <v>0</v>
      </c>
      <c r="F110" s="126">
        <f t="shared" si="199"/>
        <v>0</v>
      </c>
      <c r="G110" s="126">
        <f t="shared" si="199"/>
        <v>0</v>
      </c>
      <c r="H110" s="126">
        <f t="shared" si="199"/>
        <v>0</v>
      </c>
      <c r="I110" s="126">
        <f t="shared" si="199"/>
        <v>0</v>
      </c>
      <c r="J110" s="126">
        <f t="shared" si="199"/>
        <v>0</v>
      </c>
      <c r="K110" s="126">
        <f t="shared" ref="K110:V110" si="210">IF(K9=0,0,K9/K$4)</f>
        <v>0</v>
      </c>
      <c r="L110" s="126">
        <f t="shared" si="210"/>
        <v>0</v>
      </c>
      <c r="M110" s="126">
        <f t="shared" si="210"/>
        <v>0</v>
      </c>
      <c r="N110" s="126">
        <f t="shared" si="210"/>
        <v>0</v>
      </c>
      <c r="O110" s="126">
        <f t="shared" si="210"/>
        <v>0</v>
      </c>
      <c r="P110" s="126">
        <f t="shared" si="210"/>
        <v>0</v>
      </c>
      <c r="Q110" s="126">
        <f t="shared" si="210"/>
        <v>0</v>
      </c>
      <c r="R110" s="126">
        <f t="shared" si="210"/>
        <v>0</v>
      </c>
      <c r="S110" s="126">
        <f t="shared" si="210"/>
        <v>0</v>
      </c>
      <c r="T110" s="126">
        <f t="shared" si="210"/>
        <v>0</v>
      </c>
      <c r="U110" s="126">
        <f t="shared" si="210"/>
        <v>0</v>
      </c>
      <c r="V110" s="126">
        <f t="shared" si="210"/>
        <v>0</v>
      </c>
      <c r="W110" s="126">
        <f t="shared" ref="W110:Y110" si="211">IF(W9=0,0,W9/W$4)</f>
        <v>0</v>
      </c>
      <c r="X110" s="126">
        <f t="shared" si="211"/>
        <v>0</v>
      </c>
      <c r="Y110" s="126">
        <f t="shared" si="211"/>
        <v>0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:Y111" si="214">IF(W10=0,0,W10/W$10)</f>
        <v>1</v>
      </c>
      <c r="X111" s="31">
        <f t="shared" si="214"/>
        <v>1</v>
      </c>
      <c r="Y111" s="31">
        <f t="shared" si="214"/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1</v>
      </c>
      <c r="C112" s="125">
        <f t="shared" si="212"/>
        <v>1</v>
      </c>
      <c r="D112" s="125">
        <f t="shared" si="212"/>
        <v>0.99090081892629678</v>
      </c>
      <c r="E112" s="125">
        <f t="shared" si="212"/>
        <v>0.99090081892629667</v>
      </c>
      <c r="F112" s="125">
        <f t="shared" si="212"/>
        <v>0.94914743536417145</v>
      </c>
      <c r="G112" s="125">
        <f t="shared" si="212"/>
        <v>0.9261425710071699</v>
      </c>
      <c r="H112" s="125">
        <f t="shared" si="212"/>
        <v>0.92988022294645745</v>
      </c>
      <c r="I112" s="125">
        <f t="shared" si="212"/>
        <v>0.94563998701063234</v>
      </c>
      <c r="J112" s="125">
        <f t="shared" si="212"/>
        <v>0.9455658387740693</v>
      </c>
      <c r="K112" s="125">
        <f t="shared" ref="K112:V112" si="215">IF(K11=0,0,K11/K$10)</f>
        <v>0.95004736475466767</v>
      </c>
      <c r="L112" s="125">
        <f t="shared" si="215"/>
        <v>0.94817920216729223</v>
      </c>
      <c r="M112" s="125">
        <f t="shared" si="215"/>
        <v>0.94853152350484904</v>
      </c>
      <c r="N112" s="125">
        <f t="shared" si="215"/>
        <v>0.9466097426597061</v>
      </c>
      <c r="O112" s="125">
        <f t="shared" si="215"/>
        <v>0.95190826451363564</v>
      </c>
      <c r="P112" s="125">
        <f t="shared" si="215"/>
        <v>0.95057039360364581</v>
      </c>
      <c r="Q112" s="125">
        <f t="shared" si="215"/>
        <v>0.94821068988664747</v>
      </c>
      <c r="R112" s="125">
        <f t="shared" si="215"/>
        <v>0.94305350309698999</v>
      </c>
      <c r="S112" s="125">
        <f t="shared" si="215"/>
        <v>0.94420297072714887</v>
      </c>
      <c r="T112" s="125">
        <f t="shared" si="215"/>
        <v>0.93677465845747054</v>
      </c>
      <c r="U112" s="125">
        <f t="shared" si="215"/>
        <v>0.93397487177590477</v>
      </c>
      <c r="V112" s="125">
        <f t="shared" si="215"/>
        <v>0.91976259997483856</v>
      </c>
      <c r="W112" s="125">
        <f t="shared" ref="W112:Y112" si="216">IF(W11=0,0,W11/W$10)</f>
        <v>0.92537383452159772</v>
      </c>
      <c r="X112" s="125">
        <f t="shared" si="216"/>
        <v>0.93590135625211934</v>
      </c>
      <c r="Y112" s="125">
        <f t="shared" si="216"/>
        <v>0.93480390197300733</v>
      </c>
      <c r="DA112" s="171"/>
    </row>
    <row r="113" spans="1:105" ht="11.45" customHeight="1" x14ac:dyDescent="0.25">
      <c r="A113" s="85" t="s">
        <v>93</v>
      </c>
      <c r="B113" s="127">
        <f t="shared" si="212"/>
        <v>0</v>
      </c>
      <c r="C113" s="127">
        <f t="shared" si="212"/>
        <v>0</v>
      </c>
      <c r="D113" s="127">
        <f t="shared" si="212"/>
        <v>9.0991810737031924E-3</v>
      </c>
      <c r="E113" s="127">
        <f t="shared" si="212"/>
        <v>9.0991810737032826E-3</v>
      </c>
      <c r="F113" s="127">
        <f t="shared" si="212"/>
        <v>5.0852564635828539E-2</v>
      </c>
      <c r="G113" s="127">
        <f t="shared" si="212"/>
        <v>7.3857428992830154E-2</v>
      </c>
      <c r="H113" s="127">
        <f t="shared" si="212"/>
        <v>7.0119777053542554E-2</v>
      </c>
      <c r="I113" s="127">
        <f t="shared" si="212"/>
        <v>5.4360012989367622E-2</v>
      </c>
      <c r="J113" s="127">
        <f t="shared" si="212"/>
        <v>5.4434161225930679E-2</v>
      </c>
      <c r="K113" s="127">
        <f t="shared" ref="K113:V113" si="217">IF(K12=0,0,K12/K$10)</f>
        <v>4.9952635245332278E-2</v>
      </c>
      <c r="L113" s="127">
        <f t="shared" si="217"/>
        <v>5.1820797832707807E-2</v>
      </c>
      <c r="M113" s="127">
        <f t="shared" si="217"/>
        <v>5.1468476495150961E-2</v>
      </c>
      <c r="N113" s="127">
        <f t="shared" si="217"/>
        <v>5.3390257340293928E-2</v>
      </c>
      <c r="O113" s="127">
        <f t="shared" si="217"/>
        <v>4.8091735486364348E-2</v>
      </c>
      <c r="P113" s="127">
        <f t="shared" si="217"/>
        <v>4.9429606396354159E-2</v>
      </c>
      <c r="Q113" s="127">
        <f t="shared" si="217"/>
        <v>5.1789310113352492E-2</v>
      </c>
      <c r="R113" s="127">
        <f t="shared" si="217"/>
        <v>5.6946496903010048E-2</v>
      </c>
      <c r="S113" s="127">
        <f t="shared" si="217"/>
        <v>5.5797029272851122E-2</v>
      </c>
      <c r="T113" s="127">
        <f t="shared" si="217"/>
        <v>6.3225341542529429E-2</v>
      </c>
      <c r="U113" s="127">
        <f t="shared" si="217"/>
        <v>6.6025128224095217E-2</v>
      </c>
      <c r="V113" s="127">
        <f t="shared" si="217"/>
        <v>8.0237400025161387E-2</v>
      </c>
      <c r="W113" s="127">
        <f t="shared" ref="W113:Y113" si="218">IF(W12=0,0,W12/W$10)</f>
        <v>7.4626165478402326E-2</v>
      </c>
      <c r="X113" s="127">
        <f t="shared" si="218"/>
        <v>6.4098643747880713E-2</v>
      </c>
      <c r="Y113" s="127">
        <f t="shared" si="218"/>
        <v>6.5196098026992721E-2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:Y116" si="221">IF(W15=0,0,W15/W$15)</f>
        <v>1</v>
      </c>
      <c r="X116" s="31">
        <f t="shared" si="221"/>
        <v>1</v>
      </c>
      <c r="Y116" s="31">
        <f t="shared" si="221"/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</v>
      </c>
      <c r="C117" s="123">
        <f t="shared" si="219"/>
        <v>0</v>
      </c>
      <c r="D117" s="123">
        <f t="shared" si="219"/>
        <v>0</v>
      </c>
      <c r="E117" s="123">
        <f t="shared" si="219"/>
        <v>0</v>
      </c>
      <c r="F117" s="123">
        <f t="shared" si="219"/>
        <v>4.0028235275170368E-2</v>
      </c>
      <c r="G117" s="123">
        <f t="shared" si="219"/>
        <v>8.6076476410092043E-2</v>
      </c>
      <c r="H117" s="123">
        <f t="shared" si="219"/>
        <v>8.5492045706801453E-2</v>
      </c>
      <c r="I117" s="123">
        <f t="shared" si="219"/>
        <v>0.1169913070942549</v>
      </c>
      <c r="J117" s="123">
        <f t="shared" si="219"/>
        <v>8.7176735544486406E-2</v>
      </c>
      <c r="K117" s="123">
        <f t="shared" ref="K117:V117" si="222">IF(K16=0,0,K16/K$15)</f>
        <v>9.5049151755860845E-2</v>
      </c>
      <c r="L117" s="123">
        <f t="shared" si="222"/>
        <v>9.2777660840794654E-2</v>
      </c>
      <c r="M117" s="123">
        <f t="shared" si="222"/>
        <v>9.2919872850028076E-2</v>
      </c>
      <c r="N117" s="123">
        <f t="shared" si="222"/>
        <v>9.3827607073263569E-2</v>
      </c>
      <c r="O117" s="123">
        <f t="shared" si="222"/>
        <v>0.10040857327218095</v>
      </c>
      <c r="P117" s="123">
        <f t="shared" si="222"/>
        <v>0.11211341303828638</v>
      </c>
      <c r="Q117" s="123">
        <f t="shared" si="222"/>
        <v>0.10861919667391887</v>
      </c>
      <c r="R117" s="123">
        <f t="shared" si="222"/>
        <v>0.10046902194283786</v>
      </c>
      <c r="S117" s="123">
        <f t="shared" si="222"/>
        <v>9.303794433627452E-2</v>
      </c>
      <c r="T117" s="123">
        <f t="shared" si="222"/>
        <v>0.13058884714670591</v>
      </c>
      <c r="U117" s="123">
        <f t="shared" si="222"/>
        <v>0.11770449107830613</v>
      </c>
      <c r="V117" s="123">
        <f t="shared" si="222"/>
        <v>0.12491039848826185</v>
      </c>
      <c r="W117" s="123">
        <f t="shared" ref="W117:Y117" si="223">IF(W16=0,0,W16/W$15)</f>
        <v>0.11709328033045395</v>
      </c>
      <c r="X117" s="123">
        <f t="shared" si="223"/>
        <v>8.4894077809362881E-2</v>
      </c>
      <c r="Y117" s="123">
        <f t="shared" si="223"/>
        <v>7.9907511881770366E-2</v>
      </c>
      <c r="DA117" s="203"/>
    </row>
    <row r="118" spans="1:105" ht="11.45" customHeight="1" x14ac:dyDescent="0.25">
      <c r="A118" s="109" t="s">
        <v>24</v>
      </c>
      <c r="B118" s="124">
        <f t="shared" si="219"/>
        <v>1</v>
      </c>
      <c r="C118" s="124">
        <f t="shared" si="219"/>
        <v>1</v>
      </c>
      <c r="D118" s="124">
        <f t="shared" si="219"/>
        <v>1</v>
      </c>
      <c r="E118" s="124">
        <f t="shared" si="219"/>
        <v>1</v>
      </c>
      <c r="F118" s="124">
        <f t="shared" si="219"/>
        <v>0.95997176472482959</v>
      </c>
      <c r="G118" s="124">
        <f t="shared" si="219"/>
        <v>0.91392352358990803</v>
      </c>
      <c r="H118" s="124">
        <f t="shared" si="219"/>
        <v>0.91450795429319842</v>
      </c>
      <c r="I118" s="124">
        <f t="shared" si="219"/>
        <v>0.88300869290574502</v>
      </c>
      <c r="J118" s="124">
        <f t="shared" si="219"/>
        <v>0.91282326445551365</v>
      </c>
      <c r="K118" s="124">
        <f t="shared" ref="K118:V118" si="224">IF(K17=0,0,K17/K$15)</f>
        <v>0.90495084824413907</v>
      </c>
      <c r="L118" s="124">
        <f t="shared" si="224"/>
        <v>0.90722233915920536</v>
      </c>
      <c r="M118" s="124">
        <f t="shared" si="224"/>
        <v>0.90708012714997199</v>
      </c>
      <c r="N118" s="124">
        <f t="shared" si="224"/>
        <v>0.90617239292673646</v>
      </c>
      <c r="O118" s="124">
        <f t="shared" si="224"/>
        <v>0.89959142672781911</v>
      </c>
      <c r="P118" s="124">
        <f t="shared" si="224"/>
        <v>0.88788658696171363</v>
      </c>
      <c r="Q118" s="124">
        <f t="shared" si="224"/>
        <v>0.89138080332608116</v>
      </c>
      <c r="R118" s="124">
        <f t="shared" si="224"/>
        <v>0.89953097805716209</v>
      </c>
      <c r="S118" s="124">
        <f t="shared" si="224"/>
        <v>0.90696205566372545</v>
      </c>
      <c r="T118" s="124">
        <f t="shared" si="224"/>
        <v>0.86941115285329407</v>
      </c>
      <c r="U118" s="124">
        <f t="shared" si="224"/>
        <v>0.88229550892169384</v>
      </c>
      <c r="V118" s="124">
        <f t="shared" si="224"/>
        <v>0.8750896015117382</v>
      </c>
      <c r="W118" s="124">
        <f t="shared" ref="W118:Y118" si="225">IF(W17=0,0,W17/W$15)</f>
        <v>0.88290671966954604</v>
      </c>
      <c r="X118" s="124">
        <f t="shared" si="225"/>
        <v>0.91510592219063702</v>
      </c>
      <c r="Y118" s="124">
        <f t="shared" si="225"/>
        <v>0.92009248811822963</v>
      </c>
      <c r="DA118" s="176"/>
    </row>
    <row r="119" spans="1:105" ht="11.45" customHeight="1" x14ac:dyDescent="0.25">
      <c r="A119" s="111" t="s">
        <v>92</v>
      </c>
      <c r="B119" s="125">
        <f t="shared" si="219"/>
        <v>0.90440551459516494</v>
      </c>
      <c r="C119" s="125">
        <f t="shared" si="219"/>
        <v>0.91224984870380266</v>
      </c>
      <c r="D119" s="125">
        <f t="shared" si="219"/>
        <v>0.91629842987686672</v>
      </c>
      <c r="E119" s="125">
        <f t="shared" si="219"/>
        <v>0.92555364003104001</v>
      </c>
      <c r="F119" s="125">
        <f t="shared" si="219"/>
        <v>0.83342559513701497</v>
      </c>
      <c r="G119" s="125">
        <f t="shared" si="219"/>
        <v>0.77614102745051694</v>
      </c>
      <c r="H119" s="125">
        <f t="shared" si="219"/>
        <v>0.78486767573040606</v>
      </c>
      <c r="I119" s="125">
        <f t="shared" si="219"/>
        <v>0.78895215677835917</v>
      </c>
      <c r="J119" s="125">
        <f t="shared" si="219"/>
        <v>0.80858470288038198</v>
      </c>
      <c r="K119" s="125">
        <f t="shared" ref="K119:V119" si="226">IF(K18=0,0,K18/K$15)</f>
        <v>0.81415071315989274</v>
      </c>
      <c r="L119" s="125">
        <f t="shared" si="226"/>
        <v>0.81525466512046474</v>
      </c>
      <c r="M119" s="125">
        <f t="shared" si="226"/>
        <v>0.81763447086015628</v>
      </c>
      <c r="N119" s="125">
        <f t="shared" si="226"/>
        <v>0.8203009457972279</v>
      </c>
      <c r="O119" s="125">
        <f t="shared" si="226"/>
        <v>0.82126729629565187</v>
      </c>
      <c r="P119" s="125">
        <f t="shared" si="226"/>
        <v>0.80944766767034204</v>
      </c>
      <c r="Q119" s="125">
        <f t="shared" si="226"/>
        <v>0.81673586537042353</v>
      </c>
      <c r="R119" s="125">
        <f t="shared" si="226"/>
        <v>0.82188053730243327</v>
      </c>
      <c r="S119" s="125">
        <f t="shared" si="226"/>
        <v>0.83231955088708676</v>
      </c>
      <c r="T119" s="125">
        <f t="shared" si="226"/>
        <v>0.80187408202008681</v>
      </c>
      <c r="U119" s="125">
        <f t="shared" si="226"/>
        <v>0.81424974919019877</v>
      </c>
      <c r="V119" s="125">
        <f t="shared" si="226"/>
        <v>0.79685436678361499</v>
      </c>
      <c r="W119" s="125">
        <f t="shared" ref="W119:Y119" si="227">IF(W18=0,0,W18/W$15)</f>
        <v>0.80885945849874774</v>
      </c>
      <c r="X119" s="125">
        <f t="shared" si="227"/>
        <v>0.84109575763434574</v>
      </c>
      <c r="Y119" s="125">
        <f t="shared" si="227"/>
        <v>0.84557290143784192</v>
      </c>
      <c r="DA119" s="171"/>
    </row>
    <row r="120" spans="1:105" ht="11.45" customHeight="1" x14ac:dyDescent="0.25">
      <c r="A120" s="111" t="s">
        <v>93</v>
      </c>
      <c r="B120" s="125">
        <f t="shared" si="219"/>
        <v>9.5594485404835047E-2</v>
      </c>
      <c r="C120" s="125">
        <f t="shared" si="219"/>
        <v>8.7750151296197385E-2</v>
      </c>
      <c r="D120" s="125">
        <f t="shared" si="219"/>
        <v>8.370157012313327E-2</v>
      </c>
      <c r="E120" s="125">
        <f t="shared" si="219"/>
        <v>7.4446359968959958E-2</v>
      </c>
      <c r="F120" s="125">
        <f t="shared" si="219"/>
        <v>0.12654616958781462</v>
      </c>
      <c r="G120" s="125">
        <f t="shared" si="219"/>
        <v>0.13778249613939109</v>
      </c>
      <c r="H120" s="125">
        <f t="shared" si="219"/>
        <v>0.12964027856279242</v>
      </c>
      <c r="I120" s="125">
        <f t="shared" si="219"/>
        <v>9.4056536127385862E-2</v>
      </c>
      <c r="J120" s="125">
        <f t="shared" si="219"/>
        <v>0.10423856157513163</v>
      </c>
      <c r="K120" s="125">
        <f t="shared" ref="K120:V120" si="228">IF(K19=0,0,K19/K$15)</f>
        <v>9.0800135084246364E-2</v>
      </c>
      <c r="L120" s="125">
        <f t="shared" si="228"/>
        <v>9.196767403874069E-2</v>
      </c>
      <c r="M120" s="125">
        <f t="shared" si="228"/>
        <v>8.9445656289815725E-2</v>
      </c>
      <c r="N120" s="125">
        <f t="shared" si="228"/>
        <v>8.5871447129508491E-2</v>
      </c>
      <c r="O120" s="125">
        <f t="shared" si="228"/>
        <v>7.8324130432167197E-2</v>
      </c>
      <c r="P120" s="125">
        <f t="shared" si="228"/>
        <v>7.8438919291371659E-2</v>
      </c>
      <c r="Q120" s="125">
        <f t="shared" si="228"/>
        <v>7.4644937955657548E-2</v>
      </c>
      <c r="R120" s="125">
        <f t="shared" si="228"/>
        <v>7.7650440754728836E-2</v>
      </c>
      <c r="S120" s="125">
        <f t="shared" si="228"/>
        <v>7.4642504776638724E-2</v>
      </c>
      <c r="T120" s="125">
        <f t="shared" si="228"/>
        <v>6.7537070833207258E-2</v>
      </c>
      <c r="U120" s="125">
        <f t="shared" si="228"/>
        <v>6.8045759731495042E-2</v>
      </c>
      <c r="V120" s="125">
        <f t="shared" si="228"/>
        <v>7.823523472812316E-2</v>
      </c>
      <c r="W120" s="125">
        <f t="shared" ref="W120:Y120" si="229">IF(W19=0,0,W19/W$15)</f>
        <v>7.4047261170798323E-2</v>
      </c>
      <c r="X120" s="125">
        <f t="shared" si="229"/>
        <v>7.4010164556291322E-2</v>
      </c>
      <c r="Y120" s="125">
        <f t="shared" si="229"/>
        <v>7.45195866803878E-2</v>
      </c>
      <c r="DA120" s="171"/>
    </row>
    <row r="121" spans="1:105" ht="11.45" customHeight="1" x14ac:dyDescent="0.25">
      <c r="A121" s="112" t="s">
        <v>25</v>
      </c>
      <c r="B121" s="126">
        <f t="shared" si="219"/>
        <v>0</v>
      </c>
      <c r="C121" s="126">
        <f t="shared" si="219"/>
        <v>0</v>
      </c>
      <c r="D121" s="126">
        <f t="shared" si="219"/>
        <v>0</v>
      </c>
      <c r="E121" s="126">
        <f t="shared" si="219"/>
        <v>0</v>
      </c>
      <c r="F121" s="126">
        <f t="shared" si="219"/>
        <v>0</v>
      </c>
      <c r="G121" s="126">
        <f t="shared" si="219"/>
        <v>0</v>
      </c>
      <c r="H121" s="126">
        <f t="shared" si="219"/>
        <v>0</v>
      </c>
      <c r="I121" s="126">
        <f t="shared" si="219"/>
        <v>0</v>
      </c>
      <c r="J121" s="126">
        <f t="shared" si="219"/>
        <v>0</v>
      </c>
      <c r="K121" s="126">
        <f t="shared" ref="K121:V121" si="230">IF(K20=0,0,K20/K$15)</f>
        <v>0</v>
      </c>
      <c r="L121" s="126">
        <f t="shared" si="230"/>
        <v>0</v>
      </c>
      <c r="M121" s="126">
        <f t="shared" si="230"/>
        <v>0</v>
      </c>
      <c r="N121" s="126">
        <f t="shared" si="230"/>
        <v>0</v>
      </c>
      <c r="O121" s="126">
        <f t="shared" si="230"/>
        <v>0</v>
      </c>
      <c r="P121" s="126">
        <f t="shared" si="230"/>
        <v>0</v>
      </c>
      <c r="Q121" s="126">
        <f t="shared" si="230"/>
        <v>0</v>
      </c>
      <c r="R121" s="126">
        <f t="shared" si="230"/>
        <v>0</v>
      </c>
      <c r="S121" s="126">
        <f t="shared" si="230"/>
        <v>0</v>
      </c>
      <c r="T121" s="126">
        <f t="shared" si="230"/>
        <v>0</v>
      </c>
      <c r="U121" s="126">
        <f t="shared" si="230"/>
        <v>0</v>
      </c>
      <c r="V121" s="126">
        <f t="shared" si="230"/>
        <v>0</v>
      </c>
      <c r="W121" s="126">
        <f t="shared" ref="W121:Y121" si="231">IF(W20=0,0,W20/W$15)</f>
        <v>0</v>
      </c>
      <c r="X121" s="126">
        <f t="shared" si="231"/>
        <v>0</v>
      </c>
      <c r="Y121" s="126">
        <f t="shared" si="231"/>
        <v>0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:Y122" si="234">IF(W21=0,0,W21/W$21)</f>
        <v>1</v>
      </c>
      <c r="X122" s="31">
        <f t="shared" si="234"/>
        <v>1</v>
      </c>
      <c r="Y122" s="31">
        <f t="shared" si="234"/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1</v>
      </c>
      <c r="C123" s="125">
        <f t="shared" si="232"/>
        <v>1</v>
      </c>
      <c r="D123" s="125">
        <f t="shared" si="232"/>
        <v>0.98955897506546464</v>
      </c>
      <c r="E123" s="125">
        <f t="shared" si="232"/>
        <v>0.98981436228670472</v>
      </c>
      <c r="F123" s="125">
        <f t="shared" si="232"/>
        <v>0.94436066749513181</v>
      </c>
      <c r="G123" s="125">
        <f t="shared" si="232"/>
        <v>0.91936896335778517</v>
      </c>
      <c r="H123" s="125">
        <f t="shared" si="232"/>
        <v>0.92341106135654138</v>
      </c>
      <c r="I123" s="125">
        <f t="shared" si="232"/>
        <v>0.94049676541462079</v>
      </c>
      <c r="J123" s="125">
        <f t="shared" si="232"/>
        <v>0.940389451685816</v>
      </c>
      <c r="K123" s="125">
        <f t="shared" ref="K123:V123" si="235">IF(K22=0,0,K22/K$21)</f>
        <v>0.94528088112296538</v>
      </c>
      <c r="L123" s="125">
        <f t="shared" si="235"/>
        <v>0.94324895053579516</v>
      </c>
      <c r="M123" s="125">
        <f t="shared" si="235"/>
        <v>0.94367265957874458</v>
      </c>
      <c r="N123" s="125">
        <f t="shared" si="235"/>
        <v>0.94157929063610435</v>
      </c>
      <c r="O123" s="125">
        <f t="shared" si="235"/>
        <v>0.94735028350349793</v>
      </c>
      <c r="P123" s="125">
        <f t="shared" si="235"/>
        <v>0.94589662320358747</v>
      </c>
      <c r="Q123" s="125">
        <f t="shared" si="235"/>
        <v>0.9433252733745916</v>
      </c>
      <c r="R123" s="125">
        <f t="shared" si="235"/>
        <v>0.93771355290335778</v>
      </c>
      <c r="S123" s="125">
        <f t="shared" si="235"/>
        <v>0.93896383148798068</v>
      </c>
      <c r="T123" s="125">
        <f t="shared" si="235"/>
        <v>0.93088908045248864</v>
      </c>
      <c r="U123" s="125">
        <f t="shared" si="235"/>
        <v>0.92784873858215955</v>
      </c>
      <c r="V123" s="125">
        <f t="shared" si="235"/>
        <v>0.91244140735469459</v>
      </c>
      <c r="W123" s="125">
        <f t="shared" ref="W123:Y123" si="236">IF(W22=0,0,W22/W$21)</f>
        <v>0.91858037423888927</v>
      </c>
      <c r="X123" s="125">
        <f t="shared" si="236"/>
        <v>0.93063674013719033</v>
      </c>
      <c r="Y123" s="125">
        <f t="shared" si="236"/>
        <v>0.92841897703970699</v>
      </c>
      <c r="DA123" s="171"/>
    </row>
    <row r="124" spans="1:105" ht="11.45" customHeight="1" x14ac:dyDescent="0.25">
      <c r="A124" s="85" t="s">
        <v>93</v>
      </c>
      <c r="B124" s="127">
        <f t="shared" si="232"/>
        <v>0</v>
      </c>
      <c r="C124" s="127">
        <f t="shared" si="232"/>
        <v>0</v>
      </c>
      <c r="D124" s="127">
        <f t="shared" si="232"/>
        <v>1.0441024934535323E-2</v>
      </c>
      <c r="E124" s="127">
        <f t="shared" si="232"/>
        <v>1.0185637713295276E-2</v>
      </c>
      <c r="F124" s="127">
        <f t="shared" si="232"/>
        <v>5.5639332504868161E-2</v>
      </c>
      <c r="G124" s="127">
        <f t="shared" si="232"/>
        <v>8.0631036642214868E-2</v>
      </c>
      <c r="H124" s="127">
        <f t="shared" si="232"/>
        <v>7.6588938643458657E-2</v>
      </c>
      <c r="I124" s="127">
        <f t="shared" si="232"/>
        <v>5.9503234585379247E-2</v>
      </c>
      <c r="J124" s="127">
        <f t="shared" si="232"/>
        <v>5.9610548314184032E-2</v>
      </c>
      <c r="K124" s="127">
        <f t="shared" ref="K124:V124" si="237">IF(K23=0,0,K23/K$21)</f>
        <v>5.4719118877034678E-2</v>
      </c>
      <c r="L124" s="127">
        <f t="shared" si="237"/>
        <v>5.6751049464204804E-2</v>
      </c>
      <c r="M124" s="127">
        <f t="shared" si="237"/>
        <v>5.6327340421255472E-2</v>
      </c>
      <c r="N124" s="127">
        <f t="shared" si="237"/>
        <v>5.8420709363895693E-2</v>
      </c>
      <c r="O124" s="127">
        <f t="shared" si="237"/>
        <v>5.2649716496502068E-2</v>
      </c>
      <c r="P124" s="127">
        <f t="shared" si="237"/>
        <v>5.4103376796412493E-2</v>
      </c>
      <c r="Q124" s="127">
        <f t="shared" si="237"/>
        <v>5.6674726625408407E-2</v>
      </c>
      <c r="R124" s="127">
        <f t="shared" si="237"/>
        <v>6.2286447096642245E-2</v>
      </c>
      <c r="S124" s="127">
        <f t="shared" si="237"/>
        <v>6.1036168512019366E-2</v>
      </c>
      <c r="T124" s="127">
        <f t="shared" si="237"/>
        <v>6.9110919547511321E-2</v>
      </c>
      <c r="U124" s="127">
        <f t="shared" si="237"/>
        <v>7.2151261417840409E-2</v>
      </c>
      <c r="V124" s="127">
        <f t="shared" si="237"/>
        <v>8.7558592645305411E-2</v>
      </c>
      <c r="W124" s="127">
        <f t="shared" ref="W124:Y124" si="238">IF(W23=0,0,W23/W$21)</f>
        <v>8.1419625761110753E-2</v>
      </c>
      <c r="X124" s="127">
        <f t="shared" si="238"/>
        <v>6.9363259862809626E-2</v>
      </c>
      <c r="Y124" s="127">
        <f t="shared" si="238"/>
        <v>7.1581022960293034E-2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Y6 B17:Y17 B28:Y28 C39:Y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45</v>
      </c>
      <c r="B4" s="146">
        <f>SUM(B5,B8)</f>
        <v>42.364918314703353</v>
      </c>
      <c r="C4" s="146">
        <f t="shared" ref="C4:V4" si="0">SUM(C5,C8)</f>
        <v>46.034909716251072</v>
      </c>
      <c r="D4" s="146">
        <f t="shared" si="0"/>
        <v>40.277128116938947</v>
      </c>
      <c r="E4" s="146">
        <f t="shared" si="0"/>
        <v>44.277128116938947</v>
      </c>
      <c r="F4" s="146">
        <f t="shared" si="0"/>
        <v>48.942218400687864</v>
      </c>
      <c r="G4" s="146">
        <f t="shared" si="0"/>
        <v>44.882459157351676</v>
      </c>
      <c r="H4" s="146">
        <f t="shared" si="0"/>
        <v>44.685468615649185</v>
      </c>
      <c r="I4" s="146">
        <f t="shared" si="0"/>
        <v>47.444969905417025</v>
      </c>
      <c r="J4" s="146">
        <f t="shared" si="0"/>
        <v>50.287188306104888</v>
      </c>
      <c r="K4" s="146">
        <f t="shared" si="0"/>
        <v>43.897592433361979</v>
      </c>
      <c r="L4" s="146">
        <f t="shared" si="0"/>
        <v>43.655975924333625</v>
      </c>
      <c r="M4" s="146">
        <f t="shared" si="0"/>
        <v>43.659759243336197</v>
      </c>
      <c r="N4" s="146">
        <f t="shared" si="0"/>
        <v>42.330266552020632</v>
      </c>
      <c r="O4" s="146">
        <f t="shared" si="0"/>
        <v>41.899398108340492</v>
      </c>
      <c r="P4" s="146">
        <f t="shared" si="0"/>
        <v>38.496216680997421</v>
      </c>
      <c r="Q4" s="146">
        <f t="shared" si="0"/>
        <v>39.338607050730865</v>
      </c>
      <c r="R4" s="146">
        <f t="shared" si="0"/>
        <v>40.304471195184867</v>
      </c>
      <c r="S4" s="146">
        <f t="shared" si="0"/>
        <v>41.55012897678418</v>
      </c>
      <c r="T4" s="146">
        <f t="shared" si="0"/>
        <v>42.350472914875326</v>
      </c>
      <c r="U4" s="146">
        <f t="shared" si="0"/>
        <v>44.266981943250208</v>
      </c>
      <c r="V4" s="146">
        <f t="shared" si="0"/>
        <v>35.863284608770421</v>
      </c>
      <c r="W4" s="146">
        <f t="shared" ref="W4:Y4" si="1">SUM(W5,W8)</f>
        <v>38.528374892519338</v>
      </c>
      <c r="X4" s="146">
        <f t="shared" si="1"/>
        <v>42.548151332760092</v>
      </c>
      <c r="Y4" s="146">
        <f t="shared" si="1"/>
        <v>44.667669819432504</v>
      </c>
      <c r="DA4" s="206" t="s">
        <v>1103</v>
      </c>
    </row>
    <row r="5" spans="1:105" ht="11.45" customHeight="1" x14ac:dyDescent="0.25">
      <c r="A5" s="92" t="s">
        <v>150</v>
      </c>
      <c r="B5" s="101">
        <f>SUM(B6:B7)</f>
        <v>40.129320722269988</v>
      </c>
      <c r="C5" s="101">
        <f t="shared" ref="C5:V5" si="2">SUM(C6:C7)</f>
        <v>43.799312123817707</v>
      </c>
      <c r="D5" s="101">
        <f t="shared" si="2"/>
        <v>38.299484092863281</v>
      </c>
      <c r="E5" s="101">
        <f t="shared" si="2"/>
        <v>42.299484092863281</v>
      </c>
      <c r="F5" s="101">
        <f t="shared" si="2"/>
        <v>44.599999999999987</v>
      </c>
      <c r="G5" s="101">
        <f t="shared" si="2"/>
        <v>39.817970765262253</v>
      </c>
      <c r="H5" s="101">
        <f t="shared" si="2"/>
        <v>39.817970765262253</v>
      </c>
      <c r="I5" s="101">
        <f t="shared" si="2"/>
        <v>43.060791057609627</v>
      </c>
      <c r="J5" s="101">
        <f t="shared" si="2"/>
        <v>45.636457437661207</v>
      </c>
      <c r="K5" s="101">
        <f t="shared" si="2"/>
        <v>40.044453998280297</v>
      </c>
      <c r="L5" s="101">
        <f t="shared" si="2"/>
        <v>39.738349097162512</v>
      </c>
      <c r="M5" s="101">
        <f t="shared" si="2"/>
        <v>39.757953568357692</v>
      </c>
      <c r="N5" s="101">
        <f t="shared" si="2"/>
        <v>38.461822871883058</v>
      </c>
      <c r="O5" s="101">
        <f t="shared" si="2"/>
        <v>38.303611349957002</v>
      </c>
      <c r="P5" s="101">
        <f t="shared" si="2"/>
        <v>35.138349097162511</v>
      </c>
      <c r="Q5" s="101">
        <f t="shared" si="2"/>
        <v>35.809716251074803</v>
      </c>
      <c r="R5" s="101">
        <f t="shared" si="2"/>
        <v>36.470679277730007</v>
      </c>
      <c r="S5" s="101">
        <f t="shared" si="2"/>
        <v>37.647979363714533</v>
      </c>
      <c r="T5" s="101">
        <f t="shared" si="2"/>
        <v>38.043164230438521</v>
      </c>
      <c r="U5" s="101">
        <f t="shared" si="2"/>
        <v>39.809888220120371</v>
      </c>
      <c r="V5" s="101">
        <f t="shared" si="2"/>
        <v>31.716766981943248</v>
      </c>
      <c r="W5" s="101">
        <f t="shared" ref="W5:Y5" si="3">SUM(W6:W7)</f>
        <v>34.30068787618228</v>
      </c>
      <c r="X5" s="101">
        <f t="shared" si="3"/>
        <v>38.350386930352528</v>
      </c>
      <c r="Y5" s="101">
        <f t="shared" si="3"/>
        <v>40.209200343938093</v>
      </c>
      <c r="DA5" s="175"/>
    </row>
    <row r="6" spans="1:105" ht="11.45" customHeight="1" x14ac:dyDescent="0.25">
      <c r="A6" s="164" t="s">
        <v>175</v>
      </c>
      <c r="B6" s="165">
        <v>40.129320722269988</v>
      </c>
      <c r="C6" s="165">
        <v>43.799312123817707</v>
      </c>
      <c r="D6" s="165">
        <v>38.299484092863281</v>
      </c>
      <c r="E6" s="165">
        <v>42.299484092863281</v>
      </c>
      <c r="F6" s="165">
        <v>44.599999999999987</v>
      </c>
      <c r="G6" s="165">
        <v>39.817970765262253</v>
      </c>
      <c r="H6" s="165">
        <v>39.817970765262253</v>
      </c>
      <c r="I6" s="165">
        <v>43.060791057609627</v>
      </c>
      <c r="J6" s="165">
        <v>45.636457437661207</v>
      </c>
      <c r="K6" s="165">
        <v>40.044453998280297</v>
      </c>
      <c r="L6" s="165">
        <v>39.738349097162512</v>
      </c>
      <c r="M6" s="165">
        <v>39.757953568357692</v>
      </c>
      <c r="N6" s="165">
        <v>38.461822871883058</v>
      </c>
      <c r="O6" s="165">
        <v>38.303611349957002</v>
      </c>
      <c r="P6" s="165">
        <v>35.138349097162511</v>
      </c>
      <c r="Q6" s="165">
        <v>35.809716251074803</v>
      </c>
      <c r="R6" s="165">
        <v>36.470679277730007</v>
      </c>
      <c r="S6" s="165">
        <v>37.647979363714533</v>
      </c>
      <c r="T6" s="165">
        <v>38.043164230438521</v>
      </c>
      <c r="U6" s="165">
        <v>39.809888220120371</v>
      </c>
      <c r="V6" s="165">
        <v>31.716766981943248</v>
      </c>
      <c r="W6" s="165">
        <v>34.30068787618228</v>
      </c>
      <c r="X6" s="165">
        <v>38.350386930352528</v>
      </c>
      <c r="Y6" s="165">
        <v>40.209200343938093</v>
      </c>
      <c r="DA6" s="207" t="s">
        <v>1104</v>
      </c>
    </row>
    <row r="7" spans="1:105" ht="11.45" customHeight="1" x14ac:dyDescent="0.25">
      <c r="A7" s="166" t="s">
        <v>176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  <c r="O7" s="167">
        <v>0</v>
      </c>
      <c r="P7" s="167">
        <v>0</v>
      </c>
      <c r="Q7" s="167">
        <v>0</v>
      </c>
      <c r="R7" s="167">
        <v>0</v>
      </c>
      <c r="S7" s="167">
        <v>0</v>
      </c>
      <c r="T7" s="167">
        <v>0</v>
      </c>
      <c r="U7" s="167">
        <v>0</v>
      </c>
      <c r="V7" s="167">
        <v>0</v>
      </c>
      <c r="W7" s="167">
        <v>0</v>
      </c>
      <c r="X7" s="167">
        <v>0</v>
      </c>
      <c r="Y7" s="167">
        <v>0</v>
      </c>
      <c r="DA7" s="177" t="s">
        <v>1105</v>
      </c>
    </row>
    <row r="8" spans="1:105" ht="11.45" customHeight="1" x14ac:dyDescent="0.25">
      <c r="A8" s="85" t="s">
        <v>91</v>
      </c>
      <c r="B8" s="88">
        <v>2.2355975924333622</v>
      </c>
      <c r="C8" s="88">
        <v>2.2355975924333622</v>
      </c>
      <c r="D8" s="88">
        <v>1.9776440240756661</v>
      </c>
      <c r="E8" s="88">
        <v>1.9776440240756661</v>
      </c>
      <c r="F8" s="88">
        <v>4.3422184006878757</v>
      </c>
      <c r="G8" s="88">
        <v>5.064488392089423</v>
      </c>
      <c r="H8" s="88">
        <v>4.8674978503869299</v>
      </c>
      <c r="I8" s="88">
        <v>4.3841788478073944</v>
      </c>
      <c r="J8" s="88">
        <v>4.6507308684436799</v>
      </c>
      <c r="K8" s="88">
        <v>3.8531384350816849</v>
      </c>
      <c r="L8" s="88">
        <v>3.9176268271711092</v>
      </c>
      <c r="M8" s="88">
        <v>3.9018056749785042</v>
      </c>
      <c r="N8" s="88">
        <v>3.8684436801375748</v>
      </c>
      <c r="O8" s="88">
        <v>3.595786758383491</v>
      </c>
      <c r="P8" s="88">
        <v>3.357867583834909</v>
      </c>
      <c r="Q8" s="88">
        <v>3.528890799656061</v>
      </c>
      <c r="R8" s="88">
        <v>3.833791917454858</v>
      </c>
      <c r="S8" s="88">
        <v>3.9021496130696471</v>
      </c>
      <c r="T8" s="88">
        <v>4.3073086844368014</v>
      </c>
      <c r="U8" s="88">
        <v>4.4570937231298364</v>
      </c>
      <c r="V8" s="88">
        <v>4.1465176268271708</v>
      </c>
      <c r="W8" s="88">
        <v>4.2276870163370592</v>
      </c>
      <c r="X8" s="88">
        <v>4.1977644024075662</v>
      </c>
      <c r="Y8" s="88">
        <v>4.4584694754944101</v>
      </c>
      <c r="DA8" s="178" t="s">
        <v>1106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42.364918314703353</v>
      </c>
      <c r="C10" s="62">
        <f t="shared" ref="C10:V10" si="5">SUM(C11,C17)</f>
        <v>46.034909716251072</v>
      </c>
      <c r="D10" s="62">
        <f t="shared" si="5"/>
        <v>40.277128116938947</v>
      </c>
      <c r="E10" s="62">
        <f t="shared" si="5"/>
        <v>44.27712811693894</v>
      </c>
      <c r="F10" s="62">
        <f t="shared" si="5"/>
        <v>48.942218400687864</v>
      </c>
      <c r="G10" s="62">
        <f t="shared" si="5"/>
        <v>44.882459157351676</v>
      </c>
      <c r="H10" s="62">
        <f t="shared" si="5"/>
        <v>44.685468615649185</v>
      </c>
      <c r="I10" s="62">
        <f t="shared" si="5"/>
        <v>47.444969905417025</v>
      </c>
      <c r="J10" s="62">
        <f t="shared" si="5"/>
        <v>50.287188306104888</v>
      </c>
      <c r="K10" s="62">
        <f t="shared" si="5"/>
        <v>43.897592433361986</v>
      </c>
      <c r="L10" s="62">
        <f t="shared" si="5"/>
        <v>43.655975924333625</v>
      </c>
      <c r="M10" s="62">
        <f t="shared" si="5"/>
        <v>43.65975924333619</v>
      </c>
      <c r="N10" s="62">
        <f t="shared" si="5"/>
        <v>42.330266552020639</v>
      </c>
      <c r="O10" s="62">
        <f t="shared" si="5"/>
        <v>41.899398108340492</v>
      </c>
      <c r="P10" s="62">
        <f t="shared" si="5"/>
        <v>38.496216680997421</v>
      </c>
      <c r="Q10" s="62">
        <f t="shared" si="5"/>
        <v>39.338607050730865</v>
      </c>
      <c r="R10" s="62">
        <f t="shared" si="5"/>
        <v>40.304471195184867</v>
      </c>
      <c r="S10" s="62">
        <f t="shared" si="5"/>
        <v>41.55012897678418</v>
      </c>
      <c r="T10" s="62">
        <f t="shared" si="5"/>
        <v>42.350472914875326</v>
      </c>
      <c r="U10" s="62">
        <f t="shared" si="5"/>
        <v>44.266981943250208</v>
      </c>
      <c r="V10" s="62">
        <f t="shared" si="5"/>
        <v>35.863284608770414</v>
      </c>
      <c r="W10" s="62">
        <f t="shared" ref="W10:Y10" si="6">SUM(W11,W17)</f>
        <v>38.528374892519338</v>
      </c>
      <c r="X10" s="62">
        <f t="shared" si="6"/>
        <v>42.548151332760099</v>
      </c>
      <c r="Y10" s="62">
        <f t="shared" si="6"/>
        <v>44.667669819432497</v>
      </c>
      <c r="DA10" s="172" t="s">
        <v>1107</v>
      </c>
    </row>
    <row r="11" spans="1:105" ht="11.45" customHeight="1" x14ac:dyDescent="0.25">
      <c r="A11" s="27" t="s">
        <v>33</v>
      </c>
      <c r="B11" s="29">
        <f t="shared" ref="B11" si="7">SUM(B12,B13,B16)</f>
        <v>36.603175542466076</v>
      </c>
      <c r="C11" s="29">
        <f t="shared" ref="C11:V11" si="8">SUM(C12,C13,C16)</f>
        <v>39.872723377060964</v>
      </c>
      <c r="D11" s="29">
        <f t="shared" si="8"/>
        <v>34.942364167774983</v>
      </c>
      <c r="E11" s="29">
        <f t="shared" si="8"/>
        <v>39.337872736383574</v>
      </c>
      <c r="F11" s="29">
        <f t="shared" si="8"/>
        <v>44.197594755177931</v>
      </c>
      <c r="G11" s="29">
        <f t="shared" si="8"/>
        <v>41.366559193167909</v>
      </c>
      <c r="H11" s="29">
        <f t="shared" si="8"/>
        <v>42.328689682359808</v>
      </c>
      <c r="I11" s="29">
        <f t="shared" si="8"/>
        <v>45.953527050161497</v>
      </c>
      <c r="J11" s="29">
        <f t="shared" si="8"/>
        <v>49.120165215364544</v>
      </c>
      <c r="K11" s="29">
        <f t="shared" si="8"/>
        <v>43.114448172304861</v>
      </c>
      <c r="L11" s="29">
        <f t="shared" si="8"/>
        <v>42.680969431625144</v>
      </c>
      <c r="M11" s="29">
        <f t="shared" si="8"/>
        <v>42.543846575308187</v>
      </c>
      <c r="N11" s="29">
        <f t="shared" si="8"/>
        <v>41.399378070056635</v>
      </c>
      <c r="O11" s="29">
        <f t="shared" si="8"/>
        <v>40.901595586618072</v>
      </c>
      <c r="P11" s="29">
        <f t="shared" si="8"/>
        <v>37.45049124087371</v>
      </c>
      <c r="Q11" s="29">
        <f t="shared" si="8"/>
        <v>38.346363538327232</v>
      </c>
      <c r="R11" s="29">
        <f t="shared" si="8"/>
        <v>39.271595889167706</v>
      </c>
      <c r="S11" s="29">
        <f t="shared" si="8"/>
        <v>40.549886693754928</v>
      </c>
      <c r="T11" s="29">
        <f t="shared" si="8"/>
        <v>41.468943630958087</v>
      </c>
      <c r="U11" s="29">
        <f t="shared" si="8"/>
        <v>43.534873061690917</v>
      </c>
      <c r="V11" s="29">
        <f t="shared" si="8"/>
        <v>35.138951380144114</v>
      </c>
      <c r="W11" s="29">
        <f t="shared" ref="W11:Y11" si="9">SUM(W12,W13,W16)</f>
        <v>37.725024579379877</v>
      </c>
      <c r="X11" s="29">
        <f t="shared" si="9"/>
        <v>40.935513139577587</v>
      </c>
      <c r="Y11" s="29">
        <f t="shared" si="9"/>
        <v>43.797471272165119</v>
      </c>
      <c r="DA11" s="173" t="s">
        <v>395</v>
      </c>
    </row>
    <row r="12" spans="1:105" ht="11.45" customHeight="1" x14ac:dyDescent="0.25">
      <c r="A12" s="107" t="s">
        <v>23</v>
      </c>
      <c r="B12" s="115">
        <v>0</v>
      </c>
      <c r="C12" s="115">
        <v>0</v>
      </c>
      <c r="D12" s="115">
        <v>0</v>
      </c>
      <c r="E12" s="115">
        <v>0</v>
      </c>
      <c r="F12" s="115">
        <v>0.30061787931204664</v>
      </c>
      <c r="G12" s="115">
        <v>0.64439162123526028</v>
      </c>
      <c r="H12" s="115">
        <v>0.65440912206254431</v>
      </c>
      <c r="I12" s="115">
        <v>0.98553424279841695</v>
      </c>
      <c r="J12" s="115">
        <v>0.76646003298620913</v>
      </c>
      <c r="K12" s="115">
        <v>0.76313507388753477</v>
      </c>
      <c r="L12" s="115">
        <v>0.75684797040316987</v>
      </c>
      <c r="M12" s="115">
        <v>0.7803587185401778</v>
      </c>
      <c r="N12" s="115">
        <v>0.79953066706918718</v>
      </c>
      <c r="O12" s="115">
        <v>0.82354634979874419</v>
      </c>
      <c r="P12" s="115">
        <v>0.83131417661546481</v>
      </c>
      <c r="Q12" s="115">
        <v>0.88487248949653874</v>
      </c>
      <c r="R12" s="115">
        <v>0.8717212913592427</v>
      </c>
      <c r="S12" s="115">
        <v>0.85680791475351969</v>
      </c>
      <c r="T12" s="115">
        <v>1.3030429852345815</v>
      </c>
      <c r="U12" s="115">
        <v>1.2429122926826963</v>
      </c>
      <c r="V12" s="115">
        <v>1.0867659019779798</v>
      </c>
      <c r="W12" s="115">
        <v>1.0980730756891717</v>
      </c>
      <c r="X12" s="115">
        <v>0.84769213874009086</v>
      </c>
      <c r="Y12" s="115">
        <v>0.85535573923014419</v>
      </c>
      <c r="DA12" s="203" t="s">
        <v>396</v>
      </c>
    </row>
    <row r="13" spans="1:105" ht="11.45" customHeight="1" x14ac:dyDescent="0.25">
      <c r="A13" s="109" t="s">
        <v>24</v>
      </c>
      <c r="B13" s="116">
        <f t="shared" ref="B13" si="10">SUM(B14:B15)</f>
        <v>36.603175542466076</v>
      </c>
      <c r="C13" s="116">
        <f t="shared" ref="C13:V13" si="11">SUM(C14:C15)</f>
        <v>39.872723377060964</v>
      </c>
      <c r="D13" s="116">
        <f t="shared" si="11"/>
        <v>34.942364167774983</v>
      </c>
      <c r="E13" s="116">
        <f t="shared" si="11"/>
        <v>39.337872736383574</v>
      </c>
      <c r="F13" s="116">
        <f t="shared" si="11"/>
        <v>43.896976875865882</v>
      </c>
      <c r="G13" s="116">
        <f t="shared" si="11"/>
        <v>40.722167571932651</v>
      </c>
      <c r="H13" s="116">
        <f t="shared" si="11"/>
        <v>41.674280560297262</v>
      </c>
      <c r="I13" s="116">
        <f t="shared" si="11"/>
        <v>44.967992807363082</v>
      </c>
      <c r="J13" s="116">
        <f t="shared" si="11"/>
        <v>48.353705182378334</v>
      </c>
      <c r="K13" s="116">
        <f t="shared" si="11"/>
        <v>42.351313098417329</v>
      </c>
      <c r="L13" s="116">
        <f t="shared" si="11"/>
        <v>41.924121461221972</v>
      </c>
      <c r="M13" s="116">
        <f t="shared" si="11"/>
        <v>41.763487856768009</v>
      </c>
      <c r="N13" s="116">
        <f t="shared" si="11"/>
        <v>40.59984740298745</v>
      </c>
      <c r="O13" s="116">
        <f t="shared" si="11"/>
        <v>40.078049236819325</v>
      </c>
      <c r="P13" s="116">
        <f t="shared" si="11"/>
        <v>36.619177064258245</v>
      </c>
      <c r="Q13" s="116">
        <f t="shared" si="11"/>
        <v>37.461491048830695</v>
      </c>
      <c r="R13" s="116">
        <f t="shared" si="11"/>
        <v>38.399874597808463</v>
      </c>
      <c r="S13" s="116">
        <f t="shared" si="11"/>
        <v>39.693078779001411</v>
      </c>
      <c r="T13" s="116">
        <f t="shared" si="11"/>
        <v>40.165900645723504</v>
      </c>
      <c r="U13" s="116">
        <f t="shared" si="11"/>
        <v>42.29196076900822</v>
      </c>
      <c r="V13" s="116">
        <f t="shared" si="11"/>
        <v>34.052185478166138</v>
      </c>
      <c r="W13" s="116">
        <f t="shared" ref="W13:Y13" si="12">SUM(W14:W15)</f>
        <v>36.626951503690705</v>
      </c>
      <c r="X13" s="116">
        <f t="shared" si="12"/>
        <v>40.087821000837494</v>
      </c>
      <c r="Y13" s="116">
        <f t="shared" si="12"/>
        <v>42.942115532934977</v>
      </c>
      <c r="DA13" s="176" t="s">
        <v>397</v>
      </c>
    </row>
    <row r="14" spans="1:105" ht="11.45" customHeight="1" x14ac:dyDescent="0.25">
      <c r="A14" s="111" t="s">
        <v>95</v>
      </c>
      <c r="B14" s="87">
        <v>34.367577950032711</v>
      </c>
      <c r="C14" s="87">
        <v>37.6371257846276</v>
      </c>
      <c r="D14" s="87">
        <v>32.986191473457723</v>
      </c>
      <c r="E14" s="87">
        <v>37.379606086531872</v>
      </c>
      <c r="F14" s="87">
        <v>39.959520213378958</v>
      </c>
      <c r="G14" s="87">
        <v>36.414206102751443</v>
      </c>
      <c r="H14" s="87">
        <v>37.531038929585769</v>
      </c>
      <c r="I14" s="87">
        <v>41.602651257319238</v>
      </c>
      <c r="J14" s="87">
        <v>44.495098714071339</v>
      </c>
      <c r="K14" s="87">
        <v>39.27649062515809</v>
      </c>
      <c r="L14" s="87">
        <v>38.782844924906364</v>
      </c>
      <c r="M14" s="87">
        <v>38.663766672764559</v>
      </c>
      <c r="N14" s="87">
        <v>37.549662002700636</v>
      </c>
      <c r="O14" s="87">
        <v>37.323594607425477</v>
      </c>
      <c r="P14" s="87">
        <v>34.111352777096478</v>
      </c>
      <c r="Q14" s="87">
        <v>34.835744272087418</v>
      </c>
      <c r="R14" s="87">
        <v>35.458471716913941</v>
      </c>
      <c r="S14" s="87">
        <v>36.667108002922802</v>
      </c>
      <c r="T14" s="87">
        <v>37.180912739044217</v>
      </c>
      <c r="U14" s="87">
        <v>39.094423452725614</v>
      </c>
      <c r="V14" s="87">
        <v>31.012550329721503</v>
      </c>
      <c r="W14" s="87">
        <v>33.517914845422254</v>
      </c>
      <c r="X14" s="87">
        <v>36.772530115429483</v>
      </c>
      <c r="Y14" s="87">
        <v>39.358362574539093</v>
      </c>
      <c r="DA14" s="171" t="s">
        <v>1108</v>
      </c>
    </row>
    <row r="15" spans="1:105" ht="11.45" customHeight="1" x14ac:dyDescent="0.25">
      <c r="A15" s="111" t="s">
        <v>93</v>
      </c>
      <c r="B15" s="87">
        <v>2.2355975924333622</v>
      </c>
      <c r="C15" s="87">
        <v>2.2355975924333622</v>
      </c>
      <c r="D15" s="87">
        <v>1.9561726943172577</v>
      </c>
      <c r="E15" s="87">
        <v>1.9582666498517043</v>
      </c>
      <c r="F15" s="87">
        <v>3.9374566624869227</v>
      </c>
      <c r="G15" s="87">
        <v>4.3079614691812109</v>
      </c>
      <c r="H15" s="87">
        <v>4.1432416307114934</v>
      </c>
      <c r="I15" s="87">
        <v>3.3653415500438451</v>
      </c>
      <c r="J15" s="87">
        <v>3.8586064683069976</v>
      </c>
      <c r="K15" s="87">
        <v>3.0748224732592386</v>
      </c>
      <c r="L15" s="87">
        <v>3.1412765363156048</v>
      </c>
      <c r="M15" s="87">
        <v>3.0997211840034526</v>
      </c>
      <c r="N15" s="87">
        <v>3.0501854002868121</v>
      </c>
      <c r="O15" s="87">
        <v>2.7544546293938494</v>
      </c>
      <c r="P15" s="87">
        <v>2.5078242871617706</v>
      </c>
      <c r="Q15" s="87">
        <v>2.6257467767432767</v>
      </c>
      <c r="R15" s="87">
        <v>2.941402880894521</v>
      </c>
      <c r="S15" s="87">
        <v>3.0259707760786085</v>
      </c>
      <c r="T15" s="87">
        <v>2.9849879066792862</v>
      </c>
      <c r="U15" s="87">
        <v>3.197537316282606</v>
      </c>
      <c r="V15" s="87">
        <v>3.0396351484446384</v>
      </c>
      <c r="W15" s="87">
        <v>3.1090366582684505</v>
      </c>
      <c r="X15" s="87">
        <v>3.3152908854080079</v>
      </c>
      <c r="Y15" s="87">
        <v>3.5837529583958867</v>
      </c>
      <c r="DA15" s="171" t="s">
        <v>1109</v>
      </c>
    </row>
    <row r="16" spans="1:105" ht="11.45" customHeight="1" x14ac:dyDescent="0.25">
      <c r="A16" s="112" t="s">
        <v>25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  <c r="O16" s="117">
        <v>0</v>
      </c>
      <c r="P16" s="117">
        <v>0</v>
      </c>
      <c r="Q16" s="117">
        <v>0</v>
      </c>
      <c r="R16" s="117">
        <v>0</v>
      </c>
      <c r="S16" s="117">
        <v>0</v>
      </c>
      <c r="T16" s="117">
        <v>0</v>
      </c>
      <c r="U16" s="117">
        <v>0</v>
      </c>
      <c r="V16" s="117">
        <v>0</v>
      </c>
      <c r="W16" s="117">
        <v>0</v>
      </c>
      <c r="X16" s="117">
        <v>0</v>
      </c>
      <c r="Y16" s="117">
        <v>0</v>
      </c>
      <c r="DA16" s="204" t="s">
        <v>398</v>
      </c>
    </row>
    <row r="17" spans="1:105" ht="11.45" customHeight="1" x14ac:dyDescent="0.25">
      <c r="A17" s="27" t="s">
        <v>34</v>
      </c>
      <c r="B17" s="29">
        <f t="shared" ref="B17:W17" si="13">SUM(B18:B19)</f>
        <v>5.7617427722372794</v>
      </c>
      <c r="C17" s="29">
        <f t="shared" si="13"/>
        <v>6.1621863391901064</v>
      </c>
      <c r="D17" s="29">
        <f t="shared" si="13"/>
        <v>5.3347639491639658</v>
      </c>
      <c r="E17" s="29">
        <f t="shared" si="13"/>
        <v>4.9392553805553634</v>
      </c>
      <c r="F17" s="29">
        <f t="shared" si="13"/>
        <v>4.7446236455099333</v>
      </c>
      <c r="G17" s="29">
        <f t="shared" si="13"/>
        <v>3.5158999641837636</v>
      </c>
      <c r="H17" s="29">
        <f t="shared" si="13"/>
        <v>2.3567789332893776</v>
      </c>
      <c r="I17" s="29">
        <f t="shared" si="13"/>
        <v>1.4914428552555248</v>
      </c>
      <c r="J17" s="29">
        <f t="shared" si="13"/>
        <v>1.1670230907403412</v>
      </c>
      <c r="K17" s="29">
        <f t="shared" si="13"/>
        <v>0.78314426105712265</v>
      </c>
      <c r="L17" s="29">
        <f t="shared" si="13"/>
        <v>0.97500649270848294</v>
      </c>
      <c r="M17" s="29">
        <f t="shared" si="13"/>
        <v>1.1159126680280014</v>
      </c>
      <c r="N17" s="29">
        <f t="shared" si="13"/>
        <v>0.93088848196400098</v>
      </c>
      <c r="O17" s="29">
        <f t="shared" si="13"/>
        <v>0.99780252172241868</v>
      </c>
      <c r="P17" s="29">
        <f t="shared" si="13"/>
        <v>1.0457254401237086</v>
      </c>
      <c r="Q17" s="29">
        <f t="shared" si="13"/>
        <v>0.99224351240362973</v>
      </c>
      <c r="R17" s="29">
        <f t="shared" si="13"/>
        <v>1.0328753060171618</v>
      </c>
      <c r="S17" s="29">
        <f t="shared" si="13"/>
        <v>1.0002422830292543</v>
      </c>
      <c r="T17" s="29">
        <f t="shared" si="13"/>
        <v>0.88152928391723606</v>
      </c>
      <c r="U17" s="29">
        <f t="shared" si="13"/>
        <v>0.73210888155929177</v>
      </c>
      <c r="V17" s="29">
        <f t="shared" si="13"/>
        <v>0.72433322862630001</v>
      </c>
      <c r="W17" s="29">
        <f t="shared" si="13"/>
        <v>0.8033503131394637</v>
      </c>
      <c r="X17" s="29">
        <f t="shared" ref="X17:Y17" si="14">SUM(X18:X19)</f>
        <v>1.6126381931825093</v>
      </c>
      <c r="Y17" s="29">
        <f t="shared" si="14"/>
        <v>0.87019854726737755</v>
      </c>
      <c r="DA17" s="173" t="s">
        <v>402</v>
      </c>
    </row>
    <row r="18" spans="1:105" ht="11.45" customHeight="1" x14ac:dyDescent="0.25">
      <c r="A18" s="83" t="s">
        <v>95</v>
      </c>
      <c r="B18" s="87">
        <v>5.7617427722372794</v>
      </c>
      <c r="C18" s="87">
        <v>6.1621863391901064</v>
      </c>
      <c r="D18" s="87">
        <v>5.3132926194055576</v>
      </c>
      <c r="E18" s="87">
        <v>4.9198780063314018</v>
      </c>
      <c r="F18" s="87">
        <v>4.640479786621027</v>
      </c>
      <c r="G18" s="87">
        <v>3.4037646625108113</v>
      </c>
      <c r="H18" s="87">
        <v>2.2869318356764858</v>
      </c>
      <c r="I18" s="87">
        <v>1.4581398002903925</v>
      </c>
      <c r="J18" s="87">
        <v>1.1413587235898679</v>
      </c>
      <c r="K18" s="87">
        <v>0.76796337312221141</v>
      </c>
      <c r="L18" s="87">
        <v>0.95550417225614803</v>
      </c>
      <c r="M18" s="87">
        <v>1.0941868955931273</v>
      </c>
      <c r="N18" s="87">
        <v>0.91216086918242556</v>
      </c>
      <c r="O18" s="87">
        <v>0.98001674253152149</v>
      </c>
      <c r="P18" s="87">
        <v>1.0269963200660348</v>
      </c>
      <c r="Q18" s="87">
        <v>0.97397197898738397</v>
      </c>
      <c r="R18" s="87">
        <v>1.0122075608160672</v>
      </c>
      <c r="S18" s="87">
        <v>0.98087136079173554</v>
      </c>
      <c r="T18" s="87">
        <v>0.86225149139430224</v>
      </c>
      <c r="U18" s="87">
        <v>0.71546476739475806</v>
      </c>
      <c r="V18" s="87">
        <v>0.70421665222174756</v>
      </c>
      <c r="W18" s="87">
        <v>0.78277303076002758</v>
      </c>
      <c r="X18" s="87">
        <v>1.5778568149230425</v>
      </c>
      <c r="Y18" s="87">
        <v>0.85083776939899902</v>
      </c>
      <c r="DA18" s="171" t="s">
        <v>1110</v>
      </c>
    </row>
    <row r="19" spans="1:105" ht="11.45" customHeight="1" x14ac:dyDescent="0.25">
      <c r="A19" s="85" t="s">
        <v>93</v>
      </c>
      <c r="B19" s="88">
        <v>0</v>
      </c>
      <c r="C19" s="88">
        <v>0</v>
      </c>
      <c r="D19" s="88">
        <v>2.1471329758408354E-2</v>
      </c>
      <c r="E19" s="88">
        <v>1.9377374223961932E-2</v>
      </c>
      <c r="F19" s="88">
        <v>0.10414385888890672</v>
      </c>
      <c r="G19" s="88">
        <v>0.11213530167295228</v>
      </c>
      <c r="H19" s="88">
        <v>6.9847097612891929E-2</v>
      </c>
      <c r="I19" s="88">
        <v>3.330305496513223E-2</v>
      </c>
      <c r="J19" s="88">
        <v>2.5664367150473256E-2</v>
      </c>
      <c r="K19" s="88">
        <v>1.5180887934911283E-2</v>
      </c>
      <c r="L19" s="88">
        <v>1.9502320452334878E-2</v>
      </c>
      <c r="M19" s="88">
        <v>2.1725772434873985E-2</v>
      </c>
      <c r="N19" s="88">
        <v>1.8727612781575382E-2</v>
      </c>
      <c r="O19" s="88">
        <v>1.7785779190897185E-2</v>
      </c>
      <c r="P19" s="88">
        <v>1.8729120057673753E-2</v>
      </c>
      <c r="Q19" s="88">
        <v>1.8271533416245756E-2</v>
      </c>
      <c r="R19" s="88">
        <v>2.0667745201094573E-2</v>
      </c>
      <c r="S19" s="88">
        <v>1.9370922237518715E-2</v>
      </c>
      <c r="T19" s="88">
        <v>1.9277792522933823E-2</v>
      </c>
      <c r="U19" s="88">
        <v>1.6644114164533728E-2</v>
      </c>
      <c r="V19" s="88">
        <v>2.0116576404552427E-2</v>
      </c>
      <c r="W19" s="88">
        <v>2.0577282379436155E-2</v>
      </c>
      <c r="X19" s="88">
        <v>3.4781378259466804E-2</v>
      </c>
      <c r="Y19" s="88">
        <v>1.936077786837857E-2</v>
      </c>
      <c r="DA19" s="178" t="s">
        <v>1111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338.55040625067801</v>
      </c>
      <c r="C23" s="62">
        <f>IF(C10=0,0,C10/TrRail_act!C14*100)</f>
        <v>336.86594151379484</v>
      </c>
      <c r="D23" s="62">
        <f>IF(D10=0,0,D10/TrRail_act!D14*100)</f>
        <v>321.5546206721661</v>
      </c>
      <c r="E23" s="62">
        <f>IF(E10=0,0,E10/TrRail_act!E14*100)</f>
        <v>314.61865812628264</v>
      </c>
      <c r="F23" s="62">
        <f>IF(F10=0,0,F10/TrRail_act!F14*100)</f>
        <v>293.00575564782861</v>
      </c>
      <c r="G23" s="62">
        <f>IF(G10=0,0,G10/TrRail_act!G14*100)</f>
        <v>266.47210052574735</v>
      </c>
      <c r="H23" s="62">
        <f>IF(H10=0,0,H10/TrRail_act!H14*100)</f>
        <v>260.19035258551088</v>
      </c>
      <c r="I23" s="62">
        <f>IF(I10=0,0,I10/TrRail_act!I14*100)</f>
        <v>245.11524273597129</v>
      </c>
      <c r="J23" s="62">
        <f>IF(J10=0,0,J10/TrRail_act!J14*100)</f>
        <v>247.47612843083564</v>
      </c>
      <c r="K23" s="62">
        <f>IF(K10=0,0,K10/TrRail_act!K14*100)</f>
        <v>230.45413198775435</v>
      </c>
      <c r="L23" s="62">
        <f>IF(L10=0,0,L10/TrRail_act!L14*100)</f>
        <v>222.7131534850208</v>
      </c>
      <c r="M23" s="62">
        <f>IF(M10=0,0,M10/TrRail_act!M14*100)</f>
        <v>213.70384832931384</v>
      </c>
      <c r="N23" s="62">
        <f>IF(N10=0,0,N10/TrRail_act!N14*100)</f>
        <v>200.42760375552325</v>
      </c>
      <c r="O23" s="62">
        <f>IF(O10=0,0,O10/TrRail_act!O14*100)</f>
        <v>198.59579020967229</v>
      </c>
      <c r="P23" s="62">
        <f>IF(P10=0,0,P10/TrRail_act!P14*100)</f>
        <v>195.11216767379784</v>
      </c>
      <c r="Q23" s="62">
        <f>IF(Q10=0,0,Q10/TrRail_act!Q14*100)</f>
        <v>178.0413992727913</v>
      </c>
      <c r="R23" s="62">
        <f>IF(R10=0,0,R10/TrRail_act!R14*100)</f>
        <v>168.68537922940089</v>
      </c>
      <c r="S23" s="62">
        <f>IF(S10=0,0,S10/TrRail_act!S14*100)</f>
        <v>162.08394815420741</v>
      </c>
      <c r="T23" s="62">
        <f>IF(T10=0,0,T10/TrRail_act!T14*100)</f>
        <v>151.37541648582612</v>
      </c>
      <c r="U23" s="62">
        <f>IF(U10=0,0,U10/TrRail_act!U14*100)</f>
        <v>148.74874711975667</v>
      </c>
      <c r="V23" s="62">
        <f>IF(V10=0,0,V10/TrRail_act!V14*100)</f>
        <v>145.39506975882367</v>
      </c>
      <c r="W23" s="62">
        <f>IF(W10=0,0,W10/TrRail_act!W14*100)</f>
        <v>144.3668902229694</v>
      </c>
      <c r="X23" s="62">
        <f>IF(X10=0,0,X10/TrRail_act!X14*100)</f>
        <v>148.51850162594235</v>
      </c>
      <c r="Y23" s="62">
        <f>IF(Y10=0,0,Y10/TrRail_act!Y14*100)</f>
        <v>145.98016506540702</v>
      </c>
      <c r="DA23" s="172" t="s">
        <v>1112</v>
      </c>
    </row>
    <row r="24" spans="1:105" ht="11.45" customHeight="1" x14ac:dyDescent="0.25">
      <c r="A24" s="27" t="s">
        <v>33</v>
      </c>
      <c r="B24" s="29">
        <f>IF(B11=0,0,B11/TrRail_act!B15*100)</f>
        <v>317.45008189371129</v>
      </c>
      <c r="C24" s="29">
        <f>IF(C11=0,0,C11/TrRail_act!C15*100)</f>
        <v>315.63862381164353</v>
      </c>
      <c r="D24" s="29">
        <f>IF(D11=0,0,D11/TrRail_act!D15*100)</f>
        <v>300.67863906565003</v>
      </c>
      <c r="E24" s="29">
        <f>IF(E11=0,0,E11/TrRail_act!E15*100)</f>
        <v>297.37532133624921</v>
      </c>
      <c r="F24" s="29">
        <f>IF(F11=0,0,F11/TrRail_act!F15*100)</f>
        <v>278.73245229492903</v>
      </c>
      <c r="G24" s="29">
        <f>IF(G11=0,0,G11/TrRail_act!G15*100)</f>
        <v>255.35742182076368</v>
      </c>
      <c r="H24" s="29">
        <f>IF(H11=0,0,H11/TrRail_act!H15*100)</f>
        <v>252.84337030634853</v>
      </c>
      <c r="I24" s="29">
        <f>IF(I11=0,0,I11/TrRail_act!I15*100)</f>
        <v>240.84069057460184</v>
      </c>
      <c r="J24" s="29">
        <f>IF(J11=0,0,J11/TrRail_act!J15*100)</f>
        <v>244.34241731886758</v>
      </c>
      <c r="K24" s="29">
        <f>IF(K11=0,0,K11/TrRail_act!K15*100)</f>
        <v>228.09110285714107</v>
      </c>
      <c r="L24" s="29">
        <f>IF(L11=0,0,L11/TrRail_act!L15*100)</f>
        <v>219.7911267389479</v>
      </c>
      <c r="M24" s="29">
        <f>IF(M11=0,0,M11/TrRail_act!M15*100)</f>
        <v>210.41487964635655</v>
      </c>
      <c r="N24" s="29">
        <f>IF(N11=0,0,N11/TrRail_act!N15*100)</f>
        <v>197.68608938064446</v>
      </c>
      <c r="O24" s="29">
        <f>IF(O11=0,0,O11/TrRail_act!O15*100)</f>
        <v>195.65621735849666</v>
      </c>
      <c r="P24" s="29">
        <f>IF(P11=0,0,P11/TrRail_act!P15*100)</f>
        <v>191.79512037447864</v>
      </c>
      <c r="Q24" s="29">
        <f>IF(Q11=0,0,Q11/TrRail_act!Q15*100)</f>
        <v>175.10392983483709</v>
      </c>
      <c r="R24" s="29">
        <f>IF(R11=0,0,R11/TrRail_act!R15*100)</f>
        <v>165.79541285549459</v>
      </c>
      <c r="S24" s="29">
        <f>IF(S11=0,0,S11/TrRail_act!S15*100)</f>
        <v>159.43216299175023</v>
      </c>
      <c r="T24" s="29">
        <f>IF(T11=0,0,T11/TrRail_act!T15*100)</f>
        <v>149.1789822698384</v>
      </c>
      <c r="U24" s="29">
        <f>IF(U11=0,0,U11/TrRail_act!U15*100)</f>
        <v>147.02727341438384</v>
      </c>
      <c r="V24" s="29">
        <f>IF(V11=0,0,V11/TrRail_act!V15*100)</f>
        <v>143.33013794891889</v>
      </c>
      <c r="W24" s="29">
        <f>IF(W11=0,0,W11/TrRail_act!W15*100)</f>
        <v>142.24104635837284</v>
      </c>
      <c r="X24" s="29">
        <f>IF(X11=0,0,X11/TrRail_act!X15*100)</f>
        <v>144.5574786244494</v>
      </c>
      <c r="Y24" s="29">
        <f>IF(Y11=0,0,Y11/TrRail_act!Y15*100)</f>
        <v>143.97787658949494</v>
      </c>
      <c r="DA24" s="173" t="s">
        <v>1113</v>
      </c>
    </row>
    <row r="25" spans="1:105" ht="11.45" customHeight="1" x14ac:dyDescent="0.25">
      <c r="A25" s="107" t="s">
        <v>23</v>
      </c>
      <c r="B25" s="115">
        <f>IF(B12=0,0,B12/TrRail_act!B16*100)</f>
        <v>0</v>
      </c>
      <c r="C25" s="115">
        <f>IF(C12=0,0,C12/TrRail_act!C16*100)</f>
        <v>0</v>
      </c>
      <c r="D25" s="115">
        <f>IF(D12=0,0,D12/TrRail_act!D16*100)</f>
        <v>0</v>
      </c>
      <c r="E25" s="115">
        <f>IF(E12=0,0,E12/TrRail_act!E16*100)</f>
        <v>0</v>
      </c>
      <c r="F25" s="115">
        <f>IF(F12=0,0,F12/TrRail_act!F16*100)</f>
        <v>47.362788441539102</v>
      </c>
      <c r="G25" s="115">
        <f>IF(G12=0,0,G12/TrRail_act!G16*100)</f>
        <v>46.21303492837994</v>
      </c>
      <c r="H25" s="115">
        <f>IF(H12=0,0,H12/TrRail_act!H16*100)</f>
        <v>45.723596247297301</v>
      </c>
      <c r="I25" s="115">
        <f>IF(I12=0,0,I12/TrRail_act!I16*100)</f>
        <v>44.14984050946719</v>
      </c>
      <c r="J25" s="115">
        <f>IF(J12=0,0,J12/TrRail_act!J16*100)</f>
        <v>43.734881941943001</v>
      </c>
      <c r="K25" s="115">
        <f>IF(K12=0,0,K12/TrRail_act!K16*100)</f>
        <v>42.475517819290964</v>
      </c>
      <c r="L25" s="115">
        <f>IF(L12=0,0,L12/TrRail_act!L16*100)</f>
        <v>42.008880893316238</v>
      </c>
      <c r="M25" s="115">
        <f>IF(M12=0,0,M12/TrRail_act!M16*100)</f>
        <v>41.53606728036938</v>
      </c>
      <c r="N25" s="115">
        <f>IF(N12=0,0,N12/TrRail_act!N16*100)</f>
        <v>40.689914686579115</v>
      </c>
      <c r="O25" s="115">
        <f>IF(O12=0,0,O12/TrRail_act!O16*100)</f>
        <v>39.234728632960703</v>
      </c>
      <c r="P25" s="115">
        <f>IF(P12=0,0,P12/TrRail_act!P16*100)</f>
        <v>37.974113821391434</v>
      </c>
      <c r="Q25" s="115">
        <f>IF(Q12=0,0,Q12/TrRail_act!Q16*100)</f>
        <v>37.200246225330353</v>
      </c>
      <c r="R25" s="115">
        <f>IF(R12=0,0,R12/TrRail_act!R16*100)</f>
        <v>36.630212613975296</v>
      </c>
      <c r="S25" s="115">
        <f>IF(S12=0,0,S12/TrRail_act!S16*100)</f>
        <v>36.208426867740343</v>
      </c>
      <c r="T25" s="115">
        <f>IF(T12=0,0,T12/TrRail_act!T16*100)</f>
        <v>35.895278091441831</v>
      </c>
      <c r="U25" s="115">
        <f>IF(U12=0,0,U12/TrRail_act!U16*100)</f>
        <v>35.662194996108269</v>
      </c>
      <c r="V25" s="115">
        <f>IF(V12=0,0,V12/TrRail_act!V16*100)</f>
        <v>35.488376469284212</v>
      </c>
      <c r="W25" s="115">
        <f>IF(W12=0,0,W12/TrRail_act!W16*100)</f>
        <v>35.358568742370288</v>
      </c>
      <c r="X25" s="115">
        <f>IF(X12=0,0,X12/TrRail_act!X16*100)</f>
        <v>35.261524645893132</v>
      </c>
      <c r="Y25" s="115">
        <f>IF(Y12=0,0,Y12/TrRail_act!Y16*100)</f>
        <v>35.188916401320313</v>
      </c>
      <c r="DA25" s="203" t="s">
        <v>1114</v>
      </c>
    </row>
    <row r="26" spans="1:105" ht="11.45" customHeight="1" x14ac:dyDescent="0.25">
      <c r="A26" s="109" t="s">
        <v>24</v>
      </c>
      <c r="B26" s="116">
        <f>IF(B13=0,0,B13/TrRail_act!B17*100)</f>
        <v>317.45008189371129</v>
      </c>
      <c r="C26" s="116">
        <f>IF(C13=0,0,C13/TrRail_act!C17*100)</f>
        <v>315.63862381164353</v>
      </c>
      <c r="D26" s="116">
        <f>IF(D13=0,0,D13/TrRail_act!D17*100)</f>
        <v>300.67863906565003</v>
      </c>
      <c r="E26" s="116">
        <f>IF(E13=0,0,E13/TrRail_act!E17*100)</f>
        <v>297.37532133624921</v>
      </c>
      <c r="F26" s="116">
        <f>IF(F13=0,0,F13/TrRail_act!F17*100)</f>
        <v>288.37994369059027</v>
      </c>
      <c r="G26" s="116">
        <f>IF(G13=0,0,G13/TrRail_act!G17*100)</f>
        <v>275.05536308168189</v>
      </c>
      <c r="H26" s="116">
        <f>IF(H13=0,0,H13/TrRail_act!H17*100)</f>
        <v>272.20579696159206</v>
      </c>
      <c r="I26" s="116">
        <f>IF(I13=0,0,I13/TrRail_act!I17*100)</f>
        <v>266.90059216727678</v>
      </c>
      <c r="J26" s="116">
        <f>IF(J13=0,0,J13/TrRail_act!J17*100)</f>
        <v>263.50090148635525</v>
      </c>
      <c r="K26" s="116">
        <f>IF(K13=0,0,K13/TrRail_act!K17*100)</f>
        <v>247.5867516481745</v>
      </c>
      <c r="L26" s="116">
        <f>IF(L13=0,0,L13/TrRail_act!L17*100)</f>
        <v>237.97213948149925</v>
      </c>
      <c r="M26" s="116">
        <f>IF(M13=0,0,M13/TrRail_act!M17*100)</f>
        <v>227.71456167270173</v>
      </c>
      <c r="N26" s="116">
        <f>IF(N13=0,0,N13/TrRail_act!N17*100)</f>
        <v>213.94190947203313</v>
      </c>
      <c r="O26" s="116">
        <f>IF(O13=0,0,O13/TrRail_act!O17*100)</f>
        <v>213.1153193968197</v>
      </c>
      <c r="P26" s="116">
        <f>IF(P13=0,0,P13/TrRail_act!P17*100)</f>
        <v>211.21809431607605</v>
      </c>
      <c r="Q26" s="116">
        <f>IF(Q13=0,0,Q13/TrRail_act!Q17*100)</f>
        <v>191.90818148143595</v>
      </c>
      <c r="R26" s="116">
        <f>IF(R13=0,0,R13/TrRail_act!R17*100)</f>
        <v>180.22193251282164</v>
      </c>
      <c r="S26" s="116">
        <f>IF(S13=0,0,S13/TrRail_act!S17*100)</f>
        <v>172.07269522881674</v>
      </c>
      <c r="T26" s="116">
        <f>IF(T13=0,0,T13/TrRail_act!T17*100)</f>
        <v>166.19462358133373</v>
      </c>
      <c r="U26" s="116">
        <f>IF(U13=0,0,U13/TrRail_act!U17*100)</f>
        <v>161.88416631089089</v>
      </c>
      <c r="V26" s="116">
        <f>IF(V13=0,0,V13/TrRail_act!V17*100)</f>
        <v>158.72348438661689</v>
      </c>
      <c r="W26" s="116">
        <f>IF(W13=0,0,W13/TrRail_act!W17*100)</f>
        <v>156.41606579710614</v>
      </c>
      <c r="X26" s="116">
        <f>IF(X13=0,0,X13/TrRail_act!X17*100)</f>
        <v>154.69682861258244</v>
      </c>
      <c r="Y26" s="116">
        <f>IF(Y13=0,0,Y13/TrRail_act!Y17*100)</f>
        <v>153.42589974053817</v>
      </c>
      <c r="DA26" s="176" t="s">
        <v>1115</v>
      </c>
    </row>
    <row r="27" spans="1:105" ht="11.45" customHeight="1" x14ac:dyDescent="0.25">
      <c r="A27" s="111" t="s">
        <v>92</v>
      </c>
      <c r="B27" s="87">
        <f>IF(B14=0,0,B14/TrRail_act!B18*100)</f>
        <v>329.56600187473788</v>
      </c>
      <c r="C27" s="87">
        <f>IF(C14=0,0,C14/TrRail_act!C18*100)</f>
        <v>326.60053506390807</v>
      </c>
      <c r="D27" s="87">
        <f>IF(D14=0,0,D14/TrRail_act!D18*100)</f>
        <v>309.77439928576615</v>
      </c>
      <c r="E27" s="87">
        <f>IF(E14=0,0,E14/TrRail_act!E18*100)</f>
        <v>305.30026451562361</v>
      </c>
      <c r="F27" s="87">
        <f>IF(F14=0,0,F14/TrRail_act!F18*100)</f>
        <v>302.3725283814149</v>
      </c>
      <c r="G27" s="87">
        <f>IF(G14=0,0,G14/TrRail_act!G18*100)</f>
        <v>289.62049482944406</v>
      </c>
      <c r="H27" s="87">
        <f>IF(H14=0,0,H14/TrRail_act!H18*100)</f>
        <v>285.63464948899104</v>
      </c>
      <c r="I27" s="87">
        <f>IF(I14=0,0,I14/TrRail_act!I18*100)</f>
        <v>276.36392632761641</v>
      </c>
      <c r="J27" s="87">
        <f>IF(J14=0,0,J14/TrRail_act!J18*100)</f>
        <v>273.73208215735997</v>
      </c>
      <c r="K27" s="87">
        <f>IF(K14=0,0,K14/TrRail_act!K18*100)</f>
        <v>255.21922290713178</v>
      </c>
      <c r="L27" s="87">
        <f>IF(L14=0,0,L14/TrRail_act!L18*100)</f>
        <v>244.97527352763026</v>
      </c>
      <c r="M27" s="87">
        <f>IF(M14=0,0,M14/TrRail_act!M18*100)</f>
        <v>233.87546434961396</v>
      </c>
      <c r="N27" s="87">
        <f>IF(N14=0,0,N14/TrRail_act!N18*100)</f>
        <v>218.58236129497243</v>
      </c>
      <c r="O27" s="87">
        <f>IF(O14=0,0,O14/TrRail_act!O18*100)</f>
        <v>217.3963945762242</v>
      </c>
      <c r="P27" s="87">
        <f>IF(P14=0,0,P14/TrRail_act!P18*100)</f>
        <v>215.81926134008208</v>
      </c>
      <c r="Q27" s="87">
        <f>IF(Q14=0,0,Q14/TrRail_act!Q18*100)</f>
        <v>194.76691006354332</v>
      </c>
      <c r="R27" s="87">
        <f>IF(R14=0,0,R14/TrRail_act!R18*100)</f>
        <v>182.1399770422814</v>
      </c>
      <c r="S27" s="87">
        <f>IF(S14=0,0,S14/TrRail_act!S18*100)</f>
        <v>173.20995733193303</v>
      </c>
      <c r="T27" s="87">
        <f>IF(T14=0,0,T14/TrRail_act!T18*100)</f>
        <v>166.80095696169479</v>
      </c>
      <c r="U27" s="87">
        <f>IF(U14=0,0,U14/TrRail_act!U18*100)</f>
        <v>162.15031631049243</v>
      </c>
      <c r="V27" s="87">
        <f>IF(V14=0,0,V14/TrRail_act!V18*100)</f>
        <v>158.74762877582549</v>
      </c>
      <c r="W27" s="87">
        <f>IF(W14=0,0,W14/TrRail_act!W18*100)</f>
        <v>156.24255488451476</v>
      </c>
      <c r="X27" s="87">
        <f>IF(X14=0,0,X14/TrRail_act!X18*100)</f>
        <v>154.38972573655997</v>
      </c>
      <c r="Y27" s="87">
        <f>IF(Y14=0,0,Y14/TrRail_act!Y18*100)</f>
        <v>153.01453736332289</v>
      </c>
      <c r="DA27" s="171" t="s">
        <v>1116</v>
      </c>
    </row>
    <row r="28" spans="1:105" ht="11.45" customHeight="1" x14ac:dyDescent="0.25">
      <c r="A28" s="111" t="s">
        <v>93</v>
      </c>
      <c r="B28" s="87">
        <f>IF(B15=0,0,B15/TrRail_act!B19*100)</f>
        <v>202.82312617728851</v>
      </c>
      <c r="C28" s="87">
        <f>IF(C15=0,0,C15/TrRail_act!C19*100)</f>
        <v>201.67868489794012</v>
      </c>
      <c r="D28" s="87">
        <f>IF(D15=0,0,D15/TrRail_act!D19*100)</f>
        <v>201.10546742779309</v>
      </c>
      <c r="E28" s="87">
        <f>IF(E15=0,0,E15/TrRail_act!E19*100)</f>
        <v>198.84854299856539</v>
      </c>
      <c r="F28" s="87">
        <f>IF(F15=0,0,F15/TrRail_act!F19*100)</f>
        <v>196.22560775580669</v>
      </c>
      <c r="G28" s="87">
        <f>IF(G15=0,0,G15/TrRail_act!G19*100)</f>
        <v>193.0086834495776</v>
      </c>
      <c r="H28" s="87">
        <f>IF(H15=0,0,H15/TrRail_act!H19*100)</f>
        <v>190.90488965290413</v>
      </c>
      <c r="I28" s="87">
        <f>IF(I15=0,0,I15/TrRail_act!I19*100)</f>
        <v>187.52154841849861</v>
      </c>
      <c r="J28" s="87">
        <f>IF(J15=0,0,J15/TrRail_act!J19*100)</f>
        <v>184.1370263717015</v>
      </c>
      <c r="K28" s="87">
        <f>IF(K15=0,0,K15/TrRail_act!K19*100)</f>
        <v>179.15092924673226</v>
      </c>
      <c r="L28" s="87">
        <f>IF(L15=0,0,L15/TrRail_act!L19*100)</f>
        <v>175.89230804891048</v>
      </c>
      <c r="M28" s="87">
        <f>IF(M15=0,0,M15/TrRail_act!M19*100)</f>
        <v>171.39694258188425</v>
      </c>
      <c r="N28" s="87">
        <f>IF(N15=0,0,N15/TrRail_act!N19*100)</f>
        <v>169.61323973920972</v>
      </c>
      <c r="O28" s="87">
        <f>IF(O15=0,0,O15/TrRail_act!O19*100)</f>
        <v>168.22612600994992</v>
      </c>
      <c r="P28" s="87">
        <f>IF(P15=0,0,P15/TrRail_act!P19*100)</f>
        <v>163.73651310881075</v>
      </c>
      <c r="Q28" s="87">
        <f>IF(Q15=0,0,Q15/TrRail_act!Q19*100)</f>
        <v>160.62908572073459</v>
      </c>
      <c r="R28" s="87">
        <f>IF(R15=0,0,R15/TrRail_act!R19*100)</f>
        <v>159.92065085723254</v>
      </c>
      <c r="S28" s="87">
        <f>IF(S15=0,0,S15/TrRail_act!S19*100)</f>
        <v>159.39137530608414</v>
      </c>
      <c r="T28" s="87">
        <f>IF(T15=0,0,T15/TrRail_act!T19*100)</f>
        <v>158.99556953920757</v>
      </c>
      <c r="U28" s="87">
        <f>IF(U15=0,0,U15/TrRail_act!U19*100)</f>
        <v>158.69935992063728</v>
      </c>
      <c r="V28" s="87">
        <f>IF(V15=0,0,V15/TrRail_act!V19*100)</f>
        <v>158.47756498673192</v>
      </c>
      <c r="W28" s="87">
        <f>IF(W15=0,0,W15/TrRail_act!W19*100)</f>
        <v>158.31142209500547</v>
      </c>
      <c r="X28" s="87">
        <f>IF(X15=0,0,X15/TrRail_act!X19*100)</f>
        <v>158.18692929981063</v>
      </c>
      <c r="Y28" s="87">
        <f>IF(Y15=0,0,Y15/TrRail_act!Y19*100)</f>
        <v>158.09362395023047</v>
      </c>
      <c r="DA28" s="171" t="s">
        <v>1117</v>
      </c>
    </row>
    <row r="29" spans="1:105" ht="11.45" customHeight="1" x14ac:dyDescent="0.25">
      <c r="A29" s="112" t="s">
        <v>25</v>
      </c>
      <c r="B29" s="117">
        <f>IF(B16=0,0,B16/TrRail_act!B20*100)</f>
        <v>0</v>
      </c>
      <c r="C29" s="117">
        <f>IF(C16=0,0,C16/TrRail_act!C20*100)</f>
        <v>0</v>
      </c>
      <c r="D29" s="117">
        <f>IF(D16=0,0,D16/TrRail_act!D20*100)</f>
        <v>0</v>
      </c>
      <c r="E29" s="117">
        <f>IF(E16=0,0,E16/TrRail_act!E20*100)</f>
        <v>0</v>
      </c>
      <c r="F29" s="117">
        <f>IF(F16=0,0,F16/TrRail_act!F20*100)</f>
        <v>0</v>
      </c>
      <c r="G29" s="117">
        <f>IF(G16=0,0,G16/TrRail_act!G20*100)</f>
        <v>0</v>
      </c>
      <c r="H29" s="117">
        <f>IF(H16=0,0,H16/TrRail_act!H20*100)</f>
        <v>0</v>
      </c>
      <c r="I29" s="117">
        <f>IF(I16=0,0,I16/TrRail_act!I20*100)</f>
        <v>0</v>
      </c>
      <c r="J29" s="117">
        <f>IF(J16=0,0,J16/TrRail_act!J20*100)</f>
        <v>0</v>
      </c>
      <c r="K29" s="117">
        <f>IF(K16=0,0,K16/TrRail_act!K20*100)</f>
        <v>0</v>
      </c>
      <c r="L29" s="117">
        <f>IF(L16=0,0,L16/TrRail_act!L20*100)</f>
        <v>0</v>
      </c>
      <c r="M29" s="117">
        <f>IF(M16=0,0,M16/TrRail_act!M20*100)</f>
        <v>0</v>
      </c>
      <c r="N29" s="117">
        <f>IF(N16=0,0,N16/TrRail_act!N20*100)</f>
        <v>0</v>
      </c>
      <c r="O29" s="117">
        <f>IF(O16=0,0,O16/TrRail_act!O20*100)</f>
        <v>0</v>
      </c>
      <c r="P29" s="117">
        <f>IF(P16=0,0,P16/TrRail_act!P20*100)</f>
        <v>0</v>
      </c>
      <c r="Q29" s="117">
        <f>IF(Q16=0,0,Q16/TrRail_act!Q20*100)</f>
        <v>0</v>
      </c>
      <c r="R29" s="117">
        <f>IF(R16=0,0,R16/TrRail_act!R20*100)</f>
        <v>0</v>
      </c>
      <c r="S29" s="117">
        <f>IF(S16=0,0,S16/TrRail_act!S20*100)</f>
        <v>0</v>
      </c>
      <c r="T29" s="117">
        <f>IF(T16=0,0,T16/TrRail_act!T20*100)</f>
        <v>0</v>
      </c>
      <c r="U29" s="117">
        <f>IF(U16=0,0,U16/TrRail_act!U20*100)</f>
        <v>0</v>
      </c>
      <c r="V29" s="117">
        <f>IF(V16=0,0,V16/TrRail_act!V20*100)</f>
        <v>0</v>
      </c>
      <c r="W29" s="117">
        <f>IF(W16=0,0,W16/TrRail_act!W20*100)</f>
        <v>0</v>
      </c>
      <c r="X29" s="117">
        <f>IF(X16=0,0,X16/TrRail_act!X20*100)</f>
        <v>0</v>
      </c>
      <c r="Y29" s="117">
        <f>IF(Y16=0,0,Y16/TrRail_act!Y20*100)</f>
        <v>0</v>
      </c>
      <c r="DA29" s="204" t="s">
        <v>1118</v>
      </c>
    </row>
    <row r="30" spans="1:105" ht="11.45" customHeight="1" x14ac:dyDescent="0.25">
      <c r="A30" s="27" t="s">
        <v>34</v>
      </c>
      <c r="B30" s="29">
        <f>IF(B17=0,0,B17/TrRail_act!B21*100)</f>
        <v>585.98960327561576</v>
      </c>
      <c r="C30" s="29">
        <f>IF(C17=0,0,C17/TrRail_act!C21*100)</f>
        <v>596.38870953122023</v>
      </c>
      <c r="D30" s="29">
        <f>IF(D17=0,0,D17/TrRail_act!D21*100)</f>
        <v>589.74780946035139</v>
      </c>
      <c r="E30" s="29">
        <f>IF(E17=0,0,E17/TrRail_act!E21*100)</f>
        <v>584.58941399981643</v>
      </c>
      <c r="F30" s="29">
        <f>IF(F17=0,0,F17/TrRail_act!F21*100)</f>
        <v>560.25862658287292</v>
      </c>
      <c r="G30" s="29">
        <f>IF(G17=0,0,G17/TrRail_act!G21*100)</f>
        <v>546.16993842688885</v>
      </c>
      <c r="H30" s="29">
        <f>IF(H17=0,0,H17/TrRail_act!H21*100)</f>
        <v>544.19841847307282</v>
      </c>
      <c r="I30" s="29">
        <f>IF(I17=0,0,I17/TrRail_act!I21*100)</f>
        <v>540.92131456951961</v>
      </c>
      <c r="J30" s="29">
        <f>IF(J17=0,0,J17/TrRail_act!J21*100)</f>
        <v>537.76878692204116</v>
      </c>
      <c r="K30" s="29">
        <f>IF(K17=0,0,K17/TrRail_act!K21*100)</f>
        <v>536.37699565432263</v>
      </c>
      <c r="L30" s="29">
        <f>IF(L17=0,0,L17/TrRail_act!L21*100)</f>
        <v>532.76869380713947</v>
      </c>
      <c r="M30" s="29">
        <f>IF(M17=0,0,M17/TrRail_act!M21*100)</f>
        <v>528.86856304644618</v>
      </c>
      <c r="N30" s="29">
        <f>IF(N17=0,0,N17/TrRail_act!N21*100)</f>
        <v>522.97105728314671</v>
      </c>
      <c r="O30" s="29">
        <f>IF(O17=0,0,O17/TrRail_act!O21*100)</f>
        <v>516.99612524477652</v>
      </c>
      <c r="P30" s="29">
        <f>IF(P17=0,0,P17/TrRail_act!P21*100)</f>
        <v>512.61050986456314</v>
      </c>
      <c r="Q30" s="29">
        <f>IF(Q17=0,0,Q17/TrRail_act!Q21*100)</f>
        <v>506.2466900018519</v>
      </c>
      <c r="R30" s="29">
        <f>IF(R17=0,0,R17/TrRail_act!R21*100)</f>
        <v>500.18174625528422</v>
      </c>
      <c r="S30" s="29">
        <f>IF(S17=0,0,S17/TrRail_act!S21*100)</f>
        <v>497.63297663146977</v>
      </c>
      <c r="T30" s="29">
        <f>IF(T17=0,0,T17/TrRail_act!T21*100)</f>
        <v>492.47446028895865</v>
      </c>
      <c r="U30" s="29">
        <f>IF(U17=0,0,U17/TrRail_act!U21*100)</f>
        <v>489.70493749785408</v>
      </c>
      <c r="V30" s="29">
        <f>IF(V17=0,0,V17/TrRail_act!V21*100)</f>
        <v>482.88881908420001</v>
      </c>
      <c r="W30" s="29">
        <f>IF(W17=0,0,W17/TrRail_act!W21*100)</f>
        <v>484.1739805981079</v>
      </c>
      <c r="X30" s="29">
        <f>IF(X17=0,0,X17/TrRail_act!X21*100)</f>
        <v>487.83006351242699</v>
      </c>
      <c r="Y30" s="29">
        <f>IF(Y17=0,0,Y17/TrRail_act!Y21*100)</f>
        <v>486.50521697565779</v>
      </c>
      <c r="DA30" s="173" t="s">
        <v>1119</v>
      </c>
    </row>
    <row r="31" spans="1:105" ht="11.45" customHeight="1" x14ac:dyDescent="0.25">
      <c r="A31" s="83" t="s">
        <v>92</v>
      </c>
      <c r="B31" s="87">
        <f>IF(B18=0,0,B18/TrRail_act!B22*100)</f>
        <v>585.98960327561576</v>
      </c>
      <c r="C31" s="87">
        <f>IF(C18=0,0,C18/TrRail_act!C22*100)</f>
        <v>596.38870953122023</v>
      </c>
      <c r="D31" s="87">
        <f>IF(D18=0,0,D18/TrRail_act!D22*100)</f>
        <v>593.57169243367696</v>
      </c>
      <c r="E31" s="87">
        <f>IF(E18=0,0,E18/TrRail_act!E22*100)</f>
        <v>588.28807903936706</v>
      </c>
      <c r="F31" s="87">
        <f>IF(F18=0,0,F18/TrRail_act!F22*100)</f>
        <v>580.24549623647556</v>
      </c>
      <c r="G31" s="87">
        <f>IF(G18=0,0,G18/TrRail_act!G22*100)</f>
        <v>575.12330912772813</v>
      </c>
      <c r="H31" s="87">
        <f>IF(H18=0,0,H18/TrRail_act!H22*100)</f>
        <v>571.86902718507349</v>
      </c>
      <c r="I31" s="87">
        <f>IF(I18=0,0,I18/TrRail_act!I22*100)</f>
        <v>562.3016201844282</v>
      </c>
      <c r="J31" s="87">
        <f>IF(J18=0,0,J18/TrRail_act!J22*100)</f>
        <v>559.28163125199899</v>
      </c>
      <c r="K31" s="87">
        <f>IF(K18=0,0,K18/TrRail_act!K22*100)</f>
        <v>556.42675854772699</v>
      </c>
      <c r="L31" s="87">
        <f>IF(L18=0,0,L18/TrRail_act!L22*100)</f>
        <v>553.52526248249285</v>
      </c>
      <c r="M31" s="87">
        <f>IF(M18=0,0,M18/TrRail_act!M22*100)</f>
        <v>549.52528630452457</v>
      </c>
      <c r="N31" s="87">
        <f>IF(N18=0,0,N18/TrRail_act!N22*100)</f>
        <v>544.24511201896132</v>
      </c>
      <c r="O31" s="87">
        <f>IF(O18=0,0,O18/TrRail_act!O22*100)</f>
        <v>536.00099609862252</v>
      </c>
      <c r="P31" s="87">
        <f>IF(P18=0,0,P18/TrRail_act!P22*100)</f>
        <v>532.22472341088667</v>
      </c>
      <c r="Q31" s="87">
        <f>IF(Q18=0,0,Q18/TrRail_act!Q22*100)</f>
        <v>526.77956702838037</v>
      </c>
      <c r="R31" s="87">
        <f>IF(R18=0,0,R18/TrRail_act!R22*100)</f>
        <v>522.73229006862914</v>
      </c>
      <c r="S31" s="87">
        <f>IF(S18=0,0,S18/TrRail_act!S22*100)</f>
        <v>519.71725163588712</v>
      </c>
      <c r="T31" s="87">
        <f>IF(T18=0,0,T18/TrRail_act!T22*100)</f>
        <v>517.46739102531046</v>
      </c>
      <c r="U31" s="87">
        <f>IF(U18=0,0,U18/TrRail_act!U22*100)</f>
        <v>515.78638938177278</v>
      </c>
      <c r="V31" s="87">
        <f>IF(V18=0,0,V18/TrRail_act!V22*100)</f>
        <v>514.52922276830759</v>
      </c>
      <c r="W31" s="87">
        <f>IF(W18=0,0,W18/TrRail_act!W22*100)</f>
        <v>513.58835905281217</v>
      </c>
      <c r="X31" s="87">
        <f>IF(X18=0,0,X18/TrRail_act!X22*100)</f>
        <v>512.88384050396928</v>
      </c>
      <c r="Y31" s="87">
        <f>IF(Y18=0,0,Y18/TrRail_act!Y22*100)</f>
        <v>512.35608588231742</v>
      </c>
      <c r="DA31" s="171" t="s">
        <v>1120</v>
      </c>
    </row>
    <row r="32" spans="1:105" ht="11.45" customHeight="1" x14ac:dyDescent="0.25">
      <c r="A32" s="85" t="s">
        <v>93</v>
      </c>
      <c r="B32" s="88">
        <f>IF(B19=0,0,B19/TrRail_act!B23*100)</f>
        <v>0</v>
      </c>
      <c r="C32" s="88">
        <f>IF(C19=0,0,C19/TrRail_act!C23*100)</f>
        <v>0</v>
      </c>
      <c r="D32" s="88">
        <f>IF(D19=0,0,D19/TrRail_act!D23*100)</f>
        <v>227.33533179848365</v>
      </c>
      <c r="E32" s="88">
        <f>IF(E19=0,0,E19/TrRail_act!E23*100)</f>
        <v>225.1625542896798</v>
      </c>
      <c r="F32" s="88">
        <f>IF(F19=0,0,F19/TrRail_act!F23*100)</f>
        <v>221.02354381902254</v>
      </c>
      <c r="G32" s="88">
        <f>IF(G19=0,0,G19/TrRail_act!G23*100)</f>
        <v>216.03862032092928</v>
      </c>
      <c r="H32" s="88">
        <f>IF(H19=0,0,H19/TrRail_act!H23*100)</f>
        <v>210.58175513114801</v>
      </c>
      <c r="I32" s="88">
        <f>IF(I19=0,0,I19/TrRail_act!I23*100)</f>
        <v>202.98828597852534</v>
      </c>
      <c r="J32" s="88">
        <f>IF(J19=0,0,J19/TrRail_act!J23*100)</f>
        <v>198.39173947358375</v>
      </c>
      <c r="K32" s="88">
        <f>IF(K19=0,0,K19/TrRail_act!K23*100)</f>
        <v>190.01437280627601</v>
      </c>
      <c r="L32" s="88">
        <f>IF(L19=0,0,L19/TrRail_act!L23*100)</f>
        <v>187.77751206520091</v>
      </c>
      <c r="M32" s="88">
        <f>IF(M19=0,0,M19/TrRail_act!M23*100)</f>
        <v>182.79887771514376</v>
      </c>
      <c r="N32" s="88">
        <f>IF(N19=0,0,N19/TrRail_act!N23*100)</f>
        <v>180.09248587912663</v>
      </c>
      <c r="O32" s="88">
        <f>IF(O19=0,0,O19/TrRail_act!O23*100)</f>
        <v>175.03284434972159</v>
      </c>
      <c r="P32" s="88">
        <f>IF(P19=0,0,P19/TrRail_act!P23*100)</f>
        <v>169.69257278135012</v>
      </c>
      <c r="Q32" s="88">
        <f>IF(Q19=0,0,Q19/TrRail_act!Q23*100)</f>
        <v>164.48620896349706</v>
      </c>
      <c r="R32" s="88">
        <f>IF(R19=0,0,R19/TrRail_act!R23*100)</f>
        <v>160.68653429842027</v>
      </c>
      <c r="S32" s="88">
        <f>IF(S19=0,0,S19/TrRail_act!S23*100)</f>
        <v>157.89449075815423</v>
      </c>
      <c r="T32" s="88">
        <f>IF(T19=0,0,T19/TrRail_act!T23*100)</f>
        <v>155.83234261346092</v>
      </c>
      <c r="U32" s="88">
        <f>IF(U19=0,0,U19/TrRail_act!U23*100)</f>
        <v>154.30342468519541</v>
      </c>
      <c r="V32" s="88">
        <f>IF(V19=0,0,V19/TrRail_act!V23*100)</f>
        <v>153.16658858023956</v>
      </c>
      <c r="W32" s="88">
        <f>IF(W19=0,0,W19/TrRail_act!W23*100)</f>
        <v>152.3194612933508</v>
      </c>
      <c r="X32" s="88">
        <f>IF(X19=0,0,X19/TrRail_act!X23*100)</f>
        <v>151.6871920030905</v>
      </c>
      <c r="Y32" s="88">
        <f>IF(Y19=0,0,Y19/TrRail_act!Y23*100)</f>
        <v>151.21471296565014</v>
      </c>
      <c r="DA32" s="178" t="s">
        <v>1121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DA34" s="172"/>
    </row>
    <row r="35" spans="1:105" ht="11.45" customHeight="1" x14ac:dyDescent="0.25">
      <c r="A35" s="27" t="s">
        <v>155</v>
      </c>
      <c r="B35" s="29">
        <f>IF(B11=0,0,B11/TrRail_act!B4*1000)</f>
        <v>26.352178216318269</v>
      </c>
      <c r="C35" s="29">
        <f>IF(C11=0,0,C11/TrRail_act!C4*1000)</f>
        <v>26.318629291789414</v>
      </c>
      <c r="D35" s="29">
        <f>IF(D11=0,0,D11/TrRail_act!D4*1000)</f>
        <v>21.463368653424435</v>
      </c>
      <c r="E35" s="29">
        <f>IF(E11=0,0,E11/TrRail_act!E4*1000)</f>
        <v>24.570813701676187</v>
      </c>
      <c r="F35" s="29">
        <f>IF(F11=0,0,F11/TrRail_act!F4*1000)</f>
        <v>27.081859531359026</v>
      </c>
      <c r="G35" s="29">
        <f>IF(G11=0,0,G11/TrRail_act!G4*1000)</f>
        <v>21.8754940207128</v>
      </c>
      <c r="H35" s="29">
        <f>IF(H11=0,0,H11/TrRail_act!H4*1000)</f>
        <v>21.323095285581054</v>
      </c>
      <c r="I35" s="29">
        <f>IF(I11=0,0,I11/TrRail_act!I4*1000)</f>
        <v>21.060278208140009</v>
      </c>
      <c r="J35" s="29">
        <f>IF(J11=0,0,J11/TrRail_act!J4*1000)</f>
        <v>23.20272329492893</v>
      </c>
      <c r="K35" s="29">
        <f>IF(K11=0,0,K11/TrRail_act!K4*1000)</f>
        <v>23.754516899341521</v>
      </c>
      <c r="L35" s="29">
        <f>IF(L11=0,0,L11/TrRail_act!L4*1000)</f>
        <v>23.593681277846954</v>
      </c>
      <c r="M35" s="29">
        <f>IF(M11=0,0,M11/TrRail_act!M4*1000)</f>
        <v>23.954868567178035</v>
      </c>
      <c r="N35" s="29">
        <f>IF(N11=0,0,N11/TrRail_act!N4*1000)</f>
        <v>24.0414506794754</v>
      </c>
      <c r="O35" s="29">
        <f>IF(O11=0,0,O11/TrRail_act!O4*1000)</f>
        <v>23.796257333706198</v>
      </c>
      <c r="P35" s="29">
        <f>IF(P11=0,0,P11/TrRail_act!P4*1000)</f>
        <v>19.835299032401526</v>
      </c>
      <c r="Q35" s="29">
        <f>IF(Q11=0,0,Q11/TrRail_act!Q4*1000)</f>
        <v>18.280475914929614</v>
      </c>
      <c r="R35" s="29">
        <f>IF(R11=0,0,R11/TrRail_act!R4*1000)</f>
        <v>18.059656295464492</v>
      </c>
      <c r="S35" s="29">
        <f>IF(S11=0,0,S11/TrRail_act!S4*1000)</f>
        <v>17.577658146507588</v>
      </c>
      <c r="T35" s="29">
        <f>IF(T11=0,0,T11/TrRail_act!T4*1000)</f>
        <v>15.961872067343377</v>
      </c>
      <c r="U35" s="29">
        <f>IF(U11=0,0,U11/TrRail_act!U4*1000)</f>
        <v>16.099889789078865</v>
      </c>
      <c r="V35" s="29">
        <f>IF(V11=0,0,V11/TrRail_act!V4*1000)</f>
        <v>36.821387632835233</v>
      </c>
      <c r="W35" s="29">
        <f>IF(W11=0,0,W11/TrRail_act!W4*1000)</f>
        <v>38.042542091844403</v>
      </c>
      <c r="X35" s="29">
        <f>IF(X11=0,0,X11/TrRail_act!X4*1000)</f>
        <v>21.399259063551952</v>
      </c>
      <c r="Y35" s="29">
        <f>IF(Y11=0,0,Y11/TrRail_act!Y4*1000)</f>
        <v>17.941137390521192</v>
      </c>
      <c r="DA35" s="173" t="s">
        <v>420</v>
      </c>
    </row>
    <row r="36" spans="1:105" ht="11.45" customHeight="1" x14ac:dyDescent="0.25">
      <c r="A36" s="107" t="s">
        <v>23</v>
      </c>
      <c r="B36" s="115">
        <f>IF(B12=0,0,B12/TrRail_act!B5*1000)</f>
        <v>0</v>
      </c>
      <c r="C36" s="115">
        <f>IF(C12=0,0,C12/TrRail_act!C5*1000)</f>
        <v>0</v>
      </c>
      <c r="D36" s="115">
        <f>IF(D12=0,0,D12/TrRail_act!D5*1000)</f>
        <v>0</v>
      </c>
      <c r="E36" s="115">
        <f>IF(E12=0,0,E12/TrRail_act!E5*1000)</f>
        <v>0</v>
      </c>
      <c r="F36" s="115">
        <f>IF(F12=0,0,F12/TrRail_act!F5*1000)</f>
        <v>6.0123575862409329</v>
      </c>
      <c r="G36" s="115">
        <f>IF(G12=0,0,G12/TrRail_act!G5*1000)</f>
        <v>5.858105647593276</v>
      </c>
      <c r="H36" s="115">
        <f>IF(H12=0,0,H12/TrRail_act!H5*1000)</f>
        <v>5.7855991695035307</v>
      </c>
      <c r="I36" s="115">
        <f>IF(I12=0,0,I12/TrRail_act!I5*1000)</f>
        <v>5.6316242445623823</v>
      </c>
      <c r="J36" s="115">
        <f>IF(J12=0,0,J12/TrRail_act!J5*1000)</f>
        <v>5.43588675876744</v>
      </c>
      <c r="K36" s="115">
        <f>IF(K12=0,0,K12/TrRail_act!K5*1000)</f>
        <v>5.7813263173298086</v>
      </c>
      <c r="L36" s="115">
        <f>IF(L12=0,0,L12/TrRail_act!L5*1000)</f>
        <v>5.7774654229249602</v>
      </c>
      <c r="M36" s="115">
        <f>IF(M12=0,0,M12/TrRail_act!M5*1000)</f>
        <v>5.6547733227549113</v>
      </c>
      <c r="N36" s="115">
        <f>IF(N12=0,0,N12/TrRail_act!N5*1000)</f>
        <v>5.5522962990915774</v>
      </c>
      <c r="O36" s="115">
        <f>IF(O12=0,0,O12/TrRail_act!O5*1000)</f>
        <v>5.4967317464796652</v>
      </c>
      <c r="P36" s="115">
        <f>IF(P12=0,0,P12/TrRail_act!P5*1000)</f>
        <v>5.1933462818608973</v>
      </c>
      <c r="Q36" s="115">
        <f>IF(Q12=0,0,Q12/TrRail_act!Q5*1000)</f>
        <v>4.9250509587836664</v>
      </c>
      <c r="R36" s="115">
        <f>IF(R12=0,0,R12/TrRail_act!R5*1000)</f>
        <v>4.7492732438775755</v>
      </c>
      <c r="S36" s="115">
        <f>IF(S12=0,0,S12/TrRail_act!S5*1000)</f>
        <v>4.6339173143045489</v>
      </c>
      <c r="T36" s="115">
        <f>IF(T12=0,0,T12/TrRail_act!T5*1000)</f>
        <v>4.1105456947463139</v>
      </c>
      <c r="U36" s="115">
        <f>IF(U12=0,0,U12/TrRail_act!U5*1000)</f>
        <v>4.0744824704712723</v>
      </c>
      <c r="V36" s="115">
        <f>IF(V12=0,0,V12/TrRail_act!V5*1000)</f>
        <v>9.0331838700507632</v>
      </c>
      <c r="W36" s="115">
        <f>IF(W12=0,0,W12/TrRail_act!W5*1000)</f>
        <v>9.0262260645361128</v>
      </c>
      <c r="X36" s="115">
        <f>IF(X12=0,0,X12/TrRail_act!X5*1000)</f>
        <v>5.139375862494755</v>
      </c>
      <c r="Y36" s="115">
        <f>IF(Y12=0,0,Y12/TrRail_act!Y5*1000)</f>
        <v>4.1486709045851917</v>
      </c>
      <c r="DA36" s="203" t="s">
        <v>421</v>
      </c>
    </row>
    <row r="37" spans="1:105" ht="11.45" customHeight="1" x14ac:dyDescent="0.25">
      <c r="A37" s="109" t="s">
        <v>24</v>
      </c>
      <c r="B37" s="116">
        <f>IF(B13=0,0,B13/TrRail_act!B6*1000)</f>
        <v>26.352178216318269</v>
      </c>
      <c r="C37" s="116">
        <f>IF(C13=0,0,C13/TrRail_act!C6*1000)</f>
        <v>26.318629291789414</v>
      </c>
      <c r="D37" s="116">
        <f>IF(D13=0,0,D13/TrRail_act!D6*1000)</f>
        <v>21.463368653424435</v>
      </c>
      <c r="E37" s="116">
        <f>IF(E13=0,0,E13/TrRail_act!E6*1000)</f>
        <v>24.570813701676187</v>
      </c>
      <c r="F37" s="116">
        <f>IF(F13=0,0,F13/TrRail_act!F6*1000)</f>
        <v>27.747772993594111</v>
      </c>
      <c r="G37" s="116">
        <f>IF(G13=0,0,G13/TrRail_act!G6*1000)</f>
        <v>22.864776851169371</v>
      </c>
      <c r="H37" s="116">
        <f>IF(H13=0,0,H13/TrRail_act!H6*1000)</f>
        <v>22.261902008705803</v>
      </c>
      <c r="I37" s="116">
        <f>IF(I13=0,0,I13/TrRail_act!I6*1000)</f>
        <v>22.405576884585489</v>
      </c>
      <c r="J37" s="116">
        <f>IF(J13=0,0,J13/TrRail_act!J6*1000)</f>
        <v>24.470498574078103</v>
      </c>
      <c r="K37" s="116">
        <f>IF(K13=0,0,K13/TrRail_act!K6*1000)</f>
        <v>25.164178905773813</v>
      </c>
      <c r="L37" s="116">
        <f>IF(L13=0,0,L13/TrRail_act!L6*1000)</f>
        <v>24.984577748046465</v>
      </c>
      <c r="M37" s="116">
        <f>IF(M13=0,0,M13/TrRail_act!M6*1000)</f>
        <v>25.496634833191703</v>
      </c>
      <c r="N37" s="116">
        <f>IF(N13=0,0,N13/TrRail_act!N6*1000)</f>
        <v>25.728673892894452</v>
      </c>
      <c r="O37" s="116">
        <f>IF(O13=0,0,O13/TrRail_act!O6*1000)</f>
        <v>25.543689762153807</v>
      </c>
      <c r="P37" s="116">
        <f>IF(P13=0,0,P13/TrRail_act!P6*1000)</f>
        <v>21.191653393667966</v>
      </c>
      <c r="Q37" s="116">
        <f>IF(Q13=0,0,Q13/TrRail_act!Q6*1000)</f>
        <v>19.531538607315273</v>
      </c>
      <c r="R37" s="116">
        <f>IF(R13=0,0,R13/TrRail_act!R6*1000)</f>
        <v>19.286727572982656</v>
      </c>
      <c r="S37" s="116">
        <f>IF(S13=0,0,S13/TrRail_act!S6*1000)</f>
        <v>18.70550366588191</v>
      </c>
      <c r="T37" s="116">
        <f>IF(T13=0,0,T13/TrRail_act!T6*1000)</f>
        <v>17.608899888524114</v>
      </c>
      <c r="U37" s="116">
        <f>IF(U13=0,0,U13/TrRail_act!U6*1000)</f>
        <v>17.628995735309804</v>
      </c>
      <c r="V37" s="116">
        <f>IF(V13=0,0,V13/TrRail_act!V6*1000)</f>
        <v>40.829958606913834</v>
      </c>
      <c r="W37" s="116">
        <f>IF(W13=0,0,W13/TrRail_act!W6*1000)</f>
        <v>42.099944257115752</v>
      </c>
      <c r="X37" s="116">
        <f>IF(X13=0,0,X13/TrRail_act!X6*1000)</f>
        <v>22.933536041669047</v>
      </c>
      <c r="Y37" s="116">
        <f>IF(Y13=0,0,Y13/TrRail_act!Y6*1000)</f>
        <v>19.213474511380305</v>
      </c>
      <c r="DA37" s="176" t="s">
        <v>422</v>
      </c>
    </row>
    <row r="38" spans="1:105" ht="11.45" customHeight="1" x14ac:dyDescent="0.25">
      <c r="A38" s="111" t="s">
        <v>92</v>
      </c>
      <c r="B38" s="87">
        <f>IF(B14=0,0,B14/TrRail_act!B7*1000)</f>
        <v>28.34511760474647</v>
      </c>
      <c r="C38" s="87">
        <f>IF(C14=0,0,C14/TrRail_act!C7*1000)</f>
        <v>28.138087509027716</v>
      </c>
      <c r="D38" s="87">
        <f>IF(D14=0,0,D14/TrRail_act!D7*1000)</f>
        <v>23.529772417716877</v>
      </c>
      <c r="E38" s="87">
        <f>IF(E14=0,0,E14/TrRail_act!E7*1000)</f>
        <v>26.890994801574365</v>
      </c>
      <c r="F38" s="87">
        <f>IF(F14=0,0,F14/TrRail_act!F7*1000)</f>
        <v>28.974101450946307</v>
      </c>
      <c r="G38" s="87">
        <f>IF(G14=0,0,G14/TrRail_act!G7*1000)</f>
        <v>22.709768809268684</v>
      </c>
      <c r="H38" s="87">
        <f>IF(H14=0,0,H14/TrRail_act!H7*1000)</f>
        <v>21.976193951891776</v>
      </c>
      <c r="I38" s="87">
        <f>IF(I14=0,0,I14/TrRail_act!I7*1000)</f>
        <v>21.30701199976836</v>
      </c>
      <c r="J38" s="87">
        <f>IF(J14=0,0,J14/TrRail_act!J7*1000)</f>
        <v>23.408188836983804</v>
      </c>
      <c r="K38" s="87">
        <f>IF(K14=0,0,K14/TrRail_act!K7*1000)</f>
        <v>24.582489854231714</v>
      </c>
      <c r="L38" s="87">
        <f>IF(L14=0,0,L14/TrRail_act!L7*1000)</f>
        <v>24.497986578612377</v>
      </c>
      <c r="M38" s="87">
        <f>IF(M14=0,0,M14/TrRail_act!M7*1000)</f>
        <v>24.73894636383924</v>
      </c>
      <c r="N38" s="87">
        <f>IF(N14=0,0,N14/TrRail_act!N7*1000)</f>
        <v>24.788910320229959</v>
      </c>
      <c r="O38" s="87">
        <f>IF(O14=0,0,O14/TrRail_act!O7*1000)</f>
        <v>24.710040933887473</v>
      </c>
      <c r="P38" s="87">
        <f>IF(P14=0,0,P14/TrRail_act!P7*1000)</f>
        <v>20.442218388374698</v>
      </c>
      <c r="Q38" s="87">
        <f>IF(Q14=0,0,Q14/TrRail_act!Q7*1000)</f>
        <v>18.640294717348556</v>
      </c>
      <c r="R38" s="87">
        <f>IF(R14=0,0,R14/TrRail_act!R7*1000)</f>
        <v>18.290240236515391</v>
      </c>
      <c r="S38" s="87">
        <f>IF(S14=0,0,S14/TrRail_act!S7*1000)</f>
        <v>17.675113323720378</v>
      </c>
      <c r="T38" s="87">
        <f>IF(T14=0,0,T14/TrRail_act!T7*1000)</f>
        <v>16.619088542591797</v>
      </c>
      <c r="U38" s="87">
        <f>IF(U14=0,0,U14/TrRail_act!U7*1000)</f>
        <v>16.59545357998514</v>
      </c>
      <c r="V38" s="87">
        <f>IF(V14=0,0,V14/TrRail_act!V7*1000)</f>
        <v>38.752765832742561</v>
      </c>
      <c r="W38" s="87">
        <f>IF(W14=0,0,W14/TrRail_act!W7*1000)</f>
        <v>40.07938297941142</v>
      </c>
      <c r="X38" s="87">
        <f>IF(X14=0,0,X14/TrRail_act!X7*1000)</f>
        <v>22.990159836357485</v>
      </c>
      <c r="Y38" s="87">
        <f>IF(Y14=0,0,Y14/TrRail_act!Y7*1000)</f>
        <v>19.306069190199388</v>
      </c>
      <c r="DA38" s="171" t="s">
        <v>1122</v>
      </c>
    </row>
    <row r="39" spans="1:105" ht="11.45" customHeight="1" x14ac:dyDescent="0.25">
      <c r="A39" s="111" t="s">
        <v>93</v>
      </c>
      <c r="B39" s="87">
        <f>IF(B15=0,0,B15/TrRail_act!B8*1000)</f>
        <v>12.664054960600339</v>
      </c>
      <c r="C39" s="87">
        <f>IF(C15=0,0,C15/TrRail_act!C8*1000)</f>
        <v>12.60105629732063</v>
      </c>
      <c r="D39" s="87">
        <f>IF(D15=0,0,D15/TrRail_act!D8*1000)</f>
        <v>8.6514836464636442</v>
      </c>
      <c r="E39" s="87">
        <f>IF(E15=0,0,E15/TrRail_act!E8*1000)</f>
        <v>9.2827223470302016</v>
      </c>
      <c r="F39" s="87">
        <f>IF(F15=0,0,F15/TrRail_act!F8*1000)</f>
        <v>19.41031187427415</v>
      </c>
      <c r="G39" s="87">
        <f>IF(G15=0,0,G15/TrRail_act!G8*1000)</f>
        <v>24.264738601182206</v>
      </c>
      <c r="H39" s="87">
        <f>IF(H15=0,0,H15/TrRail_act!H8*1000)</f>
        <v>25.23356026404176</v>
      </c>
      <c r="I39" s="87">
        <f>IF(I15=0,0,I15/TrRail_act!I8*1000)</f>
        <v>61.787181568066082</v>
      </c>
      <c r="J39" s="87">
        <f>IF(J15=0,0,J15/TrRail_act!J8*1000)</f>
        <v>51.334976371562661</v>
      </c>
      <c r="K39" s="87">
        <f>IF(K15=0,0,K15/TrRail_act!K8*1000)</f>
        <v>36.065157398953275</v>
      </c>
      <c r="L39" s="87">
        <f>IF(L15=0,0,L15/TrRail_act!L8*1000)</f>
        <v>33.102084711663593</v>
      </c>
      <c r="M39" s="87">
        <f>IF(M15=0,0,M15/TrRail_act!M8*1000)</f>
        <v>41.258314160307648</v>
      </c>
      <c r="N39" s="87">
        <f>IF(N15=0,0,N15/TrRail_act!N8*1000)</f>
        <v>48.244586376717614</v>
      </c>
      <c r="O39" s="87">
        <f>IF(O15=0,0,O15/TrRail_act!O8*1000)</f>
        <v>47.054674602191248</v>
      </c>
      <c r="P39" s="87">
        <f>IF(P15=0,0,P15/TrRail_act!P8*1000)</f>
        <v>42.270338456080545</v>
      </c>
      <c r="Q39" s="87">
        <f>IF(Q15=0,0,Q15/TrRail_act!Q8*1000)</f>
        <v>53.41318788163624</v>
      </c>
      <c r="R39" s="87">
        <f>IF(R15=0,0,R15/TrRail_act!R8*1000)</f>
        <v>56.192977562026051</v>
      </c>
      <c r="S39" s="87">
        <f>IF(S15=0,0,S15/TrRail_act!S8*1000)</f>
        <v>63.711129525671787</v>
      </c>
      <c r="T39" s="87">
        <f>IF(T15=0,0,T15/TrRail_act!T8*1000)</f>
        <v>68.214869149229401</v>
      </c>
      <c r="U39" s="87">
        <f>IF(U15=0,0,U15/TrRail_act!U8*1000)</f>
        <v>73.898930928909209</v>
      </c>
      <c r="V39" s="87">
        <f>IF(V15=0,0,V15/TrRail_act!V8*1000)</f>
        <v>90.108008954211527</v>
      </c>
      <c r="W39" s="87">
        <f>IF(W15=0,0,W15/TrRail_act!W8*1000)</f>
        <v>92.223974688844919</v>
      </c>
      <c r="X39" s="87">
        <f>IF(X15=0,0,X15/TrRail_act!X8*1000)</f>
        <v>22.323683676324528</v>
      </c>
      <c r="Y39" s="87">
        <f>IF(Y15=0,0,Y15/TrRail_act!Y8*1000)</f>
        <v>18.252076100635136</v>
      </c>
      <c r="DA39" s="171" t="s">
        <v>1123</v>
      </c>
    </row>
    <row r="40" spans="1:105" ht="11.45" customHeight="1" x14ac:dyDescent="0.25">
      <c r="A40" s="112" t="s">
        <v>25</v>
      </c>
      <c r="B40" s="117">
        <f>IF(B16=0,0,B16/TrRail_act!B9*1000)</f>
        <v>0</v>
      </c>
      <c r="C40" s="117">
        <f>IF(C16=0,0,C16/TrRail_act!C9*1000)</f>
        <v>0</v>
      </c>
      <c r="D40" s="117">
        <f>IF(D16=0,0,D16/TrRail_act!D9*1000)</f>
        <v>0</v>
      </c>
      <c r="E40" s="117">
        <f>IF(E16=0,0,E16/TrRail_act!E9*1000)</f>
        <v>0</v>
      </c>
      <c r="F40" s="117">
        <f>IF(F16=0,0,F16/TrRail_act!F9*1000)</f>
        <v>0</v>
      </c>
      <c r="G40" s="117">
        <f>IF(G16=0,0,G16/TrRail_act!G9*1000)</f>
        <v>0</v>
      </c>
      <c r="H40" s="117">
        <f>IF(H16=0,0,H16/TrRail_act!H9*1000)</f>
        <v>0</v>
      </c>
      <c r="I40" s="117">
        <f>IF(I16=0,0,I16/TrRail_act!I9*1000)</f>
        <v>0</v>
      </c>
      <c r="J40" s="117">
        <f>IF(J16=0,0,J16/TrRail_act!J9*1000)</f>
        <v>0</v>
      </c>
      <c r="K40" s="117">
        <f>IF(K16=0,0,K16/TrRail_act!K9*1000)</f>
        <v>0</v>
      </c>
      <c r="L40" s="117">
        <f>IF(L16=0,0,L16/TrRail_act!L9*1000)</f>
        <v>0</v>
      </c>
      <c r="M40" s="117">
        <f>IF(M16=0,0,M16/TrRail_act!M9*1000)</f>
        <v>0</v>
      </c>
      <c r="N40" s="117">
        <f>IF(N16=0,0,N16/TrRail_act!N9*1000)</f>
        <v>0</v>
      </c>
      <c r="O40" s="117">
        <f>IF(O16=0,0,O16/TrRail_act!O9*1000)</f>
        <v>0</v>
      </c>
      <c r="P40" s="117">
        <f>IF(P16=0,0,P16/TrRail_act!P9*1000)</f>
        <v>0</v>
      </c>
      <c r="Q40" s="117">
        <f>IF(Q16=0,0,Q16/TrRail_act!Q9*1000)</f>
        <v>0</v>
      </c>
      <c r="R40" s="117">
        <f>IF(R16=0,0,R16/TrRail_act!R9*1000)</f>
        <v>0</v>
      </c>
      <c r="S40" s="117">
        <f>IF(S16=0,0,S16/TrRail_act!S9*1000)</f>
        <v>0</v>
      </c>
      <c r="T40" s="117">
        <f>IF(T16=0,0,T16/TrRail_act!T9*1000)</f>
        <v>0</v>
      </c>
      <c r="U40" s="117">
        <f>IF(U16=0,0,U16/TrRail_act!U9*1000)</f>
        <v>0</v>
      </c>
      <c r="V40" s="117">
        <f>IF(V16=0,0,V16/TrRail_act!V9*1000)</f>
        <v>0</v>
      </c>
      <c r="W40" s="117">
        <f>IF(W16=0,0,W16/TrRail_act!W9*1000)</f>
        <v>0</v>
      </c>
      <c r="X40" s="117">
        <f>IF(X16=0,0,X16/TrRail_act!X9*1000)</f>
        <v>0</v>
      </c>
      <c r="Y40" s="117">
        <f>IF(Y16=0,0,Y16/TrRail_act!Y9*1000)</f>
        <v>0</v>
      </c>
      <c r="DA40" s="204" t="s">
        <v>423</v>
      </c>
    </row>
    <row r="41" spans="1:105" ht="11.45" customHeight="1" x14ac:dyDescent="0.25">
      <c r="A41" s="27" t="s">
        <v>156</v>
      </c>
      <c r="B41" s="29">
        <f>IF(B17=0,0,B17/TrRail_act!B10*1000)</f>
        <v>11.734710330422155</v>
      </c>
      <c r="C41" s="29">
        <f>IF(C17=0,0,C17/TrRail_act!C10*1000)</f>
        <v>11.942221587577725</v>
      </c>
      <c r="D41" s="29">
        <f>IF(D17=0,0,D17/TrRail_act!D10*1000)</f>
        <v>12.522920068460014</v>
      </c>
      <c r="E41" s="29">
        <f>IF(E17=0,0,E17/TrRail_act!E10*1000)</f>
        <v>12.410189398380309</v>
      </c>
      <c r="F41" s="29">
        <f>IF(F17=0,0,F17/TrRail_act!F10*1000)</f>
        <v>11.891287332105096</v>
      </c>
      <c r="G41" s="29">
        <f>IF(G17=0,0,G17/TrRail_act!G10*1000)</f>
        <v>11.603630244830903</v>
      </c>
      <c r="H41" s="29">
        <f>IF(H17=0,0,H17/TrRail_act!H10*1000)</f>
        <v>11.496482601411598</v>
      </c>
      <c r="I41" s="29">
        <f>IF(I17=0,0,I17/TrRail_act!I10*1000)</f>
        <v>11.561572521360658</v>
      </c>
      <c r="J41" s="29">
        <f>IF(J17=0,0,J17/TrRail_act!J10*1000)</f>
        <v>11.330321269323701</v>
      </c>
      <c r="K41" s="29">
        <f>IF(K17=0,0,K17/TrRail_act!K10*1000)</f>
        <v>9.9132184943939574</v>
      </c>
      <c r="L41" s="29">
        <f>IF(L17=0,0,L17/TrRail_act!L10*1000)</f>
        <v>10.597896659874815</v>
      </c>
      <c r="M41" s="29">
        <f>IF(M17=0,0,M17/TrRail_act!M10*1000)</f>
        <v>10.627739695504774</v>
      </c>
      <c r="N41" s="29">
        <f>IF(N17=0,0,N17/TrRail_act!N10*1000)</f>
        <v>10.229543757846164</v>
      </c>
      <c r="O41" s="29">
        <f>IF(O17=0,0,O17/TrRail_act!O10*1000)</f>
        <v>10.078813350731501</v>
      </c>
      <c r="P41" s="29">
        <f>IF(P17=0,0,P17/TrRail_act!P10*1000)</f>
        <v>10.457254401237087</v>
      </c>
      <c r="Q41" s="29">
        <f>IF(Q17=0,0,Q17/TrRail_act!Q10*1000)</f>
        <v>10.335869920871142</v>
      </c>
      <c r="R41" s="29">
        <f>IF(R17=0,0,R17/TrRail_act!R10*1000)</f>
        <v>10.226488178387742</v>
      </c>
      <c r="S41" s="29">
        <f>IF(S17=0,0,S17/TrRail_act!S10*1000)</f>
        <v>10.002422830292543</v>
      </c>
      <c r="T41" s="29">
        <f>IF(T17=0,0,T17/TrRail_act!T10*1000)</f>
        <v>9.904823414800406</v>
      </c>
      <c r="U41" s="29">
        <f>IF(U17=0,0,U17/TrRail_act!U10*1000)</f>
        <v>10.168178910545718</v>
      </c>
      <c r="V41" s="29">
        <f>IF(V17=0,0,V17/TrRail_act!V10*1000)</f>
        <v>9.7882868733283779</v>
      </c>
      <c r="W41" s="29">
        <f>IF(W17=0,0,W17/TrRail_act!W10*1000)</f>
        <v>11.476433044849481</v>
      </c>
      <c r="X41" s="29">
        <f>IF(X17=0,0,X17/TrRail_act!X10*1000)</f>
        <v>19.909113496080362</v>
      </c>
      <c r="Y41" s="29">
        <f>IF(Y17=0,0,Y17/TrRail_act!Y10*1000)</f>
        <v>11.449980885097073</v>
      </c>
      <c r="DA41" s="173" t="s">
        <v>428</v>
      </c>
    </row>
    <row r="42" spans="1:105" ht="11.45" customHeight="1" x14ac:dyDescent="0.25">
      <c r="A42" s="83" t="s">
        <v>92</v>
      </c>
      <c r="B42" s="87">
        <f>IF(B18=0,0,B18/TrRail_act!B11*1000)</f>
        <v>11.734710330422155</v>
      </c>
      <c r="C42" s="87">
        <f>IF(C18=0,0,C18/TrRail_act!C11*1000)</f>
        <v>11.942221587577725</v>
      </c>
      <c r="D42" s="87">
        <f>IF(D18=0,0,D18/TrRail_act!D11*1000)</f>
        <v>12.587049730611076</v>
      </c>
      <c r="E42" s="87">
        <f>IF(E18=0,0,E18/TrRail_act!E11*1000)</f>
        <v>12.475014948383354</v>
      </c>
      <c r="F42" s="87">
        <f>IF(F18=0,0,F18/TrRail_act!F11*1000)</f>
        <v>12.253391539720411</v>
      </c>
      <c r="G42" s="87">
        <f>IF(G18=0,0,G18/TrRail_act!G11*1000)</f>
        <v>12.129392485158538</v>
      </c>
      <c r="H42" s="87">
        <f>IF(H18=0,0,H18/TrRail_act!H11*1000)</f>
        <v>11.996991415444661</v>
      </c>
      <c r="I42" s="87">
        <f>IF(I18=0,0,I18/TrRail_act!I11*1000)</f>
        <v>11.953184573242455</v>
      </c>
      <c r="J42" s="87">
        <f>IF(J18=0,0,J18/TrRail_act!J11*1000)</f>
        <v>11.719070425153131</v>
      </c>
      <c r="K42" s="87">
        <f>IF(K18=0,0,K18/TrRail_act!K11*1000)</f>
        <v>10.232179696101408</v>
      </c>
      <c r="L42" s="87">
        <f>IF(L18=0,0,L18/TrRail_act!L11*1000)</f>
        <v>10.953535884449041</v>
      </c>
      <c r="M42" s="87">
        <f>IF(M18=0,0,M18/TrRail_act!M11*1000)</f>
        <v>10.986274381869956</v>
      </c>
      <c r="N42" s="87">
        <f>IF(N18=0,0,N18/TrRail_act!N11*1000)</f>
        <v>10.589100622425029</v>
      </c>
      <c r="O42" s="87">
        <f>IF(O18=0,0,O18/TrRail_act!O11*1000)</f>
        <v>10.399278359588308</v>
      </c>
      <c r="P42" s="87">
        <f>IF(P18=0,0,P18/TrRail_act!P11*1000)</f>
        <v>10.804000702911182</v>
      </c>
      <c r="Q42" s="87">
        <f>IF(Q18=0,0,Q18/TrRail_act!Q11*1000)</f>
        <v>10.699669974189053</v>
      </c>
      <c r="R42" s="87">
        <f>IF(R18=0,0,R18/TrRail_act!R11*1000)</f>
        <v>10.627029118571789</v>
      </c>
      <c r="S42" s="87">
        <f>IF(S18=0,0,S18/TrRail_act!S11*1000)</f>
        <v>10.388352835157336</v>
      </c>
      <c r="T42" s="87">
        <f>IF(T18=0,0,T18/TrRail_act!T11*1000)</f>
        <v>10.342101931304759</v>
      </c>
      <c r="U42" s="87">
        <f>IF(U18=0,0,U18/TrRail_act!U11*1000)</f>
        <v>10.639483950318512</v>
      </c>
      <c r="V42" s="87">
        <f>IF(V18=0,0,V18/TrRail_act!V11*1000)</f>
        <v>10.346627756445161</v>
      </c>
      <c r="W42" s="87">
        <f>IF(W18=0,0,W18/TrRail_act!W11*1000)</f>
        <v>12.084274971727009</v>
      </c>
      <c r="X42" s="87">
        <f>IF(X18=0,0,X18/TrRail_act!X11*1000)</f>
        <v>20.813853548081013</v>
      </c>
      <c r="Y42" s="87">
        <f>IF(Y18=0,0,Y18/TrRail_act!Y11*1000)</f>
        <v>11.976023831578777</v>
      </c>
      <c r="DA42" s="171" t="s">
        <v>1124</v>
      </c>
    </row>
    <row r="43" spans="1:105" ht="11.45" customHeight="1" x14ac:dyDescent="0.25">
      <c r="A43" s="85" t="s">
        <v>93</v>
      </c>
      <c r="B43" s="88">
        <f>IF(B19=0,0,B19/TrRail_act!B12*1000)</f>
        <v>0</v>
      </c>
      <c r="C43" s="88">
        <f>IF(C19=0,0,C19/TrRail_act!C12*1000)</f>
        <v>0</v>
      </c>
      <c r="D43" s="88">
        <f>IF(D19=0,0,D19/TrRail_act!D12*1000)</f>
        <v>5.5391998602092105</v>
      </c>
      <c r="E43" s="88">
        <f>IF(E19=0,0,E19/TrRail_act!E12*1000)</f>
        <v>5.3506870030488347</v>
      </c>
      <c r="F43" s="88">
        <f>IF(F19=0,0,F19/TrRail_act!F12*1000)</f>
        <v>5.1327239744076714</v>
      </c>
      <c r="G43" s="88">
        <f>IF(G19=0,0,G19/TrRail_act!G12*1000)</f>
        <v>5.0107823805653489</v>
      </c>
      <c r="H43" s="88">
        <f>IF(H19=0,0,H19/TrRail_act!H12*1000)</f>
        <v>4.8590791877591482</v>
      </c>
      <c r="I43" s="88">
        <f>IF(I19=0,0,I19/TrRail_act!I12*1000)</f>
        <v>4.749138246793013</v>
      </c>
      <c r="J43" s="88">
        <f>IF(J19=0,0,J19/TrRail_act!J12*1000)</f>
        <v>4.5774309275605214</v>
      </c>
      <c r="K43" s="88">
        <f>IF(K19=0,0,K19/TrRail_act!K12*1000)</f>
        <v>3.8469069243860323</v>
      </c>
      <c r="L43" s="88">
        <f>IF(L19=0,0,L19/TrRail_act!L12*1000)</f>
        <v>4.0906692469586297</v>
      </c>
      <c r="M43" s="88">
        <f>IF(M19=0,0,M19/TrRail_act!M12*1000)</f>
        <v>4.0201718122910677</v>
      </c>
      <c r="N43" s="88">
        <f>IF(N19=0,0,N19/TrRail_act!N12*1000)</f>
        <v>3.8545973161915752</v>
      </c>
      <c r="O43" s="88">
        <f>IF(O19=0,0,O19/TrRail_act!O12*1000)</f>
        <v>3.735659223870718</v>
      </c>
      <c r="P43" s="88">
        <f>IF(P19=0,0,P19/TrRail_act!P12*1000)</f>
        <v>3.7890489977794322</v>
      </c>
      <c r="Q43" s="88">
        <f>IF(Q19=0,0,Q19/TrRail_act!Q12*1000)</f>
        <v>3.6750532623299454</v>
      </c>
      <c r="R43" s="88">
        <f>IF(R19=0,0,R19/TrRail_act!R12*1000)</f>
        <v>3.593392951868835</v>
      </c>
      <c r="S43" s="88">
        <f>IF(S19=0,0,S19/TrRail_act!S12*1000)</f>
        <v>3.4716762684252669</v>
      </c>
      <c r="T43" s="88">
        <f>IF(T19=0,0,T19/TrRail_act!T12*1000)</f>
        <v>3.4259112736360771</v>
      </c>
      <c r="U43" s="88">
        <f>IF(U19=0,0,U19/TrRail_act!U12*1000)</f>
        <v>3.5012162566437564</v>
      </c>
      <c r="V43" s="88">
        <f>IF(V19=0,0,V19/TrRail_act!V12*1000)</f>
        <v>3.3880163988775696</v>
      </c>
      <c r="W43" s="88">
        <f>IF(W19=0,0,W19/TrRail_act!W12*1000)</f>
        <v>3.9391167288926785</v>
      </c>
      <c r="X43" s="88">
        <f>IF(X19=0,0,X19/TrRail_act!X12*1000)</f>
        <v>6.6990455100316044</v>
      </c>
      <c r="Y43" s="88">
        <f>IF(Y19=0,0,Y19/TrRail_act!Y12*1000)</f>
        <v>3.9073976039185081</v>
      </c>
      <c r="DA43" s="178" t="s">
        <v>1125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518001.00446663296</v>
      </c>
      <c r="C45" s="54">
        <f>IF(C10=0,0,1000000*C10/TrRail_act!C25)</f>
        <v>515034.25492164749</v>
      </c>
      <c r="D45" s="54">
        <f>IF(D10=0,0,1000000*D10/TrRail_act!D25)</f>
        <v>488997.73311219399</v>
      </c>
      <c r="E45" s="54">
        <f>IF(E10=0,0,1000000*E10/TrRail_act!E25)</f>
        <v>479089.73232575442</v>
      </c>
      <c r="F45" s="54">
        <f>IF(F10=0,0,1000000*F10/TrRail_act!F25)</f>
        <v>439006.91521776537</v>
      </c>
      <c r="G45" s="54">
        <f>IF(G10=0,0,1000000*G10/TrRail_act!G25)</f>
        <v>389795.96781944804</v>
      </c>
      <c r="H45" s="54">
        <f>IF(H10=0,0,1000000*H10/TrRail_act!H25)</f>
        <v>377564.79216084507</v>
      </c>
      <c r="I45" s="54">
        <f>IF(I10=0,0,1000000*I10/TrRail_act!I25)</f>
        <v>345890.32715440413</v>
      </c>
      <c r="J45" s="54">
        <f>IF(J10=0,0,1000000*J10/TrRail_act!J25)</f>
        <v>346996.01099334948</v>
      </c>
      <c r="K45" s="54">
        <f>IF(K10=0,0,1000000*K10/TrRail_act!K25)</f>
        <v>318273.8717162403</v>
      </c>
      <c r="L45" s="54">
        <f>IF(L10=0,0,1000000*L10/TrRail_act!L25)</f>
        <v>312622.73810874723</v>
      </c>
      <c r="M45" s="54">
        <f>IF(M10=0,0,1000000*M10/TrRail_act!M25)</f>
        <v>303578.9797983428</v>
      </c>
      <c r="N45" s="54">
        <f>IF(N10=0,0,1000000*N10/TrRail_act!N25)</f>
        <v>286200.33338728466</v>
      </c>
      <c r="O45" s="54">
        <f>IF(O10=0,0,1000000*O10/TrRail_act!O25)</f>
        <v>284686.75149684021</v>
      </c>
      <c r="P45" s="54">
        <f>IF(P10=0,0,1000000*P10/TrRail_act!P25)</f>
        <v>275877.65004731098</v>
      </c>
      <c r="Q45" s="54">
        <f>IF(Q10=0,0,1000000*Q10/TrRail_act!Q25)</f>
        <v>257207.2867346945</v>
      </c>
      <c r="R45" s="54">
        <f>IF(R10=0,0,1000000*R10/TrRail_act!R25)</f>
        <v>244404.65298707614</v>
      </c>
      <c r="S45" s="54">
        <f>IF(S10=0,0,1000000*S10/TrRail_act!S25)</f>
        <v>235249.1963322674</v>
      </c>
      <c r="T45" s="54">
        <f>IF(T10=0,0,1000000*T10/TrRail_act!T25)</f>
        <v>216944.12493503766</v>
      </c>
      <c r="U45" s="54">
        <f>IF(U10=0,0,1000000*U10/TrRail_act!U25)</f>
        <v>212699.57906180303</v>
      </c>
      <c r="V45" s="54">
        <f>IF(V10=0,0,1000000*V10/TrRail_act!V25)</f>
        <v>178857.67724749868</v>
      </c>
      <c r="W45" s="54">
        <f>IF(W10=0,0,1000000*W10/TrRail_act!W25)</f>
        <v>198656.91481068401</v>
      </c>
      <c r="X45" s="54">
        <f>IF(X10=0,0,1000000*X10/TrRail_act!X25)</f>
        <v>204994.51119734257</v>
      </c>
      <c r="Y45" s="54">
        <f>IF(Y10=0,0,1000000*Y10/TrRail_act!Y25)</f>
        <v>202208.14950240887</v>
      </c>
      <c r="DA45" s="172" t="s">
        <v>1126</v>
      </c>
    </row>
    <row r="46" spans="1:105" ht="11.45" customHeight="1" x14ac:dyDescent="0.25">
      <c r="A46" s="27" t="s">
        <v>33</v>
      </c>
      <c r="B46" s="28">
        <f>IF(B11=0,0,1000000*B11/TrRail_act!B26)</f>
        <v>476175.11699838378</v>
      </c>
      <c r="C46" s="28">
        <f>IF(C11=0,0,1000000*C11/TrRail_act!C26)</f>
        <v>473457.93340549973</v>
      </c>
      <c r="D46" s="28">
        <f>IF(D11=0,0,1000000*D11/TrRail_act!D26)</f>
        <v>450028.10962776287</v>
      </c>
      <c r="E46" s="28">
        <f>IF(E11=0,0,1000000*E11/TrRail_act!E26)</f>
        <v>446062.97561892006</v>
      </c>
      <c r="F46" s="28">
        <f>IF(F11=0,0,1000000*F11/TrRail_act!F26)</f>
        <v>412100.25340302777</v>
      </c>
      <c r="G46" s="28">
        <f>IF(G11=0,0,1000000*G11/TrRail_act!G26)</f>
        <v>371410.77156557504</v>
      </c>
      <c r="H46" s="28">
        <f>IF(H11=0,0,1000000*H11/TrRail_act!H26)</f>
        <v>367829.94800567348</v>
      </c>
      <c r="I46" s="28">
        <f>IF(I11=0,0,1000000*I11/TrRail_act!I26)</f>
        <v>341956.0823693088</v>
      </c>
      <c r="J46" s="28">
        <f>IF(J11=0,0,1000000*J11/TrRail_act!J26)</f>
        <v>344389.29477445787</v>
      </c>
      <c r="K46" s="28">
        <f>IF(K11=0,0,1000000*K11/TrRail_act!K26)</f>
        <v>316729.60266146529</v>
      </c>
      <c r="L46" s="28">
        <f>IF(L11=0,0,1000000*L11/TrRail_act!L26)</f>
        <v>308531.67819070508</v>
      </c>
      <c r="M46" s="28">
        <f>IF(M11=0,0,1000000*M11/TrRail_act!M26)</f>
        <v>298424.08852876915</v>
      </c>
      <c r="N46" s="28">
        <f>IF(N11=0,0,1000000*N11/TrRail_act!N26)</f>
        <v>281999.06877642806</v>
      </c>
      <c r="O46" s="28">
        <f>IF(O11=0,0,1000000*O11/TrRail_act!O26)</f>
        <v>280141.24531266687</v>
      </c>
      <c r="P46" s="28">
        <f>IF(P11=0,0,1000000*P11/TrRail_act!P26)</f>
        <v>270759.26916744583</v>
      </c>
      <c r="Q46" s="28">
        <f>IF(Q11=0,0,1000000*Q11/TrRail_act!Q26)</f>
        <v>252675.73421041519</v>
      </c>
      <c r="R46" s="28">
        <f>IF(R11=0,0,1000000*R11/TrRail_act!R26)</f>
        <v>239927.55844082078</v>
      </c>
      <c r="S46" s="28">
        <f>IF(S11=0,0,1000000*S11/TrRail_act!S26)</f>
        <v>231160.72557099411</v>
      </c>
      <c r="T46" s="28">
        <f>IF(T11=0,0,1000000*T11/TrRail_act!T26)</f>
        <v>213624.13333056096</v>
      </c>
      <c r="U46" s="28">
        <f>IF(U11=0,0,1000000*U11/TrRail_act!U26)</f>
        <v>210144.2151122824</v>
      </c>
      <c r="V46" s="28">
        <f>IF(V11=0,0,1000000*V11/TrRail_act!V26)</f>
        <v>176074.09621583085</v>
      </c>
      <c r="W46" s="28">
        <f>IF(W11=0,0,1000000*W11/TrRail_act!W26)</f>
        <v>195544.76478271134</v>
      </c>
      <c r="X46" s="28">
        <f>IF(X11=0,0,1000000*X11/TrRail_act!X26)</f>
        <v>198948.09241097941</v>
      </c>
      <c r="Y46" s="28">
        <f>IF(Y11=0,0,1000000*Y11/TrRail_act!Y26)</f>
        <v>199448.09376822613</v>
      </c>
      <c r="DA46" s="173" t="s">
        <v>1127</v>
      </c>
    </row>
    <row r="47" spans="1:105" ht="11.45" customHeight="1" x14ac:dyDescent="0.25">
      <c r="A47" s="107" t="s">
        <v>23</v>
      </c>
      <c r="B47" s="108">
        <f>IF(B12=0,0,1000000*B12/TrRail_act!B27)</f>
        <v>0</v>
      </c>
      <c r="C47" s="108">
        <f>IF(C12=0,0,1000000*C12/TrRail_act!C27)</f>
        <v>0</v>
      </c>
      <c r="D47" s="108">
        <f>IF(D12=0,0,1000000*D12/TrRail_act!D27)</f>
        <v>0</v>
      </c>
      <c r="E47" s="108">
        <f>IF(E12=0,0,1000000*E12/TrRail_act!E27)</f>
        <v>0</v>
      </c>
      <c r="F47" s="108">
        <f>IF(F12=0,0,1000000*F12/TrRail_act!F27)</f>
        <v>52099.05984849306</v>
      </c>
      <c r="G47" s="108">
        <f>IF(G12=0,0,1000000*G12/TrRail_act!G27)</f>
        <v>50834.337798035194</v>
      </c>
      <c r="H47" s="108">
        <f>IF(H12=0,0,1000000*H12/TrRail_act!H27)</f>
        <v>50295.955141194419</v>
      </c>
      <c r="I47" s="108">
        <f>IF(I12=0,0,1000000*I12/TrRail_act!I27)</f>
        <v>48564.822264515336</v>
      </c>
      <c r="J47" s="108">
        <f>IF(J12=0,0,1000000*J12/TrRail_act!J27)</f>
        <v>37769.357631993989</v>
      </c>
      <c r="K47" s="108">
        <f>IF(K12=0,0,1000000*K12/TrRail_act!K27)</f>
        <v>37605.511424879573</v>
      </c>
      <c r="L47" s="108">
        <f>IF(L12=0,0,1000000*L12/TrRail_act!L27)</f>
        <v>37295.697671062342</v>
      </c>
      <c r="M47" s="108">
        <f>IF(M12=0,0,1000000*M12/TrRail_act!M27)</f>
        <v>38454.25234627835</v>
      </c>
      <c r="N47" s="108">
        <f>IF(N12=0,0,1000000*N12/TrRail_act!N27)</f>
        <v>39399.001125510993</v>
      </c>
      <c r="O47" s="108">
        <f>IF(O12=0,0,1000000*O12/TrRail_act!O27)</f>
        <v>40582.437796377126</v>
      </c>
      <c r="P47" s="108">
        <f>IF(P12=0,0,1000000*P12/TrRail_act!P27)</f>
        <v>40965.218132516835</v>
      </c>
      <c r="Q47" s="108">
        <f>IF(Q12=0,0,1000000*Q12/TrRail_act!Q27)</f>
        <v>40920.27039278247</v>
      </c>
      <c r="R47" s="108">
        <f>IF(R12=0,0,1000000*R12/TrRail_act!R27)</f>
        <v>40293.233063515443</v>
      </c>
      <c r="S47" s="108">
        <f>IF(S12=0,0,1000000*S12/TrRail_act!S27)</f>
        <v>39603.897876575822</v>
      </c>
      <c r="T47" s="108">
        <f>IF(T12=0,0,1000000*T12/TrRail_act!T27)</f>
        <v>39484.804994817045</v>
      </c>
      <c r="U47" s="108">
        <f>IF(U12=0,0,1000000*U12/TrRail_act!U27)</f>
        <v>37662.724912641504</v>
      </c>
      <c r="V47" s="108">
        <f>IF(V12=0,0,1000000*V12/TrRail_act!V27)</f>
        <v>32931.177406163573</v>
      </c>
      <c r="W47" s="108">
        <f>IF(W12=0,0,1000000*W12/TrRail_act!W27)</f>
        <v>33273.807353209071</v>
      </c>
      <c r="X47" s="108">
        <f>IF(X12=0,0,1000000*X12/TrRail_act!X27)</f>
        <v>25686.764882715084</v>
      </c>
      <c r="Y47" s="108">
        <f>IF(Y12=0,0,1000000*Y12/TrRail_act!Y27)</f>
        <v>25918.987283922717</v>
      </c>
      <c r="DA47" s="203" t="s">
        <v>1128</v>
      </c>
    </row>
    <row r="48" spans="1:105" ht="11.45" customHeight="1" x14ac:dyDescent="0.25">
      <c r="A48" s="109" t="s">
        <v>24</v>
      </c>
      <c r="B48" s="110">
        <f>IF(B13=0,0,1000000*B13/TrRail_act!B28)</f>
        <v>476175.11699838378</v>
      </c>
      <c r="C48" s="110">
        <f>IF(C13=0,0,1000000*C13/TrRail_act!C28)</f>
        <v>473457.93340549973</v>
      </c>
      <c r="D48" s="110">
        <f>IF(D13=0,0,1000000*D13/TrRail_act!D28)</f>
        <v>450028.10962776287</v>
      </c>
      <c r="E48" s="110">
        <f>IF(E13=0,0,1000000*E13/TrRail_act!E28)</f>
        <v>446062.97561892006</v>
      </c>
      <c r="F48" s="110">
        <f>IF(F13=0,0,1000000*F13/TrRail_act!F28)</f>
        <v>432569.90991851175</v>
      </c>
      <c r="G48" s="110">
        <f>IF(G13=0,0,1000000*G13/TrRail_act!G28)</f>
        <v>412583.03966403601</v>
      </c>
      <c r="H48" s="110">
        <f>IF(H13=0,0,1000000*H13/TrRail_act!H28)</f>
        <v>408308.69144458126</v>
      </c>
      <c r="I48" s="110">
        <f>IF(I13=0,0,1000000*I13/TrRail_act!I28)</f>
        <v>394141.02719649847</v>
      </c>
      <c r="J48" s="110">
        <f>IF(J13=0,0,1000000*J13/TrRail_act!J28)</f>
        <v>395251.35052087758</v>
      </c>
      <c r="K48" s="110">
        <f>IF(K13=0,0,1000000*K13/TrRail_act!K28)</f>
        <v>365631.27272081707</v>
      </c>
      <c r="L48" s="110">
        <f>IF(L13=0,0,1000000*L13/TrRail_act!L28)</f>
        <v>355160.92775198445</v>
      </c>
      <c r="M48" s="110">
        <f>IF(M13=0,0,1000000*M13/TrRail_act!M28)</f>
        <v>341571.84053862828</v>
      </c>
      <c r="N48" s="110">
        <f>IF(N13=0,0,1000000*N13/TrRail_act!N28)</f>
        <v>320912.86079633411</v>
      </c>
      <c r="O48" s="110">
        <f>IF(O13=0,0,1000000*O13/TrRail_act!O28)</f>
        <v>318812.75951736275</v>
      </c>
      <c r="P48" s="110">
        <f>IF(P13=0,0,1000000*P13/TrRail_act!P28)</f>
        <v>310270.50446515513</v>
      </c>
      <c r="Q48" s="110">
        <f>IF(Q13=0,0,1000000*Q13/TrRail_act!Q28)</f>
        <v>287862.26986280066</v>
      </c>
      <c r="R48" s="110">
        <f>IF(R13=0,0,1000000*R13/TrRail_act!R28)</f>
        <v>270332.89723807271</v>
      </c>
      <c r="S48" s="110">
        <f>IF(S13=0,0,1000000*S13/TrRail_act!S28)</f>
        <v>258109.03981469802</v>
      </c>
      <c r="T48" s="110">
        <f>IF(T13=0,0,1000000*T13/TrRail_act!T28)</f>
        <v>249291.93365885879</v>
      </c>
      <c r="U48" s="110">
        <f>IF(U13=0,0,1000000*U13/TrRail_act!U28)</f>
        <v>242826.24686491897</v>
      </c>
      <c r="V48" s="110">
        <f>IF(V13=0,0,1000000*V13/TrRail_act!V28)</f>
        <v>204434.15137926739</v>
      </c>
      <c r="W48" s="110">
        <f>IF(W13=0,0,1000000*W13/TrRail_act!W28)</f>
        <v>229030.70343447154</v>
      </c>
      <c r="X48" s="110">
        <f>IF(X13=0,0,1000000*X13/TrRail_act!X28)</f>
        <v>232045.24263878789</v>
      </c>
      <c r="Y48" s="110">
        <f>IF(Y13=0,0,1000000*Y13/TrRail_act!Y28)</f>
        <v>230138.84906283265</v>
      </c>
      <c r="DA48" s="176" t="s">
        <v>1129</v>
      </c>
    </row>
    <row r="49" spans="1:105" ht="11.45" customHeight="1" x14ac:dyDescent="0.25">
      <c r="A49" s="111" t="s">
        <v>92</v>
      </c>
      <c r="B49" s="84">
        <f>IF(B14=0,0,1000000*B14/TrRail_act!B29)</f>
        <v>494348.99926013179</v>
      </c>
      <c r="C49" s="84">
        <f>IF(C14=0,0,1000000*C14/TrRail_act!C29)</f>
        <v>489900.80084888433</v>
      </c>
      <c r="D49" s="84">
        <f>IF(D14=0,0,1000000*D14/TrRail_act!D29)</f>
        <v>464661.59585831978</v>
      </c>
      <c r="E49" s="84">
        <f>IF(E14=0,0,1000000*E14/TrRail_act!E29)</f>
        <v>457950.39465965738</v>
      </c>
      <c r="F49" s="84">
        <f>IF(F14=0,0,1000000*F14/TrRail_act!F29)</f>
        <v>453558.78759850236</v>
      </c>
      <c r="G49" s="84">
        <f>IF(G14=0,0,1000000*G14/TrRail_act!G29)</f>
        <v>434430.73900112801</v>
      </c>
      <c r="H49" s="84">
        <f>IF(H14=0,0,1000000*H14/TrRail_act!H29)</f>
        <v>428451.97303448129</v>
      </c>
      <c r="I49" s="84">
        <f>IF(I14=0,0,1000000*I14/TrRail_act!I29)</f>
        <v>414545.88731837505</v>
      </c>
      <c r="J49" s="84">
        <f>IF(J14=0,0,1000000*J14/TrRail_act!J29)</f>
        <v>410598.12274965225</v>
      </c>
      <c r="K49" s="84">
        <f>IF(K14=0,0,1000000*K14/TrRail_act!K29)</f>
        <v>382828.83273664262</v>
      </c>
      <c r="L49" s="84">
        <f>IF(L14=0,0,1000000*L14/TrRail_act!L29)</f>
        <v>367462.90888874442</v>
      </c>
      <c r="M49" s="84">
        <f>IF(M14=0,0,1000000*M14/TrRail_act!M29)</f>
        <v>350813.19507236377</v>
      </c>
      <c r="N49" s="84">
        <f>IF(N14=0,0,1000000*N14/TrRail_act!N29)</f>
        <v>327873.53927487653</v>
      </c>
      <c r="O49" s="84">
        <f>IF(O14=0,0,1000000*O14/TrRail_act!O29)</f>
        <v>326094.59033066331</v>
      </c>
      <c r="P49" s="84">
        <f>IF(P14=0,0,1000000*P14/TrRail_act!P29)</f>
        <v>317302.34733308124</v>
      </c>
      <c r="Q49" s="84">
        <f>IF(Q14=0,0,1000000*Q14/TrRail_act!Q29)</f>
        <v>292150.36273453891</v>
      </c>
      <c r="R49" s="84">
        <f>IF(R14=0,0,1000000*R14/TrRail_act!R29)</f>
        <v>273209.96508967335</v>
      </c>
      <c r="S49" s="84">
        <f>IF(S14=0,0,1000000*S14/TrRail_act!S29)</f>
        <v>259814.93427547428</v>
      </c>
      <c r="T49" s="84">
        <f>IF(T14=0,0,1000000*T14/TrRail_act!T29)</f>
        <v>250201.43472696678</v>
      </c>
      <c r="U49" s="84">
        <f>IF(U14=0,0,1000000*U14/TrRail_act!U29)</f>
        <v>243225.47311925446</v>
      </c>
      <c r="V49" s="84">
        <f>IF(V14=0,0,1000000*V14/TrRail_act!V29)</f>
        <v>201666.75624019009</v>
      </c>
      <c r="W49" s="84">
        <f>IF(W14=0,0,1000000*W14/TrRail_act!W29)</f>
        <v>228278.44255395487</v>
      </c>
      <c r="X49" s="84">
        <f>IF(X14=0,0,1000000*X14/TrRail_act!X29)</f>
        <v>231584.58850227742</v>
      </c>
      <c r="Y49" s="84">
        <f>IF(Y14=0,0,1000000*Y14/TrRail_act!Y29)</f>
        <v>229521.80603002134</v>
      </c>
      <c r="DA49" s="171" t="s">
        <v>1130</v>
      </c>
    </row>
    <row r="50" spans="1:105" ht="11.45" customHeight="1" x14ac:dyDescent="0.25">
      <c r="A50" s="111" t="s">
        <v>93</v>
      </c>
      <c r="B50" s="84">
        <f>IF(B15=0,0,1000000*B15/TrRail_act!B30)</f>
        <v>304234.6709004126</v>
      </c>
      <c r="C50" s="84">
        <f>IF(C15=0,0,1000000*C15/TrRail_act!C30)</f>
        <v>302518.0217272155</v>
      </c>
      <c r="D50" s="84">
        <f>IF(D15=0,0,1000000*D15/TrRail_act!D30)</f>
        <v>293934.1604010461</v>
      </c>
      <c r="E50" s="84">
        <f>IF(E15=0,0,1000000*E15/TrRail_act!E30)</f>
        <v>298272.77425999113</v>
      </c>
      <c r="F50" s="84">
        <f>IF(F15=0,0,1000000*F15/TrRail_act!F30)</f>
        <v>294338.40389511158</v>
      </c>
      <c r="G50" s="84">
        <f>IF(G15=0,0,1000000*G15/TrRail_act!G30)</f>
        <v>289513.01426947751</v>
      </c>
      <c r="H50" s="84">
        <f>IF(H15=0,0,1000000*H15/TrRail_act!H30)</f>
        <v>286357.31955264055</v>
      </c>
      <c r="I50" s="84">
        <f>IF(I15=0,0,1000000*I15/TrRail_act!I30)</f>
        <v>245038.03201669245</v>
      </c>
      <c r="J50" s="84">
        <f>IF(J15=0,0,1000000*J15/TrRail_act!J30)</f>
        <v>276205.53163942433</v>
      </c>
      <c r="K50" s="84">
        <f>IF(K15=0,0,1000000*K15/TrRail_act!K30)</f>
        <v>232321.06322144021</v>
      </c>
      <c r="L50" s="84">
        <f>IF(L15=0,0,1000000*L15/TrRail_act!L30)</f>
        <v>251294.02118600535</v>
      </c>
      <c r="M50" s="84">
        <f>IF(M15=0,0,1000000*M15/TrRail_act!M30)</f>
        <v>257095.40855997804</v>
      </c>
      <c r="N50" s="84">
        <f>IF(N15=0,0,1000000*N15/TrRail_act!N30)</f>
        <v>254419.85083952299</v>
      </c>
      <c r="O50" s="84">
        <f>IF(O15=0,0,1000000*O15/TrRail_act!O30)</f>
        <v>244754.23625458183</v>
      </c>
      <c r="P50" s="84">
        <f>IF(P15=0,0,1000000*P15/TrRail_act!P30)</f>
        <v>238405.94185375233</v>
      </c>
      <c r="Q50" s="84">
        <f>IF(Q15=0,0,1000000*Q15/TrRail_act!Q30)</f>
        <v>240943.62630198975</v>
      </c>
      <c r="R50" s="84">
        <f>IF(R15=0,0,1000000*R15/TrRail_act!R30)</f>
        <v>239880.96494902644</v>
      </c>
      <c r="S50" s="84">
        <f>IF(S15=0,0,1000000*S15/TrRail_act!S30)</f>
        <v>239087.04654630515</v>
      </c>
      <c r="T50" s="84">
        <f>IF(T15=0,0,1000000*T15/TrRail_act!T30)</f>
        <v>238493.34130918645</v>
      </c>
      <c r="U50" s="84">
        <f>IF(U15=0,0,1000000*U15/TrRail_act!U30)</f>
        <v>238049.02258343089</v>
      </c>
      <c r="V50" s="84">
        <f>IF(V15=0,0,1000000*V15/TrRail_act!V30)</f>
        <v>237716.34380635794</v>
      </c>
      <c r="W50" s="84">
        <f>IF(W15=0,0,1000000*W15/TrRail_act!W30)</f>
        <v>237467.12396702834</v>
      </c>
      <c r="X50" s="84">
        <f>IF(X15=0,0,1000000*X15/TrRail_act!X30)</f>
        <v>237280.39160268649</v>
      </c>
      <c r="Y50" s="84">
        <f>IF(Y15=0,0,1000000*Y15/TrRail_act!Y30)</f>
        <v>237140.42912909115</v>
      </c>
      <c r="DA50" s="171" t="s">
        <v>1131</v>
      </c>
    </row>
    <row r="51" spans="1:105" ht="11.45" customHeight="1" x14ac:dyDescent="0.25">
      <c r="A51" s="112" t="s">
        <v>25</v>
      </c>
      <c r="B51" s="113">
        <f>IF(B16=0,0,1000000*B16/TrRail_act!B31)</f>
        <v>0</v>
      </c>
      <c r="C51" s="113">
        <f>IF(C16=0,0,1000000*C16/TrRail_act!C31)</f>
        <v>0</v>
      </c>
      <c r="D51" s="113">
        <f>IF(D16=0,0,1000000*D16/TrRail_act!D31)</f>
        <v>0</v>
      </c>
      <c r="E51" s="113">
        <f>IF(E16=0,0,1000000*E16/TrRail_act!E31)</f>
        <v>0</v>
      </c>
      <c r="F51" s="113">
        <f>IF(F16=0,0,1000000*F16/TrRail_act!F31)</f>
        <v>0</v>
      </c>
      <c r="G51" s="113">
        <f>IF(G16=0,0,1000000*G16/TrRail_act!G31)</f>
        <v>0</v>
      </c>
      <c r="H51" s="113">
        <f>IF(H16=0,0,1000000*H16/TrRail_act!H31)</f>
        <v>0</v>
      </c>
      <c r="I51" s="113">
        <f>IF(I16=0,0,1000000*I16/TrRail_act!I31)</f>
        <v>0</v>
      </c>
      <c r="J51" s="113">
        <f>IF(J16=0,0,1000000*J16/TrRail_act!J31)</f>
        <v>0</v>
      </c>
      <c r="K51" s="113">
        <f>IF(K16=0,0,1000000*K16/TrRail_act!K31)</f>
        <v>0</v>
      </c>
      <c r="L51" s="113">
        <f>IF(L16=0,0,1000000*L16/TrRail_act!L31)</f>
        <v>0</v>
      </c>
      <c r="M51" s="113">
        <f>IF(M16=0,0,1000000*M16/TrRail_act!M31)</f>
        <v>0</v>
      </c>
      <c r="N51" s="113">
        <f>IF(N16=0,0,1000000*N16/TrRail_act!N31)</f>
        <v>0</v>
      </c>
      <c r="O51" s="113">
        <f>IF(O16=0,0,1000000*O16/TrRail_act!O31)</f>
        <v>0</v>
      </c>
      <c r="P51" s="113">
        <f>IF(P16=0,0,1000000*P16/TrRail_act!P31)</f>
        <v>0</v>
      </c>
      <c r="Q51" s="113">
        <f>IF(Q16=0,0,1000000*Q16/TrRail_act!Q31)</f>
        <v>0</v>
      </c>
      <c r="R51" s="113">
        <f>IF(R16=0,0,1000000*R16/TrRail_act!R31)</f>
        <v>0</v>
      </c>
      <c r="S51" s="113">
        <f>IF(S16=0,0,1000000*S16/TrRail_act!S31)</f>
        <v>0</v>
      </c>
      <c r="T51" s="113">
        <f>IF(T16=0,0,1000000*T16/TrRail_act!T31)</f>
        <v>0</v>
      </c>
      <c r="U51" s="113">
        <f>IF(U16=0,0,1000000*U16/TrRail_act!U31)</f>
        <v>0</v>
      </c>
      <c r="V51" s="113">
        <f>IF(V16=0,0,1000000*V16/TrRail_act!V31)</f>
        <v>0</v>
      </c>
      <c r="W51" s="113">
        <f>IF(W16=0,0,1000000*W16/TrRail_act!W31)</f>
        <v>0</v>
      </c>
      <c r="X51" s="113">
        <f>IF(X16=0,0,1000000*X16/TrRail_act!X31)</f>
        <v>0</v>
      </c>
      <c r="Y51" s="113">
        <f>IF(Y16=0,0,1000000*Y16/TrRail_act!Y31)</f>
        <v>0</v>
      </c>
      <c r="DA51" s="204" t="s">
        <v>1132</v>
      </c>
    </row>
    <row r="52" spans="1:105" ht="11.45" customHeight="1" x14ac:dyDescent="0.25">
      <c r="A52" s="27" t="s">
        <v>34</v>
      </c>
      <c r="B52" s="28">
        <f>IF(B17=0,0,1000000*B17/TrRail_act!B32)</f>
        <v>1171979.2061504764</v>
      </c>
      <c r="C52" s="28">
        <f>IF(C17=0,0,1000000*C17/TrRail_act!C32)</f>
        <v>1192777.4186673325</v>
      </c>
      <c r="D52" s="28">
        <f>IF(D17=0,0,1000000*D17/TrRail_act!D32)</f>
        <v>1129804.0130389528</v>
      </c>
      <c r="E52" s="28">
        <f>IF(E17=0,0,1000000*E17/TrRail_act!E32)</f>
        <v>1167610.8358695339</v>
      </c>
      <c r="F52" s="28">
        <f>IF(F17=0,0,1000000*F17/TrRail_act!F32)</f>
        <v>1120516.8733257176</v>
      </c>
      <c r="G52" s="28">
        <f>IF(G17=0,0,1000000*G17/TrRail_act!G32)</f>
        <v>933435.34267921722</v>
      </c>
      <c r="H52" s="28">
        <f>IF(H17=0,0,1000000*H17/TrRail_act!H32)</f>
        <v>719627.37493641302</v>
      </c>
      <c r="I52" s="28">
        <f>IF(I17=0,0,1000000*I17/TrRail_act!I32)</f>
        <v>535839.90338902536</v>
      </c>
      <c r="J52" s="28">
        <f>IF(J17=0,0,1000000*J17/TrRail_act!J32)</f>
        <v>509228.14441736042</v>
      </c>
      <c r="K52" s="28">
        <f>IF(K17=0,0,1000000*K17/TrRail_act!K32)</f>
        <v>435050.17490857438</v>
      </c>
      <c r="L52" s="28">
        <f>IF(L17=0,0,1000000*L17/TrRail_act!L32)</f>
        <v>745133.54057472176</v>
      </c>
      <c r="M52" s="28">
        <f>IF(M17=0,0,1000000*M17/TrRail_act!M32)</f>
        <v>889101.17904999072</v>
      </c>
      <c r="N52" s="28">
        <f>IF(N17=0,0,1000000*N17/TrRail_act!N32)</f>
        <v>848164.4578923831</v>
      </c>
      <c r="O52" s="28">
        <f>IF(O17=0,0,1000000*O17/TrRail_act!O32)</f>
        <v>850118.99908276217</v>
      </c>
      <c r="P52" s="28">
        <f>IF(P17=0,0,1000000*P17/TrRail_act!P32)</f>
        <v>854112.20077699574</v>
      </c>
      <c r="Q52" s="28">
        <f>IF(Q17=0,0,1000000*Q17/TrRail_act!Q32)</f>
        <v>838053.41651305824</v>
      </c>
      <c r="R52" s="28">
        <f>IF(R17=0,0,1000000*R17/TrRail_act!R32)</f>
        <v>841297.55148553115</v>
      </c>
      <c r="S52" s="28">
        <f>IF(S17=0,0,1000000*S17/TrRail_act!S32)</f>
        <v>831328.05985878676</v>
      </c>
      <c r="T52" s="28">
        <f>IF(T17=0,0,1000000*T17/TrRail_act!T32)</f>
        <v>806764.04003506631</v>
      </c>
      <c r="U52" s="28">
        <f>IF(U17=0,0,1000000*U17/TrRail_act!U32)</f>
        <v>768139.21980338939</v>
      </c>
      <c r="V52" s="28">
        <f>IF(V17=0,0,1000000*V17/TrRail_act!V32)</f>
        <v>767416.77371969749</v>
      </c>
      <c r="W52" s="28">
        <f>IF(W17=0,0,1000000*W17/TrRail_act!W32)</f>
        <v>786372.53021218267</v>
      </c>
      <c r="X52" s="28">
        <f>IF(X17=0,0,1000000*X17/TrRail_act!X32)</f>
        <v>897032.39451942628</v>
      </c>
      <c r="Y52" s="28">
        <f>IF(Y17=0,0,1000000*Y17/TrRail_act!Y32)</f>
        <v>666245.4816792733</v>
      </c>
      <c r="DA52" s="173" t="s">
        <v>1133</v>
      </c>
    </row>
    <row r="53" spans="1:105" ht="11.45" customHeight="1" x14ac:dyDescent="0.25">
      <c r="A53" s="83" t="s">
        <v>92</v>
      </c>
      <c r="B53" s="84">
        <f>IF(B18=0,0,1000000*B18/TrRail_act!B33)</f>
        <v>1171979.2061504764</v>
      </c>
      <c r="C53" s="84">
        <f>IF(C18=0,0,1000000*C18/TrRail_act!C33)</f>
        <v>1192777.4186673325</v>
      </c>
      <c r="D53" s="84">
        <f>IF(D18=0,0,1000000*D18/TrRail_act!D33)</f>
        <v>1136624.3536980094</v>
      </c>
      <c r="E53" s="84">
        <f>IF(E18=0,0,1000000*E18/TrRail_act!E33)</f>
        <v>1176160.1736388721</v>
      </c>
      <c r="F53" s="84">
        <f>IF(F18=0,0,1000000*F18/TrRail_act!F33)</f>
        <v>1160490.7234413961</v>
      </c>
      <c r="G53" s="84">
        <f>IF(G18=0,0,1000000*G18/TrRail_act!G33)</f>
        <v>970536.21913246519</v>
      </c>
      <c r="H53" s="84">
        <f>IF(H18=0,0,1000000*H18/TrRail_act!H33)</f>
        <v>758399.29393358179</v>
      </c>
      <c r="I53" s="84">
        <f>IF(I18=0,0,1000000*I18/TrRail_act!I33)</f>
        <v>577744.92680831777</v>
      </c>
      <c r="J53" s="84">
        <f>IF(J18=0,0,1000000*J18/TrRail_act!J33)</f>
        <v>561630.92594700179</v>
      </c>
      <c r="K53" s="84">
        <f>IF(K18=0,0,1000000*K18/TrRail_act!K33)</f>
        <v>498484.27143647004</v>
      </c>
      <c r="L53" s="84">
        <f>IF(L18=0,0,1000000*L18/TrRail_act!L33)</f>
        <v>910895.78392573691</v>
      </c>
      <c r="M53" s="84">
        <f>IF(M18=0,0,1000000*M18/TrRail_act!M33)</f>
        <v>1099050.1926958063</v>
      </c>
      <c r="N53" s="84">
        <f>IF(N18=0,0,1000000*N18/TrRail_act!N33)</f>
        <v>1088489.6637761849</v>
      </c>
      <c r="O53" s="84">
        <f>IF(O18=0,0,1000000*O18/TrRail_act!O33)</f>
        <v>1072000.8472288393</v>
      </c>
      <c r="P53" s="84">
        <f>IF(P18=0,0,1000000*P18/TrRail_act!P33)</f>
        <v>1064448.956604152</v>
      </c>
      <c r="Q53" s="84">
        <f>IF(Q18=0,0,1000000*Q18/TrRail_act!Q33)</f>
        <v>1053558.8695522288</v>
      </c>
      <c r="R53" s="84">
        <f>IF(R18=0,0,1000000*R18/TrRail_act!R33)</f>
        <v>1045463.7631209445</v>
      </c>
      <c r="S53" s="84">
        <f>IF(S18=0,0,1000000*S18/TrRail_act!S33)</f>
        <v>1039434.1184598838</v>
      </c>
      <c r="T53" s="84">
        <f>IF(T18=0,0,1000000*T18/TrRail_act!T33)</f>
        <v>1034934.4429359346</v>
      </c>
      <c r="U53" s="84">
        <f>IF(U18=0,0,1000000*U18/TrRail_act!U33)</f>
        <v>1031572.6777582526</v>
      </c>
      <c r="V53" s="84">
        <f>IF(V18=0,0,1000000*V18/TrRail_act!V33)</f>
        <v>1029057.0252768357</v>
      </c>
      <c r="W53" s="84">
        <f>IF(W18=0,0,1000000*W18/TrRail_act!W33)</f>
        <v>1027176.2712007111</v>
      </c>
      <c r="X53" s="84">
        <f>IF(X18=0,0,1000000*X18/TrRail_act!X33)</f>
        <v>1025767.3084186489</v>
      </c>
      <c r="Y53" s="84">
        <f>IF(Y18=0,0,1000000*Y18/TrRail_act!Y33)</f>
        <v>812957.21500846453</v>
      </c>
      <c r="DA53" s="171" t="s">
        <v>1134</v>
      </c>
    </row>
    <row r="54" spans="1:105" ht="11.45" customHeight="1" x14ac:dyDescent="0.25">
      <c r="A54" s="85" t="s">
        <v>93</v>
      </c>
      <c r="B54" s="86">
        <f>IF(B19=0,0,1000000*B19/TrRail_act!B34)</f>
        <v>0</v>
      </c>
      <c r="C54" s="86">
        <f>IF(C19=0,0,1000000*C19/TrRail_act!C34)</f>
        <v>0</v>
      </c>
      <c r="D54" s="86">
        <f>IF(D19=0,0,1000000*D19/TrRail_act!D34)</f>
        <v>454669.86613604001</v>
      </c>
      <c r="E54" s="86">
        <f>IF(E19=0,0,1000000*E19/TrRail_act!E34)</f>
        <v>410328.94765292923</v>
      </c>
      <c r="F54" s="86">
        <f>IF(F19=0,0,1000000*F19/TrRail_act!F34)</f>
        <v>442046.1337842769</v>
      </c>
      <c r="G54" s="86">
        <f>IF(G19=0,0,1000000*G19/TrRail_act!G34)</f>
        <v>432075.66716739413</v>
      </c>
      <c r="H54" s="86">
        <f>IF(H19=0,0,1000000*H19/TrRail_act!H34)</f>
        <v>269132.29688198888</v>
      </c>
      <c r="I54" s="86">
        <f>IF(I19=0,0,1000000*I19/TrRail_act!I34)</f>
        <v>128322.12049278968</v>
      </c>
      <c r="J54" s="86">
        <f>IF(J19=0,0,1000000*J19/TrRail_act!J34)</f>
        <v>98889.006347984046</v>
      </c>
      <c r="K54" s="86">
        <f>IF(K19=0,0,1000000*K19/TrRail_act!K34)</f>
        <v>58494.445413815454</v>
      </c>
      <c r="L54" s="86">
        <f>IF(L19=0,0,1000000*L19/TrRail_act!L34)</f>
        <v>75145.632062694363</v>
      </c>
      <c r="M54" s="86">
        <f>IF(M19=0,0,1000000*M19/TrRail_act!M34)</f>
        <v>83712.9563971147</v>
      </c>
      <c r="N54" s="86">
        <f>IF(N19=0,0,1000000*N19/TrRail_act!N34)</f>
        <v>72160.556634089633</v>
      </c>
      <c r="O54" s="86">
        <f>IF(O19=0,0,1000000*O19/TrRail_act!O34)</f>
        <v>68531.517687551517</v>
      </c>
      <c r="P54" s="86">
        <f>IF(P19=0,0,1000000*P19/TrRail_act!P34)</f>
        <v>72166.36441554733</v>
      </c>
      <c r="Q54" s="86">
        <f>IF(Q19=0,0,1000000*Q19/TrRail_act!Q34)</f>
        <v>70403.208206644224</v>
      </c>
      <c r="R54" s="86">
        <f>IF(R19=0,0,1000000*R19/TrRail_act!R34)</f>
        <v>79636.204329779081</v>
      </c>
      <c r="S54" s="86">
        <f>IF(S19=0,0,1000000*S19/TrRail_act!S34)</f>
        <v>74639.333239002939</v>
      </c>
      <c r="T54" s="86">
        <f>IF(T19=0,0,1000000*T19/TrRail_act!T34)</f>
        <v>74280.489208960222</v>
      </c>
      <c r="U54" s="86">
        <f>IF(U19=0,0,1000000*U19/TrRail_act!U34)</f>
        <v>64132.49551890065</v>
      </c>
      <c r="V54" s="86">
        <f>IF(V19=0,0,1000000*V19/TrRail_act!V34)</f>
        <v>77512.460763436655</v>
      </c>
      <c r="W54" s="86">
        <f>IF(W19=0,0,1000000*W19/TrRail_act!W34)</f>
        <v>79287.636274592442</v>
      </c>
      <c r="X54" s="86">
        <f>IF(X19=0,0,1000000*X19/TrRail_act!X34)</f>
        <v>134018.34205869448</v>
      </c>
      <c r="Y54" s="86">
        <f>IF(Y19=0,0,1000000*Y19/TrRail_act!Y34)</f>
        <v>74600.245324681324</v>
      </c>
      <c r="DA54" s="178" t="s">
        <v>1135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DA55" s="171"/>
    </row>
    <row r="56" spans="1:105" ht="11.45" customHeight="1" x14ac:dyDescent="0.25">
      <c r="A56" s="53" t="s">
        <v>40</v>
      </c>
      <c r="B56" s="65">
        <f t="shared" ref="B56:B65" si="15">IF(B10=0,0,B10/B$10)</f>
        <v>1</v>
      </c>
      <c r="C56" s="65">
        <f t="shared" ref="C56:V56" si="16">IF(C10=0,0,C10/C$10)</f>
        <v>1</v>
      </c>
      <c r="D56" s="65">
        <f t="shared" si="16"/>
        <v>1</v>
      </c>
      <c r="E56" s="65">
        <f t="shared" si="16"/>
        <v>1</v>
      </c>
      <c r="F56" s="65">
        <f t="shared" si="16"/>
        <v>1</v>
      </c>
      <c r="G56" s="65">
        <f t="shared" si="16"/>
        <v>1</v>
      </c>
      <c r="H56" s="65">
        <f t="shared" si="16"/>
        <v>1</v>
      </c>
      <c r="I56" s="65">
        <f t="shared" si="16"/>
        <v>1</v>
      </c>
      <c r="J56" s="65">
        <f t="shared" si="16"/>
        <v>1</v>
      </c>
      <c r="K56" s="65">
        <f t="shared" si="16"/>
        <v>1</v>
      </c>
      <c r="L56" s="65">
        <f t="shared" si="16"/>
        <v>1</v>
      </c>
      <c r="M56" s="65">
        <f t="shared" si="16"/>
        <v>1</v>
      </c>
      <c r="N56" s="65">
        <f t="shared" si="16"/>
        <v>1</v>
      </c>
      <c r="O56" s="65">
        <f t="shared" si="16"/>
        <v>1</v>
      </c>
      <c r="P56" s="65">
        <f t="shared" si="16"/>
        <v>1</v>
      </c>
      <c r="Q56" s="65">
        <f t="shared" si="16"/>
        <v>1</v>
      </c>
      <c r="R56" s="65">
        <f t="shared" si="16"/>
        <v>1</v>
      </c>
      <c r="S56" s="65">
        <f t="shared" si="16"/>
        <v>1</v>
      </c>
      <c r="T56" s="65">
        <f t="shared" si="16"/>
        <v>1</v>
      </c>
      <c r="U56" s="65">
        <f t="shared" si="16"/>
        <v>1</v>
      </c>
      <c r="V56" s="65">
        <f t="shared" si="16"/>
        <v>1</v>
      </c>
      <c r="W56" s="65">
        <f t="shared" ref="W56:Y56" si="17">IF(W10=0,0,W10/W$10)</f>
        <v>1</v>
      </c>
      <c r="X56" s="65">
        <f t="shared" si="17"/>
        <v>1</v>
      </c>
      <c r="Y56" s="65">
        <f t="shared" si="17"/>
        <v>1</v>
      </c>
      <c r="DA56" s="172"/>
    </row>
    <row r="57" spans="1:105" ht="11.45" customHeight="1" x14ac:dyDescent="0.25">
      <c r="A57" s="27" t="s">
        <v>33</v>
      </c>
      <c r="B57" s="31">
        <f t="shared" si="15"/>
        <v>0.86399731189290219</v>
      </c>
      <c r="C57" s="31">
        <f t="shared" ref="C57:V57" si="18">IF(C11=0,0,C11/C$10)</f>
        <v>0.86614101391373521</v>
      </c>
      <c r="D57" s="31">
        <f t="shared" si="18"/>
        <v>0.86754855178166546</v>
      </c>
      <c r="E57" s="31">
        <f t="shared" si="18"/>
        <v>0.88844679881878397</v>
      </c>
      <c r="F57" s="31">
        <f t="shared" si="18"/>
        <v>0.90305662880530058</v>
      </c>
      <c r="G57" s="31">
        <f t="shared" si="18"/>
        <v>0.92166427530502482</v>
      </c>
      <c r="H57" s="31">
        <f t="shared" si="18"/>
        <v>0.94725849350354552</v>
      </c>
      <c r="I57" s="31">
        <f t="shared" si="18"/>
        <v>0.96856478446021221</v>
      </c>
      <c r="J57" s="31">
        <f t="shared" si="18"/>
        <v>0.97679283471494738</v>
      </c>
      <c r="K57" s="31">
        <f t="shared" si="18"/>
        <v>0.98215974458631272</v>
      </c>
      <c r="L57" s="31">
        <f t="shared" si="18"/>
        <v>0.9776661391238074</v>
      </c>
      <c r="M57" s="31">
        <f t="shared" si="18"/>
        <v>0.9744407049565138</v>
      </c>
      <c r="N57" s="31">
        <f t="shared" si="18"/>
        <v>0.97800891518554423</v>
      </c>
      <c r="O57" s="31">
        <f t="shared" si="18"/>
        <v>0.97618575524301388</v>
      </c>
      <c r="P57" s="31">
        <f t="shared" si="18"/>
        <v>0.97283563086759373</v>
      </c>
      <c r="Q57" s="31">
        <f t="shared" si="18"/>
        <v>0.97477685188181573</v>
      </c>
      <c r="R57" s="31">
        <f t="shared" si="18"/>
        <v>0.97437318303929121</v>
      </c>
      <c r="S57" s="31">
        <f t="shared" si="18"/>
        <v>0.97592685491811282</v>
      </c>
      <c r="T57" s="31">
        <f t="shared" si="18"/>
        <v>0.97918490105909517</v>
      </c>
      <c r="U57" s="31">
        <f t="shared" si="18"/>
        <v>0.98346151353851397</v>
      </c>
      <c r="V57" s="31">
        <f t="shared" si="18"/>
        <v>0.97980293114453987</v>
      </c>
      <c r="W57" s="31">
        <f t="shared" ref="W57:Y57" si="19">IF(W11=0,0,W11/W$10)</f>
        <v>0.97914912540742949</v>
      </c>
      <c r="X57" s="31">
        <f t="shared" si="19"/>
        <v>0.96209851326863982</v>
      </c>
      <c r="Y57" s="31">
        <f t="shared" si="19"/>
        <v>0.98051838050238294</v>
      </c>
      <c r="DA57" s="173"/>
    </row>
    <row r="58" spans="1:105" ht="11.45" customHeight="1" x14ac:dyDescent="0.25">
      <c r="A58" s="107" t="s">
        <v>23</v>
      </c>
      <c r="B58" s="123">
        <f t="shared" si="15"/>
        <v>0</v>
      </c>
      <c r="C58" s="123">
        <f t="shared" ref="C58:V58" si="20">IF(C12=0,0,C12/C$10)</f>
        <v>0</v>
      </c>
      <c r="D58" s="123">
        <f t="shared" si="20"/>
        <v>0</v>
      </c>
      <c r="E58" s="123">
        <f t="shared" si="20"/>
        <v>0</v>
      </c>
      <c r="F58" s="123">
        <f t="shared" si="20"/>
        <v>6.1423018640246515E-3</v>
      </c>
      <c r="G58" s="123">
        <f t="shared" si="20"/>
        <v>1.4357315381853581E-2</v>
      </c>
      <c r="H58" s="123">
        <f t="shared" si="20"/>
        <v>1.4644785930103581E-2</v>
      </c>
      <c r="I58" s="123">
        <f t="shared" si="20"/>
        <v>2.0772154451001005E-2</v>
      </c>
      <c r="J58" s="123">
        <f t="shared" si="20"/>
        <v>1.5241656151476667E-2</v>
      </c>
      <c r="K58" s="123">
        <f t="shared" si="20"/>
        <v>1.7384440275306653E-2</v>
      </c>
      <c r="L58" s="123">
        <f t="shared" si="20"/>
        <v>1.7336640731957766E-2</v>
      </c>
      <c r="M58" s="123">
        <f t="shared" si="20"/>
        <v>1.7873637694401267E-2</v>
      </c>
      <c r="N58" s="123">
        <f t="shared" si="20"/>
        <v>1.8887919500497962E-2</v>
      </c>
      <c r="O58" s="123">
        <f t="shared" si="20"/>
        <v>1.9655326495843124E-2</v>
      </c>
      <c r="P58" s="123">
        <f t="shared" si="20"/>
        <v>2.1594698084339798E-2</v>
      </c>
      <c r="Q58" s="123">
        <f t="shared" si="20"/>
        <v>2.2493742301434611E-2</v>
      </c>
      <c r="R58" s="123">
        <f t="shared" si="20"/>
        <v>2.1628401651462091E-2</v>
      </c>
      <c r="S58" s="123">
        <f t="shared" si="20"/>
        <v>2.0621065105050688E-2</v>
      </c>
      <c r="T58" s="123">
        <f t="shared" si="20"/>
        <v>3.0768085821702741E-2</v>
      </c>
      <c r="U58" s="123">
        <f t="shared" si="20"/>
        <v>2.8077637962219706E-2</v>
      </c>
      <c r="V58" s="123">
        <f t="shared" si="20"/>
        <v>3.0303021985671936E-2</v>
      </c>
      <c r="W58" s="123">
        <f t="shared" ref="W58:Y58" si="21">IF(W12=0,0,W12/W$10)</f>
        <v>2.8500373523472265E-2</v>
      </c>
      <c r="X58" s="123">
        <f t="shared" si="21"/>
        <v>1.9923125028640371E-2</v>
      </c>
      <c r="Y58" s="123">
        <f t="shared" si="21"/>
        <v>1.9149325288019055E-2</v>
      </c>
      <c r="DA58" s="203"/>
    </row>
    <row r="59" spans="1:105" ht="11.45" customHeight="1" x14ac:dyDescent="0.25">
      <c r="A59" s="109" t="s">
        <v>24</v>
      </c>
      <c r="B59" s="124">
        <f t="shared" si="15"/>
        <v>0.86399731189290219</v>
      </c>
      <c r="C59" s="124">
        <f t="shared" ref="C59:V59" si="22">IF(C13=0,0,C13/C$10)</f>
        <v>0.86614101391373521</v>
      </c>
      <c r="D59" s="124">
        <f t="shared" si="22"/>
        <v>0.86754855178166546</v>
      </c>
      <c r="E59" s="124">
        <f t="shared" si="22"/>
        <v>0.88844679881878397</v>
      </c>
      <c r="F59" s="124">
        <f t="shared" si="22"/>
        <v>0.89691432694127582</v>
      </c>
      <c r="G59" s="124">
        <f t="shared" si="22"/>
        <v>0.90730695992317134</v>
      </c>
      <c r="H59" s="124">
        <f t="shared" si="22"/>
        <v>0.93261370757344186</v>
      </c>
      <c r="I59" s="124">
        <f t="shared" si="22"/>
        <v>0.94779263000921121</v>
      </c>
      <c r="J59" s="124">
        <f t="shared" si="22"/>
        <v>0.96155117856347061</v>
      </c>
      <c r="K59" s="124">
        <f t="shared" si="22"/>
        <v>0.96477530431100611</v>
      </c>
      <c r="L59" s="124">
        <f t="shared" si="22"/>
        <v>0.96032949839184956</v>
      </c>
      <c r="M59" s="124">
        <f t="shared" si="22"/>
        <v>0.9565670672621126</v>
      </c>
      <c r="N59" s="124">
        <f t="shared" si="22"/>
        <v>0.95912099568504638</v>
      </c>
      <c r="O59" s="124">
        <f t="shared" si="22"/>
        <v>0.95653042874717076</v>
      </c>
      <c r="P59" s="124">
        <f t="shared" si="22"/>
        <v>0.95124093278325395</v>
      </c>
      <c r="Q59" s="124">
        <f t="shared" si="22"/>
        <v>0.9522831095803812</v>
      </c>
      <c r="R59" s="124">
        <f t="shared" si="22"/>
        <v>0.95274478138782914</v>
      </c>
      <c r="S59" s="124">
        <f t="shared" si="22"/>
        <v>0.95530578981306213</v>
      </c>
      <c r="T59" s="124">
        <f t="shared" si="22"/>
        <v>0.94841681523739241</v>
      </c>
      <c r="U59" s="124">
        <f t="shared" si="22"/>
        <v>0.95538387557629423</v>
      </c>
      <c r="V59" s="124">
        <f t="shared" si="22"/>
        <v>0.94949990915886806</v>
      </c>
      <c r="W59" s="124">
        <f t="shared" ref="W59:Y59" si="23">IF(W13=0,0,W13/W$10)</f>
        <v>0.95064875188395725</v>
      </c>
      <c r="X59" s="124">
        <f t="shared" si="23"/>
        <v>0.94217538823999936</v>
      </c>
      <c r="Y59" s="124">
        <f t="shared" si="23"/>
        <v>0.96136905521436389</v>
      </c>
      <c r="DA59" s="176"/>
    </row>
    <row r="60" spans="1:105" ht="11.45" customHeight="1" x14ac:dyDescent="0.25">
      <c r="A60" s="111" t="s">
        <v>92</v>
      </c>
      <c r="B60" s="125">
        <f t="shared" si="15"/>
        <v>0.81122729175910979</v>
      </c>
      <c r="C60" s="125">
        <f t="shared" ref="C60:V60" si="24">IF(C14=0,0,C14/C$10)</f>
        <v>0.81757792111713612</v>
      </c>
      <c r="D60" s="125">
        <f t="shared" si="24"/>
        <v>0.81898072220261031</v>
      </c>
      <c r="E60" s="125">
        <f t="shared" si="24"/>
        <v>0.8442192995853246</v>
      </c>
      <c r="F60" s="125">
        <f t="shared" si="24"/>
        <v>0.81646319924103283</v>
      </c>
      <c r="G60" s="125">
        <f t="shared" si="24"/>
        <v>0.81132377294854297</v>
      </c>
      <c r="H60" s="125">
        <f t="shared" si="24"/>
        <v>0.83989359611285619</v>
      </c>
      <c r="I60" s="125">
        <f t="shared" si="24"/>
        <v>0.87686115810075071</v>
      </c>
      <c r="J60" s="125">
        <f t="shared" si="24"/>
        <v>0.8848197764254323</v>
      </c>
      <c r="K60" s="125">
        <f t="shared" si="24"/>
        <v>0.89472994868183531</v>
      </c>
      <c r="L60" s="125">
        <f t="shared" si="24"/>
        <v>0.88837425126233405</v>
      </c>
      <c r="M60" s="125">
        <f t="shared" si="24"/>
        <v>0.88556985523610809</v>
      </c>
      <c r="N60" s="125">
        <f t="shared" si="24"/>
        <v>0.88706415199523947</v>
      </c>
      <c r="O60" s="125">
        <f t="shared" si="24"/>
        <v>0.89079071042779123</v>
      </c>
      <c r="P60" s="125">
        <f t="shared" si="24"/>
        <v>0.88609623796965464</v>
      </c>
      <c r="Q60" s="125">
        <f t="shared" si="24"/>
        <v>0.88553578491387408</v>
      </c>
      <c r="R60" s="125">
        <f t="shared" si="24"/>
        <v>0.87976521376988381</v>
      </c>
      <c r="S60" s="125">
        <f t="shared" si="24"/>
        <v>0.88247880105041965</v>
      </c>
      <c r="T60" s="125">
        <f t="shared" si="24"/>
        <v>0.87793382647173857</v>
      </c>
      <c r="U60" s="125">
        <f t="shared" si="24"/>
        <v>0.8831508663238945</v>
      </c>
      <c r="V60" s="125">
        <f t="shared" si="24"/>
        <v>0.86474372517840548</v>
      </c>
      <c r="W60" s="125">
        <f t="shared" ref="W60:Y60" si="25">IF(W14=0,0,W14/W$10)</f>
        <v>0.86995402580372228</v>
      </c>
      <c r="X60" s="125">
        <f t="shared" si="25"/>
        <v>0.86425682347134891</v>
      </c>
      <c r="Y60" s="125">
        <f t="shared" si="25"/>
        <v>0.88113758191649361</v>
      </c>
      <c r="DA60" s="171"/>
    </row>
    <row r="61" spans="1:105" ht="11.45" customHeight="1" x14ac:dyDescent="0.25">
      <c r="A61" s="111" t="s">
        <v>93</v>
      </c>
      <c r="B61" s="125">
        <f t="shared" si="15"/>
        <v>5.2770020133792304E-2</v>
      </c>
      <c r="C61" s="125">
        <f t="shared" ref="C61:V61" si="26">IF(C15=0,0,C15/C$10)</f>
        <v>4.8563092796599094E-2</v>
      </c>
      <c r="D61" s="125">
        <f t="shared" si="26"/>
        <v>4.8567829579055061E-2</v>
      </c>
      <c r="E61" s="125">
        <f t="shared" si="26"/>
        <v>4.4227499233459484E-2</v>
      </c>
      <c r="F61" s="125">
        <f t="shared" si="26"/>
        <v>8.0451127700243014E-2</v>
      </c>
      <c r="G61" s="125">
        <f t="shared" si="26"/>
        <v>9.5983186974628459E-2</v>
      </c>
      <c r="H61" s="125">
        <f t="shared" si="26"/>
        <v>9.2720111460585633E-2</v>
      </c>
      <c r="I61" s="125">
        <f t="shared" si="26"/>
        <v>7.093147190846058E-2</v>
      </c>
      <c r="J61" s="125">
        <f t="shared" si="26"/>
        <v>7.6731402138038432E-2</v>
      </c>
      <c r="K61" s="125">
        <f t="shared" si="26"/>
        <v>7.004535562917083E-2</v>
      </c>
      <c r="L61" s="125">
        <f t="shared" si="26"/>
        <v>7.1955247129515496E-2</v>
      </c>
      <c r="M61" s="125">
        <f t="shared" si="26"/>
        <v>7.0997212026004577E-2</v>
      </c>
      <c r="N61" s="125">
        <f t="shared" si="26"/>
        <v>7.2056843689806888E-2</v>
      </c>
      <c r="O61" s="125">
        <f t="shared" si="26"/>
        <v>6.5739718319379581E-2</v>
      </c>
      <c r="P61" s="125">
        <f t="shared" si="26"/>
        <v>6.5144694813599385E-2</v>
      </c>
      <c r="Q61" s="125">
        <f t="shared" si="26"/>
        <v>6.6747324666507055E-2</v>
      </c>
      <c r="R61" s="125">
        <f t="shared" si="26"/>
        <v>7.297956761794526E-2</v>
      </c>
      <c r="S61" s="125">
        <f t="shared" si="26"/>
        <v>7.2826988762642514E-2</v>
      </c>
      <c r="T61" s="125">
        <f t="shared" si="26"/>
        <v>7.048298876565387E-2</v>
      </c>
      <c r="U61" s="125">
        <f t="shared" si="26"/>
        <v>7.2233009252399769E-2</v>
      </c>
      <c r="V61" s="125">
        <f t="shared" si="26"/>
        <v>8.4756183980462613E-2</v>
      </c>
      <c r="W61" s="125">
        <f t="shared" ref="W61:Y61" si="27">IF(W15=0,0,W15/W$10)</f>
        <v>8.069472608023498E-2</v>
      </c>
      <c r="X61" s="125">
        <f t="shared" si="27"/>
        <v>7.7918564768650431E-2</v>
      </c>
      <c r="Y61" s="125">
        <f t="shared" si="27"/>
        <v>8.0231473297870323E-2</v>
      </c>
      <c r="DA61" s="171"/>
    </row>
    <row r="62" spans="1:105" ht="11.45" customHeight="1" x14ac:dyDescent="0.25">
      <c r="A62" s="112" t="s">
        <v>25</v>
      </c>
      <c r="B62" s="126">
        <f t="shared" si="15"/>
        <v>0</v>
      </c>
      <c r="C62" s="126">
        <f t="shared" ref="C62:V62" si="28">IF(C16=0,0,C16/C$10)</f>
        <v>0</v>
      </c>
      <c r="D62" s="126">
        <f t="shared" si="28"/>
        <v>0</v>
      </c>
      <c r="E62" s="126">
        <f t="shared" si="28"/>
        <v>0</v>
      </c>
      <c r="F62" s="126">
        <f t="shared" si="28"/>
        <v>0</v>
      </c>
      <c r="G62" s="126">
        <f t="shared" si="28"/>
        <v>0</v>
      </c>
      <c r="H62" s="126">
        <f t="shared" si="28"/>
        <v>0</v>
      </c>
      <c r="I62" s="126">
        <f t="shared" si="28"/>
        <v>0</v>
      </c>
      <c r="J62" s="126">
        <f t="shared" si="28"/>
        <v>0</v>
      </c>
      <c r="K62" s="126">
        <f t="shared" si="28"/>
        <v>0</v>
      </c>
      <c r="L62" s="126">
        <f t="shared" si="28"/>
        <v>0</v>
      </c>
      <c r="M62" s="126">
        <f t="shared" si="28"/>
        <v>0</v>
      </c>
      <c r="N62" s="126">
        <f t="shared" si="28"/>
        <v>0</v>
      </c>
      <c r="O62" s="126">
        <f t="shared" si="28"/>
        <v>0</v>
      </c>
      <c r="P62" s="126">
        <f t="shared" si="28"/>
        <v>0</v>
      </c>
      <c r="Q62" s="126">
        <f t="shared" si="28"/>
        <v>0</v>
      </c>
      <c r="R62" s="126">
        <f t="shared" si="28"/>
        <v>0</v>
      </c>
      <c r="S62" s="126">
        <f t="shared" si="28"/>
        <v>0</v>
      </c>
      <c r="T62" s="126">
        <f t="shared" si="28"/>
        <v>0</v>
      </c>
      <c r="U62" s="126">
        <f t="shared" si="28"/>
        <v>0</v>
      </c>
      <c r="V62" s="126">
        <f t="shared" si="28"/>
        <v>0</v>
      </c>
      <c r="W62" s="126">
        <f t="shared" ref="W62:Y62" si="29">IF(W16=0,0,W16/W$10)</f>
        <v>0</v>
      </c>
      <c r="X62" s="126">
        <f t="shared" si="29"/>
        <v>0</v>
      </c>
      <c r="Y62" s="126">
        <f t="shared" si="29"/>
        <v>0</v>
      </c>
      <c r="DA62" s="204"/>
    </row>
    <row r="63" spans="1:105" ht="11.45" customHeight="1" x14ac:dyDescent="0.25">
      <c r="A63" s="27" t="s">
        <v>34</v>
      </c>
      <c r="B63" s="31">
        <f t="shared" si="15"/>
        <v>0.1360026881070979</v>
      </c>
      <c r="C63" s="31">
        <f t="shared" ref="C63:V63" si="30">IF(C17=0,0,C17/C$10)</f>
        <v>0.13385898608626476</v>
      </c>
      <c r="D63" s="31">
        <f t="shared" si="30"/>
        <v>0.13245144821833454</v>
      </c>
      <c r="E63" s="31">
        <f t="shared" si="30"/>
        <v>0.11155320118121596</v>
      </c>
      <c r="F63" s="31">
        <f t="shared" si="30"/>
        <v>9.6943371194699451E-2</v>
      </c>
      <c r="G63" s="31">
        <f t="shared" si="30"/>
        <v>7.8335724694975073E-2</v>
      </c>
      <c r="H63" s="31">
        <f t="shared" si="30"/>
        <v>5.2741506496454552E-2</v>
      </c>
      <c r="I63" s="31">
        <f t="shared" si="30"/>
        <v>3.1435215539787696E-2</v>
      </c>
      <c r="J63" s="31">
        <f t="shared" si="30"/>
        <v>2.3207165285052615E-2</v>
      </c>
      <c r="K63" s="31">
        <f t="shared" si="30"/>
        <v>1.784025541368725E-2</v>
      </c>
      <c r="L63" s="31">
        <f t="shared" si="30"/>
        <v>2.233386087619265E-2</v>
      </c>
      <c r="M63" s="31">
        <f t="shared" si="30"/>
        <v>2.5559295043486151E-2</v>
      </c>
      <c r="N63" s="31">
        <f t="shared" si="30"/>
        <v>2.199108481445565E-2</v>
      </c>
      <c r="O63" s="31">
        <f t="shared" si="30"/>
        <v>2.3814244756986049E-2</v>
      </c>
      <c r="P63" s="31">
        <f t="shared" si="30"/>
        <v>2.7164369132406243E-2</v>
      </c>
      <c r="Q63" s="31">
        <f t="shared" si="30"/>
        <v>2.5223148118184196E-2</v>
      </c>
      <c r="R63" s="31">
        <f t="shared" si="30"/>
        <v>2.5626816960708777E-2</v>
      </c>
      <c r="S63" s="31">
        <f t="shared" si="30"/>
        <v>2.4073145081887282E-2</v>
      </c>
      <c r="T63" s="31">
        <f t="shared" si="30"/>
        <v>2.0815098940904737E-2</v>
      </c>
      <c r="U63" s="31">
        <f t="shared" si="30"/>
        <v>1.6538486461486066E-2</v>
      </c>
      <c r="V63" s="31">
        <f t="shared" si="30"/>
        <v>2.0197068855460142E-2</v>
      </c>
      <c r="W63" s="31">
        <f t="shared" ref="W63:Y63" si="31">IF(W17=0,0,W17/W$10)</f>
        <v>2.0850874592570529E-2</v>
      </c>
      <c r="X63" s="31">
        <f t="shared" si="31"/>
        <v>3.7901486731360123E-2</v>
      </c>
      <c r="Y63" s="31">
        <f t="shared" si="31"/>
        <v>1.9481619497617068E-2</v>
      </c>
      <c r="DA63" s="173"/>
    </row>
    <row r="64" spans="1:105" ht="11.45" customHeight="1" x14ac:dyDescent="0.25">
      <c r="A64" s="83" t="s">
        <v>92</v>
      </c>
      <c r="B64" s="125">
        <f t="shared" si="15"/>
        <v>0.1360026881070979</v>
      </c>
      <c r="C64" s="125">
        <f t="shared" ref="C64:V64" si="32">IF(C18=0,0,C18/C$10)</f>
        <v>0.13385898608626476</v>
      </c>
      <c r="D64" s="125">
        <f t="shared" si="32"/>
        <v>0.13191835832930202</v>
      </c>
      <c r="E64" s="125">
        <f t="shared" si="32"/>
        <v>0.11111556271982378</v>
      </c>
      <c r="F64" s="125">
        <f t="shared" si="32"/>
        <v>9.4815477071954854E-2</v>
      </c>
      <c r="G64" s="125">
        <f t="shared" si="32"/>
        <v>7.583730317845741E-2</v>
      </c>
      <c r="H64" s="125">
        <f t="shared" si="32"/>
        <v>5.1178423467972432E-2</v>
      </c>
      <c r="I64" s="125">
        <f t="shared" si="32"/>
        <v>3.0733285387202016E-2</v>
      </c>
      <c r="J64" s="125">
        <f t="shared" si="32"/>
        <v>2.2696809307417701E-2</v>
      </c>
      <c r="K64" s="125">
        <f t="shared" si="32"/>
        <v>1.7494430344625517E-2</v>
      </c>
      <c r="L64" s="125">
        <f t="shared" si="32"/>
        <v>2.1887133480013553E-2</v>
      </c>
      <c r="M64" s="125">
        <f t="shared" si="32"/>
        <v>2.5061679554729419E-2</v>
      </c>
      <c r="N64" s="125">
        <f t="shared" si="32"/>
        <v>2.1548668210285189E-2</v>
      </c>
      <c r="O64" s="125">
        <f t="shared" si="32"/>
        <v>2.3389757055637499E-2</v>
      </c>
      <c r="P64" s="125">
        <f t="shared" si="32"/>
        <v>2.6677850672348871E-2</v>
      </c>
      <c r="Q64" s="125">
        <f t="shared" si="32"/>
        <v>2.4758679882369874E-2</v>
      </c>
      <c r="R64" s="125">
        <f t="shared" si="32"/>
        <v>2.5114026578197474E-2</v>
      </c>
      <c r="S64" s="125">
        <f t="shared" si="32"/>
        <v>2.3606939014311844E-2</v>
      </c>
      <c r="T64" s="125">
        <f t="shared" si="32"/>
        <v>2.035990231153811E-2</v>
      </c>
      <c r="U64" s="125">
        <f t="shared" si="32"/>
        <v>1.6162492584472467E-2</v>
      </c>
      <c r="V64" s="125">
        <f t="shared" si="32"/>
        <v>1.9636144873621822E-2</v>
      </c>
      <c r="W64" s="125">
        <f t="shared" ref="W64:Y64" si="33">IF(W18=0,0,W18/W$10)</f>
        <v>2.03167933488939E-2</v>
      </c>
      <c r="X64" s="125">
        <f t="shared" si="33"/>
        <v>3.7084027519385221E-2</v>
      </c>
      <c r="Y64" s="125">
        <f t="shared" si="33"/>
        <v>1.904817898131873E-2</v>
      </c>
      <c r="DA64" s="171"/>
    </row>
    <row r="65" spans="1:105" ht="11.45" customHeight="1" x14ac:dyDescent="0.25">
      <c r="A65" s="85" t="s">
        <v>93</v>
      </c>
      <c r="B65" s="127">
        <f t="shared" si="15"/>
        <v>0</v>
      </c>
      <c r="C65" s="127">
        <f t="shared" ref="C65:V65" si="34">IF(C19=0,0,C19/C$10)</f>
        <v>0</v>
      </c>
      <c r="D65" s="127">
        <f t="shared" si="34"/>
        <v>5.3308988903253936E-4</v>
      </c>
      <c r="E65" s="127">
        <f t="shared" si="34"/>
        <v>4.3763846139218771E-4</v>
      </c>
      <c r="F65" s="127">
        <f t="shared" si="34"/>
        <v>2.1278941227446083E-3</v>
      </c>
      <c r="G65" s="127">
        <f t="shared" si="34"/>
        <v>2.4984215165176548E-3</v>
      </c>
      <c r="H65" s="127">
        <f t="shared" si="34"/>
        <v>1.5630830284821262E-3</v>
      </c>
      <c r="I65" s="127">
        <f t="shared" si="34"/>
        <v>7.0193015258567708E-4</v>
      </c>
      <c r="J65" s="127">
        <f t="shared" si="34"/>
        <v>5.1035597763491561E-4</v>
      </c>
      <c r="K65" s="127">
        <f t="shared" si="34"/>
        <v>3.4582506906173448E-4</v>
      </c>
      <c r="L65" s="127">
        <f t="shared" si="34"/>
        <v>4.4672739617909632E-4</v>
      </c>
      <c r="M65" s="127">
        <f t="shared" si="34"/>
        <v>4.97615488756732E-4</v>
      </c>
      <c r="N65" s="127">
        <f t="shared" si="34"/>
        <v>4.4241660417046008E-4</v>
      </c>
      <c r="O65" s="127">
        <f t="shared" si="34"/>
        <v>4.2448770134854871E-4</v>
      </c>
      <c r="P65" s="127">
        <f t="shared" si="34"/>
        <v>4.8651846005737129E-4</v>
      </c>
      <c r="Q65" s="127">
        <f t="shared" si="34"/>
        <v>4.6446823581432054E-4</v>
      </c>
      <c r="R65" s="127">
        <f t="shared" si="34"/>
        <v>5.1279038251130133E-4</v>
      </c>
      <c r="S65" s="127">
        <f t="shared" si="34"/>
        <v>4.6620606757543574E-4</v>
      </c>
      <c r="T65" s="127">
        <f t="shared" si="34"/>
        <v>4.5519662936662571E-4</v>
      </c>
      <c r="U65" s="127">
        <f t="shared" si="34"/>
        <v>3.7599387701360131E-4</v>
      </c>
      <c r="V65" s="127">
        <f t="shared" si="34"/>
        <v>5.609239818383197E-4</v>
      </c>
      <c r="W65" s="127">
        <f t="shared" ref="W65:Y65" si="35">IF(W19=0,0,W19/W$10)</f>
        <v>5.3408124367662949E-4</v>
      </c>
      <c r="X65" s="127">
        <f t="shared" si="35"/>
        <v>8.1745921197489866E-4</v>
      </c>
      <c r="Y65" s="127">
        <f t="shared" si="35"/>
        <v>4.3344051629833931E-4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 B13:Y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20" t="s">
        <v>45</v>
      </c>
      <c r="B4" s="26">
        <f>SUM(B5:B6)</f>
        <v>124.49795904</v>
      </c>
      <c r="C4" s="26">
        <f t="shared" ref="C4:W4" si="0">SUM(C5:C6)</f>
        <v>135.88380935999999</v>
      </c>
      <c r="D4" s="26">
        <f t="shared" si="0"/>
        <v>118.82103948</v>
      </c>
      <c r="E4" s="26">
        <f t="shared" si="0"/>
        <v>131.23071468000001</v>
      </c>
      <c r="F4" s="26">
        <f t="shared" si="0"/>
        <v>138.36787847999997</v>
      </c>
      <c r="G4" s="26">
        <f t="shared" si="0"/>
        <v>123.53202108000001</v>
      </c>
      <c r="H4" s="26">
        <f t="shared" si="0"/>
        <v>123.53202108000001</v>
      </c>
      <c r="I4" s="26">
        <f t="shared" si="0"/>
        <v>133.59260771999999</v>
      </c>
      <c r="J4" s="26">
        <f t="shared" si="0"/>
        <v>141.58340351999996</v>
      </c>
      <c r="K4" s="26">
        <f t="shared" si="0"/>
        <v>124.23466691999997</v>
      </c>
      <c r="L4" s="26">
        <f t="shared" si="0"/>
        <v>123.28500132000001</v>
      </c>
      <c r="M4" s="26">
        <f t="shared" si="0"/>
        <v>123.34582259999999</v>
      </c>
      <c r="N4" s="26">
        <f t="shared" si="0"/>
        <v>119.32468236</v>
      </c>
      <c r="O4" s="26">
        <f t="shared" si="0"/>
        <v>118.83384395999998</v>
      </c>
      <c r="P4" s="26">
        <f t="shared" si="0"/>
        <v>109.01387484</v>
      </c>
      <c r="Q4" s="26">
        <f t="shared" si="0"/>
        <v>111.09673692</v>
      </c>
      <c r="R4" s="26">
        <f t="shared" si="0"/>
        <v>113.14732103999999</v>
      </c>
      <c r="S4" s="26">
        <f t="shared" si="0"/>
        <v>116.79979896000002</v>
      </c>
      <c r="T4" s="26">
        <f t="shared" si="0"/>
        <v>118.02582792</v>
      </c>
      <c r="U4" s="26">
        <f t="shared" si="0"/>
        <v>123.50694563999998</v>
      </c>
      <c r="V4" s="26">
        <f t="shared" si="0"/>
        <v>98.398694160000005</v>
      </c>
      <c r="W4" s="26">
        <f t="shared" si="0"/>
        <v>106.41509891999998</v>
      </c>
      <c r="X4" s="26">
        <f t="shared" ref="X4:Y4" si="1">SUM(X5:X6)</f>
        <v>118.97896139999997</v>
      </c>
      <c r="Y4" s="26">
        <f t="shared" si="1"/>
        <v>124.74577908000001</v>
      </c>
      <c r="DA4" s="202" t="s">
        <v>1137</v>
      </c>
    </row>
    <row r="5" spans="1:105" ht="11.45" customHeight="1" x14ac:dyDescent="0.25">
      <c r="A5" s="107" t="s">
        <v>92</v>
      </c>
      <c r="B5" s="129">
        <v>124.49795904</v>
      </c>
      <c r="C5" s="129">
        <v>135.88380935999999</v>
      </c>
      <c r="D5" s="129">
        <v>118.82103948</v>
      </c>
      <c r="E5" s="129">
        <v>131.23071468000001</v>
      </c>
      <c r="F5" s="129">
        <v>138.36787847999997</v>
      </c>
      <c r="G5" s="129">
        <v>123.53202108000001</v>
      </c>
      <c r="H5" s="129">
        <v>123.53202108000001</v>
      </c>
      <c r="I5" s="129">
        <v>133.59260771999999</v>
      </c>
      <c r="J5" s="129">
        <v>141.58340351999996</v>
      </c>
      <c r="K5" s="129">
        <v>124.23466691999997</v>
      </c>
      <c r="L5" s="129">
        <v>123.28500132000001</v>
      </c>
      <c r="M5" s="129">
        <v>123.34582259999999</v>
      </c>
      <c r="N5" s="129">
        <v>119.32468236</v>
      </c>
      <c r="O5" s="129">
        <v>118.83384395999998</v>
      </c>
      <c r="P5" s="129">
        <v>109.01387484</v>
      </c>
      <c r="Q5" s="129">
        <v>111.09673692</v>
      </c>
      <c r="R5" s="129">
        <v>113.14732103999999</v>
      </c>
      <c r="S5" s="129">
        <v>116.79979896000002</v>
      </c>
      <c r="T5" s="129">
        <v>118.02582792</v>
      </c>
      <c r="U5" s="129">
        <v>123.50694563999998</v>
      </c>
      <c r="V5" s="129">
        <v>98.398694160000005</v>
      </c>
      <c r="W5" s="129">
        <v>106.41509891999998</v>
      </c>
      <c r="X5" s="129">
        <v>118.97896139999997</v>
      </c>
      <c r="Y5" s="129">
        <v>124.74577908000001</v>
      </c>
      <c r="DA5" s="203" t="s">
        <v>1138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178" t="s">
        <v>1139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DA7" s="171"/>
    </row>
    <row r="8" spans="1:105" ht="11.45" customHeight="1" x14ac:dyDescent="0.25">
      <c r="A8" s="53" t="s">
        <v>47</v>
      </c>
      <c r="B8" s="79">
        <f t="shared" ref="B8:W8" si="2">SUM(B9,B15)</f>
        <v>124.49795904000001</v>
      </c>
      <c r="C8" s="79">
        <f t="shared" si="2"/>
        <v>135.88380935999999</v>
      </c>
      <c r="D8" s="79">
        <f t="shared" si="2"/>
        <v>118.82103948</v>
      </c>
      <c r="E8" s="79">
        <f t="shared" si="2"/>
        <v>131.23071468000001</v>
      </c>
      <c r="F8" s="79">
        <f t="shared" si="2"/>
        <v>138.36787847999994</v>
      </c>
      <c r="G8" s="79">
        <f t="shared" si="2"/>
        <v>123.53202108000001</v>
      </c>
      <c r="H8" s="79">
        <f t="shared" si="2"/>
        <v>123.53202108000002</v>
      </c>
      <c r="I8" s="79">
        <f t="shared" si="2"/>
        <v>133.59260771999999</v>
      </c>
      <c r="J8" s="79">
        <f t="shared" si="2"/>
        <v>141.58340351999996</v>
      </c>
      <c r="K8" s="79">
        <f t="shared" si="2"/>
        <v>124.23466691999998</v>
      </c>
      <c r="L8" s="79">
        <f t="shared" si="2"/>
        <v>123.28500132000001</v>
      </c>
      <c r="M8" s="79">
        <f t="shared" si="2"/>
        <v>123.34582259999998</v>
      </c>
      <c r="N8" s="79">
        <f t="shared" si="2"/>
        <v>119.32468236000001</v>
      </c>
      <c r="O8" s="79">
        <f t="shared" si="2"/>
        <v>118.83384395999998</v>
      </c>
      <c r="P8" s="79">
        <f t="shared" si="2"/>
        <v>109.01387484000001</v>
      </c>
      <c r="Q8" s="79">
        <f t="shared" si="2"/>
        <v>111.09673692</v>
      </c>
      <c r="R8" s="79">
        <f t="shared" si="2"/>
        <v>113.14732104000001</v>
      </c>
      <c r="S8" s="79">
        <f t="shared" si="2"/>
        <v>116.79979896000003</v>
      </c>
      <c r="T8" s="79">
        <f t="shared" si="2"/>
        <v>118.02582792</v>
      </c>
      <c r="U8" s="79">
        <f t="shared" si="2"/>
        <v>123.50694563999998</v>
      </c>
      <c r="V8" s="79">
        <f t="shared" si="2"/>
        <v>98.398694160000005</v>
      </c>
      <c r="W8" s="79">
        <f t="shared" si="2"/>
        <v>106.41509891999999</v>
      </c>
      <c r="X8" s="79">
        <f t="shared" ref="X8:Y8" si="3">SUM(X9,X15)</f>
        <v>118.97896139999996</v>
      </c>
      <c r="Y8" s="79">
        <f t="shared" si="3"/>
        <v>124.74577908000001</v>
      </c>
      <c r="DA8" s="172" t="s">
        <v>1140</v>
      </c>
    </row>
    <row r="9" spans="1:105" ht="11.45" customHeight="1" x14ac:dyDescent="0.25">
      <c r="A9" s="27" t="s">
        <v>33</v>
      </c>
      <c r="B9" s="32">
        <f t="shared" ref="B9:W9" si="4">SUM(B10,B11,B14)</f>
        <v>106.62261994264695</v>
      </c>
      <c r="C9" s="32">
        <f t="shared" si="4"/>
        <v>116.76612661219342</v>
      </c>
      <c r="D9" s="32">
        <f t="shared" si="4"/>
        <v>102.33698056765495</v>
      </c>
      <c r="E9" s="32">
        <f t="shared" si="4"/>
        <v>115.96719265945093</v>
      </c>
      <c r="F9" s="32">
        <f t="shared" si="4"/>
        <v>123.97116674896689</v>
      </c>
      <c r="G9" s="32">
        <f t="shared" si="4"/>
        <v>112.97211760025081</v>
      </c>
      <c r="H9" s="32">
        <f t="shared" si="4"/>
        <v>116.43700075867878</v>
      </c>
      <c r="I9" s="32">
        <f t="shared" si="4"/>
        <v>129.06884739055084</v>
      </c>
      <c r="J9" s="32">
        <f t="shared" si="4"/>
        <v>138.04243075839076</v>
      </c>
      <c r="K9" s="32">
        <f t="shared" si="4"/>
        <v>121.85212291351422</v>
      </c>
      <c r="L9" s="32">
        <f t="shared" si="4"/>
        <v>120.3206272125141</v>
      </c>
      <c r="M9" s="32">
        <f t="shared" si="4"/>
        <v>119.95119660439822</v>
      </c>
      <c r="N9" s="32">
        <f t="shared" si="4"/>
        <v>116.49477733082411</v>
      </c>
      <c r="O9" s="32">
        <f t="shared" si="4"/>
        <v>115.79342159365542</v>
      </c>
      <c r="P9" s="32">
        <f t="shared" si="4"/>
        <v>105.82770214909633</v>
      </c>
      <c r="Q9" s="32">
        <f t="shared" si="4"/>
        <v>108.07506794171633</v>
      </c>
      <c r="R9" s="32">
        <f t="shared" si="4"/>
        <v>110.0070292738221</v>
      </c>
      <c r="S9" s="32">
        <f t="shared" si="4"/>
        <v>113.75672520989816</v>
      </c>
      <c r="T9" s="32">
        <f t="shared" si="4"/>
        <v>115.35076268277028</v>
      </c>
      <c r="U9" s="32">
        <f t="shared" si="4"/>
        <v>121.28727429489686</v>
      </c>
      <c r="V9" s="32">
        <f t="shared" si="4"/>
        <v>96.213919178874193</v>
      </c>
      <c r="W9" s="32">
        <f t="shared" si="4"/>
        <v>103.9866091532371</v>
      </c>
      <c r="X9" s="32">
        <f t="shared" ref="X9:Y9" si="5">SUM(X10,X11,X14)</f>
        <v>114.0837887536746</v>
      </c>
      <c r="Y9" s="32">
        <f t="shared" si="5"/>
        <v>122.10612398846649</v>
      </c>
      <c r="DA9" s="173" t="s">
        <v>407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X10" s="129">
        <v>0</v>
      </c>
      <c r="Y10" s="129">
        <v>0</v>
      </c>
      <c r="DA10" s="203" t="s">
        <v>408</v>
      </c>
    </row>
    <row r="11" spans="1:105" ht="11.45" customHeight="1" x14ac:dyDescent="0.25">
      <c r="A11" s="109" t="s">
        <v>24</v>
      </c>
      <c r="B11" s="130">
        <f t="shared" ref="B11:W11" si="6">SUM(B12:B13)</f>
        <v>106.62261994264695</v>
      </c>
      <c r="C11" s="130">
        <f t="shared" si="6"/>
        <v>116.76612661219342</v>
      </c>
      <c r="D11" s="130">
        <f t="shared" si="6"/>
        <v>102.33698056765495</v>
      </c>
      <c r="E11" s="130">
        <f t="shared" si="6"/>
        <v>115.96719265945093</v>
      </c>
      <c r="F11" s="130">
        <f t="shared" si="6"/>
        <v>123.97116674896689</v>
      </c>
      <c r="G11" s="130">
        <f t="shared" si="6"/>
        <v>112.97211760025081</v>
      </c>
      <c r="H11" s="130">
        <f t="shared" si="6"/>
        <v>116.43700075867878</v>
      </c>
      <c r="I11" s="130">
        <f t="shared" si="6"/>
        <v>129.06884739055084</v>
      </c>
      <c r="J11" s="130">
        <f t="shared" si="6"/>
        <v>138.04243075839076</v>
      </c>
      <c r="K11" s="130">
        <f t="shared" si="6"/>
        <v>121.85212291351422</v>
      </c>
      <c r="L11" s="130">
        <f t="shared" si="6"/>
        <v>120.3206272125141</v>
      </c>
      <c r="M11" s="130">
        <f t="shared" si="6"/>
        <v>119.95119660439822</v>
      </c>
      <c r="N11" s="130">
        <f t="shared" si="6"/>
        <v>116.49477733082411</v>
      </c>
      <c r="O11" s="130">
        <f t="shared" si="6"/>
        <v>115.79342159365542</v>
      </c>
      <c r="P11" s="130">
        <f t="shared" si="6"/>
        <v>105.82770214909633</v>
      </c>
      <c r="Q11" s="130">
        <f t="shared" si="6"/>
        <v>108.07506794171633</v>
      </c>
      <c r="R11" s="130">
        <f t="shared" si="6"/>
        <v>110.0070292738221</v>
      </c>
      <c r="S11" s="130">
        <f t="shared" si="6"/>
        <v>113.75672520989816</v>
      </c>
      <c r="T11" s="130">
        <f t="shared" si="6"/>
        <v>115.35076268277028</v>
      </c>
      <c r="U11" s="130">
        <f t="shared" si="6"/>
        <v>121.28727429489686</v>
      </c>
      <c r="V11" s="130">
        <f t="shared" si="6"/>
        <v>96.213919178874193</v>
      </c>
      <c r="W11" s="130">
        <f t="shared" si="6"/>
        <v>103.9866091532371</v>
      </c>
      <c r="X11" s="130">
        <f t="shared" ref="X11:Y11" si="7">SUM(X12:X13)</f>
        <v>114.0837887536746</v>
      </c>
      <c r="Y11" s="130">
        <f t="shared" si="7"/>
        <v>122.10612398846649</v>
      </c>
      <c r="DA11" s="176" t="s">
        <v>409</v>
      </c>
    </row>
    <row r="12" spans="1:105" ht="11.45" customHeight="1" x14ac:dyDescent="0.25">
      <c r="A12" s="111" t="s">
        <v>92</v>
      </c>
      <c r="B12" s="96">
        <v>106.62261994264695</v>
      </c>
      <c r="C12" s="96">
        <v>116.76612661219342</v>
      </c>
      <c r="D12" s="96">
        <v>102.33698056765495</v>
      </c>
      <c r="E12" s="96">
        <v>115.96719265945093</v>
      </c>
      <c r="F12" s="96">
        <v>123.97116674896689</v>
      </c>
      <c r="G12" s="96">
        <v>112.97211760025081</v>
      </c>
      <c r="H12" s="96">
        <v>116.43700075867878</v>
      </c>
      <c r="I12" s="96">
        <v>129.06884739055084</v>
      </c>
      <c r="J12" s="96">
        <v>138.04243075839076</v>
      </c>
      <c r="K12" s="96">
        <v>121.85212291351422</v>
      </c>
      <c r="L12" s="96">
        <v>120.3206272125141</v>
      </c>
      <c r="M12" s="96">
        <v>119.95119660439822</v>
      </c>
      <c r="N12" s="96">
        <v>116.49477733082411</v>
      </c>
      <c r="O12" s="96">
        <v>115.79342159365542</v>
      </c>
      <c r="P12" s="96">
        <v>105.82770214909633</v>
      </c>
      <c r="Q12" s="96">
        <v>108.07506794171633</v>
      </c>
      <c r="R12" s="96">
        <v>110.0070292738221</v>
      </c>
      <c r="S12" s="96">
        <v>113.75672520989816</v>
      </c>
      <c r="T12" s="96">
        <v>115.35076268277028</v>
      </c>
      <c r="U12" s="96">
        <v>121.28727429489686</v>
      </c>
      <c r="V12" s="96">
        <v>96.213919178874193</v>
      </c>
      <c r="W12" s="96">
        <v>103.9866091532371</v>
      </c>
      <c r="X12" s="96">
        <v>114.0837887536746</v>
      </c>
      <c r="Y12" s="96">
        <v>122.10612398846649</v>
      </c>
      <c r="DA12" s="171" t="s">
        <v>1141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X13" s="96">
        <v>0</v>
      </c>
      <c r="Y13" s="96">
        <v>0</v>
      </c>
      <c r="DA13" s="171" t="s">
        <v>1142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X14" s="131">
        <v>0</v>
      </c>
      <c r="Y14" s="131">
        <v>0</v>
      </c>
      <c r="DA14" s="204" t="s">
        <v>410</v>
      </c>
    </row>
    <row r="15" spans="1:105" ht="11.45" customHeight="1" x14ac:dyDescent="0.25">
      <c r="A15" s="27" t="s">
        <v>34</v>
      </c>
      <c r="B15" s="32">
        <f t="shared" ref="B15:W15" si="8">SUM(B16:B17)</f>
        <v>17.875339097353056</v>
      </c>
      <c r="C15" s="32">
        <f t="shared" si="8"/>
        <v>19.117682747806565</v>
      </c>
      <c r="D15" s="32">
        <f t="shared" si="8"/>
        <v>16.484058912345048</v>
      </c>
      <c r="E15" s="32">
        <f t="shared" si="8"/>
        <v>15.263522020549063</v>
      </c>
      <c r="F15" s="32">
        <f t="shared" si="8"/>
        <v>14.396711731033063</v>
      </c>
      <c r="G15" s="32">
        <f t="shared" si="8"/>
        <v>10.559903479749197</v>
      </c>
      <c r="H15" s="32">
        <f t="shared" si="8"/>
        <v>7.0950203213212406</v>
      </c>
      <c r="I15" s="32">
        <f t="shared" si="8"/>
        <v>4.5237603294491588</v>
      </c>
      <c r="J15" s="32">
        <f t="shared" si="8"/>
        <v>3.5409727616092099</v>
      </c>
      <c r="K15" s="32">
        <f t="shared" si="8"/>
        <v>2.3825440064857637</v>
      </c>
      <c r="L15" s="32">
        <f t="shared" si="8"/>
        <v>2.964374107485912</v>
      </c>
      <c r="M15" s="32">
        <f t="shared" si="8"/>
        <v>3.3946259956017557</v>
      </c>
      <c r="N15" s="32">
        <f t="shared" si="8"/>
        <v>2.8299050291758978</v>
      </c>
      <c r="O15" s="32">
        <f t="shared" si="8"/>
        <v>3.040422366344552</v>
      </c>
      <c r="P15" s="32">
        <f t="shared" si="8"/>
        <v>3.1861726909036836</v>
      </c>
      <c r="Q15" s="32">
        <f t="shared" si="8"/>
        <v>3.0216689782836652</v>
      </c>
      <c r="R15" s="32">
        <f t="shared" si="8"/>
        <v>3.1402917661779104</v>
      </c>
      <c r="S15" s="32">
        <f t="shared" si="8"/>
        <v>3.043073750101863</v>
      </c>
      <c r="T15" s="32">
        <f t="shared" si="8"/>
        <v>2.6750652372297217</v>
      </c>
      <c r="U15" s="32">
        <f t="shared" si="8"/>
        <v>2.2196713451031247</v>
      </c>
      <c r="V15" s="32">
        <f t="shared" si="8"/>
        <v>2.1847749811258117</v>
      </c>
      <c r="W15" s="32">
        <f t="shared" si="8"/>
        <v>2.4284897667628877</v>
      </c>
      <c r="X15" s="32">
        <f t="shared" ref="X15:Y15" si="9">SUM(X16:X17)</f>
        <v>4.895172646325368</v>
      </c>
      <c r="Y15" s="32">
        <f t="shared" si="9"/>
        <v>2.6396550915335193</v>
      </c>
      <c r="DA15" s="173" t="s">
        <v>414</v>
      </c>
    </row>
    <row r="16" spans="1:105" ht="11.45" customHeight="1" x14ac:dyDescent="0.25">
      <c r="A16" s="83" t="s">
        <v>92</v>
      </c>
      <c r="B16" s="96">
        <v>17.875339097353056</v>
      </c>
      <c r="C16" s="96">
        <v>19.117682747806565</v>
      </c>
      <c r="D16" s="96">
        <v>16.484058912345048</v>
      </c>
      <c r="E16" s="96">
        <v>15.263522020549063</v>
      </c>
      <c r="F16" s="96">
        <v>14.396711731033063</v>
      </c>
      <c r="G16" s="96">
        <v>10.559903479749197</v>
      </c>
      <c r="H16" s="96">
        <v>7.0950203213212406</v>
      </c>
      <c r="I16" s="96">
        <v>4.5237603294491588</v>
      </c>
      <c r="J16" s="96">
        <v>3.5409727616092099</v>
      </c>
      <c r="K16" s="96">
        <v>2.3825440064857637</v>
      </c>
      <c r="L16" s="96">
        <v>2.964374107485912</v>
      </c>
      <c r="M16" s="96">
        <v>3.3946259956017557</v>
      </c>
      <c r="N16" s="96">
        <v>2.8299050291758978</v>
      </c>
      <c r="O16" s="96">
        <v>3.040422366344552</v>
      </c>
      <c r="P16" s="96">
        <v>3.1861726909036836</v>
      </c>
      <c r="Q16" s="96">
        <v>3.0216689782836652</v>
      </c>
      <c r="R16" s="96">
        <v>3.1402917661779104</v>
      </c>
      <c r="S16" s="96">
        <v>3.043073750101863</v>
      </c>
      <c r="T16" s="96">
        <v>2.6750652372297217</v>
      </c>
      <c r="U16" s="96">
        <v>2.2196713451031247</v>
      </c>
      <c r="V16" s="96">
        <v>2.1847749811258117</v>
      </c>
      <c r="W16" s="96">
        <v>2.4284897667628877</v>
      </c>
      <c r="X16" s="96">
        <v>4.895172646325368</v>
      </c>
      <c r="Y16" s="96">
        <v>2.6396550915335193</v>
      </c>
      <c r="DA16" s="171" t="s">
        <v>1143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178" t="s">
        <v>1144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DA21" s="172"/>
    </row>
    <row r="22" spans="1:105" ht="11.45" customHeight="1" x14ac:dyDescent="0.25">
      <c r="A22" s="133" t="s">
        <v>45</v>
      </c>
      <c r="B22" s="134">
        <f>IF(B4=0,0,B4/TrRail_ene!B4)</f>
        <v>2.9387040974605441</v>
      </c>
      <c r="C22" s="134">
        <f>IF(C4=0,0,C4/TrRail_ene!C4)</f>
        <v>2.9517557479216863</v>
      </c>
      <c r="D22" s="134">
        <f>IF(D4=0,0,D4/TrRail_ene!D4)</f>
        <v>2.9500871843449192</v>
      </c>
      <c r="E22" s="134">
        <f>IF(E4=0,0,E4/TrRail_ene!E4)</f>
        <v>2.9638488371109037</v>
      </c>
      <c r="F22" s="134">
        <f>IF(F4=0,0,F4/TrRail_ene!F4)</f>
        <v>2.8271680974325282</v>
      </c>
      <c r="G22" s="134">
        <f>IF(G4=0,0,G4/TrRail_ene!G4)</f>
        <v>2.752345201204637</v>
      </c>
      <c r="H22" s="134">
        <f>IF(H4=0,0,H4/TrRail_ene!H4)</f>
        <v>2.7644785857015308</v>
      </c>
      <c r="I22" s="134">
        <f>IF(I4=0,0,I4/TrRail_ene!I4)</f>
        <v>2.815738064252562</v>
      </c>
      <c r="J22" s="134">
        <f>IF(J4=0,0,J4/TrRail_ene!J4)</f>
        <v>2.8154965168894055</v>
      </c>
      <c r="K22" s="134">
        <f>IF(K4=0,0,K4/TrRail_ene!K4)</f>
        <v>2.8301020633100178</v>
      </c>
      <c r="L22" s="134">
        <f>IF(L4=0,0,L4/TrRail_ene!L4)</f>
        <v>2.8240120329386924</v>
      </c>
      <c r="M22" s="134">
        <f>IF(M4=0,0,M4/TrRail_ene!M4)</f>
        <v>2.8251603934079483</v>
      </c>
      <c r="N22" s="134">
        <f>IF(N4=0,0,N4/TrRail_ene!N4)</f>
        <v>2.8188974953266399</v>
      </c>
      <c r="O22" s="134">
        <f>IF(O4=0,0,O4/TrRail_ene!O4)</f>
        <v>2.8361706689133781</v>
      </c>
      <c r="P22" s="134">
        <f>IF(P4=0,0,P4/TrRail_ene!P4)</f>
        <v>2.8318074927558179</v>
      </c>
      <c r="Q22" s="134">
        <f>IF(Q4=0,0,Q4/TrRail_ene!Q4)</f>
        <v>2.8241146611198058</v>
      </c>
      <c r="R22" s="134">
        <f>IF(R4=0,0,R4/TrRail_ene!R4)</f>
        <v>2.8073143669856058</v>
      </c>
      <c r="S22" s="134">
        <f>IF(S4=0,0,S4/TrRail_ene!S4)</f>
        <v>2.811057434388736</v>
      </c>
      <c r="T22" s="134">
        <f>IF(T4=0,0,T4/TrRail_ene!T4)</f>
        <v>2.7868833520993386</v>
      </c>
      <c r="U22" s="134">
        <f>IF(U4=0,0,U4/TrRail_ene!U4)</f>
        <v>2.7900466717684651</v>
      </c>
      <c r="V22" s="134">
        <f>IF(V4=0,0,V4/TrRail_ene!V4)</f>
        <v>2.7437167351909664</v>
      </c>
      <c r="W22" s="134">
        <f>IF(W4=0,0,W4/TrRail_ene!W4)</f>
        <v>2.7619929264304766</v>
      </c>
      <c r="X22" s="134">
        <f>IF(X4=0,0,X4/TrRail_ene!X4)</f>
        <v>2.7963368013216527</v>
      </c>
      <c r="Y22" s="134">
        <f>IF(Y4=0,0,Y4/TrRail_ene!Y4)</f>
        <v>2.7927532281016778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1.5512094000000001</v>
      </c>
      <c r="C23" s="129">
        <f>IF(C5=0,0,C5/SUM(TrRail_ene!C5:C7))</f>
        <v>1.5512094000000001</v>
      </c>
      <c r="D23" s="129">
        <f>IF(D5=0,0,D5/SUM(TrRail_ene!D5:D7))</f>
        <v>1.5512094000000001</v>
      </c>
      <c r="E23" s="129">
        <f>IF(E5=0,0,E5/SUM(TrRail_ene!E5:E7))</f>
        <v>1.5512094000000003</v>
      </c>
      <c r="F23" s="129">
        <f>IF(F5=0,0,F5/SUM(TrRail_ene!F5:F7))</f>
        <v>1.5512094000000001</v>
      </c>
      <c r="G23" s="129">
        <f>IF(G5=0,0,G5/SUM(TrRail_ene!G5:G7))</f>
        <v>1.5512094000000001</v>
      </c>
      <c r="H23" s="129">
        <f>IF(H5=0,0,H5/SUM(TrRail_ene!H5:H7))</f>
        <v>1.5512094000000001</v>
      </c>
      <c r="I23" s="129">
        <f>IF(I5=0,0,I5/SUM(TrRail_ene!I5:I7))</f>
        <v>1.5512094000000001</v>
      </c>
      <c r="J23" s="129">
        <f>IF(J5=0,0,J5/SUM(TrRail_ene!J5:J7))</f>
        <v>1.5512094000000001</v>
      </c>
      <c r="K23" s="129">
        <f>IF(K5=0,0,K5/SUM(TrRail_ene!K5:K7))</f>
        <v>1.5512094000000001</v>
      </c>
      <c r="L23" s="129">
        <f>IF(L5=0,0,L5/SUM(TrRail_ene!L5:L7))</f>
        <v>1.5512094000000001</v>
      </c>
      <c r="M23" s="129">
        <f>IF(M5=0,0,M5/SUM(TrRail_ene!M5:M7))</f>
        <v>1.5512094000000001</v>
      </c>
      <c r="N23" s="129">
        <f>IF(N5=0,0,N5/SUM(TrRail_ene!N5:N7))</f>
        <v>1.5512094000000001</v>
      </c>
      <c r="O23" s="129">
        <f>IF(O5=0,0,O5/SUM(TrRail_ene!O5:O7))</f>
        <v>1.5512094000000001</v>
      </c>
      <c r="P23" s="129">
        <f>IF(P5=0,0,P5/SUM(TrRail_ene!P5:P7))</f>
        <v>1.5512094000000001</v>
      </c>
      <c r="Q23" s="129">
        <f>IF(Q5=0,0,Q5/SUM(TrRail_ene!Q5:Q7))</f>
        <v>1.5512094000000001</v>
      </c>
      <c r="R23" s="129">
        <f>IF(R5=0,0,R5/SUM(TrRail_ene!R5:R7))</f>
        <v>1.5512094000000001</v>
      </c>
      <c r="S23" s="129">
        <f>IF(S5=0,0,S5/SUM(TrRail_ene!S5:S7))</f>
        <v>1.5512094000000001</v>
      </c>
      <c r="T23" s="129">
        <f>IF(T5=0,0,T5/SUM(TrRail_ene!T5:T7))</f>
        <v>1.5512094000000001</v>
      </c>
      <c r="U23" s="129">
        <f>IF(U5=0,0,U5/SUM(TrRail_ene!U5:U7))</f>
        <v>1.5512094000000001</v>
      </c>
      <c r="V23" s="129">
        <f>IF(V5=0,0,V5/SUM(TrRail_ene!V5:V7))</f>
        <v>1.5512094000000001</v>
      </c>
      <c r="W23" s="129">
        <f>IF(W5=0,0,W5/SUM(TrRail_ene!W5:W7))</f>
        <v>1.5512094000000001</v>
      </c>
      <c r="X23" s="129">
        <f>IF(X5=0,0,X5/SUM(TrRail_ene!X5:X7))</f>
        <v>1.5512094000000001</v>
      </c>
      <c r="Y23" s="129">
        <f>IF(Y5=0,0,Y5/SUM(TrRail_ene!Y5:Y7))</f>
        <v>1.5512094000000001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X24" s="98">
        <f>IF(X6=0,0,X6/TrRail_ene!X8)</f>
        <v>0</v>
      </c>
      <c r="Y24" s="98">
        <f>IF(Y6=0,0,Y6/TrRail_ene!Y8)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9948.9946604579945</v>
      </c>
      <c r="C26" s="54">
        <f>IF(C8=0,0,C8/TrRail_act!C14*1000)</f>
        <v>9943.4597914239439</v>
      </c>
      <c r="D26" s="54">
        <f>IF(D8=0,0,D8/TrRail_act!D14*1000)</f>
        <v>9486.1416551184884</v>
      </c>
      <c r="E26" s="54">
        <f>IF(E8=0,0,E8/TrRail_act!E14*1000)</f>
        <v>9324.8214402097601</v>
      </c>
      <c r="F26" s="54">
        <f>IF(F8=0,0,F8/TrRail_act!F14*1000)</f>
        <v>8283.7652473165181</v>
      </c>
      <c r="G26" s="54">
        <f>IF(G8=0,0,G8/TrRail_act!G14*1000)</f>
        <v>7334.2320713696035</v>
      </c>
      <c r="H26" s="54">
        <f>IF(H8=0,0,H8/TrRail_act!H14*1000)</f>
        <v>7192.9065792877591</v>
      </c>
      <c r="I26" s="54">
        <f>IF(I8=0,0,I8/TrRail_act!I14*1000)</f>
        <v>6901.8031910018062</v>
      </c>
      <c r="J26" s="54">
        <f>IF(J8=0,0,J8/TrRail_act!J14*1000)</f>
        <v>6967.6817761029306</v>
      </c>
      <c r="K26" s="54">
        <f>IF(K8=0,0,K8/TrRail_act!K14*1000)</f>
        <v>6522.0871443686283</v>
      </c>
      <c r="L26" s="54">
        <f>IF(L8=0,0,L8/TrRail_act!L14*1000)</f>
        <v>6289.4462533542064</v>
      </c>
      <c r="M26" s="54">
        <f>IF(M8=0,0,M8/TrRail_act!M14*1000)</f>
        <v>6037.4764821883673</v>
      </c>
      <c r="N26" s="54">
        <f>IF(N8=0,0,N8/TrRail_act!N14*1000)</f>
        <v>5649.848702207647</v>
      </c>
      <c r="O26" s="54">
        <f>IF(O8=0,0,O8/TrRail_act!O14*1000)</f>
        <v>5632.5155516234718</v>
      </c>
      <c r="P26" s="54">
        <f>IF(P8=0,0,P8/TrRail_act!P14*1000)</f>
        <v>5525.2009834649034</v>
      </c>
      <c r="Q26" s="54">
        <f>IF(Q8=0,0,Q8/TrRail_act!Q14*1000)</f>
        <v>5028.0932597257506</v>
      </c>
      <c r="R26" s="54">
        <f>IF(R8=0,0,R8/TrRail_act!R14*1000)</f>
        <v>4735.5288861111258</v>
      </c>
      <c r="S26" s="54">
        <f>IF(S8=0,0,S8/TrRail_act!S14*1000)</f>
        <v>4556.2728745396325</v>
      </c>
      <c r="T26" s="54">
        <f>IF(T8=0,0,T8/TrRail_act!T14*1000)</f>
        <v>4218.6562812145266</v>
      </c>
      <c r="U26" s="54">
        <f>IF(U8=0,0,U8/TrRail_act!U14*1000)</f>
        <v>4150.1594683120611</v>
      </c>
      <c r="V26" s="54">
        <f>IF(V8=0,0,V8/TrRail_act!V14*1000)</f>
        <v>3989.2288611154249</v>
      </c>
      <c r="W26" s="54">
        <f>IF(W8=0,0,W8/TrRail_act!W14*1000)</f>
        <v>3987.4032960660666</v>
      </c>
      <c r="X26" s="54">
        <f>IF(X8=0,0,X8/TrRail_act!X14*1000)</f>
        <v>4153.0775177377218</v>
      </c>
      <c r="Y26" s="54">
        <f>IF(Y8=0,0,Y8/TrRail_act!Y14*1000)</f>
        <v>4076.8657722523135</v>
      </c>
      <c r="DA26" s="172" t="s">
        <v>1145</v>
      </c>
    </row>
    <row r="27" spans="1:105" ht="11.45" customHeight="1" x14ac:dyDescent="0.25">
      <c r="A27" s="27" t="s">
        <v>33</v>
      </c>
      <c r="B27" s="28">
        <f>IF(B9=0,0,B9/TrRail_act!B15*1000)</f>
        <v>9247.1101020310343</v>
      </c>
      <c r="C27" s="28">
        <f>IF(C9=0,0,C9/TrRail_act!C15*1000)</f>
        <v>9243.3865535486075</v>
      </c>
      <c r="D27" s="28">
        <f>IF(D9=0,0,D9/TrRail_act!D15*1000)</f>
        <v>8806.0853282354583</v>
      </c>
      <c r="E27" s="28">
        <f>IF(E9=0,0,E9/TrRail_act!E15*1000)</f>
        <v>8766.5597508710889</v>
      </c>
      <c r="F27" s="28">
        <f>IF(F9=0,0,F9/TrRail_act!F15*1000)</f>
        <v>7818.2506340472</v>
      </c>
      <c r="G27" s="28">
        <f>IF(G9=0,0,G9/TrRail_act!G15*1000)</f>
        <v>6973.8139334529751</v>
      </c>
      <c r="H27" s="28">
        <f>IF(H9=0,0,H9/TrRail_act!H15*1000)</f>
        <v>6955.1701035660126</v>
      </c>
      <c r="I27" s="28">
        <f>IF(I9=0,0,I9/TrRail_act!I15*1000)</f>
        <v>6764.4492887948891</v>
      </c>
      <c r="J27" s="28">
        <f>IF(J9=0,0,J9/TrRail_act!J15*1000)</f>
        <v>6866.7564687928088</v>
      </c>
      <c r="K27" s="28">
        <f>IF(K9=0,0,K9/TrRail_act!K15*1000)</f>
        <v>6446.4202324363323</v>
      </c>
      <c r="L27" s="28">
        <f>IF(L9=0,0,L9/TrRail_act!L15*1000)</f>
        <v>6196.0650325295192</v>
      </c>
      <c r="M27" s="28">
        <f>IF(M9=0,0,M9/TrRail_act!M15*1000)</f>
        <v>5932.5892293903544</v>
      </c>
      <c r="N27" s="28">
        <f>IF(N9=0,0,N9/TrRail_act!N15*1000)</f>
        <v>5562.7398374992217</v>
      </c>
      <c r="O27" s="28">
        <f>IF(O9=0,0,O9/TrRail_act!O15*1000)</f>
        <v>5539.0755639431918</v>
      </c>
      <c r="P27" s="28">
        <f>IF(P9=0,0,P9/TrRail_act!P15*1000)</f>
        <v>5419.7518377243241</v>
      </c>
      <c r="Q27" s="28">
        <f>IF(Q9=0,0,Q9/TrRail_act!Q15*1000)</f>
        <v>4935.1144065712051</v>
      </c>
      <c r="R27" s="28">
        <f>IF(R9=0,0,R9/TrRail_act!R15*1000)</f>
        <v>4644.2372464141672</v>
      </c>
      <c r="S27" s="28">
        <f>IF(S9=0,0,S9/TrRail_act!S15*1000)</f>
        <v>4472.6341387941338</v>
      </c>
      <c r="T27" s="28">
        <f>IF(T9=0,0,T9/TrRail_act!T15*1000)</f>
        <v>4149.5895179299896</v>
      </c>
      <c r="U27" s="28">
        <f>IF(U9=0,0,U9/TrRail_act!U15*1000)</f>
        <v>4096.1500483007367</v>
      </c>
      <c r="V27" s="28">
        <f>IF(V9=0,0,V9/TrRail_act!V15*1000)</f>
        <v>3924.5207289556897</v>
      </c>
      <c r="W27" s="28">
        <f>IF(W9=0,0,W9/TrRail_act!W15*1000)</f>
        <v>3920.7831560434024</v>
      </c>
      <c r="X27" s="28">
        <f>IF(X9=0,0,X9/TrRail_act!X15*1000)</f>
        <v>4028.6938135901655</v>
      </c>
      <c r="Y27" s="28">
        <f>IF(Y9=0,0,Y9/TrRail_act!Y15*1000)</f>
        <v>4014.0628990162936</v>
      </c>
      <c r="DA27" s="173" t="s">
        <v>1146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X28" s="108">
        <f>IF(X10=0,0,X10/TrRail_act!X16*1000)</f>
        <v>0</v>
      </c>
      <c r="Y28" s="108">
        <f>IF(Y10=0,0,Y10/TrRail_act!Y16*1000)</f>
        <v>0</v>
      </c>
      <c r="DA28" s="203" t="s">
        <v>1147</v>
      </c>
    </row>
    <row r="29" spans="1:105" ht="11.45" customHeight="1" x14ac:dyDescent="0.25">
      <c r="A29" s="109" t="s">
        <v>24</v>
      </c>
      <c r="B29" s="110">
        <f>IF(B11=0,0,B11/TrRail_act!B17*1000)</f>
        <v>9247.1101020310343</v>
      </c>
      <c r="C29" s="110">
        <f>IF(C11=0,0,C11/TrRail_act!C17*1000)</f>
        <v>9243.3865535486075</v>
      </c>
      <c r="D29" s="110">
        <f>IF(D11=0,0,D11/TrRail_act!D17*1000)</f>
        <v>8806.0853282354583</v>
      </c>
      <c r="E29" s="110">
        <f>IF(E11=0,0,E11/TrRail_act!E17*1000)</f>
        <v>8766.5597508710889</v>
      </c>
      <c r="F29" s="110">
        <f>IF(F11=0,0,F11/TrRail_act!F17*1000)</f>
        <v>8144.250613754517</v>
      </c>
      <c r="G29" s="110">
        <f>IF(G11=0,0,G11/TrRail_act!G17*1000)</f>
        <v>7630.6318345540649</v>
      </c>
      <c r="H29" s="110">
        <f>IF(H11=0,0,H11/TrRail_act!H17*1000)</f>
        <v>7605.3686257343697</v>
      </c>
      <c r="I29" s="110">
        <f>IF(I11=0,0,I11/TrRail_act!I17*1000)</f>
        <v>7660.6825540243535</v>
      </c>
      <c r="J29" s="110">
        <f>IF(J11=0,0,J11/TrRail_act!J17*1000)</f>
        <v>7522.547612640803</v>
      </c>
      <c r="K29" s="110">
        <f>IF(K11=0,0,K11/TrRail_act!K17*1000)</f>
        <v>7123.5031658837743</v>
      </c>
      <c r="L29" s="110">
        <f>IF(L11=0,0,L11/TrRail_act!L17*1000)</f>
        <v>6829.7095045872684</v>
      </c>
      <c r="M29" s="110">
        <f>IF(M11=0,0,M11/TrRail_act!M17*1000)</f>
        <v>6540.3144130501832</v>
      </c>
      <c r="N29" s="110">
        <f>IF(N11=0,0,N11/TrRail_act!N17*1000)</f>
        <v>6138.7213745640629</v>
      </c>
      <c r="O29" s="110">
        <f>IF(O11=0,0,O11/TrRail_act!O17*1000)</f>
        <v>6157.3236464592255</v>
      </c>
      <c r="P29" s="110">
        <f>IF(P11=0,0,P11/TrRail_act!P17*1000)</f>
        <v>6104.1037417519055</v>
      </c>
      <c r="Q29" s="110">
        <f>IF(Q11=0,0,Q11/TrRail_act!Q17*1000)</f>
        <v>5536.4827110438264</v>
      </c>
      <c r="R29" s="110">
        <f>IF(R11=0,0,R11/TrRail_act!R17*1000)</f>
        <v>5162.9542058072866</v>
      </c>
      <c r="S29" s="110">
        <f>IF(S11=0,0,S11/TrRail_act!S17*1000)</f>
        <v>4931.4457102849883</v>
      </c>
      <c r="T29" s="110">
        <f>IF(T11=0,0,T11/TrRail_act!T17*1000)</f>
        <v>4772.8735757662844</v>
      </c>
      <c r="U29" s="110">
        <f>IF(U11=0,0,U11/TrRail_act!U17*1000)</f>
        <v>4642.6055747545252</v>
      </c>
      <c r="V29" s="110">
        <f>IF(V11=0,0,V11/TrRail_act!V17*1000)</f>
        <v>4484.7073056016043</v>
      </c>
      <c r="W29" s="110">
        <f>IF(W11=0,0,W11/TrRail_act!W17*1000)</f>
        <v>4440.7671486642121</v>
      </c>
      <c r="X29" s="110">
        <f>IF(X11=0,0,X11/TrRail_act!X17*1000)</f>
        <v>4402.4344241440704</v>
      </c>
      <c r="Y29" s="110">
        <f>IF(Y11=0,0,Y11/TrRail_act!Y17*1000)</f>
        <v>4362.6732647560711</v>
      </c>
      <c r="DA29" s="176" t="s">
        <v>1148</v>
      </c>
    </row>
    <row r="30" spans="1:105" ht="11.45" customHeight="1" x14ac:dyDescent="0.25">
      <c r="A30" s="111" t="s">
        <v>92</v>
      </c>
      <c r="B30" s="84">
        <f>IF(B12=0,0,B12/TrRail_act!B18*1000)</f>
        <v>10224.517600570221</v>
      </c>
      <c r="C30" s="84">
        <f>IF(C12=0,0,C12/TrRail_act!C18*1000)</f>
        <v>10132.516400723278</v>
      </c>
      <c r="D30" s="84">
        <f>IF(D12=0,0,D12/TrRail_act!D18*1000)</f>
        <v>9610.4992010286751</v>
      </c>
      <c r="E30" s="84">
        <f>IF(E12=0,0,E12/TrRail_act!E18*1000)</f>
        <v>9471.6928027824379</v>
      </c>
      <c r="F30" s="84">
        <f>IF(F12=0,0,F12/TrRail_act!F18*1000)</f>
        <v>9380.8621665403516</v>
      </c>
      <c r="G30" s="84">
        <f>IF(G12=0,0,G12/TrRail_act!G18*1000)</f>
        <v>8985.2406802417008</v>
      </c>
      <c r="H30" s="84">
        <f>IF(H12=0,0,H12/TrRail_act!H18*1000)</f>
        <v>8861.583065060564</v>
      </c>
      <c r="I30" s="84">
        <f>IF(I12=0,0,I12/TrRail_act!I18*1000)</f>
        <v>8573.9664068061229</v>
      </c>
      <c r="J30" s="84">
        <f>IF(J12=0,0,J12/TrRail_act!J18*1000)</f>
        <v>8492.3155784813825</v>
      </c>
      <c r="K30" s="84">
        <f>IF(K12=0,0,K12/TrRail_act!K18*1000)</f>
        <v>7917.9691526847637</v>
      </c>
      <c r="L30" s="84">
        <f>IF(L12=0,0,L12/TrRail_act!L18*1000)</f>
        <v>7600.1589412726253</v>
      </c>
      <c r="M30" s="84">
        <f>IF(M12=0,0,M12/TrRail_act!M18*1000)</f>
        <v>7255.7963745697216</v>
      </c>
      <c r="N30" s="84">
        <f>IF(N12=0,0,N12/TrRail_act!N18*1000)</f>
        <v>6781.3402702991498</v>
      </c>
      <c r="O30" s="84">
        <f>IF(O12=0,0,O12/TrRail_act!O18*1000)</f>
        <v>6744.5466158549607</v>
      </c>
      <c r="P30" s="84">
        <f>IF(P12=0,0,P12/TrRail_act!P18*1000)</f>
        <v>6695.6173378358399</v>
      </c>
      <c r="Q30" s="84">
        <f>IF(Q12=0,0,Q12/TrRail_act!Q18*1000)</f>
        <v>6042.4852339904601</v>
      </c>
      <c r="R30" s="84">
        <f>IF(R12=0,0,R12/TrRail_act!R18*1000)</f>
        <v>5650.7448900754225</v>
      </c>
      <c r="S30" s="84">
        <f>IF(S12=0,0,S12/TrRail_act!S18*1000)</f>
        <v>5373.6982797378687</v>
      </c>
      <c r="T30" s="84">
        <f>IF(T12=0,0,T12/TrRail_act!T18*1000)</f>
        <v>5174.8642473595291</v>
      </c>
      <c r="U30" s="84">
        <f>IF(U12=0,0,U12/TrRail_act!U18*1000)</f>
        <v>5030.5818974761842</v>
      </c>
      <c r="V30" s="84">
        <f>IF(V12=0,0,V12/TrRail_act!V18*1000)</f>
        <v>4925.0162796954201</v>
      </c>
      <c r="W30" s="84">
        <f>IF(W12=0,0,W12/TrRail_act!W18*1000)</f>
        <v>4847.2983963375045</v>
      </c>
      <c r="X30" s="84">
        <f>IF(X12=0,0,X12/TrRail_act!X18*1000)</f>
        <v>4789.8158765194758</v>
      </c>
      <c r="Y30" s="84">
        <f>IF(Y12=0,0,Y12/TrRail_act!Y18*1000)</f>
        <v>4747.1517738927541</v>
      </c>
      <c r="DA30" s="171" t="s">
        <v>1149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X31" s="84">
        <f>IF(X13=0,0,X13/TrRail_act!X19*1000)</f>
        <v>0</v>
      </c>
      <c r="Y31" s="84">
        <f>IF(Y13=0,0,Y13/TrRail_act!Y19*1000)</f>
        <v>0</v>
      </c>
      <c r="DA31" s="171" t="s">
        <v>1150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X32" s="113">
        <f>IF(X14=0,0,X14/TrRail_act!X20*1000)</f>
        <v>0</v>
      </c>
      <c r="Y32" s="113">
        <f>IF(Y14=0,0,Y14/TrRail_act!Y20*1000)</f>
        <v>0</v>
      </c>
      <c r="DA32" s="204" t="s">
        <v>1151</v>
      </c>
    </row>
    <row r="33" spans="1:105" ht="11.45" customHeight="1" x14ac:dyDescent="0.25">
      <c r="A33" s="27" t="s">
        <v>34</v>
      </c>
      <c r="B33" s="28">
        <f>IF(B15=0,0,B15/TrRail_act!B21*1000)</f>
        <v>18179.851618068122</v>
      </c>
      <c r="C33" s="28">
        <f>IF(C15=0,0,C15/TrRail_act!C21*1000)</f>
        <v>18502.475445573971</v>
      </c>
      <c r="D33" s="28">
        <f>IF(D15=0,0,D15/TrRail_act!D21*1000)</f>
        <v>18222.807470411812</v>
      </c>
      <c r="E33" s="28">
        <f>IF(E15=0,0,E15/TrRail_act!E21*1000)</f>
        <v>18065.26025905304</v>
      </c>
      <c r="F33" s="28">
        <f>IF(F15=0,0,F15/TrRail_act!F21*1000)</f>
        <v>17000.045829496412</v>
      </c>
      <c r="G33" s="28">
        <f>IF(G15=0,0,G15/TrRail_act!G21*1000)</f>
        <v>16404.055553575647</v>
      </c>
      <c r="H33" s="28">
        <f>IF(H15=0,0,H15/TrRail_act!H21*1000)</f>
        <v>16382.948707490194</v>
      </c>
      <c r="I33" s="28">
        <f>IF(I15=0,0,I15/TrRail_act!I21*1000)</f>
        <v>16406.920155072552</v>
      </c>
      <c r="J33" s="28">
        <f>IF(J15=0,0,J15/TrRail_act!J21*1000)</f>
        <v>16316.940441397473</v>
      </c>
      <c r="K33" s="28">
        <f>IF(K15=0,0,K15/TrRail_act!K21*1000)</f>
        <v>16318.089268610929</v>
      </c>
      <c r="L33" s="28">
        <f>IF(L15=0,0,L15/TrRail_act!L21*1000)</f>
        <v>16198.104658910988</v>
      </c>
      <c r="M33" s="28">
        <f>IF(M15=0,0,M15/TrRail_act!M21*1000)</f>
        <v>16088.274860671827</v>
      </c>
      <c r="N33" s="28">
        <f>IF(N15=0,0,N15/TrRail_act!N21*1000)</f>
        <v>15898.342860538753</v>
      </c>
      <c r="O33" s="28">
        <f>IF(O15=0,0,O15/TrRail_act!O21*1000)</f>
        <v>15753.483763443275</v>
      </c>
      <c r="P33" s="28">
        <f>IF(P15=0,0,P15/TrRail_act!P21*1000)</f>
        <v>15618.493582861194</v>
      </c>
      <c r="Q33" s="28">
        <f>IF(Q15=0,0,Q15/TrRail_act!Q21*1000)</f>
        <v>15416.678460630945</v>
      </c>
      <c r="R33" s="28">
        <f>IF(R15=0,0,R15/TrRail_act!R21*1000)</f>
        <v>15207.224049287703</v>
      </c>
      <c r="S33" s="28">
        <f>IF(S15=0,0,S15/TrRail_act!S21*1000)</f>
        <v>15139.67039851673</v>
      </c>
      <c r="T33" s="28">
        <f>IF(T15=0,0,T15/TrRail_act!T21*1000)</f>
        <v>14944.49853200962</v>
      </c>
      <c r="U33" s="28">
        <f>IF(U15=0,0,U15/TrRail_act!U21*1000)</f>
        <v>14847.299967244982</v>
      </c>
      <c r="V33" s="28">
        <f>IF(V15=0,0,V15/TrRail_act!V21*1000)</f>
        <v>14565.166540838745</v>
      </c>
      <c r="W33" s="28">
        <f>IF(W15=0,0,W15/TrRail_act!W21*1000)</f>
        <v>14636.349024628238</v>
      </c>
      <c r="X33" s="28">
        <f>IF(X15=0,0,X15/TrRail_act!X21*1000)</f>
        <v>14808.110046361391</v>
      </c>
      <c r="Y33" s="28">
        <f>IF(Y15=0,0,Y15/TrRail_act!Y21*1000)</f>
        <v>14757.620281947322</v>
      </c>
      <c r="DA33" s="173" t="s">
        <v>1152</v>
      </c>
    </row>
    <row r="34" spans="1:105" ht="11.45" customHeight="1" x14ac:dyDescent="0.25">
      <c r="A34" s="83" t="s">
        <v>92</v>
      </c>
      <c r="B34" s="84">
        <f>IF(B16=0,0,B16/TrRail_act!B22*1000)</f>
        <v>18179.851618068122</v>
      </c>
      <c r="C34" s="84">
        <f>IF(C16=0,0,C16/TrRail_act!C22*1000)</f>
        <v>18502.475445573971</v>
      </c>
      <c r="D34" s="84">
        <f>IF(D16=0,0,D16/TrRail_act!D22*1000)</f>
        <v>18415.079777540574</v>
      </c>
      <c r="E34" s="84">
        <f>IF(E16=0,0,E16/TrRail_act!E22*1000)</f>
        <v>18251.159962276186</v>
      </c>
      <c r="F34" s="84">
        <f>IF(F16=0,0,F16/TrRail_act!F22*1000)</f>
        <v>18001.645361393712</v>
      </c>
      <c r="G34" s="84">
        <f>IF(G16=0,0,G16/TrRail_act!G22*1000)</f>
        <v>17842.733665560758</v>
      </c>
      <c r="H34" s="84">
        <f>IF(H16=0,0,H16/TrRail_act!H22*1000)</f>
        <v>17741.772210766834</v>
      </c>
      <c r="I34" s="84">
        <f>IF(I16=0,0,I16/TrRail_act!I22*1000)</f>
        <v>17444.951177306299</v>
      </c>
      <c r="J34" s="84">
        <f>IF(J16=0,0,J16/TrRail_act!J22*1000)</f>
        <v>17351.258472908692</v>
      </c>
      <c r="K34" s="84">
        <f>IF(K16=0,0,K16/TrRail_act!K22*1000)</f>
        <v>17262.688365415292</v>
      </c>
      <c r="L34" s="84">
        <f>IF(L16=0,0,L16/TrRail_act!L22*1000)</f>
        <v>17172.671806006205</v>
      </c>
      <c r="M34" s="84">
        <f>IF(M16=0,0,M16/TrRail_act!M22*1000)</f>
        <v>17048.5757930654</v>
      </c>
      <c r="N34" s="84">
        <f>IF(N16=0,0,N16/TrRail_act!N22*1000)</f>
        <v>16884.762673357316</v>
      </c>
      <c r="O34" s="84">
        <f>IF(O16=0,0,O16/TrRail_act!O22*1000)</f>
        <v>16628.995671150933</v>
      </c>
      <c r="P34" s="84">
        <f>IF(P16=0,0,P16/TrRail_act!P22*1000)</f>
        <v>16511.839877347349</v>
      </c>
      <c r="Q34" s="84">
        <f>IF(Q16=0,0,Q16/TrRail_act!Q22*1000)</f>
        <v>16342.908322047073</v>
      </c>
      <c r="R34" s="84">
        <f>IF(R16=0,0,R16/TrRail_act!R22*1000)</f>
        <v>16217.344840759682</v>
      </c>
      <c r="S34" s="84">
        <f>IF(S16=0,0,S16/TrRail_act!S22*1000)</f>
        <v>16123.805721595068</v>
      </c>
      <c r="T34" s="84">
        <f>IF(T16=0,0,T16/TrRail_act!T22*1000)</f>
        <v>16054.005623038744</v>
      </c>
      <c r="U34" s="84">
        <f>IF(U16=0,0,U16/TrRail_act!U22*1000)</f>
        <v>16001.853912021325</v>
      </c>
      <c r="V34" s="84">
        <f>IF(V16=0,0,V16/TrRail_act!V22*1000)</f>
        <v>15962.851338657856</v>
      </c>
      <c r="W34" s="84">
        <f>IF(W16=0,0,W16/TrRail_act!W22*1000)</f>
        <v>15933.66180586595</v>
      </c>
      <c r="X34" s="84">
        <f>IF(X16=0,0,X16/TrRail_act!X22*1000)</f>
        <v>15911.804689957162</v>
      </c>
      <c r="Y34" s="84">
        <f>IF(Y16=0,0,Y16/TrRail_act!Y22*1000)</f>
        <v>15895.431531357164</v>
      </c>
      <c r="DA34" s="171" t="s">
        <v>1153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X35" s="86">
        <f>IF(X17=0,0,X17/TrRail_act!X23*1000)</f>
        <v>0</v>
      </c>
      <c r="Y35" s="86">
        <f>IF(Y17=0,0,Y17/TrRail_act!Y23*1000)</f>
        <v>0</v>
      </c>
      <c r="DA35" s="178" t="s">
        <v>1154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DA37" s="172"/>
    </row>
    <row r="38" spans="1:105" ht="11.45" customHeight="1" x14ac:dyDescent="0.25">
      <c r="A38" s="27" t="s">
        <v>160</v>
      </c>
      <c r="B38" s="29">
        <f>IF(B9=0,0,B9/TrRail_act!B4*1000)</f>
        <v>76.762145387074838</v>
      </c>
      <c r="C38" s="29">
        <f>IF(C9=0,0,C9/TrRail_act!C4*1000)</f>
        <v>77.073350899137566</v>
      </c>
      <c r="D38" s="29">
        <f>IF(D9=0,0,D9/TrRail_act!D4*1000)</f>
        <v>62.860553174235221</v>
      </c>
      <c r="E38" s="29">
        <f>IF(E9=0,0,E9/TrRail_act!E4*1000)</f>
        <v>72.434224022142985</v>
      </c>
      <c r="F38" s="29">
        <f>IF(F9=0,0,F9/TrRail_act!F4*1000)</f>
        <v>75.96272472363168</v>
      </c>
      <c r="G38" s="29">
        <f>IF(G9=0,0,G9/TrRail_act!G4*1000)</f>
        <v>59.741997673321421</v>
      </c>
      <c r="H38" s="29">
        <f>IF(H9=0,0,H9/TrRail_act!H4*1000)</f>
        <v>58.655188255904598</v>
      </c>
      <c r="I38" s="29">
        <f>IF(I9=0,0,I9/TrRail_act!I4*1000)</f>
        <v>59.151625751856479</v>
      </c>
      <c r="J38" s="29">
        <f>IF(J9=0,0,J9/TrRail_act!J4*1000)</f>
        <v>65.206627661025394</v>
      </c>
      <c r="K38" s="29">
        <f>IF(K9=0,0,K9/TrRail_act!K4*1000)</f>
        <v>67.136155875214442</v>
      </c>
      <c r="L38" s="29">
        <f>IF(L9=0,0,L9/TrRail_act!L4*1000)</f>
        <v>66.512231737155389</v>
      </c>
      <c r="M38" s="29">
        <f>IF(M9=0,0,M9/TrRail_act!M4*1000)</f>
        <v>67.540088178152146</v>
      </c>
      <c r="N38" s="29">
        <f>IF(N9=0,0,N9/TrRail_act!N4*1000)</f>
        <v>67.65085791569345</v>
      </c>
      <c r="O38" s="29">
        <f>IF(O9=0,0,O9/TrRail_act!O4*1000)</f>
        <v>67.367788915659489</v>
      </c>
      <c r="P38" s="29">
        <f>IF(P9=0,0,P9/TrRail_act!P4*1000)</f>
        <v>56.050643088714665</v>
      </c>
      <c r="Q38" s="29">
        <f>IF(Q9=0,0,Q9/TrRail_act!Q4*1000)</f>
        <v>51.521539312019748</v>
      </c>
      <c r="R38" s="29">
        <f>IF(R9=0,0,R9/TrRail_act!R4*1000)</f>
        <v>50.588449330583913</v>
      </c>
      <c r="S38" s="29">
        <f>IF(S9=0,0,S9/TrRail_act!S4*1000)</f>
        <v>49.311526878168699</v>
      </c>
      <c r="T38" s="29">
        <f>IF(T9=0,0,T9/TrRail_act!T4*1000)</f>
        <v>44.399831671582099</v>
      </c>
      <c r="U38" s="29">
        <f>IF(U9=0,0,U9/TrRail_act!U4*1000)</f>
        <v>44.853966754388722</v>
      </c>
      <c r="V38" s="29">
        <f>IF(V9=0,0,V9/TrRail_act!V4*1000)</f>
        <v>100.82059579505521</v>
      </c>
      <c r="W38" s="29">
        <f>IF(W9=0,0,W9/TrRail_act!W4*1000)</f>
        <v>104.86182579884807</v>
      </c>
      <c r="X38" s="29">
        <f>IF(X9=0,0,X9/TrRail_act!X4*1000)</f>
        <v>59.637912493421091</v>
      </c>
      <c r="Y38" s="29">
        <f>IF(Y9=0,0,Y9/TrRail_act!Y4*1000)</f>
        <v>50.019388861232649</v>
      </c>
      <c r="DA38" s="173" t="s">
        <v>440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X39" s="115">
        <f>IF(X10=0,0,X10/TrRail_act!X5*1000)</f>
        <v>0</v>
      </c>
      <c r="Y39" s="115">
        <f>IF(Y10=0,0,Y10/TrRail_act!Y5*1000)</f>
        <v>0</v>
      </c>
      <c r="DA39" s="203" t="s">
        <v>441</v>
      </c>
    </row>
    <row r="40" spans="1:105" ht="11.45" customHeight="1" x14ac:dyDescent="0.25">
      <c r="A40" s="109" t="s">
        <v>24</v>
      </c>
      <c r="B40" s="116">
        <f>IF(B11=0,0,B11/TrRail_act!B6*1000)</f>
        <v>76.762145387074838</v>
      </c>
      <c r="C40" s="116">
        <f>IF(C11=0,0,C11/TrRail_act!C6*1000)</f>
        <v>77.073350899137566</v>
      </c>
      <c r="D40" s="116">
        <f>IF(D11=0,0,D11/TrRail_act!D6*1000)</f>
        <v>62.860553174235221</v>
      </c>
      <c r="E40" s="116">
        <f>IF(E11=0,0,E11/TrRail_act!E6*1000)</f>
        <v>72.434224022142985</v>
      </c>
      <c r="F40" s="116">
        <f>IF(F11=0,0,F11/TrRail_act!F6*1000)</f>
        <v>78.363569373556814</v>
      </c>
      <c r="G40" s="116">
        <f>IF(G11=0,0,G11/TrRail_act!G6*1000)</f>
        <v>63.431845929394051</v>
      </c>
      <c r="H40" s="116">
        <f>IF(H11=0,0,H11/TrRail_act!H6*1000)</f>
        <v>62.199252542029257</v>
      </c>
      <c r="I40" s="116">
        <f>IF(I11=0,0,I11/TrRail_act!I6*1000)</f>
        <v>64.309341001769212</v>
      </c>
      <c r="J40" s="116">
        <f>IF(J11=0,0,J11/TrRail_act!J6*1000)</f>
        <v>69.85952973602771</v>
      </c>
      <c r="K40" s="116">
        <f>IF(K11=0,0,K11/TrRail_act!K6*1000)</f>
        <v>72.401736728172452</v>
      </c>
      <c r="L40" s="116">
        <f>IF(L11=0,0,L11/TrRail_act!L6*1000)</f>
        <v>71.7047837976842</v>
      </c>
      <c r="M40" s="116">
        <f>IF(M11=0,0,M11/TrRail_act!M6*1000)</f>
        <v>73.230278757263875</v>
      </c>
      <c r="N40" s="116">
        <f>IF(N11=0,0,N11/TrRail_act!N6*1000)</f>
        <v>73.824320234996264</v>
      </c>
      <c r="O40" s="116">
        <f>IF(O11=0,0,O11/TrRail_act!O6*1000)</f>
        <v>73.800778581042337</v>
      </c>
      <c r="P40" s="116">
        <f>IF(P11=0,0,P11/TrRail_act!P6*1000)</f>
        <v>61.242883188134449</v>
      </c>
      <c r="Q40" s="116">
        <f>IF(Q11=0,0,Q11/TrRail_act!Q6*1000)</f>
        <v>56.347793504544491</v>
      </c>
      <c r="R40" s="116">
        <f>IF(R11=0,0,R11/TrRail_act!R6*1000)</f>
        <v>55.252149308800654</v>
      </c>
      <c r="S40" s="116">
        <f>IF(S11=0,0,S11/TrRail_act!S6*1000)</f>
        <v>53.608258817105636</v>
      </c>
      <c r="T40" s="116">
        <f>IF(T11=0,0,T11/TrRail_act!T6*1000)</f>
        <v>50.570259834620906</v>
      </c>
      <c r="U40" s="116">
        <f>IF(U11=0,0,U11/TrRail_act!U6*1000)</f>
        <v>50.557429885325909</v>
      </c>
      <c r="V40" s="116">
        <f>IF(V11=0,0,V11/TrRail_act!V6*1000)</f>
        <v>115.36441148546066</v>
      </c>
      <c r="W40" s="116">
        <f>IF(W11=0,0,W11/TrRail_act!W6*1000)</f>
        <v>119.52483810716907</v>
      </c>
      <c r="X40" s="116">
        <f>IF(X11=0,0,X11/TrRail_act!X6*1000)</f>
        <v>65.265325373955719</v>
      </c>
      <c r="Y40" s="116">
        <f>IF(Y11=0,0,Y11/TrRail_act!Y6*1000)</f>
        <v>54.633612522803801</v>
      </c>
      <c r="DA40" s="176" t="s">
        <v>442</v>
      </c>
    </row>
    <row r="41" spans="1:105" ht="11.45" customHeight="1" x14ac:dyDescent="0.25">
      <c r="A41" s="111" t="s">
        <v>92</v>
      </c>
      <c r="B41" s="87">
        <f>IF(B12=0,0,B12/TrRail_act!B7*1000)</f>
        <v>87.938425745176431</v>
      </c>
      <c r="C41" s="87">
        <f>IF(C12=0,0,C12/TrRail_act!C7*1000)</f>
        <v>87.296131684052753</v>
      </c>
      <c r="D41" s="87">
        <f>IF(D12=0,0,D12/TrRail_act!D7*1000)</f>
        <v>72.999208308446299</v>
      </c>
      <c r="E41" s="87">
        <f>IF(E12=0,0,E12/TrRail_act!E7*1000)</f>
        <v>83.427127823106588</v>
      </c>
      <c r="F41" s="87">
        <f>IF(F12=0,0,F12/TrRail_act!F7*1000)</f>
        <v>89.8897970545231</v>
      </c>
      <c r="G41" s="87">
        <f>IF(G12=0,0,G12/TrRail_act!G7*1000)</f>
        <v>70.455213697528777</v>
      </c>
      <c r="H41" s="87">
        <f>IF(H12=0,0,H12/TrRail_act!H7*1000)</f>
        <v>68.179357268795357</v>
      </c>
      <c r="I41" s="87">
        <f>IF(I12=0,0,I12/TrRail_act!I7*1000)</f>
        <v>66.103274599906968</v>
      </c>
      <c r="J41" s="87">
        <f>IF(J12=0,0,J12/TrRail_act!J7*1000)</f>
        <v>72.622005121808712</v>
      </c>
      <c r="K41" s="87">
        <f>IF(K12=0,0,K12/TrRail_act!K7*1000)</f>
        <v>76.265178674577726</v>
      </c>
      <c r="L41" s="87">
        <f>IF(L12=0,0,L12/TrRail_act!L7*1000)</f>
        <v>76.003014123634728</v>
      </c>
      <c r="M41" s="87">
        <f>IF(M12=0,0,M12/TrRail_act!M7*1000)</f>
        <v>76.75057229136651</v>
      </c>
      <c r="N41" s="87">
        <f>IF(N12=0,0,N12/TrRail_act!N7*1000)</f>
        <v>76.905581408995445</v>
      </c>
      <c r="O41" s="87">
        <f>IF(O12=0,0,O12/TrRail_act!O7*1000)</f>
        <v>76.66089554206205</v>
      </c>
      <c r="P41" s="87">
        <f>IF(P12=0,0,P12/TrRail_act!P7*1000)</f>
        <v>63.420322641799366</v>
      </c>
      <c r="Q41" s="87">
        <f>IF(Q12=0,0,Q12/TrRail_act!Q7*1000)</f>
        <v>57.830000768642847</v>
      </c>
      <c r="R41" s="87">
        <f>IF(R12=0,0,R12/TrRail_act!R7*1000)</f>
        <v>56.743985166281803</v>
      </c>
      <c r="S41" s="87">
        <f>IF(S12=0,0,S12/TrRail_act!S7*1000)</f>
        <v>54.835603867640593</v>
      </c>
      <c r="T41" s="87">
        <f>IF(T12=0,0,T12/TrRail_act!T7*1000)</f>
        <v>51.559372733401403</v>
      </c>
      <c r="U41" s="87">
        <f>IF(U12=0,0,U12/TrRail_act!U7*1000)</f>
        <v>51.486047181073197</v>
      </c>
      <c r="V41" s="87">
        <f>IF(V12=0,0,V12/TrRail_act!V7*1000)</f>
        <v>120.2273092714982</v>
      </c>
      <c r="W41" s="87">
        <f>IF(W12=0,0,W12/TrRail_act!W7*1000)</f>
        <v>124.34303124772602</v>
      </c>
      <c r="X41" s="87">
        <f>IF(X12=0,0,X12/TrRail_act!X7*1000)</f>
        <v>71.325104091320398</v>
      </c>
      <c r="Y41" s="87">
        <f>IF(Y12=0,0,Y12/TrRail_act!Y7*1000)</f>
        <v>59.895512009775359</v>
      </c>
      <c r="DA41" s="171" t="s">
        <v>1155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X42" s="87">
        <f>IF(X13=0,0,X13/TrRail_act!X8*1000)</f>
        <v>0</v>
      </c>
      <c r="Y42" s="87">
        <f>IF(Y13=0,0,Y13/TrRail_act!Y8*1000)</f>
        <v>0</v>
      </c>
      <c r="DA42" s="171" t="s">
        <v>1156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X43" s="117">
        <f>IF(X14=0,0,X14/TrRail_act!X9*1000)</f>
        <v>0</v>
      </c>
      <c r="Y43" s="117">
        <f>IF(Y14=0,0,Y14/TrRail_act!Y9*1000)</f>
        <v>0</v>
      </c>
      <c r="DA43" s="204" t="s">
        <v>443</v>
      </c>
    </row>
    <row r="44" spans="1:105" ht="11.45" customHeight="1" x14ac:dyDescent="0.25">
      <c r="A44" s="27" t="s">
        <v>159</v>
      </c>
      <c r="B44" s="29">
        <f>IF(B15=0,0,B15/TrRail_act!B10*1000)</f>
        <v>36.405985941655914</v>
      </c>
      <c r="C44" s="29">
        <f>IF(C15=0,0,C15/TrRail_act!C10*1000)</f>
        <v>37.04977276706699</v>
      </c>
      <c r="D44" s="29">
        <f>IF(D15=0,0,D15/TrRail_act!D10*1000)</f>
        <v>38.694973972640959</v>
      </c>
      <c r="E44" s="29">
        <f>IF(E15=0,0,E15/TrRail_act!E10*1000)</f>
        <v>38.350557840575533</v>
      </c>
      <c r="F44" s="29">
        <f>IF(F15=0,0,F15/TrRail_act!F10*1000)</f>
        <v>36.08198428830341</v>
      </c>
      <c r="G44" s="29">
        <f>IF(G15=0,0,G15/TrRail_act!G10*1000)</f>
        <v>34.851166599832332</v>
      </c>
      <c r="H44" s="29">
        <f>IF(H15=0,0,H15/TrRail_act!H10*1000)</f>
        <v>34.609855225957268</v>
      </c>
      <c r="I44" s="29">
        <f>IF(I15=0,0,I15/TrRail_act!I10*1000)</f>
        <v>35.06790953061364</v>
      </c>
      <c r="J44" s="29">
        <f>IF(J15=0,0,J15/TrRail_act!J10*1000)</f>
        <v>34.378376326303005</v>
      </c>
      <c r="K44" s="29">
        <f>IF(K15=0,0,K15/TrRail_act!K10*1000)</f>
        <v>30.158784892224858</v>
      </c>
      <c r="L44" s="29">
        <f>IF(L15=0,0,L15/TrRail_act!L10*1000)</f>
        <v>32.221457690064256</v>
      </c>
      <c r="M44" s="29">
        <f>IF(M15=0,0,M15/TrRail_act!M10*1000)</f>
        <v>32.32977138668339</v>
      </c>
      <c r="N44" s="29">
        <f>IF(N15=0,0,N15/TrRail_act!N10*1000)</f>
        <v>31.097857463471403</v>
      </c>
      <c r="O44" s="29">
        <f>IF(O15=0,0,O15/TrRail_act!O10*1000)</f>
        <v>30.711337033783352</v>
      </c>
      <c r="P44" s="29">
        <f>IF(P15=0,0,P15/TrRail_act!P10*1000)</f>
        <v>31.86172690903684</v>
      </c>
      <c r="Q44" s="29">
        <f>IF(Q15=0,0,Q15/TrRail_act!Q10*1000)</f>
        <v>31.475718523788178</v>
      </c>
      <c r="R44" s="29">
        <f>IF(R15=0,0,R15/TrRail_act!R10*1000)</f>
        <v>31.091997684929808</v>
      </c>
      <c r="S44" s="29">
        <f>IF(S15=0,0,S15/TrRail_act!S10*1000)</f>
        <v>30.43073750101863</v>
      </c>
      <c r="T44" s="29">
        <f>IF(T15=0,0,T15/TrRail_act!T10*1000)</f>
        <v>30.056912777862042</v>
      </c>
      <c r="U44" s="29">
        <f>IF(U15=0,0,U15/TrRail_act!U10*1000)</f>
        <v>30.828768681987842</v>
      </c>
      <c r="V44" s="29">
        <f>IF(V15=0,0,V15/TrRail_act!V10*1000)</f>
        <v>29.523986231429888</v>
      </c>
      <c r="W44" s="29">
        <f>IF(W15=0,0,W15/TrRail_act!W10*1000)</f>
        <v>34.692710953755544</v>
      </c>
      <c r="X44" s="29">
        <f>IF(X15=0,0,X15/TrRail_act!X10*1000)</f>
        <v>60.434230201547756</v>
      </c>
      <c r="Y44" s="29">
        <f>IF(Y15=0,0,Y15/TrRail_act!Y10*1000)</f>
        <v>34.732303835967357</v>
      </c>
      <c r="DA44" s="173" t="s">
        <v>448</v>
      </c>
    </row>
    <row r="45" spans="1:105" ht="11.45" customHeight="1" x14ac:dyDescent="0.25">
      <c r="A45" s="83" t="s">
        <v>92</v>
      </c>
      <c r="B45" s="87">
        <f>IF(B16=0,0,B16/TrRail_act!B11*1000)</f>
        <v>36.405985941655914</v>
      </c>
      <c r="C45" s="87">
        <f>IF(C16=0,0,C16/TrRail_act!C11*1000)</f>
        <v>37.04977276706699</v>
      </c>
      <c r="D45" s="87">
        <f>IF(D16=0,0,D16/TrRail_act!D11*1000)</f>
        <v>39.050299720782739</v>
      </c>
      <c r="E45" s="87">
        <f>IF(E16=0,0,E16/TrRail_act!E11*1000)</f>
        <v>38.702720906145558</v>
      </c>
      <c r="F45" s="87">
        <f>IF(F16=0,0,F16/TrRail_act!F11*1000)</f>
        <v>38.015152276589554</v>
      </c>
      <c r="G45" s="87">
        <f>IF(G16=0,0,G16/TrRail_act!G11*1000)</f>
        <v>37.630455278534569</v>
      </c>
      <c r="H45" s="87">
        <f>IF(H16=0,0,H16/TrRail_act!H11*1000)</f>
        <v>37.21969171071413</v>
      </c>
      <c r="I45" s="87">
        <f>IF(I16=0,0,I16/TrRail_act!I11*1000)</f>
        <v>37.083784539897366</v>
      </c>
      <c r="J45" s="87">
        <f>IF(J16=0,0,J16/TrRail_act!J11*1000)</f>
        <v>36.357464405519067</v>
      </c>
      <c r="K45" s="87">
        <f>IF(K16=0,0,K16/TrRail_act!K11*1000)</f>
        <v>31.744506654163299</v>
      </c>
      <c r="L45" s="87">
        <f>IF(L16=0,0,L16/TrRail_act!L11*1000)</f>
        <v>33.982455654389327</v>
      </c>
      <c r="M45" s="87">
        <f>IF(M16=0,0,M16/TrRail_act!M11*1000)</f>
        <v>34.084024184271733</v>
      </c>
      <c r="N45" s="87">
        <f>IF(N16=0,0,N16/TrRail_act!N11*1000)</f>
        <v>32.851824846103113</v>
      </c>
      <c r="O45" s="87">
        <f>IF(O16=0,0,O16/TrRail_act!O11*1000)</f>
        <v>32.262916689219928</v>
      </c>
      <c r="P45" s="87">
        <f>IF(P16=0,0,P16/TrRail_act!P11*1000)</f>
        <v>33.518534895924866</v>
      </c>
      <c r="Q45" s="87">
        <f>IF(Q16=0,0,Q16/TrRail_act!Q11*1000)</f>
        <v>33.194857281719635</v>
      </c>
      <c r="R45" s="87">
        <f>IF(R16=0,0,R16/TrRail_act!R11*1000)</f>
        <v>32.96949492560455</v>
      </c>
      <c r="S45" s="87">
        <f>IF(S16=0,0,S16/TrRail_act!S11*1000)</f>
        <v>32.229021136825416</v>
      </c>
      <c r="T45" s="87">
        <f>IF(T16=0,0,T16/TrRail_act!T11*1000)</f>
        <v>32.085531463196197</v>
      </c>
      <c r="U45" s="87">
        <f>IF(U16=0,0,U16/TrRail_act!U11*1000)</f>
        <v>33.008135029766422</v>
      </c>
      <c r="V45" s="87">
        <f>IF(V16=0,0,V16/TrRail_act!V11*1000)</f>
        <v>32.099572468197294</v>
      </c>
      <c r="W45" s="87">
        <f>IF(W16=0,0,W16/TrRail_act!W11*1000)</f>
        <v>37.490481856655343</v>
      </c>
      <c r="X45" s="87">
        <f>IF(X16=0,0,X16/TrRail_act!X11*1000)</f>
        <v>64.573290548013247</v>
      </c>
      <c r="Y45" s="87">
        <f>IF(Y16=0,0,Y16/TrRail_act!Y11*1000)</f>
        <v>37.154641484338029</v>
      </c>
      <c r="DA45" s="171" t="s">
        <v>1157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X46" s="88">
        <f>IF(X17=0,0,X17/TrRail_act!X12*1000)</f>
        <v>0</v>
      </c>
      <c r="Y46" s="88">
        <f>IF(Y17=0,0,Y17/TrRail_act!Y12*1000)</f>
        <v>0</v>
      </c>
      <c r="DA46" s="178" t="s">
        <v>1158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1522.2516743147721</v>
      </c>
      <c r="C48" s="62">
        <f>IF(C8=0,0,1000000*C8/TrRail_act!C25/1000)</f>
        <v>1520.2553223415357</v>
      </c>
      <c r="D48" s="62">
        <f>IF(D8=0,0,1000000*D8/TrRail_act!D25/1000)</f>
        <v>1442.5859456280004</v>
      </c>
      <c r="E48" s="62">
        <f>IF(E8=0,0,1000000*E8/TrRail_act!E25/1000)</f>
        <v>1419.9495460254618</v>
      </c>
      <c r="F48" s="62">
        <f>IF(F8=0,0,1000000*F8/TrRail_act!F25/1000)</f>
        <v>1241.1463452559328</v>
      </c>
      <c r="G48" s="62">
        <f>IF(G8=0,0,1000000*G8/TrRail_act!G25/1000)</f>
        <v>1072.8530614767751</v>
      </c>
      <c r="H48" s="62">
        <f>IF(H8=0,0,1000000*H8/TrRail_act!H25/1000)</f>
        <v>1043.7697826435056</v>
      </c>
      <c r="I48" s="62">
        <f>IF(I8=0,0,1000000*I8/TrRail_act!I25/1000)</f>
        <v>973.93656022542723</v>
      </c>
      <c r="J48" s="62">
        <f>IF(J8=0,0,1000000*J8/TrRail_act!J25/1000)</f>
        <v>976.96606032629325</v>
      </c>
      <c r="K48" s="62">
        <f>IF(K8=0,0,1000000*K8/TrRail_act!K25/1000)</f>
        <v>900.74754104179954</v>
      </c>
      <c r="L48" s="62">
        <f>IF(L8=0,0,1000000*L8/TrRail_act!L25/1000)</f>
        <v>882.85037418934382</v>
      </c>
      <c r="M48" s="62">
        <f>IF(M8=0,0,1000000*M8/TrRail_act!M25/1000)</f>
        <v>857.65930999746979</v>
      </c>
      <c r="N48" s="62">
        <f>IF(N8=0,0,1000000*N8/TrRail_act!N25/1000)</f>
        <v>806.76940294706606</v>
      </c>
      <c r="O48" s="62">
        <f>IF(O8=0,0,1000000*O8/TrRail_act!O25/1000)</f>
        <v>807.42021442356986</v>
      </c>
      <c r="P48" s="62">
        <f>IF(P8=0,0,1000000*P8/TrRail_act!P25/1000)</f>
        <v>781.23239648784283</v>
      </c>
      <c r="Q48" s="62">
        <f>IF(Q8=0,0,1000000*Q8/TrRail_act!Q25/1000)</f>
        <v>726.38286941429647</v>
      </c>
      <c r="R48" s="62">
        <f>IF(R8=0,0,1000000*R8/TrRail_act!R25/1000)</f>
        <v>686.12069368875052</v>
      </c>
      <c r="S48" s="62">
        <f>IF(S8=0,0,1000000*S8/TrRail_act!S25/1000)</f>
        <v>661.29900228379586</v>
      </c>
      <c r="T48" s="62">
        <f>IF(T8=0,0,1000000*T8/TrRail_act!T25/1000)</f>
        <v>604.59797011721537</v>
      </c>
      <c r="U48" s="62">
        <f>IF(U8=0,0,1000000*U8/TrRail_act!U25/1000)</f>
        <v>593.44175264793705</v>
      </c>
      <c r="V48" s="62">
        <f>IF(V8=0,0,1000000*V8/TrRail_act!V25/1000)</f>
        <v>490.73480228134673</v>
      </c>
      <c r="W48" s="62">
        <f>IF(W8=0,0,1000000*W8/TrRail_act!W25/1000)</f>
        <v>548.68899349361095</v>
      </c>
      <c r="X48" s="62">
        <f>IF(X8=0,0,1000000*X8/TrRail_act!X25/1000)</f>
        <v>573.23369573007255</v>
      </c>
      <c r="Y48" s="62">
        <f>IF(Y8=0,0,1000000*Y8/TrRail_act!Y25/1000)</f>
        <v>564.71746227131916</v>
      </c>
      <c r="DA48" s="172" t="s">
        <v>1159</v>
      </c>
    </row>
    <row r="49" spans="1:105" ht="11.45" customHeight="1" x14ac:dyDescent="0.25">
      <c r="A49" s="27" t="s">
        <v>33</v>
      </c>
      <c r="B49" s="29">
        <f>IF(B9=0,0,1000000*B9/TrRail_act!B26/1000)</f>
        <v>1387.0664982867634</v>
      </c>
      <c r="C49" s="29">
        <f>IF(C9=0,0,1000000*C9/TrRail_act!C26/1000)</f>
        <v>1386.5079762617663</v>
      </c>
      <c r="D49" s="29">
        <f>IF(D9=0,0,1000000*D9/TrRail_act!D26/1000)</f>
        <v>1318.0137923337161</v>
      </c>
      <c r="E49" s="29">
        <f>IF(E9=0,0,1000000*E9/TrRail_act!E26/1000)</f>
        <v>1314.9839438064848</v>
      </c>
      <c r="F49" s="29">
        <f>IF(F9=0,0,1000000*F9/TrRail_act!F26/1000)</f>
        <v>1155.9124317717094</v>
      </c>
      <c r="G49" s="29">
        <f>IF(G9=0,0,1000000*G9/TrRail_act!G26/1000)</f>
        <v>1014.3232161846321</v>
      </c>
      <c r="H49" s="29">
        <f>IF(H9=0,0,1000000*H9/TrRail_act!H26/1000)</f>
        <v>1011.8200269461703</v>
      </c>
      <c r="I49" s="29">
        <f>IF(I9=0,0,1000000*I9/TrRail_act!I26/1000)</f>
        <v>960.44591661957838</v>
      </c>
      <c r="J49" s="29">
        <f>IF(J9=0,0,1000000*J9/TrRail_act!J26/1000)</f>
        <v>967.83744862005767</v>
      </c>
      <c r="K49" s="29">
        <f>IF(K9=0,0,1000000*K9/TrRail_act!K26/1000)</f>
        <v>895.15640602921781</v>
      </c>
      <c r="L49" s="29">
        <f>IF(L9=0,0,1000000*L9/TrRail_act!L26/1000)</f>
        <v>869.77230201637644</v>
      </c>
      <c r="M49" s="29">
        <f>IF(M9=0,0,1000000*M9/TrRail_act!M26/1000)</f>
        <v>841.39844880360158</v>
      </c>
      <c r="N49" s="29">
        <f>IF(N9=0,0,1000000*N9/TrRail_act!N26/1000)</f>
        <v>793.52445027116323</v>
      </c>
      <c r="O49" s="29">
        <f>IF(O9=0,0,1000000*O9/TrRail_act!O26/1000)</f>
        <v>793.08674537074319</v>
      </c>
      <c r="P49" s="29">
        <f>IF(P9=0,0,1000000*P9/TrRail_act!P26/1000)</f>
        <v>765.11229471635011</v>
      </c>
      <c r="Q49" s="29">
        <f>IF(Q9=0,0,1000000*Q9/TrRail_act!Q26/1000)</f>
        <v>712.13916059392056</v>
      </c>
      <c r="R49" s="29">
        <f>IF(R9=0,0,1000000*R9/TrRail_act!R26/1000)</f>
        <v>672.08162406957911</v>
      </c>
      <c r="S49" s="29">
        <f>IF(S9=0,0,1000000*S9/TrRail_act!S26/1000)</f>
        <v>648.48731481536072</v>
      </c>
      <c r="T49" s="29">
        <f>IF(T9=0,0,1000000*T9/TrRail_act!T26/1000)</f>
        <v>594.22074809569233</v>
      </c>
      <c r="U49" s="29">
        <f>IF(U9=0,0,1000000*U9/TrRail_act!U26/1000)</f>
        <v>585.45752559544144</v>
      </c>
      <c r="V49" s="29">
        <f>IF(V9=0,0,1000000*V9/TrRail_act!V26/1000)</f>
        <v>482.10826440244756</v>
      </c>
      <c r="W49" s="29">
        <f>IF(W9=0,0,1000000*W9/TrRail_act!W26/1000)</f>
        <v>539.00659453873152</v>
      </c>
      <c r="X49" s="29">
        <f>IF(X9=0,0,1000000*X9/TrRail_act!X26/1000)</f>
        <v>554.45138968141714</v>
      </c>
      <c r="Y49" s="29">
        <f>IF(Y9=0,0,1000000*Y9/TrRail_act!Y26/1000)</f>
        <v>556.0557027502191</v>
      </c>
      <c r="DA49" s="173" t="s">
        <v>1160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X50" s="115">
        <f>IF(X10=0,0,1000000*X10/TrRail_act!X27/1000)</f>
        <v>0</v>
      </c>
      <c r="Y50" s="115">
        <f>IF(Y10=0,0,1000000*Y10/TrRail_act!Y27/1000)</f>
        <v>0</v>
      </c>
      <c r="DA50" s="203" t="s">
        <v>1161</v>
      </c>
    </row>
    <row r="51" spans="1:105" ht="11.45" customHeight="1" x14ac:dyDescent="0.25">
      <c r="A51" s="109" t="s">
        <v>24</v>
      </c>
      <c r="B51" s="116">
        <f>IF(B11=0,0,1000000*B11/TrRail_act!B28/1000)</f>
        <v>1387.0664982867634</v>
      </c>
      <c r="C51" s="116">
        <f>IF(C11=0,0,1000000*C11/TrRail_act!C28/1000)</f>
        <v>1386.5079762617663</v>
      </c>
      <c r="D51" s="116">
        <f>IF(D11=0,0,1000000*D11/TrRail_act!D28/1000)</f>
        <v>1318.0137923337161</v>
      </c>
      <c r="E51" s="116">
        <f>IF(E11=0,0,1000000*E11/TrRail_act!E28/1000)</f>
        <v>1314.9839438064848</v>
      </c>
      <c r="F51" s="116">
        <f>IF(F11=0,0,1000000*F11/TrRail_act!F28/1000)</f>
        <v>1221.6375761989329</v>
      </c>
      <c r="G51" s="116">
        <f>IF(G11=0,0,1000000*G11/TrRail_act!G28/1000)</f>
        <v>1144.5947614271927</v>
      </c>
      <c r="H51" s="116">
        <f>IF(H11=0,0,1000000*H11/TrRail_act!H28/1000)</f>
        <v>1140.8052826903734</v>
      </c>
      <c r="I51" s="116">
        <f>IF(I11=0,0,1000000*I11/TrRail_act!I28/1000)</f>
        <v>1131.2786031501523</v>
      </c>
      <c r="J51" s="116">
        <f>IF(J11=0,0,1000000*J11/TrRail_act!J28/1000)</f>
        <v>1128.3821370181709</v>
      </c>
      <c r="K51" s="116">
        <f>IF(K11=0,0,1000000*K11/TrRail_act!K28/1000)</f>
        <v>1051.9850159325188</v>
      </c>
      <c r="L51" s="116">
        <f>IF(L11=0,0,1000000*L11/TrRail_act!L28/1000)</f>
        <v>1019.2982965194287</v>
      </c>
      <c r="M51" s="116">
        <f>IF(M11=0,0,1000000*M11/TrRail_act!M28/1000)</f>
        <v>981.04715629816394</v>
      </c>
      <c r="N51" s="116">
        <f>IF(N11=0,0,1000000*N11/TrRail_act!N28/1000)</f>
        <v>920.80819639523634</v>
      </c>
      <c r="O51" s="116">
        <f>IF(O11=0,0,1000000*O11/TrRail_act!O28/1000)</f>
        <v>921.11320224428232</v>
      </c>
      <c r="P51" s="116">
        <f>IF(P11=0,0,1000000*P11/TrRail_act!P28/1000)</f>
        <v>896.6671881940448</v>
      </c>
      <c r="Q51" s="116">
        <f>IF(Q11=0,0,1000000*Q11/TrRail_act!Q28/1000)</f>
        <v>830.4723998499237</v>
      </c>
      <c r="R51" s="116">
        <f>IF(R11=0,0,1000000*R11/TrRail_act!R28/1000)</f>
        <v>774.44312648466371</v>
      </c>
      <c r="S51" s="116">
        <f>IF(S11=0,0,1000000*S11/TrRail_act!S28/1000)</f>
        <v>739.71684786326716</v>
      </c>
      <c r="T51" s="116">
        <f>IF(T11=0,0,1000000*T11/TrRail_act!T28/1000)</f>
        <v>715.93103144504255</v>
      </c>
      <c r="U51" s="116">
        <f>IF(U11=0,0,1000000*U11/TrRail_act!U28/1000)</f>
        <v>696.39082875268718</v>
      </c>
      <c r="V51" s="116">
        <f>IF(V11=0,0,1000000*V11/TrRail_act!V28/1000)</f>
        <v>577.62550749696697</v>
      </c>
      <c r="W51" s="116">
        <f>IF(W11=0,0,1000000*W11/TrRail_act!W28/1000)</f>
        <v>650.2350117708138</v>
      </c>
      <c r="X51" s="116">
        <f>IF(X11=0,0,1000000*X11/TrRail_act!X28/1000)</f>
        <v>660.36516282452953</v>
      </c>
      <c r="Y51" s="116">
        <f>IF(Y11=0,0,1000000*Y11/TrRail_act!Y28/1000)</f>
        <v>654.40098815524209</v>
      </c>
      <c r="DA51" s="176" t="s">
        <v>1162</v>
      </c>
    </row>
    <row r="52" spans="1:105" ht="11.45" customHeight="1" x14ac:dyDescent="0.25">
      <c r="A52" s="111" t="s">
        <v>92</v>
      </c>
      <c r="B52" s="87">
        <f>IF(B12=0,0,1000000*B12/TrRail_act!B29/1000)</f>
        <v>1533.677629065819</v>
      </c>
      <c r="C52" s="87">
        <f>IF(C12=0,0,1000000*C12/TrRail_act!C29/1000)</f>
        <v>1519.8774546886348</v>
      </c>
      <c r="D52" s="87">
        <f>IF(D12=0,0,1000000*D12/TrRail_act!D29/1000)</f>
        <v>1441.5748706288537</v>
      </c>
      <c r="E52" s="87">
        <f>IF(E12=0,0,1000000*E12/TrRail_act!E29/1000)</f>
        <v>1420.7539138595412</v>
      </c>
      <c r="F52" s="87">
        <f>IF(F12=0,0,1000000*F12/TrRail_act!F29/1000)</f>
        <v>1407.1293095508006</v>
      </c>
      <c r="G52" s="87">
        <f>IF(G12=0,0,1000000*G12/TrRail_act!G29/1000)</f>
        <v>1347.786091974993</v>
      </c>
      <c r="H52" s="87">
        <f>IF(H12=0,0,1000000*H12/TrRail_act!H29/1000)</f>
        <v>1329.2374560392677</v>
      </c>
      <c r="I52" s="87">
        <f>IF(I12=0,0,1000000*I12/TrRail_act!I29/1000)</f>
        <v>1286.0949542792084</v>
      </c>
      <c r="J52" s="87">
        <f>IF(J12=0,0,1000000*J12/TrRail_act!J29/1000)</f>
        <v>1273.8473352632288</v>
      </c>
      <c r="K52" s="87">
        <f>IF(K12=0,0,1000000*K12/TrRail_act!K29/1000)</f>
        <v>1187.6953678642158</v>
      </c>
      <c r="L52" s="87">
        <f>IF(L12=0,0,1000000*L12/TrRail_act!L29/1000)</f>
        <v>1140.0238368391279</v>
      </c>
      <c r="M52" s="87">
        <f>IF(M12=0,0,1000000*M12/TrRail_act!M29/1000)</f>
        <v>1088.3694516805688</v>
      </c>
      <c r="N52" s="87">
        <f>IF(N12=0,0,1000000*N12/TrRail_act!N29/1000)</f>
        <v>1017.2010322689154</v>
      </c>
      <c r="O52" s="87">
        <f>IF(O12=0,0,1000000*O12/TrRail_act!O29/1000)</f>
        <v>1011.6819876201482</v>
      </c>
      <c r="P52" s="87">
        <f>IF(P12=0,0,1000000*P12/TrRail_act!P29/1000)</f>
        <v>984.40476765028097</v>
      </c>
      <c r="Q52" s="87">
        <f>IF(Q12=0,0,1000000*Q12/TrRail_act!Q29/1000)</f>
        <v>906.37277777445297</v>
      </c>
      <c r="R52" s="87">
        <f>IF(R12=0,0,1000000*R12/TrRail_act!R29/1000)</f>
        <v>847.61173204154636</v>
      </c>
      <c r="S52" s="87">
        <f>IF(S12=0,0,1000000*S12/TrRail_act!S29/1000)</f>
        <v>806.0547366169958</v>
      </c>
      <c r="T52" s="87">
        <f>IF(T12=0,0,1000000*T12/TrRail_act!T29/1000)</f>
        <v>776.22963488391463</v>
      </c>
      <c r="U52" s="87">
        <f>IF(U12=0,0,1000000*U12/TrRail_act!U29/1000)</f>
        <v>754.58728044406973</v>
      </c>
      <c r="V52" s="87">
        <f>IF(V12=0,0,1000000*V12/TrRail_act!V29/1000)</f>
        <v>625.65473589458315</v>
      </c>
      <c r="W52" s="87">
        <f>IF(W12=0,0,1000000*W12/TrRail_act!W29/1000)</f>
        <v>708.21533181410973</v>
      </c>
      <c r="X52" s="87">
        <f>IF(X12=0,0,1000000*X12/TrRail_act!X29/1000)</f>
        <v>718.47238115972925</v>
      </c>
      <c r="Y52" s="87">
        <f>IF(Y12=0,0,1000000*Y12/TrRail_act!Y29/1000)</f>
        <v>712.07276603749165</v>
      </c>
      <c r="DA52" s="171" t="s">
        <v>1163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X53" s="87">
        <f>IF(X13=0,0,1000000*X13/TrRail_act!X30/1000)</f>
        <v>0</v>
      </c>
      <c r="Y53" s="87">
        <f>IF(Y13=0,0,1000000*Y13/TrRail_act!Y30/1000)</f>
        <v>0</v>
      </c>
      <c r="DA53" s="171" t="s">
        <v>1164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X54" s="117">
        <f>IF(X14=0,0,1000000*X14/TrRail_act!X31/1000)</f>
        <v>0</v>
      </c>
      <c r="Y54" s="117">
        <f>IF(Y14=0,0,1000000*Y14/TrRail_act!Y31/1000)</f>
        <v>0</v>
      </c>
      <c r="DA54" s="204" t="s">
        <v>1165</v>
      </c>
    </row>
    <row r="55" spans="1:105" ht="11.45" customHeight="1" x14ac:dyDescent="0.25">
      <c r="A55" s="27" t="s">
        <v>34</v>
      </c>
      <c r="B55" s="29">
        <f>IF(B15=0,0,1000000*B15/TrRail_act!B32/1000)</f>
        <v>3635.9703223703141</v>
      </c>
      <c r="C55" s="29">
        <f>IF(C15=0,0,1000000*C15/TrRail_act!C32/1000)</f>
        <v>3700.4950878890036</v>
      </c>
      <c r="D55" s="29">
        <f>IF(D15=0,0,1000000*D15/TrRail_act!D32/1000)</f>
        <v>3491.0178009387955</v>
      </c>
      <c r="E55" s="29">
        <f>IF(E15=0,0,1000000*E15/TrRail_act!E32/1000)</f>
        <v>3608.2065679143852</v>
      </c>
      <c r="F55" s="29">
        <f>IF(F15=0,0,1000000*F15/TrRail_act!F32/1000)</f>
        <v>3400.0080133426618</v>
      </c>
      <c r="G55" s="29">
        <f>IF(G15=0,0,1000000*G15/TrRail_act!G32/1000)</f>
        <v>2803.5459551442345</v>
      </c>
      <c r="H55" s="29">
        <f>IF(H15=0,0,1000000*H15/TrRail_act!H32/1000)</f>
        <v>2166.4190802260528</v>
      </c>
      <c r="I55" s="29">
        <f>IF(I15=0,0,1000000*I15/TrRail_act!I32/1000)</f>
        <v>1625.279365780222</v>
      </c>
      <c r="J55" s="29">
        <f>IF(J15=0,0,1000000*J15/TrRail_act!J32/1000)</f>
        <v>1545.0962394263988</v>
      </c>
      <c r="K55" s="29">
        <f>IF(K15=0,0,1000000*K15/TrRail_act!K32/1000)</f>
        <v>1323.54438165691</v>
      </c>
      <c r="L55" s="29">
        <f>IF(L15=0,0,1000000*L15/TrRail_act!L32/1000)</f>
        <v>2265.4767848396609</v>
      </c>
      <c r="M55" s="29">
        <f>IF(M15=0,0,1000000*M15/TrRail_act!M32/1000)</f>
        <v>2704.6614503058363</v>
      </c>
      <c r="N55" s="29">
        <f>IF(N15=0,0,1000000*N15/TrRail_act!N32/1000)</f>
        <v>2578.4236366249556</v>
      </c>
      <c r="O55" s="29">
        <f>IF(O15=0,0,1000000*O15/TrRail_act!O32/1000)</f>
        <v>2590.4131955929493</v>
      </c>
      <c r="P55" s="29">
        <f>IF(P15=0,0,1000000*P15/TrRail_act!P32/1000)</f>
        <v>2602.3551351694896</v>
      </c>
      <c r="Q55" s="29">
        <f>IF(Q15=0,0,1000000*Q15/TrRail_act!Q32/1000)</f>
        <v>2552.1154627534997</v>
      </c>
      <c r="R55" s="29">
        <f>IF(R15=0,0,1000000*R15/TrRail_act!R32/1000)</f>
        <v>2557.8303193471379</v>
      </c>
      <c r="S55" s="29">
        <f>IF(S15=0,0,1000000*S15/TrRail_act!S32/1000)</f>
        <v>2529.1798193312279</v>
      </c>
      <c r="T55" s="29">
        <f>IF(T15=0,0,1000000*T15/TrRail_act!T32/1000)</f>
        <v>2448.1846236062588</v>
      </c>
      <c r="U55" s="29">
        <f>IF(U15=0,0,1000000*U15/TrRail_act!U32/1000)</f>
        <v>2328.9112565005385</v>
      </c>
      <c r="V55" s="29">
        <f>IF(V15=0,0,1000000*V15/TrRail_act!V32/1000)</f>
        <v>2314.7260142943082</v>
      </c>
      <c r="W55" s="29">
        <f>IF(W15=0,0,1000000*W15/TrRail_act!W32/1000)</f>
        <v>2377.1667369129373</v>
      </c>
      <c r="X55" s="29">
        <f>IF(X15=0,0,1000000*X15/TrRail_act!X32/1000)</f>
        <v>2722.9470684018947</v>
      </c>
      <c r="Y55" s="29">
        <f>IF(Y15=0,0,1000000*Y15/TrRail_act!Y32/1000)</f>
        <v>2020.985076852271</v>
      </c>
      <c r="DA55" s="173" t="s">
        <v>1166</v>
      </c>
    </row>
    <row r="56" spans="1:105" ht="11.45" customHeight="1" x14ac:dyDescent="0.25">
      <c r="A56" s="83" t="s">
        <v>92</v>
      </c>
      <c r="B56" s="87">
        <f>IF(B16=0,0,1000000*B16/TrRail_act!B33/1000)</f>
        <v>3635.9703223703141</v>
      </c>
      <c r="C56" s="87">
        <f>IF(C16=0,0,1000000*C16/TrRail_act!C33/1000)</f>
        <v>3700.4950878890036</v>
      </c>
      <c r="D56" s="87">
        <f>IF(D16=0,0,1000000*D16/TrRail_act!D33/1000)</f>
        <v>3526.2847634505547</v>
      </c>
      <c r="E56" s="87">
        <f>IF(E16=0,0,1000000*E16/TrRail_act!E33/1000)</f>
        <v>3648.941434508502</v>
      </c>
      <c r="F56" s="87">
        <f>IF(F16=0,0,1000000*F16/TrRail_act!F33/1000)</f>
        <v>3600.3282376301881</v>
      </c>
      <c r="G56" s="87">
        <f>IF(G16=0,0,1000000*G16/TrRail_act!G33/1000)</f>
        <v>3011.0098123174798</v>
      </c>
      <c r="H56" s="87">
        <f>IF(H16=0,0,1000000*H16/TrRail_act!H33/1000)</f>
        <v>2352.8722274062702</v>
      </c>
      <c r="I56" s="87">
        <f>IF(I16=0,0,1000000*I16/TrRail_act!I33/1000)</f>
        <v>1792.4067225347492</v>
      </c>
      <c r="J56" s="87">
        <f>IF(J16=0,0,1000000*J16/TrRail_act!J33/1000)</f>
        <v>1742.4143433193863</v>
      </c>
      <c r="K56" s="87">
        <f>IF(K16=0,0,1000000*K16/TrRail_act!K33/1000)</f>
        <v>1546.5069752088077</v>
      </c>
      <c r="L56" s="87">
        <f>IF(L16=0,0,1000000*L16/TrRail_act!L33/1000)</f>
        <v>2825.9802048919432</v>
      </c>
      <c r="M56" s="87">
        <f>IF(M16=0,0,1000000*M16/TrRail_act!M33/1000)</f>
        <v>3409.7139799630922</v>
      </c>
      <c r="N56" s="87">
        <f>IF(N16=0,0,1000000*N16/TrRail_act!N33/1000)</f>
        <v>3376.9507965049147</v>
      </c>
      <c r="O56" s="87">
        <f>IF(O16=0,0,1000000*O16/TrRail_act!O33/1000)</f>
        <v>3325.795582058679</v>
      </c>
      <c r="P56" s="87">
        <f>IF(P16=0,0,1000000*P16/TrRail_act!P33/1000)</f>
        <v>3302.3664546091049</v>
      </c>
      <c r="Q56" s="87">
        <f>IF(Q16=0,0,1000000*Q16/TrRail_act!Q33/1000)</f>
        <v>3268.5808438055828</v>
      </c>
      <c r="R56" s="87">
        <f>IF(R16=0,0,1000000*R16/TrRail_act!R33/1000)</f>
        <v>3243.4664334251647</v>
      </c>
      <c r="S56" s="87">
        <f>IF(S16=0,0,1000000*S16/TrRail_act!S33/1000)</f>
        <v>3224.7599504713703</v>
      </c>
      <c r="T56" s="87">
        <f>IF(T16=0,0,1000000*T16/TrRail_act!T33/1000)</f>
        <v>3210.8000725319712</v>
      </c>
      <c r="U56" s="87">
        <f>IF(U16=0,0,1000000*U16/TrRail_act!U33/1000)</f>
        <v>3200.3704690435447</v>
      </c>
      <c r="V56" s="87">
        <f>IF(V16=0,0,1000000*V16/TrRail_act!V33/1000)</f>
        <v>3192.5658614909303</v>
      </c>
      <c r="W56" s="87">
        <f>IF(W16=0,0,1000000*W16/TrRail_act!W33/1000)</f>
        <v>3186.7309746869846</v>
      </c>
      <c r="X56" s="87">
        <f>IF(X16=0,0,1000000*X16/TrRail_act!X33/1000)</f>
        <v>3182.3597820634154</v>
      </c>
      <c r="Y56" s="87">
        <f>IF(Y16=0,0,1000000*Y16/TrRail_act!Y33/1000)</f>
        <v>2522.1337474379029</v>
      </c>
      <c r="DA56" s="171" t="s">
        <v>1167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X57" s="88">
        <f>IF(X17=0,0,1000000*X17/TrRail_act!X34/1000)</f>
        <v>0</v>
      </c>
      <c r="Y57" s="88">
        <f>IF(Y17=0,0,1000000*Y17/TrRail_act!Y34/1000)</f>
        <v>0</v>
      </c>
      <c r="DA57" s="178" t="s">
        <v>1168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DA58" s="171"/>
    </row>
    <row r="59" spans="1:105" ht="11.45" customHeight="1" x14ac:dyDescent="0.25">
      <c r="A59" s="53" t="s">
        <v>41</v>
      </c>
      <c r="B59" s="65">
        <f t="shared" ref="B59:B68" si="10">IF(B8=0,0,B8/B$8)</f>
        <v>1</v>
      </c>
      <c r="C59" s="65">
        <f t="shared" ref="C59:V59" si="11">IF(C8=0,0,C8/C$8)</f>
        <v>1</v>
      </c>
      <c r="D59" s="65">
        <f t="shared" si="11"/>
        <v>1</v>
      </c>
      <c r="E59" s="65">
        <f t="shared" si="11"/>
        <v>1</v>
      </c>
      <c r="F59" s="65">
        <f t="shared" si="11"/>
        <v>1</v>
      </c>
      <c r="G59" s="65">
        <f t="shared" si="11"/>
        <v>1</v>
      </c>
      <c r="H59" s="65">
        <f t="shared" si="11"/>
        <v>1</v>
      </c>
      <c r="I59" s="65">
        <f t="shared" si="11"/>
        <v>1</v>
      </c>
      <c r="J59" s="65">
        <f t="shared" si="11"/>
        <v>1</v>
      </c>
      <c r="K59" s="65">
        <f t="shared" si="11"/>
        <v>1</v>
      </c>
      <c r="L59" s="65">
        <f t="shared" si="11"/>
        <v>1</v>
      </c>
      <c r="M59" s="65">
        <f t="shared" si="11"/>
        <v>1</v>
      </c>
      <c r="N59" s="65">
        <f t="shared" si="11"/>
        <v>1</v>
      </c>
      <c r="O59" s="65">
        <f t="shared" si="11"/>
        <v>1</v>
      </c>
      <c r="P59" s="65">
        <f t="shared" si="11"/>
        <v>1</v>
      </c>
      <c r="Q59" s="65">
        <f t="shared" si="11"/>
        <v>1</v>
      </c>
      <c r="R59" s="65">
        <f t="shared" si="11"/>
        <v>1</v>
      </c>
      <c r="S59" s="65">
        <f t="shared" si="11"/>
        <v>1</v>
      </c>
      <c r="T59" s="65">
        <f t="shared" si="11"/>
        <v>1</v>
      </c>
      <c r="U59" s="65">
        <f t="shared" si="11"/>
        <v>1</v>
      </c>
      <c r="V59" s="65">
        <f t="shared" si="11"/>
        <v>1</v>
      </c>
      <c r="W59" s="65">
        <f t="shared" ref="W59:Y59" si="12">IF(W8=0,0,W8/W$8)</f>
        <v>1</v>
      </c>
      <c r="X59" s="65">
        <f t="shared" si="12"/>
        <v>1</v>
      </c>
      <c r="Y59" s="65">
        <f t="shared" si="12"/>
        <v>1</v>
      </c>
      <c r="DA59" s="172"/>
    </row>
    <row r="60" spans="1:105" ht="11.45" customHeight="1" x14ac:dyDescent="0.25">
      <c r="A60" s="27" t="s">
        <v>33</v>
      </c>
      <c r="B60" s="31">
        <f t="shared" si="10"/>
        <v>0.85642062540471131</v>
      </c>
      <c r="C60" s="31">
        <f t="shared" ref="C60:V60" si="13">IF(C9=0,0,C9/C$8)</f>
        <v>0.85930860462442826</v>
      </c>
      <c r="D60" s="31">
        <f t="shared" si="13"/>
        <v>0.86126986445763543</v>
      </c>
      <c r="E60" s="31">
        <f t="shared" si="13"/>
        <v>0.88368940870459733</v>
      </c>
      <c r="F60" s="31">
        <f t="shared" si="13"/>
        <v>0.89595336801298153</v>
      </c>
      <c r="G60" s="31">
        <f t="shared" si="13"/>
        <v>0.91451687273123672</v>
      </c>
      <c r="H60" s="31">
        <f t="shared" si="13"/>
        <v>0.94256533440243429</v>
      </c>
      <c r="I60" s="31">
        <f t="shared" si="13"/>
        <v>0.96613764483937159</v>
      </c>
      <c r="J60" s="31">
        <f t="shared" si="13"/>
        <v>0.97499019889637695</v>
      </c>
      <c r="K60" s="31">
        <f t="shared" si="13"/>
        <v>0.98082222888704662</v>
      </c>
      <c r="L60" s="31">
        <f t="shared" si="13"/>
        <v>0.97595511152413794</v>
      </c>
      <c r="M60" s="31">
        <f t="shared" si="13"/>
        <v>0.97247879235756329</v>
      </c>
      <c r="N60" s="31">
        <f t="shared" si="13"/>
        <v>0.97628399277327937</v>
      </c>
      <c r="O60" s="31">
        <f t="shared" si="13"/>
        <v>0.97441450797999951</v>
      </c>
      <c r="P60" s="31">
        <f t="shared" si="13"/>
        <v>0.9707727782763429</v>
      </c>
      <c r="Q60" s="31">
        <f t="shared" si="13"/>
        <v>0.97280146058241512</v>
      </c>
      <c r="R60" s="31">
        <f t="shared" si="13"/>
        <v>0.97224599100258191</v>
      </c>
      <c r="S60" s="31">
        <f t="shared" si="13"/>
        <v>0.97394624154152853</v>
      </c>
      <c r="T60" s="31">
        <f t="shared" si="13"/>
        <v>0.97733491656552562</v>
      </c>
      <c r="U60" s="31">
        <f t="shared" si="13"/>
        <v>0.98202796341856713</v>
      </c>
      <c r="V60" s="31">
        <f t="shared" si="13"/>
        <v>0.97779670757039427</v>
      </c>
      <c r="W60" s="31">
        <f t="shared" ref="W60:Y60" si="14">IF(W9=0,0,W9/W$8)</f>
        <v>0.97717908650737084</v>
      </c>
      <c r="X60" s="31">
        <f t="shared" si="14"/>
        <v>0.95885682150251683</v>
      </c>
      <c r="Y60" s="31">
        <f t="shared" si="14"/>
        <v>0.97883972418945986</v>
      </c>
      <c r="DA60" s="173"/>
    </row>
    <row r="61" spans="1:105" ht="11.45" customHeight="1" x14ac:dyDescent="0.25">
      <c r="A61" s="107" t="s">
        <v>23</v>
      </c>
      <c r="B61" s="123">
        <f t="shared" si="10"/>
        <v>0</v>
      </c>
      <c r="C61" s="123">
        <f t="shared" ref="C61:V61" si="15">IF(C10=0,0,C10/C$8)</f>
        <v>0</v>
      </c>
      <c r="D61" s="123">
        <f t="shared" si="15"/>
        <v>0</v>
      </c>
      <c r="E61" s="123">
        <f t="shared" si="15"/>
        <v>0</v>
      </c>
      <c r="F61" s="123">
        <f t="shared" si="15"/>
        <v>0</v>
      </c>
      <c r="G61" s="123">
        <f t="shared" si="15"/>
        <v>0</v>
      </c>
      <c r="H61" s="123">
        <f t="shared" si="15"/>
        <v>0</v>
      </c>
      <c r="I61" s="123">
        <f t="shared" si="15"/>
        <v>0</v>
      </c>
      <c r="J61" s="123">
        <f t="shared" si="15"/>
        <v>0</v>
      </c>
      <c r="K61" s="123">
        <f t="shared" si="15"/>
        <v>0</v>
      </c>
      <c r="L61" s="123">
        <f t="shared" si="15"/>
        <v>0</v>
      </c>
      <c r="M61" s="123">
        <f t="shared" si="15"/>
        <v>0</v>
      </c>
      <c r="N61" s="123">
        <f t="shared" si="15"/>
        <v>0</v>
      </c>
      <c r="O61" s="123">
        <f t="shared" si="15"/>
        <v>0</v>
      </c>
      <c r="P61" s="123">
        <f t="shared" si="15"/>
        <v>0</v>
      </c>
      <c r="Q61" s="123">
        <f t="shared" si="15"/>
        <v>0</v>
      </c>
      <c r="R61" s="123">
        <f t="shared" si="15"/>
        <v>0</v>
      </c>
      <c r="S61" s="123">
        <f t="shared" si="15"/>
        <v>0</v>
      </c>
      <c r="T61" s="123">
        <f t="shared" si="15"/>
        <v>0</v>
      </c>
      <c r="U61" s="123">
        <f t="shared" si="15"/>
        <v>0</v>
      </c>
      <c r="V61" s="123">
        <f t="shared" si="15"/>
        <v>0</v>
      </c>
      <c r="W61" s="123">
        <f t="shared" ref="W61:Y61" si="16">IF(W10=0,0,W10/W$8)</f>
        <v>0</v>
      </c>
      <c r="X61" s="123">
        <f t="shared" si="16"/>
        <v>0</v>
      </c>
      <c r="Y61" s="123">
        <f t="shared" si="16"/>
        <v>0</v>
      </c>
      <c r="DA61" s="203"/>
    </row>
    <row r="62" spans="1:105" ht="11.45" customHeight="1" x14ac:dyDescent="0.25">
      <c r="A62" s="109" t="s">
        <v>24</v>
      </c>
      <c r="B62" s="124">
        <f t="shared" si="10"/>
        <v>0.85642062540471131</v>
      </c>
      <c r="C62" s="124">
        <f t="shared" ref="C62:V62" si="17">IF(C11=0,0,C11/C$8)</f>
        <v>0.85930860462442826</v>
      </c>
      <c r="D62" s="124">
        <f t="shared" si="17"/>
        <v>0.86126986445763543</v>
      </c>
      <c r="E62" s="124">
        <f t="shared" si="17"/>
        <v>0.88368940870459733</v>
      </c>
      <c r="F62" s="124">
        <f t="shared" si="17"/>
        <v>0.89595336801298153</v>
      </c>
      <c r="G62" s="124">
        <f t="shared" si="17"/>
        <v>0.91451687273123672</v>
      </c>
      <c r="H62" s="124">
        <f t="shared" si="17"/>
        <v>0.94256533440243429</v>
      </c>
      <c r="I62" s="124">
        <f t="shared" si="17"/>
        <v>0.96613764483937159</v>
      </c>
      <c r="J62" s="124">
        <f t="shared" si="17"/>
        <v>0.97499019889637695</v>
      </c>
      <c r="K62" s="124">
        <f t="shared" si="17"/>
        <v>0.98082222888704662</v>
      </c>
      <c r="L62" s="124">
        <f t="shared" si="17"/>
        <v>0.97595511152413794</v>
      </c>
      <c r="M62" s="124">
        <f t="shared" si="17"/>
        <v>0.97247879235756329</v>
      </c>
      <c r="N62" s="124">
        <f t="shared" si="17"/>
        <v>0.97628399277327937</v>
      </c>
      <c r="O62" s="124">
        <f t="shared" si="17"/>
        <v>0.97441450797999951</v>
      </c>
      <c r="P62" s="124">
        <f t="shared" si="17"/>
        <v>0.9707727782763429</v>
      </c>
      <c r="Q62" s="124">
        <f t="shared" si="17"/>
        <v>0.97280146058241512</v>
      </c>
      <c r="R62" s="124">
        <f t="shared" si="17"/>
        <v>0.97224599100258191</v>
      </c>
      <c r="S62" s="124">
        <f t="shared" si="17"/>
        <v>0.97394624154152853</v>
      </c>
      <c r="T62" s="124">
        <f t="shared" si="17"/>
        <v>0.97733491656552562</v>
      </c>
      <c r="U62" s="124">
        <f t="shared" si="17"/>
        <v>0.98202796341856713</v>
      </c>
      <c r="V62" s="124">
        <f t="shared" si="17"/>
        <v>0.97779670757039427</v>
      </c>
      <c r="W62" s="124">
        <f t="shared" ref="W62:Y62" si="18">IF(W11=0,0,W11/W$8)</f>
        <v>0.97717908650737084</v>
      </c>
      <c r="X62" s="124">
        <f t="shared" si="18"/>
        <v>0.95885682150251683</v>
      </c>
      <c r="Y62" s="124">
        <f t="shared" si="18"/>
        <v>0.97883972418945986</v>
      </c>
      <c r="DA62" s="176"/>
    </row>
    <row r="63" spans="1:105" ht="11.45" customHeight="1" x14ac:dyDescent="0.25">
      <c r="A63" s="111" t="s">
        <v>92</v>
      </c>
      <c r="B63" s="125">
        <f t="shared" si="10"/>
        <v>0.85642062540471131</v>
      </c>
      <c r="C63" s="125">
        <f t="shared" ref="C63:V63" si="19">IF(C12=0,0,C12/C$8)</f>
        <v>0.85930860462442826</v>
      </c>
      <c r="D63" s="125">
        <f t="shared" si="19"/>
        <v>0.86126986445763543</v>
      </c>
      <c r="E63" s="125">
        <f t="shared" si="19"/>
        <v>0.88368940870459733</v>
      </c>
      <c r="F63" s="125">
        <f t="shared" si="19"/>
        <v>0.89595336801298153</v>
      </c>
      <c r="G63" s="125">
        <f t="shared" si="19"/>
        <v>0.91451687273123672</v>
      </c>
      <c r="H63" s="125">
        <f t="shared" si="19"/>
        <v>0.94256533440243429</v>
      </c>
      <c r="I63" s="125">
        <f t="shared" si="19"/>
        <v>0.96613764483937159</v>
      </c>
      <c r="J63" s="125">
        <f t="shared" si="19"/>
        <v>0.97499019889637695</v>
      </c>
      <c r="K63" s="125">
        <f t="shared" si="19"/>
        <v>0.98082222888704662</v>
      </c>
      <c r="L63" s="125">
        <f t="shared" si="19"/>
        <v>0.97595511152413794</v>
      </c>
      <c r="M63" s="125">
        <f t="shared" si="19"/>
        <v>0.97247879235756329</v>
      </c>
      <c r="N63" s="125">
        <f t="shared" si="19"/>
        <v>0.97628399277327937</v>
      </c>
      <c r="O63" s="125">
        <f t="shared" si="19"/>
        <v>0.97441450797999951</v>
      </c>
      <c r="P63" s="125">
        <f t="shared" si="19"/>
        <v>0.9707727782763429</v>
      </c>
      <c r="Q63" s="125">
        <f t="shared" si="19"/>
        <v>0.97280146058241512</v>
      </c>
      <c r="R63" s="125">
        <f t="shared" si="19"/>
        <v>0.97224599100258191</v>
      </c>
      <c r="S63" s="125">
        <f t="shared" si="19"/>
        <v>0.97394624154152853</v>
      </c>
      <c r="T63" s="125">
        <f t="shared" si="19"/>
        <v>0.97733491656552562</v>
      </c>
      <c r="U63" s="125">
        <f t="shared" si="19"/>
        <v>0.98202796341856713</v>
      </c>
      <c r="V63" s="125">
        <f t="shared" si="19"/>
        <v>0.97779670757039427</v>
      </c>
      <c r="W63" s="125">
        <f t="shared" ref="W63:Y63" si="20">IF(W12=0,0,W12/W$8)</f>
        <v>0.97717908650737084</v>
      </c>
      <c r="X63" s="125">
        <f t="shared" si="20"/>
        <v>0.95885682150251683</v>
      </c>
      <c r="Y63" s="125">
        <f t="shared" si="20"/>
        <v>0.97883972418945986</v>
      </c>
      <c r="DA63" s="171"/>
    </row>
    <row r="64" spans="1:105" ht="11.45" customHeight="1" x14ac:dyDescent="0.25">
      <c r="A64" s="111" t="s">
        <v>93</v>
      </c>
      <c r="B64" s="125">
        <f t="shared" si="10"/>
        <v>0</v>
      </c>
      <c r="C64" s="125">
        <f t="shared" ref="C64:V64" si="21">IF(C13=0,0,C13/C$8)</f>
        <v>0</v>
      </c>
      <c r="D64" s="125">
        <f t="shared" si="21"/>
        <v>0</v>
      </c>
      <c r="E64" s="125">
        <f t="shared" si="21"/>
        <v>0</v>
      </c>
      <c r="F64" s="125">
        <f t="shared" si="21"/>
        <v>0</v>
      </c>
      <c r="G64" s="125">
        <f t="shared" si="21"/>
        <v>0</v>
      </c>
      <c r="H64" s="125">
        <f t="shared" si="21"/>
        <v>0</v>
      </c>
      <c r="I64" s="125">
        <f t="shared" si="21"/>
        <v>0</v>
      </c>
      <c r="J64" s="125">
        <f t="shared" si="21"/>
        <v>0</v>
      </c>
      <c r="K64" s="125">
        <f t="shared" si="21"/>
        <v>0</v>
      </c>
      <c r="L64" s="125">
        <f t="shared" si="21"/>
        <v>0</v>
      </c>
      <c r="M64" s="125">
        <f t="shared" si="21"/>
        <v>0</v>
      </c>
      <c r="N64" s="125">
        <f t="shared" si="21"/>
        <v>0</v>
      </c>
      <c r="O64" s="125">
        <f t="shared" si="21"/>
        <v>0</v>
      </c>
      <c r="P64" s="125">
        <f t="shared" si="21"/>
        <v>0</v>
      </c>
      <c r="Q64" s="125">
        <f t="shared" si="21"/>
        <v>0</v>
      </c>
      <c r="R64" s="125">
        <f t="shared" si="21"/>
        <v>0</v>
      </c>
      <c r="S64" s="125">
        <f t="shared" si="21"/>
        <v>0</v>
      </c>
      <c r="T64" s="125">
        <f t="shared" si="21"/>
        <v>0</v>
      </c>
      <c r="U64" s="125">
        <f t="shared" si="21"/>
        <v>0</v>
      </c>
      <c r="V64" s="125">
        <f t="shared" si="21"/>
        <v>0</v>
      </c>
      <c r="W64" s="125">
        <f t="shared" ref="W64:Y64" si="22">IF(W13=0,0,W13/W$8)</f>
        <v>0</v>
      </c>
      <c r="X64" s="125">
        <f t="shared" si="22"/>
        <v>0</v>
      </c>
      <c r="Y64" s="125">
        <f t="shared" si="22"/>
        <v>0</v>
      </c>
      <c r="DA64" s="171"/>
    </row>
    <row r="65" spans="1:105" ht="11.45" customHeight="1" x14ac:dyDescent="0.25">
      <c r="A65" s="112" t="s">
        <v>25</v>
      </c>
      <c r="B65" s="126">
        <f t="shared" si="10"/>
        <v>0</v>
      </c>
      <c r="C65" s="126">
        <f t="shared" ref="C65:V65" si="23">IF(C14=0,0,C14/C$8)</f>
        <v>0</v>
      </c>
      <c r="D65" s="126">
        <f t="shared" si="23"/>
        <v>0</v>
      </c>
      <c r="E65" s="126">
        <f t="shared" si="23"/>
        <v>0</v>
      </c>
      <c r="F65" s="126">
        <f t="shared" si="23"/>
        <v>0</v>
      </c>
      <c r="G65" s="126">
        <f t="shared" si="23"/>
        <v>0</v>
      </c>
      <c r="H65" s="126">
        <f t="shared" si="23"/>
        <v>0</v>
      </c>
      <c r="I65" s="126">
        <f t="shared" si="23"/>
        <v>0</v>
      </c>
      <c r="J65" s="126">
        <f t="shared" si="23"/>
        <v>0</v>
      </c>
      <c r="K65" s="126">
        <f t="shared" si="23"/>
        <v>0</v>
      </c>
      <c r="L65" s="126">
        <f t="shared" si="23"/>
        <v>0</v>
      </c>
      <c r="M65" s="126">
        <f t="shared" si="23"/>
        <v>0</v>
      </c>
      <c r="N65" s="126">
        <f t="shared" si="23"/>
        <v>0</v>
      </c>
      <c r="O65" s="126">
        <f t="shared" si="23"/>
        <v>0</v>
      </c>
      <c r="P65" s="126">
        <f t="shared" si="23"/>
        <v>0</v>
      </c>
      <c r="Q65" s="126">
        <f t="shared" si="23"/>
        <v>0</v>
      </c>
      <c r="R65" s="126">
        <f t="shared" si="23"/>
        <v>0</v>
      </c>
      <c r="S65" s="126">
        <f t="shared" si="23"/>
        <v>0</v>
      </c>
      <c r="T65" s="126">
        <f t="shared" si="23"/>
        <v>0</v>
      </c>
      <c r="U65" s="126">
        <f t="shared" si="23"/>
        <v>0</v>
      </c>
      <c r="V65" s="126">
        <f t="shared" si="23"/>
        <v>0</v>
      </c>
      <c r="W65" s="126">
        <f t="shared" ref="W65:Y65" si="24">IF(W14=0,0,W14/W$8)</f>
        <v>0</v>
      </c>
      <c r="X65" s="126">
        <f t="shared" si="24"/>
        <v>0</v>
      </c>
      <c r="Y65" s="126">
        <f t="shared" si="24"/>
        <v>0</v>
      </c>
      <c r="DA65" s="204"/>
    </row>
    <row r="66" spans="1:105" ht="11.45" customHeight="1" x14ac:dyDescent="0.25">
      <c r="A66" s="27" t="s">
        <v>34</v>
      </c>
      <c r="B66" s="31">
        <f t="shared" si="10"/>
        <v>0.14357937459528858</v>
      </c>
      <c r="C66" s="31">
        <f t="shared" ref="C66:V66" si="25">IF(C15=0,0,C15/C$8)</f>
        <v>0.14069139537557168</v>
      </c>
      <c r="D66" s="31">
        <f t="shared" si="25"/>
        <v>0.13873013554236455</v>
      </c>
      <c r="E66" s="31">
        <f t="shared" si="25"/>
        <v>0.11631059129540254</v>
      </c>
      <c r="F66" s="31">
        <f t="shared" si="25"/>
        <v>0.10404663198701859</v>
      </c>
      <c r="G66" s="31">
        <f t="shared" si="25"/>
        <v>8.5483127268763351E-2</v>
      </c>
      <c r="H66" s="31">
        <f t="shared" si="25"/>
        <v>5.7434665597565722E-2</v>
      </c>
      <c r="I66" s="31">
        <f t="shared" si="25"/>
        <v>3.3862355160628486E-2</v>
      </c>
      <c r="J66" s="31">
        <f t="shared" si="25"/>
        <v>2.5009801103623101E-2</v>
      </c>
      <c r="K66" s="31">
        <f t="shared" si="25"/>
        <v>1.9177771112953407E-2</v>
      </c>
      <c r="L66" s="31">
        <f t="shared" si="25"/>
        <v>2.40448884758621E-2</v>
      </c>
      <c r="M66" s="31">
        <f t="shared" si="25"/>
        <v>2.7521207642436658E-2</v>
      </c>
      <c r="N66" s="31">
        <f t="shared" si="25"/>
        <v>2.3716007226720577E-2</v>
      </c>
      <c r="O66" s="31">
        <f t="shared" si="25"/>
        <v>2.5585492020000399E-2</v>
      </c>
      <c r="P66" s="31">
        <f t="shared" si="25"/>
        <v>2.922722172365709E-2</v>
      </c>
      <c r="Q66" s="31">
        <f t="shared" si="25"/>
        <v>2.719853941758477E-2</v>
      </c>
      <c r="R66" s="31">
        <f t="shared" si="25"/>
        <v>2.7754008997418065E-2</v>
      </c>
      <c r="S66" s="31">
        <f t="shared" si="25"/>
        <v>2.6053758458471427E-2</v>
      </c>
      <c r="T66" s="31">
        <f t="shared" si="25"/>
        <v>2.2665083434474431E-2</v>
      </c>
      <c r="U66" s="31">
        <f t="shared" si="25"/>
        <v>1.7972036581432902E-2</v>
      </c>
      <c r="V66" s="31">
        <f t="shared" si="25"/>
        <v>2.220329242960567E-2</v>
      </c>
      <c r="W66" s="31">
        <f t="shared" ref="W66:Y66" si="26">IF(W15=0,0,W15/W$8)</f>
        <v>2.2820913492629095E-2</v>
      </c>
      <c r="X66" s="31">
        <f t="shared" si="26"/>
        <v>4.1143178497483252E-2</v>
      </c>
      <c r="Y66" s="31">
        <f t="shared" si="26"/>
        <v>2.1160275810540228E-2</v>
      </c>
      <c r="DA66" s="173"/>
    </row>
    <row r="67" spans="1:105" ht="11.45" customHeight="1" x14ac:dyDescent="0.25">
      <c r="A67" s="83" t="s">
        <v>92</v>
      </c>
      <c r="B67" s="125">
        <f t="shared" si="10"/>
        <v>0.14357937459528858</v>
      </c>
      <c r="C67" s="125">
        <f t="shared" ref="C67:V67" si="27">IF(C16=0,0,C16/C$8)</f>
        <v>0.14069139537557168</v>
      </c>
      <c r="D67" s="125">
        <f t="shared" si="27"/>
        <v>0.13873013554236455</v>
      </c>
      <c r="E67" s="125">
        <f t="shared" si="27"/>
        <v>0.11631059129540254</v>
      </c>
      <c r="F67" s="125">
        <f t="shared" si="27"/>
        <v>0.10404663198701859</v>
      </c>
      <c r="G67" s="125">
        <f t="shared" si="27"/>
        <v>8.5483127268763351E-2</v>
      </c>
      <c r="H67" s="125">
        <f t="shared" si="27"/>
        <v>5.7434665597565722E-2</v>
      </c>
      <c r="I67" s="125">
        <f t="shared" si="27"/>
        <v>3.3862355160628486E-2</v>
      </c>
      <c r="J67" s="125">
        <f t="shared" si="27"/>
        <v>2.5009801103623101E-2</v>
      </c>
      <c r="K67" s="125">
        <f t="shared" si="27"/>
        <v>1.9177771112953407E-2</v>
      </c>
      <c r="L67" s="125">
        <f t="shared" si="27"/>
        <v>2.40448884758621E-2</v>
      </c>
      <c r="M67" s="125">
        <f t="shared" si="27"/>
        <v>2.7521207642436658E-2</v>
      </c>
      <c r="N67" s="125">
        <f t="shared" si="27"/>
        <v>2.3716007226720577E-2</v>
      </c>
      <c r="O67" s="125">
        <f t="shared" si="27"/>
        <v>2.5585492020000399E-2</v>
      </c>
      <c r="P67" s="125">
        <f t="shared" si="27"/>
        <v>2.922722172365709E-2</v>
      </c>
      <c r="Q67" s="125">
        <f t="shared" si="27"/>
        <v>2.719853941758477E-2</v>
      </c>
      <c r="R67" s="125">
        <f t="shared" si="27"/>
        <v>2.7754008997418065E-2</v>
      </c>
      <c r="S67" s="125">
        <f t="shared" si="27"/>
        <v>2.6053758458471427E-2</v>
      </c>
      <c r="T67" s="125">
        <f t="shared" si="27"/>
        <v>2.2665083434474431E-2</v>
      </c>
      <c r="U67" s="125">
        <f t="shared" si="27"/>
        <v>1.7972036581432902E-2</v>
      </c>
      <c r="V67" s="125">
        <f t="shared" si="27"/>
        <v>2.220329242960567E-2</v>
      </c>
      <c r="W67" s="125">
        <f t="shared" ref="W67:Y67" si="28">IF(W16=0,0,W16/W$8)</f>
        <v>2.2820913492629095E-2</v>
      </c>
      <c r="X67" s="125">
        <f t="shared" si="28"/>
        <v>4.1143178497483252E-2</v>
      </c>
      <c r="Y67" s="125">
        <f t="shared" si="28"/>
        <v>2.1160275810540228E-2</v>
      </c>
      <c r="DA67" s="171"/>
    </row>
    <row r="68" spans="1:105" ht="11.45" customHeight="1" x14ac:dyDescent="0.25">
      <c r="A68" s="85" t="s">
        <v>93</v>
      </c>
      <c r="B68" s="127">
        <f t="shared" si="10"/>
        <v>0</v>
      </c>
      <c r="C68" s="127">
        <f t="shared" ref="C68:V68" si="29">IF(C17=0,0,C17/C$8)</f>
        <v>0</v>
      </c>
      <c r="D68" s="127">
        <f t="shared" si="29"/>
        <v>0</v>
      </c>
      <c r="E68" s="127">
        <f t="shared" si="29"/>
        <v>0</v>
      </c>
      <c r="F68" s="127">
        <f t="shared" si="29"/>
        <v>0</v>
      </c>
      <c r="G68" s="127">
        <f t="shared" si="29"/>
        <v>0</v>
      </c>
      <c r="H68" s="127">
        <f t="shared" si="29"/>
        <v>0</v>
      </c>
      <c r="I68" s="127">
        <f t="shared" si="29"/>
        <v>0</v>
      </c>
      <c r="J68" s="127">
        <f t="shared" si="29"/>
        <v>0</v>
      </c>
      <c r="K68" s="127">
        <f t="shared" si="29"/>
        <v>0</v>
      </c>
      <c r="L68" s="127">
        <f t="shared" si="29"/>
        <v>0</v>
      </c>
      <c r="M68" s="127">
        <f t="shared" si="29"/>
        <v>0</v>
      </c>
      <c r="N68" s="127">
        <f t="shared" si="29"/>
        <v>0</v>
      </c>
      <c r="O68" s="127">
        <f t="shared" si="29"/>
        <v>0</v>
      </c>
      <c r="P68" s="127">
        <f t="shared" si="29"/>
        <v>0</v>
      </c>
      <c r="Q68" s="127">
        <f t="shared" si="29"/>
        <v>0</v>
      </c>
      <c r="R68" s="127">
        <f t="shared" si="29"/>
        <v>0</v>
      </c>
      <c r="S68" s="127">
        <f t="shared" si="29"/>
        <v>0</v>
      </c>
      <c r="T68" s="127">
        <f t="shared" si="29"/>
        <v>0</v>
      </c>
      <c r="U68" s="127">
        <f t="shared" si="29"/>
        <v>0</v>
      </c>
      <c r="V68" s="127">
        <f t="shared" si="29"/>
        <v>0</v>
      </c>
      <c r="W68" s="127">
        <f t="shared" ref="W68:Y68" si="30">IF(W17=0,0,W17/W$8)</f>
        <v>0</v>
      </c>
      <c r="X68" s="127">
        <f t="shared" si="30"/>
        <v>0</v>
      </c>
      <c r="Y68" s="127">
        <f t="shared" si="30"/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Y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12814.720029957334</v>
      </c>
      <c r="C4" s="11">
        <f t="shared" si="0"/>
        <v>13761.671076221628</v>
      </c>
      <c r="D4" s="11">
        <f t="shared" ref="D4:V4" si="1">SUM(D5:D7)</f>
        <v>13762.974610768295</v>
      </c>
      <c r="E4" s="11">
        <f t="shared" si="1"/>
        <v>13444.140601343239</v>
      </c>
      <c r="F4" s="11">
        <f t="shared" si="1"/>
        <v>14363.302809946783</v>
      </c>
      <c r="G4" s="11">
        <f t="shared" si="1"/>
        <v>17264.307551793965</v>
      </c>
      <c r="H4" s="11">
        <f t="shared" si="1"/>
        <v>20238.21636148684</v>
      </c>
      <c r="I4" s="11">
        <f t="shared" si="1"/>
        <v>22371.189522033776</v>
      </c>
      <c r="J4" s="11">
        <f t="shared" si="1"/>
        <v>22080.681096606091</v>
      </c>
      <c r="K4" s="11">
        <f t="shared" si="1"/>
        <v>19204.229676637657</v>
      </c>
      <c r="L4" s="11">
        <f t="shared" si="1"/>
        <v>17079.08042533512</v>
      </c>
      <c r="M4" s="11">
        <f t="shared" si="1"/>
        <v>17561.989615154631</v>
      </c>
      <c r="N4" s="11">
        <f t="shared" si="1"/>
        <v>18186.645315917838</v>
      </c>
      <c r="O4" s="11">
        <f t="shared" si="1"/>
        <v>19475.860178158764</v>
      </c>
      <c r="P4" s="11">
        <f t="shared" si="1"/>
        <v>20994.262745656022</v>
      </c>
      <c r="Q4" s="11">
        <f t="shared" si="1"/>
        <v>23829.390407147701</v>
      </c>
      <c r="R4" s="11">
        <f t="shared" si="1"/>
        <v>26468.972555430359</v>
      </c>
      <c r="S4" s="11">
        <f t="shared" si="1"/>
        <v>29277.449374551172</v>
      </c>
      <c r="T4" s="11">
        <f t="shared" si="1"/>
        <v>32320.396673830361</v>
      </c>
      <c r="U4" s="11">
        <f t="shared" si="1"/>
        <v>33874.217371618659</v>
      </c>
      <c r="V4" s="11">
        <f t="shared" si="1"/>
        <v>6884.5385737042325</v>
      </c>
      <c r="W4" s="11">
        <f t="shared" ref="W4:Y4" si="2">SUM(W5:W7)</f>
        <v>7815.8329994332562</v>
      </c>
      <c r="X4" s="11">
        <f t="shared" si="2"/>
        <v>29111.957479165681</v>
      </c>
      <c r="Y4" s="11">
        <f t="shared" si="2"/>
        <v>35368.103731731513</v>
      </c>
      <c r="DA4" s="189" t="s">
        <v>190</v>
      </c>
    </row>
    <row r="5" spans="1:105" ht="11.45" customHeight="1" x14ac:dyDescent="0.25">
      <c r="A5" s="83" t="s">
        <v>27</v>
      </c>
      <c r="B5" s="84">
        <v>245.73412033339051</v>
      </c>
      <c r="C5" s="84">
        <v>249.05898476026834</v>
      </c>
      <c r="D5" s="84">
        <v>225.64806440419483</v>
      </c>
      <c r="E5" s="84">
        <v>237.33610979187884</v>
      </c>
      <c r="F5" s="84">
        <v>233.52254281072709</v>
      </c>
      <c r="G5" s="84">
        <v>276.9831706378057</v>
      </c>
      <c r="H5" s="84">
        <v>343.41446379437986</v>
      </c>
      <c r="I5" s="84">
        <v>309.37764662229557</v>
      </c>
      <c r="J5" s="84">
        <v>264.86850526378174</v>
      </c>
      <c r="K5" s="84">
        <v>188.63035433972465</v>
      </c>
      <c r="L5" s="84">
        <v>99.506218488245452</v>
      </c>
      <c r="M5" s="84">
        <v>26.751918972235639</v>
      </c>
      <c r="N5" s="84">
        <v>13.479765788634564</v>
      </c>
      <c r="O5" s="84">
        <v>16.108024700834822</v>
      </c>
      <c r="P5" s="84">
        <v>14.907907873068609</v>
      </c>
      <c r="Q5" s="84">
        <v>17.990402728831125</v>
      </c>
      <c r="R5" s="84">
        <v>19.760527936014345</v>
      </c>
      <c r="S5" s="84">
        <v>20.589595722608077</v>
      </c>
      <c r="T5" s="84">
        <v>23.793713005766833</v>
      </c>
      <c r="U5" s="84">
        <v>23.034374435747623</v>
      </c>
      <c r="V5" s="84">
        <v>6.7253410130237876</v>
      </c>
      <c r="W5" s="84">
        <v>9.2414973405380128</v>
      </c>
      <c r="X5" s="84">
        <v>30.821302578302994</v>
      </c>
      <c r="Y5" s="84">
        <v>38.247384420580495</v>
      </c>
      <c r="DA5" s="171" t="s">
        <v>191</v>
      </c>
    </row>
    <row r="6" spans="1:105" ht="11.45" customHeight="1" x14ac:dyDescent="0.25">
      <c r="A6" s="83" t="s">
        <v>181</v>
      </c>
      <c r="B6" s="84">
        <v>7668.8404926758112</v>
      </c>
      <c r="C6" s="84">
        <v>8502.3181043663244</v>
      </c>
      <c r="D6" s="84">
        <v>8736.7661393831604</v>
      </c>
      <c r="E6" s="84">
        <v>9093.1447975390565</v>
      </c>
      <c r="F6" s="84">
        <v>9732.4594460282951</v>
      </c>
      <c r="G6" s="84">
        <v>11914.056674155147</v>
      </c>
      <c r="H6" s="84">
        <v>13950.142133688358</v>
      </c>
      <c r="I6" s="84">
        <v>15345.303028991928</v>
      </c>
      <c r="J6" s="84">
        <v>14841.605846672781</v>
      </c>
      <c r="K6" s="84">
        <v>12778.658974458742</v>
      </c>
      <c r="L6" s="84">
        <v>11293.195456391419</v>
      </c>
      <c r="M6" s="84">
        <v>11597.892981896754</v>
      </c>
      <c r="N6" s="84">
        <v>11593.149335013204</v>
      </c>
      <c r="O6" s="84">
        <v>11897.021892234992</v>
      </c>
      <c r="P6" s="84">
        <v>12263.52061523034</v>
      </c>
      <c r="Q6" s="84">
        <v>13576.750423302496</v>
      </c>
      <c r="R6" s="84">
        <v>15257.215266237989</v>
      </c>
      <c r="S6" s="84">
        <v>16115.345813921173</v>
      </c>
      <c r="T6" s="84">
        <v>16930.110034368987</v>
      </c>
      <c r="U6" s="84">
        <v>18067.230483901531</v>
      </c>
      <c r="V6" s="84">
        <v>4237.6889224334373</v>
      </c>
      <c r="W6" s="84">
        <v>5325.5893885933738</v>
      </c>
      <c r="X6" s="84">
        <v>16268.463063008623</v>
      </c>
      <c r="Y6" s="84">
        <v>19124.550542589928</v>
      </c>
      <c r="DA6" s="171" t="s">
        <v>192</v>
      </c>
    </row>
    <row r="7" spans="1:105" ht="11.45" customHeight="1" x14ac:dyDescent="0.25">
      <c r="A7" s="83" t="s">
        <v>182</v>
      </c>
      <c r="B7" s="84">
        <v>4900.1454169481322</v>
      </c>
      <c r="C7" s="84">
        <v>5010.2939870950358</v>
      </c>
      <c r="D7" s="84">
        <v>4800.5604069809388</v>
      </c>
      <c r="E7" s="84">
        <v>4113.6596940123027</v>
      </c>
      <c r="F7" s="84">
        <v>4397.3208211077599</v>
      </c>
      <c r="G7" s="84">
        <v>5073.2677070010122</v>
      </c>
      <c r="H7" s="84">
        <v>5944.6597640041036</v>
      </c>
      <c r="I7" s="84">
        <v>6716.5088464195514</v>
      </c>
      <c r="J7" s="84">
        <v>6974.2067446695282</v>
      </c>
      <c r="K7" s="84">
        <v>6236.9403478391896</v>
      </c>
      <c r="L7" s="84">
        <v>5686.3787504554557</v>
      </c>
      <c r="M7" s="84">
        <v>5937.344714285643</v>
      </c>
      <c r="N7" s="84">
        <v>6580.0162151159993</v>
      </c>
      <c r="O7" s="84">
        <v>7562.7302612229369</v>
      </c>
      <c r="P7" s="84">
        <v>8715.8342225526158</v>
      </c>
      <c r="Q7" s="84">
        <v>10234.649581116373</v>
      </c>
      <c r="R7" s="84">
        <v>11191.996761256356</v>
      </c>
      <c r="S7" s="84">
        <v>13141.513964907392</v>
      </c>
      <c r="T7" s="84">
        <v>15366.492926455609</v>
      </c>
      <c r="U7" s="84">
        <v>15783.952513281378</v>
      </c>
      <c r="V7" s="84">
        <v>2640.1243102577714</v>
      </c>
      <c r="W7" s="84">
        <v>2481.0021134993444</v>
      </c>
      <c r="X7" s="84">
        <v>12812.673113578756</v>
      </c>
      <c r="Y7" s="84">
        <v>16205.305804721005</v>
      </c>
      <c r="DA7" s="171" t="s">
        <v>193</v>
      </c>
    </row>
    <row r="8" spans="1:105" ht="11.45" customHeight="1" x14ac:dyDescent="0.25">
      <c r="A8" s="12" t="s">
        <v>28</v>
      </c>
      <c r="B8" s="13">
        <f t="shared" ref="B8:C8" si="3">SUM(B9:B11)</f>
        <v>60.041665058289638</v>
      </c>
      <c r="C8" s="13">
        <f t="shared" si="3"/>
        <v>61.546528214457709</v>
      </c>
      <c r="D8" s="13">
        <f t="shared" ref="D8:V8" si="4">SUM(D9:D11)</f>
        <v>54.919393551244923</v>
      </c>
      <c r="E8" s="13">
        <f t="shared" si="4"/>
        <v>57.336076118348672</v>
      </c>
      <c r="F8" s="13">
        <f t="shared" si="4"/>
        <v>88.243213363960422</v>
      </c>
      <c r="G8" s="13">
        <f t="shared" si="4"/>
        <v>100.5262381679989</v>
      </c>
      <c r="H8" s="13">
        <f t="shared" si="4"/>
        <v>140.95401880560911</v>
      </c>
      <c r="I8" s="13">
        <f t="shared" si="4"/>
        <v>145.25602005645655</v>
      </c>
      <c r="J8" s="13">
        <f t="shared" si="4"/>
        <v>134.2220232860777</v>
      </c>
      <c r="K8" s="13">
        <f t="shared" si="4"/>
        <v>108.93715801103873</v>
      </c>
      <c r="L8" s="13">
        <f t="shared" si="4"/>
        <v>135.84598140354763</v>
      </c>
      <c r="M8" s="13">
        <f t="shared" si="4"/>
        <v>125.92079100734264</v>
      </c>
      <c r="N8" s="13">
        <f t="shared" si="4"/>
        <v>161.54786939951828</v>
      </c>
      <c r="O8" s="13">
        <f t="shared" si="4"/>
        <v>169.68960917806925</v>
      </c>
      <c r="P8" s="13">
        <f t="shared" si="4"/>
        <v>199.49630407060241</v>
      </c>
      <c r="Q8" s="13">
        <f t="shared" si="4"/>
        <v>232.62320544538193</v>
      </c>
      <c r="R8" s="13">
        <f t="shared" si="4"/>
        <v>234.42049498364497</v>
      </c>
      <c r="S8" s="13">
        <f t="shared" si="4"/>
        <v>312.11808243166735</v>
      </c>
      <c r="T8" s="13">
        <f t="shared" si="4"/>
        <v>274.11592372484034</v>
      </c>
      <c r="U8" s="13">
        <f t="shared" si="4"/>
        <v>239.30818023157656</v>
      </c>
      <c r="V8" s="13">
        <f t="shared" si="4"/>
        <v>198.6721395424922</v>
      </c>
      <c r="W8" s="13">
        <f t="shared" ref="W8:Y8" si="5">SUM(W9:W11)</f>
        <v>238.83838620999143</v>
      </c>
      <c r="X8" s="13">
        <f t="shared" si="5"/>
        <v>283.5500757769197</v>
      </c>
      <c r="Y8" s="13">
        <f t="shared" si="5"/>
        <v>283.6302070570182</v>
      </c>
      <c r="DA8" s="193" t="s">
        <v>194</v>
      </c>
    </row>
    <row r="9" spans="1:105" ht="11.45" customHeight="1" x14ac:dyDescent="0.25">
      <c r="A9" s="92" t="s">
        <v>27</v>
      </c>
      <c r="B9" s="102">
        <v>1.2693078783174991</v>
      </c>
      <c r="C9" s="102">
        <v>1.2459149109223917</v>
      </c>
      <c r="D9" s="102">
        <v>0.92867523121181184</v>
      </c>
      <c r="E9" s="102">
        <v>0.96425468695175909</v>
      </c>
      <c r="F9" s="102">
        <v>1.7736140678104839</v>
      </c>
      <c r="G9" s="102">
        <v>2.3867990970670019</v>
      </c>
      <c r="H9" s="102">
        <v>3.4532228054313281</v>
      </c>
      <c r="I9" s="102">
        <v>2.9678396522718145</v>
      </c>
      <c r="J9" s="102">
        <v>2.244094586850153</v>
      </c>
      <c r="K9" s="102">
        <v>2.1235085211950602</v>
      </c>
      <c r="L9" s="102">
        <v>2.0344623502714345</v>
      </c>
      <c r="M9" s="102">
        <v>1.3762870659734221</v>
      </c>
      <c r="N9" s="102">
        <v>1.3105977964633349</v>
      </c>
      <c r="O9" s="102">
        <v>1.2320551534461681</v>
      </c>
      <c r="P9" s="102">
        <v>1.0351812203324084</v>
      </c>
      <c r="Q9" s="102">
        <v>1.0989454259330562</v>
      </c>
      <c r="R9" s="102">
        <v>1.0231411723018398</v>
      </c>
      <c r="S9" s="102">
        <v>1.1964972792833044</v>
      </c>
      <c r="T9" s="102">
        <v>1.2270856843379743</v>
      </c>
      <c r="U9" s="102">
        <v>0.81175362843766763</v>
      </c>
      <c r="V9" s="102">
        <v>0.71531535831879522</v>
      </c>
      <c r="W9" s="102">
        <v>1.3715166698835386</v>
      </c>
      <c r="X9" s="102">
        <v>0.72517047280266655</v>
      </c>
      <c r="Y9" s="102">
        <v>0.85641304593721312</v>
      </c>
      <c r="DA9" s="175" t="s">
        <v>195</v>
      </c>
    </row>
    <row r="10" spans="1:105" ht="11.45" customHeight="1" x14ac:dyDescent="0.25">
      <c r="A10" s="92" t="s">
        <v>181</v>
      </c>
      <c r="B10" s="102">
        <v>16.021159444682436</v>
      </c>
      <c r="C10" s="102">
        <v>16.649468043700193</v>
      </c>
      <c r="D10" s="102">
        <v>11.691641973305861</v>
      </c>
      <c r="E10" s="102">
        <v>11.696303411149213</v>
      </c>
      <c r="F10" s="102">
        <v>11.225405744240033</v>
      </c>
      <c r="G10" s="102">
        <v>21.513912596926588</v>
      </c>
      <c r="H10" s="102">
        <v>32.68129068703562</v>
      </c>
      <c r="I10" s="102">
        <v>30.334706424135039</v>
      </c>
      <c r="J10" s="102">
        <v>30.114597778470895</v>
      </c>
      <c r="K10" s="102">
        <v>28.152525960846944</v>
      </c>
      <c r="L10" s="102">
        <v>29.861406837755165</v>
      </c>
      <c r="M10" s="102">
        <v>30.230561707212296</v>
      </c>
      <c r="N10" s="102">
        <v>30.226917604019761</v>
      </c>
      <c r="O10" s="102">
        <v>26.927108737643447</v>
      </c>
      <c r="P10" s="102">
        <v>32.002390780631245</v>
      </c>
      <c r="Q10" s="102">
        <v>32.753337446444419</v>
      </c>
      <c r="R10" s="102">
        <v>32.674015397500042</v>
      </c>
      <c r="S10" s="102">
        <v>29.760191171323374</v>
      </c>
      <c r="T10" s="102">
        <v>32.470256172178772</v>
      </c>
      <c r="U10" s="102">
        <v>31.235624986686819</v>
      </c>
      <c r="V10" s="102">
        <v>33.121911569295271</v>
      </c>
      <c r="W10" s="102">
        <v>41.740154736125369</v>
      </c>
      <c r="X10" s="102">
        <v>34.104749839072461</v>
      </c>
      <c r="Y10" s="102">
        <v>38.22814861193649</v>
      </c>
      <c r="DA10" s="175" t="s">
        <v>196</v>
      </c>
    </row>
    <row r="11" spans="1:105" ht="11.45" customHeight="1" x14ac:dyDescent="0.25">
      <c r="A11" s="85" t="s">
        <v>182</v>
      </c>
      <c r="B11" s="86">
        <v>42.751197735289701</v>
      </c>
      <c r="C11" s="86">
        <v>43.651145259835126</v>
      </c>
      <c r="D11" s="86">
        <v>42.299076346727247</v>
      </c>
      <c r="E11" s="86">
        <v>44.675518020247701</v>
      </c>
      <c r="F11" s="86">
        <v>75.244193551909902</v>
      </c>
      <c r="G11" s="86">
        <v>76.625526474005312</v>
      </c>
      <c r="H11" s="86">
        <v>104.81950531314214</v>
      </c>
      <c r="I11" s="86">
        <v>111.95347398004969</v>
      </c>
      <c r="J11" s="86">
        <v>101.86333092075665</v>
      </c>
      <c r="K11" s="86">
        <v>78.661123528996725</v>
      </c>
      <c r="L11" s="86">
        <v>103.95011221552102</v>
      </c>
      <c r="M11" s="86">
        <v>94.313942234156926</v>
      </c>
      <c r="N11" s="86">
        <v>130.01035399903517</v>
      </c>
      <c r="O11" s="86">
        <v>141.53044528697964</v>
      </c>
      <c r="P11" s="86">
        <v>166.45873206963876</v>
      </c>
      <c r="Q11" s="86">
        <v>198.77092257300444</v>
      </c>
      <c r="R11" s="86">
        <v>200.72333841384309</v>
      </c>
      <c r="S11" s="86">
        <v>281.16139398106066</v>
      </c>
      <c r="T11" s="86">
        <v>240.4185818683236</v>
      </c>
      <c r="U11" s="86">
        <v>207.26080161645208</v>
      </c>
      <c r="V11" s="86">
        <v>164.83491261487814</v>
      </c>
      <c r="W11" s="86">
        <v>195.72671480398253</v>
      </c>
      <c r="X11" s="86">
        <v>248.72015546504457</v>
      </c>
      <c r="Y11" s="86">
        <v>244.54564539914449</v>
      </c>
      <c r="DA11" s="178" t="s">
        <v>197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91.584311623755028</v>
      </c>
      <c r="C13" s="54">
        <f t="shared" si="6"/>
        <v>99.01368777264959</v>
      </c>
      <c r="D13" s="54">
        <f t="shared" ref="D13:V13" si="7">SUM(D14,D18)</f>
        <v>99.311516780595824</v>
      </c>
      <c r="E13" s="54">
        <f t="shared" si="7"/>
        <v>99.154003076307987</v>
      </c>
      <c r="F13" s="54">
        <f t="shared" si="7"/>
        <v>102.18323757024275</v>
      </c>
      <c r="G13" s="54">
        <f t="shared" si="7"/>
        <v>123.68313017027461</v>
      </c>
      <c r="H13" s="54">
        <f t="shared" si="7"/>
        <v>144.83570472588363</v>
      </c>
      <c r="I13" s="54">
        <f t="shared" si="7"/>
        <v>168.06422509408887</v>
      </c>
      <c r="J13" s="54">
        <f t="shared" si="7"/>
        <v>165.7739178334709</v>
      </c>
      <c r="K13" s="54">
        <f t="shared" si="7"/>
        <v>136.73550339457481</v>
      </c>
      <c r="L13" s="54">
        <f t="shared" si="7"/>
        <v>125.1796195033927</v>
      </c>
      <c r="M13" s="54">
        <f t="shared" si="7"/>
        <v>131.13471105164686</v>
      </c>
      <c r="N13" s="54">
        <f t="shared" si="7"/>
        <v>126.30015988045479</v>
      </c>
      <c r="O13" s="54">
        <f t="shared" si="7"/>
        <v>128.69298606438716</v>
      </c>
      <c r="P13" s="54">
        <f t="shared" si="7"/>
        <v>138.82516536205839</v>
      </c>
      <c r="Q13" s="54">
        <f t="shared" si="7"/>
        <v>152.42695495867852</v>
      </c>
      <c r="R13" s="54">
        <f t="shared" si="7"/>
        <v>165.04417872724193</v>
      </c>
      <c r="S13" s="54">
        <f t="shared" si="7"/>
        <v>182.5159887157233</v>
      </c>
      <c r="T13" s="54">
        <f t="shared" si="7"/>
        <v>198.1936861718028</v>
      </c>
      <c r="U13" s="54">
        <f t="shared" si="7"/>
        <v>202.21017794833699</v>
      </c>
      <c r="V13" s="54">
        <f t="shared" si="7"/>
        <v>68.027830396724141</v>
      </c>
      <c r="W13" s="54">
        <f t="shared" ref="W13:Y13" si="8">SUM(W14,W18)</f>
        <v>72.299831042132283</v>
      </c>
      <c r="X13" s="54">
        <f t="shared" si="8"/>
        <v>182.82042164753946</v>
      </c>
      <c r="Y13" s="54">
        <f t="shared" si="8"/>
        <v>211.61976231638641</v>
      </c>
      <c r="DA13" s="172" t="s">
        <v>198</v>
      </c>
    </row>
    <row r="14" spans="1:105" ht="11.45" customHeight="1" x14ac:dyDescent="0.25">
      <c r="A14" s="10" t="s">
        <v>33</v>
      </c>
      <c r="B14" s="11">
        <f t="shared" ref="B14:C14" si="9">SUM(B15:B17)</f>
        <v>90.091051546271302</v>
      </c>
      <c r="C14" s="11">
        <f t="shared" si="9"/>
        <v>97.559926185293008</v>
      </c>
      <c r="D14" s="11">
        <f t="shared" ref="D14:V14" si="10">SUM(D15:D17)</f>
        <v>98.054339762485512</v>
      </c>
      <c r="E14" s="11">
        <f t="shared" si="10"/>
        <v>97.801631785171821</v>
      </c>
      <c r="F14" s="11">
        <f t="shared" si="10"/>
        <v>100.16586119736083</v>
      </c>
      <c r="G14" s="11">
        <f t="shared" si="10"/>
        <v>120.97270866488333</v>
      </c>
      <c r="H14" s="11">
        <f t="shared" si="10"/>
        <v>140.66726033680999</v>
      </c>
      <c r="I14" s="11">
        <f t="shared" si="10"/>
        <v>163.85258650047263</v>
      </c>
      <c r="J14" s="11">
        <f t="shared" si="10"/>
        <v>161.74991431012137</v>
      </c>
      <c r="K14" s="11">
        <f t="shared" si="10"/>
        <v>133.48363081308716</v>
      </c>
      <c r="L14" s="11">
        <f t="shared" si="10"/>
        <v>121.50852625513096</v>
      </c>
      <c r="M14" s="11">
        <f t="shared" si="10"/>
        <v>127.82563972997504</v>
      </c>
      <c r="N14" s="11">
        <f t="shared" si="10"/>
        <v>122.71867833101038</v>
      </c>
      <c r="O14" s="11">
        <f t="shared" si="10"/>
        <v>125.11295728024797</v>
      </c>
      <c r="P14" s="11">
        <f t="shared" si="10"/>
        <v>135.16710184289707</v>
      </c>
      <c r="Q14" s="11">
        <f t="shared" si="10"/>
        <v>148.27812046054243</v>
      </c>
      <c r="R14" s="11">
        <f t="shared" si="10"/>
        <v>161.2456884507684</v>
      </c>
      <c r="S14" s="11">
        <f t="shared" si="10"/>
        <v>177.672537906039</v>
      </c>
      <c r="T14" s="11">
        <f t="shared" si="10"/>
        <v>193.81388753697149</v>
      </c>
      <c r="U14" s="11">
        <f t="shared" si="10"/>
        <v>198.46692927291392</v>
      </c>
      <c r="V14" s="11">
        <f t="shared" si="10"/>
        <v>63.546708950131169</v>
      </c>
      <c r="W14" s="11">
        <f t="shared" ref="W14:Y14" si="11">SUM(W15:W17)</f>
        <v>66.903624999269056</v>
      </c>
      <c r="X14" s="11">
        <f t="shared" si="11"/>
        <v>177.4128377918783</v>
      </c>
      <c r="Y14" s="11">
        <f t="shared" si="11"/>
        <v>206.22299607708703</v>
      </c>
      <c r="DA14" s="189" t="s">
        <v>199</v>
      </c>
    </row>
    <row r="15" spans="1:105" ht="11.45" customHeight="1" x14ac:dyDescent="0.25">
      <c r="A15" s="83" t="s">
        <v>27</v>
      </c>
      <c r="B15" s="84">
        <v>3.6495773332007237</v>
      </c>
      <c r="C15" s="84">
        <v>3.7932714930096725</v>
      </c>
      <c r="D15" s="84">
        <v>3.5875218022389834</v>
      </c>
      <c r="E15" s="84">
        <v>3.9542598171850076</v>
      </c>
      <c r="F15" s="84">
        <v>3.6071049001244506</v>
      </c>
      <c r="G15" s="84">
        <v>4.4929718759787036</v>
      </c>
      <c r="H15" s="84">
        <v>4.6265551392481585</v>
      </c>
      <c r="I15" s="84">
        <v>4.8107460675728264</v>
      </c>
      <c r="J15" s="84">
        <v>4.3539799974274391</v>
      </c>
      <c r="K15" s="84">
        <v>3.4303752829315419</v>
      </c>
      <c r="L15" s="84">
        <v>2.5075498068541004</v>
      </c>
      <c r="M15" s="84">
        <v>1.0332712906974608</v>
      </c>
      <c r="N15" s="84">
        <v>0.61476714331026538</v>
      </c>
      <c r="O15" s="84">
        <v>0.59912591704217988</v>
      </c>
      <c r="P15" s="84">
        <v>0.58398344850149408</v>
      </c>
      <c r="Q15" s="84">
        <v>0.60672390076859484</v>
      </c>
      <c r="R15" s="84">
        <v>0.62905865886548917</v>
      </c>
      <c r="S15" s="84">
        <v>0.63106120206023764</v>
      </c>
      <c r="T15" s="84">
        <v>0.6196582923272036</v>
      </c>
      <c r="U15" s="84">
        <v>0.62600772768000013</v>
      </c>
      <c r="V15" s="84">
        <v>0.56466439893048115</v>
      </c>
      <c r="W15" s="84">
        <v>0.51238235571878277</v>
      </c>
      <c r="X15" s="84">
        <v>0.59585243062520898</v>
      </c>
      <c r="Y15" s="84">
        <v>0.62479120278392919</v>
      </c>
      <c r="DA15" s="171" t="s">
        <v>200</v>
      </c>
    </row>
    <row r="16" spans="1:105" ht="11.45" customHeight="1" x14ac:dyDescent="0.25">
      <c r="A16" s="83" t="s">
        <v>181</v>
      </c>
      <c r="B16" s="84">
        <v>63.036127223154239</v>
      </c>
      <c r="C16" s="84">
        <v>68.652332429653057</v>
      </c>
      <c r="D16" s="84">
        <v>70.240824428482398</v>
      </c>
      <c r="E16" s="84">
        <v>73.487723483897284</v>
      </c>
      <c r="F16" s="84">
        <v>76.106044803246576</v>
      </c>
      <c r="G16" s="84">
        <v>89.347575699346223</v>
      </c>
      <c r="H16" s="84">
        <v>100.80401544921222</v>
      </c>
      <c r="I16" s="84">
        <v>112.86883572601484</v>
      </c>
      <c r="J16" s="84">
        <v>115.16900447498857</v>
      </c>
      <c r="K16" s="84">
        <v>95.767446490153418</v>
      </c>
      <c r="L16" s="84">
        <v>85.555773301299666</v>
      </c>
      <c r="M16" s="84">
        <v>89.753665617915772</v>
      </c>
      <c r="N16" s="84">
        <v>88.35317234259422</v>
      </c>
      <c r="O16" s="84">
        <v>89.13665738712335</v>
      </c>
      <c r="P16" s="84">
        <v>92.557329303725396</v>
      </c>
      <c r="Q16" s="84">
        <v>97.969617435087343</v>
      </c>
      <c r="R16" s="84">
        <v>108.16461878412663</v>
      </c>
      <c r="S16" s="84">
        <v>113.47588911910944</v>
      </c>
      <c r="T16" s="84">
        <v>119.04551034235351</v>
      </c>
      <c r="U16" s="84">
        <v>125.99341291673532</v>
      </c>
      <c r="V16" s="84">
        <v>42.614455189400019</v>
      </c>
      <c r="W16" s="84">
        <v>45.780670615626434</v>
      </c>
      <c r="X16" s="84">
        <v>115.4998839904423</v>
      </c>
      <c r="Y16" s="84">
        <v>131.6957642865909</v>
      </c>
      <c r="DA16" s="171" t="s">
        <v>201</v>
      </c>
    </row>
    <row r="17" spans="1:105" ht="11.45" customHeight="1" x14ac:dyDescent="0.25">
      <c r="A17" s="83" t="s">
        <v>182</v>
      </c>
      <c r="B17" s="84">
        <v>23.405346989916342</v>
      </c>
      <c r="C17" s="84">
        <v>25.114322262630282</v>
      </c>
      <c r="D17" s="84">
        <v>24.225993531764125</v>
      </c>
      <c r="E17" s="84">
        <v>20.359648484089529</v>
      </c>
      <c r="F17" s="84">
        <v>20.452711493989792</v>
      </c>
      <c r="G17" s="84">
        <v>27.132161089558398</v>
      </c>
      <c r="H17" s="84">
        <v>35.236689748349626</v>
      </c>
      <c r="I17" s="84">
        <v>46.173004706884974</v>
      </c>
      <c r="J17" s="84">
        <v>42.226929837705342</v>
      </c>
      <c r="K17" s="84">
        <v>34.285809040002199</v>
      </c>
      <c r="L17" s="84">
        <v>33.445203146977192</v>
      </c>
      <c r="M17" s="84">
        <v>37.038702821361809</v>
      </c>
      <c r="N17" s="84">
        <v>33.750738845105893</v>
      </c>
      <c r="O17" s="84">
        <v>35.377173976082439</v>
      </c>
      <c r="P17" s="84">
        <v>42.025789090670159</v>
      </c>
      <c r="Q17" s="84">
        <v>49.701779124686482</v>
      </c>
      <c r="R17" s="84">
        <v>52.452011007776285</v>
      </c>
      <c r="S17" s="84">
        <v>63.56558758486932</v>
      </c>
      <c r="T17" s="84">
        <v>74.148718902290796</v>
      </c>
      <c r="U17" s="84">
        <v>71.847508628498588</v>
      </c>
      <c r="V17" s="84">
        <v>20.367589361800668</v>
      </c>
      <c r="W17" s="84">
        <v>20.610572027923844</v>
      </c>
      <c r="X17" s="84">
        <v>61.317101370810803</v>
      </c>
      <c r="Y17" s="84">
        <v>73.902440587712192</v>
      </c>
      <c r="DA17" s="171" t="s">
        <v>202</v>
      </c>
    </row>
    <row r="18" spans="1:105" ht="11.45" customHeight="1" x14ac:dyDescent="0.25">
      <c r="A18" s="12" t="s">
        <v>34</v>
      </c>
      <c r="B18" s="13">
        <f t="shared" ref="B18:C18" si="12">SUM(B19:B21)</f>
        <v>1.4932600774837304</v>
      </c>
      <c r="C18" s="13">
        <f t="shared" si="12"/>
        <v>1.4537615873565755</v>
      </c>
      <c r="D18" s="13">
        <f t="shared" ref="D18:V18" si="13">SUM(D19:D21)</f>
        <v>1.2571770181103155</v>
      </c>
      <c r="E18" s="13">
        <f t="shared" si="13"/>
        <v>1.3523712911361634</v>
      </c>
      <c r="F18" s="13">
        <f t="shared" si="13"/>
        <v>2.0173763728819289</v>
      </c>
      <c r="G18" s="13">
        <f t="shared" si="13"/>
        <v>2.7104215053912846</v>
      </c>
      <c r="H18" s="13">
        <f t="shared" si="13"/>
        <v>4.1684443890736391</v>
      </c>
      <c r="I18" s="13">
        <f t="shared" si="13"/>
        <v>4.2116385936162466</v>
      </c>
      <c r="J18" s="13">
        <f t="shared" si="13"/>
        <v>4.0240035233495473</v>
      </c>
      <c r="K18" s="13">
        <f t="shared" si="13"/>
        <v>3.2518725814876399</v>
      </c>
      <c r="L18" s="13">
        <f t="shared" si="13"/>
        <v>3.6710932482617373</v>
      </c>
      <c r="M18" s="13">
        <f t="shared" si="13"/>
        <v>3.3090713216718188</v>
      </c>
      <c r="N18" s="13">
        <f t="shared" si="13"/>
        <v>3.5814815494444101</v>
      </c>
      <c r="O18" s="13">
        <f t="shared" si="13"/>
        <v>3.5800287841391976</v>
      </c>
      <c r="P18" s="13">
        <f t="shared" si="13"/>
        <v>3.6580635191613258</v>
      </c>
      <c r="Q18" s="13">
        <f t="shared" si="13"/>
        <v>4.1488344981361074</v>
      </c>
      <c r="R18" s="13">
        <f t="shared" si="13"/>
        <v>3.7984902764735429</v>
      </c>
      <c r="S18" s="13">
        <f t="shared" si="13"/>
        <v>4.843450809684291</v>
      </c>
      <c r="T18" s="13">
        <f t="shared" si="13"/>
        <v>4.3797986348313032</v>
      </c>
      <c r="U18" s="13">
        <f t="shared" si="13"/>
        <v>3.7432486754230707</v>
      </c>
      <c r="V18" s="13">
        <f t="shared" si="13"/>
        <v>4.4811214465929758</v>
      </c>
      <c r="W18" s="13">
        <f t="shared" ref="W18:Y18" si="14">SUM(W19:W21)</f>
        <v>5.3962060428632226</v>
      </c>
      <c r="X18" s="13">
        <f t="shared" si="14"/>
        <v>5.4075838556611666</v>
      </c>
      <c r="Y18" s="13">
        <f t="shared" si="14"/>
        <v>5.3967662392993896</v>
      </c>
      <c r="DA18" s="193" t="s">
        <v>203</v>
      </c>
    </row>
    <row r="19" spans="1:105" ht="11.45" customHeight="1" x14ac:dyDescent="0.25">
      <c r="A19" s="92" t="s">
        <v>27</v>
      </c>
      <c r="B19" s="102">
        <v>0.11836118605250538</v>
      </c>
      <c r="C19" s="102">
        <v>0.11707265059003642</v>
      </c>
      <c r="D19" s="102">
        <v>8.4859264028312564E-2</v>
      </c>
      <c r="E19" s="102">
        <v>8.283442258728993E-2</v>
      </c>
      <c r="F19" s="102">
        <v>0.16180323878717298</v>
      </c>
      <c r="G19" s="102">
        <v>0.22249682258064518</v>
      </c>
      <c r="H19" s="102">
        <v>0.33466206246872932</v>
      </c>
      <c r="I19" s="102">
        <v>0.28869405415147348</v>
      </c>
      <c r="J19" s="102">
        <v>0.22689330007967676</v>
      </c>
      <c r="K19" s="102">
        <v>0.21286266057855691</v>
      </c>
      <c r="L19" s="102">
        <v>0.19067317109458023</v>
      </c>
      <c r="M19" s="102">
        <v>0.12150227208453976</v>
      </c>
      <c r="N19" s="102">
        <v>0.1174342239747634</v>
      </c>
      <c r="O19" s="102">
        <v>0.1068150678309229</v>
      </c>
      <c r="P19" s="102">
        <v>8.0186847691313748E-2</v>
      </c>
      <c r="Q19" s="102">
        <v>8.3319187126296462E-2</v>
      </c>
      <c r="R19" s="102">
        <v>6.726532369053094E-2</v>
      </c>
      <c r="S19" s="102">
        <v>8.5647030689028403E-2</v>
      </c>
      <c r="T19" s="102">
        <v>8.5598642622950805E-2</v>
      </c>
      <c r="U19" s="102">
        <v>5.1040190322580656E-2</v>
      </c>
      <c r="V19" s="102">
        <v>4.8262145161290321E-2</v>
      </c>
      <c r="W19" s="102">
        <v>9.0166554803788906E-2</v>
      </c>
      <c r="X19" s="102">
        <v>4.7733961126005357E-2</v>
      </c>
      <c r="Y19" s="102">
        <v>5.7532661538461538E-2</v>
      </c>
      <c r="DA19" s="175" t="s">
        <v>204</v>
      </c>
    </row>
    <row r="20" spans="1:105" ht="11.45" customHeight="1" x14ac:dyDescent="0.25">
      <c r="A20" s="92" t="s">
        <v>181</v>
      </c>
      <c r="B20" s="102">
        <v>0.73533305356256828</v>
      </c>
      <c r="C20" s="102">
        <v>0.71352222294579659</v>
      </c>
      <c r="D20" s="102">
        <v>0.53275191621334594</v>
      </c>
      <c r="E20" s="102">
        <v>0.5261099117100928</v>
      </c>
      <c r="F20" s="102">
        <v>0.56550870899216621</v>
      </c>
      <c r="G20" s="102">
        <v>1.0909510521486185</v>
      </c>
      <c r="H20" s="102">
        <v>1.8569891926664051</v>
      </c>
      <c r="I20" s="102">
        <v>1.7757929138138013</v>
      </c>
      <c r="J20" s="102">
        <v>1.8033057465742703</v>
      </c>
      <c r="K20" s="102">
        <v>1.6738227055931874</v>
      </c>
      <c r="L20" s="102">
        <v>1.705768996086076</v>
      </c>
      <c r="M20" s="102">
        <v>1.6492097395521637</v>
      </c>
      <c r="N20" s="102">
        <v>1.5067235359959623</v>
      </c>
      <c r="O20" s="102">
        <v>1.3749496328074704</v>
      </c>
      <c r="P20" s="102">
        <v>1.4579414943023741</v>
      </c>
      <c r="Q20" s="102">
        <v>1.5286111986683621</v>
      </c>
      <c r="R20" s="102">
        <v>1.3748662708157919</v>
      </c>
      <c r="S20" s="102">
        <v>1.3763023485884287</v>
      </c>
      <c r="T20" s="102">
        <v>1.4751916501030888</v>
      </c>
      <c r="U20" s="102">
        <v>1.3801578804493269</v>
      </c>
      <c r="V20" s="102">
        <v>1.6495601014316854</v>
      </c>
      <c r="W20" s="102">
        <v>2.0211993076470622</v>
      </c>
      <c r="X20" s="102">
        <v>1.6588462581715249</v>
      </c>
      <c r="Y20" s="102">
        <v>1.8676370686700181</v>
      </c>
      <c r="DA20" s="175" t="s">
        <v>205</v>
      </c>
    </row>
    <row r="21" spans="1:105" ht="11.45" customHeight="1" x14ac:dyDescent="0.25">
      <c r="A21" s="85" t="s">
        <v>182</v>
      </c>
      <c r="B21" s="86">
        <v>0.63956583786865684</v>
      </c>
      <c r="C21" s="86">
        <v>0.62316671382074251</v>
      </c>
      <c r="D21" s="86">
        <v>0.63956583786865684</v>
      </c>
      <c r="E21" s="86">
        <v>0.74342695683878068</v>
      </c>
      <c r="F21" s="86">
        <v>1.2900644251025899</v>
      </c>
      <c r="G21" s="86">
        <v>1.3969736306620211</v>
      </c>
      <c r="H21" s="86">
        <v>1.9767931339385045</v>
      </c>
      <c r="I21" s="86">
        <v>2.1471516256509724</v>
      </c>
      <c r="J21" s="86">
        <v>1.9938044766956</v>
      </c>
      <c r="K21" s="86">
        <v>1.3651872153158957</v>
      </c>
      <c r="L21" s="86">
        <v>1.7746510810810809</v>
      </c>
      <c r="M21" s="86">
        <v>1.5383593100351154</v>
      </c>
      <c r="N21" s="86">
        <v>1.9573237894736844</v>
      </c>
      <c r="O21" s="86">
        <v>2.098264083500804</v>
      </c>
      <c r="P21" s="86">
        <v>2.1199351771676378</v>
      </c>
      <c r="Q21" s="86">
        <v>2.5369041123414484</v>
      </c>
      <c r="R21" s="86">
        <v>2.3563586819672198</v>
      </c>
      <c r="S21" s="86">
        <v>3.3815014304068338</v>
      </c>
      <c r="T21" s="86">
        <v>2.819008342105263</v>
      </c>
      <c r="U21" s="86">
        <v>2.3120506046511631</v>
      </c>
      <c r="V21" s="86">
        <v>2.7832991999999996</v>
      </c>
      <c r="W21" s="86">
        <v>3.2848401804123712</v>
      </c>
      <c r="X21" s="86">
        <v>3.7010036363636365</v>
      </c>
      <c r="Y21" s="86">
        <v>3.4715965090909098</v>
      </c>
      <c r="DA21" s="178" t="s">
        <v>206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138</v>
      </c>
      <c r="B23" s="54">
        <f t="shared" ref="B23:C23" si="15">SUM(B24,B28)</f>
        <v>99700</v>
      </c>
      <c r="C23" s="54">
        <f t="shared" si="15"/>
        <v>105487</v>
      </c>
      <c r="D23" s="54">
        <f t="shared" ref="D23:V23" si="16">SUM(D24,D28)</f>
        <v>104151</v>
      </c>
      <c r="E23" s="54">
        <f t="shared" si="16"/>
        <v>106027</v>
      </c>
      <c r="F23" s="54">
        <f t="shared" si="16"/>
        <v>106287</v>
      </c>
      <c r="G23" s="54">
        <f t="shared" si="16"/>
        <v>123176</v>
      </c>
      <c r="H23" s="54">
        <f t="shared" si="16"/>
        <v>130490</v>
      </c>
      <c r="I23" s="54">
        <f t="shared" si="16"/>
        <v>137526</v>
      </c>
      <c r="J23" s="54">
        <f t="shared" si="16"/>
        <v>139167</v>
      </c>
      <c r="K23" s="54">
        <f t="shared" si="16"/>
        <v>116816</v>
      </c>
      <c r="L23" s="54">
        <f t="shared" si="16"/>
        <v>105076</v>
      </c>
      <c r="M23" s="54">
        <f t="shared" si="16"/>
        <v>103861</v>
      </c>
      <c r="N23" s="54">
        <f t="shared" si="16"/>
        <v>100873</v>
      </c>
      <c r="O23" s="54">
        <f t="shared" si="16"/>
        <v>101981</v>
      </c>
      <c r="P23" s="54">
        <f t="shared" si="16"/>
        <v>108155</v>
      </c>
      <c r="Q23" s="54">
        <f t="shared" si="16"/>
        <v>113896</v>
      </c>
      <c r="R23" s="54">
        <f t="shared" si="16"/>
        <v>123160</v>
      </c>
      <c r="S23" s="54">
        <f t="shared" si="16"/>
        <v>126880</v>
      </c>
      <c r="T23" s="54">
        <f t="shared" si="16"/>
        <v>132864</v>
      </c>
      <c r="U23" s="54">
        <f t="shared" si="16"/>
        <v>136216</v>
      </c>
      <c r="V23" s="54">
        <f t="shared" si="16"/>
        <v>47268</v>
      </c>
      <c r="W23" s="54">
        <f t="shared" ref="W23:Y23" si="17">SUM(W24,W28)</f>
        <v>45450</v>
      </c>
      <c r="X23" s="54">
        <f t="shared" si="17"/>
        <v>116690</v>
      </c>
      <c r="Y23" s="54">
        <f t="shared" si="17"/>
        <v>135436</v>
      </c>
      <c r="DA23" s="172" t="s">
        <v>207</v>
      </c>
    </row>
    <row r="24" spans="1:105" ht="11.45" customHeight="1" x14ac:dyDescent="0.25">
      <c r="A24" s="10" t="s">
        <v>33</v>
      </c>
      <c r="B24" s="11">
        <f t="shared" ref="B24:C24" si="18">SUM(B25:B27)</f>
        <v>97835</v>
      </c>
      <c r="C24" s="11">
        <f t="shared" si="18"/>
        <v>103665</v>
      </c>
      <c r="D24" s="11">
        <f t="shared" ref="D24:V24" si="19">SUM(D25:D27)</f>
        <v>102773</v>
      </c>
      <c r="E24" s="11">
        <f t="shared" si="19"/>
        <v>104651</v>
      </c>
      <c r="F24" s="11">
        <f t="shared" si="19"/>
        <v>104319</v>
      </c>
      <c r="G24" s="11">
        <f t="shared" si="19"/>
        <v>120171</v>
      </c>
      <c r="H24" s="11">
        <f t="shared" si="19"/>
        <v>126110</v>
      </c>
      <c r="I24" s="11">
        <f t="shared" si="19"/>
        <v>133638</v>
      </c>
      <c r="J24" s="11">
        <f t="shared" si="19"/>
        <v>135618</v>
      </c>
      <c r="K24" s="11">
        <f t="shared" si="19"/>
        <v>113500</v>
      </c>
      <c r="L24" s="11">
        <f t="shared" si="19"/>
        <v>101757</v>
      </c>
      <c r="M24" s="11">
        <f t="shared" si="19"/>
        <v>100919</v>
      </c>
      <c r="N24" s="11">
        <f t="shared" si="19"/>
        <v>98074</v>
      </c>
      <c r="O24" s="11">
        <f t="shared" si="19"/>
        <v>99289</v>
      </c>
      <c r="P24" s="11">
        <f t="shared" si="19"/>
        <v>105589</v>
      </c>
      <c r="Q24" s="11">
        <f t="shared" si="19"/>
        <v>111204</v>
      </c>
      <c r="R24" s="11">
        <f t="shared" si="19"/>
        <v>120821</v>
      </c>
      <c r="S24" s="11">
        <f t="shared" si="19"/>
        <v>124238</v>
      </c>
      <c r="T24" s="11">
        <f t="shared" si="19"/>
        <v>130287</v>
      </c>
      <c r="U24" s="11">
        <f t="shared" si="19"/>
        <v>133866</v>
      </c>
      <c r="V24" s="11">
        <f t="shared" si="19"/>
        <v>44459</v>
      </c>
      <c r="W24" s="11">
        <f t="shared" ref="W24:Y24" si="20">SUM(W25:W27)</f>
        <v>42287</v>
      </c>
      <c r="X24" s="11">
        <f t="shared" si="20"/>
        <v>113981</v>
      </c>
      <c r="Y24" s="11">
        <f t="shared" si="20"/>
        <v>132577</v>
      </c>
      <c r="DA24" s="189" t="s">
        <v>208</v>
      </c>
    </row>
    <row r="25" spans="1:105" ht="11.45" customHeight="1" x14ac:dyDescent="0.25">
      <c r="A25" s="83" t="s">
        <v>27</v>
      </c>
      <c r="B25" s="84">
        <v>14350</v>
      </c>
      <c r="C25" s="84">
        <v>14915</v>
      </c>
      <c r="D25" s="84">
        <v>14106</v>
      </c>
      <c r="E25" s="84">
        <v>15548</v>
      </c>
      <c r="F25" s="84">
        <v>14183</v>
      </c>
      <c r="G25" s="84">
        <v>17648</v>
      </c>
      <c r="H25" s="84">
        <v>17428</v>
      </c>
      <c r="I25" s="84">
        <v>17195</v>
      </c>
      <c r="J25" s="84">
        <v>16098</v>
      </c>
      <c r="K25" s="84">
        <v>12888</v>
      </c>
      <c r="L25" s="84">
        <v>9958</v>
      </c>
      <c r="M25" s="84">
        <v>4384</v>
      </c>
      <c r="N25" s="84">
        <v>2347</v>
      </c>
      <c r="O25" s="84">
        <v>2253</v>
      </c>
      <c r="P25" s="84">
        <v>2201</v>
      </c>
      <c r="Q25" s="84">
        <v>2194</v>
      </c>
      <c r="R25" s="84">
        <v>2222</v>
      </c>
      <c r="S25" s="84">
        <v>2182</v>
      </c>
      <c r="T25" s="84">
        <v>2198</v>
      </c>
      <c r="U25" s="84">
        <v>2217</v>
      </c>
      <c r="V25" s="84">
        <v>2069</v>
      </c>
      <c r="W25" s="84">
        <v>1842</v>
      </c>
      <c r="X25" s="84">
        <v>2110</v>
      </c>
      <c r="Y25" s="84">
        <v>2184</v>
      </c>
      <c r="DA25" s="171" t="s">
        <v>209</v>
      </c>
    </row>
    <row r="26" spans="1:105" ht="11.45" customHeight="1" x14ac:dyDescent="0.25">
      <c r="A26" s="83" t="s">
        <v>181</v>
      </c>
      <c r="B26" s="84">
        <v>77952</v>
      </c>
      <c r="C26" s="84">
        <v>82813</v>
      </c>
      <c r="D26" s="84">
        <v>82940</v>
      </c>
      <c r="E26" s="84">
        <v>84290</v>
      </c>
      <c r="F26" s="84">
        <v>85301</v>
      </c>
      <c r="G26" s="84">
        <v>96352</v>
      </c>
      <c r="H26" s="84">
        <v>101058</v>
      </c>
      <c r="I26" s="84">
        <v>106781</v>
      </c>
      <c r="J26" s="84">
        <v>110866</v>
      </c>
      <c r="K26" s="84">
        <v>93466</v>
      </c>
      <c r="L26" s="84">
        <v>84776</v>
      </c>
      <c r="M26" s="84">
        <v>88865</v>
      </c>
      <c r="N26" s="84">
        <v>88781</v>
      </c>
      <c r="O26" s="84">
        <v>89800</v>
      </c>
      <c r="P26" s="84">
        <v>94810</v>
      </c>
      <c r="Q26" s="84">
        <v>99115</v>
      </c>
      <c r="R26" s="84">
        <v>108287</v>
      </c>
      <c r="S26" s="84">
        <v>109839</v>
      </c>
      <c r="T26" s="84">
        <v>114041</v>
      </c>
      <c r="U26" s="84">
        <v>117984</v>
      </c>
      <c r="V26" s="84">
        <v>38515</v>
      </c>
      <c r="W26" s="84">
        <v>36458</v>
      </c>
      <c r="X26" s="84">
        <v>100205</v>
      </c>
      <c r="Y26" s="84">
        <v>116316</v>
      </c>
      <c r="DA26" s="171" t="s">
        <v>210</v>
      </c>
    </row>
    <row r="27" spans="1:105" ht="11.45" customHeight="1" x14ac:dyDescent="0.25">
      <c r="A27" s="83" t="s">
        <v>182</v>
      </c>
      <c r="B27" s="84">
        <v>5533</v>
      </c>
      <c r="C27" s="84">
        <v>5937</v>
      </c>
      <c r="D27" s="84">
        <v>5727</v>
      </c>
      <c r="E27" s="84">
        <v>4813</v>
      </c>
      <c r="F27" s="84">
        <v>4835</v>
      </c>
      <c r="G27" s="84">
        <v>6171</v>
      </c>
      <c r="H27" s="84">
        <v>7624</v>
      </c>
      <c r="I27" s="84">
        <v>9662</v>
      </c>
      <c r="J27" s="84">
        <v>8654</v>
      </c>
      <c r="K27" s="84">
        <v>7146</v>
      </c>
      <c r="L27" s="84">
        <v>7023</v>
      </c>
      <c r="M27" s="84">
        <v>7670</v>
      </c>
      <c r="N27" s="84">
        <v>6946</v>
      </c>
      <c r="O27" s="84">
        <v>7236</v>
      </c>
      <c r="P27" s="84">
        <v>8578</v>
      </c>
      <c r="Q27" s="84">
        <v>9895</v>
      </c>
      <c r="R27" s="84">
        <v>10312</v>
      </c>
      <c r="S27" s="84">
        <v>12217</v>
      </c>
      <c r="T27" s="84">
        <v>14048</v>
      </c>
      <c r="U27" s="84">
        <v>13665</v>
      </c>
      <c r="V27" s="84">
        <v>3875</v>
      </c>
      <c r="W27" s="84">
        <v>3987</v>
      </c>
      <c r="X27" s="84">
        <v>11666</v>
      </c>
      <c r="Y27" s="84">
        <v>14077</v>
      </c>
      <c r="DA27" s="171" t="s">
        <v>211</v>
      </c>
    </row>
    <row r="28" spans="1:105" ht="11.45" customHeight="1" x14ac:dyDescent="0.25">
      <c r="A28" s="12" t="s">
        <v>34</v>
      </c>
      <c r="B28" s="13">
        <f t="shared" ref="B28:C28" si="21">SUM(B29:B31)</f>
        <v>1865</v>
      </c>
      <c r="C28" s="13">
        <f t="shared" si="21"/>
        <v>1822</v>
      </c>
      <c r="D28" s="13">
        <f t="shared" ref="D28:V28" si="22">SUM(D29:D31)</f>
        <v>1378</v>
      </c>
      <c r="E28" s="13">
        <f t="shared" si="22"/>
        <v>1376</v>
      </c>
      <c r="F28" s="13">
        <f t="shared" si="22"/>
        <v>1968</v>
      </c>
      <c r="G28" s="13">
        <f t="shared" si="22"/>
        <v>3005</v>
      </c>
      <c r="H28" s="13">
        <f t="shared" si="22"/>
        <v>4380</v>
      </c>
      <c r="I28" s="13">
        <f t="shared" si="22"/>
        <v>3888</v>
      </c>
      <c r="J28" s="13">
        <f t="shared" si="22"/>
        <v>3549</v>
      </c>
      <c r="K28" s="13">
        <f t="shared" si="22"/>
        <v>3316</v>
      </c>
      <c r="L28" s="13">
        <f t="shared" si="22"/>
        <v>3319</v>
      </c>
      <c r="M28" s="13">
        <f t="shared" si="22"/>
        <v>2942</v>
      </c>
      <c r="N28" s="13">
        <f t="shared" si="22"/>
        <v>2799</v>
      </c>
      <c r="O28" s="13">
        <f t="shared" si="22"/>
        <v>2692</v>
      </c>
      <c r="P28" s="13">
        <f t="shared" si="22"/>
        <v>2566</v>
      </c>
      <c r="Q28" s="13">
        <f t="shared" si="22"/>
        <v>2692</v>
      </c>
      <c r="R28" s="13">
        <f t="shared" si="22"/>
        <v>2339</v>
      </c>
      <c r="S28" s="13">
        <f t="shared" si="22"/>
        <v>2642</v>
      </c>
      <c r="T28" s="13">
        <f t="shared" si="22"/>
        <v>2577</v>
      </c>
      <c r="U28" s="13">
        <f t="shared" si="22"/>
        <v>2350</v>
      </c>
      <c r="V28" s="13">
        <f t="shared" si="22"/>
        <v>2809</v>
      </c>
      <c r="W28" s="13">
        <f t="shared" ref="W28:Y28" si="23">SUM(W29:W31)</f>
        <v>3163</v>
      </c>
      <c r="X28" s="13">
        <f t="shared" si="23"/>
        <v>2709</v>
      </c>
      <c r="Y28" s="13">
        <f t="shared" si="23"/>
        <v>2859</v>
      </c>
      <c r="DA28" s="193" t="s">
        <v>212</v>
      </c>
    </row>
    <row r="29" spans="1:105" ht="11.45" customHeight="1" x14ac:dyDescent="0.25">
      <c r="A29" s="92" t="s">
        <v>27</v>
      </c>
      <c r="B29" s="102">
        <v>643</v>
      </c>
      <c r="C29" s="102">
        <v>636</v>
      </c>
      <c r="D29" s="102">
        <v>461</v>
      </c>
      <c r="E29" s="102">
        <v>450</v>
      </c>
      <c r="F29" s="102">
        <v>879</v>
      </c>
      <c r="G29" s="102">
        <v>1207</v>
      </c>
      <c r="H29" s="102">
        <v>1677</v>
      </c>
      <c r="I29" s="102">
        <v>1323</v>
      </c>
      <c r="J29" s="102">
        <v>1064</v>
      </c>
      <c r="K29" s="102">
        <v>998</v>
      </c>
      <c r="L29" s="102">
        <v>938</v>
      </c>
      <c r="M29" s="102">
        <v>705</v>
      </c>
      <c r="N29" s="102">
        <v>639</v>
      </c>
      <c r="O29" s="102">
        <v>548</v>
      </c>
      <c r="P29" s="102">
        <v>398</v>
      </c>
      <c r="Q29" s="102">
        <v>379</v>
      </c>
      <c r="R29" s="102">
        <v>288</v>
      </c>
      <c r="S29" s="102">
        <v>347</v>
      </c>
      <c r="T29" s="102">
        <v>347</v>
      </c>
      <c r="U29" s="102">
        <v>207</v>
      </c>
      <c r="V29" s="102">
        <v>209</v>
      </c>
      <c r="W29" s="102">
        <v>371</v>
      </c>
      <c r="X29" s="102">
        <v>195</v>
      </c>
      <c r="Y29" s="102">
        <v>237</v>
      </c>
      <c r="DA29" s="175" t="s">
        <v>213</v>
      </c>
    </row>
    <row r="30" spans="1:105" ht="11.45" customHeight="1" x14ac:dyDescent="0.25">
      <c r="A30" s="92" t="s">
        <v>181</v>
      </c>
      <c r="B30" s="102">
        <v>1105</v>
      </c>
      <c r="C30" s="102">
        <v>1072</v>
      </c>
      <c r="D30" s="102">
        <v>800</v>
      </c>
      <c r="E30" s="102">
        <v>790</v>
      </c>
      <c r="F30" s="102">
        <v>853</v>
      </c>
      <c r="G30" s="102">
        <v>1550</v>
      </c>
      <c r="H30" s="102">
        <v>2348</v>
      </c>
      <c r="I30" s="102">
        <v>2170</v>
      </c>
      <c r="J30" s="102">
        <v>2105</v>
      </c>
      <c r="K30" s="102">
        <v>2038</v>
      </c>
      <c r="L30" s="102">
        <v>1991</v>
      </c>
      <c r="M30" s="102">
        <v>1918</v>
      </c>
      <c r="N30" s="102">
        <v>1773</v>
      </c>
      <c r="O30" s="102">
        <v>1733</v>
      </c>
      <c r="P30" s="102">
        <v>1755</v>
      </c>
      <c r="Q30" s="102">
        <v>1832</v>
      </c>
      <c r="R30" s="102">
        <v>1611</v>
      </c>
      <c r="S30" s="102">
        <v>1679</v>
      </c>
      <c r="T30" s="102">
        <v>1725</v>
      </c>
      <c r="U30" s="102">
        <v>1735</v>
      </c>
      <c r="V30" s="102">
        <v>2108</v>
      </c>
      <c r="W30" s="102">
        <v>2215</v>
      </c>
      <c r="X30" s="102">
        <v>1874</v>
      </c>
      <c r="Y30" s="102">
        <v>2012</v>
      </c>
      <c r="DA30" s="175" t="s">
        <v>214</v>
      </c>
    </row>
    <row r="31" spans="1:105" ht="11.45" customHeight="1" x14ac:dyDescent="0.25">
      <c r="A31" s="85" t="s">
        <v>182</v>
      </c>
      <c r="B31" s="86">
        <v>117</v>
      </c>
      <c r="C31" s="86">
        <v>114</v>
      </c>
      <c r="D31" s="86">
        <v>117</v>
      </c>
      <c r="E31" s="86">
        <v>136</v>
      </c>
      <c r="F31" s="86">
        <v>236</v>
      </c>
      <c r="G31" s="86">
        <v>248</v>
      </c>
      <c r="H31" s="86">
        <v>355</v>
      </c>
      <c r="I31" s="86">
        <v>395</v>
      </c>
      <c r="J31" s="86">
        <v>380</v>
      </c>
      <c r="K31" s="86">
        <v>280</v>
      </c>
      <c r="L31" s="86">
        <v>390</v>
      </c>
      <c r="M31" s="86">
        <v>319</v>
      </c>
      <c r="N31" s="86">
        <v>387</v>
      </c>
      <c r="O31" s="86">
        <v>411</v>
      </c>
      <c r="P31" s="86">
        <v>413</v>
      </c>
      <c r="Q31" s="86">
        <v>481</v>
      </c>
      <c r="R31" s="86">
        <v>440</v>
      </c>
      <c r="S31" s="86">
        <v>616</v>
      </c>
      <c r="T31" s="86">
        <v>505</v>
      </c>
      <c r="U31" s="86">
        <v>408</v>
      </c>
      <c r="V31" s="86">
        <v>492</v>
      </c>
      <c r="W31" s="86">
        <v>577</v>
      </c>
      <c r="X31" s="86">
        <v>640</v>
      </c>
      <c r="Y31" s="86">
        <v>610</v>
      </c>
      <c r="DA31" s="178" t="s">
        <v>215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DA32" s="181"/>
    </row>
    <row r="33" spans="1:105" ht="11.45" customHeight="1" x14ac:dyDescent="0.25">
      <c r="A33" s="53" t="s">
        <v>140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9630631</v>
      </c>
      <c r="C34" s="11">
        <f t="shared" si="24"/>
        <v>10242065</v>
      </c>
      <c r="D34" s="11">
        <f t="shared" ref="D34:V34" si="25">SUM(D35:D37)</f>
        <v>10205963</v>
      </c>
      <c r="E34" s="11">
        <f t="shared" si="25"/>
        <v>10310797</v>
      </c>
      <c r="F34" s="11">
        <f t="shared" si="25"/>
        <v>10968461</v>
      </c>
      <c r="G34" s="11">
        <f t="shared" si="25"/>
        <v>12851721</v>
      </c>
      <c r="H34" s="11">
        <f t="shared" si="25"/>
        <v>14608386</v>
      </c>
      <c r="I34" s="11">
        <f t="shared" si="25"/>
        <v>15535512</v>
      </c>
      <c r="J34" s="11">
        <f t="shared" si="25"/>
        <v>15552046</v>
      </c>
      <c r="K34" s="11">
        <f t="shared" si="25"/>
        <v>13516487</v>
      </c>
      <c r="L34" s="11">
        <f t="shared" si="25"/>
        <v>11762833</v>
      </c>
      <c r="M34" s="11">
        <f t="shared" si="25"/>
        <v>11768195</v>
      </c>
      <c r="N34" s="11">
        <f t="shared" si="25"/>
        <v>11846216</v>
      </c>
      <c r="O34" s="11">
        <f t="shared" si="25"/>
        <v>12366546</v>
      </c>
      <c r="P34" s="11">
        <f t="shared" si="25"/>
        <v>13207228</v>
      </c>
      <c r="Q34" s="11">
        <f t="shared" si="25"/>
        <v>14848766</v>
      </c>
      <c r="R34" s="11">
        <f t="shared" si="25"/>
        <v>16411108</v>
      </c>
      <c r="S34" s="11">
        <f t="shared" si="25"/>
        <v>17251344</v>
      </c>
      <c r="T34" s="11">
        <f t="shared" si="25"/>
        <v>18298649</v>
      </c>
      <c r="U34" s="11">
        <f t="shared" si="25"/>
        <v>19057537</v>
      </c>
      <c r="V34" s="11">
        <f t="shared" si="25"/>
        <v>4136195</v>
      </c>
      <c r="W34" s="11">
        <f t="shared" ref="W34:Y34" si="26">SUM(W35:W37)</f>
        <v>4587369</v>
      </c>
      <c r="X34" s="11">
        <f t="shared" si="26"/>
        <v>16214957</v>
      </c>
      <c r="Y34" s="11">
        <f t="shared" si="26"/>
        <v>19598852</v>
      </c>
      <c r="DA34" s="189" t="s">
        <v>216</v>
      </c>
    </row>
    <row r="35" spans="1:105" ht="11.45" customHeight="1" x14ac:dyDescent="0.25">
      <c r="A35" s="83" t="s">
        <v>27</v>
      </c>
      <c r="B35" s="84">
        <v>903082</v>
      </c>
      <c r="C35" s="84">
        <v>915301</v>
      </c>
      <c r="D35" s="84">
        <v>829265</v>
      </c>
      <c r="E35" s="84">
        <v>872219</v>
      </c>
      <c r="F35" s="84">
        <v>858204</v>
      </c>
      <c r="G35" s="84">
        <v>1016875</v>
      </c>
      <c r="H35" s="84">
        <v>1209096</v>
      </c>
      <c r="I35" s="84">
        <v>1033549</v>
      </c>
      <c r="J35" s="84">
        <v>915310</v>
      </c>
      <c r="K35" s="84">
        <v>662381</v>
      </c>
      <c r="L35" s="84">
        <v>369339</v>
      </c>
      <c r="M35" s="84">
        <v>109177</v>
      </c>
      <c r="N35" s="84">
        <v>51605</v>
      </c>
      <c r="O35" s="84">
        <v>60249</v>
      </c>
      <c r="P35" s="84">
        <v>56002</v>
      </c>
      <c r="Q35" s="84">
        <v>65306</v>
      </c>
      <c r="R35" s="84">
        <v>70032</v>
      </c>
      <c r="S35" s="84">
        <v>71535</v>
      </c>
      <c r="T35" s="84">
        <v>84119</v>
      </c>
      <c r="U35" s="84">
        <v>81059</v>
      </c>
      <c r="V35" s="84">
        <v>24217</v>
      </c>
      <c r="W35" s="84">
        <v>32181</v>
      </c>
      <c r="X35" s="84">
        <v>107068</v>
      </c>
      <c r="Y35" s="84">
        <v>132849</v>
      </c>
      <c r="DA35" s="171" t="s">
        <v>217</v>
      </c>
    </row>
    <row r="36" spans="1:105" ht="11.45" customHeight="1" x14ac:dyDescent="0.25">
      <c r="A36" s="83" t="s">
        <v>181</v>
      </c>
      <c r="B36" s="84">
        <v>7599411</v>
      </c>
      <c r="C36" s="84">
        <v>8173267</v>
      </c>
      <c r="D36" s="84">
        <v>8271487</v>
      </c>
      <c r="E36" s="84">
        <v>8491509</v>
      </c>
      <c r="F36" s="84">
        <v>9097882</v>
      </c>
      <c r="G36" s="84">
        <v>10711104</v>
      </c>
      <c r="H36" s="84">
        <v>12146661</v>
      </c>
      <c r="I36" s="84">
        <v>13133194</v>
      </c>
      <c r="J36" s="84">
        <v>13244766</v>
      </c>
      <c r="K36" s="84">
        <v>11588123</v>
      </c>
      <c r="L36" s="84">
        <v>10230621</v>
      </c>
      <c r="M36" s="84">
        <v>10466002</v>
      </c>
      <c r="N36" s="84">
        <v>10472157</v>
      </c>
      <c r="O36" s="84">
        <v>10805025</v>
      </c>
      <c r="P36" s="84">
        <v>11447396</v>
      </c>
      <c r="Q36" s="84">
        <v>12831963</v>
      </c>
      <c r="R36" s="84">
        <v>14231419</v>
      </c>
      <c r="S36" s="84">
        <v>14711618</v>
      </c>
      <c r="T36" s="84">
        <v>15390672</v>
      </c>
      <c r="U36" s="84">
        <v>16087653</v>
      </c>
      <c r="V36" s="84">
        <v>3632796</v>
      </c>
      <c r="W36" s="84">
        <v>4083500</v>
      </c>
      <c r="X36" s="84">
        <v>13737359</v>
      </c>
      <c r="Y36" s="84">
        <v>16495595</v>
      </c>
      <c r="DA36" s="171" t="s">
        <v>218</v>
      </c>
    </row>
    <row r="37" spans="1:105" ht="11.45" customHeight="1" x14ac:dyDescent="0.25">
      <c r="A37" s="83" t="s">
        <v>182</v>
      </c>
      <c r="B37" s="84">
        <v>1128138</v>
      </c>
      <c r="C37" s="84">
        <v>1153497</v>
      </c>
      <c r="D37" s="84">
        <v>1105211</v>
      </c>
      <c r="E37" s="84">
        <v>947069</v>
      </c>
      <c r="F37" s="84">
        <v>1012375</v>
      </c>
      <c r="G37" s="84">
        <v>1123742</v>
      </c>
      <c r="H37" s="84">
        <v>1252629</v>
      </c>
      <c r="I37" s="84">
        <v>1368769</v>
      </c>
      <c r="J37" s="84">
        <v>1391970</v>
      </c>
      <c r="K37" s="84">
        <v>1265983</v>
      </c>
      <c r="L37" s="84">
        <v>1162873</v>
      </c>
      <c r="M37" s="84">
        <v>1193016</v>
      </c>
      <c r="N37" s="84">
        <v>1322454</v>
      </c>
      <c r="O37" s="84">
        <v>1501272</v>
      </c>
      <c r="P37" s="84">
        <v>1703830</v>
      </c>
      <c r="Q37" s="84">
        <v>1951497</v>
      </c>
      <c r="R37" s="84">
        <v>2109657</v>
      </c>
      <c r="S37" s="84">
        <v>2468191</v>
      </c>
      <c r="T37" s="84">
        <v>2823858</v>
      </c>
      <c r="U37" s="84">
        <v>2888825</v>
      </c>
      <c r="V37" s="84">
        <v>479182</v>
      </c>
      <c r="W37" s="84">
        <v>471688</v>
      </c>
      <c r="X37" s="84">
        <v>2370530</v>
      </c>
      <c r="Y37" s="84">
        <v>2970408</v>
      </c>
      <c r="DA37" s="171" t="s">
        <v>219</v>
      </c>
    </row>
    <row r="38" spans="1:105" ht="11.45" customHeight="1" x14ac:dyDescent="0.25">
      <c r="A38" s="12" t="s">
        <v>80</v>
      </c>
      <c r="B38" s="13">
        <f t="shared" ref="B38:C38" si="27">SUM(B39:B41)</f>
        <v>30410.583316256176</v>
      </c>
      <c r="C38" s="13">
        <f t="shared" si="27"/>
        <v>29991.628671469956</v>
      </c>
      <c r="D38" s="13">
        <f t="shared" ref="D38:V38" si="28">SUM(D39:D41)</f>
        <v>23997.181473063509</v>
      </c>
      <c r="E38" s="13">
        <f t="shared" si="28"/>
        <v>25128.008338159998</v>
      </c>
      <c r="F38" s="13">
        <f t="shared" si="28"/>
        <v>34051.938777806543</v>
      </c>
      <c r="G38" s="13">
        <f t="shared" si="28"/>
        <v>46631.140456397421</v>
      </c>
      <c r="H38" s="13">
        <f t="shared" si="28"/>
        <v>65120.657449673505</v>
      </c>
      <c r="I38" s="13">
        <f t="shared" si="28"/>
        <v>60477.878415160041</v>
      </c>
      <c r="J38" s="13">
        <f t="shared" si="28"/>
        <v>55754.106209591715</v>
      </c>
      <c r="K38" s="13">
        <f t="shared" si="28"/>
        <v>51195.77949249612</v>
      </c>
      <c r="L38" s="13">
        <f t="shared" si="28"/>
        <v>58719.283172231706</v>
      </c>
      <c r="M38" s="13">
        <f t="shared" si="28"/>
        <v>55156.743852140055</v>
      </c>
      <c r="N38" s="13">
        <f t="shared" si="28"/>
        <v>59568.863317865107</v>
      </c>
      <c r="O38" s="13">
        <f t="shared" si="28"/>
        <v>59849.068840722932</v>
      </c>
      <c r="P38" s="13">
        <f t="shared" si="28"/>
        <v>64948.550556937837</v>
      </c>
      <c r="Q38" s="13">
        <f t="shared" si="28"/>
        <v>70742.238826880901</v>
      </c>
      <c r="R38" s="13">
        <f t="shared" si="28"/>
        <v>70295.850411066247</v>
      </c>
      <c r="S38" s="13">
        <f t="shared" si="28"/>
        <v>82574.618559523675</v>
      </c>
      <c r="T38" s="13">
        <f t="shared" si="28"/>
        <v>75286.111102526454</v>
      </c>
      <c r="U38" s="13">
        <f t="shared" si="28"/>
        <v>68219.135655281309</v>
      </c>
      <c r="V38" s="13">
        <f t="shared" si="28"/>
        <v>65090.278495563543</v>
      </c>
      <c r="W38" s="13">
        <f t="shared" ref="W38:Y38" si="29">SUM(W39:W41)</f>
        <v>75742.974781759622</v>
      </c>
      <c r="X38" s="13">
        <f t="shared" si="29"/>
        <v>75153.930996181618</v>
      </c>
      <c r="Y38" s="13">
        <f t="shared" si="29"/>
        <v>78132.402295940774</v>
      </c>
      <c r="DA38" s="193" t="s">
        <v>220</v>
      </c>
    </row>
    <row r="39" spans="1:105" ht="11.45" customHeight="1" x14ac:dyDescent="0.25">
      <c r="A39" s="92" t="s">
        <v>27</v>
      </c>
      <c r="B39" s="102">
        <v>6444.9719729921799</v>
      </c>
      <c r="C39" s="102">
        <v>6326.1930527617051</v>
      </c>
      <c r="D39" s="102">
        <v>4715.3932780326022</v>
      </c>
      <c r="E39" s="102">
        <v>4896.0496806086503</v>
      </c>
      <c r="F39" s="102">
        <v>9005.610973671075</v>
      </c>
      <c r="G39" s="102">
        <v>12101.848578086112</v>
      </c>
      <c r="H39" s="102">
        <v>16173.483608258972</v>
      </c>
      <c r="I39" s="102">
        <v>12712.027705753497</v>
      </c>
      <c r="J39" s="102">
        <v>9835.886468996554</v>
      </c>
      <c r="K39" s="102">
        <v>9305.4516342282477</v>
      </c>
      <c r="L39" s="102">
        <v>9354.3862680881593</v>
      </c>
      <c r="M39" s="102">
        <v>7681.2832395365349</v>
      </c>
      <c r="N39" s="102">
        <v>7151.2605917819774</v>
      </c>
      <c r="O39" s="102">
        <v>6286.9883935524449</v>
      </c>
      <c r="P39" s="102">
        <v>5121.1046258072802</v>
      </c>
      <c r="Q39" s="102">
        <v>5018.0731772342042</v>
      </c>
      <c r="R39" s="102">
        <v>4395.2328588032387</v>
      </c>
      <c r="S39" s="102">
        <v>4870.9803271341925</v>
      </c>
      <c r="T39" s="102">
        <v>4957.8564310700576</v>
      </c>
      <c r="U39" s="102">
        <v>3271.3056182566647</v>
      </c>
      <c r="V39" s="102">
        <v>3044.1998630437542</v>
      </c>
      <c r="W39" s="102">
        <v>5466.2722347092385</v>
      </c>
      <c r="X39" s="102">
        <v>2906.1110769397028</v>
      </c>
      <c r="Y39" s="102">
        <v>3505.5484634698978</v>
      </c>
      <c r="DA39" s="175" t="s">
        <v>221</v>
      </c>
    </row>
    <row r="40" spans="1:105" ht="11.45" customHeight="1" x14ac:dyDescent="0.25">
      <c r="A40" s="92" t="s">
        <v>181</v>
      </c>
      <c r="B40" s="102">
        <v>17865.42758080189</v>
      </c>
      <c r="C40" s="102">
        <v>17524.554068422905</v>
      </c>
      <c r="D40" s="102">
        <v>13092.115148061079</v>
      </c>
      <c r="E40" s="102">
        <v>13605.140375073872</v>
      </c>
      <c r="F40" s="102">
        <v>13704.25298405005</v>
      </c>
      <c r="G40" s="102">
        <v>23563.837635767166</v>
      </c>
      <c r="H40" s="102">
        <v>32913.906733640957</v>
      </c>
      <c r="I40" s="102">
        <v>29917.450964205374</v>
      </c>
      <c r="J40" s="102">
        <v>28851.23423044592</v>
      </c>
      <c r="K40" s="102">
        <v>27918.346490270356</v>
      </c>
      <c r="L40" s="102">
        <v>28879.005907205057</v>
      </c>
      <c r="M40" s="102">
        <v>29909.274693823707</v>
      </c>
      <c r="N40" s="102">
        <v>29552.847044452155</v>
      </c>
      <c r="O40" s="102">
        <v>29039.892411893241</v>
      </c>
      <c r="P40" s="102">
        <v>32378.719251056213</v>
      </c>
      <c r="Q40" s="102">
        <v>33850.975215160259</v>
      </c>
      <c r="R40" s="102">
        <v>33585.998158270137</v>
      </c>
      <c r="S40" s="102">
        <v>32534.864785744241</v>
      </c>
      <c r="T40" s="102">
        <v>33163.920563631953</v>
      </c>
      <c r="U40" s="102">
        <v>34184.008601591442</v>
      </c>
      <c r="V40" s="102">
        <v>37186.186889342258</v>
      </c>
      <c r="W40" s="102">
        <v>39356.9965983656</v>
      </c>
      <c r="X40" s="102">
        <v>33526.748519884277</v>
      </c>
      <c r="Y40" s="102">
        <v>36155.714933605523</v>
      </c>
      <c r="DA40" s="175" t="s">
        <v>222</v>
      </c>
    </row>
    <row r="41" spans="1:105" ht="11.45" customHeight="1" x14ac:dyDescent="0.25">
      <c r="A41" s="85" t="s">
        <v>182</v>
      </c>
      <c r="B41" s="86">
        <v>6100.1837624621039</v>
      </c>
      <c r="C41" s="86">
        <v>6140.8815502853467</v>
      </c>
      <c r="D41" s="86">
        <v>6189.6730469698268</v>
      </c>
      <c r="E41" s="86">
        <v>6626.8182824774785</v>
      </c>
      <c r="F41" s="86">
        <v>11342.074820085414</v>
      </c>
      <c r="G41" s="86">
        <v>10965.45424254415</v>
      </c>
      <c r="H41" s="86">
        <v>16033.267107773579</v>
      </c>
      <c r="I41" s="86">
        <v>17848.399745201164</v>
      </c>
      <c r="J41" s="86">
        <v>17066.985510149247</v>
      </c>
      <c r="K41" s="86">
        <v>13971.981367997523</v>
      </c>
      <c r="L41" s="86">
        <v>20485.890996938491</v>
      </c>
      <c r="M41" s="86">
        <v>17566.185918779811</v>
      </c>
      <c r="N41" s="86">
        <v>22864.755681630973</v>
      </c>
      <c r="O41" s="86">
        <v>24522.188035277246</v>
      </c>
      <c r="P41" s="86">
        <v>27448.726680074345</v>
      </c>
      <c r="Q41" s="86">
        <v>31873.190434486445</v>
      </c>
      <c r="R41" s="86">
        <v>32314.619393992867</v>
      </c>
      <c r="S41" s="86">
        <v>45168.773446645238</v>
      </c>
      <c r="T41" s="86">
        <v>37164.334107824448</v>
      </c>
      <c r="U41" s="86">
        <v>30763.821435433209</v>
      </c>
      <c r="V41" s="86">
        <v>24859.891743177533</v>
      </c>
      <c r="W41" s="86">
        <v>30919.705948684787</v>
      </c>
      <c r="X41" s="86">
        <v>38721.071399357643</v>
      </c>
      <c r="Y41" s="86">
        <v>38471.138898865356</v>
      </c>
      <c r="DA41" s="178" t="s">
        <v>223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71.205351273590466</v>
      </c>
      <c r="C43" s="54">
        <f t="shared" si="30"/>
        <v>76.289407662051872</v>
      </c>
      <c r="D43" s="54">
        <f t="shared" ref="D43:V43" si="31">SUM(D44,D48)</f>
        <v>76.009240876255177</v>
      </c>
      <c r="E43" s="54">
        <f t="shared" si="31"/>
        <v>76.471722136854055</v>
      </c>
      <c r="F43" s="54">
        <f t="shared" si="31"/>
        <v>76.862858144320796</v>
      </c>
      <c r="G43" s="54">
        <f t="shared" si="31"/>
        <v>91.258540712892383</v>
      </c>
      <c r="H43" s="54">
        <f t="shared" si="31"/>
        <v>102.41865247382661</v>
      </c>
      <c r="I43" s="54">
        <f t="shared" si="31"/>
        <v>114.4300505597283</v>
      </c>
      <c r="J43" s="54">
        <f t="shared" si="31"/>
        <v>114.80027850037547</v>
      </c>
      <c r="K43" s="54">
        <f t="shared" si="31"/>
        <v>107.82302907514072</v>
      </c>
      <c r="L43" s="54">
        <f t="shared" si="31"/>
        <v>100.74928584818817</v>
      </c>
      <c r="M43" s="54">
        <f t="shared" si="31"/>
        <v>96.792100865426036</v>
      </c>
      <c r="N43" s="54">
        <f t="shared" si="31"/>
        <v>93.029593748834458</v>
      </c>
      <c r="O43" s="54">
        <f t="shared" si="31"/>
        <v>91.082264475306374</v>
      </c>
      <c r="P43" s="54">
        <f t="shared" si="31"/>
        <v>96.605893372239095</v>
      </c>
      <c r="Q43" s="54">
        <f t="shared" si="31"/>
        <v>103.72457578584736</v>
      </c>
      <c r="R43" s="54">
        <f t="shared" si="31"/>
        <v>111.18757384947173</v>
      </c>
      <c r="S43" s="54">
        <f t="shared" si="31"/>
        <v>119.30436270985695</v>
      </c>
      <c r="T43" s="54">
        <f t="shared" si="31"/>
        <v>127.81159456312929</v>
      </c>
      <c r="U43" s="54">
        <f t="shared" si="31"/>
        <v>130.48970930629201</v>
      </c>
      <c r="V43" s="54">
        <f t="shared" si="31"/>
        <v>127.48923420738812</v>
      </c>
      <c r="W43" s="54">
        <f t="shared" ref="W43:Y43" si="32">SUM(W44,W48)</f>
        <v>124.53781916675601</v>
      </c>
      <c r="X43" s="54">
        <f t="shared" si="32"/>
        <v>122.62714844878347</v>
      </c>
      <c r="Y43" s="54">
        <f t="shared" si="32"/>
        <v>133.42104010427886</v>
      </c>
      <c r="DA43" s="172" t="s">
        <v>224</v>
      </c>
    </row>
    <row r="44" spans="1:105" ht="11.45" customHeight="1" x14ac:dyDescent="0.25">
      <c r="A44" s="10" t="s">
        <v>33</v>
      </c>
      <c r="B44" s="11">
        <f t="shared" ref="B44:C44" si="33">SUM(B45:B47)</f>
        <v>69.530460670411742</v>
      </c>
      <c r="C44" s="11">
        <f t="shared" si="33"/>
        <v>74.655083007446819</v>
      </c>
      <c r="D44" s="11">
        <f t="shared" ref="D44:V44" si="34">SUM(D45:D47)</f>
        <v>74.497476172754716</v>
      </c>
      <c r="E44" s="11">
        <f t="shared" si="34"/>
        <v>75.034032535973353</v>
      </c>
      <c r="F44" s="11">
        <f t="shared" si="34"/>
        <v>74.880883075234152</v>
      </c>
      <c r="G44" s="11">
        <f t="shared" si="34"/>
        <v>88.410524466453069</v>
      </c>
      <c r="H44" s="11">
        <f t="shared" si="34"/>
        <v>98.200081021130757</v>
      </c>
      <c r="I44" s="11">
        <f t="shared" si="34"/>
        <v>110.22471937827027</v>
      </c>
      <c r="J44" s="11">
        <f t="shared" si="34"/>
        <v>110.75190370596923</v>
      </c>
      <c r="K44" s="11">
        <f t="shared" si="34"/>
        <v>103.83387693379098</v>
      </c>
      <c r="L44" s="11">
        <f t="shared" si="34"/>
        <v>96.924854567640196</v>
      </c>
      <c r="M44" s="11">
        <f t="shared" si="34"/>
        <v>93.126970194442052</v>
      </c>
      <c r="N44" s="11">
        <f t="shared" si="34"/>
        <v>89.436039113380303</v>
      </c>
      <c r="O44" s="11">
        <f t="shared" si="34"/>
        <v>87.435802269897039</v>
      </c>
      <c r="P44" s="11">
        <f t="shared" si="34"/>
        <v>92.97178004705458</v>
      </c>
      <c r="Q44" s="11">
        <f t="shared" si="34"/>
        <v>99.868030129502074</v>
      </c>
      <c r="R44" s="11">
        <f t="shared" si="34"/>
        <v>107.49851725344431</v>
      </c>
      <c r="S44" s="11">
        <f t="shared" si="34"/>
        <v>115.1669101549852</v>
      </c>
      <c r="T44" s="11">
        <f t="shared" si="34"/>
        <v>123.80966110504357</v>
      </c>
      <c r="U44" s="11">
        <f t="shared" si="34"/>
        <v>126.54338634414589</v>
      </c>
      <c r="V44" s="11">
        <f t="shared" si="34"/>
        <v>123.28258384072406</v>
      </c>
      <c r="W44" s="11">
        <f t="shared" ref="W44:Y44" si="35">SUM(W45:W47)</f>
        <v>120.0009068799541</v>
      </c>
      <c r="X44" s="11">
        <f t="shared" si="35"/>
        <v>117.93406196371703</v>
      </c>
      <c r="Y44" s="11">
        <f t="shared" si="35"/>
        <v>128.72036665361418</v>
      </c>
      <c r="DA44" s="189" t="s">
        <v>225</v>
      </c>
    </row>
    <row r="45" spans="1:105" ht="11.45" customHeight="1" x14ac:dyDescent="0.25">
      <c r="A45" s="83" t="s">
        <v>27</v>
      </c>
      <c r="B45" s="84">
        <v>5.6385068762278978</v>
      </c>
      <c r="C45" s="84">
        <v>5.860510805500982</v>
      </c>
      <c r="D45" s="84">
        <v>5.5426326129666013</v>
      </c>
      <c r="E45" s="84">
        <v>6.1092337917485269</v>
      </c>
      <c r="F45" s="84">
        <v>5.5728880157170924</v>
      </c>
      <c r="G45" s="84">
        <v>6.9371069182389933</v>
      </c>
      <c r="H45" s="84">
        <v>6.9131297104323677</v>
      </c>
      <c r="I45" s="84">
        <v>6.9056224899598391</v>
      </c>
      <c r="J45" s="84">
        <v>6.4135458167330679</v>
      </c>
      <c r="K45" s="84">
        <v>5.8496951291102786</v>
      </c>
      <c r="L45" s="84">
        <v>5.2858444414874892</v>
      </c>
      <c r="M45" s="84">
        <v>4.7219937538646999</v>
      </c>
      <c r="N45" s="84">
        <v>4.1581430662419105</v>
      </c>
      <c r="O45" s="84">
        <v>3.5942923786191208</v>
      </c>
      <c r="P45" s="84">
        <v>3.030441690996331</v>
      </c>
      <c r="Q45" s="84">
        <v>2.4665910033735412</v>
      </c>
      <c r="R45" s="84">
        <v>1.9027403157507514</v>
      </c>
      <c r="S45" s="84">
        <v>1.3388896281279616</v>
      </c>
      <c r="T45" s="84">
        <v>0.88450704225352117</v>
      </c>
      <c r="U45" s="84">
        <v>0.89215291750503023</v>
      </c>
      <c r="V45" s="84">
        <v>0.82594810379241512</v>
      </c>
      <c r="W45" s="84">
        <v>0.73886883273164861</v>
      </c>
      <c r="X45" s="84">
        <v>0.84943639291465378</v>
      </c>
      <c r="Y45" s="84">
        <v>0.88171174808235764</v>
      </c>
      <c r="DA45" s="171" t="s">
        <v>226</v>
      </c>
    </row>
    <row r="46" spans="1:105" ht="11.45" customHeight="1" x14ac:dyDescent="0.25">
      <c r="A46" s="83" t="s">
        <v>181</v>
      </c>
      <c r="B46" s="84">
        <v>50.655111688920677</v>
      </c>
      <c r="C46" s="84">
        <v>54.591222919649184</v>
      </c>
      <c r="D46" s="84">
        <v>55.253886621989075</v>
      </c>
      <c r="E46" s="84">
        <v>56.547526016952091</v>
      </c>
      <c r="F46" s="84">
        <v>57.741009413584052</v>
      </c>
      <c r="G46" s="84">
        <v>66.236380511177032</v>
      </c>
      <c r="H46" s="84">
        <v>71.687979588333349</v>
      </c>
      <c r="I46" s="84">
        <v>77.75825032746387</v>
      </c>
      <c r="J46" s="84">
        <v>80.101195538915917</v>
      </c>
      <c r="K46" s="84">
        <v>75.070703664886778</v>
      </c>
      <c r="L46" s="84">
        <v>70.049216196885098</v>
      </c>
      <c r="M46" s="84">
        <v>67.951643107244024</v>
      </c>
      <c r="N46" s="84">
        <v>66.148246924331389</v>
      </c>
      <c r="O46" s="84">
        <v>64.337466764593287</v>
      </c>
      <c r="P46" s="84">
        <v>66.757554572274472</v>
      </c>
      <c r="Q46" s="84">
        <v>70.067184982482132</v>
      </c>
      <c r="R46" s="84">
        <v>76.87154295440665</v>
      </c>
      <c r="S46" s="84">
        <v>79.120634163220871</v>
      </c>
      <c r="T46" s="84">
        <v>82.557337970836031</v>
      </c>
      <c r="U46" s="84">
        <v>86.496505632944576</v>
      </c>
      <c r="V46" s="84">
        <v>83.963750048498525</v>
      </c>
      <c r="W46" s="84">
        <v>81.430994464052489</v>
      </c>
      <c r="X46" s="84">
        <v>79.915424092895563</v>
      </c>
      <c r="Y46" s="84">
        <v>87.50341135252323</v>
      </c>
      <c r="DA46" s="171" t="s">
        <v>227</v>
      </c>
    </row>
    <row r="47" spans="1:105" ht="11.45" customHeight="1" x14ac:dyDescent="0.25">
      <c r="A47" s="83" t="s">
        <v>182</v>
      </c>
      <c r="B47" s="84">
        <v>13.236842105263158</v>
      </c>
      <c r="C47" s="84">
        <v>14.203349282296651</v>
      </c>
      <c r="D47" s="84">
        <v>13.700956937799043</v>
      </c>
      <c r="E47" s="84">
        <v>12.377272727272727</v>
      </c>
      <c r="F47" s="84">
        <v>11.566985645933014</v>
      </c>
      <c r="G47" s="84">
        <v>15.237037037037037</v>
      </c>
      <c r="H47" s="84">
        <v>19.598971722365039</v>
      </c>
      <c r="I47" s="84">
        <v>25.56084656084656</v>
      </c>
      <c r="J47" s="84">
        <v>24.237162350320244</v>
      </c>
      <c r="K47" s="84">
        <v>22.913478139793927</v>
      </c>
      <c r="L47" s="84">
        <v>21.589793929267611</v>
      </c>
      <c r="M47" s="84">
        <v>20.453333333333333</v>
      </c>
      <c r="N47" s="84">
        <v>19.129649122807017</v>
      </c>
      <c r="O47" s="84">
        <v>19.504043126684635</v>
      </c>
      <c r="P47" s="84">
        <v>23.183783783783785</v>
      </c>
      <c r="Q47" s="84">
        <v>27.334254143646408</v>
      </c>
      <c r="R47" s="84">
        <v>28.724233983286908</v>
      </c>
      <c r="S47" s="84">
        <v>34.707386363636367</v>
      </c>
      <c r="T47" s="84">
        <v>40.367816091954026</v>
      </c>
      <c r="U47" s="84">
        <v>39.154727793696274</v>
      </c>
      <c r="V47" s="84">
        <v>38.49288568843312</v>
      </c>
      <c r="W47" s="84">
        <v>37.831043583169965</v>
      </c>
      <c r="X47" s="84">
        <v>37.16920147790681</v>
      </c>
      <c r="Y47" s="84">
        <v>40.335243553008596</v>
      </c>
      <c r="DA47" s="171" t="s">
        <v>228</v>
      </c>
    </row>
    <row r="48" spans="1:105" ht="11.45" customHeight="1" x14ac:dyDescent="0.25">
      <c r="A48" s="12" t="s">
        <v>34</v>
      </c>
      <c r="B48" s="13">
        <f t="shared" ref="B48:C48" si="36">SUM(B49:B51)</f>
        <v>1.6748906031787236</v>
      </c>
      <c r="C48" s="13">
        <f t="shared" si="36"/>
        <v>1.6343246546050534</v>
      </c>
      <c r="D48" s="13">
        <f t="shared" ref="D48:V48" si="37">SUM(D49:D51)</f>
        <v>1.5117647035004551</v>
      </c>
      <c r="E48" s="13">
        <f t="shared" si="37"/>
        <v>1.4376896008807054</v>
      </c>
      <c r="F48" s="13">
        <f t="shared" si="37"/>
        <v>1.9819750690866469</v>
      </c>
      <c r="G48" s="13">
        <f t="shared" si="37"/>
        <v>2.8480162464393204</v>
      </c>
      <c r="H48" s="13">
        <f t="shared" si="37"/>
        <v>4.2185714526958549</v>
      </c>
      <c r="I48" s="13">
        <f t="shared" si="37"/>
        <v>4.2053311814580336</v>
      </c>
      <c r="J48" s="13">
        <f t="shared" si="37"/>
        <v>4.04837479440625</v>
      </c>
      <c r="K48" s="13">
        <f t="shared" si="37"/>
        <v>3.9891521413497495</v>
      </c>
      <c r="L48" s="13">
        <f t="shared" si="37"/>
        <v>3.824431280547973</v>
      </c>
      <c r="M48" s="13">
        <f t="shared" si="37"/>
        <v>3.6651306709839888</v>
      </c>
      <c r="N48" s="13">
        <f t="shared" si="37"/>
        <v>3.5935546354541601</v>
      </c>
      <c r="O48" s="13">
        <f t="shared" si="37"/>
        <v>3.6464622054093407</v>
      </c>
      <c r="P48" s="13">
        <f t="shared" si="37"/>
        <v>3.6341133251845177</v>
      </c>
      <c r="Q48" s="13">
        <f t="shared" si="37"/>
        <v>3.8565456563452942</v>
      </c>
      <c r="R48" s="13">
        <f t="shared" si="37"/>
        <v>3.6890565960274215</v>
      </c>
      <c r="S48" s="13">
        <f t="shared" si="37"/>
        <v>4.1374525548717465</v>
      </c>
      <c r="T48" s="13">
        <f t="shared" si="37"/>
        <v>4.0019334580857224</v>
      </c>
      <c r="U48" s="13">
        <f t="shared" si="37"/>
        <v>3.9463229621461147</v>
      </c>
      <c r="V48" s="13">
        <f t="shared" si="37"/>
        <v>4.206650366664066</v>
      </c>
      <c r="W48" s="13">
        <f t="shared" ref="W48:Y48" si="38">SUM(W49:W51)</f>
        <v>4.5369122868019005</v>
      </c>
      <c r="X48" s="13">
        <f t="shared" si="38"/>
        <v>4.6930864850664387</v>
      </c>
      <c r="Y48" s="13">
        <f t="shared" si="38"/>
        <v>4.7006734506646701</v>
      </c>
      <c r="DA48" s="193" t="s">
        <v>229</v>
      </c>
    </row>
    <row r="49" spans="1:105" ht="11.45" customHeight="1" x14ac:dyDescent="0.25">
      <c r="A49" s="92" t="s">
        <v>27</v>
      </c>
      <c r="B49" s="102">
        <v>0.41645077720207252</v>
      </c>
      <c r="C49" s="102">
        <v>0.41191709844559588</v>
      </c>
      <c r="D49" s="102">
        <v>0.37027202072538862</v>
      </c>
      <c r="E49" s="102">
        <v>0.32862694300518136</v>
      </c>
      <c r="F49" s="102">
        <v>0.56930051813471505</v>
      </c>
      <c r="G49" s="102">
        <v>0.78173575129533679</v>
      </c>
      <c r="H49" s="102">
        <v>1.0953625081645983</v>
      </c>
      <c r="I49" s="102">
        <v>1.053717430444391</v>
      </c>
      <c r="J49" s="102">
        <v>1.0120723527241837</v>
      </c>
      <c r="K49" s="102">
        <v>0.97042727500397641</v>
      </c>
      <c r="L49" s="102">
        <v>0.9287821972837691</v>
      </c>
      <c r="M49" s="102">
        <v>0.88713711956356178</v>
      </c>
      <c r="N49" s="102">
        <v>0.84549204184335447</v>
      </c>
      <c r="O49" s="102">
        <v>0.80384696412314716</v>
      </c>
      <c r="P49" s="102">
        <v>0.76220188640293984</v>
      </c>
      <c r="Q49" s="102">
        <v>0.72055680868273253</v>
      </c>
      <c r="R49" s="102">
        <v>0.67891173096252522</v>
      </c>
      <c r="S49" s="102">
        <v>0.6372666532423179</v>
      </c>
      <c r="T49" s="102">
        <v>0.59562157552211059</v>
      </c>
      <c r="U49" s="102">
        <v>0.55397649780190328</v>
      </c>
      <c r="V49" s="102">
        <v>0.53315395894179962</v>
      </c>
      <c r="W49" s="102">
        <v>0.51233142008169597</v>
      </c>
      <c r="X49" s="102">
        <v>0.49150888122159231</v>
      </c>
      <c r="Y49" s="102">
        <v>0.47068634236148865</v>
      </c>
      <c r="DA49" s="175" t="s">
        <v>230</v>
      </c>
    </row>
    <row r="50" spans="1:105" ht="11.45" customHeight="1" x14ac:dyDescent="0.25">
      <c r="A50" s="92" t="s">
        <v>181</v>
      </c>
      <c r="B50" s="102">
        <v>0.90389437143119655</v>
      </c>
      <c r="C50" s="102">
        <v>0.87695301070491216</v>
      </c>
      <c r="D50" s="102">
        <v>0.78694722822961194</v>
      </c>
      <c r="E50" s="102">
        <v>0.69694144575431194</v>
      </c>
      <c r="F50" s="102">
        <v>0.69752303580041641</v>
      </c>
      <c r="G50" s="102">
        <v>1.2960941597402567</v>
      </c>
      <c r="H50" s="102">
        <v>2.0309012522235643</v>
      </c>
      <c r="I50" s="102">
        <v>1.9618547148690646</v>
      </c>
      <c r="J50" s="102">
        <v>1.8819979509920337</v>
      </c>
      <c r="K50" s="102">
        <v>1.8998749211102859</v>
      </c>
      <c r="L50" s="102">
        <v>1.8122536834832617</v>
      </c>
      <c r="M50" s="102">
        <v>1.73005269709403</v>
      </c>
      <c r="N50" s="102">
        <v>1.645498491046703</v>
      </c>
      <c r="O50" s="102">
        <v>1.6649648114867668</v>
      </c>
      <c r="P50" s="102">
        <v>1.6817097096749494</v>
      </c>
      <c r="Q50" s="102">
        <v>1.7212829653096207</v>
      </c>
      <c r="R50" s="102">
        <v>1.6308935281665007</v>
      </c>
      <c r="S50" s="102">
        <v>1.6278454760975141</v>
      </c>
      <c r="T50" s="102">
        <v>1.5694260024862419</v>
      </c>
      <c r="U50" s="102">
        <v>1.5909151297213875</v>
      </c>
      <c r="V50" s="102">
        <v>1.8897923458267147</v>
      </c>
      <c r="W50" s="102">
        <v>2.2214558667202038</v>
      </c>
      <c r="X50" s="102">
        <v>2.1762611481486438</v>
      </c>
      <c r="Y50" s="102">
        <v>2.2223979253342514</v>
      </c>
      <c r="DA50" s="175" t="s">
        <v>231</v>
      </c>
    </row>
    <row r="51" spans="1:105" ht="11.45" customHeight="1" x14ac:dyDescent="0.25">
      <c r="A51" s="85" t="s">
        <v>182</v>
      </c>
      <c r="B51" s="86">
        <v>0.35454545454545455</v>
      </c>
      <c r="C51" s="86">
        <v>0.34545454545454546</v>
      </c>
      <c r="D51" s="86">
        <v>0.35454545454545455</v>
      </c>
      <c r="E51" s="86">
        <v>0.41212121212121211</v>
      </c>
      <c r="F51" s="86">
        <v>0.7151515151515152</v>
      </c>
      <c r="G51" s="86">
        <v>0.77018633540372672</v>
      </c>
      <c r="H51" s="86">
        <v>1.0923076923076922</v>
      </c>
      <c r="I51" s="86">
        <v>1.1897590361445782</v>
      </c>
      <c r="J51" s="86">
        <v>1.1543044906900328</v>
      </c>
      <c r="K51" s="86">
        <v>1.1188499452354874</v>
      </c>
      <c r="L51" s="86">
        <v>1.083395399780942</v>
      </c>
      <c r="M51" s="86">
        <v>1.0479408543263966</v>
      </c>
      <c r="N51" s="86">
        <v>1.1025641025641026</v>
      </c>
      <c r="O51" s="86">
        <v>1.177650429799427</v>
      </c>
      <c r="P51" s="86">
        <v>1.1902017291066282</v>
      </c>
      <c r="Q51" s="86">
        <v>1.4147058823529413</v>
      </c>
      <c r="R51" s="86">
        <v>1.3792513368983959</v>
      </c>
      <c r="S51" s="86">
        <v>1.8723404255319149</v>
      </c>
      <c r="T51" s="86">
        <v>1.8368858800773695</v>
      </c>
      <c r="U51" s="86">
        <v>1.8014313346228241</v>
      </c>
      <c r="V51" s="86">
        <v>1.7837040618955513</v>
      </c>
      <c r="W51" s="86">
        <v>1.8031250000000001</v>
      </c>
      <c r="X51" s="86">
        <v>2.0253164556962027</v>
      </c>
      <c r="Y51" s="86">
        <v>2.0075891829689301</v>
      </c>
      <c r="DA51" s="178" t="s">
        <v>232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7.2216372849279411</v>
      </c>
      <c r="C53" s="54">
        <f t="shared" si="39"/>
        <v>7.6769626915203846</v>
      </c>
      <c r="D53" s="54">
        <f t="shared" ref="D53:V53" si="40">SUM(D54,D58)</f>
        <v>2.5530311261477601</v>
      </c>
      <c r="E53" s="54">
        <f t="shared" si="40"/>
        <v>3.972750519285587</v>
      </c>
      <c r="F53" s="54">
        <f t="shared" si="40"/>
        <v>3.6136391080785004</v>
      </c>
      <c r="G53" s="54">
        <f t="shared" si="40"/>
        <v>16.938879743712111</v>
      </c>
      <c r="H53" s="54">
        <f t="shared" si="40"/>
        <v>13.904842294244666</v>
      </c>
      <c r="I53" s="54">
        <f t="shared" si="40"/>
        <v>14.634939758211937</v>
      </c>
      <c r="J53" s="54">
        <f t="shared" si="40"/>
        <v>4.1671845559033827</v>
      </c>
      <c r="K53" s="54">
        <f t="shared" si="40"/>
        <v>7.5917003526451254E-2</v>
      </c>
      <c r="L53" s="54">
        <f t="shared" si="40"/>
        <v>4.4544865594023292E-2</v>
      </c>
      <c r="M53" s="54">
        <f t="shared" si="40"/>
        <v>0.99151540552321604</v>
      </c>
      <c r="N53" s="54">
        <f t="shared" si="40"/>
        <v>1.3499030274485548</v>
      </c>
      <c r="O53" s="54">
        <f t="shared" si="40"/>
        <v>2.3207697739695146</v>
      </c>
      <c r="P53" s="54">
        <f t="shared" si="40"/>
        <v>8.5571645100749762</v>
      </c>
      <c r="Q53" s="54">
        <f t="shared" si="40"/>
        <v>10.086035958598943</v>
      </c>
      <c r="R53" s="54">
        <f t="shared" si="40"/>
        <v>10.487490218297022</v>
      </c>
      <c r="S53" s="54">
        <f t="shared" si="40"/>
        <v>11.084181255415164</v>
      </c>
      <c r="T53" s="54">
        <f t="shared" si="40"/>
        <v>11.397649299748108</v>
      </c>
      <c r="U53" s="54">
        <f t="shared" si="40"/>
        <v>6.0405895268731538</v>
      </c>
      <c r="V53" s="54">
        <f t="shared" si="40"/>
        <v>0.46249185011923977</v>
      </c>
      <c r="W53" s="54">
        <f t="shared" ref="W53:Y53" si="41">SUM(W54,W58)</f>
        <v>0.51400052352677639</v>
      </c>
      <c r="X53" s="54">
        <f t="shared" si="41"/>
        <v>1.3162954732541761</v>
      </c>
      <c r="Y53" s="54">
        <f t="shared" si="41"/>
        <v>13.358900679813763</v>
      </c>
      <c r="DA53" s="172" t="s">
        <v>233</v>
      </c>
    </row>
    <row r="54" spans="1:105" ht="11.45" customHeight="1" x14ac:dyDescent="0.25">
      <c r="A54" s="10" t="s">
        <v>33</v>
      </c>
      <c r="B54" s="11">
        <f t="shared" ref="B54:C54" si="42">SUM(B55:B57)</f>
        <v>6.9829313620906586</v>
      </c>
      <c r="C54" s="11">
        <f t="shared" si="42"/>
        <v>7.6630511516080544</v>
      </c>
      <c r="D54" s="11">
        <f t="shared" ref="D54:V54" si="43">SUM(D55:D57)</f>
        <v>2.5322971806528511</v>
      </c>
      <c r="E54" s="11">
        <f t="shared" si="43"/>
        <v>3.9035317253058293</v>
      </c>
      <c r="F54" s="11">
        <f t="shared" si="43"/>
        <v>3.0131908272869588</v>
      </c>
      <c r="G54" s="11">
        <f t="shared" si="43"/>
        <v>16.018144158133893</v>
      </c>
      <c r="H54" s="11">
        <f t="shared" si="43"/>
        <v>12.479553829723312</v>
      </c>
      <c r="I54" s="11">
        <f t="shared" si="43"/>
        <v>14.513141124054519</v>
      </c>
      <c r="J54" s="11">
        <f t="shared" si="43"/>
        <v>4.1626526421070551</v>
      </c>
      <c r="K54" s="11">
        <f t="shared" si="43"/>
        <v>8.109619682349356E-4</v>
      </c>
      <c r="L54" s="11">
        <f t="shared" si="43"/>
        <v>4.1993585817472534E-2</v>
      </c>
      <c r="M54" s="11">
        <f t="shared" si="43"/>
        <v>0.9895877209673799</v>
      </c>
      <c r="N54" s="11">
        <f t="shared" si="43"/>
        <v>1.2837646276958488</v>
      </c>
      <c r="O54" s="11">
        <f t="shared" si="43"/>
        <v>2.1574729033391624</v>
      </c>
      <c r="P54" s="11">
        <f t="shared" si="43"/>
        <v>8.4260025739607478</v>
      </c>
      <c r="Q54" s="11">
        <f t="shared" si="43"/>
        <v>9.7532531768022697</v>
      </c>
      <c r="R54" s="11">
        <f t="shared" si="43"/>
        <v>10.487490218297022</v>
      </c>
      <c r="S54" s="11">
        <f t="shared" si="43"/>
        <v>10.525395995895668</v>
      </c>
      <c r="T54" s="11">
        <f t="shared" si="43"/>
        <v>11.390285942664818</v>
      </c>
      <c r="U54" s="11">
        <f t="shared" si="43"/>
        <v>5.9618713281980442</v>
      </c>
      <c r="V54" s="11">
        <f t="shared" si="43"/>
        <v>0.13431892454600258</v>
      </c>
      <c r="W54" s="11">
        <f t="shared" ref="W54:Y54" si="44">SUM(W55:W57)</f>
        <v>0.11344446719785106</v>
      </c>
      <c r="X54" s="11">
        <f t="shared" si="44"/>
        <v>1.0825888660429737</v>
      </c>
      <c r="Y54" s="11">
        <f t="shared" si="44"/>
        <v>13.274807456812168</v>
      </c>
      <c r="DA54" s="189" t="s">
        <v>234</v>
      </c>
    </row>
    <row r="55" spans="1:105" ht="11.45" customHeight="1" x14ac:dyDescent="0.25">
      <c r="A55" s="83" t="s">
        <v>27</v>
      </c>
      <c r="B55" s="84">
        <v>0.93405370006512189</v>
      </c>
      <c r="C55" s="84">
        <v>0.41735428945608444</v>
      </c>
      <c r="D55" s="84">
        <v>0</v>
      </c>
      <c r="E55" s="84">
        <v>0.76195153896492585</v>
      </c>
      <c r="F55" s="84">
        <v>0</v>
      </c>
      <c r="G55" s="84">
        <v>1.5595692627049011</v>
      </c>
      <c r="H55" s="84">
        <v>0.17137315237637463</v>
      </c>
      <c r="I55" s="84">
        <v>0.18784313971047162</v>
      </c>
      <c r="J55" s="84">
        <v>0</v>
      </c>
      <c r="K55" s="84">
        <v>0</v>
      </c>
      <c r="L55" s="84">
        <v>0</v>
      </c>
      <c r="M55" s="84">
        <v>0</v>
      </c>
      <c r="N55" s="84">
        <v>0</v>
      </c>
      <c r="O55" s="84">
        <v>0</v>
      </c>
      <c r="P55" s="84">
        <v>0</v>
      </c>
      <c r="Q55" s="84">
        <v>0</v>
      </c>
      <c r="R55" s="84">
        <v>0</v>
      </c>
      <c r="S55" s="84">
        <v>0</v>
      </c>
      <c r="T55" s="84">
        <v>0</v>
      </c>
      <c r="U55" s="84">
        <v>0.20299623543450906</v>
      </c>
      <c r="V55" s="84">
        <v>0.12914554647038501</v>
      </c>
      <c r="W55" s="84">
        <v>0.10827108912223349</v>
      </c>
      <c r="X55" s="84">
        <v>0.30591792036600518</v>
      </c>
      <c r="Y55" s="84">
        <v>0.22762571535070397</v>
      </c>
      <c r="DA55" s="171" t="s">
        <v>235</v>
      </c>
    </row>
    <row r="56" spans="1:105" ht="11.45" customHeight="1" x14ac:dyDescent="0.25">
      <c r="A56" s="83" t="s">
        <v>181</v>
      </c>
      <c r="B56" s="84">
        <v>5.6472030208767672</v>
      </c>
      <c r="C56" s="84">
        <v>5.8057447090414769</v>
      </c>
      <c r="D56" s="84">
        <v>2.5322971806528511</v>
      </c>
      <c r="E56" s="84">
        <v>3.1415801863409034</v>
      </c>
      <c r="F56" s="84">
        <v>3.0131908272869588</v>
      </c>
      <c r="G56" s="84">
        <v>10.31507852824797</v>
      </c>
      <c r="H56" s="84">
        <v>7.4728010159419345</v>
      </c>
      <c r="I56" s="84">
        <v>7.8899781697855254</v>
      </c>
      <c r="J56" s="84">
        <v>4.1626526421070551</v>
      </c>
      <c r="K56" s="84">
        <v>8.109619682349356E-4</v>
      </c>
      <c r="L56" s="84">
        <v>4.1993585817472534E-2</v>
      </c>
      <c r="M56" s="84">
        <v>0.9895877209673799</v>
      </c>
      <c r="N56" s="84">
        <v>1.2837646276958488</v>
      </c>
      <c r="O56" s="84">
        <v>1.3096339233845424</v>
      </c>
      <c r="P56" s="84">
        <v>4.2728169407845984</v>
      </c>
      <c r="Q56" s="84">
        <v>5.1293378408626449</v>
      </c>
      <c r="R56" s="84">
        <v>8.6240654025795216</v>
      </c>
      <c r="S56" s="84">
        <v>4.0687986394692111</v>
      </c>
      <c r="T56" s="84">
        <v>5.2564112382701609</v>
      </c>
      <c r="U56" s="84">
        <v>5.7588750927635353</v>
      </c>
      <c r="V56" s="84">
        <v>5.173378075617574E-3</v>
      </c>
      <c r="W56" s="84">
        <v>5.173378075617574E-3</v>
      </c>
      <c r="X56" s="84">
        <v>0.77667094567696848</v>
      </c>
      <c r="Y56" s="84">
        <v>9.4076946902826801</v>
      </c>
      <c r="DA56" s="171" t="s">
        <v>236</v>
      </c>
    </row>
    <row r="57" spans="1:105" ht="11.45" customHeight="1" x14ac:dyDescent="0.25">
      <c r="A57" s="83" t="s">
        <v>182</v>
      </c>
      <c r="B57" s="84">
        <v>0.4016746411487695</v>
      </c>
      <c r="C57" s="84">
        <v>1.4399521531104931</v>
      </c>
      <c r="D57" s="84">
        <v>0</v>
      </c>
      <c r="E57" s="84">
        <v>0</v>
      </c>
      <c r="F57" s="84">
        <v>0</v>
      </c>
      <c r="G57" s="84">
        <v>4.1434963671810223</v>
      </c>
      <c r="H57" s="84">
        <v>4.8353796614050033</v>
      </c>
      <c r="I57" s="84">
        <v>6.4353198145585218</v>
      </c>
      <c r="J57" s="84">
        <v>0</v>
      </c>
      <c r="K57" s="84">
        <v>0</v>
      </c>
      <c r="L57" s="84">
        <v>0</v>
      </c>
      <c r="M57" s="84">
        <v>0</v>
      </c>
      <c r="N57" s="84">
        <v>0</v>
      </c>
      <c r="O57" s="84">
        <v>0.84783897995461999</v>
      </c>
      <c r="P57" s="84">
        <v>4.1531856331761503</v>
      </c>
      <c r="Q57" s="84">
        <v>4.6239153359396248</v>
      </c>
      <c r="R57" s="84">
        <v>1.8634248157175008</v>
      </c>
      <c r="S57" s="84">
        <v>6.4565973564264567</v>
      </c>
      <c r="T57" s="84">
        <v>6.1338747043946569</v>
      </c>
      <c r="U57" s="84">
        <v>0</v>
      </c>
      <c r="V57" s="84">
        <v>0</v>
      </c>
      <c r="W57" s="84">
        <v>0</v>
      </c>
      <c r="X57" s="84">
        <v>0</v>
      </c>
      <c r="Y57" s="84">
        <v>3.6394870511787829</v>
      </c>
      <c r="DA57" s="171" t="s">
        <v>237</v>
      </c>
    </row>
    <row r="58" spans="1:105" ht="11.45" customHeight="1" x14ac:dyDescent="0.25">
      <c r="A58" s="12" t="s">
        <v>34</v>
      </c>
      <c r="B58" s="13">
        <f t="shared" ref="B58:C58" si="45">SUM(B59:B61)</f>
        <v>0.23870592283728295</v>
      </c>
      <c r="C58" s="13">
        <f t="shared" si="45"/>
        <v>1.3911539912329844E-2</v>
      </c>
      <c r="D58" s="13">
        <f t="shared" ref="D58:V58" si="46">SUM(D59:D61)</f>
        <v>2.0733945494909083E-2</v>
      </c>
      <c r="E58" s="13">
        <f t="shared" si="46"/>
        <v>6.921879397975754E-2</v>
      </c>
      <c r="F58" s="13">
        <f t="shared" si="46"/>
        <v>0.60044828079154167</v>
      </c>
      <c r="G58" s="13">
        <f t="shared" si="46"/>
        <v>0.92073558557821822</v>
      </c>
      <c r="H58" s="13">
        <f t="shared" si="46"/>
        <v>1.4252884645213544</v>
      </c>
      <c r="I58" s="13">
        <f t="shared" si="46"/>
        <v>0.12179863415741773</v>
      </c>
      <c r="J58" s="13">
        <f t="shared" si="46"/>
        <v>4.5319137963278269E-3</v>
      </c>
      <c r="K58" s="13">
        <f t="shared" si="46"/>
        <v>7.5106041558216319E-2</v>
      </c>
      <c r="L58" s="13">
        <f t="shared" si="46"/>
        <v>2.5512797765507612E-3</v>
      </c>
      <c r="M58" s="13">
        <f t="shared" si="46"/>
        <v>1.9276845558361191E-3</v>
      </c>
      <c r="N58" s="13">
        <f t="shared" si="46"/>
        <v>6.6138399752706079E-2</v>
      </c>
      <c r="O58" s="13">
        <f t="shared" si="46"/>
        <v>0.16329687063035225</v>
      </c>
      <c r="P58" s="13">
        <f t="shared" si="46"/>
        <v>0.13116193611422866</v>
      </c>
      <c r="Q58" s="13">
        <f t="shared" si="46"/>
        <v>0.33278278179667287</v>
      </c>
      <c r="R58" s="13">
        <f t="shared" si="46"/>
        <v>0</v>
      </c>
      <c r="S58" s="13">
        <f t="shared" si="46"/>
        <v>0.5587852595194962</v>
      </c>
      <c r="T58" s="13">
        <f t="shared" si="46"/>
        <v>7.3633570832900008E-3</v>
      </c>
      <c r="U58" s="13">
        <f t="shared" si="46"/>
        <v>7.8718198675109652E-2</v>
      </c>
      <c r="V58" s="13">
        <f t="shared" si="46"/>
        <v>0.32817292557323718</v>
      </c>
      <c r="W58" s="13">
        <f t="shared" ref="W58:Y58" si="47">SUM(W59:W61)</f>
        <v>0.40055605632892533</v>
      </c>
      <c r="X58" s="13">
        <f t="shared" si="47"/>
        <v>0.2337066072112024</v>
      </c>
      <c r="Y58" s="13">
        <f t="shared" si="47"/>
        <v>8.4093223001594941E-2</v>
      </c>
      <c r="DA58" s="193" t="s">
        <v>238</v>
      </c>
    </row>
    <row r="59" spans="1:105" ht="11.45" customHeight="1" x14ac:dyDescent="0.25">
      <c r="A59" s="92" t="s">
        <v>27</v>
      </c>
      <c r="B59" s="102">
        <v>8.6269430051626905E-2</v>
      </c>
      <c r="C59" s="102">
        <v>9.1968911915233376E-3</v>
      </c>
      <c r="D59" s="102">
        <v>0</v>
      </c>
      <c r="E59" s="102">
        <v>0</v>
      </c>
      <c r="F59" s="102">
        <v>0.25440414507753373</v>
      </c>
      <c r="G59" s="102">
        <v>0.22616580310862178</v>
      </c>
      <c r="H59" s="102">
        <v>0.32735732681726148</v>
      </c>
      <c r="I59" s="102">
        <v>0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0</v>
      </c>
      <c r="V59" s="102">
        <v>0</v>
      </c>
      <c r="W59" s="102">
        <v>0</v>
      </c>
      <c r="X59" s="102">
        <v>0</v>
      </c>
      <c r="Y59" s="102">
        <v>0</v>
      </c>
      <c r="DA59" s="175" t="s">
        <v>239</v>
      </c>
    </row>
    <row r="60" spans="1:105" ht="11.45" customHeight="1" x14ac:dyDescent="0.25">
      <c r="A60" s="92" t="s">
        <v>181</v>
      </c>
      <c r="B60" s="102">
        <v>0.15243649278565605</v>
      </c>
      <c r="C60" s="102">
        <v>2.2904062967156118E-3</v>
      </c>
      <c r="D60" s="102">
        <v>1.2788488900000001E-4</v>
      </c>
      <c r="E60" s="102">
        <v>1.2788488900000001E-4</v>
      </c>
      <c r="F60" s="102">
        <v>3.1498681168704787E-2</v>
      </c>
      <c r="G60" s="102">
        <v>0.62801981070238488</v>
      </c>
      <c r="H60" s="102">
        <v>0.76429462928512726</v>
      </c>
      <c r="I60" s="102">
        <v>1.2832138805531655E-2</v>
      </c>
      <c r="J60" s="102">
        <v>4.5319137963278269E-3</v>
      </c>
      <c r="K60" s="102">
        <v>7.5106041558216319E-2</v>
      </c>
      <c r="L60" s="102">
        <v>2.5512797765507612E-3</v>
      </c>
      <c r="M60" s="102">
        <v>1.9276845558361191E-3</v>
      </c>
      <c r="N60" s="102">
        <v>0</v>
      </c>
      <c r="O60" s="102">
        <v>7.669539188002783E-2</v>
      </c>
      <c r="P60" s="102">
        <v>0.10709548529202739</v>
      </c>
      <c r="Q60" s="102">
        <v>9.6763477035359827E-2</v>
      </c>
      <c r="R60" s="102">
        <v>0</v>
      </c>
      <c r="S60" s="102">
        <v>5.4181019370977079E-2</v>
      </c>
      <c r="T60" s="102">
        <v>7.3633570832900008E-3</v>
      </c>
      <c r="U60" s="102">
        <v>7.8718198675109652E-2</v>
      </c>
      <c r="V60" s="102">
        <v>0.32817292557323718</v>
      </c>
      <c r="W60" s="102">
        <v>0.3696199667094765</v>
      </c>
      <c r="X60" s="102">
        <v>0</v>
      </c>
      <c r="Y60" s="102">
        <v>8.4093223001594941E-2</v>
      </c>
      <c r="DA60" s="175" t="s">
        <v>240</v>
      </c>
    </row>
    <row r="61" spans="1:105" ht="11.45" customHeight="1" x14ac:dyDescent="0.25">
      <c r="A61" s="85" t="s">
        <v>182</v>
      </c>
      <c r="B61" s="86">
        <v>0</v>
      </c>
      <c r="C61" s="86">
        <v>2.4242424240908944E-3</v>
      </c>
      <c r="D61" s="86">
        <v>2.0606060605909082E-2</v>
      </c>
      <c r="E61" s="86">
        <v>6.9090909090757546E-2</v>
      </c>
      <c r="F61" s="86">
        <v>0.31454545454530314</v>
      </c>
      <c r="G61" s="86">
        <v>6.6549971767211558E-2</v>
      </c>
      <c r="H61" s="86">
        <v>0.33363650841896553</v>
      </c>
      <c r="I61" s="86">
        <v>0.10896649535188607</v>
      </c>
      <c r="J61" s="86">
        <v>0</v>
      </c>
      <c r="K61" s="86">
        <v>0</v>
      </c>
      <c r="L61" s="86">
        <v>0</v>
      </c>
      <c r="M61" s="86">
        <v>0</v>
      </c>
      <c r="N61" s="86">
        <v>6.6138399752706079E-2</v>
      </c>
      <c r="O61" s="86">
        <v>8.6601478750324423E-2</v>
      </c>
      <c r="P61" s="86">
        <v>2.4066450822201269E-2</v>
      </c>
      <c r="Q61" s="86">
        <v>0.23601930476131305</v>
      </c>
      <c r="R61" s="86">
        <v>0</v>
      </c>
      <c r="S61" s="86">
        <v>0.50460424014851912</v>
      </c>
      <c r="T61" s="86">
        <v>0</v>
      </c>
      <c r="U61" s="86">
        <v>0</v>
      </c>
      <c r="V61" s="86">
        <v>0</v>
      </c>
      <c r="W61" s="86">
        <v>3.0936089619448826E-2</v>
      </c>
      <c r="X61" s="86">
        <v>0.2337066072112024</v>
      </c>
      <c r="Y61" s="86">
        <v>0</v>
      </c>
      <c r="DA61" s="178" t="s">
        <v>241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98.437481473910154</v>
      </c>
      <c r="C66" s="14">
        <f t="shared" si="48"/>
        <v>98.799643081078472</v>
      </c>
      <c r="D66" s="14">
        <f t="shared" ref="D66:V66" si="49">IF(D34=0,0,D34/D24)</f>
        <v>99.305878002977437</v>
      </c>
      <c r="E66" s="14">
        <f t="shared" si="49"/>
        <v>98.525546817517267</v>
      </c>
      <c r="F66" s="14">
        <f t="shared" si="49"/>
        <v>105.14346379854102</v>
      </c>
      <c r="G66" s="14">
        <f t="shared" si="49"/>
        <v>106.9452779788801</v>
      </c>
      <c r="H66" s="14">
        <f t="shared" si="49"/>
        <v>115.83844262945048</v>
      </c>
      <c r="I66" s="14">
        <f t="shared" si="49"/>
        <v>116.25070713419835</v>
      </c>
      <c r="J66" s="14">
        <f t="shared" si="49"/>
        <v>114.67538232388031</v>
      </c>
      <c r="K66" s="14">
        <f t="shared" si="49"/>
        <v>119.08799118942731</v>
      </c>
      <c r="L66" s="14">
        <f t="shared" si="49"/>
        <v>115.59728569041933</v>
      </c>
      <c r="M66" s="14">
        <f t="shared" si="49"/>
        <v>116.61030133077023</v>
      </c>
      <c r="N66" s="14">
        <f t="shared" si="49"/>
        <v>120.78854742337418</v>
      </c>
      <c r="O66" s="14">
        <f t="shared" si="49"/>
        <v>124.5510177361037</v>
      </c>
      <c r="P66" s="14">
        <f t="shared" si="49"/>
        <v>125.08147629014385</v>
      </c>
      <c r="Q66" s="14">
        <f t="shared" si="49"/>
        <v>133.52726520628755</v>
      </c>
      <c r="R66" s="14">
        <f t="shared" si="49"/>
        <v>135.82993022736113</v>
      </c>
      <c r="S66" s="14">
        <f t="shared" si="49"/>
        <v>138.85722564754744</v>
      </c>
      <c r="T66" s="14">
        <f t="shared" si="49"/>
        <v>140.44877079063912</v>
      </c>
      <c r="U66" s="14">
        <f t="shared" si="49"/>
        <v>142.36278816129561</v>
      </c>
      <c r="V66" s="14">
        <f t="shared" si="49"/>
        <v>93.033918891563019</v>
      </c>
      <c r="W66" s="14">
        <f t="shared" ref="W66:Y66" si="50">IF(W34=0,0,W34/W24)</f>
        <v>108.48177927022489</v>
      </c>
      <c r="X66" s="14">
        <f t="shared" si="50"/>
        <v>142.26017494143761</v>
      </c>
      <c r="Y66" s="14">
        <f t="shared" si="50"/>
        <v>147.82995542213203</v>
      </c>
      <c r="DA66" s="189" t="s">
        <v>242</v>
      </c>
    </row>
    <row r="67" spans="1:105" ht="11.45" customHeight="1" x14ac:dyDescent="0.25">
      <c r="A67" s="83" t="s">
        <v>27</v>
      </c>
      <c r="B67" s="87">
        <f t="shared" si="48"/>
        <v>62.932543554006969</v>
      </c>
      <c r="C67" s="87">
        <f t="shared" si="48"/>
        <v>61.367817633255115</v>
      </c>
      <c r="D67" s="87">
        <f t="shared" ref="D67:V67" si="51">IF(D35=0,0,D35/D25)</f>
        <v>58.788104352757692</v>
      </c>
      <c r="E67" s="87">
        <f t="shared" si="51"/>
        <v>56.09846925649601</v>
      </c>
      <c r="F67" s="87">
        <f t="shared" si="51"/>
        <v>60.509342170203766</v>
      </c>
      <c r="G67" s="87">
        <f t="shared" si="51"/>
        <v>57.619843608340886</v>
      </c>
      <c r="H67" s="87">
        <f t="shared" si="51"/>
        <v>69.376635299518014</v>
      </c>
      <c r="I67" s="87">
        <f t="shared" si="51"/>
        <v>60.107531259086947</v>
      </c>
      <c r="J67" s="87">
        <f t="shared" si="51"/>
        <v>56.858615977140019</v>
      </c>
      <c r="K67" s="87">
        <f t="shared" si="51"/>
        <v>51.395173805090003</v>
      </c>
      <c r="L67" s="87">
        <f t="shared" si="51"/>
        <v>37.089676641895963</v>
      </c>
      <c r="M67" s="87">
        <f t="shared" si="51"/>
        <v>24.903512773722628</v>
      </c>
      <c r="N67" s="87">
        <f t="shared" si="51"/>
        <v>21.987643800596505</v>
      </c>
      <c r="O67" s="87">
        <f t="shared" si="51"/>
        <v>26.74167776298269</v>
      </c>
      <c r="P67" s="87">
        <f t="shared" si="51"/>
        <v>25.443889141299408</v>
      </c>
      <c r="Q67" s="87">
        <f t="shared" si="51"/>
        <v>29.765724703737465</v>
      </c>
      <c r="R67" s="87">
        <f t="shared" si="51"/>
        <v>31.517551755175518</v>
      </c>
      <c r="S67" s="87">
        <f t="shared" si="51"/>
        <v>32.784142988084326</v>
      </c>
      <c r="T67" s="87">
        <f t="shared" si="51"/>
        <v>38.270700636942678</v>
      </c>
      <c r="U67" s="87">
        <f t="shared" si="51"/>
        <v>36.562471808750566</v>
      </c>
      <c r="V67" s="87">
        <f t="shared" si="51"/>
        <v>11.704688255195746</v>
      </c>
      <c r="W67" s="87">
        <f t="shared" ref="W67:Y67" si="52">IF(W35=0,0,W35/W25)</f>
        <v>17.470684039087949</v>
      </c>
      <c r="X67" s="87">
        <f t="shared" si="52"/>
        <v>50.74312796208531</v>
      </c>
      <c r="Y67" s="87">
        <f t="shared" si="52"/>
        <v>60.828296703296701</v>
      </c>
      <c r="DA67" s="171" t="s">
        <v>243</v>
      </c>
    </row>
    <row r="68" spans="1:105" ht="11.45" customHeight="1" x14ac:dyDescent="0.25">
      <c r="A68" s="83" t="s">
        <v>181</v>
      </c>
      <c r="B68" s="87">
        <f t="shared" si="48"/>
        <v>97.488338977832512</v>
      </c>
      <c r="C68" s="87">
        <f t="shared" si="48"/>
        <v>98.695458442515061</v>
      </c>
      <c r="D68" s="87">
        <f t="shared" ref="D68:V68" si="53">IF(D36=0,0,D36/D26)</f>
        <v>99.728562816493849</v>
      </c>
      <c r="E68" s="87">
        <f t="shared" si="53"/>
        <v>100.74159449519516</v>
      </c>
      <c r="F68" s="87">
        <f t="shared" si="53"/>
        <v>106.65621739487227</v>
      </c>
      <c r="G68" s="87">
        <f t="shared" si="53"/>
        <v>111.16638990368648</v>
      </c>
      <c r="H68" s="87">
        <f t="shared" si="53"/>
        <v>120.19494745591641</v>
      </c>
      <c r="I68" s="87">
        <f t="shared" si="53"/>
        <v>122.99186184808158</v>
      </c>
      <c r="J68" s="87">
        <f t="shared" si="53"/>
        <v>119.46643695993362</v>
      </c>
      <c r="K68" s="87">
        <f t="shared" si="53"/>
        <v>123.98222883187469</v>
      </c>
      <c r="L68" s="87">
        <f t="shared" si="53"/>
        <v>120.67826979333773</v>
      </c>
      <c r="M68" s="87">
        <f t="shared" si="53"/>
        <v>117.77417430934564</v>
      </c>
      <c r="N68" s="87">
        <f t="shared" si="53"/>
        <v>117.95493405120465</v>
      </c>
      <c r="O68" s="87">
        <f t="shared" si="53"/>
        <v>120.32321826280624</v>
      </c>
      <c r="P68" s="87">
        <f t="shared" si="53"/>
        <v>120.74038603522835</v>
      </c>
      <c r="Q68" s="87">
        <f t="shared" si="53"/>
        <v>129.46539877919588</v>
      </c>
      <c r="R68" s="87">
        <f t="shared" si="53"/>
        <v>131.42315328709819</v>
      </c>
      <c r="S68" s="87">
        <f t="shared" si="53"/>
        <v>133.93801837234497</v>
      </c>
      <c r="T68" s="87">
        <f t="shared" si="53"/>
        <v>134.95735744162187</v>
      </c>
      <c r="U68" s="87">
        <f t="shared" si="53"/>
        <v>136.35453112286413</v>
      </c>
      <c r="V68" s="87">
        <f t="shared" si="53"/>
        <v>94.321588991302093</v>
      </c>
      <c r="W68" s="87">
        <f t="shared" ref="W68:Y68" si="54">IF(W36=0,0,W36/W26)</f>
        <v>112.0055954797301</v>
      </c>
      <c r="X68" s="87">
        <f t="shared" si="54"/>
        <v>137.09255027194251</v>
      </c>
      <c r="Y68" s="87">
        <f t="shared" si="54"/>
        <v>141.8170758966952</v>
      </c>
      <c r="DA68" s="171" t="s">
        <v>244</v>
      </c>
    </row>
    <row r="69" spans="1:105" ht="11.45" customHeight="1" x14ac:dyDescent="0.25">
      <c r="A69" s="83" t="s">
        <v>182</v>
      </c>
      <c r="B69" s="87">
        <f t="shared" si="48"/>
        <v>203.89264413518887</v>
      </c>
      <c r="C69" s="87">
        <f t="shared" si="48"/>
        <v>194.28954017180394</v>
      </c>
      <c r="D69" s="87">
        <f t="shared" ref="D69:V69" si="55">IF(D37=0,0,D37/D27)</f>
        <v>192.9825388510564</v>
      </c>
      <c r="E69" s="87">
        <f t="shared" si="55"/>
        <v>196.77311448161231</v>
      </c>
      <c r="F69" s="87">
        <f t="shared" si="55"/>
        <v>209.3846949327818</v>
      </c>
      <c r="G69" s="87">
        <f t="shared" si="55"/>
        <v>182.10046994004213</v>
      </c>
      <c r="H69" s="87">
        <f t="shared" si="55"/>
        <v>164.30076075550892</v>
      </c>
      <c r="I69" s="87">
        <f t="shared" si="55"/>
        <v>141.66518319188575</v>
      </c>
      <c r="J69" s="87">
        <f t="shared" si="55"/>
        <v>160.84700716431709</v>
      </c>
      <c r="K69" s="87">
        <f t="shared" si="55"/>
        <v>177.15966974531207</v>
      </c>
      <c r="L69" s="87">
        <f t="shared" si="55"/>
        <v>165.58066353410223</v>
      </c>
      <c r="M69" s="87">
        <f t="shared" si="55"/>
        <v>155.54315514993482</v>
      </c>
      <c r="N69" s="87">
        <f t="shared" si="55"/>
        <v>190.39072847682118</v>
      </c>
      <c r="O69" s="87">
        <f t="shared" si="55"/>
        <v>207.4726368159204</v>
      </c>
      <c r="P69" s="87">
        <f t="shared" si="55"/>
        <v>198.6278852879459</v>
      </c>
      <c r="Q69" s="87">
        <f t="shared" si="55"/>
        <v>197.22051541182415</v>
      </c>
      <c r="R69" s="87">
        <f t="shared" si="55"/>
        <v>204.58271916214119</v>
      </c>
      <c r="S69" s="87">
        <f t="shared" si="55"/>
        <v>202.02922157649178</v>
      </c>
      <c r="T69" s="87">
        <f t="shared" si="55"/>
        <v>201.01494874715263</v>
      </c>
      <c r="U69" s="87">
        <f t="shared" si="55"/>
        <v>211.40321990486646</v>
      </c>
      <c r="V69" s="87">
        <f t="shared" si="55"/>
        <v>123.65987096774194</v>
      </c>
      <c r="W69" s="87">
        <f t="shared" ref="W69:Y69" si="56">IF(W37=0,0,W37/W27)</f>
        <v>118.30649611236518</v>
      </c>
      <c r="X69" s="87">
        <f t="shared" si="56"/>
        <v>203.19989713697925</v>
      </c>
      <c r="Y69" s="87">
        <f t="shared" si="56"/>
        <v>211.01143709597216</v>
      </c>
      <c r="DA69" s="171" t="s">
        <v>245</v>
      </c>
    </row>
    <row r="70" spans="1:105" ht="11.45" customHeight="1" x14ac:dyDescent="0.25">
      <c r="A70" s="12" t="s">
        <v>85</v>
      </c>
      <c r="B70" s="15">
        <f t="shared" si="48"/>
        <v>16.305942796920203</v>
      </c>
      <c r="C70" s="15">
        <f t="shared" si="48"/>
        <v>16.460828030444542</v>
      </c>
      <c r="D70" s="15">
        <f t="shared" ref="D70:V70" si="57">IF(D38=0,0,D38/D28)</f>
        <v>17.414500343297178</v>
      </c>
      <c r="E70" s="15">
        <f t="shared" si="57"/>
        <v>18.261633966686045</v>
      </c>
      <c r="F70" s="15">
        <f t="shared" si="57"/>
        <v>17.302814419617146</v>
      </c>
      <c r="G70" s="15">
        <f t="shared" si="57"/>
        <v>15.517850401463368</v>
      </c>
      <c r="H70" s="15">
        <f t="shared" si="57"/>
        <v>14.867730011340983</v>
      </c>
      <c r="I70" s="15">
        <f t="shared" si="57"/>
        <v>15.555009880442398</v>
      </c>
      <c r="J70" s="15">
        <f t="shared" si="57"/>
        <v>15.70980732870998</v>
      </c>
      <c r="K70" s="15">
        <f t="shared" si="57"/>
        <v>15.439016734769638</v>
      </c>
      <c r="L70" s="15">
        <f t="shared" si="57"/>
        <v>17.691859949452155</v>
      </c>
      <c r="M70" s="15">
        <f t="shared" si="57"/>
        <v>18.748043457559501</v>
      </c>
      <c r="N70" s="15">
        <f t="shared" si="57"/>
        <v>21.282194825961096</v>
      </c>
      <c r="O70" s="15">
        <f t="shared" si="57"/>
        <v>22.232194963121447</v>
      </c>
      <c r="P70" s="15">
        <f t="shared" si="57"/>
        <v>25.311204425930569</v>
      </c>
      <c r="Q70" s="15">
        <f t="shared" si="57"/>
        <v>26.278691986211332</v>
      </c>
      <c r="R70" s="15">
        <f t="shared" si="57"/>
        <v>30.053805220635422</v>
      </c>
      <c r="S70" s="15">
        <f t="shared" si="57"/>
        <v>31.254586888540377</v>
      </c>
      <c r="T70" s="15">
        <f t="shared" si="57"/>
        <v>29.214633722361839</v>
      </c>
      <c r="U70" s="15">
        <f t="shared" si="57"/>
        <v>29.029419427779281</v>
      </c>
      <c r="V70" s="15">
        <f t="shared" si="57"/>
        <v>23.172046456234796</v>
      </c>
      <c r="W70" s="15">
        <f t="shared" ref="W70:Y70" si="58">IF(W38=0,0,W38/W28)</f>
        <v>23.94656173941183</v>
      </c>
      <c r="X70" s="15">
        <f t="shared" si="58"/>
        <v>27.742314874928613</v>
      </c>
      <c r="Y70" s="15">
        <f t="shared" si="58"/>
        <v>27.328577228380823</v>
      </c>
      <c r="DA70" s="193" t="s">
        <v>246</v>
      </c>
    </row>
    <row r="71" spans="1:105" ht="11.45" customHeight="1" x14ac:dyDescent="0.25">
      <c r="A71" s="42" t="s">
        <v>27</v>
      </c>
      <c r="B71" s="41">
        <f t="shared" si="48"/>
        <v>10.023284561418631</v>
      </c>
      <c r="C71" s="41">
        <f t="shared" si="48"/>
        <v>9.9468444225812966</v>
      </c>
      <c r="D71" s="41">
        <f t="shared" ref="D71:V71" si="59">IF(D39=0,0,D39/D29)</f>
        <v>10.228618824365732</v>
      </c>
      <c r="E71" s="41">
        <f t="shared" si="59"/>
        <v>10.880110401352557</v>
      </c>
      <c r="F71" s="41">
        <f t="shared" si="59"/>
        <v>10.245291210092235</v>
      </c>
      <c r="G71" s="41">
        <f t="shared" si="59"/>
        <v>10.026386560137624</v>
      </c>
      <c r="H71" s="41">
        <f t="shared" si="59"/>
        <v>9.6442955326529347</v>
      </c>
      <c r="I71" s="41">
        <f t="shared" si="59"/>
        <v>9.6084865500782293</v>
      </c>
      <c r="J71" s="41">
        <f t="shared" si="59"/>
        <v>9.2442542001847308</v>
      </c>
      <c r="K71" s="41">
        <f t="shared" si="59"/>
        <v>9.3240998338960406</v>
      </c>
      <c r="L71" s="41">
        <f t="shared" si="59"/>
        <v>9.9726932495609368</v>
      </c>
      <c r="M71" s="41">
        <f t="shared" si="59"/>
        <v>10.895437219200758</v>
      </c>
      <c r="N71" s="41">
        <f t="shared" si="59"/>
        <v>11.19133112954926</v>
      </c>
      <c r="O71" s="41">
        <f t="shared" si="59"/>
        <v>11.472606557577453</v>
      </c>
      <c r="P71" s="41">
        <f t="shared" si="59"/>
        <v>12.867097049767036</v>
      </c>
      <c r="Q71" s="41">
        <f t="shared" si="59"/>
        <v>13.240298620670723</v>
      </c>
      <c r="R71" s="41">
        <f t="shared" si="59"/>
        <v>15.261225204177912</v>
      </c>
      <c r="S71" s="41">
        <f t="shared" si="59"/>
        <v>14.037407282807472</v>
      </c>
      <c r="T71" s="41">
        <f t="shared" si="59"/>
        <v>14.28777069472639</v>
      </c>
      <c r="U71" s="41">
        <f t="shared" si="59"/>
        <v>15.803408783848623</v>
      </c>
      <c r="V71" s="41">
        <f t="shared" si="59"/>
        <v>14.565549583941408</v>
      </c>
      <c r="W71" s="41">
        <f t="shared" ref="W71:Y71" si="60">IF(W39=0,0,W39/W29)</f>
        <v>14.733887425092288</v>
      </c>
      <c r="X71" s="41">
        <f t="shared" si="60"/>
        <v>14.903133727895911</v>
      </c>
      <c r="Y71" s="41">
        <f t="shared" si="60"/>
        <v>14.791343727721088</v>
      </c>
      <c r="DA71" s="196" t="s">
        <v>247</v>
      </c>
    </row>
    <row r="72" spans="1:105" ht="11.45" customHeight="1" x14ac:dyDescent="0.25">
      <c r="A72" s="42" t="s">
        <v>181</v>
      </c>
      <c r="B72" s="41">
        <f t="shared" si="48"/>
        <v>16.167807765431576</v>
      </c>
      <c r="C72" s="41">
        <f t="shared" si="48"/>
        <v>16.347531780245248</v>
      </c>
      <c r="D72" s="41">
        <f t="shared" ref="D72:V72" si="61">IF(D40=0,0,D40/D30)</f>
        <v>16.365143935076347</v>
      </c>
      <c r="E72" s="41">
        <f t="shared" si="61"/>
        <v>17.221696677308699</v>
      </c>
      <c r="F72" s="41">
        <f t="shared" si="61"/>
        <v>16.065947226318933</v>
      </c>
      <c r="G72" s="41">
        <f t="shared" si="61"/>
        <v>15.202475894043333</v>
      </c>
      <c r="H72" s="41">
        <f t="shared" si="61"/>
        <v>14.017847842266166</v>
      </c>
      <c r="I72" s="41">
        <f t="shared" si="61"/>
        <v>13.786843762306624</v>
      </c>
      <c r="J72" s="41">
        <f t="shared" si="61"/>
        <v>13.706049515651268</v>
      </c>
      <c r="K72" s="41">
        <f t="shared" si="61"/>
        <v>13.698894254303413</v>
      </c>
      <c r="L72" s="41">
        <f t="shared" si="61"/>
        <v>14.504774438576121</v>
      </c>
      <c r="M72" s="41">
        <f t="shared" si="61"/>
        <v>15.593990976967522</v>
      </c>
      <c r="N72" s="41">
        <f t="shared" si="61"/>
        <v>16.668272444699468</v>
      </c>
      <c r="O72" s="41">
        <f t="shared" si="61"/>
        <v>16.757006585050917</v>
      </c>
      <c r="P72" s="41">
        <f t="shared" si="61"/>
        <v>18.449412678664508</v>
      </c>
      <c r="Q72" s="41">
        <f t="shared" si="61"/>
        <v>18.477606558493591</v>
      </c>
      <c r="R72" s="41">
        <f t="shared" si="61"/>
        <v>20.847919403023052</v>
      </c>
      <c r="S72" s="41">
        <f t="shared" si="61"/>
        <v>19.377525185076976</v>
      </c>
      <c r="T72" s="41">
        <f t="shared" si="61"/>
        <v>19.225461196308377</v>
      </c>
      <c r="U72" s="41">
        <f t="shared" si="61"/>
        <v>19.702598617631956</v>
      </c>
      <c r="V72" s="41">
        <f t="shared" si="61"/>
        <v>17.640506114488737</v>
      </c>
      <c r="W72" s="41">
        <f t="shared" ref="W72:Y72" si="62">IF(W40=0,0,W40/W30)</f>
        <v>17.768395755469797</v>
      </c>
      <c r="X72" s="41">
        <f t="shared" si="62"/>
        <v>17.890474130141023</v>
      </c>
      <c r="Y72" s="41">
        <f t="shared" si="62"/>
        <v>17.970037243342706</v>
      </c>
      <c r="DA72" s="196" t="s">
        <v>248</v>
      </c>
    </row>
    <row r="73" spans="1:105" ht="11.45" customHeight="1" x14ac:dyDescent="0.25">
      <c r="A73" s="38" t="s">
        <v>182</v>
      </c>
      <c r="B73" s="40">
        <f t="shared" si="48"/>
        <v>52.13832275608636</v>
      </c>
      <c r="C73" s="40">
        <f t="shared" si="48"/>
        <v>53.867382020046904</v>
      </c>
      <c r="D73" s="40">
        <f t="shared" ref="D73:V73" si="63">IF(D41=0,0,D41/D31)</f>
        <v>52.903188435639542</v>
      </c>
      <c r="E73" s="40">
        <f t="shared" si="63"/>
        <v>48.726605018216752</v>
      </c>
      <c r="F73" s="40">
        <f t="shared" si="63"/>
        <v>48.059639068158532</v>
      </c>
      <c r="G73" s="40">
        <f t="shared" si="63"/>
        <v>44.215541300581251</v>
      </c>
      <c r="H73" s="40">
        <f t="shared" si="63"/>
        <v>45.164132697953747</v>
      </c>
      <c r="I73" s="40">
        <f t="shared" si="63"/>
        <v>45.185822139749781</v>
      </c>
      <c r="J73" s="40">
        <f t="shared" si="63"/>
        <v>44.913119763550647</v>
      </c>
      <c r="K73" s="40">
        <f t="shared" si="63"/>
        <v>49.899933457134011</v>
      </c>
      <c r="L73" s="40">
        <f t="shared" si="63"/>
        <v>52.52792563317562</v>
      </c>
      <c r="M73" s="40">
        <f t="shared" si="63"/>
        <v>55.066413538494707</v>
      </c>
      <c r="N73" s="40">
        <f t="shared" si="63"/>
        <v>59.082056024886235</v>
      </c>
      <c r="O73" s="40">
        <f t="shared" si="63"/>
        <v>59.664691083399624</v>
      </c>
      <c r="P73" s="40">
        <f t="shared" si="63"/>
        <v>66.461807942068631</v>
      </c>
      <c r="Q73" s="40">
        <f t="shared" si="63"/>
        <v>66.264429177726498</v>
      </c>
      <c r="R73" s="40">
        <f t="shared" si="63"/>
        <v>73.442316804529241</v>
      </c>
      <c r="S73" s="40">
        <f t="shared" si="63"/>
        <v>73.32593091987863</v>
      </c>
      <c r="T73" s="40">
        <f t="shared" si="63"/>
        <v>73.592740807573165</v>
      </c>
      <c r="U73" s="40">
        <f t="shared" si="63"/>
        <v>75.40152312606179</v>
      </c>
      <c r="V73" s="40">
        <f t="shared" si="63"/>
        <v>50.528235250360844</v>
      </c>
      <c r="W73" s="40">
        <f t="shared" ref="W73:Y73" si="64">IF(W41=0,0,W41/W31)</f>
        <v>53.587012042781261</v>
      </c>
      <c r="X73" s="40">
        <f t="shared" si="64"/>
        <v>60.501674061496317</v>
      </c>
      <c r="Y73" s="40">
        <f t="shared" si="64"/>
        <v>63.067440817812056</v>
      </c>
      <c r="DA73" s="197" t="s">
        <v>249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DA74" s="181"/>
    </row>
    <row r="75" spans="1:105" ht="11.45" customHeight="1" x14ac:dyDescent="0.25">
      <c r="A75" s="53" t="s">
        <v>139</v>
      </c>
      <c r="B75" s="62">
        <f t="shared" ref="B75:C83" si="65">IF(B13=0,0,B13*1000000/B23)</f>
        <v>918.59891297647971</v>
      </c>
      <c r="C75" s="62">
        <f t="shared" si="65"/>
        <v>938.63402857839912</v>
      </c>
      <c r="D75" s="62">
        <f t="shared" ref="D75:V75" si="66">IF(D13=0,0,D13*1000000/D23)</f>
        <v>953.53397260319946</v>
      </c>
      <c r="E75" s="62">
        <f t="shared" si="66"/>
        <v>935.17691792003905</v>
      </c>
      <c r="F75" s="62">
        <f t="shared" si="66"/>
        <v>961.38979903697293</v>
      </c>
      <c r="G75" s="62">
        <f t="shared" si="66"/>
        <v>1004.1171183532069</v>
      </c>
      <c r="H75" s="62">
        <f t="shared" si="66"/>
        <v>1109.9371961520701</v>
      </c>
      <c r="I75" s="62">
        <f t="shared" si="66"/>
        <v>1222.05419407304</v>
      </c>
      <c r="J75" s="62">
        <f t="shared" si="66"/>
        <v>1191.1869756010469</v>
      </c>
      <c r="K75" s="62">
        <f t="shared" si="66"/>
        <v>1170.5203344967711</v>
      </c>
      <c r="L75" s="62">
        <f t="shared" si="66"/>
        <v>1191.3245603505338</v>
      </c>
      <c r="M75" s="62">
        <f t="shared" si="66"/>
        <v>1262.5981942369788</v>
      </c>
      <c r="N75" s="62">
        <f t="shared" si="66"/>
        <v>1252.0710188103335</v>
      </c>
      <c r="O75" s="62">
        <f t="shared" si="66"/>
        <v>1261.9310073875247</v>
      </c>
      <c r="P75" s="62">
        <f t="shared" si="66"/>
        <v>1283.5760284966796</v>
      </c>
      <c r="Q75" s="62">
        <f t="shared" si="66"/>
        <v>1338.2994570369328</v>
      </c>
      <c r="R75" s="62">
        <f t="shared" si="66"/>
        <v>1340.0793985648095</v>
      </c>
      <c r="S75" s="62">
        <f t="shared" si="66"/>
        <v>1438.4929753761294</v>
      </c>
      <c r="T75" s="62">
        <f t="shared" si="66"/>
        <v>1491.7034424057892</v>
      </c>
      <c r="U75" s="62">
        <f t="shared" si="66"/>
        <v>1484.481837290311</v>
      </c>
      <c r="V75" s="62">
        <f t="shared" si="66"/>
        <v>1439.1941778100222</v>
      </c>
      <c r="W75" s="62">
        <f t="shared" ref="W75:Y75" si="67">IF(W13=0,0,W13*1000000/W23)</f>
        <v>1590.7553584627567</v>
      </c>
      <c r="X75" s="62">
        <f t="shared" si="67"/>
        <v>1566.7188417819818</v>
      </c>
      <c r="Y75" s="62">
        <f t="shared" si="67"/>
        <v>1562.5074745000325</v>
      </c>
      <c r="DA75" s="172" t="s">
        <v>250</v>
      </c>
    </row>
    <row r="76" spans="1:105" ht="11.45" customHeight="1" x14ac:dyDescent="0.25">
      <c r="A76" s="10" t="s">
        <v>33</v>
      </c>
      <c r="B76" s="14">
        <f t="shared" si="65"/>
        <v>920.84684976001745</v>
      </c>
      <c r="C76" s="14">
        <f t="shared" si="65"/>
        <v>941.10766589777654</v>
      </c>
      <c r="D76" s="14">
        <f t="shared" ref="D76:V76" si="68">IF(D14=0,0,D14*1000000/D24)</f>
        <v>954.0865768488369</v>
      </c>
      <c r="E76" s="14">
        <f t="shared" si="68"/>
        <v>934.55037969223247</v>
      </c>
      <c r="F76" s="14">
        <f t="shared" si="68"/>
        <v>960.18808843413785</v>
      </c>
      <c r="G76" s="14">
        <f t="shared" si="68"/>
        <v>1006.6713987974081</v>
      </c>
      <c r="H76" s="14">
        <f t="shared" si="68"/>
        <v>1115.4330373230512</v>
      </c>
      <c r="I76" s="14">
        <f t="shared" si="68"/>
        <v>1226.0927767586513</v>
      </c>
      <c r="J76" s="14">
        <f t="shared" si="68"/>
        <v>1192.6876543683093</v>
      </c>
      <c r="K76" s="14">
        <f t="shared" si="68"/>
        <v>1176.067231833367</v>
      </c>
      <c r="L76" s="14">
        <f t="shared" si="68"/>
        <v>1194.1048405036604</v>
      </c>
      <c r="M76" s="14">
        <f t="shared" si="68"/>
        <v>1266.6161944725477</v>
      </c>
      <c r="N76" s="14">
        <f t="shared" si="68"/>
        <v>1251.2865625039296</v>
      </c>
      <c r="O76" s="14">
        <f t="shared" si="68"/>
        <v>1260.0888042003442</v>
      </c>
      <c r="P76" s="14">
        <f t="shared" si="68"/>
        <v>1280.1248410620146</v>
      </c>
      <c r="Q76" s="14">
        <f t="shared" si="68"/>
        <v>1333.3883714663359</v>
      </c>
      <c r="R76" s="14">
        <f t="shared" si="68"/>
        <v>1334.5832963704026</v>
      </c>
      <c r="S76" s="14">
        <f t="shared" si="68"/>
        <v>1430.0981817643474</v>
      </c>
      <c r="T76" s="14">
        <f t="shared" si="68"/>
        <v>1487.5919127539316</v>
      </c>
      <c r="U76" s="14">
        <f t="shared" si="68"/>
        <v>1482.5790661774752</v>
      </c>
      <c r="V76" s="14">
        <f t="shared" si="68"/>
        <v>1429.3328448712559</v>
      </c>
      <c r="W76" s="14">
        <f t="shared" ref="W76:Y76" si="69">IF(W14=0,0,W14*1000000/W24)</f>
        <v>1582.1322155572411</v>
      </c>
      <c r="X76" s="14">
        <f t="shared" si="69"/>
        <v>1556.5123818169548</v>
      </c>
      <c r="Y76" s="14">
        <f t="shared" si="69"/>
        <v>1555.4960217615956</v>
      </c>
      <c r="DA76" s="189" t="s">
        <v>251</v>
      </c>
    </row>
    <row r="77" spans="1:105" ht="11.45" customHeight="1" x14ac:dyDescent="0.25">
      <c r="A77" s="37" t="s">
        <v>27</v>
      </c>
      <c r="B77" s="39">
        <f t="shared" si="65"/>
        <v>254.32594656451036</v>
      </c>
      <c r="C77" s="39">
        <f t="shared" si="65"/>
        <v>254.32594656451039</v>
      </c>
      <c r="D77" s="39">
        <f t="shared" ref="D77:V77" si="70">IF(D15=0,0,D15*1000000/D25)</f>
        <v>254.32594656451039</v>
      </c>
      <c r="E77" s="39">
        <f t="shared" si="70"/>
        <v>254.32594656451039</v>
      </c>
      <c r="F77" s="39">
        <f t="shared" si="70"/>
        <v>254.32594656451039</v>
      </c>
      <c r="G77" s="39">
        <f t="shared" si="70"/>
        <v>254.58816160350767</v>
      </c>
      <c r="H77" s="39">
        <f t="shared" si="70"/>
        <v>265.46678558917597</v>
      </c>
      <c r="I77" s="39">
        <f t="shared" si="70"/>
        <v>279.77586900685236</v>
      </c>
      <c r="J77" s="39">
        <f t="shared" si="70"/>
        <v>270.46713861519686</v>
      </c>
      <c r="K77" s="39">
        <f t="shared" si="70"/>
        <v>266.16816285936858</v>
      </c>
      <c r="L77" s="39">
        <f t="shared" si="70"/>
        <v>251.81259357843948</v>
      </c>
      <c r="M77" s="39">
        <f t="shared" si="70"/>
        <v>235.69144404595366</v>
      </c>
      <c r="N77" s="39">
        <f t="shared" si="70"/>
        <v>261.93742791234143</v>
      </c>
      <c r="O77" s="39">
        <f t="shared" si="70"/>
        <v>265.92362052471367</v>
      </c>
      <c r="P77" s="39">
        <f t="shared" si="70"/>
        <v>265.32641912834811</v>
      </c>
      <c r="Q77" s="39">
        <f t="shared" si="70"/>
        <v>276.53778521813803</v>
      </c>
      <c r="R77" s="39">
        <f t="shared" si="70"/>
        <v>283.10470696016614</v>
      </c>
      <c r="S77" s="39">
        <f t="shared" si="70"/>
        <v>289.21228325400443</v>
      </c>
      <c r="T77" s="39">
        <f t="shared" si="70"/>
        <v>281.91915028535192</v>
      </c>
      <c r="U77" s="39">
        <f t="shared" si="70"/>
        <v>282.36704000000003</v>
      </c>
      <c r="V77" s="39">
        <f t="shared" si="70"/>
        <v>272.91657754010691</v>
      </c>
      <c r="W77" s="39">
        <f t="shared" ref="W77:Y77" si="71">IF(W15=0,0,W15*1000000/W25)</f>
        <v>278.16631689401885</v>
      </c>
      <c r="X77" s="39">
        <f t="shared" si="71"/>
        <v>282.39451688398532</v>
      </c>
      <c r="Y77" s="39">
        <f t="shared" si="71"/>
        <v>286.07655805124961</v>
      </c>
      <c r="DA77" s="198" t="s">
        <v>252</v>
      </c>
    </row>
    <row r="78" spans="1:105" ht="11.45" customHeight="1" x14ac:dyDescent="0.25">
      <c r="A78" s="37" t="s">
        <v>181</v>
      </c>
      <c r="B78" s="39">
        <f t="shared" si="65"/>
        <v>808.65310990294336</v>
      </c>
      <c r="C78" s="39">
        <f t="shared" si="65"/>
        <v>829.00429195480251</v>
      </c>
      <c r="D78" s="39">
        <f t="shared" ref="D78:V78" si="72">IF(D16=0,0,D16*1000000/D26)</f>
        <v>846.8872007292307</v>
      </c>
      <c r="E78" s="39">
        <f t="shared" si="72"/>
        <v>871.84391367774685</v>
      </c>
      <c r="F78" s="39">
        <f t="shared" si="72"/>
        <v>892.20577488243487</v>
      </c>
      <c r="G78" s="39">
        <f t="shared" si="72"/>
        <v>927.30379960297898</v>
      </c>
      <c r="H78" s="39">
        <f t="shared" si="72"/>
        <v>997.48674473284859</v>
      </c>
      <c r="I78" s="39">
        <f t="shared" si="72"/>
        <v>1057.0123498189269</v>
      </c>
      <c r="J78" s="39">
        <f t="shared" si="72"/>
        <v>1038.8126610050742</v>
      </c>
      <c r="K78" s="39">
        <f t="shared" si="72"/>
        <v>1024.6233549114481</v>
      </c>
      <c r="L78" s="39">
        <f t="shared" si="72"/>
        <v>1009.1980430935603</v>
      </c>
      <c r="M78" s="39">
        <f t="shared" si="72"/>
        <v>1010.0001757487848</v>
      </c>
      <c r="N78" s="39">
        <f t="shared" si="72"/>
        <v>995.1810899020536</v>
      </c>
      <c r="O78" s="39">
        <f t="shared" si="72"/>
        <v>992.61311121518202</v>
      </c>
      <c r="P78" s="39">
        <f t="shared" si="72"/>
        <v>976.24015719571139</v>
      </c>
      <c r="Q78" s="39">
        <f t="shared" si="72"/>
        <v>988.44390289146281</v>
      </c>
      <c r="R78" s="39">
        <f t="shared" si="72"/>
        <v>998.86984387901248</v>
      </c>
      <c r="S78" s="39">
        <f t="shared" si="72"/>
        <v>1033.1110909522979</v>
      </c>
      <c r="T78" s="39">
        <f t="shared" si="72"/>
        <v>1043.8834308919907</v>
      </c>
      <c r="U78" s="39">
        <f t="shared" si="72"/>
        <v>1067.8855854754486</v>
      </c>
      <c r="V78" s="39">
        <f t="shared" si="72"/>
        <v>1106.4378862624956</v>
      </c>
      <c r="W78" s="39">
        <f t="shared" ref="W78:Y78" si="73">IF(W16=0,0,W16*1000000/W26)</f>
        <v>1255.7098748046089</v>
      </c>
      <c r="X78" s="39">
        <f t="shared" si="73"/>
        <v>1152.6359362351411</v>
      </c>
      <c r="Y78" s="39">
        <f t="shared" si="73"/>
        <v>1132.223978529101</v>
      </c>
      <c r="DA78" s="198" t="s">
        <v>253</v>
      </c>
    </row>
    <row r="79" spans="1:105" ht="11.45" customHeight="1" x14ac:dyDescent="0.25">
      <c r="A79" s="37" t="s">
        <v>182</v>
      </c>
      <c r="B79" s="39">
        <f t="shared" si="65"/>
        <v>4230.1368136483543</v>
      </c>
      <c r="C79" s="39">
        <f t="shared" si="65"/>
        <v>4230.1368136483543</v>
      </c>
      <c r="D79" s="39">
        <f t="shared" ref="D79:V79" si="74">IF(D17=0,0,D17*1000000/D27)</f>
        <v>4230.1368136483543</v>
      </c>
      <c r="E79" s="39">
        <f t="shared" si="74"/>
        <v>4230.1368136483543</v>
      </c>
      <c r="F79" s="39">
        <f t="shared" si="74"/>
        <v>4230.1368136483543</v>
      </c>
      <c r="G79" s="39">
        <f t="shared" si="74"/>
        <v>4396.7203191635708</v>
      </c>
      <c r="H79" s="39">
        <f t="shared" si="74"/>
        <v>4621.8113520920288</v>
      </c>
      <c r="I79" s="39">
        <f t="shared" si="74"/>
        <v>4778.8247471418936</v>
      </c>
      <c r="J79" s="39">
        <f t="shared" si="74"/>
        <v>4879.4695906754496</v>
      </c>
      <c r="K79" s="39">
        <f t="shared" si="74"/>
        <v>4797.9021886373075</v>
      </c>
      <c r="L79" s="39">
        <f t="shared" si="74"/>
        <v>4762.2388077712076</v>
      </c>
      <c r="M79" s="39">
        <f t="shared" si="74"/>
        <v>4829.0355699298316</v>
      </c>
      <c r="N79" s="39">
        <f t="shared" si="74"/>
        <v>4859.0179736691471</v>
      </c>
      <c r="O79" s="39">
        <f t="shared" si="74"/>
        <v>4889.0511299174177</v>
      </c>
      <c r="P79" s="39">
        <f t="shared" si="74"/>
        <v>4899.2526335591238</v>
      </c>
      <c r="Q79" s="39">
        <f t="shared" si="74"/>
        <v>5022.9185573205132</v>
      </c>
      <c r="R79" s="39">
        <f t="shared" si="74"/>
        <v>5086.502231165272</v>
      </c>
      <c r="S79" s="39">
        <f t="shared" si="74"/>
        <v>5203.0439211647144</v>
      </c>
      <c r="T79" s="39">
        <f t="shared" si="74"/>
        <v>5278.2402407667132</v>
      </c>
      <c r="U79" s="39">
        <f t="shared" si="74"/>
        <v>5257.7759698864675</v>
      </c>
      <c r="V79" s="39">
        <f t="shared" si="74"/>
        <v>5256.1520933679139</v>
      </c>
      <c r="W79" s="39">
        <f t="shared" ref="W79:Y79" si="75">IF(W17=0,0,W17*1000000/W27)</f>
        <v>5169.4436990027198</v>
      </c>
      <c r="X79" s="39">
        <f t="shared" si="75"/>
        <v>5256.0518918918915</v>
      </c>
      <c r="Y79" s="39">
        <f t="shared" si="75"/>
        <v>5249.8714632174606</v>
      </c>
      <c r="DA79" s="198" t="s">
        <v>254</v>
      </c>
    </row>
    <row r="80" spans="1:105" ht="11.45" customHeight="1" x14ac:dyDescent="0.25">
      <c r="A80" s="12" t="s">
        <v>34</v>
      </c>
      <c r="B80" s="15">
        <f t="shared" si="65"/>
        <v>800.6756447633943</v>
      </c>
      <c r="C80" s="15">
        <f t="shared" si="65"/>
        <v>797.89329712215999</v>
      </c>
      <c r="D80" s="15">
        <f t="shared" ref="D80:V80" si="76">IF(D18=0,0,D18*1000000/D28)</f>
        <v>912.32004217004032</v>
      </c>
      <c r="E80" s="15">
        <f t="shared" si="76"/>
        <v>982.82797320942097</v>
      </c>
      <c r="F80" s="15">
        <f t="shared" si="76"/>
        <v>1025.0896203668337</v>
      </c>
      <c r="G80" s="15">
        <f t="shared" si="76"/>
        <v>901.97055087896319</v>
      </c>
      <c r="H80" s="15">
        <f t="shared" si="76"/>
        <v>951.69963220859347</v>
      </c>
      <c r="I80" s="15">
        <f t="shared" si="76"/>
        <v>1083.2403790165242</v>
      </c>
      <c r="J80" s="15">
        <f t="shared" si="76"/>
        <v>1133.8415112283876</v>
      </c>
      <c r="K80" s="15">
        <f t="shared" si="76"/>
        <v>980.66121275260548</v>
      </c>
      <c r="L80" s="15">
        <f t="shared" si="76"/>
        <v>1106.0841362644583</v>
      </c>
      <c r="M80" s="15">
        <f t="shared" si="76"/>
        <v>1124.7693139605094</v>
      </c>
      <c r="N80" s="15">
        <f t="shared" si="76"/>
        <v>1279.5575382080779</v>
      </c>
      <c r="O80" s="15">
        <f t="shared" si="76"/>
        <v>1329.8769629046053</v>
      </c>
      <c r="P80" s="15">
        <f t="shared" si="76"/>
        <v>1425.5898359942814</v>
      </c>
      <c r="Q80" s="15">
        <f t="shared" si="76"/>
        <v>1541.1718046568008</v>
      </c>
      <c r="R80" s="15">
        <f t="shared" si="76"/>
        <v>1623.9804516774445</v>
      </c>
      <c r="S80" s="15">
        <f t="shared" si="76"/>
        <v>1833.2516312203977</v>
      </c>
      <c r="T80" s="15">
        <f t="shared" si="76"/>
        <v>1699.5726173190931</v>
      </c>
      <c r="U80" s="15">
        <f t="shared" si="76"/>
        <v>1592.8717767757748</v>
      </c>
      <c r="V80" s="15">
        <f t="shared" si="76"/>
        <v>1595.2728538956837</v>
      </c>
      <c r="W80" s="15">
        <f t="shared" ref="W80:Y80" si="77">IF(W18=0,0,W18*1000000/W28)</f>
        <v>1706.0404814616575</v>
      </c>
      <c r="X80" s="15">
        <f t="shared" si="77"/>
        <v>1996.1549854784669</v>
      </c>
      <c r="Y80" s="15">
        <f t="shared" si="77"/>
        <v>1887.6412169637599</v>
      </c>
      <c r="DA80" s="193" t="s">
        <v>255</v>
      </c>
    </row>
    <row r="81" spans="1:105" ht="11.45" customHeight="1" x14ac:dyDescent="0.25">
      <c r="A81" s="42" t="s">
        <v>27</v>
      </c>
      <c r="B81" s="41">
        <f t="shared" si="65"/>
        <v>184.07649463842205</v>
      </c>
      <c r="C81" s="41">
        <f t="shared" si="65"/>
        <v>184.07649463842205</v>
      </c>
      <c r="D81" s="41">
        <f t="shared" ref="D81:V81" si="78">IF(D19=0,0,D19*1000000/D29)</f>
        <v>184.07649463842205</v>
      </c>
      <c r="E81" s="41">
        <f t="shared" si="78"/>
        <v>184.07649463842205</v>
      </c>
      <c r="F81" s="41">
        <f t="shared" si="78"/>
        <v>184.07649463842205</v>
      </c>
      <c r="G81" s="41">
        <f t="shared" si="78"/>
        <v>184.33870967741936</v>
      </c>
      <c r="H81" s="41">
        <f t="shared" si="78"/>
        <v>199.5599656939352</v>
      </c>
      <c r="I81" s="41">
        <f t="shared" si="78"/>
        <v>218.21168114245916</v>
      </c>
      <c r="J81" s="41">
        <f t="shared" si="78"/>
        <v>213.24558278165108</v>
      </c>
      <c r="K81" s="41">
        <f t="shared" si="78"/>
        <v>213.28923905667025</v>
      </c>
      <c r="L81" s="41">
        <f t="shared" si="78"/>
        <v>203.27630180658875</v>
      </c>
      <c r="M81" s="41">
        <f t="shared" si="78"/>
        <v>172.34364834686491</v>
      </c>
      <c r="N81" s="41">
        <f t="shared" si="78"/>
        <v>183.77812828601472</v>
      </c>
      <c r="O81" s="41">
        <f t="shared" si="78"/>
        <v>194.91800699073522</v>
      </c>
      <c r="P81" s="41">
        <f t="shared" si="78"/>
        <v>201.47449168671795</v>
      </c>
      <c r="Q81" s="41">
        <f t="shared" si="78"/>
        <v>219.83954386885608</v>
      </c>
      <c r="R81" s="41">
        <f t="shared" si="78"/>
        <v>233.56015170323246</v>
      </c>
      <c r="S81" s="41">
        <f t="shared" si="78"/>
        <v>246.82141408941902</v>
      </c>
      <c r="T81" s="41">
        <f t="shared" si="78"/>
        <v>246.68196721311472</v>
      </c>
      <c r="U81" s="41">
        <f t="shared" si="78"/>
        <v>246.57096774193553</v>
      </c>
      <c r="V81" s="41">
        <f t="shared" si="78"/>
        <v>230.91935483870967</v>
      </c>
      <c r="W81" s="41">
        <f t="shared" ref="W81:Y81" si="79">IF(W19=0,0,W19*1000000/W29)</f>
        <v>243.03653585926929</v>
      </c>
      <c r="X81" s="41">
        <f t="shared" si="79"/>
        <v>244.78954423592492</v>
      </c>
      <c r="Y81" s="41">
        <f t="shared" si="79"/>
        <v>242.75384615384615</v>
      </c>
      <c r="DA81" s="196" t="s">
        <v>256</v>
      </c>
    </row>
    <row r="82" spans="1:105" ht="11.45" customHeight="1" x14ac:dyDescent="0.25">
      <c r="A82" s="42" t="s">
        <v>181</v>
      </c>
      <c r="B82" s="41">
        <f t="shared" si="65"/>
        <v>665.45977697969977</v>
      </c>
      <c r="C82" s="41">
        <f t="shared" si="65"/>
        <v>665.5990885688401</v>
      </c>
      <c r="D82" s="41">
        <f t="shared" ref="D82:V82" si="80">IF(D20=0,0,D20*1000000/D30)</f>
        <v>665.93989526668247</v>
      </c>
      <c r="E82" s="41">
        <f t="shared" si="80"/>
        <v>665.96191355707947</v>
      </c>
      <c r="F82" s="41">
        <f t="shared" si="80"/>
        <v>662.96448885365328</v>
      </c>
      <c r="G82" s="41">
        <f t="shared" si="80"/>
        <v>703.83938848297964</v>
      </c>
      <c r="H82" s="41">
        <f t="shared" si="80"/>
        <v>790.88125752402266</v>
      </c>
      <c r="I82" s="41">
        <f t="shared" si="80"/>
        <v>818.33774830129084</v>
      </c>
      <c r="J82" s="41">
        <f t="shared" si="80"/>
        <v>856.67731428706429</v>
      </c>
      <c r="K82" s="41">
        <f t="shared" si="80"/>
        <v>821.30652875033729</v>
      </c>
      <c r="L82" s="41">
        <f t="shared" si="80"/>
        <v>856.73982726573377</v>
      </c>
      <c r="M82" s="41">
        <f t="shared" si="80"/>
        <v>859.859092571514</v>
      </c>
      <c r="N82" s="41">
        <f t="shared" si="80"/>
        <v>849.81586914605884</v>
      </c>
      <c r="O82" s="41">
        <f t="shared" si="80"/>
        <v>793.39274830206023</v>
      </c>
      <c r="P82" s="41">
        <f t="shared" si="80"/>
        <v>830.73589418938695</v>
      </c>
      <c r="Q82" s="41">
        <f t="shared" si="80"/>
        <v>834.39475909845089</v>
      </c>
      <c r="R82" s="41">
        <f t="shared" si="80"/>
        <v>853.42412837727625</v>
      </c>
      <c r="S82" s="41">
        <f t="shared" si="80"/>
        <v>819.71551434689025</v>
      </c>
      <c r="T82" s="41">
        <f t="shared" si="80"/>
        <v>855.18356527715298</v>
      </c>
      <c r="U82" s="41">
        <f t="shared" si="80"/>
        <v>795.48004636848816</v>
      </c>
      <c r="V82" s="41">
        <f t="shared" si="80"/>
        <v>782.52376728258321</v>
      </c>
      <c r="W82" s="41">
        <f t="shared" ref="W82:Y82" si="81">IF(W20=0,0,W20*1000000/W30)</f>
        <v>912.50533076616807</v>
      </c>
      <c r="X82" s="41">
        <f t="shared" si="81"/>
        <v>885.19010574787876</v>
      </c>
      <c r="Y82" s="41">
        <f t="shared" si="81"/>
        <v>928.24904009444242</v>
      </c>
      <c r="DA82" s="196" t="s">
        <v>257</v>
      </c>
    </row>
    <row r="83" spans="1:105" ht="11.45" customHeight="1" x14ac:dyDescent="0.25">
      <c r="A83" s="38" t="s">
        <v>182</v>
      </c>
      <c r="B83" s="40">
        <f t="shared" si="65"/>
        <v>5466.374682638093</v>
      </c>
      <c r="C83" s="40">
        <f t="shared" si="65"/>
        <v>5466.374682638093</v>
      </c>
      <c r="D83" s="40">
        <f t="shared" ref="D83:V83" si="82">IF(D21=0,0,D21*1000000/D31)</f>
        <v>5466.374682638093</v>
      </c>
      <c r="E83" s="40">
        <f t="shared" si="82"/>
        <v>5466.374682638093</v>
      </c>
      <c r="F83" s="40">
        <f t="shared" si="82"/>
        <v>5466.374682638093</v>
      </c>
      <c r="G83" s="40">
        <f t="shared" si="82"/>
        <v>5632.9581881533104</v>
      </c>
      <c r="H83" s="40">
        <f t="shared" si="82"/>
        <v>5568.4313632070553</v>
      </c>
      <c r="I83" s="40">
        <f t="shared" si="82"/>
        <v>5435.8269003822088</v>
      </c>
      <c r="J83" s="40">
        <f t="shared" si="82"/>
        <v>5246.8538860410526</v>
      </c>
      <c r="K83" s="40">
        <f t="shared" si="82"/>
        <v>4875.6686261281984</v>
      </c>
      <c r="L83" s="40">
        <f t="shared" si="82"/>
        <v>4550.3873873873872</v>
      </c>
      <c r="M83" s="40">
        <f t="shared" si="82"/>
        <v>4822.4429781665058</v>
      </c>
      <c r="N83" s="40">
        <f t="shared" si="82"/>
        <v>5057.6842105263158</v>
      </c>
      <c r="O83" s="40">
        <f t="shared" si="82"/>
        <v>5105.2654099776255</v>
      </c>
      <c r="P83" s="40">
        <f t="shared" si="82"/>
        <v>5133.0149568223678</v>
      </c>
      <c r="Q83" s="40">
        <f t="shared" si="82"/>
        <v>5274.2289237867944</v>
      </c>
      <c r="R83" s="40">
        <f t="shared" si="82"/>
        <v>5355.3606408345904</v>
      </c>
      <c r="S83" s="40">
        <f t="shared" si="82"/>
        <v>5489.4503740370683</v>
      </c>
      <c r="T83" s="40">
        <f t="shared" si="82"/>
        <v>5582.1947368421052</v>
      </c>
      <c r="U83" s="40">
        <f t="shared" si="82"/>
        <v>5666.7906976744189</v>
      </c>
      <c r="V83" s="40">
        <f t="shared" si="82"/>
        <v>5657.1121951219502</v>
      </c>
      <c r="W83" s="40">
        <f t="shared" ref="W83:Y83" si="83">IF(W21=0,0,W21*1000000/W31)</f>
        <v>5692.9639175257735</v>
      </c>
      <c r="X83" s="40">
        <f t="shared" si="83"/>
        <v>5782.818181818182</v>
      </c>
      <c r="Y83" s="40">
        <f t="shared" si="83"/>
        <v>5691.141818181819</v>
      </c>
      <c r="DA83" s="197" t="s">
        <v>258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130982.98185677247</v>
      </c>
      <c r="C86" s="11">
        <f t="shared" si="84"/>
        <v>132751.37294382509</v>
      </c>
      <c r="D86" s="11">
        <f t="shared" ref="D86:V86" si="85">IF(D4=0,0,D4*1000000/D24)</f>
        <v>133916.24853578562</v>
      </c>
      <c r="E86" s="11">
        <f t="shared" si="85"/>
        <v>128466.43224950778</v>
      </c>
      <c r="F86" s="11">
        <f t="shared" si="85"/>
        <v>137686.35445074036</v>
      </c>
      <c r="G86" s="11">
        <f t="shared" si="85"/>
        <v>143664.50767484639</v>
      </c>
      <c r="H86" s="11">
        <f t="shared" si="85"/>
        <v>160480.66260793625</v>
      </c>
      <c r="I86" s="11">
        <f t="shared" si="85"/>
        <v>167401.40919524219</v>
      </c>
      <c r="J86" s="11">
        <f t="shared" si="85"/>
        <v>162815.26859713378</v>
      </c>
      <c r="K86" s="11">
        <f t="shared" si="85"/>
        <v>169200.26146817318</v>
      </c>
      <c r="L86" s="11">
        <f t="shared" si="85"/>
        <v>167841.82341593324</v>
      </c>
      <c r="M86" s="11">
        <f t="shared" si="85"/>
        <v>174020.64641102898</v>
      </c>
      <c r="N86" s="11">
        <f t="shared" si="85"/>
        <v>185437.98882392724</v>
      </c>
      <c r="O86" s="11">
        <f t="shared" si="85"/>
        <v>196153.25139903478</v>
      </c>
      <c r="P86" s="11">
        <f t="shared" si="85"/>
        <v>198830.01776374452</v>
      </c>
      <c r="Q86" s="11">
        <f t="shared" si="85"/>
        <v>214285.37109409465</v>
      </c>
      <c r="R86" s="11">
        <f t="shared" si="85"/>
        <v>219075.92682919657</v>
      </c>
      <c r="S86" s="11">
        <f t="shared" si="85"/>
        <v>235656.15491678208</v>
      </c>
      <c r="T86" s="11">
        <f t="shared" si="85"/>
        <v>248070.77201739515</v>
      </c>
      <c r="U86" s="11">
        <f t="shared" si="85"/>
        <v>253045.7126650431</v>
      </c>
      <c r="V86" s="11">
        <f t="shared" si="85"/>
        <v>154851.40407351116</v>
      </c>
      <c r="W86" s="11">
        <f t="shared" ref="W86:Y86" si="86">IF(W4=0,0,W4*1000000/W24)</f>
        <v>184828.26872166991</v>
      </c>
      <c r="X86" s="11">
        <f t="shared" si="86"/>
        <v>255410.61649893998</v>
      </c>
      <c r="Y86" s="11">
        <f t="shared" si="86"/>
        <v>266774.05380821344</v>
      </c>
      <c r="DA86" s="189" t="s">
        <v>259</v>
      </c>
    </row>
    <row r="87" spans="1:105" ht="11.45" customHeight="1" x14ac:dyDescent="0.25">
      <c r="A87" s="37" t="s">
        <v>27</v>
      </c>
      <c r="B87" s="36">
        <f t="shared" si="84"/>
        <v>17124.328943093416</v>
      </c>
      <c r="C87" s="36">
        <f t="shared" si="84"/>
        <v>16698.557476384067</v>
      </c>
      <c r="D87" s="36">
        <f t="shared" ref="D87:V87" si="87">IF(D5=0,0,D5*1000000/D25)</f>
        <v>15996.601758414492</v>
      </c>
      <c r="E87" s="36">
        <f t="shared" si="87"/>
        <v>15264.735643933551</v>
      </c>
      <c r="F87" s="36">
        <f t="shared" si="87"/>
        <v>16464.961066821343</v>
      </c>
      <c r="G87" s="36">
        <f t="shared" si="87"/>
        <v>15694.875942758708</v>
      </c>
      <c r="H87" s="36">
        <f t="shared" si="87"/>
        <v>19704.7546358951</v>
      </c>
      <c r="I87" s="36">
        <f t="shared" si="87"/>
        <v>17992.302798621433</v>
      </c>
      <c r="J87" s="36">
        <f t="shared" si="87"/>
        <v>16453.503867796109</v>
      </c>
      <c r="K87" s="36">
        <f t="shared" si="87"/>
        <v>14636.123086570815</v>
      </c>
      <c r="L87" s="36">
        <f t="shared" si="87"/>
        <v>9992.5907298900838</v>
      </c>
      <c r="M87" s="36">
        <f t="shared" si="87"/>
        <v>6102.1712984114138</v>
      </c>
      <c r="N87" s="36">
        <f t="shared" si="87"/>
        <v>5743.4025516125112</v>
      </c>
      <c r="O87" s="36">
        <f t="shared" si="87"/>
        <v>7149.5893035218915</v>
      </c>
      <c r="P87" s="36">
        <f t="shared" si="87"/>
        <v>6773.2430136613393</v>
      </c>
      <c r="Q87" s="36">
        <f t="shared" si="87"/>
        <v>8199.8189283642314</v>
      </c>
      <c r="R87" s="36">
        <f t="shared" si="87"/>
        <v>8893.1268838948436</v>
      </c>
      <c r="S87" s="36">
        <f t="shared" si="87"/>
        <v>9436.1116968872957</v>
      </c>
      <c r="T87" s="36">
        <f t="shared" si="87"/>
        <v>10825.165152760161</v>
      </c>
      <c r="U87" s="36">
        <f t="shared" si="87"/>
        <v>10389.884725190628</v>
      </c>
      <c r="V87" s="36">
        <f t="shared" si="87"/>
        <v>3250.5273141729276</v>
      </c>
      <c r="W87" s="36">
        <f t="shared" ref="W87:Y87" si="88">IF(W5=0,0,W5*1000000/W25)</f>
        <v>5017.0995334082581</v>
      </c>
      <c r="X87" s="36">
        <f t="shared" si="88"/>
        <v>14607.252406778671</v>
      </c>
      <c r="Y87" s="36">
        <f t="shared" si="88"/>
        <v>17512.538654111948</v>
      </c>
      <c r="DA87" s="198" t="s">
        <v>260</v>
      </c>
    </row>
    <row r="88" spans="1:105" ht="11.45" customHeight="1" x14ac:dyDescent="0.25">
      <c r="A88" s="37" t="s">
        <v>181</v>
      </c>
      <c r="B88" s="36">
        <f t="shared" si="84"/>
        <v>98379.008783300116</v>
      </c>
      <c r="C88" s="36">
        <f t="shared" si="84"/>
        <v>102668.88175004316</v>
      </c>
      <c r="D88" s="36">
        <f t="shared" ref="D88:V88" si="89">IF(D6=0,0,D6*1000000/D26)</f>
        <v>105338.3908775399</v>
      </c>
      <c r="E88" s="36">
        <f t="shared" si="89"/>
        <v>107879.28339707032</v>
      </c>
      <c r="F88" s="36">
        <f t="shared" si="89"/>
        <v>114095.49062763972</v>
      </c>
      <c r="G88" s="36">
        <f t="shared" si="89"/>
        <v>123651.36867065703</v>
      </c>
      <c r="H88" s="36">
        <f t="shared" si="89"/>
        <v>138040.94810592293</v>
      </c>
      <c r="I88" s="36">
        <f t="shared" si="89"/>
        <v>143708.17869276303</v>
      </c>
      <c r="J88" s="36">
        <f t="shared" si="89"/>
        <v>133869.76933119964</v>
      </c>
      <c r="K88" s="36">
        <f t="shared" si="89"/>
        <v>136719.86577427879</v>
      </c>
      <c r="L88" s="36">
        <f t="shared" si="89"/>
        <v>133212.1762809217</v>
      </c>
      <c r="M88" s="36">
        <f t="shared" si="89"/>
        <v>130511.37097728862</v>
      </c>
      <c r="N88" s="36">
        <f t="shared" si="89"/>
        <v>130581.42322133345</v>
      </c>
      <c r="O88" s="36">
        <f t="shared" si="89"/>
        <v>132483.54000261685</v>
      </c>
      <c r="P88" s="36">
        <f t="shared" si="89"/>
        <v>129348.38746155826</v>
      </c>
      <c r="Q88" s="36">
        <f t="shared" si="89"/>
        <v>136979.77524393378</v>
      </c>
      <c r="R88" s="36">
        <f t="shared" si="89"/>
        <v>140896.09340214421</v>
      </c>
      <c r="S88" s="36">
        <f t="shared" si="89"/>
        <v>146717.88539517997</v>
      </c>
      <c r="T88" s="36">
        <f t="shared" si="89"/>
        <v>148456.34494935142</v>
      </c>
      <c r="U88" s="36">
        <f t="shared" si="89"/>
        <v>153132.88652615211</v>
      </c>
      <c r="V88" s="36">
        <f t="shared" si="89"/>
        <v>110026.97448873003</v>
      </c>
      <c r="W88" s="36">
        <f t="shared" ref="W88:Y88" si="90">IF(W6=0,0,W6*1000000/W26)</f>
        <v>146074.64448388209</v>
      </c>
      <c r="X88" s="36">
        <f t="shared" si="90"/>
        <v>162351.80942077364</v>
      </c>
      <c r="Y88" s="36">
        <f t="shared" si="90"/>
        <v>164418.9152187999</v>
      </c>
      <c r="DA88" s="198" t="s">
        <v>261</v>
      </c>
    </row>
    <row r="89" spans="1:105" ht="11.45" customHeight="1" x14ac:dyDescent="0.25">
      <c r="A89" s="37" t="s">
        <v>182</v>
      </c>
      <c r="B89" s="36">
        <f t="shared" si="84"/>
        <v>885621.79955686477</v>
      </c>
      <c r="C89" s="36">
        <f t="shared" si="84"/>
        <v>843910.05340997735</v>
      </c>
      <c r="D89" s="36">
        <f t="shared" ref="D89:V89" si="91">IF(D7=0,0,D7*1000000/D27)</f>
        <v>838233.00279045559</v>
      </c>
      <c r="E89" s="36">
        <f t="shared" si="91"/>
        <v>854697.63017085043</v>
      </c>
      <c r="F89" s="36">
        <f t="shared" si="91"/>
        <v>909476.90198712714</v>
      </c>
      <c r="G89" s="36">
        <f t="shared" si="91"/>
        <v>822114.35861303064</v>
      </c>
      <c r="H89" s="36">
        <f t="shared" si="91"/>
        <v>779729.7696752497</v>
      </c>
      <c r="I89" s="36">
        <f t="shared" si="91"/>
        <v>695146.84810800583</v>
      </c>
      <c r="J89" s="36">
        <f t="shared" si="91"/>
        <v>805894.00793500443</v>
      </c>
      <c r="K89" s="36">
        <f t="shared" si="91"/>
        <v>872787.62214374333</v>
      </c>
      <c r="L89" s="36">
        <f t="shared" si="91"/>
        <v>809679.4461705049</v>
      </c>
      <c r="M89" s="36">
        <f t="shared" si="91"/>
        <v>774099.70199291303</v>
      </c>
      <c r="N89" s="36">
        <f t="shared" si="91"/>
        <v>947310.13750590256</v>
      </c>
      <c r="O89" s="36">
        <f t="shared" si="91"/>
        <v>1045153.4357687861</v>
      </c>
      <c r="P89" s="36">
        <f t="shared" si="91"/>
        <v>1016068.3402369568</v>
      </c>
      <c r="Q89" s="36">
        <f t="shared" si="91"/>
        <v>1034325.374544353</v>
      </c>
      <c r="R89" s="36">
        <f t="shared" si="91"/>
        <v>1085337.1568324626</v>
      </c>
      <c r="S89" s="36">
        <f t="shared" si="91"/>
        <v>1075674.3852752224</v>
      </c>
      <c r="T89" s="36">
        <f t="shared" si="91"/>
        <v>1093856.2732385825</v>
      </c>
      <c r="U89" s="36">
        <f t="shared" si="91"/>
        <v>1155064.2161201155</v>
      </c>
      <c r="V89" s="36">
        <f t="shared" si="91"/>
        <v>681322.40264716686</v>
      </c>
      <c r="W89" s="36">
        <f t="shared" ref="W89:Y89" si="92">IF(W7=0,0,W7*1000000/W27)</f>
        <v>622272.91534972272</v>
      </c>
      <c r="X89" s="36">
        <f t="shared" si="92"/>
        <v>1098291.8835572395</v>
      </c>
      <c r="Y89" s="36">
        <f t="shared" si="92"/>
        <v>1151190.2965632596</v>
      </c>
      <c r="DA89" s="198" t="s">
        <v>262</v>
      </c>
    </row>
    <row r="90" spans="1:105" ht="11.45" customHeight="1" x14ac:dyDescent="0.25">
      <c r="A90" s="12" t="s">
        <v>88</v>
      </c>
      <c r="B90" s="13">
        <f t="shared" si="84"/>
        <v>32193.922283265223</v>
      </c>
      <c r="C90" s="13">
        <f t="shared" si="84"/>
        <v>33779.653246134854</v>
      </c>
      <c r="D90" s="13">
        <f t="shared" ref="D90:V90" si="93">IF(D8=0,0,D8*1000000/D28)</f>
        <v>39854.422025576867</v>
      </c>
      <c r="E90" s="13">
        <f t="shared" si="93"/>
        <v>41668.659969730143</v>
      </c>
      <c r="F90" s="13">
        <f t="shared" si="93"/>
        <v>44839.031180874197</v>
      </c>
      <c r="G90" s="13">
        <f t="shared" si="93"/>
        <v>33452.991070881493</v>
      </c>
      <c r="H90" s="13">
        <f t="shared" si="93"/>
        <v>32181.282832330846</v>
      </c>
      <c r="I90" s="13">
        <f t="shared" si="93"/>
        <v>37360.087463080388</v>
      </c>
      <c r="J90" s="13">
        <f t="shared" si="93"/>
        <v>37819.674073281967</v>
      </c>
      <c r="K90" s="13">
        <f t="shared" si="93"/>
        <v>32851.977687285507</v>
      </c>
      <c r="L90" s="13">
        <f t="shared" si="93"/>
        <v>40929.79252893872</v>
      </c>
      <c r="M90" s="13">
        <f t="shared" si="93"/>
        <v>42801.084638797634</v>
      </c>
      <c r="N90" s="13">
        <f t="shared" si="93"/>
        <v>57716.280600042257</v>
      </c>
      <c r="O90" s="13">
        <f t="shared" si="93"/>
        <v>63034.773097351128</v>
      </c>
      <c r="P90" s="13">
        <f t="shared" si="93"/>
        <v>77746.026527904294</v>
      </c>
      <c r="Q90" s="13">
        <f t="shared" si="93"/>
        <v>86412.780626070555</v>
      </c>
      <c r="R90" s="13">
        <f t="shared" si="93"/>
        <v>100222.52885149421</v>
      </c>
      <c r="S90" s="13">
        <f t="shared" si="93"/>
        <v>118137.04861153192</v>
      </c>
      <c r="T90" s="13">
        <f t="shared" si="93"/>
        <v>106370.16830610801</v>
      </c>
      <c r="U90" s="13">
        <f t="shared" si="93"/>
        <v>101833.2681836496</v>
      </c>
      <c r="V90" s="13">
        <f t="shared" si="93"/>
        <v>70726.998769132144</v>
      </c>
      <c r="W90" s="13">
        <f t="shared" ref="W90:Y90" si="94">IF(W8=0,0,W8*1000000/W28)</f>
        <v>75510.081002210383</v>
      </c>
      <c r="X90" s="13">
        <f t="shared" si="94"/>
        <v>104669.64775818372</v>
      </c>
      <c r="Y90" s="13">
        <f t="shared" si="94"/>
        <v>99206.088512423303</v>
      </c>
      <c r="DA90" s="193" t="s">
        <v>263</v>
      </c>
    </row>
    <row r="91" spans="1:105" ht="11.45" customHeight="1" x14ac:dyDescent="0.25">
      <c r="A91" s="42" t="s">
        <v>27</v>
      </c>
      <c r="B91" s="34">
        <f t="shared" si="84"/>
        <v>1974.0402462169504</v>
      </c>
      <c r="C91" s="34">
        <f t="shared" si="84"/>
        <v>1958.9857089974714</v>
      </c>
      <c r="D91" s="34">
        <f t="shared" ref="D91:V91" si="95">IF(D9=0,0,D9*1000000/D29)</f>
        <v>2014.4798941687893</v>
      </c>
      <c r="E91" s="34">
        <f t="shared" si="95"/>
        <v>2142.7881932261312</v>
      </c>
      <c r="F91" s="34">
        <f t="shared" si="95"/>
        <v>2017.7634446080592</v>
      </c>
      <c r="G91" s="34">
        <f t="shared" si="95"/>
        <v>1977.4640406520314</v>
      </c>
      <c r="H91" s="34">
        <f t="shared" si="95"/>
        <v>2059.1668487962602</v>
      </c>
      <c r="I91" s="34">
        <f t="shared" si="95"/>
        <v>2243.2650432893533</v>
      </c>
      <c r="J91" s="34">
        <f t="shared" si="95"/>
        <v>2109.1114538065344</v>
      </c>
      <c r="K91" s="34">
        <f t="shared" si="95"/>
        <v>2127.7640492936475</v>
      </c>
      <c r="L91" s="34">
        <f t="shared" si="95"/>
        <v>2168.9364075388426</v>
      </c>
      <c r="M91" s="34">
        <f t="shared" si="95"/>
        <v>1952.1802354232937</v>
      </c>
      <c r="N91" s="34">
        <f t="shared" si="95"/>
        <v>2051.0137659833099</v>
      </c>
      <c r="O91" s="34">
        <f t="shared" si="95"/>
        <v>2248.2758274565113</v>
      </c>
      <c r="P91" s="34">
        <f t="shared" si="95"/>
        <v>2600.9578400311771</v>
      </c>
      <c r="Q91" s="34">
        <f t="shared" si="95"/>
        <v>2899.5921528576682</v>
      </c>
      <c r="R91" s="34">
        <f t="shared" si="95"/>
        <v>3552.5735149369439</v>
      </c>
      <c r="S91" s="34">
        <f t="shared" si="95"/>
        <v>3448.1189604706183</v>
      </c>
      <c r="T91" s="34">
        <f t="shared" si="95"/>
        <v>3536.2699836829229</v>
      </c>
      <c r="U91" s="34">
        <f t="shared" si="95"/>
        <v>3921.5151132254473</v>
      </c>
      <c r="V91" s="34">
        <f t="shared" si="95"/>
        <v>3422.5615230564363</v>
      </c>
      <c r="W91" s="34">
        <f t="shared" ref="W91:Y91" si="96">IF(W9=0,0,W9*1000000/W29)</f>
        <v>3696.810430952934</v>
      </c>
      <c r="X91" s="34">
        <f t="shared" si="96"/>
        <v>3718.8229374495722</v>
      </c>
      <c r="Y91" s="34">
        <f t="shared" si="96"/>
        <v>3613.5571558532197</v>
      </c>
      <c r="DA91" s="196" t="s">
        <v>264</v>
      </c>
    </row>
    <row r="92" spans="1:105" ht="11.45" customHeight="1" x14ac:dyDescent="0.25">
      <c r="A92" s="42" t="s">
        <v>181</v>
      </c>
      <c r="B92" s="34">
        <f t="shared" si="84"/>
        <v>14498.786827766911</v>
      </c>
      <c r="C92" s="34">
        <f t="shared" si="84"/>
        <v>15531.220190018836</v>
      </c>
      <c r="D92" s="34">
        <f t="shared" ref="D92:V92" si="97">IF(D10=0,0,D10*1000000/D30)</f>
        <v>14614.552466632325</v>
      </c>
      <c r="E92" s="34">
        <f t="shared" si="97"/>
        <v>14805.44735588508</v>
      </c>
      <c r="F92" s="34">
        <f t="shared" si="97"/>
        <v>13159.912947526418</v>
      </c>
      <c r="G92" s="34">
        <f t="shared" si="97"/>
        <v>13879.94361092038</v>
      </c>
      <c r="H92" s="34">
        <f t="shared" si="97"/>
        <v>13918.777975739191</v>
      </c>
      <c r="I92" s="34">
        <f t="shared" si="97"/>
        <v>13979.127384394027</v>
      </c>
      <c r="J92" s="34">
        <f t="shared" si="97"/>
        <v>14306.222222551494</v>
      </c>
      <c r="K92" s="34">
        <f t="shared" si="97"/>
        <v>13813.800765871907</v>
      </c>
      <c r="L92" s="34">
        <f t="shared" si="97"/>
        <v>14998.195297717311</v>
      </c>
      <c r="M92" s="34">
        <f t="shared" si="97"/>
        <v>15761.50245422956</v>
      </c>
      <c r="N92" s="34">
        <f t="shared" si="97"/>
        <v>17048.458885515938</v>
      </c>
      <c r="O92" s="34">
        <f t="shared" si="97"/>
        <v>15537.85847527031</v>
      </c>
      <c r="P92" s="34">
        <f t="shared" si="97"/>
        <v>18234.980501784186</v>
      </c>
      <c r="Q92" s="34">
        <f t="shared" si="97"/>
        <v>17878.459304827738</v>
      </c>
      <c r="R92" s="34">
        <f t="shared" si="97"/>
        <v>20281.822096523923</v>
      </c>
      <c r="S92" s="34">
        <f t="shared" si="97"/>
        <v>17724.950072259304</v>
      </c>
      <c r="T92" s="34">
        <f t="shared" si="97"/>
        <v>18823.336911407983</v>
      </c>
      <c r="U92" s="34">
        <f t="shared" si="97"/>
        <v>18003.24206725465</v>
      </c>
      <c r="V92" s="34">
        <f t="shared" si="97"/>
        <v>15712.481769115404</v>
      </c>
      <c r="W92" s="34">
        <f t="shared" ref="W92:Y92" si="98">IF(W10=0,0,W10*1000000/W30)</f>
        <v>18844.313650620934</v>
      </c>
      <c r="X92" s="34">
        <f t="shared" si="98"/>
        <v>18198.905997370577</v>
      </c>
      <c r="Y92" s="34">
        <f t="shared" si="98"/>
        <v>19000.073862791494</v>
      </c>
      <c r="DA92" s="196" t="s">
        <v>265</v>
      </c>
    </row>
    <row r="93" spans="1:105" ht="11.45" customHeight="1" x14ac:dyDescent="0.25">
      <c r="A93" s="38" t="s">
        <v>182</v>
      </c>
      <c r="B93" s="35">
        <f t="shared" si="84"/>
        <v>365394.85243837349</v>
      </c>
      <c r="C93" s="35">
        <f t="shared" si="84"/>
        <v>382904.78298100986</v>
      </c>
      <c r="D93" s="35">
        <f t="shared" ref="D93:V93" si="99">IF(D11=0,0,D11*1000000/D31)</f>
        <v>361530.56706604484</v>
      </c>
      <c r="E93" s="35">
        <f t="shared" si="99"/>
        <v>328496.45603123307</v>
      </c>
      <c r="F93" s="35">
        <f t="shared" si="99"/>
        <v>318831.32860978774</v>
      </c>
      <c r="G93" s="35">
        <f t="shared" si="99"/>
        <v>308973.89707260206</v>
      </c>
      <c r="H93" s="35">
        <f t="shared" si="99"/>
        <v>295266.21214969619</v>
      </c>
      <c r="I93" s="35">
        <f t="shared" si="99"/>
        <v>283426.51640518912</v>
      </c>
      <c r="J93" s="35">
        <f t="shared" si="99"/>
        <v>268061.39715988591</v>
      </c>
      <c r="K93" s="35">
        <f t="shared" si="99"/>
        <v>280932.58403213113</v>
      </c>
      <c r="L93" s="35">
        <f t="shared" si="99"/>
        <v>266538.74927056674</v>
      </c>
      <c r="M93" s="35">
        <f t="shared" si="99"/>
        <v>295654.99132964551</v>
      </c>
      <c r="N93" s="35">
        <f t="shared" si="99"/>
        <v>335944.06718096946</v>
      </c>
      <c r="O93" s="35">
        <f t="shared" si="99"/>
        <v>344356.31456686044</v>
      </c>
      <c r="P93" s="35">
        <f t="shared" si="99"/>
        <v>403047.77740832628</v>
      </c>
      <c r="Q93" s="35">
        <f t="shared" si="99"/>
        <v>413245.16127443756</v>
      </c>
      <c r="R93" s="35">
        <f t="shared" si="99"/>
        <v>456189.40548600705</v>
      </c>
      <c r="S93" s="35">
        <f t="shared" si="99"/>
        <v>456430.83438483876</v>
      </c>
      <c r="T93" s="35">
        <f t="shared" si="99"/>
        <v>476076.39973925462</v>
      </c>
      <c r="U93" s="35">
        <f t="shared" si="99"/>
        <v>507992.16082463751</v>
      </c>
      <c r="V93" s="35">
        <f t="shared" si="99"/>
        <v>335030.31019284175</v>
      </c>
      <c r="W93" s="35">
        <f t="shared" ref="W93:Y93" si="100">IF(W11=0,0,W11*1000000/W31)</f>
        <v>339214.41040551563</v>
      </c>
      <c r="X93" s="35">
        <f t="shared" si="100"/>
        <v>388625.24291413213</v>
      </c>
      <c r="Y93" s="35">
        <f t="shared" si="100"/>
        <v>400894.50065433525</v>
      </c>
      <c r="DA93" s="197" t="s">
        <v>266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1400.1756640020676</v>
      </c>
      <c r="C95" s="62">
        <f t="shared" si="101"/>
        <v>1382.7214449912644</v>
      </c>
      <c r="D95" s="62">
        <f t="shared" ref="D95:V95" si="102">IF(D23=0,0,D23/D43)</f>
        <v>1370.2412864451608</v>
      </c>
      <c r="E95" s="62">
        <f t="shared" si="102"/>
        <v>1386.4863643354822</v>
      </c>
      <c r="F95" s="62">
        <f t="shared" si="102"/>
        <v>1382.8135274443118</v>
      </c>
      <c r="G95" s="62">
        <f t="shared" si="102"/>
        <v>1349.7476404704173</v>
      </c>
      <c r="H95" s="62">
        <f t="shared" si="102"/>
        <v>1274.0843278849729</v>
      </c>
      <c r="I95" s="62">
        <f t="shared" si="102"/>
        <v>1201.8346520629775</v>
      </c>
      <c r="J95" s="62">
        <f t="shared" si="102"/>
        <v>1212.2531566815392</v>
      </c>
      <c r="K95" s="62">
        <f t="shared" si="102"/>
        <v>1083.4049182442479</v>
      </c>
      <c r="L95" s="62">
        <f t="shared" si="102"/>
        <v>1042.945358027961</v>
      </c>
      <c r="M95" s="62">
        <f t="shared" si="102"/>
        <v>1073.031777091006</v>
      </c>
      <c r="N95" s="62">
        <f t="shared" si="102"/>
        <v>1084.3108728641935</v>
      </c>
      <c r="O95" s="62">
        <f t="shared" si="102"/>
        <v>1119.6581528520123</v>
      </c>
      <c r="P95" s="62">
        <f t="shared" si="102"/>
        <v>1119.5486758065599</v>
      </c>
      <c r="Q95" s="62">
        <f t="shared" si="102"/>
        <v>1098.0618540696935</v>
      </c>
      <c r="R95" s="62">
        <f t="shared" si="102"/>
        <v>1107.6777353442103</v>
      </c>
      <c r="S95" s="62">
        <f t="shared" si="102"/>
        <v>1063.4984095976999</v>
      </c>
      <c r="T95" s="62">
        <f t="shared" si="102"/>
        <v>1039.5301025242682</v>
      </c>
      <c r="U95" s="62">
        <f t="shared" si="102"/>
        <v>1043.8830826135643</v>
      </c>
      <c r="V95" s="62">
        <f t="shared" si="102"/>
        <v>370.76071790586354</v>
      </c>
      <c r="W95" s="62">
        <f t="shared" ref="W95:Y95" si="103">IF(W23=0,0,W23/W43)</f>
        <v>364.94938087154469</v>
      </c>
      <c r="X95" s="62">
        <f t="shared" si="103"/>
        <v>951.58373554398372</v>
      </c>
      <c r="Y95" s="62">
        <f t="shared" si="103"/>
        <v>1015.1022649362221</v>
      </c>
      <c r="DA95" s="172" t="s">
        <v>267</v>
      </c>
    </row>
    <row r="96" spans="1:105" ht="11.45" customHeight="1" x14ac:dyDescent="0.25">
      <c r="A96" s="10" t="s">
        <v>33</v>
      </c>
      <c r="B96" s="11">
        <f t="shared" ref="B96:C103" si="104">IF(B24=0,0,B24/B44)</f>
        <v>1407.0811419437794</v>
      </c>
      <c r="C96" s="11">
        <f t="shared" si="104"/>
        <v>1388.5859585697526</v>
      </c>
      <c r="D96" s="11">
        <f t="shared" ref="D96:V96" si="105">IF(D24=0,0,D24/D44)</f>
        <v>1379.550090551742</v>
      </c>
      <c r="E96" s="11">
        <f t="shared" si="105"/>
        <v>1394.7137913696358</v>
      </c>
      <c r="F96" s="11">
        <f t="shared" si="105"/>
        <v>1393.1326089622748</v>
      </c>
      <c r="G96" s="11">
        <f t="shared" si="105"/>
        <v>1359.2386282653292</v>
      </c>
      <c r="H96" s="11">
        <f t="shared" si="105"/>
        <v>1284.2148263896399</v>
      </c>
      <c r="I96" s="11">
        <f t="shared" si="105"/>
        <v>1212.4140642298196</v>
      </c>
      <c r="J96" s="11">
        <f t="shared" si="105"/>
        <v>1224.5207121680435</v>
      </c>
      <c r="K96" s="11">
        <f t="shared" si="105"/>
        <v>1093.092190638057</v>
      </c>
      <c r="L96" s="11">
        <f t="shared" si="105"/>
        <v>1049.8545543752932</v>
      </c>
      <c r="M96" s="11">
        <f t="shared" si="105"/>
        <v>1083.6710330990988</v>
      </c>
      <c r="N96" s="11">
        <f t="shared" si="105"/>
        <v>1096.5825518689298</v>
      </c>
      <c r="O96" s="11">
        <f t="shared" si="105"/>
        <v>1135.5645790669878</v>
      </c>
      <c r="P96" s="11">
        <f t="shared" si="105"/>
        <v>1135.7102117068173</v>
      </c>
      <c r="Q96" s="11">
        <f t="shared" si="105"/>
        <v>1113.5094970412274</v>
      </c>
      <c r="R96" s="11">
        <f t="shared" si="105"/>
        <v>1123.9317814509561</v>
      </c>
      <c r="S96" s="11">
        <f t="shared" si="105"/>
        <v>1078.7647235895054</v>
      </c>
      <c r="T96" s="11">
        <f t="shared" si="105"/>
        <v>1052.3169099821771</v>
      </c>
      <c r="U96" s="11">
        <f t="shared" si="105"/>
        <v>1057.8664272184058</v>
      </c>
      <c r="V96" s="11">
        <f t="shared" si="105"/>
        <v>360.62676993726194</v>
      </c>
      <c r="W96" s="11">
        <f t="shared" ref="W96:Y96" si="106">IF(W24=0,0,W24/W44)</f>
        <v>352.38900354563867</v>
      </c>
      <c r="X96" s="11">
        <f t="shared" si="106"/>
        <v>966.48074442705786</v>
      </c>
      <c r="Y96" s="11">
        <f t="shared" si="106"/>
        <v>1029.9613297153201</v>
      </c>
      <c r="DA96" s="189" t="s">
        <v>268</v>
      </c>
    </row>
    <row r="97" spans="1:105" ht="11.45" customHeight="1" x14ac:dyDescent="0.25">
      <c r="A97" s="37" t="s">
        <v>27</v>
      </c>
      <c r="B97" s="36">
        <f t="shared" si="104"/>
        <v>2545</v>
      </c>
      <c r="C97" s="36">
        <f t="shared" si="104"/>
        <v>2545</v>
      </c>
      <c r="D97" s="36">
        <f t="shared" ref="D97:V97" si="107">IF(D25=0,0,D25/D45)</f>
        <v>2545</v>
      </c>
      <c r="E97" s="36">
        <f t="shared" si="107"/>
        <v>2545</v>
      </c>
      <c r="F97" s="36">
        <f t="shared" si="107"/>
        <v>2545</v>
      </c>
      <c r="G97" s="36">
        <f t="shared" si="107"/>
        <v>2544</v>
      </c>
      <c r="H97" s="36">
        <f t="shared" si="107"/>
        <v>2521</v>
      </c>
      <c r="I97" s="36">
        <f t="shared" si="107"/>
        <v>2490</v>
      </c>
      <c r="J97" s="36">
        <f t="shared" si="107"/>
        <v>2510</v>
      </c>
      <c r="K97" s="36">
        <f t="shared" si="107"/>
        <v>2203.1917417139357</v>
      </c>
      <c r="L97" s="36">
        <f t="shared" si="107"/>
        <v>1883.8995566804308</v>
      </c>
      <c r="M97" s="36">
        <f t="shared" si="107"/>
        <v>928.42138903973137</v>
      </c>
      <c r="N97" s="36">
        <f t="shared" si="107"/>
        <v>564.43464368848561</v>
      </c>
      <c r="O97" s="36">
        <f t="shared" si="107"/>
        <v>626.82713665758388</v>
      </c>
      <c r="P97" s="36">
        <f t="shared" si="107"/>
        <v>726.29676609166768</v>
      </c>
      <c r="Q97" s="36">
        <f t="shared" si="107"/>
        <v>889.48674384982348</v>
      </c>
      <c r="R97" s="36">
        <f t="shared" si="107"/>
        <v>1167.7894148804432</v>
      </c>
      <c r="S97" s="36">
        <f t="shared" si="107"/>
        <v>1629.7086437594389</v>
      </c>
      <c r="T97" s="36">
        <f t="shared" si="107"/>
        <v>2485</v>
      </c>
      <c r="U97" s="36">
        <f t="shared" si="107"/>
        <v>2485</v>
      </c>
      <c r="V97" s="36">
        <f t="shared" si="107"/>
        <v>2505</v>
      </c>
      <c r="W97" s="36">
        <f t="shared" ref="W97:Y97" si="108">IF(W25=0,0,W25/W45)</f>
        <v>2493</v>
      </c>
      <c r="X97" s="36">
        <f t="shared" si="108"/>
        <v>2484</v>
      </c>
      <c r="Y97" s="36">
        <f t="shared" si="108"/>
        <v>2477</v>
      </c>
      <c r="DA97" s="198" t="s">
        <v>269</v>
      </c>
    </row>
    <row r="98" spans="1:105" ht="11.45" customHeight="1" x14ac:dyDescent="0.25">
      <c r="A98" s="37" t="s">
        <v>181</v>
      </c>
      <c r="B98" s="36">
        <f t="shared" si="104"/>
        <v>1538.8772702489118</v>
      </c>
      <c r="C98" s="36">
        <f t="shared" si="104"/>
        <v>1516.9654675420884</v>
      </c>
      <c r="D98" s="36">
        <f t="shared" ref="D98:V98" si="109">IF(D26=0,0,D26/D46)</f>
        <v>1501.0708761072535</v>
      </c>
      <c r="E98" s="36">
        <f t="shared" si="109"/>
        <v>1490.6045575668711</v>
      </c>
      <c r="F98" s="36">
        <f t="shared" si="109"/>
        <v>1477.3035813941319</v>
      </c>
      <c r="G98" s="36">
        <f t="shared" si="109"/>
        <v>1454.6688580566554</v>
      </c>
      <c r="H98" s="36">
        <f t="shared" si="109"/>
        <v>1409.6924000414483</v>
      </c>
      <c r="I98" s="36">
        <f t="shared" si="109"/>
        <v>1373.2433478159862</v>
      </c>
      <c r="J98" s="36">
        <f t="shared" si="109"/>
        <v>1384.0742232884338</v>
      </c>
      <c r="K98" s="36">
        <f t="shared" si="109"/>
        <v>1245.0396151503953</v>
      </c>
      <c r="L98" s="36">
        <f t="shared" si="109"/>
        <v>1210.2348120744534</v>
      </c>
      <c r="M98" s="36">
        <f t="shared" si="109"/>
        <v>1307.76822952978</v>
      </c>
      <c r="N98" s="36">
        <f t="shared" si="109"/>
        <v>1342.1519711861567</v>
      </c>
      <c r="O98" s="36">
        <f t="shared" si="109"/>
        <v>1395.7652440462493</v>
      </c>
      <c r="P98" s="36">
        <f t="shared" si="109"/>
        <v>1420.2137961383053</v>
      </c>
      <c r="Q98" s="36">
        <f t="shared" si="109"/>
        <v>1414.5708868535287</v>
      </c>
      <c r="R98" s="36">
        <f t="shared" si="109"/>
        <v>1408.6747297920922</v>
      </c>
      <c r="S98" s="36">
        <f t="shared" si="109"/>
        <v>1388.2472146698051</v>
      </c>
      <c r="T98" s="36">
        <f t="shared" si="109"/>
        <v>1381.3551018358392</v>
      </c>
      <c r="U98" s="36">
        <f t="shared" si="109"/>
        <v>1364.0319818314433</v>
      </c>
      <c r="V98" s="36">
        <f t="shared" si="109"/>
        <v>458.70985964482588</v>
      </c>
      <c r="W98" s="36">
        <f t="shared" ref="W98:Y98" si="110">IF(W26=0,0,W26/W46)</f>
        <v>447.71650205124649</v>
      </c>
      <c r="X98" s="36">
        <f t="shared" si="110"/>
        <v>1253.8881090528828</v>
      </c>
      <c r="Y98" s="36">
        <f t="shared" si="110"/>
        <v>1329.2738900361276</v>
      </c>
      <c r="DA98" s="198" t="s">
        <v>270</v>
      </c>
    </row>
    <row r="99" spans="1:105" ht="11.45" customHeight="1" x14ac:dyDescent="0.25">
      <c r="A99" s="37" t="s">
        <v>182</v>
      </c>
      <c r="B99" s="36">
        <f t="shared" si="104"/>
        <v>418</v>
      </c>
      <c r="C99" s="36">
        <f t="shared" si="104"/>
        <v>418</v>
      </c>
      <c r="D99" s="36">
        <f t="shared" ref="D99:V99" si="111">IF(D27=0,0,D27/D47)</f>
        <v>418</v>
      </c>
      <c r="E99" s="36">
        <f t="shared" si="111"/>
        <v>388.85787734116786</v>
      </c>
      <c r="F99" s="36">
        <f t="shared" si="111"/>
        <v>418</v>
      </c>
      <c r="G99" s="36">
        <f t="shared" si="111"/>
        <v>405</v>
      </c>
      <c r="H99" s="36">
        <f t="shared" si="111"/>
        <v>389</v>
      </c>
      <c r="I99" s="36">
        <f t="shared" si="111"/>
        <v>378</v>
      </c>
      <c r="J99" s="36">
        <f t="shared" si="111"/>
        <v>357.05499987648744</v>
      </c>
      <c r="K99" s="36">
        <f t="shared" si="111"/>
        <v>311.86884664137978</v>
      </c>
      <c r="L99" s="36">
        <f t="shared" si="111"/>
        <v>325.29259070321478</v>
      </c>
      <c r="M99" s="36">
        <f t="shared" si="111"/>
        <v>375</v>
      </c>
      <c r="N99" s="36">
        <f t="shared" si="111"/>
        <v>363.10127569034933</v>
      </c>
      <c r="O99" s="36">
        <f t="shared" si="111"/>
        <v>371</v>
      </c>
      <c r="P99" s="36">
        <f t="shared" si="111"/>
        <v>370</v>
      </c>
      <c r="Q99" s="36">
        <f t="shared" si="111"/>
        <v>362</v>
      </c>
      <c r="R99" s="36">
        <f t="shared" si="111"/>
        <v>359</v>
      </c>
      <c r="S99" s="36">
        <f t="shared" si="111"/>
        <v>351.99999999999994</v>
      </c>
      <c r="T99" s="36">
        <f t="shared" si="111"/>
        <v>348</v>
      </c>
      <c r="U99" s="36">
        <f t="shared" si="111"/>
        <v>349</v>
      </c>
      <c r="V99" s="36">
        <f t="shared" si="111"/>
        <v>100.66795280989844</v>
      </c>
      <c r="W99" s="36">
        <f t="shared" ref="W99:Y99" si="112">IF(W27=0,0,W27/W47)</f>
        <v>105.38963830682459</v>
      </c>
      <c r="X99" s="36">
        <f t="shared" si="112"/>
        <v>313.86200230678111</v>
      </c>
      <c r="Y99" s="36">
        <f t="shared" si="112"/>
        <v>349</v>
      </c>
      <c r="DA99" s="198" t="s">
        <v>271</v>
      </c>
    </row>
    <row r="100" spans="1:105" ht="11.45" customHeight="1" x14ac:dyDescent="0.25">
      <c r="A100" s="12" t="s">
        <v>34</v>
      </c>
      <c r="B100" s="13">
        <f t="shared" si="104"/>
        <v>1113.5055605783887</v>
      </c>
      <c r="C100" s="13">
        <f t="shared" si="104"/>
        <v>1114.8335765884287</v>
      </c>
      <c r="D100" s="13">
        <f t="shared" ref="D100:V100" si="113">IF(D28=0,0,D28/D48)</f>
        <v>911.51751116379012</v>
      </c>
      <c r="E100" s="13">
        <f t="shared" si="113"/>
        <v>957.0911545559519</v>
      </c>
      <c r="F100" s="13">
        <f t="shared" si="113"/>
        <v>992.94891782211619</v>
      </c>
      <c r="G100" s="13">
        <f t="shared" si="113"/>
        <v>1055.120385551503</v>
      </c>
      <c r="H100" s="13">
        <f t="shared" si="113"/>
        <v>1038.2661640591591</v>
      </c>
      <c r="I100" s="13">
        <f t="shared" si="113"/>
        <v>924.5407394173385</v>
      </c>
      <c r="J100" s="13">
        <f t="shared" si="113"/>
        <v>876.64808231287043</v>
      </c>
      <c r="K100" s="13">
        <f t="shared" si="113"/>
        <v>831.25433237500306</v>
      </c>
      <c r="L100" s="13">
        <f t="shared" si="113"/>
        <v>867.84145315442731</v>
      </c>
      <c r="M100" s="13">
        <f t="shared" si="113"/>
        <v>802.69989370123938</v>
      </c>
      <c r="N100" s="13">
        <f t="shared" si="113"/>
        <v>778.89451641696189</v>
      </c>
      <c r="O100" s="13">
        <f t="shared" si="113"/>
        <v>738.24980168629065</v>
      </c>
      <c r="P100" s="13">
        <f t="shared" si="113"/>
        <v>706.08695172424609</v>
      </c>
      <c r="Q100" s="13">
        <f t="shared" si="113"/>
        <v>698.03400241632528</v>
      </c>
      <c r="R100" s="13">
        <f t="shared" si="113"/>
        <v>634.03743995653622</v>
      </c>
      <c r="S100" s="13">
        <f t="shared" si="113"/>
        <v>638.55717134184692</v>
      </c>
      <c r="T100" s="13">
        <f t="shared" si="113"/>
        <v>643.9387428577279</v>
      </c>
      <c r="U100" s="13">
        <f t="shared" si="113"/>
        <v>595.4910488932735</v>
      </c>
      <c r="V100" s="13">
        <f t="shared" si="113"/>
        <v>667.75219121135979</v>
      </c>
      <c r="W100" s="13">
        <f t="shared" ref="W100:Y100" si="114">IF(W28=0,0,W28/W48)</f>
        <v>697.1701897789211</v>
      </c>
      <c r="X100" s="13">
        <f t="shared" si="114"/>
        <v>577.23206436108319</v>
      </c>
      <c r="Y100" s="13">
        <f t="shared" si="114"/>
        <v>608.2107234221387</v>
      </c>
      <c r="DA100" s="193" t="s">
        <v>272</v>
      </c>
    </row>
    <row r="101" spans="1:105" ht="11.45" customHeight="1" x14ac:dyDescent="0.25">
      <c r="A101" s="42" t="s">
        <v>27</v>
      </c>
      <c r="B101" s="34">
        <f t="shared" si="104"/>
        <v>1544</v>
      </c>
      <c r="C101" s="34">
        <f t="shared" si="104"/>
        <v>1544</v>
      </c>
      <c r="D101" s="34">
        <f t="shared" ref="D101:V101" si="115">IF(D29=0,0,D29/D49)</f>
        <v>1245.0306104600315</v>
      </c>
      <c r="E101" s="34">
        <f t="shared" si="115"/>
        <v>1369.3338588884508</v>
      </c>
      <c r="F101" s="34">
        <f t="shared" si="115"/>
        <v>1544</v>
      </c>
      <c r="G101" s="34">
        <f t="shared" si="115"/>
        <v>1544</v>
      </c>
      <c r="H101" s="34">
        <f t="shared" si="115"/>
        <v>1531</v>
      </c>
      <c r="I101" s="34">
        <f t="shared" si="115"/>
        <v>1255.5548212218932</v>
      </c>
      <c r="J101" s="34">
        <f t="shared" si="115"/>
        <v>1051.3082361513416</v>
      </c>
      <c r="K101" s="34">
        <f t="shared" si="115"/>
        <v>1028.4129740643477</v>
      </c>
      <c r="L101" s="34">
        <f t="shared" si="115"/>
        <v>1009.9246117584817</v>
      </c>
      <c r="M101" s="34">
        <f t="shared" si="115"/>
        <v>794.6911299876997</v>
      </c>
      <c r="N101" s="34">
        <f t="shared" si="115"/>
        <v>755.77293265450805</v>
      </c>
      <c r="O101" s="34">
        <f t="shared" si="115"/>
        <v>681.72180086264268</v>
      </c>
      <c r="P101" s="34">
        <f t="shared" si="115"/>
        <v>522.17136574967276</v>
      </c>
      <c r="Q101" s="34">
        <f t="shared" si="115"/>
        <v>525.98212303740377</v>
      </c>
      <c r="R101" s="34">
        <f t="shared" si="115"/>
        <v>424.20831290054275</v>
      </c>
      <c r="S101" s="34">
        <f t="shared" si="115"/>
        <v>544.51303584538061</v>
      </c>
      <c r="T101" s="34">
        <f t="shared" si="115"/>
        <v>582.5846716446199</v>
      </c>
      <c r="U101" s="34">
        <f t="shared" si="115"/>
        <v>373.66206115484204</v>
      </c>
      <c r="V101" s="34">
        <f t="shared" si="115"/>
        <v>392.00684247908765</v>
      </c>
      <c r="W101" s="34">
        <f t="shared" ref="W101:Y101" si="116">IF(W29=0,0,W29/W49)</f>
        <v>724.14063525684332</v>
      </c>
      <c r="X101" s="34">
        <f t="shared" si="116"/>
        <v>396.737490308107</v>
      </c>
      <c r="Y101" s="34">
        <f t="shared" si="116"/>
        <v>503.52002739434329</v>
      </c>
      <c r="DA101" s="196" t="s">
        <v>273</v>
      </c>
    </row>
    <row r="102" spans="1:105" ht="11.45" customHeight="1" x14ac:dyDescent="0.25">
      <c r="A102" s="42" t="s">
        <v>181</v>
      </c>
      <c r="B102" s="34">
        <f t="shared" si="104"/>
        <v>1222.4879752823103</v>
      </c>
      <c r="C102" s="34">
        <f t="shared" si="104"/>
        <v>1222.4144132173117</v>
      </c>
      <c r="D102" s="34">
        <f t="shared" ref="D102:V102" si="117">IF(D30=0,0,D30/D50)</f>
        <v>1016.5865909455616</v>
      </c>
      <c r="E102" s="34">
        <f t="shared" si="117"/>
        <v>1133.524207539371</v>
      </c>
      <c r="F102" s="34">
        <f t="shared" si="117"/>
        <v>1222.8986803585231</v>
      </c>
      <c r="G102" s="34">
        <f t="shared" si="117"/>
        <v>1195.9007672024595</v>
      </c>
      <c r="H102" s="34">
        <f t="shared" si="117"/>
        <v>1156.1369600955513</v>
      </c>
      <c r="I102" s="34">
        <f t="shared" si="117"/>
        <v>1106.0961770274753</v>
      </c>
      <c r="J102" s="34">
        <f t="shared" si="117"/>
        <v>1118.4921848030801</v>
      </c>
      <c r="K102" s="34">
        <f t="shared" si="117"/>
        <v>1072.702195999826</v>
      </c>
      <c r="L102" s="34">
        <f t="shared" si="117"/>
        <v>1098.6320613641558</v>
      </c>
      <c r="M102" s="34">
        <f t="shared" si="117"/>
        <v>1108.6367503265451</v>
      </c>
      <c r="N102" s="34">
        <f t="shared" si="117"/>
        <v>1077.4850354752944</v>
      </c>
      <c r="O102" s="34">
        <f t="shared" si="117"/>
        <v>1040.8628386881521</v>
      </c>
      <c r="P102" s="34">
        <f t="shared" si="117"/>
        <v>1043.580821293597</v>
      </c>
      <c r="Q102" s="34">
        <f t="shared" si="117"/>
        <v>1064.3223902877955</v>
      </c>
      <c r="R102" s="34">
        <f t="shared" si="117"/>
        <v>987.80206811608014</v>
      </c>
      <c r="S102" s="34">
        <f t="shared" si="117"/>
        <v>1031.4246804464024</v>
      </c>
      <c r="T102" s="34">
        <f t="shared" si="117"/>
        <v>1099.127959691825</v>
      </c>
      <c r="U102" s="34">
        <f t="shared" si="117"/>
        <v>1090.5672889689884</v>
      </c>
      <c r="V102" s="34">
        <f t="shared" si="117"/>
        <v>1115.4664715703605</v>
      </c>
      <c r="W102" s="34">
        <f t="shared" ref="W102:Y102" si="118">IF(W30=0,0,W30/W50)</f>
        <v>997.09385776376678</v>
      </c>
      <c r="X102" s="34">
        <f t="shared" si="118"/>
        <v>861.10989096792048</v>
      </c>
      <c r="Y102" s="34">
        <f t="shared" si="118"/>
        <v>905.3284189407226</v>
      </c>
      <c r="DA102" s="196" t="s">
        <v>274</v>
      </c>
    </row>
    <row r="103" spans="1:105" ht="11.45" customHeight="1" x14ac:dyDescent="0.25">
      <c r="A103" s="38" t="s">
        <v>182</v>
      </c>
      <c r="B103" s="35">
        <f t="shared" si="104"/>
        <v>330</v>
      </c>
      <c r="C103" s="35">
        <f t="shared" si="104"/>
        <v>330</v>
      </c>
      <c r="D103" s="35">
        <f t="shared" ref="D103:V103" si="119">IF(D31=0,0,D31/D51)</f>
        <v>330</v>
      </c>
      <c r="E103" s="35">
        <f t="shared" si="119"/>
        <v>330</v>
      </c>
      <c r="F103" s="35">
        <f t="shared" si="119"/>
        <v>330</v>
      </c>
      <c r="G103" s="35">
        <f t="shared" si="119"/>
        <v>322</v>
      </c>
      <c r="H103" s="35">
        <f t="shared" si="119"/>
        <v>325.00000000000006</v>
      </c>
      <c r="I103" s="35">
        <f t="shared" si="119"/>
        <v>332</v>
      </c>
      <c r="J103" s="35">
        <f t="shared" si="119"/>
        <v>329.20256575701217</v>
      </c>
      <c r="K103" s="35">
        <f t="shared" si="119"/>
        <v>250.25697252107173</v>
      </c>
      <c r="L103" s="35">
        <f t="shared" si="119"/>
        <v>359.97937602361645</v>
      </c>
      <c r="M103" s="35">
        <f t="shared" si="119"/>
        <v>304.40649267849113</v>
      </c>
      <c r="N103" s="35">
        <f t="shared" si="119"/>
        <v>351</v>
      </c>
      <c r="O103" s="35">
        <f t="shared" si="119"/>
        <v>349</v>
      </c>
      <c r="P103" s="35">
        <f t="shared" si="119"/>
        <v>347</v>
      </c>
      <c r="Q103" s="35">
        <f t="shared" si="119"/>
        <v>340</v>
      </c>
      <c r="R103" s="35">
        <f t="shared" si="119"/>
        <v>319.01364764267987</v>
      </c>
      <c r="S103" s="35">
        <f t="shared" si="119"/>
        <v>329</v>
      </c>
      <c r="T103" s="35">
        <f t="shared" si="119"/>
        <v>274.92181494624447</v>
      </c>
      <c r="U103" s="35">
        <f t="shared" si="119"/>
        <v>226.48656774110421</v>
      </c>
      <c r="V103" s="35">
        <f t="shared" si="119"/>
        <v>275.83050939355326</v>
      </c>
      <c r="W103" s="35">
        <f t="shared" ref="W103:Y103" si="120">IF(W31=0,0,W31/W51)</f>
        <v>320</v>
      </c>
      <c r="X103" s="35">
        <f t="shared" si="120"/>
        <v>316</v>
      </c>
      <c r="Y103" s="35">
        <f t="shared" si="120"/>
        <v>303.84702466761621</v>
      </c>
      <c r="DA103" s="197" t="s">
        <v>275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:Y106" si="123">IF(W4=0,0,W4/W$4)</f>
        <v>1</v>
      </c>
      <c r="X106" s="16">
        <f t="shared" si="123"/>
        <v>1</v>
      </c>
      <c r="Y106" s="16">
        <f t="shared" si="123"/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1.9175925791506242E-2</v>
      </c>
      <c r="C107" s="43">
        <f t="shared" si="124"/>
        <v>1.8098019010976782E-2</v>
      </c>
      <c r="D107" s="43">
        <f t="shared" ref="D107:V107" si="125">IF(D5=0,0,D5/D$4)</f>
        <v>1.6395297585424986E-2</v>
      </c>
      <c r="E107" s="43">
        <f t="shared" si="125"/>
        <v>1.7653498042721004E-2</v>
      </c>
      <c r="F107" s="43">
        <f t="shared" si="125"/>
        <v>1.6258276101302378E-2</v>
      </c>
      <c r="G107" s="43">
        <f t="shared" si="125"/>
        <v>1.6043688390445981E-2</v>
      </c>
      <c r="H107" s="43">
        <f t="shared" si="125"/>
        <v>1.6968613125803653E-2</v>
      </c>
      <c r="I107" s="43">
        <f t="shared" si="125"/>
        <v>1.382928906474035E-2</v>
      </c>
      <c r="J107" s="43">
        <f t="shared" si="125"/>
        <v>1.1995486194694118E-2</v>
      </c>
      <c r="K107" s="43">
        <f t="shared" si="125"/>
        <v>9.822333804370054E-3</v>
      </c>
      <c r="L107" s="43">
        <f t="shared" si="125"/>
        <v>5.8262046907770195E-3</v>
      </c>
      <c r="M107" s="43">
        <f t="shared" si="125"/>
        <v>1.5232852062018539E-3</v>
      </c>
      <c r="N107" s="43">
        <f t="shared" si="125"/>
        <v>7.4119033799138409E-4</v>
      </c>
      <c r="O107" s="43">
        <f t="shared" si="125"/>
        <v>8.2707641939734156E-4</v>
      </c>
      <c r="P107" s="43">
        <f t="shared" si="125"/>
        <v>7.1009437452873852E-4</v>
      </c>
      <c r="Q107" s="43">
        <f t="shared" si="125"/>
        <v>7.5496697235842201E-4</v>
      </c>
      <c r="R107" s="43">
        <f t="shared" si="125"/>
        <v>7.4655440042610522E-4</v>
      </c>
      <c r="S107" s="43">
        <f t="shared" si="125"/>
        <v>7.0325783708826653E-4</v>
      </c>
      <c r="T107" s="43">
        <f t="shared" si="125"/>
        <v>7.3618257987014327E-4</v>
      </c>
      <c r="U107" s="43">
        <f t="shared" si="125"/>
        <v>6.7999724342109394E-4</v>
      </c>
      <c r="V107" s="43">
        <f t="shared" si="125"/>
        <v>9.7687607397705539E-4</v>
      </c>
      <c r="W107" s="43">
        <f t="shared" ref="W107:Y107" si="126">IF(W5=0,0,W5/W$4)</f>
        <v>1.1824072163783611E-3</v>
      </c>
      <c r="X107" s="43">
        <f t="shared" si="126"/>
        <v>1.0587162543212914E-3</v>
      </c>
      <c r="Y107" s="43">
        <f t="shared" si="126"/>
        <v>1.0814089641527982E-3</v>
      </c>
      <c r="DA107" s="199"/>
    </row>
    <row r="108" spans="1:105" ht="11.45" customHeight="1" x14ac:dyDescent="0.25">
      <c r="A108" s="37" t="s">
        <v>181</v>
      </c>
      <c r="B108" s="43">
        <f t="shared" ref="B108:C108" si="127">IF(B6=0,0,B6/B$4)</f>
        <v>0.59843995614013767</v>
      </c>
      <c r="C108" s="43">
        <f t="shared" si="127"/>
        <v>0.61782599346217626</v>
      </c>
      <c r="D108" s="43">
        <f t="shared" ref="D108:V108" si="128">IF(D6=0,0,D6/D$4)</f>
        <v>0.63480216933245115</v>
      </c>
      <c r="E108" s="43">
        <f t="shared" si="128"/>
        <v>0.67636489881923256</v>
      </c>
      <c r="F108" s="43">
        <f t="shared" si="128"/>
        <v>0.67759202565084364</v>
      </c>
      <c r="G108" s="43">
        <f t="shared" si="128"/>
        <v>0.69009756912707076</v>
      </c>
      <c r="H108" s="43">
        <f t="shared" si="128"/>
        <v>0.68929701533556897</v>
      </c>
      <c r="I108" s="43">
        <f t="shared" si="128"/>
        <v>0.68594041518793947</v>
      </c>
      <c r="J108" s="43">
        <f t="shared" si="128"/>
        <v>0.67215344407804556</v>
      </c>
      <c r="K108" s="43">
        <f t="shared" si="128"/>
        <v>0.66540856830119277</v>
      </c>
      <c r="L108" s="43">
        <f t="shared" si="128"/>
        <v>0.66122971349435677</v>
      </c>
      <c r="M108" s="43">
        <f t="shared" si="128"/>
        <v>0.66039743992837086</v>
      </c>
      <c r="N108" s="43">
        <f t="shared" si="128"/>
        <v>0.63745397425584116</v>
      </c>
      <c r="O108" s="43">
        <f t="shared" si="128"/>
        <v>0.61085989442340149</v>
      </c>
      <c r="P108" s="43">
        <f t="shared" si="128"/>
        <v>0.58413675982824487</v>
      </c>
      <c r="Q108" s="43">
        <f t="shared" si="128"/>
        <v>0.56974812159819688</v>
      </c>
      <c r="R108" s="43">
        <f t="shared" si="128"/>
        <v>0.57641887059601138</v>
      </c>
      <c r="S108" s="43">
        <f t="shared" si="128"/>
        <v>0.55043544291563562</v>
      </c>
      <c r="T108" s="43">
        <f t="shared" si="128"/>
        <v>0.52382123292679761</v>
      </c>
      <c r="U108" s="43">
        <f t="shared" si="128"/>
        <v>0.53336229987822736</v>
      </c>
      <c r="V108" s="43">
        <f t="shared" si="128"/>
        <v>0.61553710202444911</v>
      </c>
      <c r="W108" s="43">
        <f t="shared" ref="W108:Y108" si="129">IF(W6=0,0,W6/W$4)</f>
        <v>0.68138474670320415</v>
      </c>
      <c r="X108" s="43">
        <f t="shared" si="129"/>
        <v>0.55882408713503173</v>
      </c>
      <c r="Y108" s="43">
        <f t="shared" si="129"/>
        <v>0.54072875061808268</v>
      </c>
      <c r="DA108" s="199"/>
    </row>
    <row r="109" spans="1:105" ht="11.45" customHeight="1" x14ac:dyDescent="0.25">
      <c r="A109" s="37" t="s">
        <v>182</v>
      </c>
      <c r="B109" s="43">
        <f t="shared" ref="B109:C109" si="130">IF(B7=0,0,B7/B$4)</f>
        <v>0.38238411806835604</v>
      </c>
      <c r="C109" s="43">
        <f t="shared" si="130"/>
        <v>0.36407598752684694</v>
      </c>
      <c r="D109" s="43">
        <f t="shared" ref="D109:V109" si="131">IF(D7=0,0,D7/D$4)</f>
        <v>0.34880253308212383</v>
      </c>
      <c r="E109" s="43">
        <f t="shared" si="131"/>
        <v>0.30598160313804634</v>
      </c>
      <c r="F109" s="43">
        <f t="shared" si="131"/>
        <v>0.30614969824785393</v>
      </c>
      <c r="G109" s="43">
        <f t="shared" si="131"/>
        <v>0.29385874248248317</v>
      </c>
      <c r="H109" s="43">
        <f t="shared" si="131"/>
        <v>0.29373437153862741</v>
      </c>
      <c r="I109" s="43">
        <f t="shared" si="131"/>
        <v>0.30023029574732019</v>
      </c>
      <c r="J109" s="43">
        <f t="shared" si="131"/>
        <v>0.31585106972726029</v>
      </c>
      <c r="K109" s="43">
        <f t="shared" si="131"/>
        <v>0.32476909789443714</v>
      </c>
      <c r="L109" s="43">
        <f t="shared" si="131"/>
        <v>0.33294408181486618</v>
      </c>
      <c r="M109" s="43">
        <f t="shared" si="131"/>
        <v>0.33807927486542733</v>
      </c>
      <c r="N109" s="43">
        <f t="shared" si="131"/>
        <v>0.36180483540616742</v>
      </c>
      <c r="O109" s="43">
        <f t="shared" si="131"/>
        <v>0.38831302915720117</v>
      </c>
      <c r="P109" s="43">
        <f t="shared" si="131"/>
        <v>0.41515314579722651</v>
      </c>
      <c r="Q109" s="43">
        <f t="shared" si="131"/>
        <v>0.42949691142944463</v>
      </c>
      <c r="R109" s="43">
        <f t="shared" si="131"/>
        <v>0.42283457500356253</v>
      </c>
      <c r="S109" s="43">
        <f t="shared" si="131"/>
        <v>0.44886129924727614</v>
      </c>
      <c r="T109" s="43">
        <f t="shared" si="131"/>
        <v>0.47544258449333232</v>
      </c>
      <c r="U109" s="43">
        <f t="shared" si="131"/>
        <v>0.46595770287835142</v>
      </c>
      <c r="V109" s="43">
        <f t="shared" si="131"/>
        <v>0.38348602190157388</v>
      </c>
      <c r="W109" s="43">
        <f t="shared" ref="W109:Y109" si="132">IF(W7=0,0,W7/W$4)</f>
        <v>0.3174328460804175</v>
      </c>
      <c r="X109" s="43">
        <f t="shared" si="132"/>
        <v>0.44011719661064697</v>
      </c>
      <c r="Y109" s="43">
        <f t="shared" si="132"/>
        <v>0.45818984041776456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:Y110" si="135">IF(W8=0,0,W8/W$8)</f>
        <v>1</v>
      </c>
      <c r="X110" s="17">
        <f t="shared" si="135"/>
        <v>1</v>
      </c>
      <c r="Y110" s="17">
        <f t="shared" si="135"/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2.1140451003236336E-2</v>
      </c>
      <c r="C111" s="44">
        <f t="shared" si="136"/>
        <v>2.0243463718717405E-2</v>
      </c>
      <c r="D111" s="44">
        <f t="shared" ref="D111:V111" si="137">IF(D9=0,0,D9/D$8)</f>
        <v>1.6909786710322484E-2</v>
      </c>
      <c r="E111" s="44">
        <f t="shared" si="137"/>
        <v>1.6817591161303391E-2</v>
      </c>
      <c r="F111" s="44">
        <f t="shared" si="137"/>
        <v>2.0099155506669807E-2</v>
      </c>
      <c r="G111" s="44">
        <f t="shared" si="137"/>
        <v>2.3743046000370534E-2</v>
      </c>
      <c r="H111" s="44">
        <f t="shared" si="137"/>
        <v>2.4498931174099386E-2</v>
      </c>
      <c r="I111" s="44">
        <f t="shared" si="137"/>
        <v>2.043178417747028E-2</v>
      </c>
      <c r="J111" s="44">
        <f t="shared" si="137"/>
        <v>1.6719272530016493E-2</v>
      </c>
      <c r="K111" s="44">
        <f t="shared" si="137"/>
        <v>1.9492967872173445E-2</v>
      </c>
      <c r="L111" s="44">
        <f t="shared" si="137"/>
        <v>1.4976242427280991E-2</v>
      </c>
      <c r="M111" s="44">
        <f t="shared" si="137"/>
        <v>1.0929784152111693E-2</v>
      </c>
      <c r="N111" s="44">
        <f t="shared" si="137"/>
        <v>8.1127519745998137E-3</v>
      </c>
      <c r="O111" s="44">
        <f t="shared" si="137"/>
        <v>7.260639937907285E-3</v>
      </c>
      <c r="P111" s="44">
        <f t="shared" si="137"/>
        <v>5.1889744281480741E-3</v>
      </c>
      <c r="Q111" s="44">
        <f t="shared" si="137"/>
        <v>4.7241435944836542E-3</v>
      </c>
      <c r="R111" s="44">
        <f t="shared" si="137"/>
        <v>4.364555122935058E-3</v>
      </c>
      <c r="S111" s="44">
        <f t="shared" si="137"/>
        <v>3.8334763239654852E-3</v>
      </c>
      <c r="T111" s="44">
        <f t="shared" si="137"/>
        <v>4.4765209830339237E-3</v>
      </c>
      <c r="U111" s="44">
        <f t="shared" si="137"/>
        <v>3.3920847488461961E-3</v>
      </c>
      <c r="V111" s="44">
        <f t="shared" si="137"/>
        <v>3.6004814764971252E-3</v>
      </c>
      <c r="W111" s="44">
        <f t="shared" ref="W111:Y111" si="138">IF(W9=0,0,W9/W$8)</f>
        <v>5.7424465624955033E-3</v>
      </c>
      <c r="X111" s="44">
        <f t="shared" si="138"/>
        <v>2.5574688026999064E-3</v>
      </c>
      <c r="Y111" s="44">
        <f t="shared" si="138"/>
        <v>3.0194705099413069E-3</v>
      </c>
      <c r="DA111" s="200"/>
    </row>
    <row r="112" spans="1:105" ht="11.45" customHeight="1" x14ac:dyDescent="0.25">
      <c r="A112" s="42" t="s">
        <v>181</v>
      </c>
      <c r="B112" s="44">
        <f t="shared" ref="B112:C112" si="139">IF(B10=0,0,B10/B$8)</f>
        <v>0.26683402982127125</v>
      </c>
      <c r="C112" s="44">
        <f t="shared" si="139"/>
        <v>0.2705183952161434</v>
      </c>
      <c r="D112" s="44">
        <f t="shared" ref="D112:V112" si="140">IF(D10=0,0,D10/D$8)</f>
        <v>0.21288731024308322</v>
      </c>
      <c r="E112" s="44">
        <f t="shared" si="140"/>
        <v>0.20399553305682469</v>
      </c>
      <c r="F112" s="44">
        <f t="shared" si="140"/>
        <v>0.12720984783204442</v>
      </c>
      <c r="G112" s="44">
        <f t="shared" si="140"/>
        <v>0.21401290836102566</v>
      </c>
      <c r="H112" s="44">
        <f t="shared" si="140"/>
        <v>0.23185781408692338</v>
      </c>
      <c r="I112" s="44">
        <f t="shared" si="140"/>
        <v>0.20883613919990973</v>
      </c>
      <c r="J112" s="44">
        <f t="shared" si="140"/>
        <v>0.22436405770970491</v>
      </c>
      <c r="K112" s="44">
        <f t="shared" si="140"/>
        <v>0.25842904730444882</v>
      </c>
      <c r="L112" s="44">
        <f t="shared" si="140"/>
        <v>0.21981810966529874</v>
      </c>
      <c r="M112" s="44">
        <f t="shared" si="140"/>
        <v>0.2400760149723766</v>
      </c>
      <c r="N112" s="44">
        <f t="shared" si="140"/>
        <v>0.18710811672338834</v>
      </c>
      <c r="O112" s="44">
        <f t="shared" si="140"/>
        <v>0.15868448791927278</v>
      </c>
      <c r="P112" s="44">
        <f t="shared" si="140"/>
        <v>0.16041595822900806</v>
      </c>
      <c r="Q112" s="44">
        <f t="shared" si="140"/>
        <v>0.14079995752674229</v>
      </c>
      <c r="R112" s="44">
        <f t="shared" si="140"/>
        <v>0.13938207663873264</v>
      </c>
      <c r="S112" s="44">
        <f t="shared" si="140"/>
        <v>9.5349141387342837E-2</v>
      </c>
      <c r="T112" s="44">
        <f t="shared" si="140"/>
        <v>0.11845446893764794</v>
      </c>
      <c r="U112" s="44">
        <f t="shared" si="140"/>
        <v>0.13052468560188943</v>
      </c>
      <c r="V112" s="44">
        <f t="shared" si="140"/>
        <v>0.16671643867916933</v>
      </c>
      <c r="W112" s="44">
        <f t="shared" ref="W112:Y112" si="141">IF(W10=0,0,W10/W$8)</f>
        <v>0.1747631752101465</v>
      </c>
      <c r="X112" s="44">
        <f t="shared" si="141"/>
        <v>0.12027769608463813</v>
      </c>
      <c r="Y112" s="44">
        <f t="shared" si="141"/>
        <v>0.13478165463614206</v>
      </c>
      <c r="DA112" s="200"/>
    </row>
    <row r="113" spans="1:105" ht="11.45" customHeight="1" x14ac:dyDescent="0.25">
      <c r="A113" s="38" t="s">
        <v>182</v>
      </c>
      <c r="B113" s="45">
        <f t="shared" ref="B113:C113" si="142">IF(B11=0,0,B11/B$8)</f>
        <v>0.71202551917549239</v>
      </c>
      <c r="C113" s="45">
        <f t="shared" si="142"/>
        <v>0.70923814106513916</v>
      </c>
      <c r="D113" s="45">
        <f t="shared" ref="D113:V113" si="143">IF(D11=0,0,D11/D$8)</f>
        <v>0.77020290304659422</v>
      </c>
      <c r="E113" s="45">
        <f t="shared" si="143"/>
        <v>0.77918687578187196</v>
      </c>
      <c r="F113" s="45">
        <f t="shared" si="143"/>
        <v>0.85269099666128578</v>
      </c>
      <c r="G113" s="45">
        <f t="shared" si="143"/>
        <v>0.76224404563860382</v>
      </c>
      <c r="H113" s="45">
        <f t="shared" si="143"/>
        <v>0.74364325473897708</v>
      </c>
      <c r="I113" s="45">
        <f t="shared" si="143"/>
        <v>0.77073207662262</v>
      </c>
      <c r="J113" s="45">
        <f t="shared" si="143"/>
        <v>0.75891666976027861</v>
      </c>
      <c r="K113" s="45">
        <f t="shared" si="143"/>
        <v>0.72207798482337771</v>
      </c>
      <c r="L113" s="45">
        <f t="shared" si="143"/>
        <v>0.76520564790742018</v>
      </c>
      <c r="M113" s="45">
        <f t="shared" si="143"/>
        <v>0.74899420087551172</v>
      </c>
      <c r="N113" s="45">
        <f t="shared" si="143"/>
        <v>0.80477913130201184</v>
      </c>
      <c r="O113" s="45">
        <f t="shared" si="143"/>
        <v>0.83405487214282004</v>
      </c>
      <c r="P113" s="45">
        <f t="shared" si="143"/>
        <v>0.83439506734284385</v>
      </c>
      <c r="Q113" s="45">
        <f t="shared" si="143"/>
        <v>0.85447589887877407</v>
      </c>
      <c r="R113" s="45">
        <f t="shared" si="143"/>
        <v>0.85625336823833231</v>
      </c>
      <c r="S113" s="45">
        <f t="shared" si="143"/>
        <v>0.90081738228869168</v>
      </c>
      <c r="T113" s="45">
        <f t="shared" si="143"/>
        <v>0.87706901007931815</v>
      </c>
      <c r="U113" s="45">
        <f t="shared" si="143"/>
        <v>0.86608322964926443</v>
      </c>
      <c r="V113" s="45">
        <f t="shared" si="143"/>
        <v>0.82968307984433354</v>
      </c>
      <c r="W113" s="45">
        <f t="shared" ref="W113:Y113" si="144">IF(W11=0,0,W11/W$8)</f>
        <v>0.81949437822735804</v>
      </c>
      <c r="X113" s="45">
        <f t="shared" si="144"/>
        <v>0.87716483511266197</v>
      </c>
      <c r="Y113" s="45">
        <f t="shared" si="144"/>
        <v>0.86219887485391666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:Y116" si="147">IF(W14=0,0,W14/W$14)</f>
        <v>1</v>
      </c>
      <c r="X116" s="16">
        <f t="shared" si="147"/>
        <v>1</v>
      </c>
      <c r="Y116" s="16">
        <f t="shared" si="147"/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4.0509876070502729E-2</v>
      </c>
      <c r="C117" s="43">
        <f t="shared" si="148"/>
        <v>3.8881451035594386E-2</v>
      </c>
      <c r="D117" s="43">
        <f t="shared" ref="D117:V117" si="149">IF(D15=0,0,D15/D$14)</f>
        <v>3.6587078256086827E-2</v>
      </c>
      <c r="E117" s="43">
        <f t="shared" si="149"/>
        <v>4.0431429875023128E-2</v>
      </c>
      <c r="F117" s="43">
        <f t="shared" si="149"/>
        <v>3.6011320194384661E-2</v>
      </c>
      <c r="G117" s="43">
        <f t="shared" si="149"/>
        <v>3.714037592086214E-2</v>
      </c>
      <c r="H117" s="43">
        <f t="shared" si="149"/>
        <v>3.2890063602365301E-2</v>
      </c>
      <c r="I117" s="43">
        <f t="shared" si="149"/>
        <v>2.9360208284285767E-2</v>
      </c>
      <c r="J117" s="43">
        <f t="shared" si="149"/>
        <v>2.6917974058889453E-2</v>
      </c>
      <c r="K117" s="43">
        <f t="shared" si="149"/>
        <v>2.5698846083494584E-2</v>
      </c>
      <c r="L117" s="43">
        <f t="shared" si="149"/>
        <v>2.0636821827539974E-2</v>
      </c>
      <c r="M117" s="43">
        <f t="shared" si="149"/>
        <v>8.0834431408299007E-3</v>
      </c>
      <c r="N117" s="43">
        <f t="shared" si="149"/>
        <v>5.0095645721676329E-3</v>
      </c>
      <c r="O117" s="43">
        <f t="shared" si="149"/>
        <v>4.7886800061816299E-3</v>
      </c>
      <c r="P117" s="43">
        <f t="shared" si="149"/>
        <v>4.3204554994472717E-3</v>
      </c>
      <c r="Q117" s="43">
        <f t="shared" si="149"/>
        <v>4.0917965434424776E-3</v>
      </c>
      <c r="R117" s="43">
        <f t="shared" si="149"/>
        <v>3.9012432822819547E-3</v>
      </c>
      <c r="S117" s="43">
        <f t="shared" si="149"/>
        <v>3.5518218487652288E-3</v>
      </c>
      <c r="T117" s="43">
        <f t="shared" si="149"/>
        <v>3.1971821018707907E-3</v>
      </c>
      <c r="U117" s="43">
        <f t="shared" si="149"/>
        <v>3.1542168258126796E-3</v>
      </c>
      <c r="V117" s="43">
        <f t="shared" si="149"/>
        <v>8.8858165632716944E-3</v>
      </c>
      <c r="W117" s="43">
        <f t="shared" ref="W117:Y117" si="150">IF(W15=0,0,W15/W$14)</f>
        <v>7.6585141047944821E-3</v>
      </c>
      <c r="X117" s="43">
        <f t="shared" si="150"/>
        <v>3.3585643408973543E-3</v>
      </c>
      <c r="Y117" s="43">
        <f t="shared" si="150"/>
        <v>3.0296873514066278E-3</v>
      </c>
      <c r="DA117" s="199"/>
    </row>
    <row r="118" spans="1:105" ht="11.45" customHeight="1" x14ac:dyDescent="0.25">
      <c r="A118" s="37" t="s">
        <v>181</v>
      </c>
      <c r="B118" s="43">
        <f t="shared" ref="B118:C118" si="151">IF(B16=0,0,B16/B$14)</f>
        <v>0.6996935449330226</v>
      </c>
      <c r="C118" s="43">
        <f t="shared" si="151"/>
        <v>0.70369397675909962</v>
      </c>
      <c r="D118" s="43">
        <f t="shared" ref="D118:V118" si="152">IF(D16=0,0,D16/D$14)</f>
        <v>0.71634590165641754</v>
      </c>
      <c r="E118" s="43">
        <f t="shared" si="152"/>
        <v>0.7513956786050181</v>
      </c>
      <c r="F118" s="43">
        <f t="shared" si="152"/>
        <v>0.75980023426636123</v>
      </c>
      <c r="G118" s="43">
        <f t="shared" si="152"/>
        <v>0.73857630109660066</v>
      </c>
      <c r="H118" s="43">
        <f t="shared" si="152"/>
        <v>0.71661319917548494</v>
      </c>
      <c r="I118" s="43">
        <f t="shared" si="152"/>
        <v>0.6888437841394055</v>
      </c>
      <c r="J118" s="43">
        <f t="shared" si="152"/>
        <v>0.71201895201116627</v>
      </c>
      <c r="K118" s="43">
        <f t="shared" si="152"/>
        <v>0.71744711997123822</v>
      </c>
      <c r="L118" s="43">
        <f t="shared" si="152"/>
        <v>0.70411333211019744</v>
      </c>
      <c r="M118" s="43">
        <f t="shared" si="152"/>
        <v>0.70215698358729661</v>
      </c>
      <c r="N118" s="43">
        <f t="shared" si="152"/>
        <v>0.7199651556242993</v>
      </c>
      <c r="O118" s="43">
        <f t="shared" si="152"/>
        <v>0.71244944828105083</v>
      </c>
      <c r="P118" s="43">
        <f t="shared" si="152"/>
        <v>0.68476225384564027</v>
      </c>
      <c r="Q118" s="43">
        <f t="shared" si="152"/>
        <v>0.66071526352505638</v>
      </c>
      <c r="R118" s="43">
        <f t="shared" si="152"/>
        <v>0.67080626975741742</v>
      </c>
      <c r="S118" s="43">
        <f t="shared" si="152"/>
        <v>0.63867995840257796</v>
      </c>
      <c r="T118" s="43">
        <f t="shared" si="152"/>
        <v>0.61422590432094115</v>
      </c>
      <c r="U118" s="43">
        <f t="shared" si="152"/>
        <v>0.63483328622211155</v>
      </c>
      <c r="V118" s="43">
        <f t="shared" si="152"/>
        <v>0.67060050620154199</v>
      </c>
      <c r="W118" s="43">
        <f t="shared" ref="W118:Y118" si="153">IF(W16=0,0,W16/W$14)</f>
        <v>0.68427787905553106</v>
      </c>
      <c r="X118" s="43">
        <f t="shared" si="153"/>
        <v>0.65102325980453779</v>
      </c>
      <c r="Y118" s="43">
        <f t="shared" si="153"/>
        <v>0.63860852956167147</v>
      </c>
      <c r="DA118" s="199"/>
    </row>
    <row r="119" spans="1:105" ht="11.45" customHeight="1" x14ac:dyDescent="0.25">
      <c r="A119" s="37" t="s">
        <v>182</v>
      </c>
      <c r="B119" s="43">
        <f t="shared" ref="B119:C119" si="154">IF(B17=0,0,B17/B$14)</f>
        <v>0.25979657899647468</v>
      </c>
      <c r="C119" s="43">
        <f t="shared" si="154"/>
        <v>0.25742457220530596</v>
      </c>
      <c r="D119" s="43">
        <f t="shared" ref="D119:V119" si="155">IF(D17=0,0,D17/D$14)</f>
        <v>0.24706702008749559</v>
      </c>
      <c r="E119" s="43">
        <f t="shared" si="155"/>
        <v>0.20817289151995882</v>
      </c>
      <c r="F119" s="43">
        <f t="shared" si="155"/>
        <v>0.20418844553925405</v>
      </c>
      <c r="G119" s="43">
        <f t="shared" si="155"/>
        <v>0.22428332298253714</v>
      </c>
      <c r="H119" s="43">
        <f t="shared" si="155"/>
        <v>0.25049673722214977</v>
      </c>
      <c r="I119" s="43">
        <f t="shared" si="155"/>
        <v>0.28179600757630879</v>
      </c>
      <c r="J119" s="43">
        <f t="shared" si="155"/>
        <v>0.2610630739299441</v>
      </c>
      <c r="K119" s="43">
        <f t="shared" si="155"/>
        <v>0.25685403394526718</v>
      </c>
      <c r="L119" s="43">
        <f t="shared" si="155"/>
        <v>0.2752498460622626</v>
      </c>
      <c r="M119" s="43">
        <f t="shared" si="155"/>
        <v>0.28975957327187352</v>
      </c>
      <c r="N119" s="43">
        <f t="shared" si="155"/>
        <v>0.27502527980353303</v>
      </c>
      <c r="O119" s="43">
        <f t="shared" si="155"/>
        <v>0.28276187171276751</v>
      </c>
      <c r="P119" s="43">
        <f t="shared" si="155"/>
        <v>0.3109172906549123</v>
      </c>
      <c r="Q119" s="43">
        <f t="shared" si="155"/>
        <v>0.33519293993150112</v>
      </c>
      <c r="R119" s="43">
        <f t="shared" si="155"/>
        <v>0.32529248696030066</v>
      </c>
      <c r="S119" s="43">
        <f t="shared" si="155"/>
        <v>0.3577682197486568</v>
      </c>
      <c r="T119" s="43">
        <f t="shared" si="155"/>
        <v>0.38257691357718809</v>
      </c>
      <c r="U119" s="43">
        <f t="shared" si="155"/>
        <v>0.36201249695207577</v>
      </c>
      <c r="V119" s="43">
        <f t="shared" si="155"/>
        <v>0.32051367723518631</v>
      </c>
      <c r="W119" s="43">
        <f t="shared" ref="W119:Y119" si="156">IF(W17=0,0,W17/W$14)</f>
        <v>0.30806360683967454</v>
      </c>
      <c r="X119" s="43">
        <f t="shared" si="156"/>
        <v>0.34561817585456495</v>
      </c>
      <c r="Y119" s="43">
        <f t="shared" si="156"/>
        <v>0.35836178308692179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:Y120" si="159">IF(W18=0,0,W18/W$18)</f>
        <v>1</v>
      </c>
      <c r="X120" s="17">
        <f t="shared" si="159"/>
        <v>1</v>
      </c>
      <c r="Y120" s="17">
        <f t="shared" si="159"/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7.9263611099785108E-2</v>
      </c>
      <c r="C121" s="44">
        <f t="shared" si="160"/>
        <v>8.0530846053590968E-2</v>
      </c>
      <c r="D121" s="44">
        <f t="shared" ref="D121:V121" si="161">IF(D19=0,0,D19/D$18)</f>
        <v>6.7499853088203915E-2</v>
      </c>
      <c r="E121" s="44">
        <f t="shared" si="161"/>
        <v>6.1251243005682639E-2</v>
      </c>
      <c r="F121" s="44">
        <f t="shared" si="161"/>
        <v>8.0204785265740222E-2</v>
      </c>
      <c r="G121" s="44">
        <f t="shared" si="161"/>
        <v>8.2089380614077168E-2</v>
      </c>
      <c r="H121" s="44">
        <f t="shared" si="161"/>
        <v>8.028464127911801E-2</v>
      </c>
      <c r="I121" s="44">
        <f t="shared" si="161"/>
        <v>6.8546730146565496E-2</v>
      </c>
      <c r="J121" s="44">
        <f t="shared" si="161"/>
        <v>5.6384965560570051E-2</v>
      </c>
      <c r="K121" s="44">
        <f t="shared" si="161"/>
        <v>6.545848745438182E-2</v>
      </c>
      <c r="L121" s="44">
        <f t="shared" si="161"/>
        <v>5.1939070516627162E-2</v>
      </c>
      <c r="M121" s="44">
        <f t="shared" si="161"/>
        <v>3.6717936929553399E-2</v>
      </c>
      <c r="N121" s="44">
        <f t="shared" si="161"/>
        <v>3.278928632006517E-2</v>
      </c>
      <c r="O121" s="44">
        <f t="shared" si="161"/>
        <v>2.9836371233703956E-2</v>
      </c>
      <c r="P121" s="44">
        <f t="shared" si="161"/>
        <v>2.1920572803420857E-2</v>
      </c>
      <c r="Q121" s="44">
        <f t="shared" si="161"/>
        <v>2.0082552621399619E-2</v>
      </c>
      <c r="R121" s="44">
        <f t="shared" si="161"/>
        <v>1.770843645622781E-2</v>
      </c>
      <c r="S121" s="44">
        <f t="shared" si="161"/>
        <v>1.7683059879080532E-2</v>
      </c>
      <c r="T121" s="44">
        <f t="shared" si="161"/>
        <v>1.9543967602119638E-2</v>
      </c>
      <c r="U121" s="44">
        <f t="shared" si="161"/>
        <v>1.3635265713895424E-2</v>
      </c>
      <c r="V121" s="44">
        <f t="shared" si="161"/>
        <v>1.0770104255483708E-2</v>
      </c>
      <c r="W121" s="44">
        <f t="shared" ref="W121:Y121" si="162">IF(W19=0,0,W19/W$18)</f>
        <v>1.6709249811363135E-2</v>
      </c>
      <c r="X121" s="44">
        <f t="shared" si="162"/>
        <v>8.8272253191289795E-3</v>
      </c>
      <c r="Y121" s="44">
        <f t="shared" si="162"/>
        <v>1.0660580612053794E-2</v>
      </c>
      <c r="DA121" s="200"/>
    </row>
    <row r="122" spans="1:105" ht="11.45" customHeight="1" x14ac:dyDescent="0.25">
      <c r="A122" s="42" t="s">
        <v>181</v>
      </c>
      <c r="B122" s="44">
        <f t="shared" ref="B122:C122" si="163">IF(B20=0,0,B20/B$18)</f>
        <v>0.49243468344889174</v>
      </c>
      <c r="C122" s="44">
        <f t="shared" si="163"/>
        <v>0.49081103060593212</v>
      </c>
      <c r="D122" s="44">
        <f t="shared" ref="D122:V122" si="164">IF(D20=0,0,D20/D$18)</f>
        <v>0.42376841808175475</v>
      </c>
      <c r="E122" s="44">
        <f t="shared" si="164"/>
        <v>0.38902771388180962</v>
      </c>
      <c r="F122" s="44">
        <f t="shared" si="164"/>
        <v>0.28031889170205115</v>
      </c>
      <c r="G122" s="44">
        <f t="shared" si="164"/>
        <v>0.40250235986491906</v>
      </c>
      <c r="H122" s="44">
        <f t="shared" si="164"/>
        <v>0.44548733756265541</v>
      </c>
      <c r="I122" s="44">
        <f t="shared" si="164"/>
        <v>0.4216394342347996</v>
      </c>
      <c r="J122" s="44">
        <f t="shared" si="164"/>
        <v>0.44813721859597516</v>
      </c>
      <c r="K122" s="44">
        <f t="shared" si="164"/>
        <v>0.51472579679842834</v>
      </c>
      <c r="L122" s="44">
        <f t="shared" si="164"/>
        <v>0.4646487791868969</v>
      </c>
      <c r="M122" s="44">
        <f t="shared" si="164"/>
        <v>0.49839050876635232</v>
      </c>
      <c r="N122" s="44">
        <f t="shared" si="164"/>
        <v>0.42069839400113568</v>
      </c>
      <c r="O122" s="44">
        <f t="shared" si="164"/>
        <v>0.38406105529066886</v>
      </c>
      <c r="P122" s="44">
        <f t="shared" si="164"/>
        <v>0.39855554357258188</v>
      </c>
      <c r="Q122" s="44">
        <f t="shared" si="164"/>
        <v>0.36844352295930372</v>
      </c>
      <c r="R122" s="44">
        <f t="shared" si="164"/>
        <v>0.36195071482246771</v>
      </c>
      <c r="S122" s="44">
        <f t="shared" si="164"/>
        <v>0.28415739163419723</v>
      </c>
      <c r="T122" s="44">
        <f t="shared" si="164"/>
        <v>0.33681723136111913</v>
      </c>
      <c r="U122" s="44">
        <f t="shared" si="164"/>
        <v>0.36870590231180356</v>
      </c>
      <c r="V122" s="44">
        <f t="shared" si="164"/>
        <v>0.36811323261186241</v>
      </c>
      <c r="W122" s="44">
        <f t="shared" ref="W122:Y122" si="165">IF(W20=0,0,W20/W$18)</f>
        <v>0.37455932771881623</v>
      </c>
      <c r="X122" s="44">
        <f t="shared" si="165"/>
        <v>0.30676292822253487</v>
      </c>
      <c r="Y122" s="44">
        <f t="shared" si="165"/>
        <v>0.34606595614051933</v>
      </c>
      <c r="DA122" s="200"/>
    </row>
    <row r="123" spans="1:105" ht="11.45" customHeight="1" x14ac:dyDescent="0.25">
      <c r="A123" s="38" t="s">
        <v>182</v>
      </c>
      <c r="B123" s="45">
        <f t="shared" ref="B123:C123" si="166">IF(B21=0,0,B21/B$18)</f>
        <v>0.42830170545132329</v>
      </c>
      <c r="C123" s="45">
        <f t="shared" si="166"/>
        <v>0.42865812334047698</v>
      </c>
      <c r="D123" s="45">
        <f t="shared" ref="D123:V123" si="167">IF(D21=0,0,D21/D$18)</f>
        <v>0.50873172883004125</v>
      </c>
      <c r="E123" s="45">
        <f t="shared" si="167"/>
        <v>0.5497210431125078</v>
      </c>
      <c r="F123" s="45">
        <f t="shared" si="167"/>
        <v>0.63947632303220869</v>
      </c>
      <c r="G123" s="45">
        <f t="shared" si="167"/>
        <v>0.51540825952100378</v>
      </c>
      <c r="H123" s="45">
        <f t="shared" si="167"/>
        <v>0.47422802115822654</v>
      </c>
      <c r="I123" s="45">
        <f t="shared" si="167"/>
        <v>0.50981383561863503</v>
      </c>
      <c r="J123" s="45">
        <f t="shared" si="167"/>
        <v>0.49547781584345474</v>
      </c>
      <c r="K123" s="45">
        <f t="shared" si="167"/>
        <v>0.4198157157471899</v>
      </c>
      <c r="L123" s="45">
        <f t="shared" si="167"/>
        <v>0.48341215029647594</v>
      </c>
      <c r="M123" s="45">
        <f t="shared" si="167"/>
        <v>0.46489155430409429</v>
      </c>
      <c r="N123" s="45">
        <f t="shared" si="167"/>
        <v>0.5465123196787991</v>
      </c>
      <c r="O123" s="45">
        <f t="shared" si="167"/>
        <v>0.58610257347562711</v>
      </c>
      <c r="P123" s="45">
        <f t="shared" si="167"/>
        <v>0.5795238836239972</v>
      </c>
      <c r="Q123" s="45">
        <f t="shared" si="167"/>
        <v>0.6114739244192966</v>
      </c>
      <c r="R123" s="45">
        <f t="shared" si="167"/>
        <v>0.62034084872130435</v>
      </c>
      <c r="S123" s="45">
        <f t="shared" si="167"/>
        <v>0.69815954848672224</v>
      </c>
      <c r="T123" s="45">
        <f t="shared" si="167"/>
        <v>0.64363880103676108</v>
      </c>
      <c r="U123" s="45">
        <f t="shared" si="167"/>
        <v>0.61765883197430094</v>
      </c>
      <c r="V123" s="45">
        <f t="shared" si="167"/>
        <v>0.62111666313265379</v>
      </c>
      <c r="W123" s="45">
        <f t="shared" ref="W123:Y123" si="168">IF(W21=0,0,W21/W$18)</f>
        <v>0.60873142246982059</v>
      </c>
      <c r="X123" s="45">
        <f t="shared" si="168"/>
        <v>0.68440984645833614</v>
      </c>
      <c r="Y123" s="45">
        <f t="shared" si="168"/>
        <v>0.64327346324742685</v>
      </c>
      <c r="DA123" s="201"/>
    </row>
    <row r="125" spans="1:105" x14ac:dyDescent="0.25">
      <c r="A125" s="18" t="s">
        <v>183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629.89131556319853</v>
      </c>
      <c r="C3" s="79">
        <f t="shared" si="0"/>
        <v>756.28856405846932</v>
      </c>
      <c r="D3" s="79">
        <f t="shared" ref="D3" si="1">SUM(D4:D5)</f>
        <v>802.63422184006879</v>
      </c>
      <c r="E3" s="79">
        <f t="shared" ref="E3" si="2">SUM(E4:E5)</f>
        <v>784.72794496990548</v>
      </c>
      <c r="F3" s="79">
        <f t="shared" ref="F3" si="3">SUM(F4:F5)</f>
        <v>743.64883920894226</v>
      </c>
      <c r="G3" s="79">
        <f t="shared" ref="G3" si="4">SUM(G4:G5)</f>
        <v>861.65468615649183</v>
      </c>
      <c r="H3" s="79">
        <f t="shared" ref="H3" si="5">SUM(H4:H5)</f>
        <v>893.28899398108342</v>
      </c>
      <c r="I3" s="79">
        <f t="shared" ref="I3" si="6">SUM(I4:I5)</f>
        <v>1048.0789337919173</v>
      </c>
      <c r="J3" s="79">
        <f t="shared" ref="J3" si="7">SUM(J4:J5)</f>
        <v>975.38882201203785</v>
      </c>
      <c r="K3" s="79">
        <f t="shared" ref="K3" si="8">SUM(K4:K5)</f>
        <v>601.46362854686163</v>
      </c>
      <c r="L3" s="79">
        <f t="shared" ref="L3" si="9">SUM(L4:L5)</f>
        <v>768.93998280309529</v>
      </c>
      <c r="M3" s="79">
        <f t="shared" ref="M3" si="10">SUM(M4:M5)</f>
        <v>701.52811693895092</v>
      </c>
      <c r="N3" s="79">
        <f t="shared" ref="N3" si="11">SUM(N4:N5)</f>
        <v>588.82390369733446</v>
      </c>
      <c r="O3" s="79">
        <f t="shared" ref="O3" si="12">SUM(O4:O5)</f>
        <v>649.9159071367153</v>
      </c>
      <c r="P3" s="79">
        <f t="shared" ref="P3" si="13">SUM(P4:P5)</f>
        <v>749.98039552880448</v>
      </c>
      <c r="Q3" s="79">
        <f t="shared" ref="Q3" si="14">SUM(Q4:Q5)</f>
        <v>846.88495270851286</v>
      </c>
      <c r="R3" s="79">
        <f t="shared" ref="R3" si="15">SUM(R4:R5)</f>
        <v>870.04608770421373</v>
      </c>
      <c r="S3" s="79">
        <f t="shared" ref="S3" si="16">SUM(S4:S5)</f>
        <v>1021.920034393809</v>
      </c>
      <c r="T3" s="79">
        <f t="shared" ref="T3" si="17">SUM(T4:T5)</f>
        <v>1103.5128976784179</v>
      </c>
      <c r="U3" s="79">
        <f t="shared" ref="U3" si="18">SUM(U4:U5)</f>
        <v>1116.4030094582972</v>
      </c>
      <c r="V3" s="79">
        <f t="shared" ref="V3:W3" si="19">SUM(V4:V5)</f>
        <v>398.64763542562338</v>
      </c>
      <c r="W3" s="79">
        <f t="shared" si="19"/>
        <v>446.54135855545996</v>
      </c>
      <c r="X3" s="79">
        <f t="shared" ref="X3:Y3" si="20">SUM(X4:X5)</f>
        <v>1018.3805674978499</v>
      </c>
      <c r="Y3" s="79">
        <f t="shared" si="20"/>
        <v>1149.2698194325019</v>
      </c>
      <c r="DA3" s="172" t="s">
        <v>277</v>
      </c>
    </row>
    <row r="4" spans="1:105" ht="11.45" customHeight="1" x14ac:dyDescent="0.25">
      <c r="A4" s="95" t="s">
        <v>27</v>
      </c>
      <c r="B4" s="96">
        <f t="shared" ref="B4:C4" si="21">SUM(B7,B11)</f>
        <v>32.66431642304385</v>
      </c>
      <c r="C4" s="96">
        <f t="shared" si="21"/>
        <v>38.984178847807392</v>
      </c>
      <c r="D4" s="96">
        <f t="shared" ref="D4:V4" si="22">SUM(D7,D11)</f>
        <v>41.090799656061897</v>
      </c>
      <c r="E4" s="96">
        <f t="shared" si="22"/>
        <v>38.984178847807392</v>
      </c>
      <c r="F4" s="96">
        <f t="shared" si="22"/>
        <v>37.930868443680126</v>
      </c>
      <c r="G4" s="96">
        <f t="shared" si="22"/>
        <v>47.445743766122099</v>
      </c>
      <c r="H4" s="96">
        <f t="shared" si="22"/>
        <v>62.227085124677558</v>
      </c>
      <c r="I4" s="96">
        <f t="shared" si="22"/>
        <v>54.807222699914021</v>
      </c>
      <c r="J4" s="96">
        <f t="shared" si="22"/>
        <v>43.209114359415295</v>
      </c>
      <c r="K4" s="96">
        <f t="shared" si="22"/>
        <v>32.676010318142737</v>
      </c>
      <c r="L4" s="96">
        <f t="shared" si="22"/>
        <v>28.462768701633699</v>
      </c>
      <c r="M4" s="96">
        <f t="shared" si="22"/>
        <v>8.4498710232158203</v>
      </c>
      <c r="N4" s="96">
        <f t="shared" si="22"/>
        <v>8.4498710232158203</v>
      </c>
      <c r="O4" s="96">
        <f t="shared" si="22"/>
        <v>8.4498710232158203</v>
      </c>
      <c r="P4" s="96">
        <f t="shared" si="22"/>
        <v>8.4498710232158203</v>
      </c>
      <c r="Q4" s="96">
        <f t="shared" si="22"/>
        <v>8.4498710232158203</v>
      </c>
      <c r="R4" s="96">
        <f t="shared" si="22"/>
        <v>4.2249355116079101</v>
      </c>
      <c r="S4" s="96">
        <f t="shared" si="22"/>
        <v>5.7867583834909713</v>
      </c>
      <c r="T4" s="96">
        <f t="shared" si="22"/>
        <v>5.5529664660361124</v>
      </c>
      <c r="U4" s="96">
        <f t="shared" si="22"/>
        <v>5.9751504729148746</v>
      </c>
      <c r="V4" s="96">
        <f t="shared" si="22"/>
        <v>4.5628546861564914</v>
      </c>
      <c r="W4" s="96">
        <f t="shared" ref="W4:Y4" si="23">SUM(W7,W11)</f>
        <v>6.4610490111779884</v>
      </c>
      <c r="X4" s="96">
        <f t="shared" si="23"/>
        <v>13.626139294926912</v>
      </c>
      <c r="Y4" s="96">
        <f t="shared" si="23"/>
        <v>7.6201203783318991</v>
      </c>
      <c r="DA4" s="171" t="s">
        <v>278</v>
      </c>
    </row>
    <row r="5" spans="1:105" ht="11.45" customHeight="1" x14ac:dyDescent="0.25">
      <c r="A5" s="95" t="s">
        <v>116</v>
      </c>
      <c r="B5" s="96">
        <f t="shared" ref="B5:C5" si="24">SUM(B8:B9,B12:B13)</f>
        <v>597.2269991401547</v>
      </c>
      <c r="C5" s="96">
        <f t="shared" si="24"/>
        <v>717.30438521066196</v>
      </c>
      <c r="D5" s="96">
        <f t="shared" ref="D5:V5" si="25">SUM(D8:D9,D12:D13)</f>
        <v>761.54342218400689</v>
      </c>
      <c r="E5" s="96">
        <f t="shared" si="25"/>
        <v>745.74376612209812</v>
      </c>
      <c r="F5" s="96">
        <f t="shared" si="25"/>
        <v>705.71797076526218</v>
      </c>
      <c r="G5" s="96">
        <f t="shared" si="25"/>
        <v>814.20894239036977</v>
      </c>
      <c r="H5" s="96">
        <f t="shared" si="25"/>
        <v>831.06190885640592</v>
      </c>
      <c r="I5" s="96">
        <f t="shared" si="25"/>
        <v>993.27171109200333</v>
      </c>
      <c r="J5" s="96">
        <f t="shared" si="25"/>
        <v>932.1797076526226</v>
      </c>
      <c r="K5" s="96">
        <f t="shared" si="25"/>
        <v>568.78761822871888</v>
      </c>
      <c r="L5" s="96">
        <f t="shared" si="25"/>
        <v>740.47721410146164</v>
      </c>
      <c r="M5" s="96">
        <f t="shared" si="25"/>
        <v>693.07824591573512</v>
      </c>
      <c r="N5" s="96">
        <f t="shared" si="25"/>
        <v>580.37403267411867</v>
      </c>
      <c r="O5" s="96">
        <f t="shared" si="25"/>
        <v>641.46603611349951</v>
      </c>
      <c r="P5" s="96">
        <f t="shared" si="25"/>
        <v>741.53052450558869</v>
      </c>
      <c r="Q5" s="96">
        <f t="shared" si="25"/>
        <v>838.43508168529706</v>
      </c>
      <c r="R5" s="96">
        <f t="shared" si="25"/>
        <v>865.82115219260584</v>
      </c>
      <c r="S5" s="96">
        <f t="shared" si="25"/>
        <v>1016.133276010318</v>
      </c>
      <c r="T5" s="96">
        <f t="shared" si="25"/>
        <v>1097.9599312123817</v>
      </c>
      <c r="U5" s="96">
        <f t="shared" si="25"/>
        <v>1110.4278589853823</v>
      </c>
      <c r="V5" s="96">
        <f t="shared" si="25"/>
        <v>394.08478073946691</v>
      </c>
      <c r="W5" s="96">
        <f t="shared" ref="W5:Y5" si="26">SUM(W8:W9,W12:W13)</f>
        <v>440.08030954428199</v>
      </c>
      <c r="X5" s="96">
        <f t="shared" si="26"/>
        <v>1004.754428202923</v>
      </c>
      <c r="Y5" s="96">
        <f t="shared" si="26"/>
        <v>1141.64969905417</v>
      </c>
      <c r="DA5" s="171" t="s">
        <v>279</v>
      </c>
    </row>
    <row r="6" spans="1:105" ht="11.45" customHeight="1" x14ac:dyDescent="0.25">
      <c r="A6" s="10" t="s">
        <v>33</v>
      </c>
      <c r="B6" s="21">
        <f t="shared" ref="B6:C6" si="27">SUM(B7:B9)</f>
        <v>618.24196224376408</v>
      </c>
      <c r="C6" s="21">
        <f t="shared" si="27"/>
        <v>743.59942821377319</v>
      </c>
      <c r="D6" s="21">
        <f t="shared" ref="D6:V6" si="28">SUM(D7:D9)</f>
        <v>790.61820442106898</v>
      </c>
      <c r="E6" s="21">
        <f t="shared" si="28"/>
        <v>771.71273198543133</v>
      </c>
      <c r="F6" s="21">
        <f t="shared" si="28"/>
        <v>724.74391270463138</v>
      </c>
      <c r="G6" s="21">
        <f t="shared" si="28"/>
        <v>840.23784691581966</v>
      </c>
      <c r="H6" s="21">
        <f t="shared" si="28"/>
        <v>865.31172471582079</v>
      </c>
      <c r="I6" s="21">
        <f t="shared" si="28"/>
        <v>1021.4445587075267</v>
      </c>
      <c r="J6" s="21">
        <f t="shared" si="28"/>
        <v>951.65479180686475</v>
      </c>
      <c r="K6" s="21">
        <f t="shared" si="28"/>
        <v>586.38275321745652</v>
      </c>
      <c r="L6" s="21">
        <f t="shared" si="28"/>
        <v>746.42373776965178</v>
      </c>
      <c r="M6" s="21">
        <f t="shared" si="28"/>
        <v>683.96446234966515</v>
      </c>
      <c r="N6" s="21">
        <f t="shared" si="28"/>
        <v>570.90840331355707</v>
      </c>
      <c r="O6" s="21">
        <f t="shared" si="28"/>
        <v>630.77110078717249</v>
      </c>
      <c r="P6" s="21">
        <f t="shared" si="28"/>
        <v>729.89517806639537</v>
      </c>
      <c r="Q6" s="21">
        <f t="shared" si="28"/>
        <v>824.08342585466551</v>
      </c>
      <c r="R6" s="21">
        <f t="shared" si="28"/>
        <v>850.81012660853435</v>
      </c>
      <c r="S6" s="21">
        <f t="shared" si="28"/>
        <v>997.30584170648376</v>
      </c>
      <c r="T6" s="21">
        <f t="shared" si="28"/>
        <v>1081.2981562896314</v>
      </c>
      <c r="U6" s="21">
        <f t="shared" si="28"/>
        <v>1096.2081077250136</v>
      </c>
      <c r="V6" s="21">
        <f t="shared" si="28"/>
        <v>371.47109952848581</v>
      </c>
      <c r="W6" s="21">
        <f t="shared" ref="W6:Y6" si="29">SUM(W7:W9)</f>
        <v>411.80038273544221</v>
      </c>
      <c r="X6" s="21">
        <f t="shared" si="29"/>
        <v>990.8437012394802</v>
      </c>
      <c r="Y6" s="21">
        <f t="shared" si="29"/>
        <v>1123.1845374963043</v>
      </c>
      <c r="DA6" s="189" t="s">
        <v>280</v>
      </c>
    </row>
    <row r="7" spans="1:105" ht="11.45" customHeight="1" x14ac:dyDescent="0.25">
      <c r="A7" s="83" t="s">
        <v>27</v>
      </c>
      <c r="B7" s="96">
        <v>31.32254774998907</v>
      </c>
      <c r="C7" s="96">
        <v>37.457207963080769</v>
      </c>
      <c r="D7" s="96">
        <v>39.845878219212608</v>
      </c>
      <c r="E7" s="96">
        <v>37.934553160126413</v>
      </c>
      <c r="F7" s="96">
        <v>35.809202905547707</v>
      </c>
      <c r="G7" s="96">
        <v>44.533925604951236</v>
      </c>
      <c r="H7" s="96">
        <v>56.971512974444344</v>
      </c>
      <c r="I7" s="96">
        <v>51.032407449684044</v>
      </c>
      <c r="J7" s="96">
        <v>40.620753060595433</v>
      </c>
      <c r="K7" s="96">
        <v>30.400161695646787</v>
      </c>
      <c r="L7" s="96">
        <v>26.08103478624805</v>
      </c>
      <c r="M7" s="96">
        <v>7.3197599952719967</v>
      </c>
      <c r="N7" s="96">
        <v>6.7123309935220892</v>
      </c>
      <c r="O7" s="96">
        <v>6.8568842003635648</v>
      </c>
      <c r="P7" s="96">
        <v>7.2005182146311313</v>
      </c>
      <c r="Q7" s="96">
        <v>7.2436886263866853</v>
      </c>
      <c r="R7" s="96">
        <v>3.7537839443431151</v>
      </c>
      <c r="S7" s="96">
        <v>5.0114517137636101</v>
      </c>
      <c r="T7" s="96">
        <v>4.8107329192836676</v>
      </c>
      <c r="U7" s="96">
        <v>5.4756828209685136</v>
      </c>
      <c r="V7" s="96">
        <v>4.1544989483025567</v>
      </c>
      <c r="W7" s="96">
        <v>5.3983237837015672</v>
      </c>
      <c r="X7" s="96">
        <v>12.499106869778041</v>
      </c>
      <c r="Y7" s="96">
        <v>6.8930931212482598</v>
      </c>
      <c r="DA7" s="171" t="s">
        <v>281</v>
      </c>
    </row>
    <row r="8" spans="1:105" ht="11.45" customHeight="1" x14ac:dyDescent="0.25">
      <c r="A8" s="83" t="s">
        <v>181</v>
      </c>
      <c r="B8" s="96">
        <v>366.34140587285202</v>
      </c>
      <c r="C8" s="96">
        <v>442.61961515950617</v>
      </c>
      <c r="D8" s="96">
        <v>480.43414743834109</v>
      </c>
      <c r="E8" s="96">
        <v>504.59197603600592</v>
      </c>
      <c r="F8" s="96">
        <v>477.7014337556393</v>
      </c>
      <c r="G8" s="96">
        <v>554.89112921314609</v>
      </c>
      <c r="H8" s="96">
        <v>563.16539016021909</v>
      </c>
      <c r="I8" s="96">
        <v>680.87662200706188</v>
      </c>
      <c r="J8" s="96">
        <v>639.96865825797454</v>
      </c>
      <c r="K8" s="96">
        <v>380.51859001951567</v>
      </c>
      <c r="L8" s="96">
        <v>484.52254905024211</v>
      </c>
      <c r="M8" s="96">
        <v>454.99276260597253</v>
      </c>
      <c r="N8" s="96">
        <v>376.49466572541047</v>
      </c>
      <c r="O8" s="96">
        <v>415.7233913978996</v>
      </c>
      <c r="P8" s="96">
        <v>484.97353334380335</v>
      </c>
      <c r="Q8" s="96">
        <v>552.19608071440769</v>
      </c>
      <c r="R8" s="96">
        <v>586.08924426892645</v>
      </c>
      <c r="S8" s="96">
        <v>692.86718332588293</v>
      </c>
      <c r="T8" s="96">
        <v>752.10678728183336</v>
      </c>
      <c r="U8" s="96">
        <v>754.92369986143831</v>
      </c>
      <c r="V8" s="96">
        <v>219.34398793935881</v>
      </c>
      <c r="W8" s="96">
        <v>253.63058536518062</v>
      </c>
      <c r="X8" s="96">
        <v>684.70777035336607</v>
      </c>
      <c r="Y8" s="96">
        <v>779.76056489237169</v>
      </c>
      <c r="DA8" s="171" t="s">
        <v>282</v>
      </c>
    </row>
    <row r="9" spans="1:105" ht="11.45" customHeight="1" x14ac:dyDescent="0.25">
      <c r="A9" s="83" t="s">
        <v>182</v>
      </c>
      <c r="B9" s="96">
        <v>220.57800862092304</v>
      </c>
      <c r="C9" s="96">
        <v>263.52260509118628</v>
      </c>
      <c r="D9" s="96">
        <v>270.33817876351532</v>
      </c>
      <c r="E9" s="96">
        <v>229.18620278929907</v>
      </c>
      <c r="F9" s="96">
        <v>211.23327604344436</v>
      </c>
      <c r="G9" s="96">
        <v>240.81279209772231</v>
      </c>
      <c r="H9" s="96">
        <v>245.17482158115743</v>
      </c>
      <c r="I9" s="96">
        <v>289.53552925078077</v>
      </c>
      <c r="J9" s="96">
        <v>271.06538048829469</v>
      </c>
      <c r="K9" s="96">
        <v>175.46400150229411</v>
      </c>
      <c r="L9" s="96">
        <v>235.82015393316166</v>
      </c>
      <c r="M9" s="96">
        <v>221.65193974842066</v>
      </c>
      <c r="N9" s="96">
        <v>187.70140659462459</v>
      </c>
      <c r="O9" s="96">
        <v>208.19082518890934</v>
      </c>
      <c r="P9" s="96">
        <v>237.72112650796086</v>
      </c>
      <c r="Q9" s="96">
        <v>264.64365651387118</v>
      </c>
      <c r="R9" s="96">
        <v>260.96709839526483</v>
      </c>
      <c r="S9" s="96">
        <v>299.42720666683726</v>
      </c>
      <c r="T9" s="96">
        <v>324.38063608851439</v>
      </c>
      <c r="U9" s="96">
        <v>335.80872504260697</v>
      </c>
      <c r="V9" s="96">
        <v>147.97261264082445</v>
      </c>
      <c r="W9" s="96">
        <v>152.77147358656006</v>
      </c>
      <c r="X9" s="96">
        <v>293.63682401633599</v>
      </c>
      <c r="Y9" s="96">
        <v>336.53087948268427</v>
      </c>
      <c r="DA9" s="171" t="s">
        <v>283</v>
      </c>
    </row>
    <row r="10" spans="1:105" ht="11.45" customHeight="1" x14ac:dyDescent="0.25">
      <c r="A10" s="12" t="s">
        <v>34</v>
      </c>
      <c r="B10" s="22">
        <f t="shared" ref="B10:C10" si="30">SUM(B11:B13)</f>
        <v>11.649353319434399</v>
      </c>
      <c r="C10" s="22">
        <f t="shared" si="30"/>
        <v>12.689135844696207</v>
      </c>
      <c r="D10" s="22">
        <f t="shared" ref="D10:V10" si="31">SUM(D11:D13)</f>
        <v>12.016017418999766</v>
      </c>
      <c r="E10" s="22">
        <f t="shared" si="31"/>
        <v>13.015212984474177</v>
      </c>
      <c r="F10" s="22">
        <f t="shared" si="31"/>
        <v>18.904926504310922</v>
      </c>
      <c r="G10" s="22">
        <f t="shared" si="31"/>
        <v>21.416839240672182</v>
      </c>
      <c r="H10" s="22">
        <f t="shared" si="31"/>
        <v>27.977269265262585</v>
      </c>
      <c r="I10" s="22">
        <f t="shared" si="31"/>
        <v>26.63437508439069</v>
      </c>
      <c r="J10" s="22">
        <f t="shared" si="31"/>
        <v>23.734030205173113</v>
      </c>
      <c r="K10" s="22">
        <f t="shared" si="31"/>
        <v>15.080875329404948</v>
      </c>
      <c r="L10" s="22">
        <f t="shared" si="31"/>
        <v>22.516245033443575</v>
      </c>
      <c r="M10" s="22">
        <f t="shared" si="31"/>
        <v>17.563654589285747</v>
      </c>
      <c r="N10" s="22">
        <f t="shared" si="31"/>
        <v>17.915500383777466</v>
      </c>
      <c r="O10" s="22">
        <f t="shared" si="31"/>
        <v>19.144806349542755</v>
      </c>
      <c r="P10" s="22">
        <f t="shared" si="31"/>
        <v>20.085217462409133</v>
      </c>
      <c r="Q10" s="22">
        <f t="shared" si="31"/>
        <v>22.801526853847232</v>
      </c>
      <c r="R10" s="22">
        <f t="shared" si="31"/>
        <v>19.235961095679212</v>
      </c>
      <c r="S10" s="22">
        <f t="shared" si="31"/>
        <v>24.614192687325165</v>
      </c>
      <c r="T10" s="22">
        <f t="shared" si="31"/>
        <v>22.214741388786308</v>
      </c>
      <c r="U10" s="22">
        <f t="shared" si="31"/>
        <v>20.194901733283309</v>
      </c>
      <c r="V10" s="22">
        <f t="shared" si="31"/>
        <v>27.176535897137597</v>
      </c>
      <c r="W10" s="22">
        <f t="shared" ref="W10:Y10" si="32">SUM(W11:W13)</f>
        <v>34.740975820017702</v>
      </c>
      <c r="X10" s="22">
        <f t="shared" si="32"/>
        <v>27.536866258369912</v>
      </c>
      <c r="Y10" s="22">
        <f t="shared" si="32"/>
        <v>26.085281936197667</v>
      </c>
      <c r="DA10" s="193" t="s">
        <v>284</v>
      </c>
    </row>
    <row r="11" spans="1:105" ht="11.45" customHeight="1" x14ac:dyDescent="0.25">
      <c r="A11" s="92" t="s">
        <v>27</v>
      </c>
      <c r="B11" s="97">
        <v>1.3417686730547813</v>
      </c>
      <c r="C11" s="97">
        <v>1.526970884726625</v>
      </c>
      <c r="D11" s="97">
        <v>1.244921436849292</v>
      </c>
      <c r="E11" s="97">
        <v>1.0496256876809791</v>
      </c>
      <c r="F11" s="97">
        <v>2.121665538132417</v>
      </c>
      <c r="G11" s="97">
        <v>2.9118181611708613</v>
      </c>
      <c r="H11" s="97">
        <v>5.2555721502332116</v>
      </c>
      <c r="I11" s="97">
        <v>3.7748152502299739</v>
      </c>
      <c r="J11" s="97">
        <v>2.5883612988198599</v>
      </c>
      <c r="K11" s="97">
        <v>2.2758486224959511</v>
      </c>
      <c r="L11" s="97">
        <v>2.3817339153856478</v>
      </c>
      <c r="M11" s="97">
        <v>1.1301110279438238</v>
      </c>
      <c r="N11" s="97">
        <v>1.7375400296937316</v>
      </c>
      <c r="O11" s="97">
        <v>1.592986822852255</v>
      </c>
      <c r="P11" s="97">
        <v>1.249352808584689</v>
      </c>
      <c r="Q11" s="97">
        <v>1.2061823968291345</v>
      </c>
      <c r="R11" s="97">
        <v>0.47115156726479518</v>
      </c>
      <c r="S11" s="97">
        <v>0.77530666972736095</v>
      </c>
      <c r="T11" s="97">
        <v>0.74223354675244435</v>
      </c>
      <c r="U11" s="97">
        <v>0.49946765194636095</v>
      </c>
      <c r="V11" s="97">
        <v>0.40835573785393509</v>
      </c>
      <c r="W11" s="97">
        <v>1.0627252274764214</v>
      </c>
      <c r="X11" s="97">
        <v>1.1270324251488701</v>
      </c>
      <c r="Y11" s="97">
        <v>0.72702725708363891</v>
      </c>
      <c r="DA11" s="175" t="s">
        <v>285</v>
      </c>
    </row>
    <row r="12" spans="1:105" ht="11.45" customHeight="1" x14ac:dyDescent="0.25">
      <c r="A12" s="92" t="s">
        <v>181</v>
      </c>
      <c r="B12" s="97">
        <v>4.392056988240963</v>
      </c>
      <c r="C12" s="97">
        <v>4.744725746833903</v>
      </c>
      <c r="D12" s="97">
        <v>3.7666764818229028</v>
      </c>
      <c r="E12" s="97">
        <v>3.7522888894941357</v>
      </c>
      <c r="F12" s="97">
        <v>3.7069889806629259</v>
      </c>
      <c r="G12" s="97">
        <v>7.0052750219549473</v>
      </c>
      <c r="H12" s="97">
        <v>10.531712227955563</v>
      </c>
      <c r="I12" s="97">
        <v>11.186992320104585</v>
      </c>
      <c r="J12" s="97">
        <v>10.285210673562323</v>
      </c>
      <c r="K12" s="97">
        <v>7.002589485584255</v>
      </c>
      <c r="L12" s="97">
        <v>9.9846923923762851</v>
      </c>
      <c r="M12" s="97">
        <v>8.70939582776513</v>
      </c>
      <c r="N12" s="97">
        <v>6.7431723271895843</v>
      </c>
      <c r="O12" s="97">
        <v>6.781945955706731</v>
      </c>
      <c r="P12" s="97">
        <v>8.2849030480538168</v>
      </c>
      <c r="Q12" s="97">
        <v>9.6104860609186211</v>
      </c>
      <c r="R12" s="97">
        <v>8.2743223679299973</v>
      </c>
      <c r="S12" s="97">
        <v>9.4674956758907651</v>
      </c>
      <c r="T12" s="97">
        <v>10.265604766158461</v>
      </c>
      <c r="U12" s="97">
        <v>9.8459207165114897</v>
      </c>
      <c r="V12" s="97">
        <v>8.1878147046796972</v>
      </c>
      <c r="W12" s="97">
        <v>10.763825683438144</v>
      </c>
      <c r="X12" s="97">
        <v>9.8949124371735078</v>
      </c>
      <c r="Y12" s="97">
        <v>10.800377236145801</v>
      </c>
      <c r="DA12" s="175" t="s">
        <v>286</v>
      </c>
    </row>
    <row r="13" spans="1:105" ht="11.45" customHeight="1" x14ac:dyDescent="0.25">
      <c r="A13" s="85" t="s">
        <v>182</v>
      </c>
      <c r="B13" s="98">
        <v>5.9155276581386538</v>
      </c>
      <c r="C13" s="98">
        <v>6.4174392131356779</v>
      </c>
      <c r="D13" s="98">
        <v>7.0044195003275727</v>
      </c>
      <c r="E13" s="98">
        <v>8.213298407299062</v>
      </c>
      <c r="F13" s="98">
        <v>13.07627198551558</v>
      </c>
      <c r="G13" s="98">
        <v>11.499746057546375</v>
      </c>
      <c r="H13" s="98">
        <v>12.189984887073811</v>
      </c>
      <c r="I13" s="98">
        <v>11.67256751405613</v>
      </c>
      <c r="J13" s="98">
        <v>10.860458232790931</v>
      </c>
      <c r="K13" s="98">
        <v>5.8024372213247428</v>
      </c>
      <c r="L13" s="98">
        <v>10.149818725681639</v>
      </c>
      <c r="M13" s="98">
        <v>7.7241477335767916</v>
      </c>
      <c r="N13" s="98">
        <v>9.4347880268941502</v>
      </c>
      <c r="O13" s="98">
        <v>10.769873570983771</v>
      </c>
      <c r="P13" s="98">
        <v>10.550961605770627</v>
      </c>
      <c r="Q13" s="98">
        <v>11.984858396099476</v>
      </c>
      <c r="R13" s="98">
        <v>10.490487160484419</v>
      </c>
      <c r="S13" s="98">
        <v>14.371390341707038</v>
      </c>
      <c r="T13" s="98">
        <v>11.206903075875404</v>
      </c>
      <c r="U13" s="98">
        <v>9.8495133648254605</v>
      </c>
      <c r="V13" s="98">
        <v>18.580365454603964</v>
      </c>
      <c r="W13" s="98">
        <v>22.914424909103136</v>
      </c>
      <c r="X13" s="98">
        <v>16.514921396047534</v>
      </c>
      <c r="Y13" s="98">
        <v>14.557877442968229</v>
      </c>
      <c r="DA13" s="178" t="s">
        <v>287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73</v>
      </c>
      <c r="B17" s="62">
        <f>IF(B3=0,0,B3/TrAvia_act!B13*100)</f>
        <v>687.77206968689825</v>
      </c>
      <c r="C17" s="62">
        <f>IF(C3=0,0,C3/TrAvia_act!C13*100)</f>
        <v>763.8222361690257</v>
      </c>
      <c r="D17" s="62">
        <f>IF(D3=0,0,D3/TrAvia_act!D13*100)</f>
        <v>808.19853312007126</v>
      </c>
      <c r="E17" s="62">
        <f>IF(E3=0,0,E3/TrAvia_act!E13*100)</f>
        <v>791.42336226807333</v>
      </c>
      <c r="F17" s="62">
        <f>IF(F3=0,0,F3/TrAvia_act!F13*100)</f>
        <v>727.76010712886591</v>
      </c>
      <c r="G17" s="62">
        <f>IF(G3=0,0,G3/TrAvia_act!G13*100)</f>
        <v>696.66306550477134</v>
      </c>
      <c r="H17" s="62">
        <f>IF(H3=0,0,H3/TrAvia_act!H13*100)</f>
        <v>616.76020817637755</v>
      </c>
      <c r="I17" s="62">
        <f>IF(I3=0,0,I3/TrAvia_act!I13*100)</f>
        <v>623.61810385592889</v>
      </c>
      <c r="J17" s="62">
        <f>IF(J3=0,0,J3/TrAvia_act!J13*100)</f>
        <v>588.38497319697183</v>
      </c>
      <c r="K17" s="62">
        <f>IF(K3=0,0,K3/TrAvia_act!K13*100)</f>
        <v>439.87378085063284</v>
      </c>
      <c r="L17" s="62">
        <f>IF(L3=0,0,L3/TrAvia_act!L13*100)</f>
        <v>614.26930825768727</v>
      </c>
      <c r="M17" s="62">
        <f>IF(M3=0,0,M3/TrAvia_act!M13*100)</f>
        <v>534.96752409257761</v>
      </c>
      <c r="N17" s="62">
        <f>IF(N3=0,0,N3/TrAvia_act!N13*100)</f>
        <v>466.20994324525486</v>
      </c>
      <c r="O17" s="62">
        <f>IF(O3=0,0,O3/TrAvia_act!O13*100)</f>
        <v>505.01268718059896</v>
      </c>
      <c r="P17" s="62">
        <f>IF(P3=0,0,P3/TrAvia_act!P13*100)</f>
        <v>540.23374909933864</v>
      </c>
      <c r="Q17" s="62">
        <f>IF(Q3=0,0,Q3/TrAvia_act!Q13*100)</f>
        <v>555.60051890959517</v>
      </c>
      <c r="R17" s="62">
        <f>IF(R3=0,0,R3/TrAvia_act!R13*100)</f>
        <v>527.15951232795908</v>
      </c>
      <c r="S17" s="62">
        <f>IF(S3=0,0,S3/TrAvia_act!S13*100)</f>
        <v>559.9071301010755</v>
      </c>
      <c r="T17" s="62">
        <f>IF(T3=0,0,T3/TrAvia_act!T13*100)</f>
        <v>556.78509189331362</v>
      </c>
      <c r="U17" s="62">
        <f>IF(U3=0,0,U3/TrAvia_act!U13*100)</f>
        <v>552.10030513079755</v>
      </c>
      <c r="V17" s="62">
        <f>IF(V3=0,0,V3/TrAvia_act!V13*100)</f>
        <v>586.00668741130414</v>
      </c>
      <c r="W17" s="62">
        <f>IF(W3=0,0,W3/TrAvia_act!W13*100)</f>
        <v>617.6243458926491</v>
      </c>
      <c r="X17" s="62">
        <f>IF(X3=0,0,X3/TrAvia_act!X13*100)</f>
        <v>557.03873687655732</v>
      </c>
      <c r="Y17" s="62">
        <f>IF(Y3=0,0,Y3/TrAvia_act!Y13*100)</f>
        <v>543.08246396868299</v>
      </c>
      <c r="DA17" s="172" t="s">
        <v>288</v>
      </c>
    </row>
    <row r="18" spans="1:105" ht="11.45" customHeight="1" x14ac:dyDescent="0.25">
      <c r="A18" s="10" t="s">
        <v>33</v>
      </c>
      <c r="B18" s="14">
        <f>IF(B6=0,0,B6/TrAvia_act!B14*100)</f>
        <v>686.24125441163415</v>
      </c>
      <c r="C18" s="14">
        <f>IF(C6=0,0,C6/TrAvia_act!C14*100)</f>
        <v>762.19761257452603</v>
      </c>
      <c r="D18" s="14">
        <f>IF(D6=0,0,D6/TrAvia_act!D14*100)</f>
        <v>806.30618322061309</v>
      </c>
      <c r="E18" s="14">
        <f>IF(E6=0,0,E6/TrAvia_act!E14*100)</f>
        <v>789.05915770460012</v>
      </c>
      <c r="F18" s="14">
        <f>IF(F6=0,0,F6/TrAvia_act!F14*100)</f>
        <v>723.54383423773425</v>
      </c>
      <c r="G18" s="14">
        <f>IF(G6=0,0,G6/TrAvia_act!G14*100)</f>
        <v>694.56810233408362</v>
      </c>
      <c r="H18" s="14">
        <f>IF(H6=0,0,H6/TrAvia_act!H14*100)</f>
        <v>615.14791902816694</v>
      </c>
      <c r="I18" s="14">
        <f>IF(I6=0,0,I6/TrAvia_act!I14*100)</f>
        <v>623.39239222481262</v>
      </c>
      <c r="J18" s="14">
        <f>IF(J6=0,0,J6/TrAvia_act!J14*100)</f>
        <v>588.34948745769793</v>
      </c>
      <c r="K18" s="14">
        <f>IF(K6=0,0,K6/TrAvia_act!K14*100)</f>
        <v>439.29188144316322</v>
      </c>
      <c r="L18" s="14">
        <f>IF(L6=0,0,L6/TrAvia_act!L14*100)</f>
        <v>614.29741662933907</v>
      </c>
      <c r="M18" s="14">
        <f>IF(M6=0,0,M6/TrAvia_act!M14*100)</f>
        <v>535.07611132985858</v>
      </c>
      <c r="N18" s="14">
        <f>IF(N6=0,0,N6/TrAvia_act!N14*100)</f>
        <v>465.21720334506853</v>
      </c>
      <c r="O18" s="14">
        <f>IF(O6=0,0,O6/TrAvia_act!O14*100)</f>
        <v>504.16129112372488</v>
      </c>
      <c r="P18" s="14">
        <f>IF(P6=0,0,P6/TrAvia_act!P14*100)</f>
        <v>539.99469406005528</v>
      </c>
      <c r="Q18" s="14">
        <f>IF(Q6=0,0,Q6/TrAvia_act!Q14*100)</f>
        <v>555.76872926033514</v>
      </c>
      <c r="R18" s="14">
        <f>IF(R6=0,0,R6/TrAvia_act!R14*100)</f>
        <v>527.64829545709313</v>
      </c>
      <c r="S18" s="14">
        <f>IF(S6=0,0,S6/TrAvia_act!S14*100)</f>
        <v>561.31682108008306</v>
      </c>
      <c r="T18" s="14">
        <f>IF(T6=0,0,T6/TrAvia_act!T14*100)</f>
        <v>557.90540607332139</v>
      </c>
      <c r="U18" s="14">
        <f>IF(U6=0,0,U6/TrAvia_act!U14*100)</f>
        <v>552.33791934050964</v>
      </c>
      <c r="V18" s="14">
        <f>IF(V6=0,0,V6/TrAvia_act!V14*100)</f>
        <v>584.563867532465</v>
      </c>
      <c r="W18" s="14">
        <f>IF(W6=0,0,W6/TrAvia_act!W14*100)</f>
        <v>615.5128107631557</v>
      </c>
      <c r="X18" s="14">
        <f>IF(X6=0,0,X6/TrAvia_act!X14*100)</f>
        <v>558.49605562469594</v>
      </c>
      <c r="Y18" s="14">
        <f>IF(Y6=0,0,Y6/TrAvia_act!Y14*100)</f>
        <v>544.64563063396338</v>
      </c>
      <c r="DA18" s="189" t="s">
        <v>289</v>
      </c>
    </row>
    <row r="19" spans="1:105" ht="11.45" customHeight="1" x14ac:dyDescent="0.25">
      <c r="A19" s="83" t="s">
        <v>27</v>
      </c>
      <c r="B19" s="87">
        <f>IF(B7=0,0,B7/TrAvia_act!B15*100)</f>
        <v>858.25137790733731</v>
      </c>
      <c r="C19" s="87">
        <f>IF(C7=0,0,C7/TrAvia_act!C15*100)</f>
        <v>987.46446259140089</v>
      </c>
      <c r="D19" s="87">
        <f>IF(D7=0,0,D7/TrAvia_act!D15*100)</f>
        <v>1110.679750973072</v>
      </c>
      <c r="E19" s="87">
        <f>IF(E7=0,0,E7/TrAvia_act!E15*100)</f>
        <v>959.33385548579326</v>
      </c>
      <c r="F19" s="87">
        <f>IF(F7=0,0,F7/TrAvia_act!F15*100)</f>
        <v>992.74082393091021</v>
      </c>
      <c r="G19" s="87">
        <f>IF(G7=0,0,G7/TrAvia_act!G15*100)</f>
        <v>991.19083836353673</v>
      </c>
      <c r="H19" s="87">
        <f>IF(H7=0,0,H7/TrAvia_act!H15*100)</f>
        <v>1231.402442200279</v>
      </c>
      <c r="I19" s="87">
        <f>IF(I7=0,0,I7/TrAvia_act!I15*100)</f>
        <v>1060.8002736555061</v>
      </c>
      <c r="J19" s="87">
        <f>IF(J7=0,0,J7/TrAvia_act!J15*100)</f>
        <v>932.95681387136165</v>
      </c>
      <c r="K19" s="87">
        <f>IF(K7=0,0,K7/TrAvia_act!K15*100)</f>
        <v>886.20512883556319</v>
      </c>
      <c r="L19" s="87">
        <f>IF(L7=0,0,L7/TrAvia_act!L15*100)</f>
        <v>1040.100368692918</v>
      </c>
      <c r="M19" s="87">
        <f>IF(M7=0,0,M7/TrAvia_act!M15*100)</f>
        <v>708.40640412365849</v>
      </c>
      <c r="N19" s="87">
        <f>IF(N7=0,0,N7/TrAvia_act!N15*100)</f>
        <v>1091.8493394716866</v>
      </c>
      <c r="O19" s="87">
        <f>IF(O7=0,0,O7/TrAvia_act!O15*100)</f>
        <v>1144.4813194220112</v>
      </c>
      <c r="P19" s="87">
        <f>IF(P7=0,0,P7/TrAvia_act!P15*100)</f>
        <v>1233.0003929234151</v>
      </c>
      <c r="Q19" s="87">
        <f>IF(Q7=0,0,Q7/TrAvia_act!Q15*100)</f>
        <v>1193.9019737330962</v>
      </c>
      <c r="R19" s="87">
        <f>IF(R7=0,0,R7/TrAvia_act!R15*100)</f>
        <v>596.73035120652912</v>
      </c>
      <c r="S19" s="87">
        <f>IF(S7=0,0,S7/TrAvia_act!S15*100)</f>
        <v>794.13085409190535</v>
      </c>
      <c r="T19" s="87">
        <f>IF(T7=0,0,T7/TrAvia_act!T15*100)</f>
        <v>776.35254443483086</v>
      </c>
      <c r="U19" s="87">
        <f>IF(U7=0,0,U7/TrAvia_act!U15*100)</f>
        <v>874.69891805673501</v>
      </c>
      <c r="V19" s="87">
        <f>IF(V7=0,0,V7/TrAvia_act!V15*100)</f>
        <v>735.74657020550706</v>
      </c>
      <c r="W19" s="87">
        <f>IF(W7=0,0,W7/TrAvia_act!W15*100)</f>
        <v>1053.5733175527998</v>
      </c>
      <c r="X19" s="87">
        <f>IF(X7=0,0,X7/TrAvia_act!X15*100)</f>
        <v>2097.684968182999</v>
      </c>
      <c r="Y19" s="87">
        <f>IF(Y7=0,0,Y7/TrAvia_act!Y15*100)</f>
        <v>1103.2634727464449</v>
      </c>
      <c r="DA19" s="171" t="s">
        <v>290</v>
      </c>
    </row>
    <row r="20" spans="1:105" ht="11.45" customHeight="1" x14ac:dyDescent="0.25">
      <c r="A20" s="83" t="s">
        <v>181</v>
      </c>
      <c r="B20" s="87">
        <f>IF(B8=0,0,B8/TrAvia_act!B16*100)</f>
        <v>581.16102941407951</v>
      </c>
      <c r="C20" s="87">
        <f>IF(C8=0,0,C8/TrAvia_act!C16*100)</f>
        <v>644.72625982962984</v>
      </c>
      <c r="D20" s="87">
        <f>IF(D8=0,0,D8/TrAvia_act!D16*100)</f>
        <v>683.98136176136165</v>
      </c>
      <c r="E20" s="87">
        <f>IF(E8=0,0,E8/TrAvia_act!E16*100)</f>
        <v>686.63438206324713</v>
      </c>
      <c r="F20" s="87">
        <f>IF(F8=0,0,F8/TrAvia_act!F16*100)</f>
        <v>627.6787014627007</v>
      </c>
      <c r="G20" s="87">
        <f>IF(G8=0,0,G8/TrAvia_act!G16*100)</f>
        <v>621.04777311513146</v>
      </c>
      <c r="H20" s="87">
        <f>IF(H8=0,0,H8/TrAvia_act!H16*100)</f>
        <v>558.67356835993996</v>
      </c>
      <c r="I20" s="87">
        <f>IF(I8=0,0,I8/TrAvia_act!I16*100)</f>
        <v>603.24589832738786</v>
      </c>
      <c r="J20" s="87">
        <f>IF(J8=0,0,J8/TrAvia_act!J16*100)</f>
        <v>555.67785896504608</v>
      </c>
      <c r="K20" s="87">
        <f>IF(K8=0,0,K8/TrAvia_act!K16*100)</f>
        <v>397.33605099164851</v>
      </c>
      <c r="L20" s="87">
        <f>IF(L8=0,0,L8/TrAvia_act!L16*100)</f>
        <v>566.3236159924719</v>
      </c>
      <c r="M20" s="87">
        <f>IF(M8=0,0,M8/TrAvia_act!M16*100)</f>
        <v>506.93501983851144</v>
      </c>
      <c r="N20" s="87">
        <f>IF(N8=0,0,N8/TrAvia_act!N16*100)</f>
        <v>426.12467186297732</v>
      </c>
      <c r="O20" s="87">
        <f>IF(O8=0,0,O8/TrAvia_act!O16*100)</f>
        <v>466.38880521669063</v>
      </c>
      <c r="P20" s="87">
        <f>IF(P8=0,0,P8/TrAvia_act!P16*100)</f>
        <v>523.97096695861921</v>
      </c>
      <c r="Q20" s="87">
        <f>IF(Q8=0,0,Q8/TrAvia_act!Q16*100)</f>
        <v>563.64013167682469</v>
      </c>
      <c r="R20" s="87">
        <f>IF(R8=0,0,R8/TrAvia_act!R16*100)</f>
        <v>541.84931344198128</v>
      </c>
      <c r="S20" s="87">
        <f>IF(S8=0,0,S8/TrAvia_act!S16*100)</f>
        <v>610.58537518804371</v>
      </c>
      <c r="T20" s="87">
        <f>IF(T8=0,0,T8/TrAvia_act!T16*100)</f>
        <v>631.78089213016881</v>
      </c>
      <c r="U20" s="87">
        <f>IF(U8=0,0,U8/TrAvia_act!U16*100)</f>
        <v>599.17711758498137</v>
      </c>
      <c r="V20" s="87">
        <f>IF(V8=0,0,V8/TrAvia_act!V16*100)</f>
        <v>514.71733468017862</v>
      </c>
      <c r="W20" s="87">
        <f>IF(W8=0,0,W8/TrAvia_act!W16*100)</f>
        <v>554.01238547739456</v>
      </c>
      <c r="X20" s="87">
        <f>IF(X8=0,0,X8/TrAvia_act!X16*100)</f>
        <v>592.82117582908234</v>
      </c>
      <c r="Y20" s="87">
        <f>IF(Y8=0,0,Y8/TrAvia_act!Y16*100)</f>
        <v>592.09236463785487</v>
      </c>
      <c r="DA20" s="171" t="s">
        <v>291</v>
      </c>
    </row>
    <row r="21" spans="1:105" ht="11.45" customHeight="1" x14ac:dyDescent="0.25">
      <c r="A21" s="83" t="s">
        <v>182</v>
      </c>
      <c r="B21" s="87">
        <f>IF(B9=0,0,B9/TrAvia_act!B17*100)</f>
        <v>942.42571458544933</v>
      </c>
      <c r="C21" s="87">
        <f>IF(C9=0,0,C9/TrAvia_act!C17*100)</f>
        <v>1049.2921223811156</v>
      </c>
      <c r="D21" s="87">
        <f>IF(D9=0,0,D9/TrAvia_act!D17*100)</f>
        <v>1115.9013082747629</v>
      </c>
      <c r="E21" s="87">
        <f>IF(E9=0,0,E9/TrAvia_act!E17*100)</f>
        <v>1125.6884074811085</v>
      </c>
      <c r="F21" s="87">
        <f>IF(F9=0,0,F9/TrAvia_act!F17*100)</f>
        <v>1032.7886163432029</v>
      </c>
      <c r="G21" s="87">
        <f>IF(G9=0,0,G9/TrAvia_act!G17*100)</f>
        <v>887.55477789934412</v>
      </c>
      <c r="H21" s="87">
        <f>IF(H9=0,0,H9/TrAvia_act!H17*100)</f>
        <v>695.79413767901008</v>
      </c>
      <c r="I21" s="87">
        <f>IF(I9=0,0,I9/TrAvia_act!I17*100)</f>
        <v>627.0666834199061</v>
      </c>
      <c r="J21" s="87">
        <f>IF(J9=0,0,J9/TrAvia_act!J17*100)</f>
        <v>641.92538157546687</v>
      </c>
      <c r="K21" s="87">
        <f>IF(K9=0,0,K9/TrAvia_act!K17*100)</f>
        <v>511.76859002386504</v>
      </c>
      <c r="L21" s="87">
        <f>IF(L9=0,0,L9/TrAvia_act!L17*100)</f>
        <v>705.09409943433184</v>
      </c>
      <c r="M21" s="87">
        <f>IF(M9=0,0,M9/TrAvia_act!M17*100)</f>
        <v>598.43332207785761</v>
      </c>
      <c r="N21" s="87">
        <f>IF(N9=0,0,N9/TrAvia_act!N17*100)</f>
        <v>556.14014097899576</v>
      </c>
      <c r="O21" s="87">
        <f>IF(O9=0,0,O9/TrAvia_act!O17*100)</f>
        <v>588.48913519678422</v>
      </c>
      <c r="P21" s="87">
        <f>IF(P9=0,0,P9/TrAvia_act!P17*100)</f>
        <v>565.65535508466064</v>
      </c>
      <c r="Q21" s="87">
        <f>IF(Q9=0,0,Q9/TrAvia_act!Q17*100)</f>
        <v>532.46314553441164</v>
      </c>
      <c r="R21" s="87">
        <f>IF(R9=0,0,R9/TrAvia_act!R17*100)</f>
        <v>497.53497221789092</v>
      </c>
      <c r="S21" s="87">
        <f>IF(S9=0,0,S9/TrAvia_act!S17*100)</f>
        <v>471.05236975440266</v>
      </c>
      <c r="T21" s="87">
        <f>IF(T9=0,0,T9/TrAvia_act!T17*100)</f>
        <v>437.47301489586869</v>
      </c>
      <c r="U21" s="87">
        <f>IF(U9=0,0,U9/TrAvia_act!U17*100)</f>
        <v>467.3909109068357</v>
      </c>
      <c r="V21" s="87">
        <f>IF(V9=0,0,V9/TrAvia_act!V17*100)</f>
        <v>726.51019230752217</v>
      </c>
      <c r="W21" s="87">
        <f>IF(W9=0,0,W9/TrAvia_act!W17*100)</f>
        <v>741.22869263201676</v>
      </c>
      <c r="X21" s="87">
        <f>IF(X9=0,0,X9/TrAvia_act!X17*100)</f>
        <v>478.88242831406558</v>
      </c>
      <c r="Y21" s="87">
        <f>IF(Y9=0,0,Y9/TrAvia_act!Y17*100)</f>
        <v>455.37180748891188</v>
      </c>
      <c r="DA21" s="171" t="s">
        <v>292</v>
      </c>
    </row>
    <row r="22" spans="1:105" ht="11.45" customHeight="1" x14ac:dyDescent="0.25">
      <c r="A22" s="12" t="s">
        <v>34</v>
      </c>
      <c r="B22" s="15">
        <f>IF(B10=0,0,B10/TrAvia_act!B18*100)</f>
        <v>780.12889349218688</v>
      </c>
      <c r="C22" s="15">
        <f>IF(C10=0,0,C10/TrAvia_act!C18*100)</f>
        <v>872.84847495312476</v>
      </c>
      <c r="D22" s="15">
        <f>IF(D10=0,0,D10/TrAvia_act!D18*100)</f>
        <v>955.79359516619627</v>
      </c>
      <c r="E22" s="15">
        <f>IF(E10=0,0,E10/TrAvia_act!E18*100)</f>
        <v>962.39938467931745</v>
      </c>
      <c r="F22" s="15">
        <f>IF(F10=0,0,F10/TrAvia_act!F18*100)</f>
        <v>937.10458585892093</v>
      </c>
      <c r="G22" s="15">
        <f>IF(G10=0,0,G10/TrAvia_act!G18*100)</f>
        <v>790.16637073134439</v>
      </c>
      <c r="H22" s="15">
        <f>IF(H10=0,0,H10/TrAvia_act!H18*100)</f>
        <v>671.16810622679372</v>
      </c>
      <c r="I22" s="15">
        <f>IF(I10=0,0,I10/TrAvia_act!I18*100)</f>
        <v>632.39934985783214</v>
      </c>
      <c r="J22" s="15">
        <f>IF(J10=0,0,J10/TrAvia_act!J18*100)</f>
        <v>589.81136739704198</v>
      </c>
      <c r="K22" s="15">
        <f>IF(K10=0,0,K10/TrAvia_act!K18*100)</f>
        <v>463.75972463551676</v>
      </c>
      <c r="L22" s="15">
        <f>IF(L10=0,0,L10/TrAvia_act!L18*100)</f>
        <v>613.33895683813034</v>
      </c>
      <c r="M22" s="15">
        <f>IF(M10=0,0,M10/TrAvia_act!M18*100)</f>
        <v>530.77292333524508</v>
      </c>
      <c r="N22" s="15">
        <f>IF(N10=0,0,N10/TrAvia_act!N18*100)</f>
        <v>500.22595778991717</v>
      </c>
      <c r="O22" s="15">
        <f>IF(O10=0,0,O10/TrAvia_act!O18*100)</f>
        <v>534.76682741661364</v>
      </c>
      <c r="P22" s="15">
        <f>IF(P10=0,0,P10/TrAvia_act!P18*100)</f>
        <v>549.06694094295051</v>
      </c>
      <c r="Q22" s="15">
        <f>IF(Q10=0,0,Q10/TrAvia_act!Q18*100)</f>
        <v>549.58873062039413</v>
      </c>
      <c r="R22" s="15">
        <f>IF(R10=0,0,R10/TrAvia_act!R18*100)</f>
        <v>506.41069729254565</v>
      </c>
      <c r="S22" s="15">
        <f>IF(S10=0,0,S10/TrAvia_act!S18*100)</f>
        <v>508.19536843669493</v>
      </c>
      <c r="T22" s="15">
        <f>IF(T10=0,0,T10/TrAvia_act!T18*100)</f>
        <v>507.20919478166724</v>
      </c>
      <c r="U22" s="15">
        <f>IF(U10=0,0,U10/TrAvia_act!U18*100)</f>
        <v>539.5020070634456</v>
      </c>
      <c r="V22" s="15">
        <f>IF(V10=0,0,V10/TrAvia_act!V18*100)</f>
        <v>606.46729219535177</v>
      </c>
      <c r="W22" s="15">
        <f>IF(W10=0,0,W10/TrAvia_act!W18*100)</f>
        <v>643.80373069639438</v>
      </c>
      <c r="X22" s="15">
        <f>IF(X10=0,0,X10/TrAvia_act!X18*100)</f>
        <v>509.22680060784876</v>
      </c>
      <c r="Y22" s="15">
        <f>IF(Y10=0,0,Y10/TrAvia_act!Y18*100)</f>
        <v>483.3502282578774</v>
      </c>
      <c r="DA22" s="193" t="s">
        <v>293</v>
      </c>
    </row>
    <row r="23" spans="1:105" ht="11.45" customHeight="1" x14ac:dyDescent="0.25">
      <c r="A23" s="92" t="s">
        <v>27</v>
      </c>
      <c r="B23" s="101">
        <f>IF(B11=0,0,B11/TrAvia_act!B19*100)</f>
        <v>1133.6221930553895</v>
      </c>
      <c r="C23" s="101">
        <f>IF(C11=0,0,C11/TrAvia_act!C19*100)</f>
        <v>1304.2934255189566</v>
      </c>
      <c r="D23" s="101">
        <f>IF(D11=0,0,D11/TrAvia_act!D19*100)</f>
        <v>1467.042462722673</v>
      </c>
      <c r="E23" s="101">
        <f>IF(E11=0,0,E11/TrAvia_act!E19*100)</f>
        <v>1267.1370849176815</v>
      </c>
      <c r="F23" s="101">
        <f>IF(F11=0,0,F11/TrAvia_act!F19*100)</f>
        <v>1311.2627126847185</v>
      </c>
      <c r="G23" s="101">
        <f>IF(G11=0,0,G11/TrAvia_act!G19*100)</f>
        <v>1308.7010085797774</v>
      </c>
      <c r="H23" s="101">
        <f>IF(H11=0,0,H11/TrAvia_act!H19*100)</f>
        <v>1570.4116897696731</v>
      </c>
      <c r="I23" s="101">
        <f>IF(I11=0,0,I11/TrAvia_act!I19*100)</f>
        <v>1307.5486647360544</v>
      </c>
      <c r="J23" s="101">
        <f>IF(J11=0,0,J11/TrAvia_act!J19*100)</f>
        <v>1140.7834862955056</v>
      </c>
      <c r="K23" s="101">
        <f>IF(K11=0,0,K11/TrAvia_act!K19*100)</f>
        <v>1069.1629129835337</v>
      </c>
      <c r="L23" s="101">
        <f>IF(L11=0,0,L11/TrAvia_act!L19*100)</f>
        <v>1249.1185318380365</v>
      </c>
      <c r="M23" s="101">
        <f>IF(M11=0,0,M11/TrAvia_act!M19*100)</f>
        <v>930.11513986957107</v>
      </c>
      <c r="N23" s="101">
        <f>IF(N11=0,0,N11/TrAvia_act!N19*100)</f>
        <v>1479.58573819769</v>
      </c>
      <c r="O23" s="101">
        <f>IF(O11=0,0,O11/TrAvia_act!O19*100)</f>
        <v>1491.3502890563968</v>
      </c>
      <c r="P23" s="101">
        <f>IF(P11=0,0,P11/TrAvia_act!P19*100)</f>
        <v>1558.0520304204767</v>
      </c>
      <c r="Q23" s="101">
        <f>IF(Q11=0,0,Q11/TrAvia_act!Q19*100)</f>
        <v>1447.6646237568129</v>
      </c>
      <c r="R23" s="101">
        <f>IF(R11=0,0,R11/TrAvia_act!R19*100)</f>
        <v>700.43752325110722</v>
      </c>
      <c r="S23" s="101">
        <f>IF(S11=0,0,S11/TrAvia_act!S19*100)</f>
        <v>905.2347331717591</v>
      </c>
      <c r="T23" s="101">
        <f>IF(T11=0,0,T11/TrAvia_act!T19*100)</f>
        <v>867.10901482617192</v>
      </c>
      <c r="U23" s="101">
        <f>IF(U11=0,0,U11/TrAvia_act!U19*100)</f>
        <v>978.57717377161077</v>
      </c>
      <c r="V23" s="101">
        <f>IF(V11=0,0,V11/TrAvia_act!V19*100)</f>
        <v>846.12015584724872</v>
      </c>
      <c r="W23" s="101">
        <f>IF(W11=0,0,W11/TrAvia_act!W19*100)</f>
        <v>1178.6246350312638</v>
      </c>
      <c r="X23" s="101">
        <f>IF(X11=0,0,X11/TrAvia_act!X19*100)</f>
        <v>2361.0703963448477</v>
      </c>
      <c r="Y23" s="101">
        <f>IF(Y11=0,0,Y11/TrAvia_act!Y19*100)</f>
        <v>1263.6774271213042</v>
      </c>
      <c r="DA23" s="175" t="s">
        <v>294</v>
      </c>
    </row>
    <row r="24" spans="1:105" ht="11.45" customHeight="1" x14ac:dyDescent="0.25">
      <c r="A24" s="92" t="s">
        <v>181</v>
      </c>
      <c r="B24" s="101">
        <f>IF(B12=0,0,B12/TrAvia_act!B20*100)</f>
        <v>597.28812229535527</v>
      </c>
      <c r="C24" s="101">
        <f>IF(C12=0,0,C12/TrAvia_act!C20*100)</f>
        <v>664.97238547738129</v>
      </c>
      <c r="D24" s="101">
        <f>IF(D12=0,0,D12/TrAvia_act!D20*100)</f>
        <v>707.02260605562958</v>
      </c>
      <c r="E24" s="101">
        <f>IF(E12=0,0,E12/TrAvia_act!E20*100)</f>
        <v>713.21387527133197</v>
      </c>
      <c r="F24" s="101">
        <f>IF(F12=0,0,F12/TrAvia_act!F20*100)</f>
        <v>655.51403925669297</v>
      </c>
      <c r="G24" s="101">
        <f>IF(G12=0,0,G12/TrAvia_act!G20*100)</f>
        <v>642.12551132868145</v>
      </c>
      <c r="H24" s="101">
        <f>IF(H12=0,0,H12/TrAvia_act!H20*100)</f>
        <v>567.13912334801137</v>
      </c>
      <c r="I24" s="101">
        <f>IF(I12=0,0,I12/TrAvia_act!I20*100)</f>
        <v>629.9716725459117</v>
      </c>
      <c r="J24" s="101">
        <f>IF(J12=0,0,J12/TrAvia_act!J20*100)</f>
        <v>570.3531247045089</v>
      </c>
      <c r="K24" s="101">
        <f>IF(K12=0,0,K12/TrAvia_act!K20*100)</f>
        <v>418.35909276320882</v>
      </c>
      <c r="L24" s="101">
        <f>IF(L12=0,0,L12/TrAvia_act!L20*100)</f>
        <v>585.34845077418913</v>
      </c>
      <c r="M24" s="101">
        <f>IF(M12=0,0,M12/TrAvia_act!M20*100)</f>
        <v>528.09510027088072</v>
      </c>
      <c r="N24" s="101">
        <f>IF(N12=0,0,N12/TrAvia_act!N20*100)</f>
        <v>447.53879302298589</v>
      </c>
      <c r="O24" s="101">
        <f>IF(O12=0,0,O12/TrAvia_act!O20*100)</f>
        <v>493.25050124627978</v>
      </c>
      <c r="P24" s="101">
        <f>IF(P12=0,0,P12/TrAvia_act!P20*100)</f>
        <v>568.26032323184188</v>
      </c>
      <c r="Q24" s="101">
        <f>IF(Q12=0,0,Q12/TrAvia_act!Q20*100)</f>
        <v>628.70702957630579</v>
      </c>
      <c r="R24" s="101">
        <f>IF(R12=0,0,R12/TrAvia_act!R20*100)</f>
        <v>601.82743177053408</v>
      </c>
      <c r="S24" s="101">
        <f>IF(S12=0,0,S12/TrAvia_act!S20*100)</f>
        <v>687.89359297402018</v>
      </c>
      <c r="T24" s="101">
        <f>IF(T12=0,0,T12/TrAvia_act!T20*100)</f>
        <v>695.88278685288674</v>
      </c>
      <c r="U24" s="101">
        <f>IF(U12=0,0,U12/TrAvia_act!U20*100)</f>
        <v>713.39089940246788</v>
      </c>
      <c r="V24" s="101">
        <f>IF(V12=0,0,V12/TrAvia_act!V20*100)</f>
        <v>496.36352731696974</v>
      </c>
      <c r="W24" s="101">
        <f>IF(W12=0,0,W12/TrAvia_act!W20*100)</f>
        <v>532.54647588261014</v>
      </c>
      <c r="X24" s="101">
        <f>IF(X12=0,0,X12/TrAvia_act!X20*100)</f>
        <v>596.49364059091556</v>
      </c>
      <c r="Y24" s="101">
        <f>IF(Y12=0,0,Y12/TrAvia_act!Y20*100)</f>
        <v>578.29100831870755</v>
      </c>
      <c r="DA24" s="175" t="s">
        <v>295</v>
      </c>
    </row>
    <row r="25" spans="1:105" ht="11.45" customHeight="1" x14ac:dyDescent="0.25">
      <c r="A25" s="85" t="s">
        <v>182</v>
      </c>
      <c r="B25" s="88">
        <f>IF(B13=0,0,B13/TrAvia_act!B21*100)</f>
        <v>924.92864813606332</v>
      </c>
      <c r="C25" s="88">
        <f>IF(C13=0,0,C13/TrAvia_act!C21*100)</f>
        <v>1029.8109752668354</v>
      </c>
      <c r="D25" s="88">
        <f>IF(D13=0,0,D13/TrAvia_act!D21*100)</f>
        <v>1095.1834956772693</v>
      </c>
      <c r="E25" s="88">
        <f>IF(E13=0,0,E13/TrAvia_act!E21*100)</f>
        <v>1104.7888876970324</v>
      </c>
      <c r="F25" s="88">
        <f>IF(F13=0,0,F13/TrAvia_act!F21*100)</f>
        <v>1013.6138731579794</v>
      </c>
      <c r="G25" s="88">
        <f>IF(G13=0,0,G13/TrAvia_act!G21*100)</f>
        <v>823.18991605422673</v>
      </c>
      <c r="H25" s="88">
        <f>IF(H13=0,0,H13/TrAvia_act!H21*100)</f>
        <v>616.65455417617943</v>
      </c>
      <c r="I25" s="88">
        <f>IF(I13=0,0,I13/TrAvia_act!I21*100)</f>
        <v>543.63033213908432</v>
      </c>
      <c r="J25" s="88">
        <f>IF(J13=0,0,J13/TrAvia_act!J21*100)</f>
        <v>544.71029430079011</v>
      </c>
      <c r="K25" s="88">
        <f>IF(K13=0,0,K13/TrAvia_act!K21*100)</f>
        <v>425.02868150447011</v>
      </c>
      <c r="L25" s="88">
        <f>IF(L13=0,0,L13/TrAvia_act!L21*100)</f>
        <v>571.93320049700014</v>
      </c>
      <c r="M25" s="88">
        <f>IF(M13=0,0,M13/TrAvia_act!M21*100)</f>
        <v>502.10296666001108</v>
      </c>
      <c r="N25" s="88">
        <f>IF(N13=0,0,N13/TrAvia_act!N21*100)</f>
        <v>482.02489938729673</v>
      </c>
      <c r="O25" s="88">
        <f>IF(O13=0,0,O13/TrAvia_act!O21*100)</f>
        <v>513.2754096908053</v>
      </c>
      <c r="P25" s="88">
        <f>IF(P13=0,0,P13/TrAvia_act!P21*100)</f>
        <v>497.70208633772251</v>
      </c>
      <c r="Q25" s="88">
        <f>IF(Q13=0,0,Q13/TrAvia_act!Q21*100)</f>
        <v>472.42063023966602</v>
      </c>
      <c r="R25" s="88">
        <f>IF(R13=0,0,R13/TrAvia_act!R21*100)</f>
        <v>445.19907944262434</v>
      </c>
      <c r="S25" s="88">
        <f>IF(S13=0,0,S13/TrAvia_act!S21*100)</f>
        <v>425.00027391613412</v>
      </c>
      <c r="T25" s="88">
        <f>IF(T13=0,0,T13/TrAvia_act!T21*100)</f>
        <v>397.54770883387948</v>
      </c>
      <c r="U25" s="88">
        <f>IF(U13=0,0,U13/TrAvia_act!U21*100)</f>
        <v>426.00768966782772</v>
      </c>
      <c r="V25" s="88">
        <f>IF(V13=0,0,V13/TrAvia_act!V21*100)</f>
        <v>667.56622696560851</v>
      </c>
      <c r="W25" s="88">
        <f>IF(W13=0,0,W13/TrAvia_act!W21*100)</f>
        <v>697.58111964602529</v>
      </c>
      <c r="X25" s="88">
        <f>IF(X13=0,0,X13/TrAvia_act!X21*100)</f>
        <v>446.2281861542296</v>
      </c>
      <c r="Y25" s="88">
        <f>IF(Y13=0,0,Y13/TrAvia_act!Y21*100)</f>
        <v>419.3424381216592</v>
      </c>
      <c r="DA25" s="178" t="s">
        <v>296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DA27" s="172"/>
    </row>
    <row r="28" spans="1:105" ht="11.45" customHeight="1" x14ac:dyDescent="0.25">
      <c r="A28" s="10" t="s">
        <v>155</v>
      </c>
      <c r="B28" s="14">
        <f>IF(B6=0,0,B6/TrAvia_act!B4*1000)</f>
        <v>48.244671814794415</v>
      </c>
      <c r="C28" s="14">
        <f>IF(C6=0,0,C6/TrAvia_act!C4*1000)</f>
        <v>54.034093977047313</v>
      </c>
      <c r="D28" s="14">
        <f>IF(D6=0,0,D6/TrAvia_act!D4*1000)</f>
        <v>57.445299928293188</v>
      </c>
      <c r="E28" s="14">
        <f>IF(E6=0,0,E6/TrAvia_act!E4*1000)</f>
        <v>57.401417827207752</v>
      </c>
      <c r="F28" s="14">
        <f>IF(F6=0,0,F6/TrAvia_act!F4*1000)</f>
        <v>50.458026422915509</v>
      </c>
      <c r="G28" s="14">
        <f>IF(G6=0,0,G6/TrAvia_act!G4*1000)</f>
        <v>48.669073138036694</v>
      </c>
      <c r="H28" s="14">
        <f>IF(H6=0,0,H6/TrAvia_act!H4*1000)</f>
        <v>42.756323445701568</v>
      </c>
      <c r="I28" s="14">
        <f>IF(I6=0,0,I6/TrAvia_act!I4*1000)</f>
        <v>45.658929208993918</v>
      </c>
      <c r="J28" s="14">
        <f>IF(J6=0,0,J6/TrAvia_act!J4*1000)</f>
        <v>43.098978135830187</v>
      </c>
      <c r="K28" s="14">
        <f>IF(K6=0,0,K6/TrAvia_act!K4*1000)</f>
        <v>30.534041879888747</v>
      </c>
      <c r="L28" s="14">
        <f>IF(L6=0,0,L6/TrAvia_act!L4*1000)</f>
        <v>43.703976981243457</v>
      </c>
      <c r="M28" s="14">
        <f>IF(M6=0,0,M6/TrAvia_act!M4*1000)</f>
        <v>38.945727525055425</v>
      </c>
      <c r="N28" s="14">
        <f>IF(N6=0,0,N6/TrAvia_act!N4*1000)</f>
        <v>31.391627944372466</v>
      </c>
      <c r="O28" s="14">
        <f>IF(O6=0,0,O6/TrAvia_act!O4*1000)</f>
        <v>32.387329494927869</v>
      </c>
      <c r="P28" s="14">
        <f>IF(P6=0,0,P6/TrAvia_act!P4*1000)</f>
        <v>34.766411514851598</v>
      </c>
      <c r="Q28" s="14">
        <f>IF(Q6=0,0,Q6/TrAvia_act!Q4*1000)</f>
        <v>34.582648224500069</v>
      </c>
      <c r="R28" s="14">
        <f>IF(R6=0,0,R6/TrAvia_act!R4*1000)</f>
        <v>32.143677841170401</v>
      </c>
      <c r="S28" s="14">
        <f>IF(S6=0,0,S6/TrAvia_act!S4*1000)</f>
        <v>34.063959224992175</v>
      </c>
      <c r="T28" s="14">
        <f>IF(T6=0,0,T6/TrAvia_act!T4*1000)</f>
        <v>33.455596699565021</v>
      </c>
      <c r="U28" s="14">
        <f>IF(U6=0,0,U6/TrAvia_act!U4*1000)</f>
        <v>32.361134596823661</v>
      </c>
      <c r="V28" s="14">
        <f>IF(V6=0,0,V6/TrAvia_act!V4*1000)</f>
        <v>53.957298016650583</v>
      </c>
      <c r="W28" s="14">
        <f>IF(W6=0,0,W6/TrAvia_act!W4*1000)</f>
        <v>52.687971041001362</v>
      </c>
      <c r="X28" s="14">
        <f>IF(X6=0,0,X6/TrAvia_act!X4*1000)</f>
        <v>34.035626149446983</v>
      </c>
      <c r="Y28" s="14">
        <f>IF(Y6=0,0,Y6/TrAvia_act!Y4*1000)</f>
        <v>31.756990592871592</v>
      </c>
      <c r="DA28" s="189" t="s">
        <v>297</v>
      </c>
    </row>
    <row r="29" spans="1:105" ht="11.45" customHeight="1" x14ac:dyDescent="0.25">
      <c r="A29" s="83" t="s">
        <v>27</v>
      </c>
      <c r="B29" s="87">
        <f>IF(B7=0,0,B7/TrAvia_act!B5*1000)</f>
        <v>127.46519574690477</v>
      </c>
      <c r="C29" s="87">
        <f>IF(C7=0,0,C7/TrAvia_act!C5*1000)</f>
        <v>150.39492752744977</v>
      </c>
      <c r="D29" s="87">
        <f>IF(D7=0,0,D7/TrAvia_act!D5*1000)</f>
        <v>176.58417910396162</v>
      </c>
      <c r="E29" s="87">
        <f>IF(E7=0,0,E7/TrAvia_act!E5*1000)</f>
        <v>159.83473055739981</v>
      </c>
      <c r="F29" s="87">
        <f>IF(F7=0,0,F7/TrAvia_act!F5*1000)</f>
        <v>153.3436664167001</v>
      </c>
      <c r="G29" s="87">
        <f>IF(G7=0,0,G7/TrAvia_act!G5*1000)</f>
        <v>160.78206304882539</v>
      </c>
      <c r="H29" s="87">
        <f>IF(H7=0,0,H7/TrAvia_act!H5*1000)</f>
        <v>165.89724365411749</v>
      </c>
      <c r="I29" s="87">
        <f>IF(I7=0,0,I7/TrAvia_act!I5*1000)</f>
        <v>164.95182508123179</v>
      </c>
      <c r="J29" s="87">
        <f>IF(J7=0,0,J7/TrAvia_act!J5*1000)</f>
        <v>153.36195981527268</v>
      </c>
      <c r="K29" s="87">
        <f>IF(K7=0,0,K7/TrAvia_act!K5*1000)</f>
        <v>161.16261776668179</v>
      </c>
      <c r="L29" s="87">
        <f>IF(L7=0,0,L7/TrAvia_act!L5*1000)</f>
        <v>262.10457177939054</v>
      </c>
      <c r="M29" s="87">
        <f>IF(M7=0,0,M7/TrAvia_act!M5*1000)</f>
        <v>273.61625918756619</v>
      </c>
      <c r="N29" s="87">
        <f>IF(N7=0,0,N7/TrAvia_act!N5*1000)</f>
        <v>497.95605493246603</v>
      </c>
      <c r="O29" s="87">
        <f>IF(O7=0,0,O7/TrAvia_act!O5*1000)</f>
        <v>425.68125687119147</v>
      </c>
      <c r="P29" s="87">
        <f>IF(P7=0,0,P7/TrAvia_act!P5*1000)</f>
        <v>482.99991359880823</v>
      </c>
      <c r="Q29" s="87">
        <f>IF(Q7=0,0,Q7/TrAvia_act!Q5*1000)</f>
        <v>402.64182717700191</v>
      </c>
      <c r="R29" s="87">
        <f>IF(R7=0,0,R7/TrAvia_act!R5*1000)</f>
        <v>189.96374775502304</v>
      </c>
      <c r="S29" s="87">
        <f>IF(S7=0,0,S7/TrAvia_act!S5*1000)</f>
        <v>243.39728575927626</v>
      </c>
      <c r="T29" s="87">
        <f>IF(T7=0,0,T7/TrAvia_act!T5*1000)</f>
        <v>202.18504434838314</v>
      </c>
      <c r="U29" s="87">
        <f>IF(U7=0,0,U7/TrAvia_act!U5*1000)</f>
        <v>237.71788707535572</v>
      </c>
      <c r="V29" s="87">
        <f>IF(V7=0,0,V7/TrAvia_act!V5*1000)</f>
        <v>617.73803592372008</v>
      </c>
      <c r="W29" s="87">
        <f>IF(W7=0,0,W7/TrAvia_act!W5*1000)</f>
        <v>584.13951600913333</v>
      </c>
      <c r="X29" s="87">
        <f>IF(X7=0,0,X7/TrAvia_act!X5*1000)</f>
        <v>405.53467323528793</v>
      </c>
      <c r="Y29" s="87">
        <f>IF(Y7=0,0,Y7/TrAvia_act!Y5*1000)</f>
        <v>180.22390878941155</v>
      </c>
      <c r="DA29" s="171" t="s">
        <v>298</v>
      </c>
    </row>
    <row r="30" spans="1:105" ht="11.45" customHeight="1" x14ac:dyDescent="0.25">
      <c r="A30" s="83" t="s">
        <v>181</v>
      </c>
      <c r="B30" s="87">
        <f>IF(B8=0,0,B8/TrAvia_act!B6*1000)</f>
        <v>47.770116776157934</v>
      </c>
      <c r="C30" s="87">
        <f>IF(C8=0,0,C8/TrAvia_act!C6*1000)</f>
        <v>52.058698548599473</v>
      </c>
      <c r="D30" s="87">
        <f>IF(D8=0,0,D8/TrAvia_act!D6*1000)</f>
        <v>54.989928741787409</v>
      </c>
      <c r="E30" s="87">
        <f>IF(E8=0,0,E8/TrAvia_act!E6*1000)</f>
        <v>55.49147047263201</v>
      </c>
      <c r="F30" s="87">
        <f>IF(F8=0,0,F8/TrAvia_act!F6*1000)</f>
        <v>49.083321271950823</v>
      </c>
      <c r="G30" s="87">
        <f>IF(G8=0,0,G8/TrAvia_act!G6*1000)</f>
        <v>46.574491324760693</v>
      </c>
      <c r="H30" s="87">
        <f>IF(H8=0,0,H8/TrAvia_act!H6*1000)</f>
        <v>40.369867544232726</v>
      </c>
      <c r="I30" s="87">
        <f>IF(I8=0,0,I8/TrAvia_act!I6*1000)</f>
        <v>44.370360149987235</v>
      </c>
      <c r="J30" s="87">
        <f>IF(J8=0,0,J8/TrAvia_act!J6*1000)</f>
        <v>43.119906623948239</v>
      </c>
      <c r="K30" s="87">
        <f>IF(K8=0,0,K8/TrAvia_act!K6*1000)</f>
        <v>29.777662177234298</v>
      </c>
      <c r="L30" s="87">
        <f>IF(L8=0,0,L8/TrAvia_act!L6*1000)</f>
        <v>42.90393723558774</v>
      </c>
      <c r="M30" s="87">
        <f>IF(M8=0,0,M8/TrAvia_act!M6*1000)</f>
        <v>39.230639851236297</v>
      </c>
      <c r="N30" s="87">
        <f>IF(N8=0,0,N8/TrAvia_act!N6*1000)</f>
        <v>32.475615973334797</v>
      </c>
      <c r="O30" s="87">
        <f>IF(O8=0,0,O8/TrAvia_act!O6*1000)</f>
        <v>34.943483769600867</v>
      </c>
      <c r="P30" s="87">
        <f>IF(P8=0,0,P8/TrAvia_act!P6*1000)</f>
        <v>39.54602830295763</v>
      </c>
      <c r="Q30" s="87">
        <f>IF(Q8=0,0,Q8/TrAvia_act!Q6*1000)</f>
        <v>40.672183217468913</v>
      </c>
      <c r="R30" s="87">
        <f>IF(R8=0,0,R8/TrAvia_act!R6*1000)</f>
        <v>38.413906734727483</v>
      </c>
      <c r="S30" s="87">
        <f>IF(S8=0,0,S8/TrAvia_act!S6*1000)</f>
        <v>42.994248545839618</v>
      </c>
      <c r="T30" s="87">
        <f>IF(T8=0,0,T8/TrAvia_act!T6*1000)</f>
        <v>44.424211405302046</v>
      </c>
      <c r="U30" s="87">
        <f>IF(U8=0,0,U8/TrAvia_act!U6*1000)</f>
        <v>41.78414065919506</v>
      </c>
      <c r="V30" s="87">
        <f>IF(V8=0,0,V8/TrAvia_act!V6*1000)</f>
        <v>51.760285371160137</v>
      </c>
      <c r="W30" s="87">
        <f>IF(W8=0,0,W8/TrAvia_act!W6*1000)</f>
        <v>47.624885596403644</v>
      </c>
      <c r="X30" s="87">
        <f>IF(X8=0,0,X8/TrAvia_act!X6*1000)</f>
        <v>42.088042841014328</v>
      </c>
      <c r="Y30" s="87">
        <f>IF(Y8=0,0,Y8/TrAvia_act!Y6*1000)</f>
        <v>40.772752444867301</v>
      </c>
      <c r="DA30" s="171" t="s">
        <v>299</v>
      </c>
    </row>
    <row r="31" spans="1:105" ht="11.45" customHeight="1" x14ac:dyDescent="0.25">
      <c r="A31" s="83" t="s">
        <v>182</v>
      </c>
      <c r="B31" s="87">
        <f>IF(B9=0,0,B9/TrAvia_act!B7*1000)</f>
        <v>45.014584232135221</v>
      </c>
      <c r="C31" s="87">
        <f>IF(C9=0,0,C9/TrAvia_act!C7*1000)</f>
        <v>52.596236023263067</v>
      </c>
      <c r="D31" s="87">
        <f>IF(D9=0,0,D9/TrAvia_act!D7*1000)</f>
        <v>56.313879181770439</v>
      </c>
      <c r="E31" s="87">
        <f>IF(E9=0,0,E9/TrAvia_act!E7*1000)</f>
        <v>55.713457076406776</v>
      </c>
      <c r="F31" s="87">
        <f>IF(F9=0,0,F9/TrAvia_act!F7*1000)</f>
        <v>48.036812558568585</v>
      </c>
      <c r="G31" s="87">
        <f>IF(G9=0,0,G9/TrAvia_act!G7*1000)</f>
        <v>47.466998787666043</v>
      </c>
      <c r="H31" s="87">
        <f>IF(H9=0,0,H9/TrAvia_act!H7*1000)</f>
        <v>41.242868610535368</v>
      </c>
      <c r="I31" s="87">
        <f>IF(I9=0,0,I9/TrAvia_act!I7*1000)</f>
        <v>43.108039588919311</v>
      </c>
      <c r="J31" s="87">
        <f>IF(J9=0,0,J9/TrAvia_act!J7*1000)</f>
        <v>38.866840403817008</v>
      </c>
      <c r="K31" s="87">
        <f>IF(K9=0,0,K9/TrAvia_act!K7*1000)</f>
        <v>28.133025444613118</v>
      </c>
      <c r="L31" s="87">
        <f>IF(L9=0,0,L9/TrAvia_act!L7*1000)</f>
        <v>41.47105992795035</v>
      </c>
      <c r="M31" s="87">
        <f>IF(M9=0,0,M9/TrAvia_act!M7*1000)</f>
        <v>37.331829363909335</v>
      </c>
      <c r="N31" s="87">
        <f>IF(N9=0,0,N9/TrAvia_act!N7*1000)</f>
        <v>28.525979337775173</v>
      </c>
      <c r="O31" s="87">
        <f>IF(O9=0,0,O9/TrAvia_act!O7*1000)</f>
        <v>27.528527132110579</v>
      </c>
      <c r="P31" s="87">
        <f>IF(P9=0,0,P9/TrAvia_act!P7*1000)</f>
        <v>27.274626896051636</v>
      </c>
      <c r="Q31" s="87">
        <f>IF(Q9=0,0,Q9/TrAvia_act!Q7*1000)</f>
        <v>25.857617734383087</v>
      </c>
      <c r="R31" s="87">
        <f>IF(R9=0,0,R9/TrAvia_act!R7*1000)</f>
        <v>23.317295739278791</v>
      </c>
      <c r="S31" s="87">
        <f>IF(S9=0,0,S9/TrAvia_act!S7*1000)</f>
        <v>22.784833426834723</v>
      </c>
      <c r="T31" s="87">
        <f>IF(T9=0,0,T9/TrAvia_act!T7*1000)</f>
        <v>21.109607614503037</v>
      </c>
      <c r="U31" s="87">
        <f>IF(U9=0,0,U9/TrAvia_act!U7*1000)</f>
        <v>21.275325350861348</v>
      </c>
      <c r="V31" s="87">
        <f>IF(V9=0,0,V9/TrAvia_act!V7*1000)</f>
        <v>56.047592935643621</v>
      </c>
      <c r="W31" s="87">
        <f>IF(W9=0,0,W9/TrAvia_act!W7*1000)</f>
        <v>61.576518921655655</v>
      </c>
      <c r="X31" s="87">
        <f>IF(X9=0,0,X9/TrAvia_act!X7*1000)</f>
        <v>22.917686372966333</v>
      </c>
      <c r="Y31" s="87">
        <f>IF(Y9=0,0,Y9/TrAvia_act!Y7*1000)</f>
        <v>20.766709591166403</v>
      </c>
      <c r="DA31" s="171" t="s">
        <v>300</v>
      </c>
    </row>
    <row r="32" spans="1:105" ht="11.45" customHeight="1" x14ac:dyDescent="0.25">
      <c r="A32" s="12" t="s">
        <v>156</v>
      </c>
      <c r="B32" s="15">
        <f>IF(B10=0,0,B10/TrAvia_act!B8*1000)</f>
        <v>194.02115694368194</v>
      </c>
      <c r="C32" s="15">
        <f>IF(C10=0,0,C10/TrAvia_act!C8*1000)</f>
        <v>206.17143180653756</v>
      </c>
      <c r="D32" s="15">
        <f>IF(D10=0,0,D10/TrAvia_act!D8*1000)</f>
        <v>218.79370186030366</v>
      </c>
      <c r="E32" s="15">
        <f>IF(E10=0,0,E10/TrAvia_act!E8*1000)</f>
        <v>226.99866934753584</v>
      </c>
      <c r="F32" s="15">
        <f>IF(F10=0,0,F10/TrAvia_act!F8*1000)</f>
        <v>214.23660566776141</v>
      </c>
      <c r="G32" s="15">
        <f>IF(G10=0,0,G10/TrAvia_act!G8*1000)</f>
        <v>213.0472564275257</v>
      </c>
      <c r="H32" s="15">
        <f>IF(H10=0,0,H10/TrAvia_act!H8*1000)</f>
        <v>198.48507692317929</v>
      </c>
      <c r="I32" s="15">
        <f>IF(I10=0,0,I10/TrAvia_act!I8*1000)</f>
        <v>183.36159199487034</v>
      </c>
      <c r="J32" s="15">
        <f>IF(J10=0,0,J10/TrAvia_act!J8*1000)</f>
        <v>176.82664606081039</v>
      </c>
      <c r="K32" s="15">
        <f>IF(K10=0,0,K10/TrAvia_act!K8*1000)</f>
        <v>138.43646745288495</v>
      </c>
      <c r="L32" s="15">
        <f>IF(L10=0,0,L10/TrAvia_act!L8*1000)</f>
        <v>165.74833352306703</v>
      </c>
      <c r="M32" s="15">
        <f>IF(M10=0,0,M10/TrAvia_act!M8*1000)</f>
        <v>139.48176825113481</v>
      </c>
      <c r="N32" s="15">
        <f>IF(N10=0,0,N10/TrAvia_act!N8*1000)</f>
        <v>110.89901990270934</v>
      </c>
      <c r="O32" s="15">
        <f>IF(O10=0,0,O10/TrAvia_act!O8*1000)</f>
        <v>112.82250246361602</v>
      </c>
      <c r="P32" s="15">
        <f>IF(P10=0,0,P10/TrAvia_act!P8*1000)</f>
        <v>100.67964695376466</v>
      </c>
      <c r="Q32" s="15">
        <f>IF(Q10=0,0,Q10/TrAvia_act!Q8*1000)</f>
        <v>98.019141341429275</v>
      </c>
      <c r="R32" s="15">
        <f>IF(R10=0,0,R10/TrAvia_act!R8*1000)</f>
        <v>82.057505667417274</v>
      </c>
      <c r="S32" s="15">
        <f>IF(S10=0,0,S10/TrAvia_act!S8*1000)</f>
        <v>78.86179645715977</v>
      </c>
      <c r="T32" s="15">
        <f>IF(T10=0,0,T10/TrAvia_act!T8*1000)</f>
        <v>81.041411556541448</v>
      </c>
      <c r="U32" s="15">
        <f>IF(U10=0,0,U10/TrAvia_act!U8*1000)</f>
        <v>84.388681213240886</v>
      </c>
      <c r="V32" s="15">
        <f>IF(V10=0,0,V10/TrAvia_act!V8*1000)</f>
        <v>136.79087545803094</v>
      </c>
      <c r="W32" s="15">
        <f>IF(W10=0,0,W10/TrAvia_act!W8*1000)</f>
        <v>145.45809143708061</v>
      </c>
      <c r="X32" s="15">
        <f>IF(X10=0,0,X10/TrAvia_act!X8*1000)</f>
        <v>97.114649618483185</v>
      </c>
      <c r="Y32" s="15">
        <f>IF(Y10=0,0,Y10/TrAvia_act!Y8*1000)</f>
        <v>91.969336435853393</v>
      </c>
      <c r="DA32" s="193" t="s">
        <v>301</v>
      </c>
    </row>
    <row r="33" spans="1:105" ht="11.45" customHeight="1" x14ac:dyDescent="0.25">
      <c r="A33" s="92" t="s">
        <v>27</v>
      </c>
      <c r="B33" s="101">
        <f>IF(B11=0,0,B11/TrAvia_act!B9*1000)</f>
        <v>1057.0868549506924</v>
      </c>
      <c r="C33" s="101">
        <f>IF(C11=0,0,C11/TrAvia_act!C9*1000)</f>
        <v>1225.5819970853051</v>
      </c>
      <c r="D33" s="101">
        <f>IF(D11=0,0,D11/TrAvia_act!D9*1000)</f>
        <v>1340.5347693238423</v>
      </c>
      <c r="E33" s="101">
        <f>IF(E11=0,0,E11/TrAvia_act!E9*1000)</f>
        <v>1088.5357384148147</v>
      </c>
      <c r="F33" s="101">
        <f>IF(F11=0,0,F11/TrAvia_act!F9*1000)</f>
        <v>1196.2385598077719</v>
      </c>
      <c r="G33" s="101">
        <f>IF(G11=0,0,G11/TrAvia_act!G9*1000)</f>
        <v>1219.9678493045453</v>
      </c>
      <c r="H33" s="101">
        <f>IF(H11=0,0,H11/TrAvia_act!H9*1000)</f>
        <v>1521.9325384875533</v>
      </c>
      <c r="I33" s="101">
        <f>IF(I11=0,0,I11/TrAvia_act!I9*1000)</f>
        <v>1271.9067377310757</v>
      </c>
      <c r="J33" s="101">
        <f>IF(J11=0,0,J11/TrAvia_act!J9*1000)</f>
        <v>1153.4100719225589</v>
      </c>
      <c r="K33" s="101">
        <f>IF(K11=0,0,K11/TrAvia_act!K9*1000)</f>
        <v>1071.7398116279551</v>
      </c>
      <c r="L33" s="101">
        <f>IF(L11=0,0,L11/TrAvia_act!L9*1000)</f>
        <v>1170.6945154663988</v>
      </c>
      <c r="M33" s="101">
        <f>IF(M11=0,0,M11/TrAvia_act!M9*1000)</f>
        <v>821.13031204323454</v>
      </c>
      <c r="N33" s="101">
        <f>IF(N11=0,0,N11/TrAvia_act!N9*1000)</f>
        <v>1325.7614459466558</v>
      </c>
      <c r="O33" s="101">
        <f>IF(O11=0,0,O11/TrAvia_act!O9*1000)</f>
        <v>1292.9509027226004</v>
      </c>
      <c r="P33" s="101">
        <f>IF(P11=0,0,P11/TrAvia_act!P9*1000)</f>
        <v>1206.8928454705813</v>
      </c>
      <c r="Q33" s="101">
        <f>IF(Q11=0,0,Q11/TrAvia_act!Q9*1000)</f>
        <v>1097.5817073036444</v>
      </c>
      <c r="R33" s="101">
        <f>IF(R11=0,0,R11/TrAvia_act!R9*1000)</f>
        <v>460.49516920994307</v>
      </c>
      <c r="S33" s="101">
        <f>IF(S11=0,0,S11/TrAvia_act!S9*1000)</f>
        <v>647.98030313262859</v>
      </c>
      <c r="T33" s="101">
        <f>IF(T11=0,0,T11/TrAvia_act!T9*1000)</f>
        <v>604.87507614668914</v>
      </c>
      <c r="U33" s="101">
        <f>IF(U11=0,0,U11/TrAvia_act!U9*1000)</f>
        <v>615.29463429397367</v>
      </c>
      <c r="V33" s="101">
        <f>IF(V11=0,0,V11/TrAvia_act!V9*1000)</f>
        <v>570.87511557656626</v>
      </c>
      <c r="W33" s="101">
        <f>IF(W11=0,0,W11/TrAvia_act!W9*1000)</f>
        <v>774.85403627406288</v>
      </c>
      <c r="X33" s="101">
        <f>IF(X11=0,0,X11/TrAvia_act!X9*1000)</f>
        <v>1554.1620452265138</v>
      </c>
      <c r="Y33" s="101">
        <f>IF(Y11=0,0,Y11/TrAvia_act!Y9*1000)</f>
        <v>848.92127756883792</v>
      </c>
      <c r="DA33" s="175" t="s">
        <v>302</v>
      </c>
    </row>
    <row r="34" spans="1:105" ht="11.45" customHeight="1" x14ac:dyDescent="0.25">
      <c r="A34" s="92" t="s">
        <v>181</v>
      </c>
      <c r="B34" s="101">
        <f>IF(B12=0,0,B12/TrAvia_act!B10*1000)</f>
        <v>274.14101978110739</v>
      </c>
      <c r="C34" s="101">
        <f>IF(C12=0,0,C12/TrAvia_act!C10*1000)</f>
        <v>284.97761816655805</v>
      </c>
      <c r="D34" s="101">
        <f>IF(D12=0,0,D12/TrAvia_act!D10*1000)</f>
        <v>322.16830539482032</v>
      </c>
      <c r="E34" s="101">
        <f>IF(E12=0,0,E12/TrAvia_act!E10*1000)</f>
        <v>320.809811236374</v>
      </c>
      <c r="F34" s="101">
        <f>IF(F12=0,0,F12/TrAvia_act!F10*1000)</f>
        <v>330.23207045901677</v>
      </c>
      <c r="G34" s="101">
        <f>IF(G12=0,0,G12/TrAvia_act!G10*1000)</f>
        <v>325.61603987159913</v>
      </c>
      <c r="H34" s="101">
        <f>IF(H12=0,0,H12/TrAvia_act!H10*1000)</f>
        <v>322.25508866249885</v>
      </c>
      <c r="I34" s="101">
        <f>IF(I12=0,0,I12/TrAvia_act!I10*1000)</f>
        <v>368.78525091655206</v>
      </c>
      <c r="J34" s="101">
        <f>IF(J12=0,0,J12/TrAvia_act!J10*1000)</f>
        <v>341.53571464651213</v>
      </c>
      <c r="K34" s="101">
        <f>IF(K12=0,0,K12/TrAvia_act!K10*1000)</f>
        <v>248.73751987026276</v>
      </c>
      <c r="L34" s="101">
        <f>IF(L12=0,0,L12/TrAvia_act!L10*1000)</f>
        <v>334.36778269107447</v>
      </c>
      <c r="M34" s="101">
        <f>IF(M12=0,0,M12/TrAvia_act!M10*1000)</f>
        <v>288.09904070314627</v>
      </c>
      <c r="N34" s="101">
        <f>IF(N12=0,0,N12/TrAvia_act!N10*1000)</f>
        <v>223.08501367975529</v>
      </c>
      <c r="O34" s="101">
        <f>IF(O12=0,0,O12/TrAvia_act!O10*1000)</f>
        <v>251.863132495385</v>
      </c>
      <c r="P34" s="101">
        <f>IF(P12=0,0,P12/TrAvia_act!P10*1000)</f>
        <v>258.88387854660147</v>
      </c>
      <c r="Q34" s="101">
        <f>IF(Q12=0,0,Q12/TrAvia_act!Q10*1000)</f>
        <v>293.42005457101595</v>
      </c>
      <c r="R34" s="101">
        <f>IF(R12=0,0,R12/TrAvia_act!R10*1000)</f>
        <v>253.23861384245672</v>
      </c>
      <c r="S34" s="101">
        <f>IF(S12=0,0,S12/TrAvia_act!S10*1000)</f>
        <v>318.12617134709643</v>
      </c>
      <c r="T34" s="101">
        <f>IF(T12=0,0,T12/TrAvia_act!T10*1000)</f>
        <v>316.15410459724853</v>
      </c>
      <c r="U34" s="101">
        <f>IF(U12=0,0,U12/TrAvia_act!U10*1000)</f>
        <v>315.21446171504482</v>
      </c>
      <c r="V34" s="101">
        <f>IF(V12=0,0,V12/TrAvia_act!V10*1000)</f>
        <v>247.20235991059099</v>
      </c>
      <c r="W34" s="101">
        <f>IF(W12=0,0,W12/TrAvia_act!W10*1000)</f>
        <v>257.87699522163587</v>
      </c>
      <c r="X34" s="101">
        <f>IF(X12=0,0,X12/TrAvia_act!X10*1000)</f>
        <v>290.13297220662497</v>
      </c>
      <c r="Y34" s="101">
        <f>IF(Y12=0,0,Y12/TrAvia_act!Y10*1000)</f>
        <v>282.52420345497592</v>
      </c>
      <c r="DA34" s="175" t="s">
        <v>303</v>
      </c>
    </row>
    <row r="35" spans="1:105" ht="11.45" customHeight="1" x14ac:dyDescent="0.25">
      <c r="A35" s="85" t="s">
        <v>182</v>
      </c>
      <c r="B35" s="88">
        <f>IF(B13=0,0,B13/TrAvia_act!B11*1000)</f>
        <v>138.37103921080509</v>
      </c>
      <c r="C35" s="88">
        <f>IF(C13=0,0,C13/TrAvia_act!C11*1000)</f>
        <v>147.01651411287435</v>
      </c>
      <c r="D35" s="88">
        <f>IF(D13=0,0,D13/TrAvia_act!D11*1000)</f>
        <v>165.59272932846244</v>
      </c>
      <c r="E35" s="88">
        <f>IF(E13=0,0,E13/TrAvia_act!E11*1000)</f>
        <v>183.84338383220663</v>
      </c>
      <c r="F35" s="88">
        <f>IF(F13=0,0,F13/TrAvia_act!F11*1000)</f>
        <v>173.78446586040482</v>
      </c>
      <c r="G35" s="88">
        <f>IF(G13=0,0,G13/TrAvia_act!G11*1000)</f>
        <v>150.07722082598136</v>
      </c>
      <c r="H35" s="88">
        <f>IF(H13=0,0,H13/TrAvia_act!H11*1000)</f>
        <v>116.29500492925381</v>
      </c>
      <c r="I35" s="88">
        <f>IF(I13=0,0,I13/TrAvia_act!I11*1000)</f>
        <v>104.26266465064052</v>
      </c>
      <c r="J35" s="88">
        <f>IF(J13=0,0,J13/TrAvia_act!J11*1000)</f>
        <v>106.61793733448293</v>
      </c>
      <c r="K35" s="88">
        <f>IF(K13=0,0,K13/TrAvia_act!K11*1000)</f>
        <v>73.764992934353387</v>
      </c>
      <c r="L35" s="88">
        <f>IF(L13=0,0,L13/TrAvia_act!L11*1000)</f>
        <v>97.641248377278302</v>
      </c>
      <c r="M35" s="88">
        <f>IF(M13=0,0,M13/TrAvia_act!M11*1000)</f>
        <v>81.898259691019447</v>
      </c>
      <c r="N35" s="88">
        <f>IF(N13=0,0,N13/TrAvia_act!N11*1000)</f>
        <v>72.569512632541304</v>
      </c>
      <c r="O35" s="88">
        <f>IF(O13=0,0,O13/TrAvia_act!O11*1000)</f>
        <v>76.095807860604296</v>
      </c>
      <c r="P35" s="88">
        <f>IF(P13=0,0,P13/TrAvia_act!P11*1000)</f>
        <v>63.384849052896691</v>
      </c>
      <c r="Q35" s="88">
        <f>IF(Q13=0,0,Q13/TrAvia_act!Q11*1000)</f>
        <v>60.294827034863133</v>
      </c>
      <c r="R35" s="88">
        <f>IF(R13=0,0,R13/TrAvia_act!R11*1000)</f>
        <v>52.263415123435045</v>
      </c>
      <c r="S35" s="88">
        <f>IF(S13=0,0,S13/TrAvia_act!S11*1000)</f>
        <v>51.114380029980609</v>
      </c>
      <c r="T35" s="88">
        <f>IF(T13=0,0,T13/TrAvia_act!T11*1000)</f>
        <v>46.614130192371668</v>
      </c>
      <c r="U35" s="88">
        <f>IF(U13=0,0,U13/TrAvia_act!U11*1000)</f>
        <v>47.522316270167408</v>
      </c>
      <c r="V35" s="88">
        <f>IF(V13=0,0,V13/TrAvia_act!V11*1000)</f>
        <v>112.72105623652259</v>
      </c>
      <c r="W35" s="88">
        <f>IF(W13=0,0,W13/TrAvia_act!W11*1000)</f>
        <v>117.07356827631629</v>
      </c>
      <c r="X35" s="88">
        <f>IF(X13=0,0,X13/TrAvia_act!X11*1000)</f>
        <v>66.399610297640564</v>
      </c>
      <c r="Y35" s="88">
        <f>IF(Y13=0,0,Y13/TrAvia_act!Y11*1000)</f>
        <v>59.530307396016127</v>
      </c>
      <c r="DA35" s="178" t="s">
        <v>304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6317.866755899684</v>
      </c>
      <c r="C37" s="62">
        <f>IF(C3=0,0,C3/TrAvia_act!C23*1000000)</f>
        <v>7169.4954265309407</v>
      </c>
      <c r="D37" s="62">
        <f>IF(D3=0,0,D3/TrAvia_act!D23*1000000)</f>
        <v>7706.4475793805987</v>
      </c>
      <c r="E37" s="62">
        <f>IF(E3=0,0,E3/TrAvia_act!E23*1000000)</f>
        <v>7401.2086069577135</v>
      </c>
      <c r="F37" s="62">
        <f>IF(F3=0,0,F3/TrAvia_act!F23*1000000)</f>
        <v>6996.611431397464</v>
      </c>
      <c r="G37" s="62">
        <f>IF(G3=0,0,G3/TrAvia_act!G23*1000000)</f>
        <v>6995.3130979776242</v>
      </c>
      <c r="H37" s="62">
        <f>IF(H3=0,0,H3/TrAvia_act!H23*1000000)</f>
        <v>6845.6509616145559</v>
      </c>
      <c r="I37" s="62">
        <f>IF(I3=0,0,I3/TrAvia_act!I23*1000000)</f>
        <v>7620.9511931701445</v>
      </c>
      <c r="J37" s="62">
        <f>IF(J3=0,0,J3/TrAvia_act!J23*1000000)</f>
        <v>7008.7651671160393</v>
      </c>
      <c r="K37" s="62">
        <f>IF(K3=0,0,K3/TrAvia_act!K23*1000000)</f>
        <v>5148.8120509764212</v>
      </c>
      <c r="L37" s="62">
        <f>IF(L3=0,0,L3/TrAvia_act!L23*1000000)</f>
        <v>7317.9411359691585</v>
      </c>
      <c r="M37" s="62">
        <f>IF(M3=0,0,M3/TrAvia_act!M23*1000000)</f>
        <v>6754.4902989471593</v>
      </c>
      <c r="N37" s="62">
        <f>IF(N3=0,0,N3/TrAvia_act!N23*1000000)</f>
        <v>5837.2795861859413</v>
      </c>
      <c r="O37" s="62">
        <f>IF(O3=0,0,O3/TrAvia_act!O23*1000000)</f>
        <v>6372.9116907729403</v>
      </c>
      <c r="P37" s="62">
        <f>IF(P3=0,0,P3/TrAvia_act!P23*1000000)</f>
        <v>6934.3109012880077</v>
      </c>
      <c r="Q37" s="62">
        <f>IF(Q3=0,0,Q3/TrAvia_act!Q23*1000000)</f>
        <v>7435.5987278614948</v>
      </c>
      <c r="R37" s="62">
        <f>IF(R3=0,0,R3/TrAvia_act!R23*1000000)</f>
        <v>7064.3560222816968</v>
      </c>
      <c r="S37" s="62">
        <f>IF(S3=0,0,S3/TrAvia_act!S23*1000000)</f>
        <v>8054.2247351340566</v>
      </c>
      <c r="T37" s="62">
        <f>IF(T3=0,0,T3/TrAvia_act!T23*1000000)</f>
        <v>8305.5823825747975</v>
      </c>
      <c r="U37" s="62">
        <f>IF(U3=0,0,U3/TrAvia_act!U23*1000000)</f>
        <v>8195.8287532910763</v>
      </c>
      <c r="V37" s="62">
        <f>IF(V3=0,0,V3/TrAvia_act!V23*1000000)</f>
        <v>8433.7741268008667</v>
      </c>
      <c r="W37" s="62">
        <f>IF(W3=0,0,W3/TrAvia_act!W23*1000000)</f>
        <v>9824.8923774578652</v>
      </c>
      <c r="X37" s="62">
        <f>IF(X3=0,0,X3/TrAvia_act!X23*1000000)</f>
        <v>8727.2308466693794</v>
      </c>
      <c r="Y37" s="62">
        <f>IF(Y3=0,0,Y3/TrAvia_act!Y23*1000000)</f>
        <v>8485.7040922096185</v>
      </c>
      <c r="DA37" s="172" t="s">
        <v>305</v>
      </c>
    </row>
    <row r="38" spans="1:105" ht="11.45" customHeight="1" x14ac:dyDescent="0.25">
      <c r="A38" s="10" t="s">
        <v>33</v>
      </c>
      <c r="B38" s="14">
        <f>IF(B6=0,0,B6/TrAvia_act!B24*1000000)</f>
        <v>6319.2309730031593</v>
      </c>
      <c r="C38" s="14">
        <f>IF(C6=0,0,C6/TrAvia_act!C24*1000000)</f>
        <v>7173.1001612287009</v>
      </c>
      <c r="D38" s="14">
        <f>IF(D6=0,0,D6/TrAvia_act!D24*1000000)</f>
        <v>7692.8590624100589</v>
      </c>
      <c r="E38" s="14">
        <f>IF(E6=0,0,E6/TrAvia_act!E24*1000000)</f>
        <v>7374.1553543246728</v>
      </c>
      <c r="F38" s="14">
        <f>IF(F6=0,0,F6/TrAvia_act!F24*1000000)</f>
        <v>6947.381710950368</v>
      </c>
      <c r="G38" s="14">
        <f>IF(G6=0,0,G6/TrAvia_act!G24*1000000)</f>
        <v>6992.0184313671325</v>
      </c>
      <c r="H38" s="14">
        <f>IF(H6=0,0,H6/TrAvia_act!H24*1000000)</f>
        <v>6861.5631172454268</v>
      </c>
      <c r="I38" s="14">
        <f>IF(I6=0,0,I6/TrAvia_act!I24*1000000)</f>
        <v>7643.3690919313867</v>
      </c>
      <c r="J38" s="14">
        <f>IF(J6=0,0,J6/TrAvia_act!J24*1000000)</f>
        <v>7017.1717014471878</v>
      </c>
      <c r="K38" s="14">
        <f>IF(K6=0,0,K6/TrAvia_act!K24*1000000)</f>
        <v>5166.3678697573259</v>
      </c>
      <c r="L38" s="14">
        <f>IF(L6=0,0,L6/TrAvia_act!L24*1000000)</f>
        <v>7335.3551870598758</v>
      </c>
      <c r="M38" s="14">
        <f>IF(M6=0,0,M6/TrAvia_act!M24*1000000)</f>
        <v>6777.3606788579473</v>
      </c>
      <c r="N38" s="14">
        <f>IF(N6=0,0,N6/TrAvia_act!N24*1000000)</f>
        <v>5821.2003519134232</v>
      </c>
      <c r="O38" s="14">
        <f>IF(O6=0,0,O6/TrAvia_act!O24*1000000)</f>
        <v>6352.8799845619606</v>
      </c>
      <c r="P38" s="14">
        <f>IF(P6=0,0,P6/TrAvia_act!P24*1000000)</f>
        <v>6912.6062190795956</v>
      </c>
      <c r="Q38" s="14">
        <f>IF(Q6=0,0,Q6/TrAvia_act!Q24*1000000)</f>
        <v>7410.5556082035309</v>
      </c>
      <c r="R38" s="14">
        <f>IF(R6=0,0,R6/TrAvia_act!R24*1000000)</f>
        <v>7041.9060147535138</v>
      </c>
      <c r="S38" s="14">
        <f>IF(S6=0,0,S6/TrAvia_act!S24*1000000)</f>
        <v>8027.3816522037041</v>
      </c>
      <c r="T38" s="14">
        <f>IF(T6=0,0,T6/TrAvia_act!T24*1000000)</f>
        <v>8299.3557015637125</v>
      </c>
      <c r="U38" s="14">
        <f>IF(U6=0,0,U6/TrAvia_act!U24*1000000)</f>
        <v>8188.8463667026244</v>
      </c>
      <c r="V38" s="14">
        <f>IF(V6=0,0,V6/TrAvia_act!V24*1000000)</f>
        <v>8355.3633578912213</v>
      </c>
      <c r="W38" s="14">
        <f>IF(W6=0,0,W6/TrAvia_act!W24*1000000)</f>
        <v>9738.2264699657626</v>
      </c>
      <c r="X38" s="14">
        <f>IF(X6=0,0,X6/TrAvia_act!X24*1000000)</f>
        <v>8693.0602577576974</v>
      </c>
      <c r="Y38" s="14">
        <f>IF(Y6=0,0,Y6/TrAvia_act!Y24*1000000)</f>
        <v>8471.9411172096534</v>
      </c>
      <c r="DA38" s="189" t="s">
        <v>306</v>
      </c>
    </row>
    <row r="39" spans="1:105" ht="11.45" customHeight="1" x14ac:dyDescent="0.25">
      <c r="A39" s="83" t="s">
        <v>27</v>
      </c>
      <c r="B39" s="87">
        <f>IF(B7=0,0,B7/TrAvia_act!B25*1000000)</f>
        <v>2182.7559407657886</v>
      </c>
      <c r="C39" s="87">
        <f>IF(C7=0,0,C7/TrAvia_act!C25*1000000)</f>
        <v>2511.3783414737359</v>
      </c>
      <c r="D39" s="87">
        <f>IF(D7=0,0,D7/TrAvia_act!D25*1000000)</f>
        <v>2824.7467899626122</v>
      </c>
      <c r="E39" s="87">
        <f>IF(E7=0,0,E7/TrAvia_act!E25*1000000)</f>
        <v>2439.8349086780559</v>
      </c>
      <c r="F39" s="87">
        <f>IF(F7=0,0,F7/TrAvia_act!F25*1000000)</f>
        <v>2524.797497394607</v>
      </c>
      <c r="G39" s="87">
        <f>IF(G7=0,0,G7/TrAvia_act!G25*1000000)</f>
        <v>2523.4545333721235</v>
      </c>
      <c r="H39" s="87">
        <f>IF(H7=0,0,H7/TrAvia_act!H25*1000000)</f>
        <v>3268.964480975691</v>
      </c>
      <c r="I39" s="87">
        <f>IF(I7=0,0,I7/TrAvia_act!I25*1000000)</f>
        <v>2967.8631840467601</v>
      </c>
      <c r="J39" s="87">
        <f>IF(J7=0,0,J7/TrAvia_act!J25*1000000)</f>
        <v>2523.3415989933801</v>
      </c>
      <c r="K39" s="87">
        <f>IF(K7=0,0,K7/TrAvia_act!K25*1000000)</f>
        <v>2358.7959105871187</v>
      </c>
      <c r="L39" s="87">
        <f>IF(L7=0,0,L7/TrAvia_act!L25*1000000)</f>
        <v>2619.1037142245482</v>
      </c>
      <c r="M39" s="87">
        <f>IF(M7=0,0,M7/TrAvia_act!M25*1000000)</f>
        <v>1669.653283593065</v>
      </c>
      <c r="N39" s="87">
        <f>IF(N7=0,0,N7/TrAvia_act!N25*1000000)</f>
        <v>2859.9620764900251</v>
      </c>
      <c r="O39" s="87">
        <f>IF(O7=0,0,O7/TrAvia_act!O25*1000000)</f>
        <v>3043.4461608360252</v>
      </c>
      <c r="P39" s="87">
        <f>IF(P7=0,0,P7/TrAvia_act!P25*1000000)</f>
        <v>3271.4757903821587</v>
      </c>
      <c r="Q39" s="87">
        <f>IF(Q7=0,0,Q7/TrAvia_act!Q25*1000000)</f>
        <v>3301.5900758371399</v>
      </c>
      <c r="R39" s="87">
        <f>IF(R7=0,0,R7/TrAvia_act!R25*1000000)</f>
        <v>1689.3717121256143</v>
      </c>
      <c r="S39" s="87">
        <f>IF(S7=0,0,S7/TrAvia_act!S25*1000000)</f>
        <v>2296.723975143726</v>
      </c>
      <c r="T39" s="87">
        <f>IF(T7=0,0,T7/TrAvia_act!T25*1000000)</f>
        <v>2188.6864964893848</v>
      </c>
      <c r="U39" s="87">
        <f>IF(U7=0,0,U7/TrAvia_act!U25*1000000)</f>
        <v>2469.8614438288291</v>
      </c>
      <c r="V39" s="87">
        <f>IF(V7=0,0,V7/TrAvia_act!V25*1000000)</f>
        <v>2007.9743587735895</v>
      </c>
      <c r="W39" s="87">
        <f>IF(W7=0,0,W7/TrAvia_act!W25*1000000)</f>
        <v>2930.6860932147488</v>
      </c>
      <c r="X39" s="87">
        <f>IF(X7=0,0,X7/TrAvia_act!X25*1000000)</f>
        <v>5923.7473316483611</v>
      </c>
      <c r="Y39" s="87">
        <f>IF(Y7=0,0,Y7/TrAvia_act!Y25*1000000)</f>
        <v>3156.1781690697162</v>
      </c>
      <c r="DA39" s="171" t="s">
        <v>307</v>
      </c>
    </row>
    <row r="40" spans="1:105" ht="11.45" customHeight="1" x14ac:dyDescent="0.25">
      <c r="A40" s="83" t="s">
        <v>181</v>
      </c>
      <c r="B40" s="87">
        <f>IF(B8=0,0,B8/TrAvia_act!B26*1000000)</f>
        <v>4699.5767379009139</v>
      </c>
      <c r="C40" s="87">
        <f>IF(C8=0,0,C8/TrAvia_act!C26*1000000)</f>
        <v>5344.8083653473022</v>
      </c>
      <c r="D40" s="87">
        <f>IF(D8=0,0,D8/TrAvia_act!D26*1000000)</f>
        <v>5792.5506081304693</v>
      </c>
      <c r="E40" s="87">
        <f>IF(E8=0,0,E8/TrAvia_act!E26*1000000)</f>
        <v>5986.380069237227</v>
      </c>
      <c r="F40" s="87">
        <f>IF(F8=0,0,F8/TrAvia_act!F26*1000000)</f>
        <v>5600.1856221572934</v>
      </c>
      <c r="G40" s="87">
        <f>IF(G8=0,0,G8/TrAvia_act!G26*1000000)</f>
        <v>5758.9995974463027</v>
      </c>
      <c r="H40" s="87">
        <f>IF(H8=0,0,H8/TrAvia_act!H26*1000000)</f>
        <v>5572.6947907164113</v>
      </c>
      <c r="I40" s="87">
        <f>IF(I8=0,0,I8/TrAvia_act!I26*1000000)</f>
        <v>6376.3836450966173</v>
      </c>
      <c r="J40" s="87">
        <f>IF(J8=0,0,J8/TrAvia_act!J26*1000000)</f>
        <v>5772.4519533308185</v>
      </c>
      <c r="K40" s="87">
        <f>IF(K8=0,0,K8/TrAvia_act!K26*1000000)</f>
        <v>4071.1979759432911</v>
      </c>
      <c r="L40" s="87">
        <f>IF(L8=0,0,L8/TrAvia_act!L26*1000000)</f>
        <v>5715.3268501727152</v>
      </c>
      <c r="M40" s="87">
        <f>IF(M8=0,0,M8/TrAvia_act!M26*1000000)</f>
        <v>5120.0445913011035</v>
      </c>
      <c r="N40" s="87">
        <f>IF(N8=0,0,N8/TrAvia_act!N26*1000000)</f>
        <v>4240.7121537875273</v>
      </c>
      <c r="O40" s="87">
        <f>IF(O8=0,0,O8/TrAvia_act!O26*1000000)</f>
        <v>4629.4364298207083</v>
      </c>
      <c r="P40" s="87">
        <f>IF(P8=0,0,P8/TrAvia_act!P26*1000000)</f>
        <v>5115.2149914967131</v>
      </c>
      <c r="Q40" s="87">
        <f>IF(Q8=0,0,Q8/TrAvia_act!Q26*1000000)</f>
        <v>5571.2665158089867</v>
      </c>
      <c r="R40" s="87">
        <f>IF(R8=0,0,R8/TrAvia_act!R26*1000000)</f>
        <v>5412.3693912374192</v>
      </c>
      <c r="S40" s="87">
        <f>IF(S8=0,0,S8/TrAvia_act!S26*1000000)</f>
        <v>6308.0252308003801</v>
      </c>
      <c r="T40" s="87">
        <f>IF(T8=0,0,T8/TrAvia_act!T26*1000000)</f>
        <v>6595.0560524884331</v>
      </c>
      <c r="U40" s="87">
        <f>IF(U8=0,0,U8/TrAvia_act!U26*1000000)</f>
        <v>6398.5260701572952</v>
      </c>
      <c r="V40" s="87">
        <f>IF(V8=0,0,V8/TrAvia_act!V26*1000000)</f>
        <v>5695.0275980620227</v>
      </c>
      <c r="W40" s="87">
        <f>IF(W8=0,0,W8/TrAvia_act!W26*1000000)</f>
        <v>6956.7882320802191</v>
      </c>
      <c r="X40" s="87">
        <f>IF(X8=0,0,X8/TrAvia_act!X26*1000000)</f>
        <v>6833.0699102177141</v>
      </c>
      <c r="Y40" s="87">
        <f>IF(Y8=0,0,Y8/TrAvia_act!Y26*1000000)</f>
        <v>6703.8117274697524</v>
      </c>
      <c r="DA40" s="171" t="s">
        <v>308</v>
      </c>
    </row>
    <row r="41" spans="1:105" ht="11.45" customHeight="1" x14ac:dyDescent="0.25">
      <c r="A41" s="83" t="s">
        <v>182</v>
      </c>
      <c r="B41" s="87">
        <f>IF(B9=0,0,B9/TrAvia_act!B27*1000000)</f>
        <v>39865.897093967658</v>
      </c>
      <c r="C41" s="87">
        <f>IF(C9=0,0,C9/TrAvia_act!C27*1000000)</f>
        <v>44386.492351555717</v>
      </c>
      <c r="D41" s="87">
        <f>IF(D9=0,0,D9/TrAvia_act!D27*1000000)</f>
        <v>47204.152045314353</v>
      </c>
      <c r="E41" s="87">
        <f>IF(E9=0,0,E9/TrAvia_act!E27*1000000)</f>
        <v>47618.159731830267</v>
      </c>
      <c r="F41" s="87">
        <f>IF(F9=0,0,F9/TrAvia_act!F27*1000000)</f>
        <v>43688.371467103287</v>
      </c>
      <c r="G41" s="87">
        <f>IF(G9=0,0,G9/TrAvia_act!G27*1000000)</f>
        <v>39023.301263607573</v>
      </c>
      <c r="H41" s="87">
        <f>IF(H9=0,0,H9/TrAvia_act!H27*1000000)</f>
        <v>32158.292442439328</v>
      </c>
      <c r="I41" s="87">
        <f>IF(I9=0,0,I9/TrAvia_act!I27*1000000)</f>
        <v>29966.417848352386</v>
      </c>
      <c r="J41" s="87">
        <f>IF(J9=0,0,J9/TrAvia_act!J27*1000000)</f>
        <v>31322.553788802255</v>
      </c>
      <c r="K41" s="87">
        <f>IF(K9=0,0,K9/TrAvia_act!K27*1000000)</f>
        <v>24554.156381513312</v>
      </c>
      <c r="L41" s="87">
        <f>IF(L9=0,0,L9/TrAvia_act!L27*1000000)</f>
        <v>33578.26483456666</v>
      </c>
      <c r="M41" s="87">
        <f>IF(M9=0,0,M9/TrAvia_act!M27*1000000)</f>
        <v>28898.557985452499</v>
      </c>
      <c r="N41" s="87">
        <f>IF(N9=0,0,N9/TrAvia_act!N27*1000000)</f>
        <v>27022.949408958335</v>
      </c>
      <c r="O41" s="87">
        <f>IF(O9=0,0,O9/TrAvia_act!O27*1000000)</f>
        <v>28771.53471377962</v>
      </c>
      <c r="P41" s="87">
        <f>IF(P9=0,0,P9/TrAvia_act!P27*1000000)</f>
        <v>27712.884880853446</v>
      </c>
      <c r="Q41" s="87">
        <f>IF(Q9=0,0,Q9/TrAvia_act!Q27*1000000)</f>
        <v>26745.190147940491</v>
      </c>
      <c r="R41" s="87">
        <f>IF(R9=0,0,R9/TrAvia_act!R27*1000000)</f>
        <v>25307.127462690536</v>
      </c>
      <c r="S41" s="87">
        <f>IF(S9=0,0,S9/TrAvia_act!S27*1000000)</f>
        <v>24509.061690008781</v>
      </c>
      <c r="T41" s="87">
        <f>IF(T9=0,0,T9/TrAvia_act!T27*1000000)</f>
        <v>23090.8767147291</v>
      </c>
      <c r="U41" s="87">
        <f>IF(U9=0,0,U9/TrAvia_act!U27*1000000)</f>
        <v>24574.366999093083</v>
      </c>
      <c r="V41" s="87">
        <f>IF(V9=0,0,V9/TrAvia_act!V27*1000000)</f>
        <v>38186.480681503082</v>
      </c>
      <c r="W41" s="87">
        <f>IF(W9=0,0,W9/TrAvia_act!W27*1000000)</f>
        <v>38317.39994646603</v>
      </c>
      <c r="X41" s="87">
        <f>IF(X9=0,0,X9/TrAvia_act!X27*1000000)</f>
        <v>25170.308933339275</v>
      </c>
      <c r="Y41" s="87">
        <f>IF(Y9=0,0,Y9/TrAvia_act!Y27*1000000)</f>
        <v>23906.434572897939</v>
      </c>
      <c r="DA41" s="171" t="s">
        <v>309</v>
      </c>
    </row>
    <row r="42" spans="1:105" ht="11.45" customHeight="1" x14ac:dyDescent="0.25">
      <c r="A42" s="12" t="s">
        <v>34</v>
      </c>
      <c r="B42" s="15">
        <f>IF(B10=0,0,B10/TrAvia_act!B28*1000000)</f>
        <v>6246.302047954101</v>
      </c>
      <c r="C42" s="15">
        <f>IF(C10=0,0,C10/TrAvia_act!C28*1000000)</f>
        <v>6964.3994756839775</v>
      </c>
      <c r="D42" s="15">
        <f>IF(D10=0,0,D10/TrAvia_act!D28*1000000)</f>
        <v>8719.8965304787853</v>
      </c>
      <c r="E42" s="15">
        <f>IF(E10=0,0,E10/TrAvia_act!E28*1000000)</f>
        <v>9458.7303666236749</v>
      </c>
      <c r="F42" s="15">
        <f>IF(F10=0,0,F10/TrAvia_act!F28*1000000)</f>
        <v>9606.1618416214023</v>
      </c>
      <c r="G42" s="15">
        <f>IF(G10=0,0,G10/TrAvia_act!G28*1000000)</f>
        <v>7127.0679669458177</v>
      </c>
      <c r="H42" s="15">
        <f>IF(H10=0,0,H10/TrAvia_act!H28*1000000)</f>
        <v>6387.5043984617769</v>
      </c>
      <c r="I42" s="15">
        <f>IF(I10=0,0,I10/TrAvia_act!I28*1000000)</f>
        <v>6850.405114298017</v>
      </c>
      <c r="J42" s="15">
        <f>IF(J10=0,0,J10/TrAvia_act!J28*1000000)</f>
        <v>6687.5261214914381</v>
      </c>
      <c r="K42" s="15">
        <f>IF(K10=0,0,K10/TrAvia_act!K28*1000000)</f>
        <v>4547.9117398688022</v>
      </c>
      <c r="L42" s="15">
        <f>IF(L10=0,0,L10/TrAvia_act!L28*1000000)</f>
        <v>6784.0449031164735</v>
      </c>
      <c r="M42" s="15">
        <f>IF(M10=0,0,M10/TrAvia_act!M28*1000000)</f>
        <v>5969.9709684859781</v>
      </c>
      <c r="N42" s="15">
        <f>IF(N10=0,0,N10/TrAvia_act!N28*1000000)</f>
        <v>6400.6789509744431</v>
      </c>
      <c r="O42" s="15">
        <f>IF(O10=0,0,O10/TrAvia_act!O28*1000000)</f>
        <v>7111.740843069374</v>
      </c>
      <c r="P42" s="15">
        <f>IF(P10=0,0,P10/TrAvia_act!P28*1000000)</f>
        <v>7827.4425028874248</v>
      </c>
      <c r="Q42" s="15">
        <f>IF(Q10=0,0,Q10/TrAvia_act!Q28*1000000)</f>
        <v>8470.1065578927319</v>
      </c>
      <c r="R42" s="15">
        <f>IF(R10=0,0,R10/TrAvia_act!R28*1000000)</f>
        <v>8224.0107292343782</v>
      </c>
      <c r="S42" s="15">
        <f>IF(S10=0,0,S10/TrAvia_act!S28*1000000)</f>
        <v>9316.4998816522202</v>
      </c>
      <c r="T42" s="15">
        <f>IF(T10=0,0,T10/TrAvia_act!T28*1000000)</f>
        <v>8620.38858703388</v>
      </c>
      <c r="U42" s="15">
        <f>IF(U10=0,0,U10/TrAvia_act!U28*1000000)</f>
        <v>8593.5752056524725</v>
      </c>
      <c r="V42" s="15">
        <f>IF(V10=0,0,V10/TrAvia_act!V28*1000000)</f>
        <v>9674.8080801486631</v>
      </c>
      <c r="W42" s="15">
        <f>IF(W10=0,0,W10/TrAvia_act!W28*1000000)</f>
        <v>10983.552266840879</v>
      </c>
      <c r="X42" s="15">
        <f>IF(X10=0,0,X10/TrAvia_act!X28*1000000)</f>
        <v>10164.956167726064</v>
      </c>
      <c r="Y42" s="15">
        <f>IF(Y10=0,0,Y10/TrAvia_act!Y28*1000000)</f>
        <v>9123.9181308841089</v>
      </c>
      <c r="DA42" s="193" t="s">
        <v>310</v>
      </c>
    </row>
    <row r="43" spans="1:105" ht="11.45" customHeight="1" x14ac:dyDescent="0.25">
      <c r="A43" s="92" t="s">
        <v>27</v>
      </c>
      <c r="B43" s="101">
        <f>IF(B11=0,0,B11/TrAvia_act!B29*1000000)</f>
        <v>2086.7319954195668</v>
      </c>
      <c r="C43" s="101">
        <f>IF(C11=0,0,C11/TrAvia_act!C29*1000000)</f>
        <v>2400.8976174946933</v>
      </c>
      <c r="D43" s="101">
        <f>IF(D11=0,0,D11/TrAvia_act!D29*1000000)</f>
        <v>2700.4803402370758</v>
      </c>
      <c r="E43" s="101">
        <f>IF(E11=0,0,E11/TrAvia_act!E29*1000000)</f>
        <v>2332.5015281799538</v>
      </c>
      <c r="F43" s="101">
        <f>IF(F11=0,0,F11/TrAvia_act!F29*1000000)</f>
        <v>2413.7264370107132</v>
      </c>
      <c r="G43" s="101">
        <f>IF(G11=0,0,G11/TrAvia_act!G29*1000000)</f>
        <v>2412.4425527513349</v>
      </c>
      <c r="H43" s="101">
        <f>IF(H11=0,0,H11/TrAvia_act!H29*1000000)</f>
        <v>3133.9130293579078</v>
      </c>
      <c r="I43" s="101">
        <f>IF(I11=0,0,I11/TrAvia_act!I29*1000000)</f>
        <v>2853.2239230763216</v>
      </c>
      <c r="J43" s="101">
        <f>IF(J11=0,0,J11/TrAvia_act!J29*1000000)</f>
        <v>2432.6703936276876</v>
      </c>
      <c r="K43" s="101">
        <f>IF(K11=0,0,K11/TrAvia_act!K29*1000000)</f>
        <v>2280.4094413787084</v>
      </c>
      <c r="L43" s="101">
        <f>IF(L11=0,0,L11/TrAvia_act!L29*1000000)</f>
        <v>2539.1619567011171</v>
      </c>
      <c r="M43" s="101">
        <f>IF(M11=0,0,M11/TrAvia_act!M29*1000000)</f>
        <v>1602.9943658777643</v>
      </c>
      <c r="N43" s="101">
        <f>IF(N11=0,0,N11/TrAvia_act!N29*1000000)</f>
        <v>2719.1549760465286</v>
      </c>
      <c r="O43" s="101">
        <f>IF(O11=0,0,O11/TrAvia_act!O29*1000000)</f>
        <v>2906.9102606792976</v>
      </c>
      <c r="P43" s="101">
        <f>IF(P11=0,0,P11/TrAvia_act!P29*1000000)</f>
        <v>3139.0774085042435</v>
      </c>
      <c r="Q43" s="101">
        <f>IF(Q11=0,0,Q11/TrAvia_act!Q29*1000000)</f>
        <v>3182.5393056177691</v>
      </c>
      <c r="R43" s="101">
        <f>IF(R11=0,0,R11/TrAvia_act!R29*1000000)</f>
        <v>1635.94294189165</v>
      </c>
      <c r="S43" s="101">
        <f>IF(S11=0,0,S11/TrAvia_act!S29*1000000)</f>
        <v>2234.3131692431152</v>
      </c>
      <c r="T43" s="101">
        <f>IF(T11=0,0,T11/TrAvia_act!T29*1000000)</f>
        <v>2139.0015756554594</v>
      </c>
      <c r="U43" s="101">
        <f>IF(U11=0,0,U11/TrAvia_act!U29*1000000)</f>
        <v>2412.8872074703427</v>
      </c>
      <c r="V43" s="101">
        <f>IF(V11=0,0,V11/TrAvia_act!V29*1000000)</f>
        <v>1953.8552050427515</v>
      </c>
      <c r="W43" s="101">
        <f>IF(W11=0,0,W11/TrAvia_act!W29*1000000)</f>
        <v>2864.4884837639393</v>
      </c>
      <c r="X43" s="101">
        <f>IF(X11=0,0,X11/TrAvia_act!X29*1000000)</f>
        <v>5779.6534623018979</v>
      </c>
      <c r="Y43" s="101">
        <f>IF(Y11=0,0,Y11/TrAvia_act!Y29*1000000)</f>
        <v>3067.6255573149319</v>
      </c>
      <c r="DA43" s="175" t="s">
        <v>311</v>
      </c>
    </row>
    <row r="44" spans="1:105" ht="11.45" customHeight="1" x14ac:dyDescent="0.25">
      <c r="A44" s="92" t="s">
        <v>181</v>
      </c>
      <c r="B44" s="101">
        <f>IF(B12=0,0,B12/TrAvia_act!B30*1000000)</f>
        <v>3974.7122065529074</v>
      </c>
      <c r="C44" s="101">
        <f>IF(C12=0,0,C12/TrAvia_act!C30*1000000)</f>
        <v>4426.0501369719241</v>
      </c>
      <c r="D44" s="101">
        <f>IF(D12=0,0,D12/TrAvia_act!D30*1000000)</f>
        <v>4708.3456022786286</v>
      </c>
      <c r="E44" s="101">
        <f>IF(E12=0,0,E12/TrAvia_act!E30*1000000)</f>
        <v>4749.7327715115644</v>
      </c>
      <c r="F44" s="101">
        <f>IF(F12=0,0,F12/TrAvia_act!F30*1000000)</f>
        <v>4345.8252997220707</v>
      </c>
      <c r="G44" s="101">
        <f>IF(G12=0,0,G12/TrAvia_act!G30*1000000)</f>
        <v>4519.5322722289984</v>
      </c>
      <c r="H44" s="101">
        <f>IF(H12=0,0,H12/TrAvia_act!H30*1000000)</f>
        <v>4485.3970306454703</v>
      </c>
      <c r="I44" s="101">
        <f>IF(I12=0,0,I12/TrAvia_act!I30*1000000)</f>
        <v>5155.2960000481962</v>
      </c>
      <c r="J44" s="101">
        <f>IF(J12=0,0,J12/TrAvia_act!J30*1000000)</f>
        <v>4886.0858306709379</v>
      </c>
      <c r="K44" s="101">
        <f>IF(K12=0,0,K12/TrAvia_act!K30*1000000)</f>
        <v>3436.0105424849139</v>
      </c>
      <c r="L44" s="101">
        <f>IF(L12=0,0,L12/TrAvia_act!L30*1000000)</f>
        <v>5014.9133060654367</v>
      </c>
      <c r="M44" s="101">
        <f>IF(M12=0,0,M12/TrAvia_act!M30*1000000)</f>
        <v>4540.8737371038214</v>
      </c>
      <c r="N44" s="101">
        <f>IF(N12=0,0,N12/TrAvia_act!N30*1000000)</f>
        <v>3803.2556836940689</v>
      </c>
      <c r="O44" s="101">
        <f>IF(O12=0,0,O12/TrAvia_act!O30*1000000)</f>
        <v>3913.4137078515464</v>
      </c>
      <c r="P44" s="101">
        <f>IF(P12=0,0,P12/TrAvia_act!P30*1000000)</f>
        <v>4720.7424775235422</v>
      </c>
      <c r="Q44" s="101">
        <f>IF(Q12=0,0,Q12/TrAvia_act!Q30*1000000)</f>
        <v>5245.8985048682434</v>
      </c>
      <c r="R44" s="101">
        <f>IF(R12=0,0,R12/TrAvia_act!R30*1000000)</f>
        <v>5136.1405139230274</v>
      </c>
      <c r="S44" s="101">
        <f>IF(S12=0,0,S12/TrAvia_act!S30*1000000)</f>
        <v>5638.7705038062923</v>
      </c>
      <c r="T44" s="101">
        <f>IF(T12=0,0,T12/TrAvia_act!T30*1000000)</f>
        <v>5951.0752267585276</v>
      </c>
      <c r="U44" s="101">
        <f>IF(U12=0,0,U12/TrAvia_act!U30*1000000)</f>
        <v>5674.8822573553252</v>
      </c>
      <c r="V44" s="101">
        <f>IF(V12=0,0,V12/TrAvia_act!V30*1000000)</f>
        <v>3884.1625733774654</v>
      </c>
      <c r="W44" s="101">
        <f>IF(W12=0,0,W12/TrAvia_act!W30*1000000)</f>
        <v>4859.5149812361824</v>
      </c>
      <c r="X44" s="101">
        <f>IF(X12=0,0,X12/TrAvia_act!X30*1000000)</f>
        <v>5280.102687926098</v>
      </c>
      <c r="Y44" s="101">
        <f>IF(Y12=0,0,Y12/TrAvia_act!Y30*1000000)</f>
        <v>5367.9807336708755</v>
      </c>
      <c r="DA44" s="175" t="s">
        <v>312</v>
      </c>
    </row>
    <row r="45" spans="1:105" ht="11.45" customHeight="1" x14ac:dyDescent="0.25">
      <c r="A45" s="85" t="s">
        <v>182</v>
      </c>
      <c r="B45" s="88">
        <f>IF(B13=0,0,B13/TrAvia_act!B31*1000000)</f>
        <v>50560.065454176533</v>
      </c>
      <c r="C45" s="88">
        <f>IF(C13=0,0,C13/TrAvia_act!C31*1000000)</f>
        <v>56293.326431014721</v>
      </c>
      <c r="D45" s="88">
        <f>IF(D13=0,0,D13/TrAvia_act!D31*1000000)</f>
        <v>59866.833336133102</v>
      </c>
      <c r="E45" s="88">
        <f>IF(E13=0,0,E13/TrAvia_act!E31*1000000)</f>
        <v>60391.900053669575</v>
      </c>
      <c r="F45" s="88">
        <f>IF(F13=0,0,F13/TrAvia_act!F31*1000000)</f>
        <v>55407.932142015168</v>
      </c>
      <c r="G45" s="88">
        <f>IF(G13=0,0,G13/TrAvia_act!G31*1000000)</f>
        <v>46369.943780428934</v>
      </c>
      <c r="H45" s="88">
        <f>IF(H13=0,0,H13/TrAvia_act!H31*1000000)</f>
        <v>34337.985597391016</v>
      </c>
      <c r="I45" s="88">
        <f>IF(I13=0,0,I13/TrAvia_act!I31*1000000)</f>
        <v>29550.803833053495</v>
      </c>
      <c r="J45" s="88">
        <f>IF(J13=0,0,J13/TrAvia_act!J31*1000000)</f>
        <v>28580.153244186662</v>
      </c>
      <c r="K45" s="88">
        <f>IF(K13=0,0,K13/TrAvia_act!K31*1000000)</f>
        <v>20722.990076159796</v>
      </c>
      <c r="L45" s="88">
        <f>IF(L13=0,0,L13/TrAvia_act!L31*1000000)</f>
        <v>26025.17621969651</v>
      </c>
      <c r="M45" s="88">
        <f>IF(M13=0,0,M13/TrAvia_act!M31*1000000)</f>
        <v>24213.629258861416</v>
      </c>
      <c r="N45" s="88">
        <f>IF(N13=0,0,N13/TrAvia_act!N31*1000000)</f>
        <v>24379.297227116665</v>
      </c>
      <c r="O45" s="88">
        <f>IF(O13=0,0,O13/TrAvia_act!O31*1000000)</f>
        <v>26204.071948865625</v>
      </c>
      <c r="P45" s="88">
        <f>IF(P13=0,0,P13/TrAvia_act!P31*1000000)</f>
        <v>25547.122532132271</v>
      </c>
      <c r="Q45" s="88">
        <f>IF(Q13=0,0,Q13/TrAvia_act!Q31*1000000)</f>
        <v>24916.545522036333</v>
      </c>
      <c r="R45" s="88">
        <f>IF(R13=0,0,R13/TrAvia_act!R31*1000000)</f>
        <v>23842.016273828223</v>
      </c>
      <c r="S45" s="88">
        <f>IF(S13=0,0,S13/TrAvia_act!S31*1000000)</f>
        <v>23330.179126147788</v>
      </c>
      <c r="T45" s="88">
        <f>IF(T13=0,0,T13/TrAvia_act!T31*1000000)</f>
        <v>22191.887278961196</v>
      </c>
      <c r="U45" s="88">
        <f>IF(U13=0,0,U13/TrAvia_act!U31*1000000)</f>
        <v>24140.964129474167</v>
      </c>
      <c r="V45" s="88">
        <f>IF(V13=0,0,V13/TrAvia_act!V31*1000000)</f>
        <v>37764.970436186923</v>
      </c>
      <c r="W45" s="88">
        <f>IF(W13=0,0,W13/TrAvia_act!W31*1000000)</f>
        <v>39713.04143692051</v>
      </c>
      <c r="X45" s="88">
        <f>IF(X13=0,0,X13/TrAvia_act!X31*1000000)</f>
        <v>25804.564681324271</v>
      </c>
      <c r="Y45" s="88">
        <f>IF(Y13=0,0,Y13/TrAvia_act!Y31*1000000)</f>
        <v>23865.372857324965</v>
      </c>
      <c r="DA45" s="178" t="s">
        <v>313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DA46" s="181"/>
    </row>
    <row r="47" spans="1:105" ht="11.45" customHeight="1" x14ac:dyDescent="0.25">
      <c r="A47" s="53" t="s">
        <v>40</v>
      </c>
      <c r="B47" s="76">
        <f t="shared" ref="B47:C47" si="33">IF(B3=0,0,B3/B$3)</f>
        <v>1</v>
      </c>
      <c r="C47" s="76">
        <f t="shared" si="33"/>
        <v>1</v>
      </c>
      <c r="D47" s="76">
        <f t="shared" ref="D47:V47" si="34">IF(D3=0,0,D3/D$3)</f>
        <v>1</v>
      </c>
      <c r="E47" s="76">
        <f t="shared" si="34"/>
        <v>1</v>
      </c>
      <c r="F47" s="76">
        <f t="shared" si="34"/>
        <v>1</v>
      </c>
      <c r="G47" s="76">
        <f t="shared" si="34"/>
        <v>1</v>
      </c>
      <c r="H47" s="76">
        <f t="shared" si="34"/>
        <v>1</v>
      </c>
      <c r="I47" s="76">
        <f t="shared" si="34"/>
        <v>1</v>
      </c>
      <c r="J47" s="76">
        <f t="shared" si="34"/>
        <v>1</v>
      </c>
      <c r="K47" s="76">
        <f t="shared" si="34"/>
        <v>1</v>
      </c>
      <c r="L47" s="76">
        <f t="shared" si="34"/>
        <v>1</v>
      </c>
      <c r="M47" s="76">
        <f t="shared" si="34"/>
        <v>1</v>
      </c>
      <c r="N47" s="76">
        <f t="shared" si="34"/>
        <v>1</v>
      </c>
      <c r="O47" s="76">
        <f t="shared" si="34"/>
        <v>1</v>
      </c>
      <c r="P47" s="76">
        <f t="shared" si="34"/>
        <v>1</v>
      </c>
      <c r="Q47" s="76">
        <f t="shared" si="34"/>
        <v>1</v>
      </c>
      <c r="R47" s="76">
        <f t="shared" si="34"/>
        <v>1</v>
      </c>
      <c r="S47" s="76">
        <f t="shared" si="34"/>
        <v>1</v>
      </c>
      <c r="T47" s="76">
        <f t="shared" si="34"/>
        <v>1</v>
      </c>
      <c r="U47" s="76">
        <f t="shared" si="34"/>
        <v>1</v>
      </c>
      <c r="V47" s="76">
        <f t="shared" si="34"/>
        <v>1</v>
      </c>
      <c r="W47" s="76">
        <f t="shared" ref="W47:Y47" si="35">IF(W3=0,0,W3/W$3)</f>
        <v>1</v>
      </c>
      <c r="X47" s="76">
        <f t="shared" si="35"/>
        <v>1</v>
      </c>
      <c r="Y47" s="76">
        <f t="shared" si="35"/>
        <v>1</v>
      </c>
      <c r="DA47" s="183"/>
    </row>
    <row r="48" spans="1:105" ht="11.45" customHeight="1" x14ac:dyDescent="0.25">
      <c r="A48" s="10" t="s">
        <v>33</v>
      </c>
      <c r="B48" s="16">
        <f t="shared" ref="B48:C48" si="36">IF(B6=0,0,B6/B$3)</f>
        <v>0.98150577245374704</v>
      </c>
      <c r="C48" s="16">
        <f t="shared" si="36"/>
        <v>0.98322183297787491</v>
      </c>
      <c r="D48" s="16">
        <f t="shared" ref="D48:V48" si="37">IF(D6=0,0,D6/D$3)</f>
        <v>0.98502927349465286</v>
      </c>
      <c r="E48" s="16">
        <f t="shared" si="37"/>
        <v>0.98341436281465255</v>
      </c>
      <c r="F48" s="16">
        <f t="shared" si="37"/>
        <v>0.97457815368283096</v>
      </c>
      <c r="G48" s="16">
        <f t="shared" si="37"/>
        <v>0.97514452183135636</v>
      </c>
      <c r="H48" s="16">
        <f t="shared" si="37"/>
        <v>0.96868060677589063</v>
      </c>
      <c r="I48" s="16">
        <f t="shared" si="37"/>
        <v>0.9745874339940902</v>
      </c>
      <c r="J48" s="16">
        <f t="shared" si="37"/>
        <v>0.97566710867547735</v>
      </c>
      <c r="K48" s="16">
        <f t="shared" si="37"/>
        <v>0.97492637191405818</v>
      </c>
      <c r="L48" s="16">
        <f t="shared" si="37"/>
        <v>0.97071781213487851</v>
      </c>
      <c r="M48" s="16">
        <f t="shared" si="37"/>
        <v>0.97496371967823181</v>
      </c>
      <c r="N48" s="16">
        <f t="shared" si="37"/>
        <v>0.96957409461252742</v>
      </c>
      <c r="O48" s="16">
        <f t="shared" si="37"/>
        <v>0.97054264076426811</v>
      </c>
      <c r="P48" s="16">
        <f t="shared" si="37"/>
        <v>0.97321901001392552</v>
      </c>
      <c r="Q48" s="16">
        <f t="shared" si="37"/>
        <v>0.97307600426607732</v>
      </c>
      <c r="R48" s="16">
        <f t="shared" si="37"/>
        <v>0.97789087110725681</v>
      </c>
      <c r="S48" s="16">
        <f t="shared" si="37"/>
        <v>0.97591377812460045</v>
      </c>
      <c r="T48" s="16">
        <f t="shared" si="37"/>
        <v>0.97986906955458153</v>
      </c>
      <c r="U48" s="16">
        <f t="shared" si="37"/>
        <v>0.98191074230166886</v>
      </c>
      <c r="V48" s="16">
        <f t="shared" si="37"/>
        <v>0.93182817736239165</v>
      </c>
      <c r="W48" s="16">
        <f t="shared" ref="W48:Y48" si="38">IF(W6=0,0,W6/W$3)</f>
        <v>0.92219986983422286</v>
      </c>
      <c r="X48" s="16">
        <f t="shared" si="38"/>
        <v>0.97296014168256617</v>
      </c>
      <c r="Y48" s="16">
        <f t="shared" si="38"/>
        <v>0.97730273474937479</v>
      </c>
      <c r="DA48" s="190"/>
    </row>
    <row r="49" spans="1:105" ht="11.45" customHeight="1" x14ac:dyDescent="0.25">
      <c r="A49" s="83" t="s">
        <v>27</v>
      </c>
      <c r="B49" s="103">
        <f t="shared" ref="B49:C49" si="39">IF(B7=0,0,B7/B$3)</f>
        <v>4.972690839844799E-2</v>
      </c>
      <c r="C49" s="103">
        <f t="shared" si="39"/>
        <v>4.9527666744125093E-2</v>
      </c>
      <c r="D49" s="103">
        <f t="shared" ref="D49:V49" si="40">IF(D7=0,0,D7/D$3)</f>
        <v>4.9643881527832757E-2</v>
      </c>
      <c r="E49" s="103">
        <f t="shared" si="40"/>
        <v>4.8341024941556288E-2</v>
      </c>
      <c r="F49" s="103">
        <f t="shared" si="40"/>
        <v>4.8153376993958344E-2</v>
      </c>
      <c r="G49" s="103">
        <f t="shared" si="40"/>
        <v>5.1684191266457152E-2</v>
      </c>
      <c r="H49" s="103">
        <f t="shared" si="40"/>
        <v>6.3777247182394803E-2</v>
      </c>
      <c r="I49" s="103">
        <f t="shared" si="40"/>
        <v>4.8691377914686605E-2</v>
      </c>
      <c r="J49" s="103">
        <f t="shared" si="40"/>
        <v>4.1645702866271013E-2</v>
      </c>
      <c r="K49" s="103">
        <f t="shared" si="40"/>
        <v>5.0543640966443294E-2</v>
      </c>
      <c r="L49" s="103">
        <f t="shared" si="40"/>
        <v>3.3918167047540165E-2</v>
      </c>
      <c r="M49" s="103">
        <f t="shared" si="40"/>
        <v>1.0434022270142288E-2</v>
      </c>
      <c r="N49" s="103">
        <f t="shared" si="40"/>
        <v>1.139955587973606E-2</v>
      </c>
      <c r="O49" s="103">
        <f t="shared" si="40"/>
        <v>1.0550417561823365E-2</v>
      </c>
      <c r="P49" s="103">
        <f t="shared" si="40"/>
        <v>9.6009419146937964E-3</v>
      </c>
      <c r="Q49" s="103">
        <f t="shared" si="40"/>
        <v>8.5533325432455426E-3</v>
      </c>
      <c r="R49" s="103">
        <f t="shared" si="40"/>
        <v>4.3144656327898743E-3</v>
      </c>
      <c r="S49" s="103">
        <f t="shared" si="40"/>
        <v>4.9039568117835606E-3</v>
      </c>
      <c r="T49" s="103">
        <f t="shared" si="40"/>
        <v>4.3594714021055287E-3</v>
      </c>
      <c r="U49" s="103">
        <f t="shared" si="40"/>
        <v>4.904754622280562E-3</v>
      </c>
      <c r="V49" s="103">
        <f t="shared" si="40"/>
        <v>1.0421481476660286E-2</v>
      </c>
      <c r="W49" s="103">
        <f t="shared" ref="W49:Y49" si="41">IF(W7=0,0,W7/W$3)</f>
        <v>1.2089191024018217E-2</v>
      </c>
      <c r="X49" s="103">
        <f t="shared" si="41"/>
        <v>1.2273512740417084E-2</v>
      </c>
      <c r="Y49" s="103">
        <f t="shared" si="41"/>
        <v>5.997802260788508E-3</v>
      </c>
      <c r="DA49" s="191"/>
    </row>
    <row r="50" spans="1:105" ht="11.45" customHeight="1" x14ac:dyDescent="0.25">
      <c r="A50" s="83" t="s">
        <v>181</v>
      </c>
      <c r="B50" s="103">
        <f t="shared" ref="B50:C50" si="42">IF(B8=0,0,B8/B$3)</f>
        <v>0.58159462882147972</v>
      </c>
      <c r="C50" s="103">
        <f t="shared" si="42"/>
        <v>0.58525229151195635</v>
      </c>
      <c r="D50" s="103">
        <f t="shared" ref="D50:V50" si="43">IF(D8=0,0,D8/D$3)</f>
        <v>0.59857172092279831</v>
      </c>
      <c r="E50" s="103">
        <f t="shared" si="43"/>
        <v>0.64301517394714058</v>
      </c>
      <c r="F50" s="103">
        <f t="shared" si="43"/>
        <v>0.64237501434654964</v>
      </c>
      <c r="G50" s="103">
        <f t="shared" si="43"/>
        <v>0.6439831850602481</v>
      </c>
      <c r="H50" s="103">
        <f t="shared" si="43"/>
        <v>0.63044030986028787</v>
      </c>
      <c r="I50" s="103">
        <f t="shared" si="43"/>
        <v>0.64964250311154648</v>
      </c>
      <c r="J50" s="103">
        <f t="shared" si="43"/>
        <v>0.6561164571661211</v>
      </c>
      <c r="K50" s="103">
        <f t="shared" si="43"/>
        <v>0.63265436505088435</v>
      </c>
      <c r="L50" s="103">
        <f t="shared" si="43"/>
        <v>0.63011751227184554</v>
      </c>
      <c r="M50" s="103">
        <f t="shared" si="43"/>
        <v>0.64857380854710256</v>
      </c>
      <c r="N50" s="103">
        <f t="shared" si="43"/>
        <v>0.63940112376778635</v>
      </c>
      <c r="O50" s="103">
        <f t="shared" si="43"/>
        <v>0.63965720308250384</v>
      </c>
      <c r="P50" s="103">
        <f t="shared" si="43"/>
        <v>0.64664828072186187</v>
      </c>
      <c r="Q50" s="103">
        <f t="shared" si="43"/>
        <v>0.65203198964436748</v>
      </c>
      <c r="R50" s="103">
        <f t="shared" si="43"/>
        <v>0.67363011287762609</v>
      </c>
      <c r="S50" s="103">
        <f t="shared" si="43"/>
        <v>0.67800528417752726</v>
      </c>
      <c r="T50" s="103">
        <f t="shared" si="43"/>
        <v>0.6815568616045391</v>
      </c>
      <c r="U50" s="103">
        <f t="shared" si="43"/>
        <v>0.67621073525029596</v>
      </c>
      <c r="V50" s="103">
        <f t="shared" si="43"/>
        <v>0.55022021566783463</v>
      </c>
      <c r="W50" s="103">
        <f t="shared" ref="W50:Y50" si="44">IF(W8=0,0,W8/W$3)</f>
        <v>0.56798901267659396</v>
      </c>
      <c r="X50" s="103">
        <f t="shared" si="44"/>
        <v>0.67234960309158853</v>
      </c>
      <c r="Y50" s="103">
        <f t="shared" si="44"/>
        <v>0.67848346115745894</v>
      </c>
      <c r="DA50" s="191"/>
    </row>
    <row r="51" spans="1:105" ht="11.45" customHeight="1" x14ac:dyDescent="0.25">
      <c r="A51" s="83" t="s">
        <v>182</v>
      </c>
      <c r="B51" s="103">
        <f t="shared" ref="B51:C51" si="45">IF(B9=0,0,B9/B$3)</f>
        <v>0.35018423523381936</v>
      </c>
      <c r="C51" s="103">
        <f t="shared" si="45"/>
        <v>0.3484418747217935</v>
      </c>
      <c r="D51" s="103">
        <f t="shared" ref="D51:V51" si="46">IF(D9=0,0,D9/D$3)</f>
        <v>0.33681367104402177</v>
      </c>
      <c r="E51" s="103">
        <f t="shared" si="46"/>
        <v>0.29205816392595579</v>
      </c>
      <c r="F51" s="103">
        <f t="shared" si="46"/>
        <v>0.28404976234232293</v>
      </c>
      <c r="G51" s="103">
        <f t="shared" si="46"/>
        <v>0.27947714550465108</v>
      </c>
      <c r="H51" s="103">
        <f t="shared" si="46"/>
        <v>0.27446304973320801</v>
      </c>
      <c r="I51" s="103">
        <f t="shared" si="46"/>
        <v>0.27625355296785725</v>
      </c>
      <c r="J51" s="103">
        <f t="shared" si="46"/>
        <v>0.27790494864308513</v>
      </c>
      <c r="K51" s="103">
        <f t="shared" si="46"/>
        <v>0.29172836589673062</v>
      </c>
      <c r="L51" s="103">
        <f t="shared" si="46"/>
        <v>0.30668213281549284</v>
      </c>
      <c r="M51" s="103">
        <f t="shared" si="46"/>
        <v>0.31595588886098697</v>
      </c>
      <c r="N51" s="103">
        <f t="shared" si="46"/>
        <v>0.31877341496500505</v>
      </c>
      <c r="O51" s="103">
        <f t="shared" si="46"/>
        <v>0.32033502011994092</v>
      </c>
      <c r="P51" s="103">
        <f t="shared" si="46"/>
        <v>0.3169697873773698</v>
      </c>
      <c r="Q51" s="103">
        <f t="shared" si="46"/>
        <v>0.31249068207846431</v>
      </c>
      <c r="R51" s="103">
        <f t="shared" si="46"/>
        <v>0.29994629259684091</v>
      </c>
      <c r="S51" s="103">
        <f t="shared" si="46"/>
        <v>0.29300453713528962</v>
      </c>
      <c r="T51" s="103">
        <f t="shared" si="46"/>
        <v>0.29395273654793685</v>
      </c>
      <c r="U51" s="103">
        <f t="shared" si="46"/>
        <v>0.30079525242909244</v>
      </c>
      <c r="V51" s="103">
        <f t="shared" si="46"/>
        <v>0.37118648021789669</v>
      </c>
      <c r="W51" s="103">
        <f t="shared" ref="W51:Y51" si="47">IF(W9=0,0,W9/W$3)</f>
        <v>0.34212166613361078</v>
      </c>
      <c r="X51" s="103">
        <f t="shared" si="47"/>
        <v>0.28833702585056048</v>
      </c>
      <c r="Y51" s="103">
        <f t="shared" si="47"/>
        <v>0.29282147133112735</v>
      </c>
      <c r="DA51" s="191"/>
    </row>
    <row r="52" spans="1:105" ht="11.45" customHeight="1" x14ac:dyDescent="0.25">
      <c r="A52" s="12" t="s">
        <v>34</v>
      </c>
      <c r="B52" s="17">
        <f t="shared" ref="B52:C52" si="48">IF(B10=0,0,B10/B$3)</f>
        <v>1.8494227546252923E-2</v>
      </c>
      <c r="C52" s="17">
        <f t="shared" si="48"/>
        <v>1.6778167022125166E-2</v>
      </c>
      <c r="D52" s="17">
        <f t="shared" ref="D52:V52" si="49">IF(D10=0,0,D10/D$3)</f>
        <v>1.4970726505347105E-2</v>
      </c>
      <c r="E52" s="17">
        <f t="shared" si="49"/>
        <v>1.6585637185347481E-2</v>
      </c>
      <c r="F52" s="17">
        <f t="shared" si="49"/>
        <v>2.5421846317169094E-2</v>
      </c>
      <c r="G52" s="17">
        <f t="shared" si="49"/>
        <v>2.4855478168643655E-2</v>
      </c>
      <c r="H52" s="17">
        <f t="shared" si="49"/>
        <v>3.1319393224109329E-2</v>
      </c>
      <c r="I52" s="17">
        <f t="shared" si="49"/>
        <v>2.5412566005909826E-2</v>
      </c>
      <c r="J52" s="17">
        <f t="shared" si="49"/>
        <v>2.4332891324522682E-2</v>
      </c>
      <c r="K52" s="17">
        <f t="shared" si="49"/>
        <v>2.5073628085941622E-2</v>
      </c>
      <c r="L52" s="17">
        <f t="shared" si="49"/>
        <v>2.9282187865121555E-2</v>
      </c>
      <c r="M52" s="17">
        <f t="shared" si="49"/>
        <v>2.5036280321768186E-2</v>
      </c>
      <c r="N52" s="17">
        <f t="shared" si="49"/>
        <v>3.0425905387472755E-2</v>
      </c>
      <c r="O52" s="17">
        <f t="shared" si="49"/>
        <v>2.9457359235731836E-2</v>
      </c>
      <c r="P52" s="17">
        <f t="shared" si="49"/>
        <v>2.6780989986074536E-2</v>
      </c>
      <c r="Q52" s="17">
        <f t="shared" si="49"/>
        <v>2.6923995733922589E-2</v>
      </c>
      <c r="R52" s="17">
        <f t="shared" si="49"/>
        <v>2.2109128892742965E-2</v>
      </c>
      <c r="S52" s="17">
        <f t="shared" si="49"/>
        <v>2.4086221875399494E-2</v>
      </c>
      <c r="T52" s="17">
        <f t="shared" si="49"/>
        <v>2.0130930445418371E-2</v>
      </c>
      <c r="U52" s="17">
        <f t="shared" si="49"/>
        <v>1.8089257698330918E-2</v>
      </c>
      <c r="V52" s="17">
        <f t="shared" si="49"/>
        <v>6.8171822637608459E-2</v>
      </c>
      <c r="W52" s="17">
        <f t="shared" ref="W52:Y52" si="50">IF(W10=0,0,W10/W$3)</f>
        <v>7.780013016577704E-2</v>
      </c>
      <c r="X52" s="17">
        <f t="shared" si="50"/>
        <v>2.7039858317434017E-2</v>
      </c>
      <c r="Y52" s="17">
        <f t="shared" si="50"/>
        <v>2.2697265250625237E-2</v>
      </c>
      <c r="DA52" s="194"/>
    </row>
    <row r="53" spans="1:105" ht="11.45" customHeight="1" x14ac:dyDescent="0.25">
      <c r="A53" s="92" t="s">
        <v>27</v>
      </c>
      <c r="B53" s="104">
        <f t="shared" ref="B53:C53" si="51">IF(B11=0,0,B11/B$3)</f>
        <v>2.1301590288716377E-3</v>
      </c>
      <c r="C53" s="104">
        <f t="shared" si="51"/>
        <v>2.0190320960724903E-3</v>
      </c>
      <c r="D53" s="104">
        <f t="shared" ref="D53:V53" si="52">IF(D11=0,0,D11/D$3)</f>
        <v>1.5510445517701243E-3</v>
      </c>
      <c r="E53" s="104">
        <f t="shared" si="52"/>
        <v>1.3375663430989864E-3</v>
      </c>
      <c r="F53" s="104">
        <f t="shared" si="52"/>
        <v>2.8530476029376209E-3</v>
      </c>
      <c r="G53" s="104">
        <f t="shared" si="52"/>
        <v>3.379333052965052E-3</v>
      </c>
      <c r="H53" s="104">
        <f t="shared" si="52"/>
        <v>5.8833951673477186E-3</v>
      </c>
      <c r="I53" s="104">
        <f t="shared" si="52"/>
        <v>3.6016516776773756E-3</v>
      </c>
      <c r="J53" s="104">
        <f t="shared" si="52"/>
        <v>2.6536712748876628E-3</v>
      </c>
      <c r="K53" s="104">
        <f t="shared" si="52"/>
        <v>3.78385078411875E-3</v>
      </c>
      <c r="L53" s="104">
        <f t="shared" si="52"/>
        <v>3.0974249858919684E-3</v>
      </c>
      <c r="M53" s="104">
        <f t="shared" si="52"/>
        <v>1.6109276316321466E-3</v>
      </c>
      <c r="N53" s="104">
        <f t="shared" si="52"/>
        <v>2.9508653075790495E-3</v>
      </c>
      <c r="O53" s="104">
        <f t="shared" si="52"/>
        <v>2.4510660615622644E-3</v>
      </c>
      <c r="P53" s="104">
        <f t="shared" si="52"/>
        <v>1.6658472888531725E-3</v>
      </c>
      <c r="Q53" s="104">
        <f t="shared" si="52"/>
        <v>1.4242576786510544E-3</v>
      </c>
      <c r="R53" s="104">
        <f t="shared" si="52"/>
        <v>5.4152483865311141E-4</v>
      </c>
      <c r="S53" s="104">
        <f t="shared" si="52"/>
        <v>7.5867645572411525E-4</v>
      </c>
      <c r="T53" s="104">
        <f t="shared" si="52"/>
        <v>6.7260976134847462E-4</v>
      </c>
      <c r="U53" s="104">
        <f t="shared" si="52"/>
        <v>4.4739009812300076E-4</v>
      </c>
      <c r="V53" s="104">
        <f t="shared" si="52"/>
        <v>1.0243525900208755E-3</v>
      </c>
      <c r="W53" s="104">
        <f t="shared" ref="W53:Y53" si="53">IF(W11=0,0,W11/W$3)</f>
        <v>2.3799032432612445E-3</v>
      </c>
      <c r="X53" s="104">
        <f t="shared" si="53"/>
        <v>1.1066908198356304E-3</v>
      </c>
      <c r="Y53" s="104">
        <f t="shared" si="53"/>
        <v>6.3259927720249172E-4</v>
      </c>
      <c r="DA53" s="195"/>
    </row>
    <row r="54" spans="1:105" ht="11.45" customHeight="1" x14ac:dyDescent="0.25">
      <c r="A54" s="92" t="s">
        <v>181</v>
      </c>
      <c r="B54" s="104">
        <f t="shared" ref="B54:C54" si="54">IF(B12=0,0,B12/B$3)</f>
        <v>6.9727219279312278E-3</v>
      </c>
      <c r="C54" s="104">
        <f t="shared" si="54"/>
        <v>6.2736975968171382E-3</v>
      </c>
      <c r="D54" s="104">
        <f t="shared" ref="D54:V54" si="55">IF(D12=0,0,D12/D$3)</f>
        <v>4.6928929508981776E-3</v>
      </c>
      <c r="E54" s="104">
        <f t="shared" si="55"/>
        <v>4.7816430057655672E-3</v>
      </c>
      <c r="F54" s="104">
        <f t="shared" si="55"/>
        <v>4.9848648787057101E-3</v>
      </c>
      <c r="G54" s="104">
        <f t="shared" si="55"/>
        <v>8.1300260237691831E-3</v>
      </c>
      <c r="H54" s="104">
        <f t="shared" si="55"/>
        <v>1.1789815276934427E-2</v>
      </c>
      <c r="I54" s="104">
        <f t="shared" si="55"/>
        <v>1.0673807057289465E-2</v>
      </c>
      <c r="J54" s="104">
        <f t="shared" si="55"/>
        <v>1.0544728872682721E-2</v>
      </c>
      <c r="K54" s="104">
        <f t="shared" si="55"/>
        <v>1.1642581784209525E-2</v>
      </c>
      <c r="L54" s="104">
        <f t="shared" si="55"/>
        <v>1.2985008733683048E-2</v>
      </c>
      <c r="M54" s="104">
        <f t="shared" si="55"/>
        <v>1.2414892029941329E-2</v>
      </c>
      <c r="N54" s="104">
        <f t="shared" si="55"/>
        <v>1.1451933735787482E-2</v>
      </c>
      <c r="O54" s="104">
        <f t="shared" si="55"/>
        <v>1.043511303729344E-2</v>
      </c>
      <c r="P54" s="104">
        <f t="shared" si="55"/>
        <v>1.1046826153651931E-2</v>
      </c>
      <c r="Q54" s="104">
        <f t="shared" si="55"/>
        <v>1.1348042057167627E-2</v>
      </c>
      <c r="R54" s="104">
        <f t="shared" si="55"/>
        <v>9.5102115679451087E-3</v>
      </c>
      <c r="S54" s="104">
        <f t="shared" si="55"/>
        <v>9.2644192864921888E-3</v>
      </c>
      <c r="T54" s="104">
        <f t="shared" si="55"/>
        <v>9.3026595228341679E-3</v>
      </c>
      <c r="U54" s="104">
        <f t="shared" si="55"/>
        <v>8.8193247716959692E-3</v>
      </c>
      <c r="V54" s="104">
        <f t="shared" si="55"/>
        <v>2.0538977224680708E-2</v>
      </c>
      <c r="W54" s="104">
        <f t="shared" ref="W54:Y54" si="56">IF(W12=0,0,W12/W$3)</f>
        <v>2.4104879597846452E-2</v>
      </c>
      <c r="X54" s="104">
        <f t="shared" si="56"/>
        <v>9.7163209442273635E-3</v>
      </c>
      <c r="Y54" s="104">
        <f t="shared" si="56"/>
        <v>9.397599287414439E-3</v>
      </c>
      <c r="DA54" s="195"/>
    </row>
    <row r="55" spans="1:105" ht="11.45" customHeight="1" x14ac:dyDescent="0.25">
      <c r="A55" s="85" t="s">
        <v>182</v>
      </c>
      <c r="B55" s="105">
        <f t="shared" ref="B55:C55" si="57">IF(B13=0,0,B13/B$3)</f>
        <v>9.3913465894500565E-3</v>
      </c>
      <c r="C55" s="105">
        <f t="shared" si="57"/>
        <v>8.4854373292355383E-3</v>
      </c>
      <c r="D55" s="105">
        <f t="shared" ref="D55:V55" si="58">IF(D13=0,0,D13/D$3)</f>
        <v>8.7267890026788055E-3</v>
      </c>
      <c r="E55" s="105">
        <f t="shared" si="58"/>
        <v>1.0466427836482928E-2</v>
      </c>
      <c r="F55" s="105">
        <f t="shared" si="58"/>
        <v>1.7583933835525766E-2</v>
      </c>
      <c r="G55" s="105">
        <f t="shared" si="58"/>
        <v>1.3346119091909419E-2</v>
      </c>
      <c r="H55" s="105">
        <f t="shared" si="58"/>
        <v>1.3646182779827185E-2</v>
      </c>
      <c r="I55" s="105">
        <f t="shared" si="58"/>
        <v>1.1137107270942982E-2</v>
      </c>
      <c r="J55" s="105">
        <f t="shared" si="58"/>
        <v>1.1134491176952298E-2</v>
      </c>
      <c r="K55" s="105">
        <f t="shared" si="58"/>
        <v>9.6471955176133471E-3</v>
      </c>
      <c r="L55" s="105">
        <f t="shared" si="58"/>
        <v>1.3199754145546536E-2</v>
      </c>
      <c r="M55" s="105">
        <f t="shared" si="58"/>
        <v>1.1010460660194708E-2</v>
      </c>
      <c r="N55" s="105">
        <f t="shared" si="58"/>
        <v>1.6023106344106221E-2</v>
      </c>
      <c r="O55" s="105">
        <f t="shared" si="58"/>
        <v>1.6571180136876133E-2</v>
      </c>
      <c r="P55" s="105">
        <f t="shared" si="58"/>
        <v>1.4068316543569433E-2</v>
      </c>
      <c r="Q55" s="105">
        <f t="shared" si="58"/>
        <v>1.4151695998103904E-2</v>
      </c>
      <c r="R55" s="105">
        <f t="shared" si="58"/>
        <v>1.2057392486144744E-2</v>
      </c>
      <c r="S55" s="105">
        <f t="shared" si="58"/>
        <v>1.4063126133183187E-2</v>
      </c>
      <c r="T55" s="105">
        <f t="shared" si="58"/>
        <v>1.0155661161235728E-2</v>
      </c>
      <c r="U55" s="105">
        <f t="shared" si="58"/>
        <v>8.8225428285119509E-3</v>
      </c>
      <c r="V55" s="105">
        <f t="shared" si="58"/>
        <v>4.6608492822906876E-2</v>
      </c>
      <c r="W55" s="105">
        <f t="shared" ref="W55:Y55" si="59">IF(W13=0,0,W13/W$3)</f>
        <v>5.1315347324669344E-2</v>
      </c>
      <c r="X55" s="105">
        <f t="shared" si="59"/>
        <v>1.6216846553371023E-2</v>
      </c>
      <c r="Y55" s="105">
        <f t="shared" si="59"/>
        <v>1.2667066686008309E-2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DA56" s="181"/>
    </row>
    <row r="57" spans="1:105" ht="11.45" customHeight="1" x14ac:dyDescent="0.25">
      <c r="A57" s="53" t="s">
        <v>76</v>
      </c>
      <c r="B57" s="62">
        <v>483.52348385625555</v>
      </c>
      <c r="C57" s="62">
        <v>479.03516773587518</v>
      </c>
      <c r="D57" s="62">
        <v>473.55445808202404</v>
      </c>
      <c r="E57" s="62">
        <v>461.40935885895004</v>
      </c>
      <c r="F57" s="62">
        <v>458.06056221746263</v>
      </c>
      <c r="G57" s="62">
        <v>471.30186888535223</v>
      </c>
      <c r="H57" s="62">
        <v>477.87154345399074</v>
      </c>
      <c r="I57" s="62">
        <v>484.03282301841574</v>
      </c>
      <c r="J57" s="62">
        <v>474.25558388688569</v>
      </c>
      <c r="K57" s="62">
        <v>467.35085896564806</v>
      </c>
      <c r="L57" s="62">
        <v>471.32258721400223</v>
      </c>
      <c r="M57" s="62">
        <v>472.35896448469538</v>
      </c>
      <c r="N57" s="62">
        <v>467.68600020360827</v>
      </c>
      <c r="O57" s="62">
        <v>469.41133140106643</v>
      </c>
      <c r="P57" s="62">
        <v>479.41288701470569</v>
      </c>
      <c r="Q57" s="62">
        <v>488.58341045713382</v>
      </c>
      <c r="R57" s="62">
        <v>484.59060605263375</v>
      </c>
      <c r="S57" s="62">
        <v>496.15926005108582</v>
      </c>
      <c r="T57" s="62">
        <v>502.88827725326291</v>
      </c>
      <c r="U57" s="62">
        <v>492.76883545182528</v>
      </c>
      <c r="V57" s="62">
        <v>482.3417231213046</v>
      </c>
      <c r="W57" s="62">
        <v>467.7149996232568</v>
      </c>
      <c r="X57" s="62">
        <v>482.90244174244287</v>
      </c>
      <c r="Y57" s="62">
        <v>488.34571681334484</v>
      </c>
      <c r="DA57" s="172" t="s">
        <v>314</v>
      </c>
    </row>
    <row r="58" spans="1:105" ht="11.45" customHeight="1" x14ac:dyDescent="0.25">
      <c r="A58" s="10" t="s">
        <v>33</v>
      </c>
      <c r="B58" s="14">
        <v>482.36628147022509</v>
      </c>
      <c r="C58" s="14">
        <v>477.93007051564524</v>
      </c>
      <c r="D58" s="14">
        <v>472.19888346512226</v>
      </c>
      <c r="E58" s="14">
        <v>459.60217168351164</v>
      </c>
      <c r="F58" s="14">
        <v>454.70231173399219</v>
      </c>
      <c r="G58" s="14">
        <v>468.81040682982757</v>
      </c>
      <c r="H58" s="14">
        <v>475.59358865884838</v>
      </c>
      <c r="I58" s="14">
        <v>482.08214983540699</v>
      </c>
      <c r="J58" s="14">
        <v>472.56414834372561</v>
      </c>
      <c r="K58" s="14">
        <v>466.32495345761288</v>
      </c>
      <c r="L58" s="14">
        <v>470.02733175127315</v>
      </c>
      <c r="M58" s="14">
        <v>471.10296440266268</v>
      </c>
      <c r="N58" s="14">
        <v>465.02236721921429</v>
      </c>
      <c r="O58" s="14">
        <v>466.45909420922965</v>
      </c>
      <c r="P58" s="14">
        <v>477.01923218944461</v>
      </c>
      <c r="Q58" s="14">
        <v>485.96321525675387</v>
      </c>
      <c r="R58" s="14">
        <v>482.16611838188709</v>
      </c>
      <c r="S58" s="14">
        <v>492.70941458069291</v>
      </c>
      <c r="T58" s="14">
        <v>500.64100643362468</v>
      </c>
      <c r="U58" s="14">
        <v>490.84036332552142</v>
      </c>
      <c r="V58" s="14">
        <v>474.41117909730593</v>
      </c>
      <c r="W58" s="14">
        <v>458.26221184813329</v>
      </c>
      <c r="X58" s="14">
        <v>478.69297919087768</v>
      </c>
      <c r="Y58" s="14">
        <v>485.4412600345193</v>
      </c>
      <c r="DA58" s="189" t="s">
        <v>315</v>
      </c>
    </row>
    <row r="59" spans="1:105" ht="11.45" customHeight="1" x14ac:dyDescent="0.25">
      <c r="A59" s="83" t="s">
        <v>27</v>
      </c>
      <c r="B59" s="87">
        <v>782.37821789873828</v>
      </c>
      <c r="C59" s="87">
        <v>782.37821789873828</v>
      </c>
      <c r="D59" s="87">
        <v>782.37821789873828</v>
      </c>
      <c r="E59" s="87">
        <v>782.37821789873828</v>
      </c>
      <c r="F59" s="87">
        <v>782.37821789873828</v>
      </c>
      <c r="G59" s="87">
        <v>781.70520322641778</v>
      </c>
      <c r="H59" s="87">
        <v>754.97784443098089</v>
      </c>
      <c r="I59" s="87">
        <v>723.04057212684165</v>
      </c>
      <c r="J59" s="87">
        <v>743.43136043252173</v>
      </c>
      <c r="K59" s="87">
        <v>753.34079441949655</v>
      </c>
      <c r="L59" s="87">
        <v>788.9190210799718</v>
      </c>
      <c r="M59" s="87">
        <v>834.13337785029262</v>
      </c>
      <c r="N59" s="87">
        <v>763.43721540406227</v>
      </c>
      <c r="O59" s="87">
        <v>753.9176417511427</v>
      </c>
      <c r="P59" s="87">
        <v>755.30175177668264</v>
      </c>
      <c r="Q59" s="87">
        <v>729.94410988577033</v>
      </c>
      <c r="R59" s="87">
        <v>716.03318637536222</v>
      </c>
      <c r="S59" s="87">
        <v>703.67220954068955</v>
      </c>
      <c r="T59" s="87">
        <v>718.45320114634364</v>
      </c>
      <c r="U59" s="87">
        <v>717.52216701161842</v>
      </c>
      <c r="V59" s="87">
        <v>737.7743604196321</v>
      </c>
      <c r="W59" s="87">
        <v>726.3317647348573</v>
      </c>
      <c r="X59" s="87">
        <v>717.53609530572589</v>
      </c>
      <c r="Y59" s="87">
        <v>710.082091420202</v>
      </c>
      <c r="DA59" s="171" t="s">
        <v>316</v>
      </c>
    </row>
    <row r="60" spans="1:105" ht="11.45" customHeight="1" x14ac:dyDescent="0.25">
      <c r="A60" s="83" t="s">
        <v>181</v>
      </c>
      <c r="B60" s="87">
        <v>391.33738530600664</v>
      </c>
      <c r="C60" s="87">
        <v>386.9136634929863</v>
      </c>
      <c r="D60" s="87">
        <v>384.42821649424121</v>
      </c>
      <c r="E60" s="87">
        <v>380.96602886420487</v>
      </c>
      <c r="F60" s="87">
        <v>378.42442779717317</v>
      </c>
      <c r="G60" s="87">
        <v>373.88019896571757</v>
      </c>
      <c r="H60" s="87">
        <v>366.14568305416117</v>
      </c>
      <c r="I60" s="87">
        <v>360.96419980776784</v>
      </c>
      <c r="J60" s="87">
        <v>360.62590334357503</v>
      </c>
      <c r="K60" s="87">
        <v>359.91781685814107</v>
      </c>
      <c r="L60" s="87">
        <v>361.87606859150799</v>
      </c>
      <c r="M60" s="87">
        <v>361.87654071332224</v>
      </c>
      <c r="N60" s="87">
        <v>363.19582452475828</v>
      </c>
      <c r="O60" s="87">
        <v>363.8828187481945</v>
      </c>
      <c r="P60" s="87">
        <v>365.61413892618265</v>
      </c>
      <c r="Q60" s="87">
        <v>364.21633600148408</v>
      </c>
      <c r="R60" s="87">
        <v>363.44759955752619</v>
      </c>
      <c r="S60" s="87">
        <v>359.70393534982009</v>
      </c>
      <c r="T60" s="87">
        <v>358.8575175458642</v>
      </c>
      <c r="U60" s="87">
        <v>356.38769342241363</v>
      </c>
      <c r="V60" s="87">
        <v>355.13553175680619</v>
      </c>
      <c r="W60" s="87">
        <v>345.03663486200315</v>
      </c>
      <c r="X60" s="87">
        <v>350.03334699850717</v>
      </c>
      <c r="Y60" s="87">
        <v>352.36345675694554</v>
      </c>
      <c r="DA60" s="171" t="s">
        <v>317</v>
      </c>
    </row>
    <row r="61" spans="1:105" ht="11.45" customHeight="1" x14ac:dyDescent="0.25">
      <c r="A61" s="83" t="s">
        <v>182</v>
      </c>
      <c r="B61" s="87">
        <v>680.74797257321177</v>
      </c>
      <c r="C61" s="87">
        <v>680.74797257321154</v>
      </c>
      <c r="D61" s="87">
        <v>680.74797257321165</v>
      </c>
      <c r="E61" s="87">
        <v>680.74797257321177</v>
      </c>
      <c r="F61" s="87">
        <v>680.74797257321165</v>
      </c>
      <c r="G61" s="87">
        <v>729.60630840164902</v>
      </c>
      <c r="H61" s="87">
        <v>752.0157433122215</v>
      </c>
      <c r="I61" s="87">
        <v>753.0468033613796</v>
      </c>
      <c r="J61" s="87">
        <v>749.9337288689203</v>
      </c>
      <c r="K61" s="87">
        <v>734.82576973044127</v>
      </c>
      <c r="L61" s="87">
        <v>722.77891833945398</v>
      </c>
      <c r="M61" s="87">
        <v>725.65731664500515</v>
      </c>
      <c r="N61" s="87">
        <v>726.14975979100166</v>
      </c>
      <c r="O61" s="87">
        <v>720.04301422429194</v>
      </c>
      <c r="P61" s="87">
        <v>718.51012950341828</v>
      </c>
      <c r="Q61" s="87">
        <v>722.96612243440586</v>
      </c>
      <c r="R61" s="87">
        <v>724.17833074923408</v>
      </c>
      <c r="S61" s="87">
        <v>728.05349219950836</v>
      </c>
      <c r="T61" s="87">
        <v>726.4536557688491</v>
      </c>
      <c r="U61" s="87">
        <v>724.64452044510142</v>
      </c>
      <c r="V61" s="87">
        <v>716.66640275919917</v>
      </c>
      <c r="W61" s="87">
        <v>703.09717952515666</v>
      </c>
      <c r="X61" s="87">
        <v>718.72156847776273</v>
      </c>
      <c r="Y61" s="87">
        <v>720.68963963777048</v>
      </c>
      <c r="DA61" s="171" t="s">
        <v>318</v>
      </c>
    </row>
    <row r="62" spans="1:105" ht="11.45" customHeight="1" x14ac:dyDescent="0.25">
      <c r="A62" s="12" t="s">
        <v>34</v>
      </c>
      <c r="B62" s="15">
        <v>559.34984495021513</v>
      </c>
      <c r="C62" s="15">
        <v>559.6920807002283</v>
      </c>
      <c r="D62" s="15">
        <v>586.93666490799922</v>
      </c>
      <c r="E62" s="15">
        <v>600.63009287444333</v>
      </c>
      <c r="F62" s="15">
        <v>639.34258533608465</v>
      </c>
      <c r="G62" s="15">
        <v>592.44657856044614</v>
      </c>
      <c r="H62" s="15">
        <v>561.45314326995447</v>
      </c>
      <c r="I62" s="15">
        <v>565.50806265989127</v>
      </c>
      <c r="J62" s="15">
        <v>546.30762822591851</v>
      </c>
      <c r="K62" s="15">
        <v>512.41211103379294</v>
      </c>
      <c r="L62" s="15">
        <v>516.54258333821008</v>
      </c>
      <c r="M62" s="15">
        <v>522.72619151229867</v>
      </c>
      <c r="N62" s="15">
        <v>562.04889097600676</v>
      </c>
      <c r="O62" s="15">
        <v>575.75754439944967</v>
      </c>
      <c r="P62" s="15">
        <v>569.84176851382381</v>
      </c>
      <c r="Q62" s="15">
        <v>584.14758617181963</v>
      </c>
      <c r="R62" s="15">
        <v>589.36536194569555</v>
      </c>
      <c r="S62" s="15">
        <v>624.98819637973361</v>
      </c>
      <c r="T62" s="15">
        <v>604.31631849325504</v>
      </c>
      <c r="U62" s="15">
        <v>596.42981305924286</v>
      </c>
      <c r="V62" s="15">
        <v>596.02906094104708</v>
      </c>
      <c r="W62" s="15">
        <v>586.90479644398056</v>
      </c>
      <c r="X62" s="15">
        <v>622.2370707986106</v>
      </c>
      <c r="Y62" s="15">
        <v>600.52769390470417</v>
      </c>
      <c r="DA62" s="193" t="s">
        <v>319</v>
      </c>
    </row>
    <row r="63" spans="1:105" ht="11.45" customHeight="1" x14ac:dyDescent="0.25">
      <c r="A63" s="92" t="s">
        <v>27</v>
      </c>
      <c r="B63" s="101">
        <v>1033.405053581974</v>
      </c>
      <c r="C63" s="101">
        <v>1033.4050535819742</v>
      </c>
      <c r="D63" s="101">
        <v>1033.4050535819742</v>
      </c>
      <c r="E63" s="101">
        <v>1033.4050535819742</v>
      </c>
      <c r="F63" s="101">
        <v>1033.4050535819742</v>
      </c>
      <c r="G63" s="101">
        <v>1032.1104153499678</v>
      </c>
      <c r="H63" s="101">
        <v>962.82579259225508</v>
      </c>
      <c r="I63" s="101">
        <v>891.22406744539194</v>
      </c>
      <c r="J63" s="101">
        <v>909.03909652195318</v>
      </c>
      <c r="K63" s="101">
        <v>908.86862648741203</v>
      </c>
      <c r="L63" s="101">
        <v>947.45987888546085</v>
      </c>
      <c r="M63" s="101">
        <v>1095.190668651371</v>
      </c>
      <c r="N63" s="101">
        <v>1034.5482431374405</v>
      </c>
      <c r="O63" s="101">
        <v>982.41471823944505</v>
      </c>
      <c r="P63" s="101">
        <v>954.41934543560001</v>
      </c>
      <c r="Q63" s="101">
        <v>885.09298790850289</v>
      </c>
      <c r="R63" s="101">
        <v>840.47427890386416</v>
      </c>
      <c r="S63" s="101">
        <v>802.12035782484406</v>
      </c>
      <c r="T63" s="101">
        <v>802.44117432271776</v>
      </c>
      <c r="U63" s="101">
        <v>802.73428927137195</v>
      </c>
      <c r="V63" s="101">
        <v>848.45214656454414</v>
      </c>
      <c r="W63" s="101">
        <v>812.54194355518405</v>
      </c>
      <c r="X63" s="101">
        <v>807.6299628550463</v>
      </c>
      <c r="Y63" s="101">
        <v>813.32767058537331</v>
      </c>
      <c r="DA63" s="175" t="s">
        <v>320</v>
      </c>
    </row>
    <row r="64" spans="1:105" ht="11.45" customHeight="1" x14ac:dyDescent="0.25">
      <c r="A64" s="92" t="s">
        <v>181</v>
      </c>
      <c r="B64" s="101">
        <v>400.18858577613531</v>
      </c>
      <c r="C64" s="101">
        <v>400.17031061140182</v>
      </c>
      <c r="D64" s="101">
        <v>400.37150376627051</v>
      </c>
      <c r="E64" s="101">
        <v>400.37988608529616</v>
      </c>
      <c r="F64" s="101">
        <v>404.37201245437694</v>
      </c>
      <c r="G64" s="101">
        <v>388.28515189348639</v>
      </c>
      <c r="H64" s="101">
        <v>370.81777221140089</v>
      </c>
      <c r="I64" s="101">
        <v>372.19551749601442</v>
      </c>
      <c r="J64" s="101">
        <v>368.56433923589151</v>
      </c>
      <c r="K64" s="101">
        <v>377.28459670637312</v>
      </c>
      <c r="L64" s="101">
        <v>376.2184023136528</v>
      </c>
      <c r="M64" s="101">
        <v>379.29066557405997</v>
      </c>
      <c r="N64" s="101">
        <v>383.74023432595061</v>
      </c>
      <c r="O64" s="101">
        <v>389.52010013131445</v>
      </c>
      <c r="P64" s="101">
        <v>377.03894848670569</v>
      </c>
      <c r="Q64" s="101">
        <v>370.77850281847856</v>
      </c>
      <c r="R64" s="101">
        <v>365.46968730453722</v>
      </c>
      <c r="S64" s="101">
        <v>367.31867510013518</v>
      </c>
      <c r="T64" s="101">
        <v>357.44300340646231</v>
      </c>
      <c r="U64" s="101">
        <v>366.18746268620959</v>
      </c>
      <c r="V64" s="101">
        <v>367.12847535103924</v>
      </c>
      <c r="W64" s="101">
        <v>345.8692990723751</v>
      </c>
      <c r="X64" s="101">
        <v>350.29504106329227</v>
      </c>
      <c r="Y64" s="101">
        <v>346.09028577018159</v>
      </c>
      <c r="DA64" s="175" t="s">
        <v>321</v>
      </c>
    </row>
    <row r="65" spans="1:105" ht="11.45" customHeight="1" x14ac:dyDescent="0.25">
      <c r="A65" s="85" t="s">
        <v>182</v>
      </c>
      <c r="B65" s="88">
        <v>742.34356942330771</v>
      </c>
      <c r="C65" s="88">
        <v>742.34356942330771</v>
      </c>
      <c r="D65" s="88">
        <v>742.34356942330771</v>
      </c>
      <c r="E65" s="88">
        <v>742.3435694233076</v>
      </c>
      <c r="F65" s="88">
        <v>742.34356942330771</v>
      </c>
      <c r="G65" s="88">
        <v>751.88417877121879</v>
      </c>
      <c r="H65" s="88">
        <v>740.53501972830168</v>
      </c>
      <c r="I65" s="88">
        <v>725.38640741779625</v>
      </c>
      <c r="J65" s="88">
        <v>707.06837392448597</v>
      </c>
      <c r="K65" s="88">
        <v>678.08865641461659</v>
      </c>
      <c r="L65" s="88">
        <v>651.42016008814005</v>
      </c>
      <c r="M65" s="88">
        <v>676.49733251428643</v>
      </c>
      <c r="N65" s="88">
        <v>699.30867961767285</v>
      </c>
      <c r="O65" s="88">
        <v>697.79514091792259</v>
      </c>
      <c r="P65" s="88">
        <v>702.4379132278375</v>
      </c>
      <c r="Q65" s="88">
        <v>712.71309587194412</v>
      </c>
      <c r="R65" s="88">
        <v>720.00192996966223</v>
      </c>
      <c r="S65" s="88">
        <v>729.86207403298113</v>
      </c>
      <c r="T65" s="88">
        <v>733.50552577929273</v>
      </c>
      <c r="U65" s="88">
        <v>733.87091994559569</v>
      </c>
      <c r="V65" s="88">
        <v>731.69010420352708</v>
      </c>
      <c r="W65" s="88">
        <v>735.21666358166704</v>
      </c>
      <c r="X65" s="88">
        <v>744.12563476371736</v>
      </c>
      <c r="Y65" s="88">
        <v>737.40902036184877</v>
      </c>
      <c r="DA65" s="178" t="s">
        <v>322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DA66" s="181"/>
    </row>
    <row r="67" spans="1:105" ht="11.45" customHeight="1" x14ac:dyDescent="0.25">
      <c r="A67" s="53" t="s">
        <v>77</v>
      </c>
      <c r="B67" s="59">
        <f t="shared" ref="B67" si="60">IF(B3=0,0,B17/B57)</f>
        <v>1.4224170958599454</v>
      </c>
      <c r="C67" s="59">
        <f t="shared" ref="C67:W67" si="61">IF(C3=0,0,C17/C57)</f>
        <v>1.5945013803040304</v>
      </c>
      <c r="D67" s="59">
        <f t="shared" si="61"/>
        <v>1.7066643958826035</v>
      </c>
      <c r="E67" s="59">
        <f t="shared" si="61"/>
        <v>1.7152304067373858</v>
      </c>
      <c r="F67" s="59">
        <f t="shared" si="61"/>
        <v>1.5887857789061621</v>
      </c>
      <c r="G67" s="59">
        <f t="shared" si="61"/>
        <v>1.4781674156149802</v>
      </c>
      <c r="H67" s="59">
        <f t="shared" si="61"/>
        <v>1.2906401660130635</v>
      </c>
      <c r="I67" s="59">
        <f t="shared" si="61"/>
        <v>1.2883797837656197</v>
      </c>
      <c r="J67" s="59">
        <f t="shared" si="61"/>
        <v>1.2406495425414055</v>
      </c>
      <c r="K67" s="59">
        <f t="shared" si="61"/>
        <v>0.94120674523669834</v>
      </c>
      <c r="L67" s="59">
        <f t="shared" si="61"/>
        <v>1.3032885011699655</v>
      </c>
      <c r="M67" s="59">
        <f t="shared" si="61"/>
        <v>1.1325444509689426</v>
      </c>
      <c r="N67" s="59">
        <f t="shared" si="61"/>
        <v>0.99684391459716393</v>
      </c>
      <c r="O67" s="59">
        <f t="shared" si="61"/>
        <v>1.0758425572584114</v>
      </c>
      <c r="P67" s="59">
        <f t="shared" si="61"/>
        <v>1.126865304901091</v>
      </c>
      <c r="Q67" s="59">
        <f t="shared" si="61"/>
        <v>1.1371661563166011</v>
      </c>
      <c r="R67" s="59">
        <f t="shared" si="61"/>
        <v>1.0878450918025053</v>
      </c>
      <c r="S67" s="59">
        <f t="shared" si="61"/>
        <v>1.1284826772021266</v>
      </c>
      <c r="T67" s="59">
        <f t="shared" si="61"/>
        <v>1.10717452976719</v>
      </c>
      <c r="U67" s="59">
        <f t="shared" si="61"/>
        <v>1.1204042654697726</v>
      </c>
      <c r="V67" s="59">
        <f t="shared" si="61"/>
        <v>1.2149201682557509</v>
      </c>
      <c r="W67" s="59">
        <f t="shared" si="61"/>
        <v>1.3205143012093772</v>
      </c>
      <c r="X67" s="59">
        <f t="shared" ref="X67:Y67" si="62">IF(X3=0,0,X17/X57)</f>
        <v>1.1535223033178514</v>
      </c>
      <c r="Y67" s="59">
        <f t="shared" si="62"/>
        <v>1.1120860596720654</v>
      </c>
      <c r="DA67" s="172"/>
    </row>
    <row r="68" spans="1:105" ht="11.45" customHeight="1" x14ac:dyDescent="0.25">
      <c r="A68" s="10" t="s">
        <v>33</v>
      </c>
      <c r="B68" s="23">
        <f t="shared" ref="B68:B75" si="63">IF(B6=0,0,B18/B58)</f>
        <v>1.4226559375585077</v>
      </c>
      <c r="C68" s="23">
        <f t="shared" ref="C68:W68" si="64">IF(C6=0,0,C18/C58)</f>
        <v>1.5947889860794502</v>
      </c>
      <c r="D68" s="23">
        <f t="shared" si="64"/>
        <v>1.7075563103913369</v>
      </c>
      <c r="E68" s="23">
        <f t="shared" si="64"/>
        <v>1.7168307860998471</v>
      </c>
      <c r="F68" s="23">
        <f t="shared" si="64"/>
        <v>1.5912473184456086</v>
      </c>
      <c r="G68" s="23">
        <f t="shared" si="64"/>
        <v>1.4815543601748655</v>
      </c>
      <c r="H68" s="23">
        <f t="shared" si="64"/>
        <v>1.2934319000448582</v>
      </c>
      <c r="I68" s="23">
        <f t="shared" si="64"/>
        <v>1.2931248179125734</v>
      </c>
      <c r="J68" s="23">
        <f t="shared" si="64"/>
        <v>1.2450150725986822</v>
      </c>
      <c r="K68" s="23">
        <f t="shared" si="64"/>
        <v>0.94202954010071682</v>
      </c>
      <c r="L68" s="23">
        <f t="shared" si="64"/>
        <v>1.3069397780348868</v>
      </c>
      <c r="M68" s="23">
        <f t="shared" si="64"/>
        <v>1.1357944053871769</v>
      </c>
      <c r="N68" s="23">
        <f t="shared" si="64"/>
        <v>1.0004189822674967</v>
      </c>
      <c r="O68" s="23">
        <f t="shared" si="64"/>
        <v>1.0808263733788068</v>
      </c>
      <c r="P68" s="23">
        <f t="shared" si="64"/>
        <v>1.1320187062093137</v>
      </c>
      <c r="Q68" s="23">
        <f t="shared" si="64"/>
        <v>1.1436436170723339</v>
      </c>
      <c r="R68" s="23">
        <f t="shared" si="64"/>
        <v>1.0943288533583422</v>
      </c>
      <c r="S68" s="23">
        <f t="shared" si="64"/>
        <v>1.139245170620043</v>
      </c>
      <c r="T68" s="23">
        <f t="shared" si="64"/>
        <v>1.1143821598786452</v>
      </c>
      <c r="U68" s="23">
        <f t="shared" si="64"/>
        <v>1.1252903400167267</v>
      </c>
      <c r="V68" s="23">
        <f t="shared" si="64"/>
        <v>1.2321882225557037</v>
      </c>
      <c r="W68" s="23">
        <f t="shared" si="64"/>
        <v>1.3431454631199982</v>
      </c>
      <c r="X68" s="23">
        <f t="shared" ref="X68:Y68" si="65">IF(X6=0,0,X18/X58)</f>
        <v>1.1667103548681816</v>
      </c>
      <c r="Y68" s="23">
        <f t="shared" si="65"/>
        <v>1.1219599063236489</v>
      </c>
      <c r="DA68" s="189"/>
    </row>
    <row r="69" spans="1:105" ht="11.45" customHeight="1" x14ac:dyDescent="0.25">
      <c r="A69" s="83" t="s">
        <v>27</v>
      </c>
      <c r="B69" s="91">
        <f t="shared" si="63"/>
        <v>1.096977597628388</v>
      </c>
      <c r="C69" s="91">
        <f t="shared" ref="C69:W69" si="66">IF(C7=0,0,C19/C59)</f>
        <v>1.2621318436541731</v>
      </c>
      <c r="D69" s="91">
        <f t="shared" si="66"/>
        <v>1.4196199811851424</v>
      </c>
      <c r="E69" s="91">
        <f t="shared" si="66"/>
        <v>1.2261765902204067</v>
      </c>
      <c r="F69" s="91">
        <f t="shared" si="66"/>
        <v>1.268875847025944</v>
      </c>
      <c r="G69" s="91">
        <f t="shared" si="66"/>
        <v>1.2679854685276315</v>
      </c>
      <c r="H69" s="91">
        <f t="shared" si="66"/>
        <v>1.6310444753890421</v>
      </c>
      <c r="I69" s="91">
        <f t="shared" si="66"/>
        <v>1.4671379650731575</v>
      </c>
      <c r="J69" s="91">
        <f t="shared" si="66"/>
        <v>1.2549333583783386</v>
      </c>
      <c r="K69" s="91">
        <f t="shared" si="66"/>
        <v>1.1763668387538315</v>
      </c>
      <c r="L69" s="91">
        <f t="shared" si="66"/>
        <v>1.3183867303251193</v>
      </c>
      <c r="M69" s="91">
        <f t="shared" si="66"/>
        <v>0.84927233813535374</v>
      </c>
      <c r="N69" s="91">
        <f t="shared" si="66"/>
        <v>1.4301756810398698</v>
      </c>
      <c r="O69" s="91">
        <f t="shared" si="66"/>
        <v>1.5180455477387382</v>
      </c>
      <c r="P69" s="91">
        <f t="shared" si="66"/>
        <v>1.6324606556559025</v>
      </c>
      <c r="Q69" s="91">
        <f t="shared" si="66"/>
        <v>1.6356073808444471</v>
      </c>
      <c r="R69" s="91">
        <f t="shared" si="66"/>
        <v>0.83338365115064428</v>
      </c>
      <c r="S69" s="91">
        <f t="shared" si="66"/>
        <v>1.1285522482268573</v>
      </c>
      <c r="T69" s="91">
        <f t="shared" si="66"/>
        <v>1.0805888862296176</v>
      </c>
      <c r="U69" s="91">
        <f t="shared" si="66"/>
        <v>1.2190549062752114</v>
      </c>
      <c r="V69" s="91">
        <f t="shared" si="66"/>
        <v>0.99725147643654666</v>
      </c>
      <c r="W69" s="91">
        <f t="shared" si="66"/>
        <v>1.4505400544300853</v>
      </c>
      <c r="X69" s="91">
        <f t="shared" ref="X69:Y69" si="67">IF(X7=0,0,X19/X59)</f>
        <v>2.9234556726922887</v>
      </c>
      <c r="Y69" s="91">
        <f t="shared" si="67"/>
        <v>1.5537125722180363</v>
      </c>
      <c r="DA69" s="171"/>
    </row>
    <row r="70" spans="1:105" ht="11.45" customHeight="1" x14ac:dyDescent="0.25">
      <c r="A70" s="83" t="s">
        <v>181</v>
      </c>
      <c r="B70" s="91">
        <f t="shared" si="63"/>
        <v>1.4850639147589748</v>
      </c>
      <c r="C70" s="91">
        <f t="shared" ref="C70:W70" si="68">IF(C8=0,0,C20/C60)</f>
        <v>1.666331072439154</v>
      </c>
      <c r="D70" s="91">
        <f t="shared" si="68"/>
        <v>1.7792173737892307</v>
      </c>
      <c r="E70" s="91">
        <f t="shared" si="68"/>
        <v>1.8023506823176552</v>
      </c>
      <c r="F70" s="91">
        <f t="shared" si="68"/>
        <v>1.6586632768831777</v>
      </c>
      <c r="G70" s="91">
        <f t="shared" si="68"/>
        <v>1.6610876286927343</v>
      </c>
      <c r="H70" s="91">
        <f t="shared" si="68"/>
        <v>1.5258231742617585</v>
      </c>
      <c r="I70" s="91">
        <f t="shared" si="68"/>
        <v>1.6712070023804233</v>
      </c>
      <c r="J70" s="91">
        <f t="shared" si="68"/>
        <v>1.5408706191458506</v>
      </c>
      <c r="K70" s="91">
        <f t="shared" si="68"/>
        <v>1.1039632726719266</v>
      </c>
      <c r="L70" s="91">
        <f t="shared" si="68"/>
        <v>1.5649656474845477</v>
      </c>
      <c r="M70" s="91">
        <f t="shared" si="68"/>
        <v>1.400850739976826</v>
      </c>
      <c r="N70" s="91">
        <f t="shared" si="68"/>
        <v>1.1732642367806994</v>
      </c>
      <c r="O70" s="91">
        <f t="shared" si="68"/>
        <v>1.2817005398087506</v>
      </c>
      <c r="P70" s="91">
        <f t="shared" si="68"/>
        <v>1.4331255582662483</v>
      </c>
      <c r="Q70" s="91">
        <f t="shared" si="68"/>
        <v>1.547542149988923</v>
      </c>
      <c r="R70" s="91">
        <f t="shared" si="68"/>
        <v>1.4908595189558207</v>
      </c>
      <c r="S70" s="91">
        <f t="shared" si="68"/>
        <v>1.6974664861373725</v>
      </c>
      <c r="T70" s="91">
        <f t="shared" si="68"/>
        <v>1.7605340873189965</v>
      </c>
      <c r="U70" s="91">
        <f t="shared" si="68"/>
        <v>1.6812508642794186</v>
      </c>
      <c r="V70" s="91">
        <f t="shared" si="68"/>
        <v>1.4493546509805522</v>
      </c>
      <c r="W70" s="91">
        <f t="shared" si="68"/>
        <v>1.6056624992849553</v>
      </c>
      <c r="X70" s="91">
        <f t="shared" ref="X70:Y70" si="69">IF(X8=0,0,X20/X60)</f>
        <v>1.6936134254420354</v>
      </c>
      <c r="Y70" s="91">
        <f t="shared" si="69"/>
        <v>1.6803455445899724</v>
      </c>
      <c r="DA70" s="171"/>
    </row>
    <row r="71" spans="1:105" ht="11.45" customHeight="1" x14ac:dyDescent="0.25">
      <c r="A71" s="83" t="s">
        <v>182</v>
      </c>
      <c r="B71" s="91">
        <f t="shared" si="63"/>
        <v>1.3843973872196809</v>
      </c>
      <c r="C71" s="91">
        <f t="shared" ref="C71:W71" si="70">IF(C9=0,0,C21/C61)</f>
        <v>1.541381193417023</v>
      </c>
      <c r="D71" s="91">
        <f t="shared" si="70"/>
        <v>1.6392282507382014</v>
      </c>
      <c r="E71" s="91">
        <f t="shared" si="70"/>
        <v>1.6536052295918444</v>
      </c>
      <c r="F71" s="91">
        <f t="shared" si="70"/>
        <v>1.5171379981335613</v>
      </c>
      <c r="G71" s="91">
        <f t="shared" si="70"/>
        <v>1.2164845173059335</v>
      </c>
      <c r="H71" s="91">
        <f t="shared" si="70"/>
        <v>0.9252387916965864</v>
      </c>
      <c r="I71" s="91">
        <f t="shared" si="70"/>
        <v>0.83270612214388895</v>
      </c>
      <c r="J71" s="91">
        <f t="shared" si="70"/>
        <v>0.85597614411028577</v>
      </c>
      <c r="K71" s="91">
        <f t="shared" si="70"/>
        <v>0.69644888775688818</v>
      </c>
      <c r="L71" s="91">
        <f t="shared" si="70"/>
        <v>0.97553218770443373</v>
      </c>
      <c r="M71" s="91">
        <f t="shared" si="70"/>
        <v>0.8246775831388935</v>
      </c>
      <c r="N71" s="91">
        <f t="shared" si="70"/>
        <v>0.76587526674809125</v>
      </c>
      <c r="O71" s="91">
        <f t="shared" si="70"/>
        <v>0.81729719415550228</v>
      </c>
      <c r="P71" s="91">
        <f t="shared" si="70"/>
        <v>0.78726148993278677</v>
      </c>
      <c r="Q71" s="91">
        <f t="shared" si="70"/>
        <v>0.7364980585002745</v>
      </c>
      <c r="R71" s="91">
        <f t="shared" si="70"/>
        <v>0.68703377482054984</v>
      </c>
      <c r="S71" s="91">
        <f t="shared" si="70"/>
        <v>0.64700241781866252</v>
      </c>
      <c r="T71" s="91">
        <f t="shared" si="70"/>
        <v>0.60220361123087063</v>
      </c>
      <c r="U71" s="91">
        <f t="shared" si="70"/>
        <v>0.64499336946582886</v>
      </c>
      <c r="V71" s="91">
        <f t="shared" si="70"/>
        <v>1.0137355253579963</v>
      </c>
      <c r="W71" s="91">
        <f t="shared" si="70"/>
        <v>1.0542336311640628</v>
      </c>
      <c r="X71" s="91">
        <f t="shared" ref="X71:Y71" si="71">IF(X9=0,0,X21/X61)</f>
        <v>0.6662975612772114</v>
      </c>
      <c r="Y71" s="91">
        <f t="shared" si="71"/>
        <v>0.63185563166661951</v>
      </c>
      <c r="DA71" s="171"/>
    </row>
    <row r="72" spans="1:105" ht="11.45" customHeight="1" x14ac:dyDescent="0.25">
      <c r="A72" s="12" t="s">
        <v>34</v>
      </c>
      <c r="B72" s="24">
        <f t="shared" si="63"/>
        <v>1.3947065517853539</v>
      </c>
      <c r="C72" s="24">
        <f t="shared" ref="C72:W72" si="72">IF(C10=0,0,C22/C62)</f>
        <v>1.5595154997746401</v>
      </c>
      <c r="D72" s="24">
        <f t="shared" si="72"/>
        <v>1.6284441785827342</v>
      </c>
      <c r="E72" s="24">
        <f t="shared" si="72"/>
        <v>1.6023162943327565</v>
      </c>
      <c r="F72" s="24">
        <f t="shared" si="72"/>
        <v>1.4657315300940121</v>
      </c>
      <c r="G72" s="24">
        <f t="shared" si="72"/>
        <v>1.3337343809990883</v>
      </c>
      <c r="H72" s="24">
        <f t="shared" si="72"/>
        <v>1.1954125010643797</v>
      </c>
      <c r="I72" s="24">
        <f t="shared" si="72"/>
        <v>1.1182852935523411</v>
      </c>
      <c r="J72" s="24">
        <f t="shared" si="72"/>
        <v>1.0796323114000763</v>
      </c>
      <c r="K72" s="24">
        <f t="shared" si="72"/>
        <v>0.90505223168882587</v>
      </c>
      <c r="L72" s="24">
        <f t="shared" si="72"/>
        <v>1.1873928241779481</v>
      </c>
      <c r="M72" s="24">
        <f t="shared" si="72"/>
        <v>1.015393779675869</v>
      </c>
      <c r="N72" s="24">
        <f t="shared" si="72"/>
        <v>0.89000434983737253</v>
      </c>
      <c r="O72" s="24">
        <f t="shared" si="72"/>
        <v>0.92880559294174447</v>
      </c>
      <c r="P72" s="24">
        <f t="shared" si="72"/>
        <v>0.96354281360410787</v>
      </c>
      <c r="Q72" s="24">
        <f t="shared" si="72"/>
        <v>0.94083882845788147</v>
      </c>
      <c r="R72" s="24">
        <f t="shared" si="72"/>
        <v>0.85924747192592332</v>
      </c>
      <c r="S72" s="24">
        <f t="shared" si="72"/>
        <v>0.81312794606431726</v>
      </c>
      <c r="T72" s="24">
        <f t="shared" si="72"/>
        <v>0.83931077030369539</v>
      </c>
      <c r="U72" s="24">
        <f t="shared" si="72"/>
        <v>0.90455238026449447</v>
      </c>
      <c r="V72" s="24">
        <f t="shared" si="72"/>
        <v>1.0175129568981489</v>
      </c>
      <c r="W72" s="24">
        <f t="shared" si="72"/>
        <v>1.0969474684772742</v>
      </c>
      <c r="X72" s="24">
        <f t="shared" ref="X72:Y72" si="73">IF(X10=0,0,X22/X62)</f>
        <v>0.8183806856031276</v>
      </c>
      <c r="Y72" s="24">
        <f t="shared" si="73"/>
        <v>0.80487583364403292</v>
      </c>
      <c r="DA72" s="193"/>
    </row>
    <row r="73" spans="1:105" ht="11.45" customHeight="1" x14ac:dyDescent="0.25">
      <c r="A73" s="92" t="s">
        <v>27</v>
      </c>
      <c r="B73" s="93">
        <f t="shared" si="63"/>
        <v>1.096977597628388</v>
      </c>
      <c r="C73" s="93">
        <f t="shared" ref="C73:W73" si="74">IF(C11=0,0,C23/C63)</f>
        <v>1.2621318436541731</v>
      </c>
      <c r="D73" s="93">
        <f t="shared" si="74"/>
        <v>1.419619981185142</v>
      </c>
      <c r="E73" s="93">
        <f t="shared" si="74"/>
        <v>1.2261765902204063</v>
      </c>
      <c r="F73" s="93">
        <f t="shared" si="74"/>
        <v>1.2688758470259438</v>
      </c>
      <c r="G73" s="93">
        <f t="shared" si="74"/>
        <v>1.2679854685276317</v>
      </c>
      <c r="H73" s="93">
        <f t="shared" si="74"/>
        <v>1.6310444753890418</v>
      </c>
      <c r="I73" s="93">
        <f t="shared" si="74"/>
        <v>1.4671379650731571</v>
      </c>
      <c r="J73" s="93">
        <f t="shared" si="74"/>
        <v>1.2549333583783389</v>
      </c>
      <c r="K73" s="93">
        <f t="shared" si="74"/>
        <v>1.1763668387538315</v>
      </c>
      <c r="L73" s="93">
        <f t="shared" si="74"/>
        <v>1.3183867303251195</v>
      </c>
      <c r="M73" s="93">
        <f t="shared" si="74"/>
        <v>0.84927233813535352</v>
      </c>
      <c r="N73" s="93">
        <f t="shared" si="74"/>
        <v>1.43017568103987</v>
      </c>
      <c r="O73" s="93">
        <f t="shared" si="74"/>
        <v>1.5180455477387385</v>
      </c>
      <c r="P73" s="93">
        <f t="shared" si="74"/>
        <v>1.6324606556559023</v>
      </c>
      <c r="Q73" s="93">
        <f t="shared" si="74"/>
        <v>1.6356073808444478</v>
      </c>
      <c r="R73" s="93">
        <f t="shared" si="74"/>
        <v>0.83338365115064428</v>
      </c>
      <c r="S73" s="93">
        <f t="shared" si="74"/>
        <v>1.1285522482268575</v>
      </c>
      <c r="T73" s="93">
        <f t="shared" si="74"/>
        <v>1.0805888862296176</v>
      </c>
      <c r="U73" s="93">
        <f t="shared" si="74"/>
        <v>1.2190549062752114</v>
      </c>
      <c r="V73" s="93">
        <f t="shared" si="74"/>
        <v>0.99725147643654644</v>
      </c>
      <c r="W73" s="93">
        <f t="shared" si="74"/>
        <v>1.450540054430085</v>
      </c>
      <c r="X73" s="93">
        <f t="shared" ref="X73:Y73" si="75">IF(X11=0,0,X23/X63)</f>
        <v>2.9234556726922891</v>
      </c>
      <c r="Y73" s="93">
        <f t="shared" si="75"/>
        <v>1.5537125722180365</v>
      </c>
      <c r="DA73" s="175"/>
    </row>
    <row r="74" spans="1:105" ht="11.45" customHeight="1" x14ac:dyDescent="0.25">
      <c r="A74" s="92" t="s">
        <v>181</v>
      </c>
      <c r="B74" s="93">
        <f t="shared" si="63"/>
        <v>1.4925166372173269</v>
      </c>
      <c r="C74" s="93">
        <f t="shared" ref="C74:W74" si="76">IF(C12=0,0,C24/C64)</f>
        <v>1.6617234408554711</v>
      </c>
      <c r="D74" s="93">
        <f t="shared" si="76"/>
        <v>1.7659164036518851</v>
      </c>
      <c r="E74" s="93">
        <f t="shared" si="76"/>
        <v>1.7813429197074857</v>
      </c>
      <c r="F74" s="93">
        <f t="shared" si="76"/>
        <v>1.6210667876789593</v>
      </c>
      <c r="G74" s="93">
        <f t="shared" si="76"/>
        <v>1.6537472736140786</v>
      </c>
      <c r="H74" s="93">
        <f t="shared" si="76"/>
        <v>1.5294281068726363</v>
      </c>
      <c r="I74" s="93">
        <f t="shared" si="76"/>
        <v>1.6925826425425923</v>
      </c>
      <c r="J74" s="93">
        <f t="shared" si="76"/>
        <v>1.5474994837725387</v>
      </c>
      <c r="K74" s="93">
        <f t="shared" si="76"/>
        <v>1.1088687330874589</v>
      </c>
      <c r="L74" s="93">
        <f t="shared" si="76"/>
        <v>1.5558740539389799</v>
      </c>
      <c r="M74" s="93">
        <f t="shared" si="76"/>
        <v>1.3923229549337943</v>
      </c>
      <c r="N74" s="93">
        <f t="shared" si="76"/>
        <v>1.1662545466703513</v>
      </c>
      <c r="O74" s="93">
        <f t="shared" si="76"/>
        <v>1.2663030767346688</v>
      </c>
      <c r="P74" s="93">
        <f t="shared" si="76"/>
        <v>1.5071661044903393</v>
      </c>
      <c r="Q74" s="93">
        <f t="shared" si="76"/>
        <v>1.6956404559519485</v>
      </c>
      <c r="R74" s="93">
        <f t="shared" si="76"/>
        <v>1.6467232514116705</v>
      </c>
      <c r="S74" s="93">
        <f t="shared" si="76"/>
        <v>1.8727433141984755</v>
      </c>
      <c r="T74" s="93">
        <f t="shared" si="76"/>
        <v>1.9468356639270161</v>
      </c>
      <c r="U74" s="93">
        <f t="shared" si="76"/>
        <v>1.9481576298907346</v>
      </c>
      <c r="V74" s="93">
        <f t="shared" si="76"/>
        <v>1.3520158763015022</v>
      </c>
      <c r="W74" s="93">
        <f t="shared" si="76"/>
        <v>1.5397332961060872</v>
      </c>
      <c r="X74" s="93">
        <f t="shared" ref="X74:Y74" si="77">IF(X12=0,0,X24/X64)</f>
        <v>1.7028321005638771</v>
      </c>
      <c r="Y74" s="93">
        <f t="shared" si="77"/>
        <v>1.6709252819153582</v>
      </c>
      <c r="DA74" s="175"/>
    </row>
    <row r="75" spans="1:105" ht="11.45" customHeight="1" x14ac:dyDescent="0.25">
      <c r="A75" s="85" t="s">
        <v>182</v>
      </c>
      <c r="B75" s="94">
        <f t="shared" si="63"/>
        <v>1.2459576484977131</v>
      </c>
      <c r="C75" s="94">
        <f t="shared" ref="C75:W75" si="78">IF(C13=0,0,C25/C65)</f>
        <v>1.3872430740753203</v>
      </c>
      <c r="D75" s="94">
        <f t="shared" si="78"/>
        <v>1.4753054256643814</v>
      </c>
      <c r="E75" s="94">
        <f t="shared" si="78"/>
        <v>1.4882447066326603</v>
      </c>
      <c r="F75" s="94">
        <f t="shared" si="78"/>
        <v>1.3654241983202049</v>
      </c>
      <c r="G75" s="94">
        <f t="shared" si="78"/>
        <v>1.09483606557534</v>
      </c>
      <c r="H75" s="94">
        <f t="shared" si="78"/>
        <v>0.83271491252692775</v>
      </c>
      <c r="I75" s="94">
        <f t="shared" si="78"/>
        <v>0.74943550992950014</v>
      </c>
      <c r="J75" s="94">
        <f t="shared" si="78"/>
        <v>0.77037852969925724</v>
      </c>
      <c r="K75" s="94">
        <f t="shared" si="78"/>
        <v>0.62680399898119921</v>
      </c>
      <c r="L75" s="94">
        <f t="shared" si="78"/>
        <v>0.87797896893399041</v>
      </c>
      <c r="M75" s="94">
        <f t="shared" si="78"/>
        <v>0.74220982482500408</v>
      </c>
      <c r="N75" s="94">
        <f t="shared" si="78"/>
        <v>0.68928774007328231</v>
      </c>
      <c r="O75" s="94">
        <f t="shared" si="78"/>
        <v>0.73556747473995199</v>
      </c>
      <c r="P75" s="94">
        <f t="shared" si="78"/>
        <v>0.70853534093950821</v>
      </c>
      <c r="Q75" s="94">
        <f t="shared" si="78"/>
        <v>0.66284825265024683</v>
      </c>
      <c r="R75" s="94">
        <f t="shared" si="78"/>
        <v>0.61833039733849482</v>
      </c>
      <c r="S75" s="94">
        <f t="shared" si="78"/>
        <v>0.58230217603679613</v>
      </c>
      <c r="T75" s="94">
        <f t="shared" si="78"/>
        <v>0.54198325010778325</v>
      </c>
      <c r="U75" s="94">
        <f t="shared" si="78"/>
        <v>0.58049403251924614</v>
      </c>
      <c r="V75" s="94">
        <f t="shared" si="78"/>
        <v>0.91236197282219655</v>
      </c>
      <c r="W75" s="94">
        <f t="shared" si="78"/>
        <v>0.94881026804765667</v>
      </c>
      <c r="X75" s="94">
        <f t="shared" ref="X75:Y75" si="79">IF(X13=0,0,X25/X65)</f>
        <v>0.59966780514949025</v>
      </c>
      <c r="Y75" s="94">
        <f t="shared" si="79"/>
        <v>0.5686700684999576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323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1896.0829019999999</v>
      </c>
      <c r="C3" s="79">
        <f t="shared" si="0"/>
        <v>2276.5777020000005</v>
      </c>
      <c r="D3" s="79">
        <f t="shared" ref="D3" si="1">SUM(D4:D5)</f>
        <v>2416.0924620000001</v>
      </c>
      <c r="E3" s="79">
        <f t="shared" ref="E3" si="2">SUM(E4:E5)</f>
        <v>2362.1890320000007</v>
      </c>
      <c r="F3" s="79">
        <f t="shared" ref="F3" si="3">SUM(F4:F5)</f>
        <v>2238.5282220000004</v>
      </c>
      <c r="G3" s="79">
        <f t="shared" ref="G3" si="4">SUM(G4:G5)</f>
        <v>2593.4457225600008</v>
      </c>
      <c r="H3" s="79">
        <f t="shared" ref="H3" si="5">SUM(H4:H5)</f>
        <v>2688.2957682000006</v>
      </c>
      <c r="I3" s="79">
        <f t="shared" ref="I3" si="6">SUM(I4:I5)</f>
        <v>3154.7250705599999</v>
      </c>
      <c r="J3" s="79">
        <f t="shared" ref="J3" si="7">SUM(J4:J5)</f>
        <v>2935.9900785600003</v>
      </c>
      <c r="K3" s="79">
        <f t="shared" ref="K3" si="8">SUM(K4:K5)</f>
        <v>1810.3596285599997</v>
      </c>
      <c r="L3" s="79">
        <f t="shared" ref="L3" si="9">SUM(L4:L5)</f>
        <v>2314.5152385600009</v>
      </c>
      <c r="M3" s="79">
        <f t="shared" ref="M3" si="10">SUM(M4:M5)</f>
        <v>2111.5846785599997</v>
      </c>
      <c r="N3" s="79">
        <f t="shared" ref="N3" si="11">SUM(N4:N5)</f>
        <v>1772.31014856</v>
      </c>
      <c r="O3" s="79">
        <f t="shared" ref="O3" si="12">SUM(O4:O5)</f>
        <v>1956.21596856</v>
      </c>
      <c r="P3" s="79">
        <f t="shared" ref="P3" si="13">SUM(P4:P5)</f>
        <v>2257.44101856</v>
      </c>
      <c r="Q3" s="79">
        <f t="shared" ref="Q3" si="14">SUM(Q4:Q5)</f>
        <v>2549.1536985599996</v>
      </c>
      <c r="R3" s="79">
        <f t="shared" ref="R3" si="15">SUM(R4:R5)</f>
        <v>2618.9918092799999</v>
      </c>
      <c r="S3" s="79">
        <f t="shared" ref="S3" si="16">SUM(S4:S5)</f>
        <v>3076.2123890400003</v>
      </c>
      <c r="T3" s="79">
        <f t="shared" ref="T3" si="17">SUM(T4:T5)</f>
        <v>3321.8423384400007</v>
      </c>
      <c r="U3" s="79">
        <f t="shared" ref="U3" si="18">SUM(U4:U5)</f>
        <v>3360.6367527599987</v>
      </c>
      <c r="V3" s="79">
        <f t="shared" ref="V3:W3" si="19">SUM(V4:V5)</f>
        <v>1199.9700986400003</v>
      </c>
      <c r="W3" s="79">
        <f t="shared" si="19"/>
        <v>1344.14350704</v>
      </c>
      <c r="X3" s="79">
        <f t="shared" ref="X3:Y3" si="20">SUM(X4:X5)</f>
        <v>3065.570949599999</v>
      </c>
      <c r="Y3" s="79">
        <f t="shared" si="20"/>
        <v>3459.5900344799998</v>
      </c>
      <c r="DA3" s="172" t="s">
        <v>324</v>
      </c>
    </row>
    <row r="4" spans="1:105" ht="11.45" customHeight="1" x14ac:dyDescent="0.25">
      <c r="A4" s="95" t="s">
        <v>27</v>
      </c>
      <c r="B4" s="96">
        <f t="shared" ref="B4:C4" si="21">SUM(B7,B11)</f>
        <v>98.244972000000018</v>
      </c>
      <c r="C4" s="96">
        <f t="shared" si="21"/>
        <v>117.26971200000003</v>
      </c>
      <c r="D4" s="96">
        <f t="shared" ref="D4:V4" si="22">SUM(D7,D11)</f>
        <v>123.61129200000001</v>
      </c>
      <c r="E4" s="96">
        <f t="shared" si="22"/>
        <v>117.269712</v>
      </c>
      <c r="F4" s="96">
        <f t="shared" si="22"/>
        <v>114.09892199999997</v>
      </c>
      <c r="G4" s="96">
        <f t="shared" si="22"/>
        <v>142.42505255999998</v>
      </c>
      <c r="H4" s="96">
        <f t="shared" si="22"/>
        <v>186.54245820000003</v>
      </c>
      <c r="I4" s="96">
        <f t="shared" si="22"/>
        <v>164.67010056000004</v>
      </c>
      <c r="J4" s="96">
        <f t="shared" si="22"/>
        <v>129.84092855999998</v>
      </c>
      <c r="K4" s="96">
        <f t="shared" si="22"/>
        <v>98.133028560000028</v>
      </c>
      <c r="L4" s="96">
        <f t="shared" si="22"/>
        <v>85.449868559999985</v>
      </c>
      <c r="M4" s="96">
        <f t="shared" si="22"/>
        <v>25.204858560000002</v>
      </c>
      <c r="N4" s="96">
        <f t="shared" si="22"/>
        <v>25.204858560000002</v>
      </c>
      <c r="O4" s="96">
        <f t="shared" si="22"/>
        <v>25.204858559999998</v>
      </c>
      <c r="P4" s="96">
        <f t="shared" si="22"/>
        <v>25.204858560000002</v>
      </c>
      <c r="Q4" s="96">
        <f t="shared" si="22"/>
        <v>25.204858560000002</v>
      </c>
      <c r="R4" s="96">
        <f t="shared" si="22"/>
        <v>12.602429279999999</v>
      </c>
      <c r="S4" s="96">
        <f t="shared" si="22"/>
        <v>17.337039840000003</v>
      </c>
      <c r="T4" s="96">
        <f t="shared" si="22"/>
        <v>16.643456279999995</v>
      </c>
      <c r="U4" s="96">
        <f t="shared" si="22"/>
        <v>17.905552920000002</v>
      </c>
      <c r="V4" s="96">
        <f t="shared" si="22"/>
        <v>13.653057600000002</v>
      </c>
      <c r="W4" s="96">
        <f t="shared" ref="W4:Y4" si="23">SUM(W7,W11)</f>
        <v>19.365702480000003</v>
      </c>
      <c r="X4" s="96">
        <f t="shared" si="23"/>
        <v>40.949450639999988</v>
      </c>
      <c r="Y4" s="96">
        <f t="shared" si="23"/>
        <v>22.87144224</v>
      </c>
      <c r="DA4" s="171" t="s">
        <v>325</v>
      </c>
    </row>
    <row r="5" spans="1:105" ht="11.45" customHeight="1" x14ac:dyDescent="0.25">
      <c r="A5" s="95" t="s">
        <v>116</v>
      </c>
      <c r="B5" s="96">
        <f t="shared" ref="B5:C5" si="24">SUM(B8:B9,B12:B13)</f>
        <v>1797.8379299999999</v>
      </c>
      <c r="C5" s="96">
        <f t="shared" si="24"/>
        <v>2159.3079900000007</v>
      </c>
      <c r="D5" s="96">
        <f t="shared" ref="D5:V5" si="25">SUM(D8:D9,D12:D13)</f>
        <v>2292.48117</v>
      </c>
      <c r="E5" s="96">
        <f t="shared" si="25"/>
        <v>2244.9193200000009</v>
      </c>
      <c r="F5" s="96">
        <f t="shared" si="25"/>
        <v>2124.4293000000002</v>
      </c>
      <c r="G5" s="96">
        <f t="shared" si="25"/>
        <v>2451.0206700000008</v>
      </c>
      <c r="H5" s="96">
        <f t="shared" si="25"/>
        <v>2501.7533100000005</v>
      </c>
      <c r="I5" s="96">
        <f t="shared" si="25"/>
        <v>2990.0549700000001</v>
      </c>
      <c r="J5" s="96">
        <f t="shared" si="25"/>
        <v>2806.1491500000002</v>
      </c>
      <c r="K5" s="96">
        <f t="shared" si="25"/>
        <v>1712.2265999999997</v>
      </c>
      <c r="L5" s="96">
        <f t="shared" si="25"/>
        <v>2229.0653700000007</v>
      </c>
      <c r="M5" s="96">
        <f t="shared" si="25"/>
        <v>2086.3798199999997</v>
      </c>
      <c r="N5" s="96">
        <f t="shared" si="25"/>
        <v>1747.10529</v>
      </c>
      <c r="O5" s="96">
        <f t="shared" si="25"/>
        <v>1931.0111099999999</v>
      </c>
      <c r="P5" s="96">
        <f t="shared" si="25"/>
        <v>2232.2361599999999</v>
      </c>
      <c r="Q5" s="96">
        <f t="shared" si="25"/>
        <v>2523.9488399999996</v>
      </c>
      <c r="R5" s="96">
        <f t="shared" si="25"/>
        <v>2606.3893800000001</v>
      </c>
      <c r="S5" s="96">
        <f t="shared" si="25"/>
        <v>3058.8753492000001</v>
      </c>
      <c r="T5" s="96">
        <f t="shared" si="25"/>
        <v>3305.1988821600007</v>
      </c>
      <c r="U5" s="96">
        <f t="shared" si="25"/>
        <v>3342.7311998399987</v>
      </c>
      <c r="V5" s="96">
        <f t="shared" si="25"/>
        <v>1186.3170410400003</v>
      </c>
      <c r="W5" s="96">
        <f t="shared" ref="W5:Y5" si="26">SUM(W8:W9,W12:W13)</f>
        <v>1324.77780456</v>
      </c>
      <c r="X5" s="96">
        <f t="shared" si="26"/>
        <v>3024.6214989599989</v>
      </c>
      <c r="Y5" s="96">
        <f t="shared" si="26"/>
        <v>3436.7185922399999</v>
      </c>
      <c r="DA5" s="171" t="s">
        <v>326</v>
      </c>
    </row>
    <row r="6" spans="1:105" ht="11.45" customHeight="1" x14ac:dyDescent="0.25">
      <c r="A6" s="10" t="s">
        <v>33</v>
      </c>
      <c r="B6" s="21">
        <f t="shared" ref="B6:C6" si="27">SUM(B7:B9)</f>
        <v>1861.0182266246727</v>
      </c>
      <c r="C6" s="21">
        <f t="shared" si="27"/>
        <v>2238.3827980328369</v>
      </c>
      <c r="D6" s="21">
        <f t="shared" ref="D6:V6" si="28">SUM(D7:D9)</f>
        <v>2379.9231009718924</v>
      </c>
      <c r="E6" s="21">
        <f t="shared" si="28"/>
        <v>2323.0114976546447</v>
      </c>
      <c r="F6" s="21">
        <f t="shared" si="28"/>
        <v>2181.6232866507603</v>
      </c>
      <c r="G6" s="21">
        <f t="shared" si="28"/>
        <v>2528.9990431489705</v>
      </c>
      <c r="H6" s="21">
        <f t="shared" si="28"/>
        <v>2604.1414404093357</v>
      </c>
      <c r="I6" s="21">
        <f t="shared" si="28"/>
        <v>3074.5691708929025</v>
      </c>
      <c r="J6" s="21">
        <f t="shared" si="28"/>
        <v>2864.5571985751967</v>
      </c>
      <c r="K6" s="21">
        <f t="shared" si="28"/>
        <v>1764.9776800212894</v>
      </c>
      <c r="L6" s="21">
        <f t="shared" si="28"/>
        <v>2246.7537812775281</v>
      </c>
      <c r="M6" s="21">
        <f t="shared" si="28"/>
        <v>2058.7436580060048</v>
      </c>
      <c r="N6" s="21">
        <f t="shared" si="28"/>
        <v>1718.4266313305643</v>
      </c>
      <c r="O6" s="21">
        <f t="shared" si="28"/>
        <v>1898.6278937072489</v>
      </c>
      <c r="P6" s="21">
        <f t="shared" si="28"/>
        <v>2197.0125861057149</v>
      </c>
      <c r="Q6" s="21">
        <f t="shared" si="28"/>
        <v>2480.5471503510689</v>
      </c>
      <c r="R6" s="21">
        <f t="shared" si="28"/>
        <v>2561.0985471031991</v>
      </c>
      <c r="S6" s="21">
        <f t="shared" si="28"/>
        <v>3002.1271641882659</v>
      </c>
      <c r="T6" s="21">
        <f t="shared" si="28"/>
        <v>3254.9788140898445</v>
      </c>
      <c r="U6" s="21">
        <f t="shared" si="28"/>
        <v>3299.8506667226925</v>
      </c>
      <c r="V6" s="21">
        <f t="shared" si="28"/>
        <v>1118.1677100999841</v>
      </c>
      <c r="W6" s="21">
        <f t="shared" ref="W6:Y6" si="29">SUM(W7:W9)</f>
        <v>1239.5762530711957</v>
      </c>
      <c r="X6" s="21">
        <f t="shared" si="29"/>
        <v>2982.6822113714547</v>
      </c>
      <c r="Y6" s="21">
        <f t="shared" si="29"/>
        <v>3381.0717081162966</v>
      </c>
      <c r="DA6" s="189" t="s">
        <v>327</v>
      </c>
    </row>
    <row r="7" spans="1:105" ht="11.45" customHeight="1" x14ac:dyDescent="0.25">
      <c r="A7" s="83" t="s">
        <v>27</v>
      </c>
      <c r="B7" s="96">
        <v>94.209313515448144</v>
      </c>
      <c r="C7" s="96">
        <v>112.67637590375061</v>
      </c>
      <c r="D7" s="96">
        <v>119.86626030104314</v>
      </c>
      <c r="E7" s="96">
        <v>114.11229517758376</v>
      </c>
      <c r="F7" s="96">
        <v>107.71679154324812</v>
      </c>
      <c r="G7" s="96">
        <v>133.68420835078678</v>
      </c>
      <c r="H7" s="96">
        <v>170.78746427432171</v>
      </c>
      <c r="I7" s="96">
        <v>153.32854416962729</v>
      </c>
      <c r="J7" s="96">
        <v>122.0630502241459</v>
      </c>
      <c r="K7" s="96">
        <v>91.298169723343676</v>
      </c>
      <c r="L7" s="96">
        <v>78.29951533371964</v>
      </c>
      <c r="M7" s="96">
        <v>21.8338853773135</v>
      </c>
      <c r="N7" s="96">
        <v>20.022004221697738</v>
      </c>
      <c r="O7" s="96">
        <v>20.453187505184971</v>
      </c>
      <c r="P7" s="96">
        <v>21.478202763077366</v>
      </c>
      <c r="Q7" s="96">
        <v>21.606974447199665</v>
      </c>
      <c r="R7" s="96">
        <v>11.197045862832523</v>
      </c>
      <c r="S7" s="96">
        <v>15.014232884792012</v>
      </c>
      <c r="T7" s="96">
        <v>14.418819833790399</v>
      </c>
      <c r="U7" s="96">
        <v>16.408813295735627</v>
      </c>
      <c r="V7" s="96">
        <v>12.431168060732947</v>
      </c>
      <c r="W7" s="96">
        <v>16.18039610982801</v>
      </c>
      <c r="X7" s="96">
        <v>37.562478170072609</v>
      </c>
      <c r="Y7" s="96">
        <v>20.689303232776847</v>
      </c>
      <c r="DA7" s="171" t="s">
        <v>328</v>
      </c>
    </row>
    <row r="8" spans="1:105" ht="11.45" customHeight="1" x14ac:dyDescent="0.25">
      <c r="A8" s="83" t="s">
        <v>181</v>
      </c>
      <c r="B8" s="96">
        <v>1102.8009044399805</v>
      </c>
      <c r="C8" s="96">
        <v>1332.4218996151212</v>
      </c>
      <c r="D8" s="96">
        <v>1446.2553340277946</v>
      </c>
      <c r="E8" s="96">
        <v>1518.9778677073684</v>
      </c>
      <c r="F8" s="96">
        <v>1438.0290208877918</v>
      </c>
      <c r="G8" s="96">
        <v>1670.3938712687227</v>
      </c>
      <c r="H8" s="96">
        <v>1695.301955120897</v>
      </c>
      <c r="I8" s="96">
        <v>2049.649159292781</v>
      </c>
      <c r="J8" s="96">
        <v>1926.5035396656369</v>
      </c>
      <c r="K8" s="96">
        <v>1145.4786123067761</v>
      </c>
      <c r="L8" s="96">
        <v>1458.5626870133954</v>
      </c>
      <c r="M8" s="96">
        <v>1369.6688992061752</v>
      </c>
      <c r="N8" s="96">
        <v>1133.3653559841275</v>
      </c>
      <c r="O8" s="96">
        <v>1251.4559497802982</v>
      </c>
      <c r="P8" s="96">
        <v>1459.9202891813586</v>
      </c>
      <c r="Q8" s="96">
        <v>1662.2809419785231</v>
      </c>
      <c r="R8" s="96">
        <v>1764.3098440437959</v>
      </c>
      <c r="S8" s="96">
        <v>2085.7444563439922</v>
      </c>
      <c r="T8" s="96">
        <v>2264.0739811369467</v>
      </c>
      <c r="U8" s="96">
        <v>2272.5537589909263</v>
      </c>
      <c r="V8" s="96">
        <v>660.29322485854095</v>
      </c>
      <c r="W8" s="96">
        <v>763.50648452618873</v>
      </c>
      <c r="X8" s="96">
        <v>2061.1821004062249</v>
      </c>
      <c r="Y8" s="96">
        <v>2347.3204022927039</v>
      </c>
      <c r="DA8" s="171" t="s">
        <v>329</v>
      </c>
    </row>
    <row r="9" spans="1:105" ht="11.45" customHeight="1" x14ac:dyDescent="0.25">
      <c r="A9" s="83" t="s">
        <v>182</v>
      </c>
      <c r="B9" s="96">
        <v>664.00800866924396</v>
      </c>
      <c r="C9" s="96">
        <v>793.28452251396516</v>
      </c>
      <c r="D9" s="96">
        <v>813.80150664305484</v>
      </c>
      <c r="E9" s="96">
        <v>689.92133476969275</v>
      </c>
      <c r="F9" s="96">
        <v>635.87747421972028</v>
      </c>
      <c r="G9" s="96">
        <v>724.92096352946101</v>
      </c>
      <c r="H9" s="96">
        <v>738.0520210141168</v>
      </c>
      <c r="I9" s="96">
        <v>871.5914674304945</v>
      </c>
      <c r="J9" s="96">
        <v>815.99060868541403</v>
      </c>
      <c r="K9" s="96">
        <v>528.20089799116977</v>
      </c>
      <c r="L9" s="96">
        <v>709.89157893041283</v>
      </c>
      <c r="M9" s="96">
        <v>667.2408734225163</v>
      </c>
      <c r="N9" s="96">
        <v>565.039271124739</v>
      </c>
      <c r="O9" s="96">
        <v>626.71875642176565</v>
      </c>
      <c r="P9" s="96">
        <v>715.61409416127879</v>
      </c>
      <c r="Q9" s="96">
        <v>796.65923392534614</v>
      </c>
      <c r="R9" s="96">
        <v>785.59165719657062</v>
      </c>
      <c r="S9" s="96">
        <v>901.36847495948166</v>
      </c>
      <c r="T9" s="96">
        <v>976.48601311910716</v>
      </c>
      <c r="U9" s="96">
        <v>1010.8880944360302</v>
      </c>
      <c r="V9" s="96">
        <v>445.44331718071032</v>
      </c>
      <c r="W9" s="96">
        <v>459.88937243517881</v>
      </c>
      <c r="X9" s="96">
        <v>883.93763279515724</v>
      </c>
      <c r="Y9" s="96">
        <v>1013.062002590816</v>
      </c>
      <c r="DA9" s="171" t="s">
        <v>330</v>
      </c>
    </row>
    <row r="10" spans="1:105" ht="11.45" customHeight="1" x14ac:dyDescent="0.25">
      <c r="A10" s="12" t="s">
        <v>34</v>
      </c>
      <c r="B10" s="22">
        <f t="shared" ref="B10:C10" si="30">SUM(B11:B13)</f>
        <v>35.064675375327184</v>
      </c>
      <c r="C10" s="22">
        <f t="shared" si="30"/>
        <v>38.194903967163484</v>
      </c>
      <c r="D10" s="22">
        <f t="shared" ref="D10:V10" si="31">SUM(D11:D13)</f>
        <v>36.169361028107474</v>
      </c>
      <c r="E10" s="22">
        <f t="shared" si="31"/>
        <v>39.177534345355937</v>
      </c>
      <c r="F10" s="22">
        <f t="shared" si="31"/>
        <v>56.904935349239913</v>
      </c>
      <c r="G10" s="22">
        <f t="shared" si="31"/>
        <v>64.44667941102999</v>
      </c>
      <c r="H10" s="22">
        <f t="shared" si="31"/>
        <v>84.154327790664709</v>
      </c>
      <c r="I10" s="22">
        <f t="shared" si="31"/>
        <v>80.155899667097231</v>
      </c>
      <c r="J10" s="22">
        <f t="shared" si="31"/>
        <v>71.432879984803236</v>
      </c>
      <c r="K10" s="22">
        <f t="shared" si="31"/>
        <v>45.381948538710212</v>
      </c>
      <c r="L10" s="22">
        <f t="shared" si="31"/>
        <v>67.761457282472406</v>
      </c>
      <c r="M10" s="22">
        <f t="shared" si="31"/>
        <v>52.841020553994852</v>
      </c>
      <c r="N10" s="22">
        <f t="shared" si="31"/>
        <v>53.883517229435782</v>
      </c>
      <c r="O10" s="22">
        <f t="shared" si="31"/>
        <v>57.588074852751099</v>
      </c>
      <c r="P10" s="22">
        <f t="shared" si="31"/>
        <v>60.4284324542852</v>
      </c>
      <c r="Q10" s="22">
        <f t="shared" si="31"/>
        <v>68.606548208930889</v>
      </c>
      <c r="R10" s="22">
        <f t="shared" si="31"/>
        <v>57.893262176801031</v>
      </c>
      <c r="S10" s="22">
        <f t="shared" si="31"/>
        <v>74.085224851734026</v>
      </c>
      <c r="T10" s="22">
        <f t="shared" si="31"/>
        <v>66.863524350156297</v>
      </c>
      <c r="U10" s="22">
        <f t="shared" si="31"/>
        <v>60.786086037306546</v>
      </c>
      <c r="V10" s="22">
        <f t="shared" si="31"/>
        <v>81.802388540016153</v>
      </c>
      <c r="W10" s="22">
        <f t="shared" ref="W10:Y10" si="32">SUM(W11:W13)</f>
        <v>104.56725396880448</v>
      </c>
      <c r="X10" s="22">
        <f t="shared" si="32"/>
        <v>82.888738228543957</v>
      </c>
      <c r="Y10" s="22">
        <f t="shared" si="32"/>
        <v>78.518326363703181</v>
      </c>
      <c r="DA10" s="193" t="s">
        <v>331</v>
      </c>
    </row>
    <row r="11" spans="1:105" ht="11.45" customHeight="1" x14ac:dyDescent="0.25">
      <c r="A11" s="92" t="s">
        <v>27</v>
      </c>
      <c r="B11" s="97">
        <v>4.0356584845518784</v>
      </c>
      <c r="C11" s="97">
        <v>4.5933360962494127</v>
      </c>
      <c r="D11" s="97">
        <v>3.7450316989568586</v>
      </c>
      <c r="E11" s="97">
        <v>3.1574168224162391</v>
      </c>
      <c r="F11" s="97">
        <v>6.3821304567518524</v>
      </c>
      <c r="G11" s="97">
        <v>8.7408442092132184</v>
      </c>
      <c r="H11" s="97">
        <v>15.754993925678328</v>
      </c>
      <c r="I11" s="97">
        <v>11.341556390372734</v>
      </c>
      <c r="J11" s="97">
        <v>7.7778783358540915</v>
      </c>
      <c r="K11" s="97">
        <v>6.8348588366563474</v>
      </c>
      <c r="L11" s="97">
        <v>7.1503532262803446</v>
      </c>
      <c r="M11" s="97">
        <v>3.3709731826865026</v>
      </c>
      <c r="N11" s="97">
        <v>5.1828543383022643</v>
      </c>
      <c r="O11" s="97">
        <v>4.7516710548150289</v>
      </c>
      <c r="P11" s="97">
        <v>3.7266557969226359</v>
      </c>
      <c r="Q11" s="97">
        <v>3.5978841128003372</v>
      </c>
      <c r="R11" s="97">
        <v>1.4053834171674762</v>
      </c>
      <c r="S11" s="97">
        <v>2.3228069552079913</v>
      </c>
      <c r="T11" s="97">
        <v>2.2246364462095971</v>
      </c>
      <c r="U11" s="97">
        <v>1.4967396242643745</v>
      </c>
      <c r="V11" s="97">
        <v>1.2218895392670546</v>
      </c>
      <c r="W11" s="97">
        <v>3.1853063701719928</v>
      </c>
      <c r="X11" s="97">
        <v>3.3869724699273811</v>
      </c>
      <c r="Y11" s="97">
        <v>2.1821390072231521</v>
      </c>
      <c r="DA11" s="175" t="s">
        <v>332</v>
      </c>
    </row>
    <row r="12" spans="1:105" ht="11.45" customHeight="1" x14ac:dyDescent="0.25">
      <c r="A12" s="92" t="s">
        <v>181</v>
      </c>
      <c r="B12" s="97">
        <v>13.221449558626064</v>
      </c>
      <c r="C12" s="97">
        <v>14.283091567170972</v>
      </c>
      <c r="D12" s="97">
        <v>11.338860866655118</v>
      </c>
      <c r="E12" s="97">
        <v>11.295549765101981</v>
      </c>
      <c r="F12" s="97">
        <v>11.15918303278823</v>
      </c>
      <c r="G12" s="97">
        <v>21.088043847121185</v>
      </c>
      <c r="H12" s="97">
        <v>31.703710211567127</v>
      </c>
      <c r="I12" s="97">
        <v>33.676305901540182</v>
      </c>
      <c r="J12" s="97">
        <v>30.961664314562864</v>
      </c>
      <c r="K12" s="97">
        <v>21.079959552277554</v>
      </c>
      <c r="L12" s="97">
        <v>30.057011367940344</v>
      </c>
      <c r="M12" s="97">
        <v>26.217974386762986</v>
      </c>
      <c r="N12" s="97">
        <v>20.299033693724212</v>
      </c>
      <c r="O12" s="97">
        <v>20.415754304366768</v>
      </c>
      <c r="P12" s="97">
        <v>24.940119866664457</v>
      </c>
      <c r="Q12" s="97">
        <v>28.930534605655069</v>
      </c>
      <c r="R12" s="97">
        <v>24.908268747945446</v>
      </c>
      <c r="S12" s="97">
        <v>28.500089334094191</v>
      </c>
      <c r="T12" s="97">
        <v>30.902644471130671</v>
      </c>
      <c r="U12" s="97">
        <v>29.639265715385129</v>
      </c>
      <c r="V12" s="97">
        <v>24.647853933392582</v>
      </c>
      <c r="W12" s="97">
        <v>32.402443482050138</v>
      </c>
      <c r="X12" s="97">
        <v>29.786745942817834</v>
      </c>
      <c r="Y12" s="97">
        <v>32.51247495744029</v>
      </c>
      <c r="DA12" s="175" t="s">
        <v>333</v>
      </c>
    </row>
    <row r="13" spans="1:105" ht="11.45" customHeight="1" x14ac:dyDescent="0.25">
      <c r="A13" s="85" t="s">
        <v>182</v>
      </c>
      <c r="B13" s="98">
        <v>17.807567332149244</v>
      </c>
      <c r="C13" s="98">
        <v>19.318476303743097</v>
      </c>
      <c r="D13" s="98">
        <v>21.085468462495495</v>
      </c>
      <c r="E13" s="98">
        <v>24.724567757837718</v>
      </c>
      <c r="F13" s="98">
        <v>39.363621859699833</v>
      </c>
      <c r="G13" s="98">
        <v>34.617791354695591</v>
      </c>
      <c r="H13" s="98">
        <v>36.695623653419254</v>
      </c>
      <c r="I13" s="98">
        <v>35.138037375184304</v>
      </c>
      <c r="J13" s="98">
        <v>32.693337334386278</v>
      </c>
      <c r="K13" s="98">
        <v>17.46713014977631</v>
      </c>
      <c r="L13" s="98">
        <v>30.554092688251718</v>
      </c>
      <c r="M13" s="98">
        <v>23.252072984545364</v>
      </c>
      <c r="N13" s="98">
        <v>28.401629197409306</v>
      </c>
      <c r="O13" s="98">
        <v>32.4206494935693</v>
      </c>
      <c r="P13" s="98">
        <v>31.761656790698105</v>
      </c>
      <c r="Q13" s="98">
        <v>36.078129490475483</v>
      </c>
      <c r="R13" s="98">
        <v>31.579610011688107</v>
      </c>
      <c r="S13" s="98">
        <v>43.262328562431847</v>
      </c>
      <c r="T13" s="98">
        <v>33.736243432816039</v>
      </c>
      <c r="U13" s="98">
        <v>29.650080697657042</v>
      </c>
      <c r="V13" s="98">
        <v>55.932645067356518</v>
      </c>
      <c r="W13" s="98">
        <v>68.979504116582348</v>
      </c>
      <c r="X13" s="98">
        <v>49.71501981579874</v>
      </c>
      <c r="Y13" s="98">
        <v>43.823712399039742</v>
      </c>
      <c r="DA13" s="178" t="s">
        <v>334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DA17" s="172"/>
    </row>
    <row r="18" spans="1:105" ht="11.45" customHeight="1" x14ac:dyDescent="0.25">
      <c r="A18" s="99" t="s">
        <v>27</v>
      </c>
      <c r="B18" s="97">
        <f>IF(B4=0,0,B4/TrAvia_ene!B4)</f>
        <v>3.0077155366609989</v>
      </c>
      <c r="C18" s="97">
        <f>IF(C4=0,0,C4/TrAvia_ene!C4)</f>
        <v>3.008136004552413</v>
      </c>
      <c r="D18" s="97">
        <f>IF(D4=0,0,D4/TrAvia_ene!D4)</f>
        <v>3.0082474187567758</v>
      </c>
      <c r="E18" s="97">
        <f>IF(E4=0,0,E4/TrAvia_ene!E4)</f>
        <v>3.0081360045524126</v>
      </c>
      <c r="F18" s="97">
        <f>IF(F4=0,0,F4/TrAvia_ene!F4)</f>
        <v>3.0080756566229012</v>
      </c>
      <c r="G18" s="97">
        <f>IF(G4=0,0,G4/TrAvia_ene!G4)</f>
        <v>3.0018509829262365</v>
      </c>
      <c r="H18" s="97">
        <f>IF(H4=0,0,H4/TrAvia_ene!H4)</f>
        <v>2.9977695054532192</v>
      </c>
      <c r="I18" s="97">
        <f>IF(I4=0,0,I4/TrAvia_ene!I4)</f>
        <v>3.0045328416223209</v>
      </c>
      <c r="J18" s="97">
        <f>IF(J4=0,0,J4/TrAvia_ene!J4)</f>
        <v>3.0049430654833023</v>
      </c>
      <c r="K18" s="97">
        <f>IF(K4=0,0,K4/TrAvia_ene!K4)</f>
        <v>3.0032132933167035</v>
      </c>
      <c r="L18" s="97">
        <f>IF(L4=0,0,L4/TrAvia_ene!L4)</f>
        <v>3.0021629116880453</v>
      </c>
      <c r="M18" s="97">
        <f>IF(M4=0,0,M4/TrAvia_ene!M4)</f>
        <v>2.9828690273200915</v>
      </c>
      <c r="N18" s="97">
        <f>IF(N4=0,0,N4/TrAvia_ene!N4)</f>
        <v>2.9828690273200915</v>
      </c>
      <c r="O18" s="97">
        <f>IF(O4=0,0,O4/TrAvia_ene!O4)</f>
        <v>2.9828690273200911</v>
      </c>
      <c r="P18" s="97">
        <f>IF(P4=0,0,P4/TrAvia_ene!P4)</f>
        <v>2.9828690273200915</v>
      </c>
      <c r="Q18" s="97">
        <f>IF(Q4=0,0,Q4/TrAvia_ene!Q4)</f>
        <v>2.9828690273200915</v>
      </c>
      <c r="R18" s="97">
        <f>IF(R4=0,0,R4/TrAvia_ene!R4)</f>
        <v>2.9828690273200911</v>
      </c>
      <c r="S18" s="97">
        <f>IF(S4=0,0,S4/TrAvia_ene!S4)</f>
        <v>2.9959847450104018</v>
      </c>
      <c r="T18" s="97">
        <f>IF(T4=0,0,T4/TrAvia_ene!T4)</f>
        <v>2.9972189426673479</v>
      </c>
      <c r="U18" s="97">
        <f>IF(U4=0,0,U4/TrAvia_ene!U4)</f>
        <v>2.9966697911902269</v>
      </c>
      <c r="V18" s="97">
        <f>IF(V4=0,0,V4/TrAvia_ene!V4)</f>
        <v>2.9922183674669287</v>
      </c>
      <c r="W18" s="97">
        <f>IF(W4=0,0,W4/TrAvia_ene!W4)</f>
        <v>2.9973000431503025</v>
      </c>
      <c r="X18" s="97">
        <f>IF(X4=0,0,X4/TrAvia_ene!X4)</f>
        <v>3.0052129773284864</v>
      </c>
      <c r="Y18" s="97">
        <f>IF(Y4=0,0,Y4/TrAvia_ene!Y4)</f>
        <v>3.0014541902823231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3.0103092</v>
      </c>
      <c r="C19" s="98">
        <f>IF(C5=0,0,C5/TrAvia_ene!C5)</f>
        <v>3.0103092000000014</v>
      </c>
      <c r="D19" s="98">
        <f>IF(D5=0,0,D5/TrAvia_ene!D5)</f>
        <v>3.0103092</v>
      </c>
      <c r="E19" s="98">
        <f>IF(E5=0,0,E5/TrAvia_ene!E5)</f>
        <v>3.0103092000000009</v>
      </c>
      <c r="F19" s="98">
        <f>IF(F5=0,0,F5/TrAvia_ene!F5)</f>
        <v>3.0103092000000005</v>
      </c>
      <c r="G19" s="98">
        <f>IF(G5=0,0,G5/TrAvia_ene!G5)</f>
        <v>3.0103092000000009</v>
      </c>
      <c r="H19" s="98">
        <f>IF(H5=0,0,H5/TrAvia_ene!H5)</f>
        <v>3.0103092000000005</v>
      </c>
      <c r="I19" s="98">
        <f>IF(I5=0,0,I5/TrAvia_ene!I5)</f>
        <v>3.0103092000000005</v>
      </c>
      <c r="J19" s="98">
        <f>IF(J5=0,0,J5/TrAvia_ene!J5)</f>
        <v>3.0103092</v>
      </c>
      <c r="K19" s="98">
        <f>IF(K5=0,0,K5/TrAvia_ene!K5)</f>
        <v>3.0103091999999991</v>
      </c>
      <c r="L19" s="98">
        <f>IF(L5=0,0,L5/TrAvia_ene!L5)</f>
        <v>3.0103092000000014</v>
      </c>
      <c r="M19" s="98">
        <f>IF(M5=0,0,M5/TrAvia_ene!M5)</f>
        <v>3.0103091999999996</v>
      </c>
      <c r="N19" s="98">
        <f>IF(N5=0,0,N5/TrAvia_ene!N5)</f>
        <v>3.0103092</v>
      </c>
      <c r="O19" s="98">
        <f>IF(O5=0,0,O5/TrAvia_ene!O5)</f>
        <v>3.0103092</v>
      </c>
      <c r="P19" s="98">
        <f>IF(P5=0,0,P5/TrAvia_ene!P5)</f>
        <v>3.0103092000000014</v>
      </c>
      <c r="Q19" s="98">
        <f>IF(Q5=0,0,Q5/TrAvia_ene!Q5)</f>
        <v>3.0103091999999978</v>
      </c>
      <c r="R19" s="98">
        <f>IF(R5=0,0,R5/TrAvia_ene!R5)</f>
        <v>3.0103091999999982</v>
      </c>
      <c r="S19" s="98">
        <f>IF(S5=0,0,S5/TrAvia_ene!S5)</f>
        <v>3.0103092000000005</v>
      </c>
      <c r="T19" s="98">
        <f>IF(T5=0,0,T5/TrAvia_ene!T5)</f>
        <v>3.0103092000000009</v>
      </c>
      <c r="U19" s="98">
        <f>IF(U5=0,0,U5/TrAvia_ene!U5)</f>
        <v>3.0103091999999996</v>
      </c>
      <c r="V19" s="98">
        <f>IF(V5=0,0,V5/TrAvia_ene!V5)</f>
        <v>3.0103092000000005</v>
      </c>
      <c r="W19" s="98">
        <f>IF(W5=0,0,W5/TrAvia_ene!W5)</f>
        <v>3.0103092000000005</v>
      </c>
      <c r="X19" s="98">
        <f>IF(X5=0,0,X5/TrAvia_ene!X5)</f>
        <v>3.0103092000000005</v>
      </c>
      <c r="Y19" s="98">
        <f>IF(Y5=0,0,Y5/TrAvia_ene!Y5)</f>
        <v>3.0103092000000005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20703.140836931248</v>
      </c>
      <c r="C21" s="54">
        <f>IF(C3=0,0,C3/TrAvia_act!C13*1000)</f>
        <v>22992.555405343221</v>
      </c>
      <c r="D21" s="54">
        <f>IF(D3=0,0,D3/TrAvia_act!D13*1000)</f>
        <v>24328.421721095627</v>
      </c>
      <c r="E21" s="54">
        <f>IF(E3=0,0,E3/TrAvia_act!E13*1000)</f>
        <v>23823.435854446361</v>
      </c>
      <c r="F21" s="54">
        <f>IF(F3=0,0,F3/TrAvia_act!F13*1000)</f>
        <v>21907.000357677967</v>
      </c>
      <c r="G21" s="54">
        <f>IF(G3=0,0,G3/TrAvia_act!G13*1000)</f>
        <v>20968.467720614794</v>
      </c>
      <c r="H21" s="54">
        <f>IF(H3=0,0,H3/TrAvia_act!H13*1000)</f>
        <v>18561.001745307727</v>
      </c>
      <c r="I21" s="54">
        <f>IF(I3=0,0,I3/TrAvia_act!I13*1000)</f>
        <v>18770.94943194402</v>
      </c>
      <c r="J21" s="54">
        <f>IF(J3=0,0,J3/TrAvia_act!J13*1000)</f>
        <v>17710.808291985744</v>
      </c>
      <c r="K21" s="54">
        <f>IF(K3=0,0,K3/TrAvia_act!K13*1000)</f>
        <v>13239.865167540887</v>
      </c>
      <c r="L21" s="54">
        <f>IF(L3=0,0,L3/TrAvia_act!L13*1000)</f>
        <v>18489.553233521943</v>
      </c>
      <c r="M21" s="54">
        <f>IF(M3=0,0,M3/TrAvia_act!M13*1000)</f>
        <v>16102.408444156034</v>
      </c>
      <c r="N21" s="54">
        <f>IF(N3=0,0,N3/TrAvia_act!N13*1000)</f>
        <v>14032.524980471295</v>
      </c>
      <c r="O21" s="54">
        <f>IF(O3=0,0,O3/TrAvia_act!O13*1000)</f>
        <v>15200.641685175242</v>
      </c>
      <c r="P21" s="54">
        <f>IF(P3=0,0,P3/TrAvia_act!P13*1000)</f>
        <v>16261.036049714441</v>
      </c>
      <c r="Q21" s="54">
        <f>IF(Q3=0,0,Q3/TrAvia_act!Q13*1000)</f>
        <v>16723.772375109445</v>
      </c>
      <c r="R21" s="54">
        <f>IF(R3=0,0,R3/TrAvia_act!R13*1000)</f>
        <v>15868.428862360797</v>
      </c>
      <c r="S21" s="54">
        <f>IF(S3=0,0,S3/TrAvia_act!S13*1000)</f>
        <v>16854.48168506123</v>
      </c>
      <c r="T21" s="54">
        <f>IF(T3=0,0,T3/TrAvia_act!T13*1000)</f>
        <v>16760.586084263476</v>
      </c>
      <c r="U21" s="54">
        <f>IF(U3=0,0,U3/TrAvia_act!U13*1000)</f>
        <v>16619.523244861659</v>
      </c>
      <c r="V21" s="54">
        <f>IF(V3=0,0,V3/TrAvia_act!V13*1000)</f>
        <v>17639.399810960083</v>
      </c>
      <c r="W21" s="54">
        <f>IF(W3=0,0,W3/TrAvia_act!W13*1000)</f>
        <v>18591.239947112859</v>
      </c>
      <c r="X21" s="54">
        <f>IF(X3=0,0,X3/TrAvia_act!X13*1000)</f>
        <v>16768.208507417901</v>
      </c>
      <c r="Y21" s="54">
        <f>IF(Y3=0,0,Y3/TrAvia_act!Y13*1000)</f>
        <v>16348.142520393107</v>
      </c>
      <c r="DA21" s="172" t="s">
        <v>335</v>
      </c>
    </row>
    <row r="22" spans="1:105" ht="11.45" customHeight="1" x14ac:dyDescent="0.25">
      <c r="A22" s="10" t="s">
        <v>33</v>
      </c>
      <c r="B22" s="11">
        <f>IF(B6=0,0,B6/TrAvia_act!B14*1000)</f>
        <v>20657.081859776525</v>
      </c>
      <c r="C22" s="11">
        <f>IF(C6=0,0,C6/TrAvia_act!C14*1000)</f>
        <v>22943.670475739549</v>
      </c>
      <c r="D22" s="11">
        <f>IF(D6=0,0,D6/TrAvia_act!D14*1000)</f>
        <v>24271.471377368085</v>
      </c>
      <c r="E22" s="11">
        <f>IF(E6=0,0,E6/TrAvia_act!E14*1000)</f>
        <v>23752.277495300932</v>
      </c>
      <c r="F22" s="11">
        <f>IF(F6=0,0,F6/TrAvia_act!F14*1000)</f>
        <v>21780.108118395947</v>
      </c>
      <c r="G22" s="11">
        <f>IF(G6=0,0,G6/TrAvia_act!G14*1000)</f>
        <v>20905.533744431261</v>
      </c>
      <c r="H22" s="11">
        <f>IF(H6=0,0,H6/TrAvia_act!H14*1000)</f>
        <v>18512.775710382415</v>
      </c>
      <c r="I22" s="11">
        <f>IF(I6=0,0,I6/TrAvia_act!I14*1000)</f>
        <v>18764.239470116841</v>
      </c>
      <c r="J22" s="11">
        <f>IF(J6=0,0,J6/TrAvia_act!J14*1000)</f>
        <v>17709.791135239877</v>
      </c>
      <c r="K22" s="11">
        <f>IF(K6=0,0,K6/TrAvia_act!K14*1000)</f>
        <v>13222.427868273458</v>
      </c>
      <c r="L22" s="11">
        <f>IF(L6=0,0,L6/TrAvia_act!L14*1000)</f>
        <v>18490.503099017336</v>
      </c>
      <c r="M22" s="11">
        <f>IF(M6=0,0,M6/TrAvia_act!M14*1000)</f>
        <v>16105.874082500137</v>
      </c>
      <c r="N22" s="11">
        <f>IF(N6=0,0,N6/TrAvia_act!N14*1000)</f>
        <v>14002.97537996159</v>
      </c>
      <c r="O22" s="11">
        <f>IF(O6=0,0,O6/TrAvia_act!O14*1000)</f>
        <v>15175.309855832111</v>
      </c>
      <c r="P22" s="11">
        <f>IF(P6=0,0,P6/TrAvia_act!P14*1000)</f>
        <v>16254.048182961515</v>
      </c>
      <c r="Q22" s="11">
        <f>IF(Q6=0,0,Q6/TrAvia_act!Q14*1000)</f>
        <v>16729.016679242002</v>
      </c>
      <c r="R22" s="11">
        <f>IF(R6=0,0,R6/TrAvia_act!R14*1000)</f>
        <v>15883.2063772369</v>
      </c>
      <c r="S22" s="11">
        <f>IF(S6=0,0,S6/TrAvia_act!S14*1000)</f>
        <v>16896.967868922555</v>
      </c>
      <c r="T22" s="11">
        <f>IF(T6=0,0,T6/TrAvia_act!T14*1000)</f>
        <v>16794.352847749014</v>
      </c>
      <c r="U22" s="11">
        <f>IF(U6=0,0,U6/TrAvia_act!U14*1000)</f>
        <v>16626.702891064706</v>
      </c>
      <c r="V22" s="11">
        <f>IF(V6=0,0,V6/TrAvia_act!V14*1000)</f>
        <v>17595.997158208083</v>
      </c>
      <c r="W22" s="11">
        <f>IF(W6=0,0,W6/TrAvia_act!W14*1000)</f>
        <v>18527.789085938744</v>
      </c>
      <c r="X22" s="11">
        <f>IF(X6=0,0,X6/TrAvia_act!X14*1000)</f>
        <v>16812.099104521498</v>
      </c>
      <c r="Y22" s="11">
        <f>IF(Y6=0,0,Y6/TrAvia_act!Y14*1000)</f>
        <v>16395.221543830339</v>
      </c>
      <c r="DA22" s="189" t="s">
        <v>336</v>
      </c>
    </row>
    <row r="23" spans="1:105" ht="11.25" customHeight="1" x14ac:dyDescent="0.25">
      <c r="A23" s="83" t="s">
        <v>27</v>
      </c>
      <c r="B23" s="84">
        <f>IF(B7=0,0,B7/TrAvia_act!B15*1000)</f>
        <v>25813.760036926091</v>
      </c>
      <c r="C23" s="84">
        <f>IF(C7=0,0,C7/TrAvia_act!C15*1000)</f>
        <v>29704.274031371919</v>
      </c>
      <c r="D23" s="84">
        <f>IF(D7=0,0,D7/TrAvia_act!D15*1000)</f>
        <v>33411.994939301621</v>
      </c>
      <c r="E23" s="84">
        <f>IF(E7=0,0,E7/TrAvia_act!E15*1000)</f>
        <v>28858.067110728956</v>
      </c>
      <c r="F23" s="84">
        <f>IF(F7=0,0,F7/TrAvia_act!F15*1000)</f>
        <v>29862.395058023329</v>
      </c>
      <c r="G23" s="84">
        <f>IF(G7=0,0,G7/TrAvia_act!G15*1000)</f>
        <v>29754.071924090636</v>
      </c>
      <c r="H23" s="84">
        <f>IF(H7=0,0,H7/TrAvia_act!H15*1000)</f>
        <v>36914.606901686173</v>
      </c>
      <c r="I23" s="84">
        <f>IF(I7=0,0,I7/TrAvia_act!I15*1000)</f>
        <v>31872.092605999136</v>
      </c>
      <c r="J23" s="84">
        <f>IF(J7=0,0,J7/TrAvia_act!J15*1000)</f>
        <v>28034.821082381448</v>
      </c>
      <c r="K23" s="84">
        <f>IF(K7=0,0,K7/TrAvia_act!K15*1000)</f>
        <v>26614.630235244051</v>
      </c>
      <c r="L23" s="84">
        <f>IF(L7=0,0,L7/TrAvia_act!L15*1000)</f>
        <v>31225.507513229401</v>
      </c>
      <c r="M23" s="84">
        <f>IF(M7=0,0,M7/TrAvia_act!M15*1000)</f>
        <v>21130.835216156611</v>
      </c>
      <c r="N23" s="84">
        <f>IF(N7=0,0,N7/TrAvia_act!N15*1000)</f>
        <v>32568.43577209994</v>
      </c>
      <c r="O23" s="84">
        <f>IF(O7=0,0,O7/TrAvia_act!O15*1000)</f>
        <v>34138.378800503495</v>
      </c>
      <c r="P23" s="84">
        <f>IF(P7=0,0,P7/TrAvia_act!P15*1000)</f>
        <v>36778.786827247583</v>
      </c>
      <c r="Q23" s="84">
        <f>IF(Q7=0,0,Q7/TrAvia_act!Q15*1000)</f>
        <v>35612.532191047787</v>
      </c>
      <c r="R23" s="84">
        <f>IF(R7=0,0,R7/TrAvia_act!R15*1000)</f>
        <v>17799.684822757958</v>
      </c>
      <c r="S23" s="84">
        <f>IF(S7=0,0,S7/TrAvia_act!S15*1000)</f>
        <v>23792.0392440143</v>
      </c>
      <c r="T23" s="84">
        <f>IF(T7=0,0,T7/TrAvia_act!T15*1000)</f>
        <v>23268.985523680694</v>
      </c>
      <c r="U23" s="84">
        <f>IF(U7=0,0,U7/TrAvia_act!U15*1000)</f>
        <v>26211.838241273934</v>
      </c>
      <c r="V23" s="84">
        <f>IF(V7=0,0,V7/TrAvia_act!V15*1000)</f>
        <v>22015.144011697139</v>
      </c>
      <c r="W23" s="84">
        <f>IF(W7=0,0,W7/TrAvia_act!W15*1000)</f>
        <v>31578.753501630137</v>
      </c>
      <c r="X23" s="84">
        <f>IF(X7=0,0,X7/TrAvia_act!X15*1000)</f>
        <v>63039.900887304422</v>
      </c>
      <c r="Y23" s="84">
        <f>IF(Y7=0,0,Y7/TrAvia_act!Y15*1000)</f>
        <v>33113.94773260245</v>
      </c>
      <c r="DA23" s="171" t="s">
        <v>337</v>
      </c>
    </row>
    <row r="24" spans="1:105" ht="11.45" customHeight="1" x14ac:dyDescent="0.25">
      <c r="A24" s="83" t="s">
        <v>181</v>
      </c>
      <c r="B24" s="84">
        <f>IF(B8=0,0,B8/TrAvia_act!B16*1000)</f>
        <v>17494.743935266742</v>
      </c>
      <c r="C24" s="84">
        <f>IF(C8=0,0,C8/TrAvia_act!C16*1000)</f>
        <v>19408.253914467256</v>
      </c>
      <c r="D24" s="84">
        <f>IF(D8=0,0,D8/TrAvia_act!D16*1000)</f>
        <v>20589.953859387551</v>
      </c>
      <c r="E24" s="84">
        <f>IF(E8=0,0,E8/TrAvia_act!E16*1000)</f>
        <v>20669.817973613084</v>
      </c>
      <c r="F24" s="84">
        <f>IF(F8=0,0,F8/TrAvia_act!F16*1000)</f>
        <v>18895.069696572216</v>
      </c>
      <c r="G24" s="84">
        <f>IF(G8=0,0,G8/TrAvia_act!G16*1000)</f>
        <v>18695.458250479933</v>
      </c>
      <c r="H24" s="84">
        <f>IF(H8=0,0,H8/TrAvia_act!H16*1000)</f>
        <v>16817.801826307561</v>
      </c>
      <c r="I24" s="84">
        <f>IF(I8=0,0,I8/TrAvia_act!I16*1000)</f>
        <v>18159.566775972002</v>
      </c>
      <c r="J24" s="84">
        <f>IF(J8=0,0,J8/TrAvia_act!J16*1000)</f>
        <v>16727.621710787807</v>
      </c>
      <c r="K24" s="84">
        <f>IF(K8=0,0,K8/TrAvia_act!K16*1000)</f>
        <v>11961.043697918285</v>
      </c>
      <c r="L24" s="84">
        <f>IF(L8=0,0,L8/TrAvia_act!L16*1000)</f>
        <v>17048.091913994056</v>
      </c>
      <c r="M24" s="84">
        <f>IF(M8=0,0,M8/TrAvia_act!M16*1000)</f>
        <v>15260.311540220537</v>
      </c>
      <c r="N24" s="84">
        <f>IF(N8=0,0,N8/TrAvia_act!N16*1000)</f>
        <v>12827.670200561015</v>
      </c>
      <c r="O24" s="84">
        <f>IF(O8=0,0,O8/TrAvia_act!O16*1000)</f>
        <v>14039.74511120812</v>
      </c>
      <c r="P24" s="84">
        <f>IF(P8=0,0,P8/TrAvia_act!P16*1000)</f>
        <v>15773.14622368428</v>
      </c>
      <c r="Q24" s="84">
        <f>IF(Q8=0,0,Q8/TrAvia_act!Q16*1000)</f>
        <v>16967.310738759559</v>
      </c>
      <c r="R24" s="84">
        <f>IF(R8=0,0,R8/TrAvia_act!R16*1000)</f>
        <v>16311.339732680794</v>
      </c>
      <c r="S24" s="84">
        <f>IF(S8=0,0,S8/TrAvia_act!S16*1000)</f>
        <v>18380.507723140203</v>
      </c>
      <c r="T24" s="84">
        <f>IF(T8=0,0,T8/TrAvia_act!T16*1000)</f>
        <v>19018.558319636555</v>
      </c>
      <c r="U24" s="84">
        <f>IF(U8=0,0,U8/TrAvia_act!U16*1000)</f>
        <v>18037.083894955511</v>
      </c>
      <c r="V24" s="84">
        <f>IF(V8=0,0,V8/TrAvia_act!V16*1000)</f>
        <v>15494.583279872208</v>
      </c>
      <c r="W24" s="84">
        <f>IF(W8=0,0,W8/TrAvia_act!W16*1000)</f>
        <v>16677.485809165475</v>
      </c>
      <c r="X24" s="84">
        <f>IF(X8=0,0,X8/TrAvia_act!X16*1000)</f>
        <v>17845.750395531042</v>
      </c>
      <c r="Y24" s="84">
        <f>IF(Y8=0,0,Y8/TrAvia_act!Y16*1000)</f>
        <v>17823.810925190894</v>
      </c>
      <c r="DA24" s="171" t="s">
        <v>338</v>
      </c>
    </row>
    <row r="25" spans="1:105" ht="11.45" customHeight="1" x14ac:dyDescent="0.25">
      <c r="A25" s="83" t="s">
        <v>182</v>
      </c>
      <c r="B25" s="84">
        <f>IF(B9=0,0,B9/TrAvia_act!B17*1000)</f>
        <v>28369.927989331522</v>
      </c>
      <c r="C25" s="84">
        <f>IF(C9=0,0,C9/TrAvia_act!C17*1000)</f>
        <v>31586.937294913991</v>
      </c>
      <c r="D25" s="84">
        <f>IF(D9=0,0,D9/TrAvia_act!D17*1000)</f>
        <v>33592.079745915558</v>
      </c>
      <c r="E25" s="84">
        <f>IF(E9=0,0,E9/TrAvia_act!E17*1000)</f>
        <v>33886.701693737297</v>
      </c>
      <c r="F25" s="84">
        <f>IF(F9=0,0,F9/TrAvia_act!F17*1000)</f>
        <v>31090.130734332142</v>
      </c>
      <c r="G25" s="84">
        <f>IF(G9=0,0,G9/TrAvia_act!G17*1000)</f>
        <v>26718.143134143531</v>
      </c>
      <c r="H25" s="84">
        <f>IF(H9=0,0,H9/TrAvia_act!H17*1000)</f>
        <v>20945.55493961191</v>
      </c>
      <c r="I25" s="84">
        <f>IF(I9=0,0,I9/TrAvia_act!I17*1000)</f>
        <v>18876.646061124313</v>
      </c>
      <c r="J25" s="84">
        <f>IF(J9=0,0,J9/TrAvia_act!J17*1000)</f>
        <v>19323.938818701386</v>
      </c>
      <c r="K25" s="84">
        <f>IF(K9=0,0,K9/TrAvia_act!K17*1000)</f>
        <v>15405.816948198692</v>
      </c>
      <c r="L25" s="84">
        <f>IF(L9=0,0,L9/TrAvia_act!L17*1000)</f>
        <v>21225.512543928842</v>
      </c>
      <c r="M25" s="84">
        <f>IF(M9=0,0,M9/TrAvia_act!M17*1000)</f>
        <v>18014.693350375379</v>
      </c>
      <c r="N25" s="84">
        <f>IF(N9=0,0,N9/TrAvia_act!N17*1000)</f>
        <v>16741.537828783676</v>
      </c>
      <c r="O25" s="84">
        <f>IF(O9=0,0,O9/TrAvia_act!O17*1000)</f>
        <v>17715.342577829237</v>
      </c>
      <c r="P25" s="84">
        <f>IF(P9=0,0,P9/TrAvia_act!P17*1000)</f>
        <v>17027.975194406212</v>
      </c>
      <c r="Q25" s="84">
        <f>IF(Q9=0,0,Q9/TrAvia_act!Q17*1000)</f>
        <v>16028.787056631778</v>
      </c>
      <c r="R25" s="84">
        <f>IF(R9=0,0,R9/TrAvia_act!R17*1000)</f>
        <v>14977.341041892607</v>
      </c>
      <c r="S25" s="84">
        <f>IF(S9=0,0,S9/TrAvia_act!S17*1000)</f>
        <v>14180.132823534799</v>
      </c>
      <c r="T25" s="84">
        <f>IF(T9=0,0,T9/TrAvia_act!T17*1000)</f>
        <v>13169.290414927709</v>
      </c>
      <c r="U25" s="84">
        <f>IF(U9=0,0,U9/TrAvia_act!U17*1000)</f>
        <v>14069.91159099228</v>
      </c>
      <c r="V25" s="84">
        <f>IF(V9=0,0,V9/TrAvia_act!V17*1000)</f>
        <v>21870.203157971042</v>
      </c>
      <c r="W25" s="84">
        <f>IF(W9=0,0,W9/TrAvia_act!W17*1000)</f>
        <v>22313.275527341324</v>
      </c>
      <c r="X25" s="84">
        <f>IF(X9=0,0,X9/TrAvia_act!X17*1000)</f>
        <v>14415.841796721723</v>
      </c>
      <c r="Y25" s="84">
        <f>IF(Y9=0,0,Y9/TrAvia_act!Y17*1000)</f>
        <v>13708.099415045008</v>
      </c>
      <c r="DA25" s="171" t="s">
        <v>339</v>
      </c>
    </row>
    <row r="26" spans="1:105" ht="11.45" customHeight="1" x14ac:dyDescent="0.25">
      <c r="A26" s="12" t="s">
        <v>34</v>
      </c>
      <c r="B26" s="13">
        <f>IF(B10=0,0,B10/TrAvia_act!B18*1000)</f>
        <v>23481.961316754765</v>
      </c>
      <c r="C26" s="13">
        <f>IF(C10=0,0,C10/TrAvia_act!C18*1000)</f>
        <v>26273.155309196598</v>
      </c>
      <c r="D26" s="13">
        <f>IF(D10=0,0,D10/TrAvia_act!D18*1000)</f>
        <v>28770.300846315396</v>
      </c>
      <c r="E26" s="13">
        <f>IF(E10=0,0,E10/TrAvia_act!E18*1000)</f>
        <v>28969.510519882329</v>
      </c>
      <c r="F26" s="13">
        <f>IF(F10=0,0,F10/TrAvia_act!F18*1000)</f>
        <v>28207.396554341616</v>
      </c>
      <c r="G26" s="13">
        <f>IF(G10=0,0,G10/TrAvia_act!G18*1000)</f>
        <v>23777.364252327341</v>
      </c>
      <c r="H26" s="13">
        <f>IF(H10=0,0,H10/TrAvia_act!H18*1000)</f>
        <v>20188.425209953795</v>
      </c>
      <c r="I26" s="13">
        <f>IF(I10=0,0,I10/TrAvia_act!I18*1000)</f>
        <v>19031.998564310059</v>
      </c>
      <c r="J26" s="13">
        <f>IF(J10=0,0,J10/TrAvia_act!J18*1000)</f>
        <v>17751.694194676824</v>
      </c>
      <c r="K26" s="13">
        <f>IF(K10=0,0,K10/TrAvia_act!K18*1000)</f>
        <v>13955.63553045158</v>
      </c>
      <c r="L26" s="13">
        <f>IF(L10=0,0,L10/TrAvia_act!L18*1000)</f>
        <v>18458.11389142933</v>
      </c>
      <c r="M26" s="13">
        <f>IF(M10=0,0,M10/TrAvia_act!M18*1000)</f>
        <v>15968.534799454959</v>
      </c>
      <c r="N26" s="13">
        <f>IF(N10=0,0,N10/TrAvia_act!N18*1000)</f>
        <v>15045.035548988002</v>
      </c>
      <c r="O26" s="13">
        <f>IF(O10=0,0,O10/TrAvia_act!O18*1000)</f>
        <v>16085.925093084941</v>
      </c>
      <c r="P26" s="13">
        <f>IF(P10=0,0,P10/TrAvia_act!P18*1000)</f>
        <v>16519.240887358748</v>
      </c>
      <c r="Q26" s="13">
        <f>IF(Q10=0,0,Q10/TrAvia_act!Q18*1000)</f>
        <v>16536.342493235836</v>
      </c>
      <c r="R26" s="13">
        <f>IF(R10=0,0,R10/TrAvia_act!R18*1000)</f>
        <v>15241.124226477737</v>
      </c>
      <c r="S26" s="13">
        <f>IF(S10=0,0,S10/TrAvia_act!S18*1000)</f>
        <v>15295.958968676528</v>
      </c>
      <c r="T26" s="13">
        <f>IF(T10=0,0,T10/TrAvia_act!T18*1000)</f>
        <v>15266.346680509361</v>
      </c>
      <c r="U26" s="13">
        <f>IF(U10=0,0,U10/TrAvia_act!U18*1000)</f>
        <v>16238.858624704211</v>
      </c>
      <c r="V26" s="13">
        <f>IF(V10=0,0,V10/TrAvia_act!V18*1000)</f>
        <v>18254.892110146004</v>
      </c>
      <c r="W26" s="13">
        <f>IF(W10=0,0,W10/TrAvia_act!W18*1000)</f>
        <v>19377.920920403027</v>
      </c>
      <c r="X26" s="13">
        <f>IF(X10=0,0,X10/TrAvia_act!X18*1000)</f>
        <v>15328.23908810369</v>
      </c>
      <c r="Y26" s="13">
        <f>IF(Y10=0,0,Y10/TrAvia_act!Y18*1000)</f>
        <v>14549.143483727483</v>
      </c>
      <c r="DA26" s="193" t="s">
        <v>340</v>
      </c>
    </row>
    <row r="27" spans="1:105" ht="11.45" customHeight="1" x14ac:dyDescent="0.25">
      <c r="A27" s="92" t="s">
        <v>27</v>
      </c>
      <c r="B27" s="102">
        <f>IF(B11=0,0,B11/TrAvia_act!B19*1000)</f>
        <v>34096.130827564099</v>
      </c>
      <c r="C27" s="102">
        <f>IF(C11=0,0,C11/TrAvia_act!C19*1000)</f>
        <v>39234.920138045745</v>
      </c>
      <c r="D27" s="102">
        <f>IF(D11=0,0,D11/TrAvia_act!D19*1000)</f>
        <v>44132.267016920639</v>
      </c>
      <c r="E27" s="102">
        <f>IF(E11=0,0,E11/TrAvia_act!E19*1000)</f>
        <v>38117.206878444653</v>
      </c>
      <c r="F27" s="102">
        <f>IF(F11=0,0,F11/TrAvia_act!F19*1000)</f>
        <v>39443.774454642116</v>
      </c>
      <c r="G27" s="102">
        <f>IF(G11=0,0,G11/TrAvia_act!G19*1000)</f>
        <v>39285.254089617622</v>
      </c>
      <c r="H27" s="102">
        <f>IF(H11=0,0,H11/TrAvia_act!H19*1000)</f>
        <v>47077.322745987876</v>
      </c>
      <c r="I27" s="102">
        <f>IF(I11=0,0,I11/TrAvia_act!I19*1000)</f>
        <v>39285.729052188894</v>
      </c>
      <c r="J27" s="102">
        <f>IF(J11=0,0,J11/TrAvia_act!J19*1000)</f>
        <v>34279.894263615453</v>
      </c>
      <c r="K27" s="102">
        <f>IF(K11=0,0,K11/TrAvia_act!K19*1000)</f>
        <v>32109.242729933576</v>
      </c>
      <c r="L27" s="102">
        <f>IF(L11=0,0,L11/TrAvia_act!L19*1000)</f>
        <v>37500.573285863749</v>
      </c>
      <c r="M27" s="102">
        <f>IF(M11=0,0,M11/TrAvia_act!M19*1000)</f>
        <v>27744.116425584383</v>
      </c>
      <c r="N27" s="102">
        <f>IF(N11=0,0,N11/TrAvia_act!N19*1000)</f>
        <v>44134.104717344228</v>
      </c>
      <c r="O27" s="102">
        <f>IF(O11=0,0,O11/TrAvia_act!O19*1000)</f>
        <v>44485.025861111921</v>
      </c>
      <c r="P27" s="102">
        <f>IF(P11=0,0,P11/TrAvia_act!P19*1000)</f>
        <v>46474.651444944211</v>
      </c>
      <c r="Q27" s="102">
        <f>IF(Q11=0,0,Q11/TrAvia_act!Q19*1000)</f>
        <v>43181.939681511903</v>
      </c>
      <c r="R27" s="102">
        <f>IF(R11=0,0,R11/TrAvia_act!R19*1000)</f>
        <v>20893.133936785242</v>
      </c>
      <c r="S27" s="102">
        <f>IF(S11=0,0,S11/TrAvia_act!S19*1000)</f>
        <v>27120.694512361522</v>
      </c>
      <c r="T27" s="102">
        <f>IF(T11=0,0,T11/TrAvia_act!T19*1000)</f>
        <v>25989.155645946248</v>
      </c>
      <c r="U27" s="102">
        <f>IF(U11=0,0,U11/TrAvia_act!U19*1000)</f>
        <v>29324.72654989695</v>
      </c>
      <c r="V27" s="102">
        <f>IF(V11=0,0,V11/TrAvia_act!V19*1000)</f>
        <v>25317.762714101176</v>
      </c>
      <c r="W27" s="102">
        <f>IF(W11=0,0,W11/TrAvia_act!W19*1000)</f>
        <v>35326.916694372165</v>
      </c>
      <c r="X27" s="102">
        <f>IF(X11=0,0,X11/TrAvia_act!X19*1000)</f>
        <v>70955.193954816496</v>
      </c>
      <c r="Y27" s="102">
        <f>IF(Y11=0,0,Y11/TrAvia_act!Y19*1000)</f>
        <v>37928.699087984241</v>
      </c>
      <c r="DA27" s="175" t="s">
        <v>341</v>
      </c>
    </row>
    <row r="28" spans="1:105" ht="11.45" customHeight="1" x14ac:dyDescent="0.25">
      <c r="A28" s="92" t="s">
        <v>181</v>
      </c>
      <c r="B28" s="102">
        <f>IF(B12=0,0,B12/TrAvia_act!B20*1000)</f>
        <v>17980.219295964333</v>
      </c>
      <c r="C28" s="102">
        <f>IF(C12=0,0,C12/TrAvia_act!C20*1000)</f>
        <v>20017.724897485081</v>
      </c>
      <c r="D28" s="102">
        <f>IF(D12=0,0,D12/TrAvia_act!D20*1000)</f>
        <v>21283.566556172376</v>
      </c>
      <c r="E28" s="102">
        <f>IF(E12=0,0,E12/TrAvia_act!E20*1000)</f>
        <v>21469.942902969433</v>
      </c>
      <c r="F28" s="102">
        <f>IF(F12=0,0,F12/TrAvia_act!F20*1000)</f>
        <v>19732.999431035842</v>
      </c>
      <c r="G28" s="102">
        <f>IF(G12=0,0,G12/TrAvia_act!G20*1000)</f>
        <v>19329.963343074345</v>
      </c>
      <c r="H28" s="102">
        <f>IF(H12=0,0,H12/TrAvia_act!H20*1000)</f>
        <v>17072.641206944532</v>
      </c>
      <c r="I28" s="102">
        <f>IF(I12=0,0,I12/TrAvia_act!I20*1000)</f>
        <v>18964.095216043457</v>
      </c>
      <c r="J28" s="102">
        <f>IF(J12=0,0,J12/TrAvia_act!J20*1000)</f>
        <v>17169.392585467307</v>
      </c>
      <c r="K28" s="102">
        <f>IF(K12=0,0,K12/TrAvia_act!K20*1000)</f>
        <v>12593.902258487413</v>
      </c>
      <c r="L28" s="102">
        <f>IF(L12=0,0,L12/TrAvia_act!L20*1000)</f>
        <v>17620.798265712889</v>
      </c>
      <c r="M28" s="102">
        <f>IF(M12=0,0,M12/TrAvia_act!M20*1000)</f>
        <v>15897.295388203547</v>
      </c>
      <c r="N28" s="102">
        <f>IF(N12=0,0,N12/TrAvia_act!N20*1000)</f>
        <v>13472.301459939901</v>
      </c>
      <c r="O28" s="102">
        <f>IF(O12=0,0,O12/TrAvia_act!O20*1000)</f>
        <v>14848.365218062878</v>
      </c>
      <c r="P28" s="102">
        <f>IF(P12=0,0,P12/TrAvia_act!P20*1000)</f>
        <v>17106.392790197879</v>
      </c>
      <c r="Q28" s="102">
        <f>IF(Q12=0,0,Q12/TrAvia_act!Q20*1000)</f>
        <v>18926.025552382242</v>
      </c>
      <c r="R28" s="102">
        <f>IF(R12=0,0,R12/TrAvia_act!R20*1000)</f>
        <v>18116.866546712103</v>
      </c>
      <c r="S28" s="102">
        <f>IF(S12=0,0,S12/TrAvia_act!S20*1000)</f>
        <v>20707.724115507481</v>
      </c>
      <c r="T28" s="102">
        <f>IF(T12=0,0,T12/TrAvia_act!T20*1000)</f>
        <v>20948.223553848846</v>
      </c>
      <c r="U28" s="102">
        <f>IF(U12=0,0,U12/TrAvia_act!U20*1000)</f>
        <v>21475.271876675233</v>
      </c>
      <c r="V28" s="102">
        <f>IF(V12=0,0,V12/TrAvia_act!V20*1000)</f>
        <v>14942.076928267257</v>
      </c>
      <c r="W28" s="102">
        <f>IF(W12=0,0,W12/TrAvia_act!W20*1000)</f>
        <v>16031.295557769994</v>
      </c>
      <c r="X28" s="102">
        <f>IF(X12=0,0,X12/TrAvia_act!X20*1000)</f>
        <v>17956.302940123271</v>
      </c>
      <c r="Y28" s="102">
        <f>IF(Y12=0,0,Y12/TrAvia_act!Y20*1000)</f>
        <v>17408.347426190827</v>
      </c>
      <c r="DA28" s="175" t="s">
        <v>342</v>
      </c>
    </row>
    <row r="29" spans="1:105" ht="11.45" customHeight="1" x14ac:dyDescent="0.25">
      <c r="A29" s="85" t="s">
        <v>182</v>
      </c>
      <c r="B29" s="86">
        <f>IF(B13=0,0,B13/TrAvia_act!B21*1000)</f>
        <v>27843.212188275542</v>
      </c>
      <c r="C29" s="86">
        <f>IF(C13=0,0,C13/TrAvia_act!C21*1000)</f>
        <v>31000.494531067277</v>
      </c>
      <c r="D29" s="86">
        <f>IF(D13=0,0,D13/TrAvia_act!D21*1000)</f>
        <v>32968.409527254436</v>
      </c>
      <c r="E29" s="86">
        <f>IF(E13=0,0,E13/TrAvia_act!E21*1000)</f>
        <v>33257.56152692144</v>
      </c>
      <c r="F29" s="86">
        <f>IF(F13=0,0,F13/TrAvia_act!F21*1000)</f>
        <v>30512.91167615099</v>
      </c>
      <c r="G29" s="86">
        <f>IF(G13=0,0,G13/TrAvia_act!G21*1000)</f>
        <v>24780.561776452672</v>
      </c>
      <c r="H29" s="86">
        <f>IF(H13=0,0,H13/TrAvia_act!H21*1000)</f>
        <v>18563.208776584514</v>
      </c>
      <c r="I29" s="86">
        <f>IF(I13=0,0,I13/TrAvia_act!I21*1000)</f>
        <v>16364.953902373414</v>
      </c>
      <c r="J29" s="86">
        <f>IF(J13=0,0,J13/TrAvia_act!J21*1000)</f>
        <v>16397.46410268376</v>
      </c>
      <c r="K29" s="86">
        <f>IF(K13=0,0,K13/TrAvia_act!K21*1000)</f>
        <v>12794.677501967763</v>
      </c>
      <c r="L29" s="86">
        <f>IF(L13=0,0,L13/TrAvia_act!L21*1000)</f>
        <v>17216.957752415641</v>
      </c>
      <c r="M29" s="86">
        <f>IF(M13=0,0,M13/TrAvia_act!M21*1000)</f>
        <v>15114.851798839245</v>
      </c>
      <c r="N29" s="86">
        <f>IF(N13=0,0,N13/TrAvia_act!N21*1000)</f>
        <v>14510.439892546536</v>
      </c>
      <c r="O29" s="86">
        <f>IF(O13=0,0,O13/TrAvia_act!O21*1000)</f>
        <v>15451.176879260001</v>
      </c>
      <c r="P29" s="86">
        <f>IF(P13=0,0,P13/TrAvia_act!P21*1000)</f>
        <v>14982.371693616409</v>
      </c>
      <c r="Q29" s="86">
        <f>IF(Q13=0,0,Q13/TrAvia_act!Q21*1000)</f>
        <v>14221.321694802644</v>
      </c>
      <c r="R29" s="86">
        <f>IF(R13=0,0,R13/TrAvia_act!R21*1000)</f>
        <v>13401.868846776622</v>
      </c>
      <c r="S29" s="86">
        <f>IF(S13=0,0,S13/TrAvia_act!S21*1000)</f>
        <v>12793.822345722589</v>
      </c>
      <c r="T29" s="86">
        <f>IF(T13=0,0,T13/TrAvia_act!T21*1000)</f>
        <v>11967.415253415491</v>
      </c>
      <c r="U29" s="86">
        <f>IF(U13=0,0,U13/TrAvia_act!U21*1000)</f>
        <v>12824.148674778067</v>
      </c>
      <c r="V29" s="86">
        <f>IF(V13=0,0,V13/TrAvia_act!V21*1000)</f>
        <v>20095.807546438602</v>
      </c>
      <c r="W29" s="86">
        <f>IF(W13=0,0,W13/TrAvia_act!W21*1000)</f>
        <v>20999.348622167312</v>
      </c>
      <c r="X29" s="86">
        <f>IF(X13=0,0,X13/TrAvia_act!X21*1000)</f>
        <v>13432.848140793902</v>
      </c>
      <c r="Y29" s="86">
        <f>IF(Y13=0,0,Y13/TrAvia_act!Y21*1000)</f>
        <v>12623.503994280616</v>
      </c>
      <c r="DA29" s="178" t="s">
        <v>343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DA31" s="172"/>
    </row>
    <row r="32" spans="1:105" ht="11.45" customHeight="1" x14ac:dyDescent="0.25">
      <c r="A32" s="10" t="s">
        <v>160</v>
      </c>
      <c r="B32" s="14">
        <f>IF(B6=0,0,B6/TrAvia_act!B4*1000)</f>
        <v>145.22503981937317</v>
      </c>
      <c r="C32" s="14">
        <f>IF(C6=0,0,C6/TrAvia_act!C4*1000)</f>
        <v>162.65341510018141</v>
      </c>
      <c r="D32" s="14">
        <f>IF(D6=0,0,D6/TrAvia_act!D4*1000)</f>
        <v>172.92214570459322</v>
      </c>
      <c r="E32" s="14">
        <f>IF(E6=0,0,E6/TrAvia_act!E4*1000)</f>
        <v>172.78988419851447</v>
      </c>
      <c r="F32" s="14">
        <f>IF(F6=0,0,F6/TrAvia_act!F4*1000)</f>
        <v>151.88869269956189</v>
      </c>
      <c r="G32" s="14">
        <f>IF(G6=0,0,G6/TrAvia_act!G4*1000)</f>
        <v>146.48714033631646</v>
      </c>
      <c r="H32" s="14">
        <f>IF(H6=0,0,H6/TrAvia_act!H4*1000)</f>
        <v>128.67445400796265</v>
      </c>
      <c r="I32" s="14">
        <f>IF(I6=0,0,I6/TrAvia_act!I4*1000)</f>
        <v>137.4343178249286</v>
      </c>
      <c r="J32" s="14">
        <f>IF(J6=0,0,J6/TrAvia_act!J4*1000)</f>
        <v>129.73137857670039</v>
      </c>
      <c r="K32" s="14">
        <f>IF(K6=0,0,K6/TrAvia_act!K4*1000)</f>
        <v>91.905674413403901</v>
      </c>
      <c r="L32" s="14">
        <f>IF(L6=0,0,L6/TrAvia_act!L4*1000)</f>
        <v>131.55004399093363</v>
      </c>
      <c r="M32" s="14">
        <f>IF(M6=0,0,M6/TrAvia_act!M4*1000)</f>
        <v>117.2272449261369</v>
      </c>
      <c r="N32" s="14">
        <f>IF(N6=0,0,N6/TrAvia_act!N4*1000)</f>
        <v>94.488378779043629</v>
      </c>
      <c r="O32" s="14">
        <f>IF(O6=0,0,O6/TrAvia_act!O4*1000)</f>
        <v>97.486215054905159</v>
      </c>
      <c r="P32" s="14">
        <f>IF(P6=0,0,P6/TrAvia_act!P4*1000)</f>
        <v>104.64823712660758</v>
      </c>
      <c r="Q32" s="14">
        <f>IF(Q6=0,0,Q6/TrAvia_act!Q4*1000)</f>
        <v>104.09612281172836</v>
      </c>
      <c r="R32" s="14">
        <f>IF(R6=0,0,R6/TrAvia_act!R4*1000)</f>
        <v>96.758517609243796</v>
      </c>
      <c r="S32" s="14">
        <f>IF(S6=0,0,S6/TrAvia_act!S4*1000)</f>
        <v>102.54059791143568</v>
      </c>
      <c r="T32" s="14">
        <f>IF(T6=0,0,T6/TrAvia_act!T4*1000)</f>
        <v>100.70974211542961</v>
      </c>
      <c r="U32" s="14">
        <f>IF(U6=0,0,U6/TrAvia_act!U4*1000)</f>
        <v>97.414816422812933</v>
      </c>
      <c r="V32" s="14">
        <f>IF(V6=0,0,V6/TrAvia_act!V4*1000)</f>
        <v>162.41723365032334</v>
      </c>
      <c r="W32" s="14">
        <f>IF(W6=0,0,W6/TrAvia_act!W4*1000)</f>
        <v>158.59809864938006</v>
      </c>
      <c r="X32" s="14">
        <f>IF(X6=0,0,X6/TrAvia_act!X4*1000)</f>
        <v>102.45557048185601</v>
      </c>
      <c r="Y32" s="14">
        <f>IF(Y6=0,0,Y6/TrAvia_act!Y4*1000)</f>
        <v>95.596635142270031</v>
      </c>
      <c r="DA32" s="189" t="s">
        <v>344</v>
      </c>
    </row>
    <row r="33" spans="1:105" ht="11.45" customHeight="1" x14ac:dyDescent="0.25">
      <c r="A33" s="83" t="s">
        <v>27</v>
      </c>
      <c r="B33" s="87">
        <f>IF(B7=0,0,B7/TrAvia_act!B5*1000)</f>
        <v>383.37904963150095</v>
      </c>
      <c r="C33" s="87">
        <f>IF(C7=0,0,C7/TrAvia_act!C5*1000)</f>
        <v>452.40839639737243</v>
      </c>
      <c r="D33" s="87">
        <f>IF(D7=0,0,D7/TrAvia_act!D5*1000)</f>
        <v>531.20890098277664</v>
      </c>
      <c r="E33" s="87">
        <f>IF(E7=0,0,E7/TrAvia_act!E5*1000)</f>
        <v>480.80460776764806</v>
      </c>
      <c r="F33" s="87">
        <f>IF(F7=0,0,F7/TrAvia_act!F5*1000)</f>
        <v>461.26935004537836</v>
      </c>
      <c r="G33" s="87">
        <f>IF(G7=0,0,G7/TrAvia_act!G5*1000)</f>
        <v>482.64379400002468</v>
      </c>
      <c r="H33" s="87">
        <f>IF(H7=0,0,H7/TrAvia_act!H5*1000)</f>
        <v>497.32169806505607</v>
      </c>
      <c r="I33" s="87">
        <f>IF(I7=0,0,I7/TrAvia_act!I5*1000)</f>
        <v>495.60317574210137</v>
      </c>
      <c r="J33" s="87">
        <f>IF(J7=0,0,J7/TrAvia_act!J5*1000)</f>
        <v>460.84395765583258</v>
      </c>
      <c r="K33" s="87">
        <f>IF(K7=0,0,K7/TrAvia_act!K5*1000)</f>
        <v>484.00571606261741</v>
      </c>
      <c r="L33" s="87">
        <f>IF(L7=0,0,L7/TrAvia_act!L5*1000)</f>
        <v>786.88062437996348</v>
      </c>
      <c r="M33" s="87">
        <f>IF(M7=0,0,M7/TrAvia_act!M5*1000)</f>
        <v>816.16146490177778</v>
      </c>
      <c r="N33" s="87">
        <f>IF(N7=0,0,N7/TrAvia_act!N5*1000)</f>
        <v>1485.3376932245551</v>
      </c>
      <c r="O33" s="87">
        <f>IF(O7=0,0,O7/TrAvia_act!O5*1000)</f>
        <v>1269.751436631765</v>
      </c>
      <c r="P33" s="87">
        <f>IF(P7=0,0,P7/TrAvia_act!P5*1000)</f>
        <v>1440.7254824721654</v>
      </c>
      <c r="Q33" s="87">
        <f>IF(Q7=0,0,Q7/TrAvia_act!Q5*1000)</f>
        <v>1201.0278353898482</v>
      </c>
      <c r="R33" s="87">
        <f>IF(R7=0,0,R7/TrAvia_act!R5*1000)</f>
        <v>566.63697949210473</v>
      </c>
      <c r="S33" s="87">
        <f>IF(S7=0,0,S7/TrAvia_act!S5*1000)</f>
        <v>729.21455511172917</v>
      </c>
      <c r="T33" s="87">
        <f>IF(T7=0,0,T7/TrAvia_act!T5*1000)</f>
        <v>605.99284484501186</v>
      </c>
      <c r="U33" s="87">
        <f>IF(U7=0,0,U7/TrAvia_act!U5*1000)</f>
        <v>712.36201102428811</v>
      </c>
      <c r="V33" s="87">
        <f>IF(V7=0,0,V7/TrAvia_act!V5*1000)</f>
        <v>1848.4070973739006</v>
      </c>
      <c r="W33" s="87">
        <f>IF(W7=0,0,W7/TrAvia_act!W5*1000)</f>
        <v>1750.8413965399718</v>
      </c>
      <c r="X33" s="87">
        <f>IF(X7=0,0,X7/TrAvia_act!X5*1000)</f>
        <v>1218.7180627633545</v>
      </c>
      <c r="Y33" s="87">
        <f>IF(Y7=0,0,Y7/TrAvia_act!Y5*1000)</f>
        <v>540.93380622503855</v>
      </c>
      <c r="DA33" s="171" t="s">
        <v>345</v>
      </c>
    </row>
    <row r="34" spans="1:105" ht="11.45" customHeight="1" x14ac:dyDescent="0.25">
      <c r="A34" s="83" t="s">
        <v>181</v>
      </c>
      <c r="B34" s="87">
        <f>IF(B8=0,0,B8/TrAvia_act!B6*1000)</f>
        <v>143.80282201634256</v>
      </c>
      <c r="C34" s="87">
        <f>IF(C8=0,0,C8/TrAvia_act!C6*1000)</f>
        <v>156.71277918087569</v>
      </c>
      <c r="D34" s="87">
        <f>IF(D8=0,0,D8/TrAvia_act!D6*1000)</f>
        <v>165.53668839874706</v>
      </c>
      <c r="E34" s="87">
        <f>IF(E8=0,0,E8/TrAvia_act!E6*1000)</f>
        <v>167.04648408529252</v>
      </c>
      <c r="F34" s="87">
        <f>IF(F8=0,0,F8/TrAvia_act!F6*1000)</f>
        <v>147.75597359150927</v>
      </c>
      <c r="G34" s="87">
        <f>IF(G8=0,0,G8/TrAvia_act!G6*1000)</f>
        <v>140.2036197202473</v>
      </c>
      <c r="H34" s="87">
        <f>IF(H8=0,0,H8/TrAvia_act!H6*1000)</f>
        <v>121.52578367118518</v>
      </c>
      <c r="I34" s="87">
        <f>IF(I8=0,0,I8/TrAvia_act!I6*1000)</f>
        <v>133.56850336681998</v>
      </c>
      <c r="J34" s="87">
        <f>IF(J8=0,0,J8/TrAvia_act!J6*1000)</f>
        <v>129.80425161321233</v>
      </c>
      <c r="K34" s="87">
        <f>IF(K8=0,0,K8/TrAvia_act!K6*1000)</f>
        <v>89.639970406620421</v>
      </c>
      <c r="L34" s="87">
        <f>IF(L8=0,0,L8/TrAvia_act!L6*1000)</f>
        <v>129.1541169765124</v>
      </c>
      <c r="M34" s="87">
        <f>IF(M8=0,0,M8/TrAvia_act!M6*1000)</f>
        <v>118.09635606606327</v>
      </c>
      <c r="N34" s="87">
        <f>IF(N8=0,0,N8/TrAvia_act!N6*1000)</f>
        <v>97.761645540196653</v>
      </c>
      <c r="O34" s="87">
        <f>IF(O8=0,0,O8/TrAvia_act!O6*1000)</f>
        <v>105.19069067168017</v>
      </c>
      <c r="P34" s="87">
        <f>IF(P8=0,0,P8/TrAvia_act!P6*1000)</f>
        <v>119.04577282385378</v>
      </c>
      <c r="Q34" s="87">
        <f>IF(Q8=0,0,Q8/TrAvia_act!Q6*1000)</f>
        <v>122.43584732363219</v>
      </c>
      <c r="R34" s="87">
        <f>IF(R8=0,0,R8/TrAvia_act!R6*1000)</f>
        <v>115.63773685149206</v>
      </c>
      <c r="S34" s="87">
        <f>IF(S8=0,0,S8/TrAvia_act!S6*1000)</f>
        <v>129.42598194462761</v>
      </c>
      <c r="T34" s="87">
        <f>IF(T8=0,0,T8/TrAvia_act!T6*1000)</f>
        <v>133.73061229612574</v>
      </c>
      <c r="U34" s="87">
        <f>IF(U8=0,0,U8/TrAvia_act!U6*1000)</f>
        <v>125.78318304046893</v>
      </c>
      <c r="V34" s="87">
        <f>IF(V8=0,0,V8/TrAvia_act!V6*1000)</f>
        <v>155.81446324742879</v>
      </c>
      <c r="W34" s="87">
        <f>IF(W8=0,0,W8/TrAvia_act!W6*1000)</f>
        <v>143.3656312598014</v>
      </c>
      <c r="X34" s="87">
        <f>IF(X8=0,0,X8/TrAvia_act!X6*1000)</f>
        <v>126.69802257429954</v>
      </c>
      <c r="Y34" s="87">
        <f>IF(Y8=0,0,Y8/TrAvia_act!Y6*1000)</f>
        <v>122.73859179410654</v>
      </c>
      <c r="DA34" s="171" t="s">
        <v>346</v>
      </c>
    </row>
    <row r="35" spans="1:105" ht="11.45" customHeight="1" x14ac:dyDescent="0.25">
      <c r="A35" s="83" t="s">
        <v>182</v>
      </c>
      <c r="B35" s="87">
        <f>IF(B9=0,0,B9/TrAvia_act!B7*1000)</f>
        <v>135.50781704817157</v>
      </c>
      <c r="C35" s="87">
        <f>IF(C9=0,0,C9/TrAvia_act!C7*1000)</f>
        <v>158.3309331862003</v>
      </c>
      <c r="D35" s="87">
        <f>IF(D9=0,0,D9/TrAvia_act!D7*1000)</f>
        <v>169.52218858857205</v>
      </c>
      <c r="E35" s="87">
        <f>IF(E9=0,0,E9/TrAvia_act!E7*1000)</f>
        <v>167.71473240091245</v>
      </c>
      <c r="F35" s="87">
        <f>IF(F9=0,0,F9/TrAvia_act!F7*1000)</f>
        <v>144.60565878373458</v>
      </c>
      <c r="G35" s="87">
        <f>IF(G9=0,0,G9/TrAvia_act!G7*1000)</f>
        <v>142.89034314689997</v>
      </c>
      <c r="H35" s="87">
        <f>IF(H9=0,0,H9/TrAvia_act!H7*1000)</f>
        <v>124.15378681268584</v>
      </c>
      <c r="I35" s="87">
        <f>IF(I9=0,0,I9/TrAvia_act!I7*1000)</f>
        <v>129.76852816848802</v>
      </c>
      <c r="J35" s="87">
        <f>IF(J9=0,0,J9/TrAvia_act!J7*1000)</f>
        <v>117.00120724254205</v>
      </c>
      <c r="K35" s="87">
        <f>IF(K9=0,0,K9/TrAvia_act!K7*1000)</f>
        <v>84.689105319752954</v>
      </c>
      <c r="L35" s="87">
        <f>IF(L9=0,0,L9/TrAvia_act!L7*1000)</f>
        <v>124.8407132348603</v>
      </c>
      <c r="M35" s="87">
        <f>IF(M9=0,0,M9/TrAvia_act!M7*1000)</f>
        <v>112.3803493870064</v>
      </c>
      <c r="N35" s="87">
        <f>IF(N9=0,0,N9/TrAvia_act!N7*1000)</f>
        <v>85.872018039514501</v>
      </c>
      <c r="O35" s="87">
        <f>IF(O9=0,0,O9/TrAvia_act!O7*1000)</f>
        <v>82.869378488242106</v>
      </c>
      <c r="P35" s="87">
        <f>IF(P9=0,0,P9/TrAvia_act!P7*1000)</f>
        <v>82.105060271751711</v>
      </c>
      <c r="Q35" s="87">
        <f>IF(Q9=0,0,Q9/TrAvia_act!Q7*1000)</f>
        <v>77.839424555896557</v>
      </c>
      <c r="R35" s="87">
        <f>IF(R9=0,0,R9/TrAvia_act!R7*1000)</f>
        <v>70.192269883071717</v>
      </c>
      <c r="S35" s="87">
        <f>IF(S9=0,0,S9/TrAvia_act!S7*1000)</f>
        <v>68.589393685268107</v>
      </c>
      <c r="T35" s="87">
        <f>IF(T9=0,0,T9/TrAvia_act!T7*1000)</f>
        <v>63.546446010328566</v>
      </c>
      <c r="U35" s="87">
        <f>IF(U9=0,0,U9/TrAvia_act!U7*1000)</f>
        <v>64.045307636691135</v>
      </c>
      <c r="V35" s="87">
        <f>IF(V9=0,0,V9/TrAvia_act!V7*1000)</f>
        <v>168.72058465202306</v>
      </c>
      <c r="W35" s="87">
        <f>IF(W9=0,0,W9/TrAvia_act!W7*1000)</f>
        <v>185.36436141383413</v>
      </c>
      <c r="X35" s="87">
        <f>IF(X9=0,0,X9/TrAvia_act!X7*1000)</f>
        <v>68.989322131255193</v>
      </c>
      <c r="Y35" s="87">
        <f>IF(Y9=0,0,Y9/TrAvia_act!Y7*1000)</f>
        <v>62.514216936016467</v>
      </c>
      <c r="DA35" s="171" t="s">
        <v>347</v>
      </c>
    </row>
    <row r="36" spans="1:105" ht="11.45" customHeight="1" x14ac:dyDescent="0.25">
      <c r="A36" s="12" t="s">
        <v>159</v>
      </c>
      <c r="B36" s="15">
        <f>IF(B10=0,0,B10/TrAvia_act!B8*1000)</f>
        <v>584.00571238798432</v>
      </c>
      <c r="C36" s="15">
        <f>IF(C10=0,0,C10/TrAvia_act!C8*1000)</f>
        <v>620.58584091167688</v>
      </c>
      <c r="D36" s="15">
        <f>IF(D10=0,0,D10/TrAvia_act!D8*1000)</f>
        <v>658.58995683115268</v>
      </c>
      <c r="E36" s="15">
        <f>IF(E10=0,0,E10/TrAvia_act!E8*1000)</f>
        <v>683.29639901566884</v>
      </c>
      <c r="F36" s="15">
        <f>IF(F10=0,0,F10/TrAvia_act!F8*1000)</f>
        <v>644.86472307546956</v>
      </c>
      <c r="G36" s="15">
        <f>IF(G10=0,0,G10/TrAvia_act!G8*1000)</f>
        <v>641.09311743394846</v>
      </c>
      <c r="H36" s="15">
        <f>IF(H10=0,0,H10/TrAvia_act!H8*1000)</f>
        <v>597.03390157837691</v>
      </c>
      <c r="I36" s="15">
        <f>IF(I10=0,0,I10/TrAvia_act!I8*1000)</f>
        <v>551.8249752123395</v>
      </c>
      <c r="J36" s="15">
        <f>IF(J10=0,0,J10/TrAvia_act!J8*1000)</f>
        <v>532.19939795239759</v>
      </c>
      <c r="K36" s="15">
        <f>IF(K10=0,0,K10/TrAvia_act!K8*1000)</f>
        <v>416.58832823701533</v>
      </c>
      <c r="L36" s="15">
        <f>IF(L10=0,0,L10/TrAvia_act!L8*1000)</f>
        <v>498.81090763501089</v>
      </c>
      <c r="M36" s="15">
        <f>IF(M10=0,0,M10/TrAvia_act!M8*1000)</f>
        <v>419.63698076605635</v>
      </c>
      <c r="N36" s="15">
        <f>IF(N10=0,0,N10/TrAvia_act!N8*1000)</f>
        <v>333.54520508208236</v>
      </c>
      <c r="O36" s="15">
        <f>IF(O10=0,0,O10/TrAvia_act!O8*1000)</f>
        <v>339.37301836978833</v>
      </c>
      <c r="P36" s="15">
        <f>IF(P10=0,0,P10/TrAvia_act!P8*1000)</f>
        <v>302.90502240532425</v>
      </c>
      <c r="Q36" s="15">
        <f>IF(Q10=0,0,Q10/TrAvia_act!Q8*1000)</f>
        <v>294.92564199507245</v>
      </c>
      <c r="R36" s="15">
        <f>IF(R10=0,0,R10/TrAvia_act!R8*1000)</f>
        <v>246.96331342888823</v>
      </c>
      <c r="S36" s="15">
        <f>IF(S10=0,0,S10/TrAvia_act!S8*1000)</f>
        <v>237.36280921165039</v>
      </c>
      <c r="T36" s="15">
        <f>IF(T10=0,0,T10/TrAvia_act!T8*1000)</f>
        <v>243.92426182900053</v>
      </c>
      <c r="U36" s="15">
        <f>IF(U10=0,0,U10/TrAvia_act!U8*1000)</f>
        <v>254.00755619170374</v>
      </c>
      <c r="V36" s="15">
        <f>IF(V10=0,0,V10/TrAvia_act!V8*1000)</f>
        <v>411.74564651285777</v>
      </c>
      <c r="W36" s="15">
        <f>IF(W10=0,0,W10/TrAvia_act!W8*1000)</f>
        <v>437.81594587089063</v>
      </c>
      <c r="X36" s="15">
        <f>IF(X10=0,0,X10/TrAvia_act!X8*1000)</f>
        <v>292.3248671383036</v>
      </c>
      <c r="Y36" s="15">
        <f>IF(Y10=0,0,Y10/TrAvia_act!Y8*1000)</f>
        <v>276.83344160842023</v>
      </c>
      <c r="DA36" s="193" t="s">
        <v>348</v>
      </c>
    </row>
    <row r="37" spans="1:105" ht="11.45" customHeight="1" x14ac:dyDescent="0.25">
      <c r="A37" s="92" t="s">
        <v>27</v>
      </c>
      <c r="B37" s="101">
        <f>IF(B11=0,0,B11/TrAvia_act!B9*1000)</f>
        <v>3179.4165572353095</v>
      </c>
      <c r="C37" s="101">
        <f>IF(C11=0,0,C11/TrAvia_act!C9*1000)</f>
        <v>3686.7173319635567</v>
      </c>
      <c r="D37" s="101">
        <f>IF(D11=0,0,D11/TrAvia_act!D9*1000)</f>
        <v>4032.6602595721574</v>
      </c>
      <c r="E37" s="101">
        <f>IF(E11=0,0,E11/TrAvia_act!E9*1000)</f>
        <v>3274.4635469676509</v>
      </c>
      <c r="F37" s="101">
        <f>IF(F11=0,0,F11/TrAvia_act!F9*1000)</f>
        <v>3598.3760912713974</v>
      </c>
      <c r="G37" s="101">
        <f>IF(G11=0,0,G11/TrAvia_act!G9*1000)</f>
        <v>3662.161687573257</v>
      </c>
      <c r="H37" s="101">
        <f>IF(H11=0,0,H11/TrAvia_act!H9*1000)</f>
        <v>4562.402953234995</v>
      </c>
      <c r="I37" s="101">
        <f>IF(I11=0,0,I11/TrAvia_act!I9*1000)</f>
        <v>3821.4855649937249</v>
      </c>
      <c r="J37" s="101">
        <f>IF(J11=0,0,J11/TrAvia_act!J9*1000)</f>
        <v>3465.9315972822901</v>
      </c>
      <c r="K37" s="101">
        <f>IF(K11=0,0,K11/TrAvia_act!K9*1000)</f>
        <v>3218.6632492578137</v>
      </c>
      <c r="L37" s="101">
        <f>IF(L11=0,0,L11/TrAvia_act!L9*1000)</f>
        <v>3514.6156552498287</v>
      </c>
      <c r="M37" s="101">
        <f>IF(M11=0,0,M11/TrAvia_act!M9*1000)</f>
        <v>2449.3241751874461</v>
      </c>
      <c r="N37" s="101">
        <f>IF(N11=0,0,N11/TrAvia_act!N9*1000)</f>
        <v>3954.5727547293791</v>
      </c>
      <c r="O37" s="101">
        <f>IF(O11=0,0,O11/TrAvia_act!O9*1000)</f>
        <v>3856.7032015767973</v>
      </c>
      <c r="P37" s="101">
        <f>IF(P11=0,0,P11/TrAvia_act!P9*1000)</f>
        <v>3600.00328804841</v>
      </c>
      <c r="Q37" s="101">
        <f>IF(Q11=0,0,Q11/TrAvia_act!Q9*1000)</f>
        <v>3273.9424796691469</v>
      </c>
      <c r="R37" s="101">
        <f>IF(R11=0,0,R11/TrAvia_act!R9*1000)</f>
        <v>1373.5967774668636</v>
      </c>
      <c r="S37" s="101">
        <f>IF(S11=0,0,S11/TrAvia_act!S9*1000)</f>
        <v>1941.339103252571</v>
      </c>
      <c r="T37" s="101">
        <f>IF(T11=0,0,T11/TrAvia_act!T9*1000)</f>
        <v>1812.9430361742113</v>
      </c>
      <c r="U37" s="101">
        <f>IF(U11=0,0,U11/TrAvia_act!U9*1000)</f>
        <v>1843.8348432701894</v>
      </c>
      <c r="V37" s="101">
        <f>IF(V11=0,0,V11/TrAvia_act!V9*1000)</f>
        <v>1708.1830063580069</v>
      </c>
      <c r="W37" s="101">
        <f>IF(W11=0,0,W11/TrAvia_act!W9*1000)</f>
        <v>2322.4700363594347</v>
      </c>
      <c r="X37" s="101">
        <f>IF(X11=0,0,X11/TrAvia_act!X9*1000)</f>
        <v>4670.5879471861017</v>
      </c>
      <c r="Y37" s="101">
        <f>IF(Y11=0,0,Y11/TrAvia_act!Y9*1000)</f>
        <v>2547.9983257788122</v>
      </c>
      <c r="DA37" s="175" t="s">
        <v>349</v>
      </c>
    </row>
    <row r="38" spans="1:105" ht="11.45" customHeight="1" x14ac:dyDescent="0.25">
      <c r="A38" s="92" t="s">
        <v>181</v>
      </c>
      <c r="B38" s="101">
        <f>IF(B12=0,0,B12/TrAvia_act!B10*1000)</f>
        <v>825.24923394444966</v>
      </c>
      <c r="C38" s="101">
        <f>IF(C12=0,0,C12/TrAvia_act!C10*1000)</f>
        <v>857.87074576087684</v>
      </c>
      <c r="D38" s="101">
        <f>IF(D12=0,0,D12/TrAvia_act!D10*1000)</f>
        <v>969.8262136784374</v>
      </c>
      <c r="E38" s="101">
        <f>IF(E12=0,0,E12/TrAvia_act!E10*1000)</f>
        <v>965.73672621511992</v>
      </c>
      <c r="F38" s="101">
        <f>IF(F12=0,0,F12/TrAvia_act!F10*1000)</f>
        <v>994.10063983782652</v>
      </c>
      <c r="G38" s="101">
        <f>IF(G12=0,0,G12/TrAvia_act!G10*1000)</f>
        <v>980.20496049304199</v>
      </c>
      <c r="H38" s="101">
        <f>IF(H12=0,0,H12/TrAvia_act!H10*1000)</f>
        <v>970.08745814753604</v>
      </c>
      <c r="I38" s="101">
        <f>IF(I12=0,0,I12/TrAvia_act!I10*1000)</f>
        <v>1110.1576336584053</v>
      </c>
      <c r="J38" s="101">
        <f>IF(J12=0,0,J12/TrAvia_act!J10*1000)</f>
        <v>1028.1281039289702</v>
      </c>
      <c r="K38" s="101">
        <f>IF(K12=0,0,K12/TrAvia_act!K10*1000)</f>
        <v>748.77684445063494</v>
      </c>
      <c r="L38" s="101">
        <f>IF(L12=0,0,L12/TrAvia_act!L10*1000)</f>
        <v>1006.5504124185425</v>
      </c>
      <c r="M38" s="101">
        <f>IF(M12=0,0,M12/TrAvia_act!M10*1000)</f>
        <v>867.26719273985566</v>
      </c>
      <c r="N38" s="101">
        <f>IF(N12=0,0,N12/TrAvia_act!N10*1000)</f>
        <v>671.55486906229316</v>
      </c>
      <c r="O38" s="101">
        <f>IF(O12=0,0,O12/TrAvia_act!O10*1000)</f>
        <v>758.18590489167661</v>
      </c>
      <c r="P38" s="101">
        <f>IF(P12=0,0,P12/TrAvia_act!P10*1000)</f>
        <v>779.32052132051717</v>
      </c>
      <c r="Q38" s="101">
        <f>IF(Q12=0,0,Q12/TrAvia_act!Q10*1000)</f>
        <v>883.28508973963085</v>
      </c>
      <c r="R38" s="101">
        <f>IF(R12=0,0,R12/TrAvia_act!R10*1000)</f>
        <v>762.32652904519443</v>
      </c>
      <c r="S38" s="101">
        <f>IF(S12=0,0,S12/TrAvia_act!S10*1000)</f>
        <v>957.65814036694076</v>
      </c>
      <c r="T38" s="101">
        <f>IF(T12=0,0,T12/TrAvia_act!T10*1000)</f>
        <v>951.72160968685967</v>
      </c>
      <c r="U38" s="101">
        <f>IF(U12=0,0,U12/TrAvia_act!U10*1000)</f>
        <v>948.89299407384715</v>
      </c>
      <c r="V38" s="101">
        <f>IF(V12=0,0,V12/TrAvia_act!V10*1000)</f>
        <v>744.15553830056342</v>
      </c>
      <c r="W38" s="101">
        <f>IF(W12=0,0,W12/TrAvia_act!W10*1000)</f>
        <v>776.28949118404671</v>
      </c>
      <c r="X38" s="101">
        <f>IF(X12=0,0,X12/TrAvia_act!X10*1000)</f>
        <v>873.38995545694752</v>
      </c>
      <c r="Y38" s="101">
        <f>IF(Y12=0,0,Y12/TrAvia_act!Y10*1000)</f>
        <v>850.48520888318626</v>
      </c>
      <c r="DA38" s="175" t="s">
        <v>350</v>
      </c>
    </row>
    <row r="39" spans="1:105" ht="11.45" customHeight="1" x14ac:dyDescent="0.25">
      <c r="A39" s="85" t="s">
        <v>182</v>
      </c>
      <c r="B39" s="88">
        <f>IF(B13=0,0,B13/TrAvia_act!B11*1000)</f>
        <v>416.5396123498474</v>
      </c>
      <c r="C39" s="88">
        <f>IF(C13=0,0,C13/TrAvia_act!C11*1000)</f>
        <v>442.56516498591554</v>
      </c>
      <c r="D39" s="88">
        <f>IF(D13=0,0,D13/TrAvia_act!D11*1000)</f>
        <v>498.48531655058025</v>
      </c>
      <c r="E39" s="88">
        <f>IF(E13=0,0,E13/TrAvia_act!E11*1000)</f>
        <v>553.42542970922295</v>
      </c>
      <c r="F39" s="88">
        <f>IF(F13=0,0,F13/TrAvia_act!F11*1000)</f>
        <v>523.14497639666274</v>
      </c>
      <c r="G39" s="88">
        <f>IF(G13=0,0,G13/TrAvia_act!G11*1000)</f>
        <v>451.77883856288338</v>
      </c>
      <c r="H39" s="88">
        <f>IF(H13=0,0,H13/TrAvia_act!H11*1000)</f>
        <v>350.08392325257807</v>
      </c>
      <c r="I39" s="88">
        <f>IF(I13=0,0,I13/TrAvia_act!I11*1000)</f>
        <v>313.86285861433799</v>
      </c>
      <c r="J39" s="88">
        <f>IF(J13=0,0,J13/TrAvia_act!J11*1000)</f>
        <v>320.95295764301744</v>
      </c>
      <c r="K39" s="88">
        <f>IF(K13=0,0,K13/TrAvia_act!K11*1000)</f>
        <v>222.05543686821903</v>
      </c>
      <c r="L39" s="88">
        <f>IF(L13=0,0,L13/TrAvia_act!L11*1000)</f>
        <v>293.93034828960594</v>
      </c>
      <c r="M39" s="88">
        <f>IF(M13=0,0,M13/TrAvia_act!M11*1000)</f>
        <v>246.53908461186504</v>
      </c>
      <c r="N39" s="88">
        <f>IF(N13=0,0,N13/TrAvia_act!N11*1000)</f>
        <v>218.4566715172553</v>
      </c>
      <c r="O39" s="88">
        <f>IF(O13=0,0,O13/TrAvia_act!O11*1000)</f>
        <v>229.07191048420941</v>
      </c>
      <c r="P39" s="88">
        <f>IF(P13=0,0,P13/TrAvia_act!P11*1000)</f>
        <v>190.80799424454628</v>
      </c>
      <c r="Q39" s="88">
        <f>IF(Q13=0,0,Q13/TrAvia_act!Q11*1000)</f>
        <v>181.50607253545718</v>
      </c>
      <c r="R39" s="88">
        <f>IF(R13=0,0,R13/TrAvia_act!R11*1000)</f>
        <v>157.3290393694956</v>
      </c>
      <c r="S39" s="88">
        <f>IF(S13=0,0,S13/TrAvia_act!S11*1000)</f>
        <v>153.87008845654694</v>
      </c>
      <c r="T39" s="88">
        <f>IF(T13=0,0,T13/TrAvia_act!T11*1000)</f>
        <v>140.32294496809428</v>
      </c>
      <c r="U39" s="88">
        <f>IF(U13=0,0,U13/TrAvia_act!U11*1000)</f>
        <v>143.05686587339463</v>
      </c>
      <c r="V39" s="88">
        <f>IF(V13=0,0,V13/TrAvia_act!V11*1000)</f>
        <v>339.32523262252147</v>
      </c>
      <c r="W39" s="88">
        <f>IF(W13=0,0,W13/TrAvia_act!W11*1000)</f>
        <v>352.42763965902316</v>
      </c>
      <c r="X39" s="88">
        <f>IF(X13=0,0,X13/TrAvia_act!X11*1000)</f>
        <v>199.88335775540213</v>
      </c>
      <c r="Y39" s="88">
        <f>IF(Y13=0,0,Y13/TrAvia_act!Y11*1000)</f>
        <v>179.20463203305542</v>
      </c>
      <c r="DA39" s="178" t="s">
        <v>351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19017.882668004011</v>
      </c>
      <c r="C41" s="54">
        <f>IF(C3=0,0,C3/TrAvia_act!C23*1000000)</f>
        <v>21581.594907429357</v>
      </c>
      <c r="D41" s="54">
        <f>IF(D3=0,0,D3/TrAvia_act!D23*1000000)</f>
        <v>23197.976610882277</v>
      </c>
      <c r="E41" s="54">
        <f>IF(E3=0,0,E3/TrAvia_act!E23*1000000)</f>
        <v>22279.127316626906</v>
      </c>
      <c r="F41" s="54">
        <f>IF(F3=0,0,F3/TrAvia_act!F23*1000000)</f>
        <v>21061.166671370913</v>
      </c>
      <c r="G41" s="54">
        <f>IF(G3=0,0,G3/TrAvia_act!G23*1000000)</f>
        <v>21054.797383905963</v>
      </c>
      <c r="H41" s="54">
        <f>IF(H3=0,0,H3/TrAvia_act!H23*1000000)</f>
        <v>20601.54623496054</v>
      </c>
      <c r="I41" s="54">
        <f>IF(I3=0,0,I3/TrAvia_act!I23*1000000)</f>
        <v>22939.117480040139</v>
      </c>
      <c r="J41" s="54">
        <f>IF(J3=0,0,J3/TrAvia_act!J23*1000000)</f>
        <v>21096.884164780447</v>
      </c>
      <c r="K41" s="54">
        <f>IF(K3=0,0,K3/TrAvia_act!K23*1000000)</f>
        <v>15497.531404602107</v>
      </c>
      <c r="L41" s="54">
        <f>IF(L3=0,0,L3/TrAvia_act!L23*1000000)</f>
        <v>22027.058877003321</v>
      </c>
      <c r="M41" s="54">
        <f>IF(M3=0,0,M3/TrAvia_act!M23*1000000)</f>
        <v>20330.871824457685</v>
      </c>
      <c r="N41" s="54">
        <f>IF(N3=0,0,N3/TrAvia_act!N23*1000000)</f>
        <v>17569.71784878015</v>
      </c>
      <c r="O41" s="54">
        <f>IF(O3=0,0,O3/TrAvia_act!O23*1000000)</f>
        <v>19182.161074709995</v>
      </c>
      <c r="P41" s="54">
        <f>IF(P3=0,0,P3/TrAvia_act!P23*1000000)</f>
        <v>20872.276071933797</v>
      </c>
      <c r="Q41" s="54">
        <f>IF(Q3=0,0,Q3/TrAvia_act!Q23*1000000)</f>
        <v>22381.415489218231</v>
      </c>
      <c r="R41" s="54">
        <f>IF(R3=0,0,R3/TrAvia_act!R23*1000000)</f>
        <v>21264.954606040923</v>
      </c>
      <c r="S41" s="54">
        <f>IF(S3=0,0,S3/TrAvia_act!S23*1000000)</f>
        <v>24245.053507566208</v>
      </c>
      <c r="T41" s="54">
        <f>IF(T3=0,0,T3/TrAvia_act!T23*1000000)</f>
        <v>25001.823958634395</v>
      </c>
      <c r="U41" s="54">
        <f>IF(U3=0,0,U3/TrAvia_act!U23*1000000)</f>
        <v>24671.380401421266</v>
      </c>
      <c r="V41" s="54">
        <f>IF(V3=0,0,V3/TrAvia_act!V23*1000000)</f>
        <v>25386.52150799696</v>
      </c>
      <c r="W41" s="54">
        <f>IF(W3=0,0,W3/TrAvia_act!W23*1000000)</f>
        <v>29574.114566336637</v>
      </c>
      <c r="X41" s="54">
        <f>IF(X3=0,0,X3/TrAvia_act!X23*1000000)</f>
        <v>26271.068211500547</v>
      </c>
      <c r="Y41" s="54">
        <f>IF(Y3=0,0,Y3/TrAvia_act!Y23*1000000)</f>
        <v>25544.094882306035</v>
      </c>
      <c r="DA41" s="172" t="s">
        <v>352</v>
      </c>
    </row>
    <row r="42" spans="1:105" ht="11.45" customHeight="1" x14ac:dyDescent="0.25">
      <c r="A42" s="10" t="s">
        <v>33</v>
      </c>
      <c r="B42" s="11">
        <f>IF(B6=0,0,B6/TrAvia_act!B24*1000000)</f>
        <v>19022.008755810017</v>
      </c>
      <c r="C42" s="11">
        <f>IF(C6=0,0,C6/TrAvia_act!C24*1000000)</f>
        <v>21592.464168550978</v>
      </c>
      <c r="D42" s="11">
        <f>IF(D6=0,0,D6/TrAvia_act!D24*1000000)</f>
        <v>23157.085041517639</v>
      </c>
      <c r="E42" s="11">
        <f>IF(E6=0,0,E6/TrAvia_act!E24*1000000)</f>
        <v>22197.699951788753</v>
      </c>
      <c r="F42" s="11">
        <f>IF(F6=0,0,F6/TrAvia_act!F24*1000000)</f>
        <v>20913.000380091453</v>
      </c>
      <c r="G42" s="11">
        <f>IF(G6=0,0,G6/TrAvia_act!G24*1000000)</f>
        <v>21045.002897113034</v>
      </c>
      <c r="H42" s="11">
        <f>IF(H6=0,0,H6/TrAvia_act!H24*1000000)</f>
        <v>20649.761639912263</v>
      </c>
      <c r="I42" s="11">
        <f>IF(I6=0,0,I6/TrAvia_act!I24*1000000)</f>
        <v>23006.698475679841</v>
      </c>
      <c r="J42" s="11">
        <f>IF(J6=0,0,J6/TrAvia_act!J24*1000000)</f>
        <v>21122.249248441924</v>
      </c>
      <c r="K42" s="11">
        <f>IF(K6=0,0,K6/TrAvia_act!K24*1000000)</f>
        <v>15550.464141156735</v>
      </c>
      <c r="L42" s="11">
        <f>IF(L6=0,0,L6/TrAvia_act!L24*1000000)</f>
        <v>22079.599253884531</v>
      </c>
      <c r="M42" s="11">
        <f>IF(M6=0,0,M6/TrAvia_act!M24*1000000)</f>
        <v>20399.960939030359</v>
      </c>
      <c r="N42" s="11">
        <f>IF(N6=0,0,N6/TrAvia_act!N24*1000000)</f>
        <v>17521.734928019294</v>
      </c>
      <c r="O42" s="11">
        <f>IF(O6=0,0,O6/TrAvia_act!O24*1000000)</f>
        <v>19122.238049605181</v>
      </c>
      <c r="P42" s="11">
        <f>IF(P6=0,0,P6/TrAvia_act!P24*1000000)</f>
        <v>20807.210846827937</v>
      </c>
      <c r="Q42" s="11">
        <f>IF(Q6=0,0,Q6/TrAvia_act!Q24*1000000)</f>
        <v>22306.276306167663</v>
      </c>
      <c r="R42" s="11">
        <f>IF(R6=0,0,R6/TrAvia_act!R24*1000000)</f>
        <v>21197.461923864223</v>
      </c>
      <c r="S42" s="11">
        <f>IF(S6=0,0,S6/TrAvia_act!S24*1000000)</f>
        <v>24164.32302667675</v>
      </c>
      <c r="T42" s="11">
        <f>IF(T6=0,0,T6/TrAvia_act!T24*1000000)</f>
        <v>24983.143476247395</v>
      </c>
      <c r="U42" s="11">
        <f>IF(U6=0,0,U6/TrAvia_act!U24*1000000)</f>
        <v>24650.401645845042</v>
      </c>
      <c r="V42" s="11">
        <f>IF(V6=0,0,V6/TrAvia_act!V24*1000000)</f>
        <v>25150.536676488093</v>
      </c>
      <c r="W42" s="11">
        <f>IF(W6=0,0,W6/TrAvia_act!W24*1000000)</f>
        <v>29313.411995913531</v>
      </c>
      <c r="X42" s="11">
        <f>IF(X6=0,0,X6/TrAvia_act!X24*1000000)</f>
        <v>26168.240420521444</v>
      </c>
      <c r="Y42" s="11">
        <f>IF(Y6=0,0,Y6/TrAvia_act!Y24*1000000)</f>
        <v>25502.70188732809</v>
      </c>
      <c r="DA42" s="189" t="s">
        <v>353</v>
      </c>
    </row>
    <row r="43" spans="1:105" ht="11.45" customHeight="1" x14ac:dyDescent="0.25">
      <c r="A43" s="83" t="s">
        <v>27</v>
      </c>
      <c r="B43" s="84">
        <f>IF(B7=0,0,B7/TrAvia_act!B25*1000000)</f>
        <v>6565.1089557803589</v>
      </c>
      <c r="C43" s="84">
        <f>IF(C7=0,0,C7/TrAvia_act!C25*1000000)</f>
        <v>7554.5676100402688</v>
      </c>
      <c r="D43" s="84">
        <f>IF(D7=0,0,D7/TrAvia_act!D25*1000000)</f>
        <v>8497.5372395465165</v>
      </c>
      <c r="E43" s="84">
        <f>IF(E7=0,0,E7/TrAvia_act!E25*1000000)</f>
        <v>7339.3552339583075</v>
      </c>
      <c r="F43" s="84">
        <f>IF(F7=0,0,F7/TrAvia_act!F25*1000000)</f>
        <v>7594.781889815139</v>
      </c>
      <c r="G43" s="84">
        <f>IF(G7=0,0,G7/TrAvia_act!G25*1000000)</f>
        <v>7575.0344713727773</v>
      </c>
      <c r="H43" s="84">
        <f>IF(H7=0,0,H7/TrAvia_act!H25*1000000)</f>
        <v>9799.6020354786378</v>
      </c>
      <c r="I43" s="84">
        <f>IF(I7=0,0,I7/TrAvia_act!I25*1000000)</f>
        <v>8917.0424059102806</v>
      </c>
      <c r="J43" s="84">
        <f>IF(J7=0,0,J7/TrAvia_act!J25*1000000)</f>
        <v>7582.4978397407067</v>
      </c>
      <c r="K43" s="84">
        <f>IF(K7=0,0,K7/TrAvia_act!K25*1000000)</f>
        <v>7083.9672348963122</v>
      </c>
      <c r="L43" s="84">
        <f>IF(L7=0,0,L7/TrAvia_act!L25*1000000)</f>
        <v>7862.9760327093427</v>
      </c>
      <c r="M43" s="84">
        <f>IF(M7=0,0,M7/TrAvia_act!M25*1000000)</f>
        <v>4980.3570659930429</v>
      </c>
      <c r="N43" s="84">
        <f>IF(N7=0,0,N7/TrAvia_act!N25*1000000)</f>
        <v>8530.8922972721521</v>
      </c>
      <c r="O43" s="84">
        <f>IF(O7=0,0,O7/TrAvia_act!O25*1000000)</f>
        <v>9078.2012894740219</v>
      </c>
      <c r="P43" s="84">
        <f>IF(P7=0,0,P7/TrAvia_act!P25*1000000)</f>
        <v>9758.3838087584591</v>
      </c>
      <c r="Q43" s="84">
        <f>IF(Q7=0,0,Q7/TrAvia_act!Q25*1000000)</f>
        <v>9848.2107781219984</v>
      </c>
      <c r="R43" s="84">
        <f>IF(R7=0,0,R7/TrAvia_act!R25*1000000)</f>
        <v>5039.1745557302083</v>
      </c>
      <c r="S43" s="84">
        <f>IF(S7=0,0,S7/TrAvia_act!S25*1000000)</f>
        <v>6880.9499930302527</v>
      </c>
      <c r="T43" s="84">
        <f>IF(T7=0,0,T7/TrAvia_act!T25*1000000)</f>
        <v>6559.9726268382165</v>
      </c>
      <c r="U43" s="84">
        <f>IF(U7=0,0,U7/TrAvia_act!U25*1000000)</f>
        <v>7401.3591771473275</v>
      </c>
      <c r="V43" s="84">
        <f>IF(V7=0,0,V7/TrAvia_act!V25*1000000)</f>
        <v>6008.297757724963</v>
      </c>
      <c r="W43" s="84">
        <f>IF(W7=0,0,W7/TrAvia_act!W25*1000000)</f>
        <v>8784.1455536525555</v>
      </c>
      <c r="X43" s="84">
        <f>IF(X7=0,0,X7/TrAvia_act!X25*1000000)</f>
        <v>17802.122355484647</v>
      </c>
      <c r="Y43" s="84">
        <f>IF(Y7=0,0,Y7/TrAvia_act!Y25*1000000)</f>
        <v>9473.1241908318898</v>
      </c>
      <c r="DA43" s="171" t="s">
        <v>354</v>
      </c>
    </row>
    <row r="44" spans="1:105" ht="11.45" customHeight="1" x14ac:dyDescent="0.25">
      <c r="A44" s="83" t="s">
        <v>181</v>
      </c>
      <c r="B44" s="84">
        <f>IF(B8=0,0,B8/TrAvia_act!B26*1000000)</f>
        <v>14147.179090209111</v>
      </c>
      <c r="C44" s="84">
        <f>IF(C8=0,0,C8/TrAvia_act!C26*1000000)</f>
        <v>16089.52579444195</v>
      </c>
      <c r="D44" s="84">
        <f>IF(D8=0,0,D8/TrAvia_act!D26*1000000)</f>
        <v>17437.368387120743</v>
      </c>
      <c r="E44" s="84">
        <f>IF(E8=0,0,E8/TrAvia_act!E26*1000000)</f>
        <v>18020.854997121467</v>
      </c>
      <c r="F44" s="84">
        <f>IF(F8=0,0,F8/TrAvia_act!F26*1000000)</f>
        <v>16858.290300087829</v>
      </c>
      <c r="G44" s="84">
        <f>IF(G8=0,0,G8/TrAvia_act!G26*1000000)</f>
        <v>17336.369470988902</v>
      </c>
      <c r="H44" s="84">
        <f>IF(H8=0,0,H8/TrAvia_act!H26*1000000)</f>
        <v>16775.53439728569</v>
      </c>
      <c r="I44" s="84">
        <f>IF(I8=0,0,I8/TrAvia_act!I26*1000000)</f>
        <v>19194.886349563883</v>
      </c>
      <c r="J44" s="84">
        <f>IF(J8=0,0,J8/TrAvia_act!J26*1000000)</f>
        <v>17376.865221669737</v>
      </c>
      <c r="K44" s="84">
        <f>IF(K8=0,0,K8/TrAvia_act!K26*1000000)</f>
        <v>12255.564722003468</v>
      </c>
      <c r="L44" s="84">
        <f>IF(L8=0,0,L8/TrAvia_act!L26*1000000)</f>
        <v>17204.90099808195</v>
      </c>
      <c r="M44" s="84">
        <f>IF(M8=0,0,M8/TrAvia_act!M26*1000000)</f>
        <v>15412.917337603953</v>
      </c>
      <c r="N44" s="84">
        <f>IF(N8=0,0,N8/TrAvia_act!N26*1000000)</f>
        <v>12765.854811098405</v>
      </c>
      <c r="O44" s="84">
        <f>IF(O8=0,0,O8/TrAvia_act!O26*1000000)</f>
        <v>13936.035075504433</v>
      </c>
      <c r="P44" s="84">
        <f>IF(P8=0,0,P8/TrAvia_act!P26*1000000)</f>
        <v>15398.378748880483</v>
      </c>
      <c r="Q44" s="84">
        <f>IF(Q8=0,0,Q8/TrAvia_act!Q26*1000000)</f>
        <v>16771.234848191729</v>
      </c>
      <c r="R44" s="84">
        <f>IF(R8=0,0,R8/TrAvia_act!R26*1000000)</f>
        <v>16292.905372240399</v>
      </c>
      <c r="S44" s="84">
        <f>IF(S8=0,0,S8/TrAvia_act!S26*1000000)</f>
        <v>18989.10638611051</v>
      </c>
      <c r="T44" s="84">
        <f>IF(T8=0,0,T8/TrAvia_act!T26*1000000)</f>
        <v>19853.157909321617</v>
      </c>
      <c r="U44" s="84">
        <f>IF(U8=0,0,U8/TrAvia_act!U26*1000000)</f>
        <v>19261.541895434348</v>
      </c>
      <c r="V44" s="84">
        <f>IF(V8=0,0,V8/TrAvia_act!V26*1000000)</f>
        <v>17143.793972700012</v>
      </c>
      <c r="W44" s="84">
        <f>IF(W8=0,0,W8/TrAvia_act!W26*1000000)</f>
        <v>20942.083617482822</v>
      </c>
      <c r="X44" s="84">
        <f>IF(X8=0,0,X8/TrAvia_act!X26*1000000)</f>
        <v>20569.653214971557</v>
      </c>
      <c r="Y44" s="84">
        <f>IF(Y8=0,0,Y8/TrAvia_act!Y26*1000000)</f>
        <v>20180.546118270093</v>
      </c>
      <c r="DA44" s="171" t="s">
        <v>355</v>
      </c>
    </row>
    <row r="45" spans="1:105" ht="11.45" customHeight="1" x14ac:dyDescent="0.25">
      <c r="A45" s="83" t="s">
        <v>182</v>
      </c>
      <c r="B45" s="84">
        <f>IF(B9=0,0,B9/TrAvia_act!B27*1000000)</f>
        <v>120008.67678822411</v>
      </c>
      <c r="C45" s="84">
        <f>IF(C9=0,0,C9/TrAvia_act!C27*1000000)</f>
        <v>133617.06628161785</v>
      </c>
      <c r="D45" s="84">
        <f>IF(D9=0,0,D9/TrAvia_act!D27*1000000)</f>
        <v>142099.09318020864</v>
      </c>
      <c r="E45" s="84">
        <f>IF(E9=0,0,E9/TrAvia_act!E27*1000000)</f>
        <v>143345.38432779821</v>
      </c>
      <c r="F45" s="84">
        <f>IF(F9=0,0,F9/TrAvia_act!F27*1000000)</f>
        <v>131515.50656043855</v>
      </c>
      <c r="G45" s="84">
        <f>IF(G9=0,0,G9/TrAvia_act!G27*1000000)</f>
        <v>117472.20280820952</v>
      </c>
      <c r="H45" s="84">
        <f>IF(H9=0,0,H9/TrAvia_act!H27*1000000)</f>
        <v>96806.403595765587</v>
      </c>
      <c r="I45" s="84">
        <f>IF(I9=0,0,I9/TrAvia_act!I27*1000000)</f>
        <v>90208.183339939409</v>
      </c>
      <c r="J45" s="84">
        <f>IF(J9=0,0,J9/TrAvia_act!J27*1000000)</f>
        <v>94290.571837926269</v>
      </c>
      <c r="K45" s="84">
        <f>IF(K9=0,0,K9/TrAvia_act!K27*1000000)</f>
        <v>73915.602853508215</v>
      </c>
      <c r="L45" s="84">
        <f>IF(L9=0,0,L9/TrAvia_act!L27*1000000)</f>
        <v>101080.95955153251</v>
      </c>
      <c r="M45" s="84">
        <f>IF(M9=0,0,M9/TrAvia_act!M27*1000000)</f>
        <v>86993.594970341102</v>
      </c>
      <c r="N45" s="84">
        <f>IF(N9=0,0,N9/TrAvia_act!N27*1000000)</f>
        <v>81347.433216921825</v>
      </c>
      <c r="O45" s="84">
        <f>IF(O9=0,0,O9/TrAvia_act!O27*1000000)</f>
        <v>86611.215647010176</v>
      </c>
      <c r="P45" s="84">
        <f>IF(P9=0,0,P9/TrAvia_act!P27*1000000)</f>
        <v>83424.352315374068</v>
      </c>
      <c r="Q45" s="84">
        <f>IF(Q9=0,0,Q9/TrAvia_act!Q27*1000000)</f>
        <v>80511.291958094604</v>
      </c>
      <c r="R45" s="84">
        <f>IF(R9=0,0,R9/TrAvia_act!R27*1000000)</f>
        <v>76182.278626509942</v>
      </c>
      <c r="S45" s="84">
        <f>IF(S9=0,0,S9/TrAvia_act!S27*1000000)</f>
        <v>73779.853888800979</v>
      </c>
      <c r="T45" s="84">
        <f>IF(T9=0,0,T9/TrAvia_act!T27*1000000)</f>
        <v>69510.678610414805</v>
      </c>
      <c r="U45" s="84">
        <f>IF(U9=0,0,U9/TrAvia_act!U27*1000000)</f>
        <v>73976.443061546292</v>
      </c>
      <c r="V45" s="84">
        <f>IF(V9=0,0,V9/TrAvia_act!V27*1000000)</f>
        <v>114953.11411115105</v>
      </c>
      <c r="W45" s="84">
        <f>IF(W9=0,0,W9/TrAvia_act!W27*1000000)</f>
        <v>115347.22157892621</v>
      </c>
      <c r="X45" s="84">
        <f>IF(X9=0,0,X9/TrAvia_act!X27*1000000)</f>
        <v>75770.412548873413</v>
      </c>
      <c r="Y45" s="84">
        <f>IF(Y9=0,0,Y9/TrAvia_act!Y27*1000000)</f>
        <v>71965.759933992755</v>
      </c>
      <c r="DA45" s="171" t="s">
        <v>356</v>
      </c>
    </row>
    <row r="46" spans="1:105" ht="11.45" customHeight="1" x14ac:dyDescent="0.25">
      <c r="A46" s="12" t="s">
        <v>34</v>
      </c>
      <c r="B46" s="13">
        <f>IF(B10=0,0,B10/TrAvia_act!B28*1000000)</f>
        <v>18801.434517601709</v>
      </c>
      <c r="C46" s="13">
        <f>IF(C10=0,0,C10/TrAvia_act!C28*1000000)</f>
        <v>20963.174515457456</v>
      </c>
      <c r="D46" s="13">
        <f>IF(D10=0,0,D10/TrAvia_act!D28*1000000)</f>
        <v>26247.722081355205</v>
      </c>
      <c r="E46" s="13">
        <f>IF(E10=0,0,E10/TrAvia_act!E28*1000000)</f>
        <v>28472.045309124951</v>
      </c>
      <c r="F46" s="13">
        <f>IF(F10=0,0,F10/TrAvia_act!F28*1000000)</f>
        <v>28915.109425426785</v>
      </c>
      <c r="G46" s="13">
        <f>IF(G10=0,0,G10/TrAvia_act!G28*1000000)</f>
        <v>21446.482333121461</v>
      </c>
      <c r="H46" s="13">
        <f>IF(H10=0,0,H10/TrAvia_act!H28*1000000)</f>
        <v>19213.316847183723</v>
      </c>
      <c r="I46" s="13">
        <f>IF(I10=0,0,I10/TrAvia_act!I28*1000000)</f>
        <v>20616.229338245172</v>
      </c>
      <c r="J46" s="13">
        <f>IF(J10=0,0,J10/TrAvia_act!J28*1000000)</f>
        <v>20127.607772556563</v>
      </c>
      <c r="K46" s="13">
        <f>IF(K10=0,0,K10/TrAvia_act!K28*1000000)</f>
        <v>13685.750464025998</v>
      </c>
      <c r="L46" s="13">
        <f>IF(L10=0,0,L10/TrAvia_act!L28*1000000)</f>
        <v>20416.226960672615</v>
      </c>
      <c r="M46" s="13">
        <f>IF(M10=0,0,M10/TrAvia_act!M28*1000000)</f>
        <v>17960.917931337477</v>
      </c>
      <c r="N46" s="13">
        <f>IF(N10=0,0,N10/TrAvia_act!N28*1000000)</f>
        <v>19250.988649316107</v>
      </c>
      <c r="O46" s="13">
        <f>IF(O10=0,0,O10/TrAvia_act!O28*1000000)</f>
        <v>21392.301208302786</v>
      </c>
      <c r="P46" s="13">
        <f>IF(P10=0,0,P10/TrAvia_act!P28*1000000)</f>
        <v>23549.661907359779</v>
      </c>
      <c r="Q46" s="13">
        <f>IF(Q10=0,0,Q10/TrAvia_act!Q28*1000000)</f>
        <v>25485.344802723215</v>
      </c>
      <c r="R46" s="13">
        <f>IF(R10=0,0,R10/TrAvia_act!R28*1000000)</f>
        <v>24751.287805387357</v>
      </c>
      <c r="S46" s="13">
        <f>IF(S10=0,0,S10/TrAvia_act!S28*1000000)</f>
        <v>28041.341730406522</v>
      </c>
      <c r="T46" s="13">
        <f>IF(T10=0,0,T10/TrAvia_act!T28*1000000)</f>
        <v>25946.264784693947</v>
      </c>
      <c r="U46" s="13">
        <f>IF(U10=0,0,U10/TrAvia_act!U28*1000000)</f>
        <v>25866.419590343208</v>
      </c>
      <c r="V46" s="13">
        <f>IF(V10=0,0,V10/TrAvia_act!V28*1000000)</f>
        <v>29121.533834110414</v>
      </c>
      <c r="W46" s="13">
        <f>IF(W10=0,0,W10/TrAvia_act!W28*1000000)</f>
        <v>33059.517536770305</v>
      </c>
      <c r="X46" s="13">
        <f>IF(X10=0,0,X10/TrAvia_act!X28*1000000)</f>
        <v>30597.540874324088</v>
      </c>
      <c r="Y46" s="13">
        <f>IF(Y10=0,0,Y10/TrAvia_act!Y28*1000000)</f>
        <v>27463.5629114037</v>
      </c>
      <c r="DA46" s="193" t="s">
        <v>357</v>
      </c>
    </row>
    <row r="47" spans="1:105" ht="11.45" customHeight="1" x14ac:dyDescent="0.25">
      <c r="A47" s="92" t="s">
        <v>27</v>
      </c>
      <c r="B47" s="102">
        <f>IF(B11=0,0,B11/TrAvia_act!B29*1000000)</f>
        <v>6276.2962434710389</v>
      </c>
      <c r="C47" s="102">
        <f>IF(C11=0,0,C11/TrAvia_act!C29*1000000)</f>
        <v>7222.2265664298939</v>
      </c>
      <c r="D47" s="102">
        <f>IF(D11=0,0,D11/TrAvia_act!D29*1000000)</f>
        <v>8123.7130129216021</v>
      </c>
      <c r="E47" s="102">
        <f>IF(E11=0,0,E11/TrAvia_act!E29*1000000)</f>
        <v>7016.4818275916423</v>
      </c>
      <c r="F47" s="102">
        <f>IF(F11=0,0,F11/TrAvia_act!F29*1000000)</f>
        <v>7260.6717369190583</v>
      </c>
      <c r="G47" s="102">
        <f>IF(G11=0,0,G11/TrAvia_act!G29*1000000)</f>
        <v>7241.7930482296752</v>
      </c>
      <c r="H47" s="102">
        <f>IF(H11=0,0,H11/TrAvia_act!H29*1000000)</f>
        <v>9394.7489121516555</v>
      </c>
      <c r="I47" s="102">
        <f>IF(I11=0,0,I11/TrAvia_act!I29*1000000)</f>
        <v>8572.604981385286</v>
      </c>
      <c r="J47" s="102">
        <f>IF(J11=0,0,J11/TrAvia_act!J29*1000000)</f>
        <v>7310.0360299380563</v>
      </c>
      <c r="K47" s="102">
        <f>IF(K11=0,0,K11/TrAvia_act!K29*1000000)</f>
        <v>6848.555948553455</v>
      </c>
      <c r="L47" s="102">
        <f>IF(L11=0,0,L11/TrAvia_act!L29*1000000)</f>
        <v>7622.97785317734</v>
      </c>
      <c r="M47" s="102">
        <f>IF(M11=0,0,M11/TrAvia_act!M29*1000000)</f>
        <v>4781.522244945394</v>
      </c>
      <c r="N47" s="102">
        <f>IF(N11=0,0,N11/TrAvia_act!N29*1000000)</f>
        <v>8110.8831585324951</v>
      </c>
      <c r="O47" s="102">
        <f>IF(O11=0,0,O11/TrAvia_act!O29*1000000)</f>
        <v>8670.9325817792487</v>
      </c>
      <c r="P47" s="102">
        <f>IF(P11=0,0,P11/TrAvia_act!P29*1000000)</f>
        <v>9363.456776187526</v>
      </c>
      <c r="Q47" s="102">
        <f>IF(Q11=0,0,Q11/TrAvia_act!Q29*1000000)</f>
        <v>9493.0979229560344</v>
      </c>
      <c r="R47" s="102">
        <f>IF(R11=0,0,R11/TrAvia_act!R29*1000000)</f>
        <v>4879.8035318315151</v>
      </c>
      <c r="S47" s="102">
        <f>IF(S11=0,0,S11/TrAvia_act!S29*1000000)</f>
        <v>6693.9681706282172</v>
      </c>
      <c r="T47" s="102">
        <f>IF(T11=0,0,T11/TrAvia_act!T29*1000000)</f>
        <v>6411.0560409498476</v>
      </c>
      <c r="U47" s="102">
        <f>IF(U11=0,0,U11/TrAvia_act!U29*1000000)</f>
        <v>7230.6262041757218</v>
      </c>
      <c r="V47" s="102">
        <f>IF(V11=0,0,V11/TrAvia_act!V29*1000000)</f>
        <v>5846.3614318997825</v>
      </c>
      <c r="W47" s="102">
        <f>IF(W11=0,0,W11/TrAvia_act!W29*1000000)</f>
        <v>8585.7314559891984</v>
      </c>
      <c r="X47" s="102">
        <f>IF(X11=0,0,X11/TrAvia_act!X29*1000000)</f>
        <v>17369.089589371186</v>
      </c>
      <c r="Y47" s="102">
        <f>IF(Y11=0,0,Y11/TrAvia_act!Y29*1000000)</f>
        <v>9207.3375832200509</v>
      </c>
      <c r="DA47" s="175" t="s">
        <v>358</v>
      </c>
    </row>
    <row r="48" spans="1:105" ht="11.45" customHeight="1" x14ac:dyDescent="0.25">
      <c r="A48" s="92" t="s">
        <v>181</v>
      </c>
      <c r="B48" s="102">
        <f>IF(B12=0,0,B12/TrAvia_act!B30*1000000)</f>
        <v>11965.11272273852</v>
      </c>
      <c r="C48" s="102">
        <f>IF(C12=0,0,C12/TrAvia_act!C30*1000000)</f>
        <v>13323.779446987846</v>
      </c>
      <c r="D48" s="102">
        <f>IF(D12=0,0,D12/TrAvia_act!D30*1000000)</f>
        <v>14173.576083318898</v>
      </c>
      <c r="E48" s="102">
        <f>IF(E12=0,0,E12/TrAvia_act!E30*1000000)</f>
        <v>14298.164259622761</v>
      </c>
      <c r="F48" s="102">
        <f>IF(F12=0,0,F12/TrAvia_act!F30*1000000)</f>
        <v>13082.277881346106</v>
      </c>
      <c r="G48" s="102">
        <f>IF(G12=0,0,G12/TrAvia_act!G30*1000000)</f>
        <v>13605.189578787862</v>
      </c>
      <c r="H48" s="102">
        <f>IF(H12=0,0,H12/TrAvia_act!H30*1000000)</f>
        <v>13502.431947004739</v>
      </c>
      <c r="I48" s="102">
        <f>IF(I12=0,0,I12/TrAvia_act!I30*1000000)</f>
        <v>15519.034977668287</v>
      </c>
      <c r="J48" s="102">
        <f>IF(J12=0,0,J12/TrAvia_act!J30*1000000)</f>
        <v>14708.629128058366</v>
      </c>
      <c r="K48" s="102">
        <f>IF(K12=0,0,K12/TrAvia_act!K30*1000000)</f>
        <v>10343.454147339331</v>
      </c>
      <c r="L48" s="102">
        <f>IF(L12=0,0,L12/TrAvia_act!L30*1000000)</f>
        <v>15096.439662451203</v>
      </c>
      <c r="M48" s="102">
        <f>IF(M12=0,0,M12/TrAvia_act!M30*1000000)</f>
        <v>13669.433986842016</v>
      </c>
      <c r="N48" s="102">
        <f>IF(N12=0,0,N12/TrAvia_act!N30*1000000)</f>
        <v>11448.975574576545</v>
      </c>
      <c r="O48" s="102">
        <f>IF(O12=0,0,O12/TrAvia_act!O30*1000000)</f>
        <v>11780.585288151626</v>
      </c>
      <c r="P48" s="102">
        <f>IF(P12=0,0,P12/TrAvia_act!P30*1000000)</f>
        <v>14210.894510919919</v>
      </c>
      <c r="Q48" s="102">
        <f>IF(Q12=0,0,Q12/TrAvia_act!Q30*1000000)</f>
        <v>15791.776531471107</v>
      </c>
      <c r="R48" s="102">
        <f>IF(R12=0,0,R12/TrAvia_act!R30*1000000)</f>
        <v>15461.371041555212</v>
      </c>
      <c r="S48" s="102">
        <f>IF(S12=0,0,S12/TrAvia_act!S30*1000000)</f>
        <v>16974.442724296718</v>
      </c>
      <c r="T48" s="102">
        <f>IF(T12=0,0,T12/TrAvia_act!T30*1000000)</f>
        <v>17914.576505003286</v>
      </c>
      <c r="U48" s="102">
        <f>IF(U12=0,0,U12/TrAvia_act!U30*1000000)</f>
        <v>17083.150268233505</v>
      </c>
      <c r="V48" s="102">
        <f>IF(V12=0,0,V12/TrAvia_act!V30*1000000)</f>
        <v>11692.530328933863</v>
      </c>
      <c r="W48" s="102">
        <f>IF(W12=0,0,W12/TrAvia_act!W30*1000000)</f>
        <v>14628.642655553109</v>
      </c>
      <c r="X48" s="102">
        <f>IF(X12=0,0,X12/TrAvia_act!X30*1000000)</f>
        <v>15894.741698408661</v>
      </c>
      <c r="Y48" s="102">
        <f>IF(Y12=0,0,Y12/TrAvia_act!Y30*1000000)</f>
        <v>16159.281787992193</v>
      </c>
      <c r="DA48" s="175" t="s">
        <v>359</v>
      </c>
    </row>
    <row r="49" spans="1:105" ht="11.45" customHeight="1" x14ac:dyDescent="0.25">
      <c r="A49" s="85" t="s">
        <v>182</v>
      </c>
      <c r="B49" s="86">
        <f>IF(B13=0,0,B13/TrAvia_act!B31*1000000)</f>
        <v>152201.43018930979</v>
      </c>
      <c r="C49" s="86">
        <f>IF(C13=0,0,C13/TrAvia_act!C31*1000000)</f>
        <v>169460.31845388681</v>
      </c>
      <c r="D49" s="86">
        <f>IF(D13=0,0,D13/TrAvia_act!D31*1000000)</f>
        <v>180217.67916662816</v>
      </c>
      <c r="E49" s="86">
        <f>IF(E13=0,0,E13/TrAvia_act!E31*1000000)</f>
        <v>181798.29233704205</v>
      </c>
      <c r="F49" s="86">
        <f>IF(F13=0,0,F13/TrAvia_act!F31*1000000)</f>
        <v>166795.00788008404</v>
      </c>
      <c r="G49" s="86">
        <f>IF(G13=0,0,G13/TrAvia_act!G31*1000000)</f>
        <v>139587.86836570801</v>
      </c>
      <c r="H49" s="86">
        <f>IF(H13=0,0,H13/TrAvia_act!H31*1000000)</f>
        <v>103367.95395329368</v>
      </c>
      <c r="I49" s="86">
        <f>IF(I13=0,0,I13/TrAvia_act!I31*1000000)</f>
        <v>88957.056646036217</v>
      </c>
      <c r="J49" s="86">
        <f>IF(J13=0,0,J13/TrAvia_act!J31*1000000)</f>
        <v>86035.098248384937</v>
      </c>
      <c r="K49" s="86">
        <f>IF(K13=0,0,K13/TrAvia_act!K31*1000000)</f>
        <v>62382.607677772532</v>
      </c>
      <c r="L49" s="86">
        <f>IF(L13=0,0,L13/TrAvia_act!L31*1000000)</f>
        <v>78343.827405773642</v>
      </c>
      <c r="M49" s="86">
        <f>IF(M13=0,0,M13/TrAvia_act!M31*1000000)</f>
        <v>72890.510923339709</v>
      </c>
      <c r="N49" s="86">
        <f>IF(N13=0,0,N13/TrAvia_act!N31*1000000)</f>
        <v>73389.222732323789</v>
      </c>
      <c r="O49" s="86">
        <f>IF(O13=0,0,O13/TrAvia_act!O31*1000000)</f>
        <v>78882.358865132119</v>
      </c>
      <c r="P49" s="86">
        <f>IF(P13=0,0,P13/TrAvia_act!P31*1000000)</f>
        <v>76904.737992005088</v>
      </c>
      <c r="Q49" s="86">
        <f>IF(Q13=0,0,Q13/TrAvia_act!Q31*1000000)</f>
        <v>75006.506217204747</v>
      </c>
      <c r="R49" s="86">
        <f>IF(R13=0,0,R13/TrAvia_act!R31*1000000)</f>
        <v>71771.840935654793</v>
      </c>
      <c r="S49" s="86">
        <f>IF(S13=0,0,S13/TrAvia_act!S31*1000000)</f>
        <v>70231.052861090662</v>
      </c>
      <c r="T49" s="86">
        <f>IF(T13=0,0,T13/TrAvia_act!T31*1000000)</f>
        <v>66804.442441219886</v>
      </c>
      <c r="U49" s="86">
        <f>IF(U13=0,0,U13/TrAvia_act!U31*1000000)</f>
        <v>72671.766415826074</v>
      </c>
      <c r="V49" s="86">
        <f>IF(V13=0,0,V13/TrAvia_act!V31*1000000)</f>
        <v>113684.23794178154</v>
      </c>
      <c r="W49" s="86">
        <f>IF(W13=0,0,W13/TrAvia_act!W31*1000000)</f>
        <v>119548.53399754305</v>
      </c>
      <c r="X49" s="86">
        <f>IF(X13=0,0,X13/TrAvia_act!X31*1000000)</f>
        <v>77679.718462185541</v>
      </c>
      <c r="Y49" s="86">
        <f>IF(Y13=0,0,Y13/TrAvia_act!Y31*1000000)</f>
        <v>71842.151473835649</v>
      </c>
      <c r="DA49" s="178" t="s">
        <v>360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DA50" s="181"/>
    </row>
    <row r="51" spans="1:105" ht="11.45" customHeight="1" x14ac:dyDescent="0.25">
      <c r="A51" s="53" t="s">
        <v>41</v>
      </c>
      <c r="B51" s="76">
        <f t="shared" ref="B51:C51" si="33">IF(B3=0,0,B3/B$3)</f>
        <v>1</v>
      </c>
      <c r="C51" s="76">
        <f t="shared" si="33"/>
        <v>1</v>
      </c>
      <c r="D51" s="76">
        <f t="shared" ref="D51:V51" si="34">IF(D3=0,0,D3/D$3)</f>
        <v>1</v>
      </c>
      <c r="E51" s="76">
        <f t="shared" si="34"/>
        <v>1</v>
      </c>
      <c r="F51" s="76">
        <f t="shared" si="34"/>
        <v>1</v>
      </c>
      <c r="G51" s="76">
        <f t="shared" si="34"/>
        <v>1</v>
      </c>
      <c r="H51" s="76">
        <f t="shared" si="34"/>
        <v>1</v>
      </c>
      <c r="I51" s="76">
        <f t="shared" si="34"/>
        <v>1</v>
      </c>
      <c r="J51" s="76">
        <f t="shared" si="34"/>
        <v>1</v>
      </c>
      <c r="K51" s="76">
        <f t="shared" si="34"/>
        <v>1</v>
      </c>
      <c r="L51" s="76">
        <f t="shared" si="34"/>
        <v>1</v>
      </c>
      <c r="M51" s="76">
        <f t="shared" si="34"/>
        <v>1</v>
      </c>
      <c r="N51" s="76">
        <f t="shared" si="34"/>
        <v>1</v>
      </c>
      <c r="O51" s="76">
        <f t="shared" si="34"/>
        <v>1</v>
      </c>
      <c r="P51" s="76">
        <f t="shared" si="34"/>
        <v>1</v>
      </c>
      <c r="Q51" s="76">
        <f t="shared" si="34"/>
        <v>1</v>
      </c>
      <c r="R51" s="76">
        <f t="shared" si="34"/>
        <v>1</v>
      </c>
      <c r="S51" s="76">
        <f t="shared" si="34"/>
        <v>1</v>
      </c>
      <c r="T51" s="76">
        <f t="shared" si="34"/>
        <v>1</v>
      </c>
      <c r="U51" s="76">
        <f t="shared" si="34"/>
        <v>1</v>
      </c>
      <c r="V51" s="76">
        <f t="shared" si="34"/>
        <v>1</v>
      </c>
      <c r="W51" s="76">
        <f t="shared" ref="W51:Y51" si="35">IF(W3=0,0,W3/W$3)</f>
        <v>1</v>
      </c>
      <c r="X51" s="76">
        <f t="shared" si="35"/>
        <v>1</v>
      </c>
      <c r="Y51" s="76">
        <f t="shared" si="35"/>
        <v>1</v>
      </c>
      <c r="DA51" s="183"/>
    </row>
    <row r="52" spans="1:105" ht="11.45" customHeight="1" x14ac:dyDescent="0.25">
      <c r="A52" s="10" t="s">
        <v>33</v>
      </c>
      <c r="B52" s="16">
        <f t="shared" ref="B52:C52" si="36">IF(B6=0,0,B6/B$3)</f>
        <v>0.98150678151343451</v>
      </c>
      <c r="C52" s="16">
        <f t="shared" si="36"/>
        <v>0.98322266622676269</v>
      </c>
      <c r="D52" s="16">
        <f t="shared" ref="D52:V52" si="37">IF(D6=0,0,D6/D$3)</f>
        <v>0.98502981090460118</v>
      </c>
      <c r="E52" s="16">
        <f t="shared" si="37"/>
        <v>0.9834147336158845</v>
      </c>
      <c r="F52" s="16">
        <f t="shared" si="37"/>
        <v>0.97457930849833174</v>
      </c>
      <c r="G52" s="16">
        <f t="shared" si="37"/>
        <v>0.97515017227836376</v>
      </c>
      <c r="H52" s="16">
        <f t="shared" si="37"/>
        <v>0.96869603085116929</v>
      </c>
      <c r="I52" s="16">
        <f t="shared" si="37"/>
        <v>0.97459179552122788</v>
      </c>
      <c r="J52" s="16">
        <f t="shared" si="37"/>
        <v>0.97566991778806045</v>
      </c>
      <c r="K52" s="16">
        <f t="shared" si="37"/>
        <v>0.97493208099497441</v>
      </c>
      <c r="L52" s="16">
        <f t="shared" si="37"/>
        <v>0.97072326154800725</v>
      </c>
      <c r="M52" s="16">
        <f t="shared" si="37"/>
        <v>0.97497565639184791</v>
      </c>
      <c r="N52" s="16">
        <f t="shared" si="37"/>
        <v>0.96959701592116032</v>
      </c>
      <c r="O52" s="16">
        <f t="shared" si="37"/>
        <v>0.97056149434505301</v>
      </c>
      <c r="P52" s="16">
        <f t="shared" si="37"/>
        <v>0.97323144571332731</v>
      </c>
      <c r="Q52" s="16">
        <f t="shared" si="37"/>
        <v>0.97308653917271204</v>
      </c>
      <c r="R52" s="16">
        <f t="shared" si="37"/>
        <v>0.9778948288529713</v>
      </c>
      <c r="S52" s="16">
        <f t="shared" si="37"/>
        <v>0.97591673932668399</v>
      </c>
      <c r="T52" s="16">
        <f t="shared" si="37"/>
        <v>0.97987155393366543</v>
      </c>
      <c r="U52" s="16">
        <f t="shared" si="37"/>
        <v>0.98191233075476414</v>
      </c>
      <c r="V52" s="16">
        <f t="shared" si="37"/>
        <v>0.93182964422802883</v>
      </c>
      <c r="W52" s="16">
        <f t="shared" ref="W52:Y52" si="38">IF(W6=0,0,W6/W$3)</f>
        <v>0.92220529026764653</v>
      </c>
      <c r="X52" s="16">
        <f t="shared" si="38"/>
        <v>0.97296140275619469</v>
      </c>
      <c r="Y52" s="16">
        <f t="shared" si="38"/>
        <v>0.97730415292530315</v>
      </c>
      <c r="DA52" s="190"/>
    </row>
    <row r="53" spans="1:105" ht="11.45" customHeight="1" x14ac:dyDescent="0.25">
      <c r="A53" s="83" t="s">
        <v>27</v>
      </c>
      <c r="B53" s="103">
        <f t="shared" ref="B53:C53" si="39">IF(B7=0,0,B7/B$3)</f>
        <v>4.9686283978446079E-2</v>
      </c>
      <c r="C53" s="103">
        <f t="shared" si="39"/>
        <v>4.9493753630619801E-2</v>
      </c>
      <c r="D53" s="103">
        <f t="shared" ref="D53:V53" si="40">IF(D7=0,0,D7/D$3)</f>
        <v>4.9611619665341736E-2</v>
      </c>
      <c r="E53" s="103">
        <f t="shared" si="40"/>
        <v>4.8307859206749432E-2</v>
      </c>
      <c r="F53" s="103">
        <f t="shared" si="40"/>
        <v>4.8119469964514973E-2</v>
      </c>
      <c r="G53" s="103">
        <f t="shared" si="40"/>
        <v>5.1546946669401107E-2</v>
      </c>
      <c r="H53" s="103">
        <f t="shared" si="40"/>
        <v>6.3530012692269974E-2</v>
      </c>
      <c r="I53" s="103">
        <f t="shared" si="40"/>
        <v>4.8602822984638E-2</v>
      </c>
      <c r="J53" s="103">
        <f t="shared" si="40"/>
        <v>4.1574748877902724E-2</v>
      </c>
      <c r="K53" s="103">
        <f t="shared" si="40"/>
        <v>5.0430957630205372E-2</v>
      </c>
      <c r="L53" s="103">
        <f t="shared" si="40"/>
        <v>3.3829768769392282E-2</v>
      </c>
      <c r="M53" s="103">
        <f t="shared" si="40"/>
        <v>1.0340047263557136E-2</v>
      </c>
      <c r="N53" s="103">
        <f t="shared" si="40"/>
        <v>1.1297122141948798E-2</v>
      </c>
      <c r="O53" s="103">
        <f t="shared" si="40"/>
        <v>1.0455485403404038E-2</v>
      </c>
      <c r="P53" s="103">
        <f t="shared" si="40"/>
        <v>9.5144026295659791E-3</v>
      </c>
      <c r="Q53" s="103">
        <f t="shared" si="40"/>
        <v>8.4761363975052999E-3</v>
      </c>
      <c r="R53" s="103">
        <f t="shared" si="40"/>
        <v>4.2753267968068821E-3</v>
      </c>
      <c r="S53" s="103">
        <f t="shared" si="40"/>
        <v>4.8807530124659352E-3</v>
      </c>
      <c r="T53" s="103">
        <f t="shared" si="40"/>
        <v>4.3406093260168832E-3</v>
      </c>
      <c r="U53" s="103">
        <f t="shared" si="40"/>
        <v>4.8826500758403953E-3</v>
      </c>
      <c r="V53" s="103">
        <f t="shared" si="40"/>
        <v>1.0359564854842594E-2</v>
      </c>
      <c r="W53" s="103">
        <f t="shared" ref="W53:Y53" si="41">IF(W7=0,0,W7/W$3)</f>
        <v>1.2037699862464538E-2</v>
      </c>
      <c r="X53" s="103">
        <f t="shared" si="41"/>
        <v>1.2253012175423253E-2</v>
      </c>
      <c r="Y53" s="103">
        <f t="shared" si="41"/>
        <v>5.9802759941429279E-3</v>
      </c>
      <c r="DA53" s="191"/>
    </row>
    <row r="54" spans="1:105" ht="11.45" customHeight="1" x14ac:dyDescent="0.25">
      <c r="A54" s="83" t="s">
        <v>181</v>
      </c>
      <c r="B54" s="103">
        <f t="shared" ref="B54:C54" si="42">IF(B8=0,0,B8/B$3)</f>
        <v>0.5816206154682052</v>
      </c>
      <c r="C54" s="103">
        <f t="shared" si="42"/>
        <v>0.58527407100779949</v>
      </c>
      <c r="D54" s="103">
        <f t="shared" ref="D54:V54" si="43">IF(D8=0,0,D8/D$3)</f>
        <v>0.59859270982974266</v>
      </c>
      <c r="E54" s="103">
        <f t="shared" si="43"/>
        <v>0.64303823577628394</v>
      </c>
      <c r="F54" s="103">
        <f t="shared" si="43"/>
        <v>0.64239932592987059</v>
      </c>
      <c r="G54" s="103">
        <f t="shared" si="43"/>
        <v>0.64408283417625189</v>
      </c>
      <c r="H54" s="103">
        <f t="shared" si="43"/>
        <v>0.63062330238164921</v>
      </c>
      <c r="I54" s="103">
        <f t="shared" si="43"/>
        <v>0.64970769669286732</v>
      </c>
      <c r="J54" s="103">
        <f t="shared" si="43"/>
        <v>0.65616827309257086</v>
      </c>
      <c r="K54" s="103">
        <f t="shared" si="43"/>
        <v>0.63273539369518272</v>
      </c>
      <c r="L54" s="103">
        <f t="shared" si="43"/>
        <v>0.63018063684076453</v>
      </c>
      <c r="M54" s="103">
        <f t="shared" si="43"/>
        <v>0.64864502622751752</v>
      </c>
      <c r="N54" s="103">
        <f t="shared" si="43"/>
        <v>0.63948477466259823</v>
      </c>
      <c r="O54" s="103">
        <f t="shared" si="43"/>
        <v>0.63973302022552947</v>
      </c>
      <c r="P54" s="103">
        <f t="shared" si="43"/>
        <v>0.64671469915640489</v>
      </c>
      <c r="Q54" s="103">
        <f t="shared" si="43"/>
        <v>0.65209129716954095</v>
      </c>
      <c r="R54" s="103">
        <f t="shared" si="43"/>
        <v>0.67365993196016571</v>
      </c>
      <c r="S54" s="103">
        <f t="shared" si="43"/>
        <v>0.67802355382714474</v>
      </c>
      <c r="T54" s="103">
        <f t="shared" si="43"/>
        <v>0.6815717756792149</v>
      </c>
      <c r="U54" s="103">
        <f t="shared" si="43"/>
        <v>0.67622713377890076</v>
      </c>
      <c r="V54" s="103">
        <f t="shared" si="43"/>
        <v>0.55025806526920273</v>
      </c>
      <c r="W54" s="103">
        <f t="shared" ref="W54:Y54" si="44">IF(W8=0,0,W8/W$3)</f>
        <v>0.56802453051128543</v>
      </c>
      <c r="X54" s="103">
        <f t="shared" si="44"/>
        <v>0.67236483327034768</v>
      </c>
      <c r="Y54" s="103">
        <f t="shared" si="44"/>
        <v>0.67849669437654114</v>
      </c>
      <c r="DA54" s="191"/>
    </row>
    <row r="55" spans="1:105" ht="11.45" customHeight="1" x14ac:dyDescent="0.25">
      <c r="A55" s="83" t="s">
        <v>182</v>
      </c>
      <c r="B55" s="103">
        <f t="shared" ref="B55:C55" si="45">IF(B9=0,0,B9/B$3)</f>
        <v>0.35019988206678315</v>
      </c>
      <c r="C55" s="103">
        <f t="shared" si="45"/>
        <v>0.34845484158834344</v>
      </c>
      <c r="D55" s="103">
        <f t="shared" ref="D55:V55" si="46">IF(D9=0,0,D9/D$3)</f>
        <v>0.33682548140951685</v>
      </c>
      <c r="E55" s="103">
        <f t="shared" si="46"/>
        <v>0.29206863863285121</v>
      </c>
      <c r="F55" s="103">
        <f t="shared" si="46"/>
        <v>0.28406051260394616</v>
      </c>
      <c r="G55" s="103">
        <f t="shared" si="46"/>
        <v>0.27952039143271085</v>
      </c>
      <c r="H55" s="103">
        <f t="shared" si="46"/>
        <v>0.27454271577725003</v>
      </c>
      <c r="I55" s="103">
        <f t="shared" si="46"/>
        <v>0.27628127584372258</v>
      </c>
      <c r="J55" s="103">
        <f t="shared" si="46"/>
        <v>0.27792689581758689</v>
      </c>
      <c r="K55" s="103">
        <f t="shared" si="46"/>
        <v>0.29176572966958642</v>
      </c>
      <c r="L55" s="103">
        <f t="shared" si="46"/>
        <v>0.3067128559378503</v>
      </c>
      <c r="M55" s="103">
        <f t="shared" si="46"/>
        <v>0.31599058290077331</v>
      </c>
      <c r="N55" s="103">
        <f t="shared" si="46"/>
        <v>0.31881511911661331</v>
      </c>
      <c r="O55" s="103">
        <f t="shared" si="46"/>
        <v>0.32037298871611952</v>
      </c>
      <c r="P55" s="103">
        <f t="shared" si="46"/>
        <v>0.31700234392735638</v>
      </c>
      <c r="Q55" s="103">
        <f t="shared" si="46"/>
        <v>0.31251910560566581</v>
      </c>
      <c r="R55" s="103">
        <f t="shared" si="46"/>
        <v>0.29995957009599872</v>
      </c>
      <c r="S55" s="103">
        <f t="shared" si="46"/>
        <v>0.29301243248707332</v>
      </c>
      <c r="T55" s="103">
        <f t="shared" si="46"/>
        <v>0.2939591689284336</v>
      </c>
      <c r="U55" s="103">
        <f t="shared" si="46"/>
        <v>0.30080254690002289</v>
      </c>
      <c r="V55" s="103">
        <f t="shared" si="46"/>
        <v>0.37121201410398358</v>
      </c>
      <c r="W55" s="103">
        <f t="shared" ref="W55:Y55" si="47">IF(W9=0,0,W9/W$3)</f>
        <v>0.34214305989389648</v>
      </c>
      <c r="X55" s="103">
        <f t="shared" si="47"/>
        <v>0.28834355731042366</v>
      </c>
      <c r="Y55" s="103">
        <f t="shared" si="47"/>
        <v>0.29282718255461915</v>
      </c>
      <c r="DA55" s="191"/>
    </row>
    <row r="56" spans="1:105" ht="11.45" customHeight="1" x14ac:dyDescent="0.25">
      <c r="A56" s="12" t="s">
        <v>34</v>
      </c>
      <c r="B56" s="17">
        <f t="shared" ref="B56:C56" si="48">IF(B10=0,0,B10/B$3)</f>
        <v>1.8493218486565512E-2</v>
      </c>
      <c r="C56" s="17">
        <f t="shared" si="48"/>
        <v>1.6777333773237261E-2</v>
      </c>
      <c r="D56" s="17">
        <f t="shared" ref="D56:V56" si="49">IF(D10=0,0,D10/D$3)</f>
        <v>1.4970189095398731E-2</v>
      </c>
      <c r="E56" s="17">
        <f t="shared" si="49"/>
        <v>1.6585266384115498E-2</v>
      </c>
      <c r="F56" s="17">
        <f t="shared" si="49"/>
        <v>2.5420691501668233E-2</v>
      </c>
      <c r="G56" s="17">
        <f t="shared" si="49"/>
        <v>2.4849827721636068E-2</v>
      </c>
      <c r="H56" s="17">
        <f t="shared" si="49"/>
        <v>3.1303969148830615E-2</v>
      </c>
      <c r="I56" s="17">
        <f t="shared" si="49"/>
        <v>2.5408204478772102E-2</v>
      </c>
      <c r="J56" s="17">
        <f t="shared" si="49"/>
        <v>2.4330082211939403E-2</v>
      </c>
      <c r="K56" s="17">
        <f t="shared" si="49"/>
        <v>2.506791900502555E-2</v>
      </c>
      <c r="L56" s="17">
        <f t="shared" si="49"/>
        <v>2.9276738451992603E-2</v>
      </c>
      <c r="M56" s="17">
        <f t="shared" si="49"/>
        <v>2.502434360815211E-2</v>
      </c>
      <c r="N56" s="17">
        <f t="shared" si="49"/>
        <v>3.0402984078839745E-2</v>
      </c>
      <c r="O56" s="17">
        <f t="shared" si="49"/>
        <v>2.9438505654946958E-2</v>
      </c>
      <c r="P56" s="17">
        <f t="shared" si="49"/>
        <v>2.6768554286672755E-2</v>
      </c>
      <c r="Q56" s="17">
        <f t="shared" si="49"/>
        <v>2.6913460827288006E-2</v>
      </c>
      <c r="R56" s="17">
        <f t="shared" si="49"/>
        <v>2.2105171147028809E-2</v>
      </c>
      <c r="S56" s="17">
        <f t="shared" si="49"/>
        <v>2.4083260673315846E-2</v>
      </c>
      <c r="T56" s="17">
        <f t="shared" si="49"/>
        <v>2.0128446066334581E-2</v>
      </c>
      <c r="U56" s="17">
        <f t="shared" si="49"/>
        <v>1.8087669245235923E-2</v>
      </c>
      <c r="V56" s="17">
        <f t="shared" si="49"/>
        <v>6.8170355771971169E-2</v>
      </c>
      <c r="W56" s="17">
        <f t="shared" ref="W56:Y56" si="50">IF(W10=0,0,W10/W$3)</f>
        <v>7.7794709732353515E-2</v>
      </c>
      <c r="X56" s="17">
        <f t="shared" si="50"/>
        <v>2.7038597243805244E-2</v>
      </c>
      <c r="Y56" s="17">
        <f t="shared" si="50"/>
        <v>2.2695847074696823E-2</v>
      </c>
      <c r="DA56" s="194"/>
    </row>
    <row r="57" spans="1:105" ht="11.45" customHeight="1" x14ac:dyDescent="0.25">
      <c r="A57" s="92" t="s">
        <v>27</v>
      </c>
      <c r="B57" s="104">
        <f t="shared" ref="B57:C57" si="51">IF(B11=0,0,B11/B$3)</f>
        <v>2.1284187945026247E-3</v>
      </c>
      <c r="C57" s="104">
        <f t="shared" si="51"/>
        <v>2.0176496028288921E-3</v>
      </c>
      <c r="D57" s="104">
        <f t="shared" ref="D57:V57" si="52">IF(D11=0,0,D11/D$3)</f>
        <v>1.5500365809083256E-3</v>
      </c>
      <c r="E57" s="104">
        <f t="shared" si="52"/>
        <v>1.3366486676737047E-3</v>
      </c>
      <c r="F57" s="104">
        <f t="shared" si="52"/>
        <v>2.851038639597661E-3</v>
      </c>
      <c r="G57" s="104">
        <f t="shared" si="52"/>
        <v>3.3703594153438056E-3</v>
      </c>
      <c r="H57" s="104">
        <f t="shared" si="52"/>
        <v>5.8605880022745346E-3</v>
      </c>
      <c r="I57" s="104">
        <f t="shared" si="52"/>
        <v>3.5951013596121316E-3</v>
      </c>
      <c r="J57" s="104">
        <f t="shared" si="52"/>
        <v>2.6491500746722097E-3</v>
      </c>
      <c r="K57" s="104">
        <f t="shared" si="52"/>
        <v>3.775414966634528E-3</v>
      </c>
      <c r="L57" s="104">
        <f t="shared" si="52"/>
        <v>3.0893524082947969E-3</v>
      </c>
      <c r="M57" s="104">
        <f t="shared" si="52"/>
        <v>1.5964186598405072E-3</v>
      </c>
      <c r="N57" s="104">
        <f t="shared" si="52"/>
        <v>2.924349523424739E-3</v>
      </c>
      <c r="O57" s="104">
        <f t="shared" si="52"/>
        <v>2.4290114850216695E-3</v>
      </c>
      <c r="P57" s="104">
        <f t="shared" si="52"/>
        <v>1.6508319669409719E-3</v>
      </c>
      <c r="Q57" s="104">
        <f t="shared" si="52"/>
        <v>1.4114033668635824E-3</v>
      </c>
      <c r="R57" s="104">
        <f t="shared" si="52"/>
        <v>5.3661237587216326E-4</v>
      </c>
      <c r="S57" s="104">
        <f t="shared" si="52"/>
        <v>7.5508666549934614E-4</v>
      </c>
      <c r="T57" s="104">
        <f t="shared" si="52"/>
        <v>6.6969958822739556E-4</v>
      </c>
      <c r="U57" s="104">
        <f t="shared" si="52"/>
        <v>4.4537381882619217E-4</v>
      </c>
      <c r="V57" s="104">
        <f t="shared" si="52"/>
        <v>1.0182666556874183E-3</v>
      </c>
      <c r="W57" s="104">
        <f t="shared" ref="W57:Y57" si="53">IF(W11=0,0,W11/W$3)</f>
        <v>2.3697665862973975E-3</v>
      </c>
      <c r="X57" s="104">
        <f t="shared" si="53"/>
        <v>1.1048423036398225E-3</v>
      </c>
      <c r="Y57" s="104">
        <f t="shared" si="53"/>
        <v>6.3075074950351526E-4</v>
      </c>
      <c r="DA57" s="195"/>
    </row>
    <row r="58" spans="1:105" ht="11.45" customHeight="1" x14ac:dyDescent="0.25">
      <c r="A58" s="92" t="s">
        <v>181</v>
      </c>
      <c r="B58" s="104">
        <f t="shared" ref="B58:C58" si="54">IF(B12=0,0,B12/B$3)</f>
        <v>6.9730334811204707E-3</v>
      </c>
      <c r="C58" s="104">
        <f t="shared" si="54"/>
        <v>6.2739310653104905E-3</v>
      </c>
      <c r="D58" s="104">
        <f t="shared" ref="D58:V58" si="55">IF(D12=0,0,D12/D$3)</f>
        <v>4.6930575071075726E-3</v>
      </c>
      <c r="E58" s="104">
        <f t="shared" si="55"/>
        <v>4.7818145000607121E-3</v>
      </c>
      <c r="F58" s="104">
        <f t="shared" si="55"/>
        <v>4.9850535379080997E-3</v>
      </c>
      <c r="G58" s="104">
        <f t="shared" si="55"/>
        <v>8.1312840533655315E-3</v>
      </c>
      <c r="H58" s="104">
        <f t="shared" si="55"/>
        <v>1.1793237405865855E-2</v>
      </c>
      <c r="I58" s="104">
        <f t="shared" si="55"/>
        <v>1.0674878205967487E-2</v>
      </c>
      <c r="J58" s="104">
        <f t="shared" si="55"/>
        <v>1.0545561628651166E-2</v>
      </c>
      <c r="K58" s="104">
        <f t="shared" si="55"/>
        <v>1.1644072934306993E-2</v>
      </c>
      <c r="L58" s="104">
        <f t="shared" si="55"/>
        <v>1.2986309559422309E-2</v>
      </c>
      <c r="M58" s="104">
        <f t="shared" si="55"/>
        <v>1.2416255266941224E-2</v>
      </c>
      <c r="N58" s="104">
        <f t="shared" si="55"/>
        <v>1.1453431957277429E-2</v>
      </c>
      <c r="O58" s="104">
        <f t="shared" si="55"/>
        <v>1.0436349887990696E-2</v>
      </c>
      <c r="P58" s="104">
        <f t="shared" si="55"/>
        <v>1.1047960793488869E-2</v>
      </c>
      <c r="Q58" s="104">
        <f t="shared" si="55"/>
        <v>1.1349074252367655E-2</v>
      </c>
      <c r="R58" s="104">
        <f t="shared" si="55"/>
        <v>9.5106325493981222E-3</v>
      </c>
      <c r="S58" s="104">
        <f t="shared" si="55"/>
        <v>9.2646689271634695E-3</v>
      </c>
      <c r="T58" s="104">
        <f t="shared" si="55"/>
        <v>9.3028630870070524E-3</v>
      </c>
      <c r="U58" s="104">
        <f t="shared" si="55"/>
        <v>8.8195386457769389E-3</v>
      </c>
      <c r="V58" s="104">
        <f t="shared" si="55"/>
        <v>2.0540390099159561E-2</v>
      </c>
      <c r="W58" s="104">
        <f t="shared" ref="W58:Y58" si="56">IF(W12=0,0,W12/W$3)</f>
        <v>2.4106386938850779E-2</v>
      </c>
      <c r="X58" s="104">
        <f t="shared" si="56"/>
        <v>9.7165410399992404E-3</v>
      </c>
      <c r="Y58" s="104">
        <f t="shared" si="56"/>
        <v>9.3977825792665448E-3</v>
      </c>
      <c r="DA58" s="195"/>
    </row>
    <row r="59" spans="1:105" ht="11.45" customHeight="1" x14ac:dyDescent="0.25">
      <c r="A59" s="85" t="s">
        <v>182</v>
      </c>
      <c r="B59" s="105">
        <f t="shared" ref="B59:C59" si="57">IF(B13=0,0,B13/B$3)</f>
        <v>9.3917662109424191E-3</v>
      </c>
      <c r="C59" s="105">
        <f t="shared" si="57"/>
        <v>8.4857531050978787E-3</v>
      </c>
      <c r="D59" s="105">
        <f t="shared" ref="D59:V59" si="58">IF(D13=0,0,D13/D$3)</f>
        <v>8.7270950073828311E-3</v>
      </c>
      <c r="E59" s="105">
        <f t="shared" si="58"/>
        <v>1.046680321638108E-2</v>
      </c>
      <c r="F59" s="105">
        <f t="shared" si="58"/>
        <v>1.7584599324162474E-2</v>
      </c>
      <c r="G59" s="105">
        <f t="shared" si="58"/>
        <v>1.3348184252926731E-2</v>
      </c>
      <c r="H59" s="105">
        <f t="shared" si="58"/>
        <v>1.3650143740690224E-2</v>
      </c>
      <c r="I59" s="105">
        <f t="shared" si="58"/>
        <v>1.1138224913192482E-2</v>
      </c>
      <c r="J59" s="105">
        <f t="shared" si="58"/>
        <v>1.1135370508616026E-2</v>
      </c>
      <c r="K59" s="105">
        <f t="shared" si="58"/>
        <v>9.6484311040840286E-3</v>
      </c>
      <c r="L59" s="105">
        <f t="shared" si="58"/>
        <v>1.3201076484275496E-2</v>
      </c>
      <c r="M59" s="105">
        <f t="shared" si="58"/>
        <v>1.1011669681370378E-2</v>
      </c>
      <c r="N59" s="105">
        <f t="shared" si="58"/>
        <v>1.6025202598137576E-2</v>
      </c>
      <c r="O59" s="105">
        <f t="shared" si="58"/>
        <v>1.6573144281934592E-2</v>
      </c>
      <c r="P59" s="105">
        <f t="shared" si="58"/>
        <v>1.4069761526242914E-2</v>
      </c>
      <c r="Q59" s="105">
        <f t="shared" si="58"/>
        <v>1.4152983208056769E-2</v>
      </c>
      <c r="R59" s="105">
        <f t="shared" si="58"/>
        <v>1.2057926221758523E-2</v>
      </c>
      <c r="S59" s="105">
        <f t="shared" si="58"/>
        <v>1.4063505080653033E-2</v>
      </c>
      <c r="T59" s="105">
        <f t="shared" si="58"/>
        <v>1.0155883391100136E-2</v>
      </c>
      <c r="U59" s="105">
        <f t="shared" si="58"/>
        <v>8.8227567806327904E-3</v>
      </c>
      <c r="V59" s="105">
        <f t="shared" si="58"/>
        <v>4.661169901712419E-2</v>
      </c>
      <c r="W59" s="105">
        <f t="shared" ref="W59:Y59" si="59">IF(W13=0,0,W13/W$3)</f>
        <v>5.1318556207205338E-2</v>
      </c>
      <c r="X59" s="105">
        <f t="shared" si="59"/>
        <v>1.6217213900166179E-2</v>
      </c>
      <c r="Y59" s="105">
        <f t="shared" si="59"/>
        <v>1.2667313745926763E-2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13294073</v>
      </c>
      <c r="C4" s="11">
        <f t="shared" si="0"/>
        <v>14134640</v>
      </c>
      <c r="D4" s="11">
        <f t="shared" ref="D4" si="1">SUM(D5:D7)</f>
        <v>14061931</v>
      </c>
      <c r="E4" s="11">
        <f t="shared" ref="E4" si="2">SUM(E5:E7)</f>
        <v>14304879</v>
      </c>
      <c r="F4" s="11">
        <f t="shared" ref="F4" si="3">SUM(F5:F7)</f>
        <v>15081692</v>
      </c>
      <c r="G4" s="11">
        <f t="shared" ref="G4" si="4">SUM(G5:G7)</f>
        <v>17729961</v>
      </c>
      <c r="H4" s="11">
        <f t="shared" ref="H4" si="5">SUM(H5:H7)</f>
        <v>19805814</v>
      </c>
      <c r="I4" s="11">
        <f t="shared" ref="I4" si="6">SUM(I5:I7)</f>
        <v>21110584</v>
      </c>
      <c r="J4" s="11">
        <f t="shared" ref="J4" si="7">SUM(J5:J7)</f>
        <v>21758301</v>
      </c>
      <c r="K4" s="11">
        <f t="shared" ref="K4" si="8">SUM(K5:K7)</f>
        <v>18741014</v>
      </c>
      <c r="L4" s="11">
        <f t="shared" ref="L4" si="9">SUM(L5:L7)</f>
        <v>16244292</v>
      </c>
      <c r="M4" s="11">
        <f t="shared" ref="M4" si="10">SUM(M5:M7)</f>
        <v>15660884</v>
      </c>
      <c r="N4" s="11">
        <f t="shared" ref="N4" si="11">SUM(N5:N7)</f>
        <v>15769720</v>
      </c>
      <c r="O4" s="11">
        <f t="shared" ref="O4" si="12">SUM(O5:O7)</f>
        <v>16164599</v>
      </c>
      <c r="P4" s="11">
        <f t="shared" ref="P4" si="13">SUM(P5:P7)</f>
        <v>17005505</v>
      </c>
      <c r="Q4" s="11">
        <f t="shared" ref="Q4" si="14">SUM(Q5:Q7)</f>
        <v>18355313</v>
      </c>
      <c r="R4" s="11">
        <f t="shared" ref="R4" si="15">SUM(R5:R7)</f>
        <v>20020703</v>
      </c>
      <c r="S4" s="11">
        <f t="shared" ref="S4" si="16">SUM(S5:S7)</f>
        <v>20771117</v>
      </c>
      <c r="T4" s="11">
        <f t="shared" ref="T4" si="17">SUM(T5:T7)</f>
        <v>22075633</v>
      </c>
      <c r="U4" s="11">
        <f t="shared" ref="U4" si="18">SUM(U5:U7)</f>
        <v>22872754</v>
      </c>
      <c r="V4" s="11">
        <f t="shared" ref="V4:W4" si="19">SUM(V5:V7)</f>
        <v>7677951</v>
      </c>
      <c r="W4" s="11">
        <f t="shared" si="19"/>
        <v>7668219</v>
      </c>
      <c r="X4" s="11">
        <f t="shared" ref="X4:Y4" si="20">SUM(X5:X7)</f>
        <v>21713711</v>
      </c>
      <c r="Y4" s="11">
        <f t="shared" si="20"/>
        <v>25057256</v>
      </c>
      <c r="DA4" s="189" t="s">
        <v>362</v>
      </c>
    </row>
    <row r="5" spans="1:105" ht="11.45" customHeight="1" x14ac:dyDescent="0.25">
      <c r="A5" s="83" t="s">
        <v>27</v>
      </c>
      <c r="B5" s="84">
        <v>1670309</v>
      </c>
      <c r="C5" s="84">
        <v>1723010</v>
      </c>
      <c r="D5" s="84">
        <v>1608692</v>
      </c>
      <c r="E5" s="84">
        <v>1748405</v>
      </c>
      <c r="F5" s="84">
        <v>1631538</v>
      </c>
      <c r="G5" s="84">
        <v>2000550</v>
      </c>
      <c r="H5" s="84">
        <v>2088785</v>
      </c>
      <c r="I5" s="84">
        <v>1974073</v>
      </c>
      <c r="J5" s="84">
        <v>1817578</v>
      </c>
      <c r="K5" s="84">
        <v>1411707</v>
      </c>
      <c r="L5" s="84">
        <v>1055757</v>
      </c>
      <c r="M5" s="84">
        <v>340939</v>
      </c>
      <c r="N5" s="84">
        <v>145491</v>
      </c>
      <c r="O5" s="84">
        <v>139989</v>
      </c>
      <c r="P5" s="84">
        <v>133820</v>
      </c>
      <c r="Q5" s="84">
        <v>156427</v>
      </c>
      <c r="R5" s="84">
        <v>160320</v>
      </c>
      <c r="S5" s="84">
        <v>152097</v>
      </c>
      <c r="T5" s="84">
        <v>180877</v>
      </c>
      <c r="U5" s="84">
        <v>179514</v>
      </c>
      <c r="V5" s="84">
        <v>163186</v>
      </c>
      <c r="W5" s="84">
        <v>216390</v>
      </c>
      <c r="X5" s="84">
        <v>366331</v>
      </c>
      <c r="Y5" s="84">
        <v>385687</v>
      </c>
      <c r="DA5" s="171" t="s">
        <v>363</v>
      </c>
    </row>
    <row r="6" spans="1:105" ht="11.45" customHeight="1" x14ac:dyDescent="0.25">
      <c r="A6" s="83" t="s">
        <v>181</v>
      </c>
      <c r="B6" s="84">
        <v>10279511</v>
      </c>
      <c r="C6" s="84">
        <v>11028666</v>
      </c>
      <c r="D6" s="84">
        <v>11125289</v>
      </c>
      <c r="E6" s="84">
        <v>11414660</v>
      </c>
      <c r="F6" s="84">
        <v>12226419</v>
      </c>
      <c r="G6" s="84">
        <v>14368710</v>
      </c>
      <c r="H6" s="84">
        <v>16197798</v>
      </c>
      <c r="I6" s="84">
        <v>17436119</v>
      </c>
      <c r="J6" s="84">
        <v>18116617</v>
      </c>
      <c r="K6" s="84">
        <v>15711267</v>
      </c>
      <c r="L6" s="84">
        <v>13715653</v>
      </c>
      <c r="M6" s="84">
        <v>13854305</v>
      </c>
      <c r="N6" s="84">
        <v>14045080</v>
      </c>
      <c r="O6" s="84">
        <v>14273158</v>
      </c>
      <c r="P6" s="84">
        <v>14831364</v>
      </c>
      <c r="Q6" s="84">
        <v>15864901</v>
      </c>
      <c r="R6" s="84">
        <v>17322891</v>
      </c>
      <c r="S6" s="84">
        <v>17613180</v>
      </c>
      <c r="T6" s="84">
        <v>18430751</v>
      </c>
      <c r="U6" s="84">
        <v>19277561</v>
      </c>
      <c r="V6" s="84">
        <v>6378511</v>
      </c>
      <c r="W6" s="84">
        <v>6434839</v>
      </c>
      <c r="X6" s="84">
        <v>17879642</v>
      </c>
      <c r="Y6" s="84">
        <v>20802314</v>
      </c>
      <c r="DA6" s="171" t="s">
        <v>364</v>
      </c>
    </row>
    <row r="7" spans="1:105" ht="11.45" customHeight="1" x14ac:dyDescent="0.25">
      <c r="A7" s="85" t="s">
        <v>182</v>
      </c>
      <c r="B7" s="86">
        <v>1344253</v>
      </c>
      <c r="C7" s="86">
        <v>1382964</v>
      </c>
      <c r="D7" s="86">
        <v>1327950</v>
      </c>
      <c r="E7" s="86">
        <v>1141814</v>
      </c>
      <c r="F7" s="86">
        <v>1223735</v>
      </c>
      <c r="G7" s="86">
        <v>1360701</v>
      </c>
      <c r="H7" s="86">
        <v>1519231</v>
      </c>
      <c r="I7" s="86">
        <v>1700392</v>
      </c>
      <c r="J7" s="86">
        <v>1824106</v>
      </c>
      <c r="K7" s="86">
        <v>1618040</v>
      </c>
      <c r="L7" s="86">
        <v>1472882</v>
      </c>
      <c r="M7" s="86">
        <v>1465640</v>
      </c>
      <c r="N7" s="86">
        <v>1579149</v>
      </c>
      <c r="O7" s="86">
        <v>1751452</v>
      </c>
      <c r="P7" s="86">
        <v>2040321</v>
      </c>
      <c r="Q7" s="86">
        <v>2333985</v>
      </c>
      <c r="R7" s="86">
        <v>2537492</v>
      </c>
      <c r="S7" s="86">
        <v>3005840</v>
      </c>
      <c r="T7" s="86">
        <v>3464005</v>
      </c>
      <c r="U7" s="86">
        <v>3415679</v>
      </c>
      <c r="V7" s="86">
        <v>1136254</v>
      </c>
      <c r="W7" s="86">
        <v>1016990</v>
      </c>
      <c r="X7" s="86">
        <v>3467738</v>
      </c>
      <c r="Y7" s="86">
        <v>3869255</v>
      </c>
      <c r="DA7" s="178" t="s">
        <v>365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DA11" s="172"/>
    </row>
    <row r="12" spans="1:105" ht="11.45" customHeight="1" x14ac:dyDescent="0.25">
      <c r="A12" s="10" t="s">
        <v>33</v>
      </c>
      <c r="B12" s="14">
        <f>IF(B4=0,0,B4/TrAvia_act!B24)</f>
        <v>135.88258803086831</v>
      </c>
      <c r="C12" s="14">
        <f>IF(C4=0,0,C4/TrAvia_act!C24)</f>
        <v>136.34920175565523</v>
      </c>
      <c r="D12" s="14">
        <f>IF(D4=0,0,D4/TrAvia_act!D24)</f>
        <v>136.82514862853083</v>
      </c>
      <c r="E12" s="14">
        <f>IF(E4=0,0,E4/TrAvia_act!E24)</f>
        <v>136.69127863087786</v>
      </c>
      <c r="F12" s="14">
        <f>IF(F4=0,0,F4/TrAvia_act!F24)</f>
        <v>144.57281990816631</v>
      </c>
      <c r="G12" s="14">
        <f>IF(G4=0,0,G4/TrAvia_act!G24)</f>
        <v>147.5394313103827</v>
      </c>
      <c r="H12" s="14">
        <f>IF(H4=0,0,H4/TrAvia_act!H24)</f>
        <v>157.05189120608992</v>
      </c>
      <c r="I12" s="14">
        <f>IF(I4=0,0,I4/TrAvia_act!I24)</f>
        <v>157.96842215537498</v>
      </c>
      <c r="J12" s="14">
        <f>IF(J4=0,0,J4/TrAvia_act!J24)</f>
        <v>160.43814980312348</v>
      </c>
      <c r="K12" s="14">
        <f>IF(K4=0,0,K4/TrAvia_act!K24)</f>
        <v>165.11906607929515</v>
      </c>
      <c r="L12" s="14">
        <f>IF(L4=0,0,L4/TrAvia_act!L24)</f>
        <v>159.6380789527993</v>
      </c>
      <c r="M12" s="14">
        <f>IF(M4=0,0,M4/TrAvia_act!M24)</f>
        <v>155.18271088694894</v>
      </c>
      <c r="N12" s="14">
        <f>IF(N4=0,0,N4/TrAvia_act!N24)</f>
        <v>160.7940942553582</v>
      </c>
      <c r="O12" s="14">
        <f>IF(O4=0,0,O4/TrAvia_act!O24)</f>
        <v>162.80352304887751</v>
      </c>
      <c r="P12" s="14">
        <f>IF(P4=0,0,P4/TrAvia_act!P24)</f>
        <v>161.05375559954163</v>
      </c>
      <c r="Q12" s="14">
        <f>IF(Q4=0,0,Q4/TrAvia_act!Q24)</f>
        <v>165.05982698464084</v>
      </c>
      <c r="R12" s="14">
        <f>IF(R4=0,0,R4/TrAvia_act!R24)</f>
        <v>165.70548993966281</v>
      </c>
      <c r="S12" s="14">
        <f>IF(S4=0,0,S4/TrAvia_act!S24)</f>
        <v>167.18811474750078</v>
      </c>
      <c r="T12" s="14">
        <f>IF(T4=0,0,T4/TrAvia_act!T24)</f>
        <v>169.43849347977925</v>
      </c>
      <c r="U12" s="14">
        <f>IF(U4=0,0,U4/TrAvia_act!U24)</f>
        <v>170.86305708693769</v>
      </c>
      <c r="V12" s="14">
        <f>IF(V4=0,0,V4/TrAvia_act!V24)</f>
        <v>172.69733912143772</v>
      </c>
      <c r="W12" s="14">
        <f>IF(W4=0,0,W4/TrAvia_act!W24)</f>
        <v>181.33750325159033</v>
      </c>
      <c r="X12" s="14">
        <f>IF(X4=0,0,X4/TrAvia_act!X24)</f>
        <v>190.50289960607469</v>
      </c>
      <c r="Y12" s="14">
        <f>IF(Y4=0,0,Y4/TrAvia_act!Y24)</f>
        <v>189.00153118565061</v>
      </c>
      <c r="DA12" s="189" t="s">
        <v>366</v>
      </c>
    </row>
    <row r="13" spans="1:105" ht="11.45" customHeight="1" x14ac:dyDescent="0.25">
      <c r="A13" s="83" t="s">
        <v>27</v>
      </c>
      <c r="B13" s="87">
        <f>IF(B5=0,0,B5/TrAvia_act!B25)</f>
        <v>116.39783972125436</v>
      </c>
      <c r="C13" s="87">
        <f>IF(C5=0,0,C5/TrAvia_act!C25)</f>
        <v>115.52195776064364</v>
      </c>
      <c r="D13" s="87">
        <f>IF(D5=0,0,D5/TrAvia_act!D25)</f>
        <v>114.04310222600311</v>
      </c>
      <c r="E13" s="87">
        <f>IF(E5=0,0,E5/TrAvia_act!E25)</f>
        <v>112.45208386930796</v>
      </c>
      <c r="F13" s="87">
        <f>IF(F5=0,0,F5/TrAvia_act!F25)</f>
        <v>115.0347599238525</v>
      </c>
      <c r="G13" s="87">
        <f>IF(G5=0,0,G5/TrAvia_act!G25)</f>
        <v>113.35845421577515</v>
      </c>
      <c r="H13" s="87">
        <f>IF(H5=0,0,H5/TrAvia_act!H25)</f>
        <v>119.85224925407391</v>
      </c>
      <c r="I13" s="87">
        <f>IF(I5=0,0,I5/TrAvia_act!I25)</f>
        <v>114.80505961035185</v>
      </c>
      <c r="J13" s="87">
        <f>IF(J5=0,0,J5/TrAvia_act!J25)</f>
        <v>112.907069201143</v>
      </c>
      <c r="K13" s="87">
        <f>IF(K5=0,0,K5/TrAvia_act!K25)</f>
        <v>109.53654562383613</v>
      </c>
      <c r="L13" s="87">
        <f>IF(L5=0,0,L5/TrAvia_act!L25)</f>
        <v>106.02098815023098</v>
      </c>
      <c r="M13" s="87">
        <f>IF(M5=0,0,M5/TrAvia_act!M25)</f>
        <v>77.768932481751818</v>
      </c>
      <c r="N13" s="87">
        <f>IF(N5=0,0,N5/TrAvia_act!N25)</f>
        <v>61.990200255645505</v>
      </c>
      <c r="O13" s="87">
        <f>IF(O5=0,0,O5/TrAvia_act!O25)</f>
        <v>62.134487350199734</v>
      </c>
      <c r="P13" s="87">
        <f>IF(P5=0,0,P5/TrAvia_act!P25)</f>
        <v>60.79963652885052</v>
      </c>
      <c r="Q13" s="87">
        <f>IF(Q5=0,0,Q5/TrAvia_act!Q25)</f>
        <v>71.29762989972653</v>
      </c>
      <c r="R13" s="87">
        <f>IF(R5=0,0,R5/TrAvia_act!R25)</f>
        <v>72.151215121512152</v>
      </c>
      <c r="S13" s="87">
        <f>IF(S5=0,0,S5/TrAvia_act!S25)</f>
        <v>69.705316223648026</v>
      </c>
      <c r="T13" s="87">
        <f>IF(T5=0,0,T5/TrAvia_act!T25)</f>
        <v>82.291628753412198</v>
      </c>
      <c r="U13" s="87">
        <f>IF(U5=0,0,U5/TrAvia_act!U25)</f>
        <v>80.971583220568334</v>
      </c>
      <c r="V13" s="87">
        <f>IF(V5=0,0,V5/TrAvia_act!V25)</f>
        <v>78.871918801353317</v>
      </c>
      <c r="W13" s="87">
        <f>IF(W5=0,0,W5/TrAvia_act!W25)</f>
        <v>117.47557003257329</v>
      </c>
      <c r="X13" s="87">
        <f>IF(X5=0,0,X5/TrAvia_act!X25)</f>
        <v>173.61658767772511</v>
      </c>
      <c r="Y13" s="87">
        <f>IF(Y5=0,0,Y5/TrAvia_act!Y25)</f>
        <v>176.59661172161171</v>
      </c>
      <c r="DA13" s="171" t="s">
        <v>367</v>
      </c>
    </row>
    <row r="14" spans="1:105" ht="11.45" customHeight="1" x14ac:dyDescent="0.25">
      <c r="A14" s="83" t="s">
        <v>181</v>
      </c>
      <c r="B14" s="87">
        <f>IF(B6=0,0,B6/TrAvia_act!B26)</f>
        <v>131.86975318144499</v>
      </c>
      <c r="C14" s="87">
        <f>IF(C6=0,0,C6/TrAvia_act!C26)</f>
        <v>133.17554007221088</v>
      </c>
      <c r="D14" s="87">
        <f>IF(D6=0,0,D6/TrAvia_act!D26)</f>
        <v>134.1365927176272</v>
      </c>
      <c r="E14" s="87">
        <f>IF(E6=0,0,E6/TrAvia_act!E26)</f>
        <v>135.42128366354254</v>
      </c>
      <c r="F14" s="87">
        <f>IF(F6=0,0,F6/TrAvia_act!F26)</f>
        <v>143.33265729592853</v>
      </c>
      <c r="G14" s="87">
        <f>IF(G6=0,0,G6/TrAvia_act!G26)</f>
        <v>149.12726253736301</v>
      </c>
      <c r="H14" s="87">
        <f>IF(H6=0,0,H6/TrAvia_act!H26)</f>
        <v>160.28219438342339</v>
      </c>
      <c r="I14" s="87">
        <f>IF(I6=0,0,I6/TrAvia_act!I26)</f>
        <v>163.28859066687895</v>
      </c>
      <c r="J14" s="87">
        <f>IF(J6=0,0,J6/TrAvia_act!J26)</f>
        <v>163.41003553839769</v>
      </c>
      <c r="K14" s="87">
        <f>IF(K6=0,0,K6/TrAvia_act!K26)</f>
        <v>168.09606701902297</v>
      </c>
      <c r="L14" s="87">
        <f>IF(L6=0,0,L6/TrAvia_act!L26)</f>
        <v>161.78697980560537</v>
      </c>
      <c r="M14" s="87">
        <f>IF(M6=0,0,M6/TrAvia_act!M26)</f>
        <v>155.90283013559895</v>
      </c>
      <c r="N14" s="87">
        <f>IF(N6=0,0,N6/TrAvia_act!N26)</f>
        <v>158.19916423559096</v>
      </c>
      <c r="O14" s="87">
        <f>IF(O6=0,0,O6/TrAvia_act!O26)</f>
        <v>158.94385300668151</v>
      </c>
      <c r="P14" s="87">
        <f>IF(P6=0,0,P6/TrAvia_act!P26)</f>
        <v>156.43248602468094</v>
      </c>
      <c r="Q14" s="87">
        <f>IF(Q6=0,0,Q6/TrAvia_act!Q26)</f>
        <v>160.06559047571002</v>
      </c>
      <c r="R14" s="87">
        <f>IF(R6=0,0,R6/TrAvia_act!R26)</f>
        <v>159.97202803660642</v>
      </c>
      <c r="S14" s="87">
        <f>IF(S6=0,0,S6/TrAvia_act!S26)</f>
        <v>160.35451888673421</v>
      </c>
      <c r="T14" s="87">
        <f>IF(T6=0,0,T6/TrAvia_act!T26)</f>
        <v>161.61512964635526</v>
      </c>
      <c r="U14" s="87">
        <f>IF(U6=0,0,U6/TrAvia_act!U26)</f>
        <v>163.39131577163005</v>
      </c>
      <c r="V14" s="87">
        <f>IF(V6=0,0,V6/TrAvia_act!V26)</f>
        <v>165.61108658964039</v>
      </c>
      <c r="W14" s="87">
        <f>IF(W6=0,0,W6/TrAvia_act!W26)</f>
        <v>176.50005485764441</v>
      </c>
      <c r="X14" s="87">
        <f>IF(X6=0,0,X6/TrAvia_act!X26)</f>
        <v>178.4306371937528</v>
      </c>
      <c r="Y14" s="87">
        <f>IF(Y6=0,0,Y6/TrAvia_act!Y26)</f>
        <v>178.8430998314935</v>
      </c>
      <c r="DA14" s="171" t="s">
        <v>368</v>
      </c>
    </row>
    <row r="15" spans="1:105" ht="11.45" customHeight="1" x14ac:dyDescent="0.25">
      <c r="A15" s="85" t="s">
        <v>182</v>
      </c>
      <c r="B15" s="88">
        <f>IF(B7=0,0,B7/TrAvia_act!B27)</f>
        <v>242.95192481474788</v>
      </c>
      <c r="C15" s="88">
        <f>IF(C7=0,0,C7/TrAvia_act!C27)</f>
        <v>232.9398686205154</v>
      </c>
      <c r="D15" s="88">
        <f>IF(D7=0,0,D7/TrAvia_act!D27)</f>
        <v>231.8753273965427</v>
      </c>
      <c r="E15" s="88">
        <f>IF(E7=0,0,E7/TrAvia_act!E27)</f>
        <v>237.23540411385829</v>
      </c>
      <c r="F15" s="88">
        <f>IF(F7=0,0,F7/TrAvia_act!F27)</f>
        <v>253.09927611168561</v>
      </c>
      <c r="G15" s="88">
        <f>IF(G7=0,0,G7/TrAvia_act!G27)</f>
        <v>220.49927078269323</v>
      </c>
      <c r="H15" s="88">
        <f>IF(H7=0,0,H7/TrAvia_act!H27)</f>
        <v>199.26954354669465</v>
      </c>
      <c r="I15" s="88">
        <f>IF(I7=0,0,I7/TrAvia_act!I27)</f>
        <v>175.98758021113642</v>
      </c>
      <c r="J15" s="88">
        <f>IF(J7=0,0,J7/TrAvia_act!J27)</f>
        <v>210.78183498960018</v>
      </c>
      <c r="K15" s="88">
        <f>IF(K7=0,0,K7/TrAvia_act!K27)</f>
        <v>226.4259725720683</v>
      </c>
      <c r="L15" s="88">
        <f>IF(L7=0,0,L7/TrAvia_act!L27)</f>
        <v>209.72262565855047</v>
      </c>
      <c r="M15" s="88">
        <f>IF(M7=0,0,M7/TrAvia_act!M27)</f>
        <v>191.08735332464147</v>
      </c>
      <c r="N15" s="88">
        <f>IF(N7=0,0,N7/TrAvia_act!N27)</f>
        <v>227.34653037719551</v>
      </c>
      <c r="O15" s="88">
        <f>IF(O7=0,0,O7/TrAvia_act!O27)</f>
        <v>242.04698728579325</v>
      </c>
      <c r="P15" s="88">
        <f>IF(P7=0,0,P7/TrAvia_act!P27)</f>
        <v>237.85509442760551</v>
      </c>
      <c r="Q15" s="88">
        <f>IF(Q7=0,0,Q7/TrAvia_act!Q27)</f>
        <v>235.87518948964123</v>
      </c>
      <c r="R15" s="88">
        <f>IF(R7=0,0,R7/TrAvia_act!R27)</f>
        <v>246.07176105508145</v>
      </c>
      <c r="S15" s="88">
        <f>IF(S7=0,0,S7/TrAvia_act!S27)</f>
        <v>246.03748874519113</v>
      </c>
      <c r="T15" s="88">
        <f>IF(T7=0,0,T7/TrAvia_act!T27)</f>
        <v>246.58349943052391</v>
      </c>
      <c r="U15" s="88">
        <f>IF(U7=0,0,U7/TrAvia_act!U27)</f>
        <v>249.95821441639225</v>
      </c>
      <c r="V15" s="88">
        <f>IF(V7=0,0,V7/TrAvia_act!V27)</f>
        <v>293.22683870967739</v>
      </c>
      <c r="W15" s="88">
        <f>IF(W7=0,0,W7/TrAvia_act!W27)</f>
        <v>255.07649862051667</v>
      </c>
      <c r="X15" s="88">
        <f>IF(X7=0,0,X7/TrAvia_act!X27)</f>
        <v>297.2516715240871</v>
      </c>
      <c r="Y15" s="88">
        <f>IF(Y7=0,0,Y7/TrAvia_act!Y27)</f>
        <v>274.86360730269234</v>
      </c>
      <c r="DA15" s="178" t="s">
        <v>369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0.72443042850750106</v>
      </c>
      <c r="C18" s="25">
        <f>IF(TrAvia_act!C34=0,0,(TrAvia_act!C34/TrAvia_act!C24)/TrAvia_png!C12)</f>
        <v>0.72460741837075437</v>
      </c>
      <c r="D18" s="25">
        <f>IF(TrAvia_act!D34=0,0,(TrAvia_act!D34/TrAvia_act!D24)/TrAvia_png!D12)</f>
        <v>0.72578673583308018</v>
      </c>
      <c r="E18" s="25">
        <f>IF(TrAvia_act!E34=0,0,(TrAvia_act!E34/TrAvia_act!E24)/TrAvia_png!E12)</f>
        <v>0.72078883016067452</v>
      </c>
      <c r="F18" s="25">
        <f>IF(TrAvia_act!F34=0,0,(TrAvia_act!F34/TrAvia_act!F24)/TrAvia_png!F12)</f>
        <v>0.72726992435596749</v>
      </c>
      <c r="G18" s="25">
        <f>IF(TrAvia_act!G34=0,0,(TrAvia_act!G34/TrAvia_act!G24)/TrAvia_png!G12)</f>
        <v>0.72485895485049301</v>
      </c>
      <c r="H18" s="25">
        <f>IF(TrAvia_act!H34=0,0,(TrAvia_act!H34/TrAvia_act!H24)/TrAvia_png!H12)</f>
        <v>0.7375806922149224</v>
      </c>
      <c r="I18" s="25">
        <f>IF(TrAvia_act!I34=0,0,(TrAvia_act!I34/TrAvia_act!I24)/TrAvia_png!I12)</f>
        <v>0.73591104822111975</v>
      </c>
      <c r="J18" s="25">
        <f>IF(TrAvia_act!J34=0,0,(TrAvia_act!J34/TrAvia_act!J24)/TrAvia_png!J12)</f>
        <v>0.71476380439814668</v>
      </c>
      <c r="K18" s="25">
        <f>IF(TrAvia_act!K34=0,0,(TrAvia_act!K34/TrAvia_act!K24)/TrAvia_png!K12)</f>
        <v>0.72122495613097559</v>
      </c>
      <c r="L18" s="25">
        <f>IF(TrAvia_act!L34=0,0,(TrAvia_act!L34/TrAvia_act!L24)/TrAvia_png!L12)</f>
        <v>0.7241210020110449</v>
      </c>
      <c r="M18" s="25">
        <f>IF(TrAvia_act!M34=0,0,(TrAvia_act!M34/TrAvia_act!M24)/TrAvia_png!M12)</f>
        <v>0.75143874381548326</v>
      </c>
      <c r="N18" s="25">
        <f>IF(TrAvia_act!N34=0,0,(TrAvia_act!N34/TrAvia_act!N24)/TrAvia_png!N12)</f>
        <v>0.75120014813198965</v>
      </c>
      <c r="O18" s="25">
        <f>IF(TrAvia_act!O34=0,0,(TrAvia_act!O34/TrAvia_act!O24)/TrAvia_png!O12)</f>
        <v>0.76503883579172005</v>
      </c>
      <c r="P18" s="25">
        <f>IF(TrAvia_act!P34=0,0,(TrAvia_act!P34/TrAvia_act!P24)/TrAvia_png!P12)</f>
        <v>0.77664426901759154</v>
      </c>
      <c r="Q18" s="25">
        <f>IF(TrAvia_act!Q34=0,0,(TrAvia_act!Q34/TrAvia_act!Q24)/TrAvia_png!Q12)</f>
        <v>0.80896283272314673</v>
      </c>
      <c r="R18" s="25">
        <f>IF(TrAvia_act!R34=0,0,(TrAvia_act!R34/TrAvia_act!R24)/TrAvia_png!R12)</f>
        <v>0.81970688042273032</v>
      </c>
      <c r="S18" s="25">
        <f>IF(TrAvia_act!S34=0,0,(TrAvia_act!S34/TrAvia_act!S24)/TrAvia_png!S12)</f>
        <v>0.83054483781493293</v>
      </c>
      <c r="T18" s="25">
        <f>IF(TrAvia_act!T34=0,0,(TrAvia_act!T34/TrAvia_act!T24)/TrAvia_png!T12)</f>
        <v>0.82890710313946603</v>
      </c>
      <c r="U18" s="25">
        <f>IF(TrAvia_act!U34=0,0,(TrAvia_act!U34/TrAvia_act!U24)/TrAvia_png!U12)</f>
        <v>0.83319817980816824</v>
      </c>
      <c r="V18" s="25">
        <f>IF(TrAvia_act!V34=0,0,(TrAvia_act!V34/TrAvia_act!V24)/TrAvia_png!V12)</f>
        <v>0.53871078364527203</v>
      </c>
      <c r="W18" s="25">
        <f>IF(TrAvia_act!W34=0,0,(TrAvia_act!W34/TrAvia_act!W24)/TrAvia_png!W12)</f>
        <v>0.59823134941764178</v>
      </c>
      <c r="X18" s="25">
        <f>IF(TrAvia_act!X34=0,0,(TrAvia_act!X34/TrAvia_act!X24)/TrAvia_png!X12)</f>
        <v>0.74676120539690338</v>
      </c>
      <c r="Y18" s="25">
        <f>IF(TrAvia_act!Y34=0,0,(TrAvia_act!Y34/TrAvia_act!Y24)/TrAvia_png!Y12)</f>
        <v>0.78216273960724181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0.5406676249723853</v>
      </c>
      <c r="C19" s="89">
        <f>IF(TrAvia_act!C35=0,0,(TrAvia_act!C35/TrAvia_act!C25)/TrAvia_png!C13)</f>
        <v>0.53122210550141902</v>
      </c>
      <c r="D19" s="89">
        <f>IF(TrAvia_act!D35=0,0,(TrAvia_act!D35/TrAvia_act!D25)/TrAvia_png!D13)</f>
        <v>0.51549022435618508</v>
      </c>
      <c r="E19" s="89">
        <f>IF(TrAvia_act!E35=0,0,(TrAvia_act!E35/TrAvia_act!E25)/TrAvia_png!E13)</f>
        <v>0.49886553744698736</v>
      </c>
      <c r="F19" s="89">
        <f>IF(TrAvia_act!F35=0,0,(TrAvia_act!F35/TrAvia_act!F25)/TrAvia_png!F13)</f>
        <v>0.52600920113414462</v>
      </c>
      <c r="G19" s="89">
        <f>IF(TrAvia_act!G35=0,0,(TrAvia_act!G35/TrAvia_act!G25)/TrAvia_png!G13)</f>
        <v>0.5082977181275149</v>
      </c>
      <c r="H19" s="89">
        <f>IF(TrAvia_act!H35=0,0,(TrAvia_act!H35/TrAvia_act!H25)/TrAvia_png!H13)</f>
        <v>0.57885134180875475</v>
      </c>
      <c r="I19" s="89">
        <f>IF(TrAvia_act!I35=0,0,(TrAvia_act!I35/TrAvia_act!I25)/TrAvia_png!I13)</f>
        <v>0.52356169199416636</v>
      </c>
      <c r="J19" s="89">
        <f>IF(TrAvia_act!J35=0,0,(TrAvia_act!J35/TrAvia_act!J25)/TrAvia_png!J13)</f>
        <v>0.50358774148894847</v>
      </c>
      <c r="K19" s="89">
        <f>IF(TrAvia_act!K35=0,0,(TrAvia_act!K35/TrAvia_act!K25)/TrAvia_png!K13)</f>
        <v>0.46920572045049003</v>
      </c>
      <c r="L19" s="89">
        <f>IF(TrAvia_act!L35=0,0,(TrAvia_act!L35/TrAvia_act!L25)/TrAvia_png!L13)</f>
        <v>0.34983334233161606</v>
      </c>
      <c r="M19" s="89">
        <f>IF(TrAvia_act!M35=0,0,(TrAvia_act!M35/TrAvia_act!M25)/TrAvia_png!M13)</f>
        <v>0.3202244389758872</v>
      </c>
      <c r="N19" s="89">
        <f>IF(TrAvia_act!N35=0,0,(TrAvia_act!N35/TrAvia_act!N25)/TrAvia_png!N13)</f>
        <v>0.35469547944546398</v>
      </c>
      <c r="O19" s="89">
        <f>IF(TrAvia_act!O35=0,0,(TrAvia_act!O35/TrAvia_act!O25)/TrAvia_png!O13)</f>
        <v>0.43038381587124702</v>
      </c>
      <c r="P19" s="89">
        <f>IF(TrAvia_act!P35=0,0,(TrAvia_act!P35/TrAvia_act!P25)/TrAvia_png!P13)</f>
        <v>0.4184875205499925</v>
      </c>
      <c r="Q19" s="89">
        <f>IF(TrAvia_act!Q35=0,0,(TrAvia_act!Q35/TrAvia_act!Q25)/TrAvia_png!Q13)</f>
        <v>0.4174854724568009</v>
      </c>
      <c r="R19" s="89">
        <f>IF(TrAvia_act!R35=0,0,(TrAvia_act!R35/TrAvia_act!R25)/TrAvia_png!R13)</f>
        <v>0.43682634730538922</v>
      </c>
      <c r="S19" s="89">
        <f>IF(TrAvia_act!S35=0,0,(TrAvia_act!S35/TrAvia_act!S25)/TrAvia_png!S13)</f>
        <v>0.470324858478471</v>
      </c>
      <c r="T19" s="89">
        <f>IF(TrAvia_act!T35=0,0,(TrAvia_act!T35/TrAvia_act!T25)/TrAvia_png!T13)</f>
        <v>0.4650618928885375</v>
      </c>
      <c r="U19" s="89">
        <f>IF(TrAvia_act!U35=0,0,(TrAvia_act!U35/TrAvia_act!U25)/TrAvia_png!U13)</f>
        <v>0.45154695455507654</v>
      </c>
      <c r="V19" s="89">
        <f>IF(TrAvia_act!V35=0,0,(TrAvia_act!V35/TrAvia_act!V25)/TrAvia_png!V13)</f>
        <v>0.14840121088818892</v>
      </c>
      <c r="W19" s="89">
        <f>IF(TrAvia_act!W35=0,0,(TrAvia_act!W35/TrAvia_act!W25)/TrAvia_png!W13)</f>
        <v>0.14871759323443784</v>
      </c>
      <c r="X19" s="89">
        <f>IF(TrAvia_act!X35=0,0,(TrAvia_act!X35/TrAvia_act!X25)/TrAvia_png!X13)</f>
        <v>0.29227119735976481</v>
      </c>
      <c r="Y19" s="89">
        <f>IF(TrAvia_act!Y35=0,0,(TrAvia_act!Y35/TrAvia_act!Y25)/TrAvia_png!Y13)</f>
        <v>0.344447699818765</v>
      </c>
      <c r="DA19" s="191"/>
    </row>
    <row r="20" spans="1:105" ht="11.45" customHeight="1" x14ac:dyDescent="0.25">
      <c r="A20" s="83" t="s">
        <v>181</v>
      </c>
      <c r="B20" s="89">
        <f>IF(TrAvia_act!B36=0,0,(TrAvia_act!B36/TrAvia_act!B26)/TrAvia_png!B14)</f>
        <v>0.73927748119536041</v>
      </c>
      <c r="C20" s="89">
        <f>IF(TrAvia_act!C36=0,0,(TrAvia_act!C36/TrAvia_act!C26)/TrAvia_png!C14)</f>
        <v>0.74109298440990057</v>
      </c>
      <c r="D20" s="89">
        <f>IF(TrAvia_act!D36=0,0,(TrAvia_act!D36/TrAvia_act!D26)/TrAvia_png!D14)</f>
        <v>0.74348513553220952</v>
      </c>
      <c r="E20" s="89">
        <f>IF(TrAvia_act!E36=0,0,(TrAvia_act!E36/TrAvia_act!E26)/TrAvia_png!E14)</f>
        <v>0.74391256506983117</v>
      </c>
      <c r="F20" s="89">
        <f>IF(TrAvia_act!F36=0,0,(TrAvia_act!F36/TrAvia_act!F26)/TrAvia_png!F14)</f>
        <v>0.74411665427137741</v>
      </c>
      <c r="G20" s="89">
        <f>IF(TrAvia_act!G36=0,0,(TrAvia_act!G36/TrAvia_act!G26)/TrAvia_png!G14)</f>
        <v>0.745446459703063</v>
      </c>
      <c r="H20" s="89">
        <f>IF(TrAvia_act!H36=0,0,(TrAvia_act!H36/TrAvia_act!H26)/TrAvia_png!H14)</f>
        <v>0.74989581917245784</v>
      </c>
      <c r="I20" s="89">
        <f>IF(TrAvia_act!I36=0,0,(TrAvia_act!I36/TrAvia_act!I26)/TrAvia_png!I14)</f>
        <v>0.75321773153762017</v>
      </c>
      <c r="J20" s="89">
        <f>IF(TrAvia_act!J36=0,0,(TrAvia_act!J36/TrAvia_act!J26)/TrAvia_png!J14)</f>
        <v>0.73108384418569983</v>
      </c>
      <c r="K20" s="89">
        <f>IF(TrAvia_act!K36=0,0,(TrAvia_act!K36/TrAvia_act!K26)/TrAvia_png!K14)</f>
        <v>0.73756769584528092</v>
      </c>
      <c r="L20" s="89">
        <f>IF(TrAvia_act!L36=0,0,(TrAvia_act!L36/TrAvia_act!L26)/TrAvia_png!L14)</f>
        <v>0.74590841573492705</v>
      </c>
      <c r="M20" s="89">
        <f>IF(TrAvia_act!M36=0,0,(TrAvia_act!M36/TrAvia_act!M26)/TrAvia_png!M14)</f>
        <v>0.75543320289253046</v>
      </c>
      <c r="N20" s="89">
        <f>IF(TrAvia_act!N36=0,0,(TrAvia_act!N36/TrAvia_act!N26)/TrAvia_png!N14)</f>
        <v>0.74561034896205636</v>
      </c>
      <c r="O20" s="89">
        <f>IF(TrAvia_act!O36=0,0,(TrAvia_act!O36/TrAvia_act!O26)/TrAvia_png!O14)</f>
        <v>0.75701712262976428</v>
      </c>
      <c r="P20" s="89">
        <f>IF(TrAvia_act!P36=0,0,(TrAvia_act!P36/TrAvia_act!P26)/TrAvia_png!P14)</f>
        <v>0.77183703400442472</v>
      </c>
      <c r="Q20" s="89">
        <f>IF(TrAvia_act!Q36=0,0,(TrAvia_act!Q36/TrAvia_act!Q26)/TrAvia_png!Q14)</f>
        <v>0.80882717137661309</v>
      </c>
      <c r="R20" s="89">
        <f>IF(TrAvia_act!R36=0,0,(TrAvia_act!R36/TrAvia_act!R26)/TrAvia_png!R14)</f>
        <v>0.82153833329552217</v>
      </c>
      <c r="S20" s="89">
        <f>IF(TrAvia_act!S36=0,0,(TrAvia_act!S36/TrAvia_act!S26)/TrAvia_png!S14)</f>
        <v>0.835261889108043</v>
      </c>
      <c r="T20" s="89">
        <f>IF(TrAvia_act!T36=0,0,(TrAvia_act!T36/TrAvia_act!T26)/TrAvia_png!T14)</f>
        <v>0.83505398125122521</v>
      </c>
      <c r="U20" s="89">
        <f>IF(TrAvia_act!U36=0,0,(TrAvia_act!U36/TrAvia_act!U26)/TrAvia_png!U14)</f>
        <v>0.83452740727937536</v>
      </c>
      <c r="V20" s="89">
        <f>IF(TrAvia_act!V36=0,0,(TrAvia_act!V36/TrAvia_act!V26)/TrAvia_png!V14)</f>
        <v>0.56953668340463792</v>
      </c>
      <c r="W20" s="89">
        <f>IF(TrAvia_act!W36=0,0,(TrAvia_act!W36/TrAvia_act!W26)/TrAvia_png!W14)</f>
        <v>0.63459241171379732</v>
      </c>
      <c r="X20" s="89">
        <f>IF(TrAvia_act!X36=0,0,(TrAvia_act!X36/TrAvia_act!X26)/TrAvia_png!X14)</f>
        <v>0.76832405257331216</v>
      </c>
      <c r="Y20" s="89">
        <f>IF(TrAvia_act!Y36=0,0,(TrAvia_act!Y36/TrAvia_act!Y26)/TrAvia_png!Y14)</f>
        <v>0.79296923409578379</v>
      </c>
      <c r="DA20" s="191"/>
    </row>
    <row r="21" spans="1:105" ht="11.45" customHeight="1" x14ac:dyDescent="0.25">
      <c r="A21" s="85" t="s">
        <v>182</v>
      </c>
      <c r="B21" s="90">
        <f>IF(TrAvia_act!B37=0,0,(TrAvia_act!B37/TrAvia_act!B27)/TrAvia_png!B15)</f>
        <v>0.83923041272736609</v>
      </c>
      <c r="C21" s="90">
        <f>IF(TrAvia_act!C37=0,0,(TrAvia_act!C37/TrAvia_act!C27)/TrAvia_png!C15)</f>
        <v>0.83407594123925133</v>
      </c>
      <c r="D21" s="90">
        <f>IF(TrAvia_act!D37=0,0,(TrAvia_act!D37/TrAvia_act!D27)/TrAvia_png!D15)</f>
        <v>0.8322685342068602</v>
      </c>
      <c r="E21" s="90">
        <f>IF(TrAvia_act!E37=0,0,(TrAvia_act!E37/TrAvia_act!E27)/TrAvia_png!E15)</f>
        <v>0.82944244859495508</v>
      </c>
      <c r="F21" s="90">
        <f>IF(TrAvia_act!F37=0,0,(TrAvia_act!F37/TrAvia_act!F27)/TrAvia_png!F15)</f>
        <v>0.82728286761431191</v>
      </c>
      <c r="G21" s="90">
        <f>IF(TrAvia_act!G37=0,0,(TrAvia_act!G37/TrAvia_act!G27)/TrAvia_png!G15)</f>
        <v>0.8258552025757312</v>
      </c>
      <c r="H21" s="90">
        <f>IF(TrAvia_act!H37=0,0,(TrAvia_act!H37/TrAvia_act!H27)/TrAvia_png!H15)</f>
        <v>0.82451516589643048</v>
      </c>
      <c r="I21" s="90">
        <f>IF(TrAvia_act!I37=0,0,(TrAvia_act!I37/TrAvia_act!I27)/TrAvia_png!I15)</f>
        <v>0.80497261807865483</v>
      </c>
      <c r="J21" s="90">
        <f>IF(TrAvia_act!J37=0,0,(TrAvia_act!J37/TrAvia_act!J27)/TrAvia_png!J15)</f>
        <v>0.76309710071673476</v>
      </c>
      <c r="K21" s="90">
        <f>IF(TrAvia_act!K37=0,0,(TrAvia_act!K37/TrAvia_act!K27)/TrAvia_png!K15)</f>
        <v>0.78241761637536777</v>
      </c>
      <c r="L21" s="90">
        <f>IF(TrAvia_act!L37=0,0,(TrAvia_act!L37/TrAvia_act!L27)/TrAvia_png!L15)</f>
        <v>0.78952217489248966</v>
      </c>
      <c r="M21" s="90">
        <f>IF(TrAvia_act!M37=0,0,(TrAvia_act!M37/TrAvia_act!M27)/TrAvia_png!M15)</f>
        <v>0.81398979285499851</v>
      </c>
      <c r="N21" s="90">
        <f>IF(TrAvia_act!N37=0,0,(TrAvia_act!N37/TrAvia_act!N27)/TrAvia_png!N15)</f>
        <v>0.83744725798515529</v>
      </c>
      <c r="O21" s="90">
        <f>IF(TrAvia_act!O37=0,0,(TrAvia_act!O37/TrAvia_act!O27)/TrAvia_png!O15)</f>
        <v>0.85715851761852457</v>
      </c>
      <c r="P21" s="90">
        <f>IF(TrAvia_act!P37=0,0,(TrAvia_act!P37/TrAvia_act!P27)/TrAvia_png!P15)</f>
        <v>0.83507938211683352</v>
      </c>
      <c r="Q21" s="90">
        <f>IF(TrAvia_act!Q37=0,0,(TrAvia_act!Q37/TrAvia_act!Q27)/TrAvia_png!Q15)</f>
        <v>0.83612234011786712</v>
      </c>
      <c r="R21" s="90">
        <f>IF(TrAvia_act!R37=0,0,(TrAvia_act!R37/TrAvia_act!R27)/TrAvia_png!R15)</f>
        <v>0.83139454232762111</v>
      </c>
      <c r="S21" s="90">
        <f>IF(TrAvia_act!S37=0,0,(TrAvia_act!S37/TrAvia_act!S27)/TrAvia_png!S15)</f>
        <v>0.82113186330609744</v>
      </c>
      <c r="T21" s="90">
        <f>IF(TrAvia_act!T37=0,0,(TrAvia_act!T37/TrAvia_act!T27)/TrAvia_png!T15)</f>
        <v>0.81520032447990121</v>
      </c>
      <c r="U21" s="90">
        <f>IF(TrAvia_act!U37=0,0,(TrAvia_act!U37/TrAvia_act!U27)/TrAvia_png!U15)</f>
        <v>0.84575424095765439</v>
      </c>
      <c r="V21" s="90">
        <f>IF(TrAvia_act!V37=0,0,(TrAvia_act!V37/TrAvia_act!V27)/TrAvia_png!V15)</f>
        <v>0.42172084762737916</v>
      </c>
      <c r="W21" s="90">
        <f>IF(TrAvia_act!W37=0,0,(TrAvia_act!W37/TrAvia_act!W27)/TrAvia_png!W15)</f>
        <v>0.46380790371586739</v>
      </c>
      <c r="X21" s="90">
        <f>IF(TrAvia_act!X37=0,0,(TrAvia_act!X37/TrAvia_act!X27)/TrAvia_png!X15)</f>
        <v>0.68359547347579308</v>
      </c>
      <c r="Y21" s="90">
        <f>IF(TrAvia_act!Y37=0,0,(TrAvia_act!Y37/TrAvia_act!Y27)/TrAvia_png!Y15)</f>
        <v>0.76769507308254425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5.0502515764252402E-2</v>
      </c>
      <c r="C24" s="23">
        <f>IF(TrAvia_ene!C6=0,0,TrAvia_ene!C6/(C12*TrAvia_act!C14))</f>
        <v>5.5900408859042926E-2</v>
      </c>
      <c r="D24" s="23">
        <f>IF(TrAvia_ene!D6=0,0,TrAvia_ene!D6/(D12*TrAvia_act!D14))</f>
        <v>5.8929677131918858E-2</v>
      </c>
      <c r="E24" s="23">
        <f>IF(TrAvia_ene!E6=0,0,TrAvia_ene!E6/(E12*TrAvia_act!E14))</f>
        <v>5.7725640260881707E-2</v>
      </c>
      <c r="F24" s="23">
        <f>IF(TrAvia_ene!F6=0,0,TrAvia_ene!F6/(F12*TrAvia_act!F14))</f>
        <v>5.0047016769634467E-2</v>
      </c>
      <c r="G24" s="23">
        <f>IF(TrAvia_ene!G6=0,0,TrAvia_ene!G6/(G12*TrAvia_act!G14))</f>
        <v>4.7076777791890893E-2</v>
      </c>
      <c r="H24" s="23">
        <f>IF(TrAvia_ene!H6=0,0,TrAvia_ene!H6/(H12*TrAvia_act!H14))</f>
        <v>3.916845026851315E-2</v>
      </c>
      <c r="I24" s="23">
        <f>IF(TrAvia_ene!I6=0,0,TrAvia_ene!I6/(I12*TrAvia_act!I14))</f>
        <v>3.9463101784460108E-2</v>
      </c>
      <c r="J24" s="23">
        <f>IF(TrAvia_ene!J6=0,0,TrAvia_ene!J6/(J12*TrAvia_act!J14))</f>
        <v>3.6671420617831366E-2</v>
      </c>
      <c r="K24" s="23">
        <f>IF(TrAvia_ene!K6=0,0,TrAvia_ene!K6/(K12*TrAvia_act!K14))</f>
        <v>2.6604552210354803E-2</v>
      </c>
      <c r="L24" s="23">
        <f>IF(TrAvia_ene!L6=0,0,TrAvia_ene!L6/(L12*TrAvia_act!L14))</f>
        <v>3.8480631980730012E-2</v>
      </c>
      <c r="M24" s="23">
        <f>IF(TrAvia_ene!M6=0,0,TrAvia_ene!M6/(M12*TrAvia_act!M14))</f>
        <v>3.4480394643940912E-2</v>
      </c>
      <c r="N24" s="23">
        <f>IF(TrAvia_ene!N6=0,0,TrAvia_ene!N6/(N12*TrAvia_act!N14))</f>
        <v>2.89324807294386E-2</v>
      </c>
      <c r="O24" s="23">
        <f>IF(TrAvia_ene!O6=0,0,TrAvia_ene!O6/(O12*TrAvia_act!O14))</f>
        <v>3.0967468128583652E-2</v>
      </c>
      <c r="P24" s="23">
        <f>IF(TrAvia_ene!P6=0,0,TrAvia_ene!P6/(P12*TrAvia_act!P14))</f>
        <v>3.3528848305949856E-2</v>
      </c>
      <c r="Q24" s="23">
        <f>IF(TrAvia_ene!Q6=0,0,TrAvia_ene!Q6/(Q12*TrAvia_act!Q14))</f>
        <v>3.3670744687745884E-2</v>
      </c>
      <c r="R24" s="23">
        <f>IF(TrAvia_ene!R6=0,0,TrAvia_ene!R6/(R12*TrAvia_act!R14))</f>
        <v>3.1842535552034042E-2</v>
      </c>
      <c r="S24" s="23">
        <f>IF(TrAvia_ene!S6=0,0,TrAvia_ene!S6/(S12*TrAvia_act!S14))</f>
        <v>3.3573966781539656E-2</v>
      </c>
      <c r="T24" s="23">
        <f>IF(TrAvia_ene!T6=0,0,TrAvia_ene!T6/(T12*TrAvia_act!T14))</f>
        <v>3.2926721349768241E-2</v>
      </c>
      <c r="U24" s="23">
        <f>IF(TrAvia_ene!U6=0,0,TrAvia_ene!U6/(U12*TrAvia_act!U14))</f>
        <v>3.2326351217014215E-2</v>
      </c>
      <c r="V24" s="23">
        <f>IF(TrAvia_ene!V6=0,0,TrAvia_ene!V6/(V12*TrAvia_act!V14))</f>
        <v>3.3849037310378589E-2</v>
      </c>
      <c r="W24" s="23">
        <f>IF(TrAvia_ene!W6=0,0,TrAvia_ene!W6/(W12*TrAvia_act!W14))</f>
        <v>3.3942940634248395E-2</v>
      </c>
      <c r="X24" s="23">
        <f>IF(TrAvia_ene!X6=0,0,TrAvia_ene!X6/(X12*TrAvia_act!X14))</f>
        <v>2.9316932014135433E-2</v>
      </c>
      <c r="Y24" s="23">
        <f>IF(TrAvia_ene!Y6=0,0,TrAvia_ene!Y6/(Y12*TrAvia_act!Y14))</f>
        <v>2.8816995672853788E-2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7.3734304688355817E-2</v>
      </c>
      <c r="C25" s="91">
        <f>IF(TrAvia_ene!C7=0,0,TrAvia_ene!C7/(C13*TrAvia_act!C15))</f>
        <v>8.5478508305527792E-2</v>
      </c>
      <c r="D25" s="91">
        <f>IF(TrAvia_ene!D7=0,0,TrAvia_ene!D7/(D13*TrAvia_act!D15))</f>
        <v>9.7391225711485827E-2</v>
      </c>
      <c r="E25" s="91">
        <f>IF(TrAvia_ene!E7=0,0,TrAvia_ene!E7/(E13*TrAvia_act!E15))</f>
        <v>8.531045601615822E-2</v>
      </c>
      <c r="F25" s="91">
        <f>IF(TrAvia_ene!F7=0,0,TrAvia_ene!F7/(F13*TrAvia_act!F15))</f>
        <v>8.6299204222102688E-2</v>
      </c>
      <c r="G25" s="91">
        <f>IF(TrAvia_ene!G7=0,0,TrAvia_ene!G7/(G13*TrAvia_act!G15))</f>
        <v>8.7438633952861444E-2</v>
      </c>
      <c r="H25" s="91">
        <f>IF(TrAvia_ene!H7=0,0,TrAvia_ene!H7/(H13*TrAvia_act!H15))</f>
        <v>0.10274337360076055</v>
      </c>
      <c r="I25" s="91">
        <f>IF(TrAvia_ene!I7=0,0,TrAvia_ene!I7/(I13*TrAvia_act!I15))</f>
        <v>9.2400132647102867E-2</v>
      </c>
      <c r="J25" s="91">
        <f>IF(TrAvia_ene!J7=0,0,TrAvia_ene!J7/(J13*TrAvia_act!J15))</f>
        <v>8.2630504934045085E-2</v>
      </c>
      <c r="K25" s="91">
        <f>IF(TrAvia_ene!K7=0,0,TrAvia_ene!K7/(K13*TrAvia_act!K15))</f>
        <v>8.0904973202178196E-2</v>
      </c>
      <c r="L25" s="91">
        <f>IF(TrAvia_ene!L7=0,0,TrAvia_ene!L7/(L13*TrAvia_act!L15))</f>
        <v>9.8103251708907213E-2</v>
      </c>
      <c r="M25" s="91">
        <f>IF(TrAvia_ene!M7=0,0,TrAvia_ene!M7/(M13*TrAvia_act!M15))</f>
        <v>9.1091182753457928E-2</v>
      </c>
      <c r="N25" s="91">
        <f>IF(TrAvia_ene!N7=0,0,TrAvia_ene!N7/(N13*TrAvia_act!N15))</f>
        <v>0.17613257175633187</v>
      </c>
      <c r="O25" s="91">
        <f>IF(TrAvia_ene!O7=0,0,TrAvia_ene!O7/(O13*TrAvia_act!O15))</f>
        <v>0.18419421616396942</v>
      </c>
      <c r="P25" s="91">
        <f>IF(TrAvia_ene!P7=0,0,TrAvia_ene!P7/(P13*TrAvia_act!P15))</f>
        <v>0.20279732960876079</v>
      </c>
      <c r="Q25" s="91">
        <f>IF(TrAvia_ene!Q7=0,0,TrAvia_ene!Q7/(Q13*TrAvia_act!Q15))</f>
        <v>0.16745324850380131</v>
      </c>
      <c r="R25" s="91">
        <f>IF(TrAvia_ene!R7=0,0,TrAvia_ene!R7/(R13*TrAvia_act!R15))</f>
        <v>8.2705516490825068E-2</v>
      </c>
      <c r="S25" s="91">
        <f>IF(TrAvia_ene!S7=0,0,TrAvia_ene!S7/(S13*TrAvia_act!S15))</f>
        <v>0.11392687059103979</v>
      </c>
      <c r="T25" s="91">
        <f>IF(TrAvia_ene!T7=0,0,TrAvia_ene!T7/(T13*TrAvia_act!T15))</f>
        <v>9.434161848481333E-2</v>
      </c>
      <c r="U25" s="91">
        <f>IF(TrAvia_ene!U7=0,0,TrAvia_ene!U7/(U13*TrAvia_act!U15))</f>
        <v>0.10802541870449001</v>
      </c>
      <c r="V25" s="91">
        <f>IF(TrAvia_ene!V7=0,0,TrAvia_ene!V7/(V13*TrAvia_act!V15))</f>
        <v>9.3283716357726393E-2</v>
      </c>
      <c r="W25" s="91">
        <f>IF(TrAvia_ene!W7=0,0,TrAvia_ene!W7/(W13*TrAvia_act!W15))</f>
        <v>8.9684460970112165E-2</v>
      </c>
      <c r="X25" s="91">
        <f>IF(TrAvia_ene!X7=0,0,TrAvia_ene!X7/(X13*TrAvia_act!X15))</f>
        <v>0.12082284280790126</v>
      </c>
      <c r="Y25" s="91">
        <f>IF(TrAvia_ene!Y7=0,0,TrAvia_ene!Y7/(Y13*TrAvia_act!Y15))</f>
        <v>6.2473648955713716E-2</v>
      </c>
      <c r="DA25" s="171"/>
    </row>
    <row r="26" spans="1:105" ht="11.45" customHeight="1" x14ac:dyDescent="0.25">
      <c r="A26" s="92" t="s">
        <v>181</v>
      </c>
      <c r="B26" s="93">
        <f>IF(TrAvia_ene!B8=0,0,TrAvia_ene!B8/(B14*TrAvia_act!B16))</f>
        <v>4.4070836214763848E-2</v>
      </c>
      <c r="C26" s="93">
        <f>IF(TrAvia_ene!C8=0,0,TrAvia_ene!C8/(C14*TrAvia_act!C16))</f>
        <v>4.841176236116964E-2</v>
      </c>
      <c r="D26" s="93">
        <f>IF(TrAvia_ene!D8=0,0,TrAvia_ene!D8/(D14*TrAvia_act!D16))</f>
        <v>5.0991407184557046E-2</v>
      </c>
      <c r="E26" s="93">
        <f>IF(TrAvia_ene!E8=0,0,TrAvia_ene!E8/(E14*TrAvia_act!E16))</f>
        <v>5.0703579488229268E-2</v>
      </c>
      <c r="F26" s="93">
        <f>IF(TrAvia_ene!F8=0,0,TrAvia_ene!F8/(F14*TrAvia_act!F16))</f>
        <v>4.3791743856864247E-2</v>
      </c>
      <c r="G26" s="93">
        <f>IF(TrAvia_ene!G8=0,0,TrAvia_ene!G8/(G14*TrAvia_act!G16))</f>
        <v>4.1645488728764897E-2</v>
      </c>
      <c r="H26" s="93">
        <f>IF(TrAvia_ene!H8=0,0,TrAvia_ene!H8/(H14*TrAvia_act!H16))</f>
        <v>3.4855622641620065E-2</v>
      </c>
      <c r="I26" s="93">
        <f>IF(TrAvia_ene!I8=0,0,TrAvia_ene!I8/(I14*TrAvia_act!I16))</f>
        <v>3.694354246452252E-2</v>
      </c>
      <c r="J26" s="93">
        <f>IF(TrAvia_ene!J8=0,0,TrAvia_ene!J8/(J14*TrAvia_act!J16))</f>
        <v>3.4005124418106755E-2</v>
      </c>
      <c r="K26" s="93">
        <f>IF(TrAvia_ene!K8=0,0,TrAvia_ene!K8/(K14*TrAvia_act!K16))</f>
        <v>2.3637438878726595E-2</v>
      </c>
      <c r="L26" s="93">
        <f>IF(TrAvia_ene!L8=0,0,TrAvia_ene!L8/(L14*TrAvia_act!L16))</f>
        <v>3.5004276405489254E-2</v>
      </c>
      <c r="M26" s="93">
        <f>IF(TrAvia_ene!M8=0,0,TrAvia_ene!M8/(M14*TrAvia_act!M16))</f>
        <v>3.2516088347953449E-2</v>
      </c>
      <c r="N26" s="93">
        <f>IF(TrAvia_ene!N8=0,0,TrAvia_ene!N8/(N14*TrAvia_act!N16))</f>
        <v>2.693596226768875E-2</v>
      </c>
      <c r="O26" s="93">
        <f>IF(TrAvia_ene!O8=0,0,TrAvia_ene!O8/(O14*TrAvia_act!O16))</f>
        <v>2.9342991024452206E-2</v>
      </c>
      <c r="P26" s="93">
        <f>IF(TrAvia_ene!P8=0,0,TrAvia_ene!P8/(P14*TrAvia_act!P16))</f>
        <v>3.3495022694707437E-2</v>
      </c>
      <c r="Q26" s="93">
        <f>IF(TrAvia_ene!Q8=0,0,TrAvia_ene!Q8/(Q14*TrAvia_act!Q16))</f>
        <v>3.5213072966007467E-2</v>
      </c>
      <c r="R26" s="93">
        <f>IF(TrAvia_ene!R8=0,0,TrAvia_ene!R8/(R14*TrAvia_act!R16))</f>
        <v>3.3871503668003122E-2</v>
      </c>
      <c r="S26" s="93">
        <f>IF(TrAvia_ene!S8=0,0,TrAvia_ene!S8/(S14*TrAvia_act!S16))</f>
        <v>3.8077216621461622E-2</v>
      </c>
      <c r="T26" s="93">
        <f>IF(TrAvia_ene!T8=0,0,TrAvia_ene!T8/(T14*TrAvia_act!T16))</f>
        <v>3.9091692313252227E-2</v>
      </c>
      <c r="U26" s="93">
        <f>IF(TrAvia_ene!U8=0,0,TrAvia_ene!U8/(U14*TrAvia_act!U16))</f>
        <v>3.6671295212680921E-2</v>
      </c>
      <c r="V26" s="93">
        <f>IF(TrAvia_ene!V8=0,0,TrAvia_ene!V8/(V14*TrAvia_act!V16))</f>
        <v>3.1079883918373862E-2</v>
      </c>
      <c r="W26" s="93">
        <f>IF(TrAvia_ene!W8=0,0,TrAvia_ene!W8/(W14*TrAvia_act!W16))</f>
        <v>3.138879395387336E-2</v>
      </c>
      <c r="X26" s="93">
        <f>IF(TrAvia_ene!X8=0,0,TrAvia_ene!X8/(X14*TrAvia_act!X16))</f>
        <v>3.3224180844310641E-2</v>
      </c>
      <c r="Y26" s="93">
        <f>IF(TrAvia_ene!Y8=0,0,TrAvia_ene!Y8/(Y14*TrAvia_act!Y16))</f>
        <v>3.310680508198114E-2</v>
      </c>
      <c r="DA26" s="175"/>
    </row>
    <row r="27" spans="1:105" ht="11.45" customHeight="1" x14ac:dyDescent="0.25">
      <c r="A27" s="85" t="s">
        <v>182</v>
      </c>
      <c r="B27" s="94">
        <f>IF(TrAvia_ene!B9=0,0,TrAvia_ene!B9/(B15*TrAvia_act!B17))</f>
        <v>3.8790625565286382E-2</v>
      </c>
      <c r="C27" s="94">
        <f>IF(TrAvia_ene!C9=0,0,TrAvia_ene!C9/(C15*TrAvia_act!C17))</f>
        <v>4.5045621799097324E-2</v>
      </c>
      <c r="D27" s="94">
        <f>IF(TrAvia_ene!D9=0,0,TrAvia_ene!D9/(D15*TrAvia_act!D17))</f>
        <v>4.8125055856693154E-2</v>
      </c>
      <c r="E27" s="94">
        <f>IF(TrAvia_ene!E9=0,0,TrAvia_ene!E9/(E15*TrAvia_act!E17))</f>
        <v>4.7450270404869578E-2</v>
      </c>
      <c r="F27" s="94">
        <f>IF(TrAvia_ene!F9=0,0,TrAvia_ene!F9/(F15*TrAvia_act!F17))</f>
        <v>4.0805672470096754E-2</v>
      </c>
      <c r="G27" s="94">
        <f>IF(TrAvia_ene!G9=0,0,TrAvia_ene!G9/(G15*TrAvia_act!G17))</f>
        <v>4.0252050482926474E-2</v>
      </c>
      <c r="H27" s="94">
        <f>IF(TrAvia_ene!H9=0,0,TrAvia_ene!H9/(H15*TrAvia_act!H17))</f>
        <v>3.491723448023884E-2</v>
      </c>
      <c r="I27" s="94">
        <f>IF(TrAvia_ene!I9=0,0,TrAvia_ene!I9/(I15*TrAvia_act!I17))</f>
        <v>3.5631303224216142E-2</v>
      </c>
      <c r="J27" s="94">
        <f>IF(TrAvia_ene!J9=0,0,TrAvia_ene!J9/(J15*TrAvia_act!J17))</f>
        <v>3.045449251388949E-2</v>
      </c>
      <c r="K27" s="94">
        <f>IF(TrAvia_ene!K9=0,0,TrAvia_ene!K9/(K15*TrAvia_act!K17))</f>
        <v>2.2602026799773425E-2</v>
      </c>
      <c r="L27" s="94">
        <f>IF(TrAvia_ene!L9=0,0,TrAvia_ene!L9/(L15*TrAvia_act!L17))</f>
        <v>3.3620316225789391E-2</v>
      </c>
      <c r="M27" s="94">
        <f>IF(TrAvia_ene!M9=0,0,TrAvia_ene!M9/(M15*TrAvia_act!M17))</f>
        <v>3.1317264678482899E-2</v>
      </c>
      <c r="N27" s="94">
        <f>IF(TrAvia_ene!N9=0,0,TrAvia_ene!N9/(N15*TrAvia_act!N17))</f>
        <v>2.4462222496041248E-2</v>
      </c>
      <c r="O27" s="94">
        <f>IF(TrAvia_ene!O9=0,0,TrAvia_ene!O9/(O15*TrAvia_act!O17))</f>
        <v>2.4313012188081264E-2</v>
      </c>
      <c r="P27" s="94">
        <f>IF(TrAvia_ene!P9=0,0,TrAvia_ene!P9/(P15*TrAvia_act!P17))</f>
        <v>2.3781511026530724E-2</v>
      </c>
      <c r="Q27" s="94">
        <f>IF(TrAvia_ene!Q9=0,0,TrAvia_ene!Q9/(Q15*TrAvia_act!Q17))</f>
        <v>2.2573936100973239E-2</v>
      </c>
      <c r="R27" s="94">
        <f>IF(TrAvia_ene!R9=0,0,TrAvia_ene!R9/(R15*TrAvia_act!R17))</f>
        <v>2.0219100724301362E-2</v>
      </c>
      <c r="S27" s="94">
        <f>IF(TrAvia_ene!S9=0,0,TrAvia_ene!S9/(S15*TrAvia_act!S17))</f>
        <v>1.9145552661783517E-2</v>
      </c>
      <c r="T27" s="94">
        <f>IF(TrAvia_ene!T9=0,0,TrAvia_ene!T9/(T15*TrAvia_act!T17))</f>
        <v>1.7741374256841903E-2</v>
      </c>
      <c r="U27" s="94">
        <f>IF(TrAvia_ene!U9=0,0,TrAvia_ene!U9/(U15*TrAvia_act!U17))</f>
        <v>1.8698761790970141E-2</v>
      </c>
      <c r="V27" s="94">
        <f>IF(TrAvia_ene!V9=0,0,TrAvia_ene!V9/(V15*TrAvia_act!V17))</f>
        <v>2.4776387983599161E-2</v>
      </c>
      <c r="W27" s="94">
        <f>IF(TrAvia_ene!W9=0,0,TrAvia_ene!W9/(W15*TrAvia_act!W17))</f>
        <v>2.905907430283337E-2</v>
      </c>
      <c r="X27" s="94">
        <f>IF(TrAvia_ene!X9=0,0,TrAvia_ene!X9/(X15*TrAvia_act!X17))</f>
        <v>1.611033592708529E-2</v>
      </c>
      <c r="Y27" s="94">
        <f>IF(TrAvia_ene!Y9=0,0,TrAvia_ene!Y9/(Y15*TrAvia_act!Y17))</f>
        <v>1.6567191704918421E-2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149</v>
      </c>
      <c r="B3" s="54">
        <f t="shared" ref="B3:Q3" si="0">SUM(B4:B5)</f>
        <v>192.09899999999999</v>
      </c>
      <c r="C3" s="54">
        <f t="shared" si="0"/>
        <v>166.958</v>
      </c>
      <c r="D3" s="54">
        <f t="shared" si="0"/>
        <v>116.95399999999999</v>
      </c>
      <c r="E3" s="54">
        <f t="shared" si="0"/>
        <v>130.566</v>
      </c>
      <c r="F3" s="54">
        <f t="shared" si="0"/>
        <v>109.87</v>
      </c>
      <c r="G3" s="54">
        <f t="shared" si="0"/>
        <v>147.79</v>
      </c>
      <c r="H3" s="54">
        <f t="shared" si="0"/>
        <v>146.678</v>
      </c>
      <c r="I3" s="54">
        <f t="shared" si="0"/>
        <v>132.65</v>
      </c>
      <c r="J3" s="54">
        <f t="shared" si="0"/>
        <v>140.56700000000001</v>
      </c>
      <c r="K3" s="54">
        <f t="shared" si="0"/>
        <v>149.45599999999999</v>
      </c>
      <c r="L3" s="54">
        <f t="shared" si="0"/>
        <v>134.733</v>
      </c>
      <c r="M3" s="54">
        <f t="shared" si="0"/>
        <v>199.04400000000001</v>
      </c>
      <c r="N3" s="54">
        <f t="shared" si="0"/>
        <v>292.38499999999999</v>
      </c>
      <c r="O3" s="54">
        <f t="shared" si="0"/>
        <v>229.32400000000001</v>
      </c>
      <c r="P3" s="54">
        <f t="shared" si="0"/>
        <v>204.18299999999999</v>
      </c>
      <c r="Q3" s="54">
        <f t="shared" si="0"/>
        <v>164.18</v>
      </c>
      <c r="R3" s="54">
        <f t="shared" ref="R3:V3" si="1">SUM(R4:R5)</f>
        <v>140.428</v>
      </c>
      <c r="S3" s="54">
        <f t="shared" si="1"/>
        <v>128.483</v>
      </c>
      <c r="T3" s="54">
        <f t="shared" si="1"/>
        <v>165.56899999999999</v>
      </c>
      <c r="U3" s="54">
        <f t="shared" si="1"/>
        <v>198.905</v>
      </c>
      <c r="V3" s="54">
        <f t="shared" si="1"/>
        <v>201.54400000000001</v>
      </c>
      <c r="W3" s="54">
        <f t="shared" ref="W3:Y3" si="2">SUM(W4:W5)</f>
        <v>223.49</v>
      </c>
      <c r="X3" s="54">
        <f t="shared" si="2"/>
        <v>177.23599999999999</v>
      </c>
      <c r="Y3" s="54">
        <f t="shared" si="2"/>
        <v>160.291</v>
      </c>
      <c r="Z3" s="54"/>
      <c r="AA3" s="54"/>
      <c r="AB3" s="54"/>
      <c r="AC3" s="54"/>
      <c r="AD3" s="54"/>
      <c r="AE3" s="54"/>
      <c r="AF3" s="54"/>
      <c r="AG3" s="54"/>
      <c r="DA3" s="172" t="s">
        <v>385</v>
      </c>
    </row>
    <row r="4" spans="1:105" ht="11.45" customHeight="1" x14ac:dyDescent="0.25">
      <c r="A4" s="55" t="s">
        <v>30</v>
      </c>
      <c r="B4" s="56">
        <v>192.09899999999999</v>
      </c>
      <c r="C4" s="56">
        <v>166.958</v>
      </c>
      <c r="D4" s="56">
        <v>116.95399999999999</v>
      </c>
      <c r="E4" s="56">
        <v>130.566</v>
      </c>
      <c r="F4" s="56">
        <v>109.87</v>
      </c>
      <c r="G4" s="56">
        <v>147.79</v>
      </c>
      <c r="H4" s="56">
        <v>146.678</v>
      </c>
      <c r="I4" s="56">
        <v>132.65</v>
      </c>
      <c r="J4" s="56">
        <v>140.56700000000001</v>
      </c>
      <c r="K4" s="56">
        <v>149.45599999999999</v>
      </c>
      <c r="L4" s="56">
        <v>134.733</v>
      </c>
      <c r="M4" s="56">
        <v>199.04400000000001</v>
      </c>
      <c r="N4" s="56">
        <v>292.38499999999999</v>
      </c>
      <c r="O4" s="56">
        <v>229.32400000000001</v>
      </c>
      <c r="P4" s="56">
        <v>204.18299999999999</v>
      </c>
      <c r="Q4" s="56">
        <v>164.18</v>
      </c>
      <c r="R4" s="56">
        <v>140.428</v>
      </c>
      <c r="S4" s="56">
        <v>128.483</v>
      </c>
      <c r="T4" s="56">
        <v>165.56899999999999</v>
      </c>
      <c r="U4" s="56">
        <v>198.905</v>
      </c>
      <c r="V4" s="56">
        <v>201.54400000000001</v>
      </c>
      <c r="W4" s="56">
        <v>223.49</v>
      </c>
      <c r="X4" s="56">
        <v>177.23599999999999</v>
      </c>
      <c r="Y4" s="56">
        <v>160.291</v>
      </c>
      <c r="Z4" s="56"/>
      <c r="AA4" s="56"/>
      <c r="AB4" s="56"/>
      <c r="AC4" s="56"/>
      <c r="AD4" s="56"/>
      <c r="AE4" s="56"/>
      <c r="AF4" s="56"/>
      <c r="AG4" s="56"/>
      <c r="DA4" s="181" t="s">
        <v>386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>
        <v>0</v>
      </c>
      <c r="Y5" s="58">
        <v>0</v>
      </c>
      <c r="Z5" s="58"/>
      <c r="AA5" s="58"/>
      <c r="AB5" s="58"/>
      <c r="AC5" s="58"/>
      <c r="AD5" s="58"/>
      <c r="AE5" s="58"/>
      <c r="AF5" s="58"/>
      <c r="AG5" s="58"/>
      <c r="DA5" s="182" t="s">
        <v>387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161</v>
      </c>
      <c r="B7" s="59">
        <f t="shared" ref="B7:Q7" si="3">SUM(B8:B9)</f>
        <v>0.14000000000000001</v>
      </c>
      <c r="C7" s="59">
        <f t="shared" si="3"/>
        <v>0.104</v>
      </c>
      <c r="D7" s="59">
        <f t="shared" si="3"/>
        <v>0.09</v>
      </c>
      <c r="E7" s="59">
        <f t="shared" si="3"/>
        <v>0.1</v>
      </c>
      <c r="F7" s="59">
        <f t="shared" si="3"/>
        <v>0.106</v>
      </c>
      <c r="G7" s="59">
        <f t="shared" si="3"/>
        <v>0.111</v>
      </c>
      <c r="H7" s="59">
        <f t="shared" si="3"/>
        <v>0.157</v>
      </c>
      <c r="I7" s="59">
        <f t="shared" si="3"/>
        <v>0.152</v>
      </c>
      <c r="J7" s="59">
        <f t="shared" si="3"/>
        <v>0.15</v>
      </c>
      <c r="K7" s="59">
        <f t="shared" si="3"/>
        <v>0.13100000000000001</v>
      </c>
      <c r="L7" s="59">
        <f t="shared" si="3"/>
        <v>0.122</v>
      </c>
      <c r="M7" s="59">
        <f t="shared" si="3"/>
        <v>0.183</v>
      </c>
      <c r="N7" s="59">
        <f t="shared" si="3"/>
        <v>0.25800000000000001</v>
      </c>
      <c r="O7" s="59">
        <f t="shared" si="3"/>
        <v>0.20799999999999999</v>
      </c>
      <c r="P7" s="59">
        <f t="shared" si="3"/>
        <v>0.17599999999999999</v>
      </c>
      <c r="Q7" s="59">
        <f t="shared" si="3"/>
        <v>0.20899999999999999</v>
      </c>
      <c r="R7" s="59">
        <f t="shared" ref="R7:V7" si="4">SUM(R8:R9)</f>
        <v>0.14499999999999999</v>
      </c>
      <c r="S7" s="59">
        <f t="shared" si="4"/>
        <v>0.13600000000000001</v>
      </c>
      <c r="T7" s="59">
        <f t="shared" si="4"/>
        <v>0.192</v>
      </c>
      <c r="U7" s="59">
        <f t="shared" si="4"/>
        <v>0.248</v>
      </c>
      <c r="V7" s="59">
        <f t="shared" si="4"/>
        <v>0.224</v>
      </c>
      <c r="W7" s="59">
        <f t="shared" ref="W7:Y7" si="5">SUM(W8:W9)</f>
        <v>0.254</v>
      </c>
      <c r="X7" s="59">
        <f t="shared" si="5"/>
        <v>0.19400000000000001</v>
      </c>
      <c r="Y7" s="59">
        <f t="shared" si="5"/>
        <v>0.17199999999999999</v>
      </c>
      <c r="Z7" s="59"/>
      <c r="AA7" s="59"/>
      <c r="AB7" s="59"/>
      <c r="AC7" s="59"/>
      <c r="AD7" s="59"/>
      <c r="AE7" s="59"/>
      <c r="AF7" s="59"/>
      <c r="AG7" s="59"/>
      <c r="DA7" s="172" t="s">
        <v>1000</v>
      </c>
    </row>
    <row r="8" spans="1:105" ht="11.45" customHeight="1" x14ac:dyDescent="0.25">
      <c r="A8" s="55" t="s">
        <v>30</v>
      </c>
      <c r="B8" s="60">
        <v>0.14000000000000001</v>
      </c>
      <c r="C8" s="60">
        <v>0.104</v>
      </c>
      <c r="D8" s="60">
        <v>0.09</v>
      </c>
      <c r="E8" s="60">
        <v>0.1</v>
      </c>
      <c r="F8" s="60">
        <v>0.106</v>
      </c>
      <c r="G8" s="60">
        <v>0.111</v>
      </c>
      <c r="H8" s="60">
        <v>0.157</v>
      </c>
      <c r="I8" s="60">
        <v>0.152</v>
      </c>
      <c r="J8" s="60">
        <v>0.15</v>
      </c>
      <c r="K8" s="60">
        <v>0.13100000000000001</v>
      </c>
      <c r="L8" s="60">
        <v>0.122</v>
      </c>
      <c r="M8" s="60">
        <v>0.183</v>
      </c>
      <c r="N8" s="60">
        <v>0.25800000000000001</v>
      </c>
      <c r="O8" s="60">
        <v>0.20799999999999999</v>
      </c>
      <c r="P8" s="60">
        <v>0.17599999999999999</v>
      </c>
      <c r="Q8" s="60">
        <v>0.20899999999999999</v>
      </c>
      <c r="R8" s="60">
        <v>0.14499999999999999</v>
      </c>
      <c r="S8" s="60">
        <v>0.13600000000000001</v>
      </c>
      <c r="T8" s="60">
        <v>0.192</v>
      </c>
      <c r="U8" s="60">
        <v>0.248</v>
      </c>
      <c r="V8" s="60">
        <v>0.224</v>
      </c>
      <c r="W8" s="60">
        <v>0.254</v>
      </c>
      <c r="X8" s="60">
        <v>0.19400000000000001</v>
      </c>
      <c r="Y8" s="60">
        <v>0.17199999999999999</v>
      </c>
      <c r="Z8" s="60"/>
      <c r="AA8" s="60"/>
      <c r="AB8" s="60"/>
      <c r="AC8" s="60"/>
      <c r="AD8" s="60"/>
      <c r="AE8" s="60"/>
      <c r="AF8" s="60"/>
      <c r="AG8" s="60"/>
      <c r="DA8" s="181" t="s">
        <v>1001</v>
      </c>
    </row>
    <row r="9" spans="1:105" ht="11.45" customHeight="1" x14ac:dyDescent="0.25">
      <c r="A9" s="57" t="s">
        <v>31</v>
      </c>
      <c r="B9" s="61">
        <v>0</v>
      </c>
      <c r="C9" s="61">
        <v>0</v>
      </c>
      <c r="D9" s="61">
        <v>0</v>
      </c>
      <c r="E9" s="61">
        <v>0</v>
      </c>
      <c r="F9" s="61">
        <v>0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  <c r="P9" s="61">
        <v>0</v>
      </c>
      <c r="Q9" s="61">
        <v>0</v>
      </c>
      <c r="R9" s="61">
        <v>0</v>
      </c>
      <c r="S9" s="61">
        <v>0</v>
      </c>
      <c r="T9" s="61">
        <v>0</v>
      </c>
      <c r="U9" s="61">
        <v>0</v>
      </c>
      <c r="V9" s="61">
        <v>0</v>
      </c>
      <c r="W9" s="61">
        <v>0</v>
      </c>
      <c r="X9" s="61">
        <v>0</v>
      </c>
      <c r="Y9" s="61">
        <v>0</v>
      </c>
      <c r="Z9" s="61"/>
      <c r="AA9" s="61"/>
      <c r="AB9" s="61"/>
      <c r="AC9" s="61"/>
      <c r="AD9" s="61"/>
      <c r="AE9" s="61"/>
      <c r="AF9" s="61"/>
      <c r="AG9" s="61"/>
      <c r="DA9" s="182" t="s">
        <v>1002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143</v>
      </c>
      <c r="B13" s="62">
        <f t="shared" ref="B13:E15" si="6">IF(B3=0,0,B3/B7)</f>
        <v>1372.1357142857141</v>
      </c>
      <c r="C13" s="62">
        <f t="shared" si="6"/>
        <v>1605.3653846153848</v>
      </c>
      <c r="D13" s="62">
        <f t="shared" si="6"/>
        <v>1299.4888888888888</v>
      </c>
      <c r="E13" s="62">
        <f t="shared" si="6"/>
        <v>1305.6599999999999</v>
      </c>
      <c r="F13" s="62">
        <f t="shared" ref="F13:V13" si="7">IF(F3=0,0,F3/F7)</f>
        <v>1036.5094339622642</v>
      </c>
      <c r="G13" s="62">
        <f t="shared" si="7"/>
        <v>1331.4414414414414</v>
      </c>
      <c r="H13" s="62">
        <f t="shared" si="7"/>
        <v>934.25477707006371</v>
      </c>
      <c r="I13" s="62">
        <f t="shared" si="7"/>
        <v>872.69736842105272</v>
      </c>
      <c r="J13" s="62">
        <f t="shared" si="7"/>
        <v>937.11333333333346</v>
      </c>
      <c r="K13" s="62">
        <f t="shared" si="7"/>
        <v>1140.885496183206</v>
      </c>
      <c r="L13" s="62">
        <f t="shared" si="7"/>
        <v>1104.3688524590164</v>
      </c>
      <c r="M13" s="62">
        <f t="shared" si="7"/>
        <v>1087.672131147541</v>
      </c>
      <c r="N13" s="62">
        <f t="shared" si="7"/>
        <v>1133.2751937984494</v>
      </c>
      <c r="O13" s="62">
        <f t="shared" si="7"/>
        <v>1102.5192307692309</v>
      </c>
      <c r="P13" s="62">
        <f t="shared" si="7"/>
        <v>1160.1306818181818</v>
      </c>
      <c r="Q13" s="62">
        <f t="shared" si="7"/>
        <v>785.5502392344498</v>
      </c>
      <c r="R13" s="62">
        <f t="shared" si="7"/>
        <v>968.46896551724137</v>
      </c>
      <c r="S13" s="62">
        <f t="shared" si="7"/>
        <v>944.72794117647049</v>
      </c>
      <c r="T13" s="62">
        <f t="shared" si="7"/>
        <v>862.33854166666663</v>
      </c>
      <c r="U13" s="62">
        <f t="shared" si="7"/>
        <v>802.03629032258061</v>
      </c>
      <c r="V13" s="62">
        <f t="shared" si="7"/>
        <v>899.75</v>
      </c>
      <c r="W13" s="62">
        <f t="shared" ref="W13:Y13" si="8">IF(W3=0,0,W3/W7)</f>
        <v>879.88188976377955</v>
      </c>
      <c r="X13" s="62">
        <f t="shared" si="8"/>
        <v>913.58762886597935</v>
      </c>
      <c r="Y13" s="62">
        <f t="shared" si="8"/>
        <v>931.92441860465124</v>
      </c>
      <c r="Z13" s="62"/>
      <c r="AA13" s="62"/>
      <c r="AB13" s="62"/>
      <c r="AC13" s="62"/>
      <c r="AD13" s="62"/>
      <c r="AE13" s="62"/>
      <c r="AF13" s="62"/>
      <c r="AG13" s="62"/>
      <c r="DA13" s="172" t="s">
        <v>1003</v>
      </c>
    </row>
    <row r="14" spans="1:105" ht="11.45" customHeight="1" x14ac:dyDescent="0.25">
      <c r="A14" s="55" t="s">
        <v>30</v>
      </c>
      <c r="B14" s="63">
        <f t="shared" si="6"/>
        <v>1372.1357142857141</v>
      </c>
      <c r="C14" s="63">
        <f t="shared" si="6"/>
        <v>1605.3653846153848</v>
      </c>
      <c r="D14" s="63">
        <f t="shared" si="6"/>
        <v>1299.4888888888888</v>
      </c>
      <c r="E14" s="63">
        <f t="shared" si="6"/>
        <v>1305.6599999999999</v>
      </c>
      <c r="F14" s="63">
        <f t="shared" ref="F14:V14" si="9">IF(F4=0,0,F4/F8)</f>
        <v>1036.5094339622642</v>
      </c>
      <c r="G14" s="63">
        <f t="shared" si="9"/>
        <v>1331.4414414414414</v>
      </c>
      <c r="H14" s="63">
        <f t="shared" si="9"/>
        <v>934.25477707006371</v>
      </c>
      <c r="I14" s="63">
        <f t="shared" si="9"/>
        <v>872.69736842105272</v>
      </c>
      <c r="J14" s="63">
        <f t="shared" si="9"/>
        <v>937.11333333333346</v>
      </c>
      <c r="K14" s="63">
        <f t="shared" si="9"/>
        <v>1140.885496183206</v>
      </c>
      <c r="L14" s="63">
        <f t="shared" si="9"/>
        <v>1104.3688524590164</v>
      </c>
      <c r="M14" s="63">
        <f t="shared" si="9"/>
        <v>1087.672131147541</v>
      </c>
      <c r="N14" s="63">
        <f t="shared" si="9"/>
        <v>1133.2751937984494</v>
      </c>
      <c r="O14" s="63">
        <f t="shared" si="9"/>
        <v>1102.5192307692309</v>
      </c>
      <c r="P14" s="63">
        <f t="shared" si="9"/>
        <v>1160.1306818181818</v>
      </c>
      <c r="Q14" s="63">
        <f t="shared" si="9"/>
        <v>785.5502392344498</v>
      </c>
      <c r="R14" s="63">
        <f t="shared" si="9"/>
        <v>968.46896551724137</v>
      </c>
      <c r="S14" s="63">
        <f t="shared" si="9"/>
        <v>944.72794117647049</v>
      </c>
      <c r="T14" s="63">
        <f t="shared" si="9"/>
        <v>862.33854166666663</v>
      </c>
      <c r="U14" s="63">
        <f t="shared" si="9"/>
        <v>802.03629032258061</v>
      </c>
      <c r="V14" s="63">
        <f t="shared" si="9"/>
        <v>899.75</v>
      </c>
      <c r="W14" s="63">
        <f t="shared" ref="W14:Y14" si="10">IF(W4=0,0,W4/W8)</f>
        <v>879.88188976377955</v>
      </c>
      <c r="X14" s="63">
        <f t="shared" si="10"/>
        <v>913.58762886597935</v>
      </c>
      <c r="Y14" s="63">
        <f t="shared" si="10"/>
        <v>931.92441860465124</v>
      </c>
      <c r="Z14" s="63"/>
      <c r="AA14" s="63"/>
      <c r="AB14" s="63"/>
      <c r="AC14" s="63"/>
      <c r="AD14" s="63"/>
      <c r="AE14" s="63"/>
      <c r="AF14" s="63"/>
      <c r="AG14" s="63"/>
      <c r="DA14" s="181" t="s">
        <v>1004</v>
      </c>
    </row>
    <row r="15" spans="1:105" ht="11.45" customHeight="1" x14ac:dyDescent="0.25">
      <c r="A15" s="57" t="s">
        <v>31</v>
      </c>
      <c r="B15" s="64">
        <f t="shared" si="6"/>
        <v>0</v>
      </c>
      <c r="C15" s="64">
        <f t="shared" si="6"/>
        <v>0</v>
      </c>
      <c r="D15" s="64">
        <f t="shared" si="6"/>
        <v>0</v>
      </c>
      <c r="E15" s="64">
        <f t="shared" si="6"/>
        <v>0</v>
      </c>
      <c r="F15" s="64">
        <f t="shared" ref="F15:V15" si="11">IF(F5=0,0,F5/F9)</f>
        <v>0</v>
      </c>
      <c r="G15" s="64">
        <f t="shared" si="11"/>
        <v>0</v>
      </c>
      <c r="H15" s="64">
        <f t="shared" si="11"/>
        <v>0</v>
      </c>
      <c r="I15" s="64">
        <f t="shared" si="11"/>
        <v>0</v>
      </c>
      <c r="J15" s="64">
        <f t="shared" si="11"/>
        <v>0</v>
      </c>
      <c r="K15" s="64">
        <f t="shared" si="11"/>
        <v>0</v>
      </c>
      <c r="L15" s="64">
        <f t="shared" si="11"/>
        <v>0</v>
      </c>
      <c r="M15" s="64">
        <f t="shared" si="11"/>
        <v>0</v>
      </c>
      <c r="N15" s="64">
        <f t="shared" si="11"/>
        <v>0</v>
      </c>
      <c r="O15" s="64">
        <f t="shared" si="11"/>
        <v>0</v>
      </c>
      <c r="P15" s="64">
        <f t="shared" si="11"/>
        <v>0</v>
      </c>
      <c r="Q15" s="64">
        <f t="shared" si="11"/>
        <v>0</v>
      </c>
      <c r="R15" s="64">
        <f t="shared" si="11"/>
        <v>0</v>
      </c>
      <c r="S15" s="64">
        <f t="shared" si="11"/>
        <v>0</v>
      </c>
      <c r="T15" s="64">
        <f t="shared" si="11"/>
        <v>0</v>
      </c>
      <c r="U15" s="64">
        <f t="shared" si="11"/>
        <v>0</v>
      </c>
      <c r="V15" s="64">
        <f t="shared" si="11"/>
        <v>0</v>
      </c>
      <c r="W15" s="64">
        <f t="shared" ref="W15:Y15" si="12">IF(W5=0,0,W5/W9)</f>
        <v>0</v>
      </c>
      <c r="X15" s="64">
        <f t="shared" si="12"/>
        <v>0</v>
      </c>
      <c r="Y15" s="64">
        <f t="shared" si="12"/>
        <v>0</v>
      </c>
      <c r="Z15" s="64"/>
      <c r="AA15" s="64"/>
      <c r="AB15" s="64"/>
      <c r="AC15" s="64"/>
      <c r="AD15" s="64"/>
      <c r="AE15" s="64"/>
      <c r="AF15" s="64"/>
      <c r="AG15" s="64"/>
      <c r="DA15" s="182" t="s">
        <v>1005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:Y17" si="15">IF(W3=0,0,W3/W$3)</f>
        <v>1</v>
      </c>
      <c r="X17" s="65">
        <f t="shared" si="15"/>
        <v>1</v>
      </c>
      <c r="Y17" s="65">
        <f t="shared" si="15"/>
        <v>1</v>
      </c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1</v>
      </c>
      <c r="C18" s="66">
        <f t="shared" si="16"/>
        <v>1</v>
      </c>
      <c r="D18" s="66">
        <f t="shared" si="16"/>
        <v>1</v>
      </c>
      <c r="E18" s="66">
        <f t="shared" si="16"/>
        <v>1</v>
      </c>
      <c r="F18" s="66">
        <f t="shared" ref="F18:V18" si="17">IF(F4=0,0,F4/F$3)</f>
        <v>1</v>
      </c>
      <c r="G18" s="66">
        <f t="shared" si="17"/>
        <v>1</v>
      </c>
      <c r="H18" s="66">
        <f t="shared" si="17"/>
        <v>1</v>
      </c>
      <c r="I18" s="66">
        <f t="shared" si="17"/>
        <v>1</v>
      </c>
      <c r="J18" s="66">
        <f t="shared" si="17"/>
        <v>1</v>
      </c>
      <c r="K18" s="66">
        <f t="shared" si="17"/>
        <v>1</v>
      </c>
      <c r="L18" s="66">
        <f t="shared" si="17"/>
        <v>1</v>
      </c>
      <c r="M18" s="66">
        <f t="shared" si="17"/>
        <v>1</v>
      </c>
      <c r="N18" s="66">
        <f t="shared" si="17"/>
        <v>1</v>
      </c>
      <c r="O18" s="66">
        <f t="shared" si="17"/>
        <v>1</v>
      </c>
      <c r="P18" s="66">
        <f t="shared" si="17"/>
        <v>1</v>
      </c>
      <c r="Q18" s="66">
        <f t="shared" si="17"/>
        <v>1</v>
      </c>
      <c r="R18" s="66">
        <f t="shared" si="17"/>
        <v>1</v>
      </c>
      <c r="S18" s="66">
        <f t="shared" si="17"/>
        <v>1</v>
      </c>
      <c r="T18" s="66">
        <f t="shared" si="17"/>
        <v>1</v>
      </c>
      <c r="U18" s="66">
        <f t="shared" si="17"/>
        <v>1</v>
      </c>
      <c r="V18" s="66">
        <f t="shared" si="17"/>
        <v>1</v>
      </c>
      <c r="W18" s="66">
        <f t="shared" ref="W18:Y18" si="18">IF(W4=0,0,W4/W$3)</f>
        <v>1</v>
      </c>
      <c r="X18" s="66">
        <f t="shared" si="18"/>
        <v>1</v>
      </c>
      <c r="Y18" s="66">
        <f t="shared" si="18"/>
        <v>1</v>
      </c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0</v>
      </c>
      <c r="C19" s="67">
        <f t="shared" si="19"/>
        <v>0</v>
      </c>
      <c r="D19" s="67">
        <f t="shared" si="19"/>
        <v>0</v>
      </c>
      <c r="E19" s="67">
        <f t="shared" si="19"/>
        <v>0</v>
      </c>
      <c r="F19" s="67">
        <f t="shared" ref="F19:V19" si="20">IF(F5=0,0,F5/F$3)</f>
        <v>0</v>
      </c>
      <c r="G19" s="67">
        <f t="shared" si="20"/>
        <v>0</v>
      </c>
      <c r="H19" s="67">
        <f t="shared" si="20"/>
        <v>0</v>
      </c>
      <c r="I19" s="67">
        <f t="shared" si="20"/>
        <v>0</v>
      </c>
      <c r="J19" s="67">
        <f t="shared" si="20"/>
        <v>0</v>
      </c>
      <c r="K19" s="67">
        <f t="shared" si="20"/>
        <v>0</v>
      </c>
      <c r="L19" s="67">
        <f t="shared" si="20"/>
        <v>0</v>
      </c>
      <c r="M19" s="67">
        <f t="shared" si="20"/>
        <v>0</v>
      </c>
      <c r="N19" s="67">
        <f t="shared" si="20"/>
        <v>0</v>
      </c>
      <c r="O19" s="67">
        <f t="shared" si="20"/>
        <v>0</v>
      </c>
      <c r="P19" s="67">
        <f t="shared" si="20"/>
        <v>0</v>
      </c>
      <c r="Q19" s="67">
        <f t="shared" si="20"/>
        <v>0</v>
      </c>
      <c r="R19" s="67">
        <f t="shared" si="20"/>
        <v>0</v>
      </c>
      <c r="S19" s="67">
        <f t="shared" si="20"/>
        <v>0</v>
      </c>
      <c r="T19" s="67">
        <f t="shared" si="20"/>
        <v>0</v>
      </c>
      <c r="U19" s="67">
        <f t="shared" si="20"/>
        <v>0</v>
      </c>
      <c r="V19" s="67">
        <f t="shared" si="20"/>
        <v>0</v>
      </c>
      <c r="W19" s="67">
        <f t="shared" ref="W19:Y19" si="21">IF(W5=0,0,W5/W$3)</f>
        <v>0</v>
      </c>
      <c r="X19" s="67">
        <f t="shared" si="21"/>
        <v>0</v>
      </c>
      <c r="Y19" s="67">
        <f t="shared" si="21"/>
        <v>0</v>
      </c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:Y21" si="24">IF(W7=0,0,W7/W$7)</f>
        <v>1</v>
      </c>
      <c r="X21" s="65">
        <f t="shared" si="24"/>
        <v>1</v>
      </c>
      <c r="Y21" s="65">
        <f t="shared" si="24"/>
        <v>1</v>
      </c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1</v>
      </c>
      <c r="C22" s="66">
        <f t="shared" si="25"/>
        <v>1</v>
      </c>
      <c r="D22" s="66">
        <f t="shared" si="25"/>
        <v>1</v>
      </c>
      <c r="E22" s="66">
        <f t="shared" si="25"/>
        <v>1</v>
      </c>
      <c r="F22" s="66">
        <f t="shared" ref="F22:V22" si="26">IF(F8=0,0,F8/F$7)</f>
        <v>1</v>
      </c>
      <c r="G22" s="66">
        <f t="shared" si="26"/>
        <v>1</v>
      </c>
      <c r="H22" s="66">
        <f t="shared" si="26"/>
        <v>1</v>
      </c>
      <c r="I22" s="66">
        <f t="shared" si="26"/>
        <v>1</v>
      </c>
      <c r="J22" s="66">
        <f t="shared" si="26"/>
        <v>1</v>
      </c>
      <c r="K22" s="66">
        <f t="shared" si="26"/>
        <v>1</v>
      </c>
      <c r="L22" s="66">
        <f t="shared" si="26"/>
        <v>1</v>
      </c>
      <c r="M22" s="66">
        <f t="shared" si="26"/>
        <v>1</v>
      </c>
      <c r="N22" s="66">
        <f t="shared" si="26"/>
        <v>1</v>
      </c>
      <c r="O22" s="66">
        <f t="shared" si="26"/>
        <v>1</v>
      </c>
      <c r="P22" s="66">
        <f t="shared" si="26"/>
        <v>1</v>
      </c>
      <c r="Q22" s="66">
        <f t="shared" si="26"/>
        <v>1</v>
      </c>
      <c r="R22" s="66">
        <f t="shared" si="26"/>
        <v>1</v>
      </c>
      <c r="S22" s="66">
        <f t="shared" si="26"/>
        <v>1</v>
      </c>
      <c r="T22" s="66">
        <f t="shared" si="26"/>
        <v>1</v>
      </c>
      <c r="U22" s="66">
        <f t="shared" si="26"/>
        <v>1</v>
      </c>
      <c r="V22" s="66">
        <f t="shared" si="26"/>
        <v>1</v>
      </c>
      <c r="W22" s="66">
        <f t="shared" ref="W22:Y22" si="27">IF(W8=0,0,W8/W$7)</f>
        <v>1</v>
      </c>
      <c r="X22" s="66">
        <f t="shared" si="27"/>
        <v>1</v>
      </c>
      <c r="Y22" s="66">
        <f t="shared" si="27"/>
        <v>1</v>
      </c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0</v>
      </c>
      <c r="C23" s="67">
        <f t="shared" si="28"/>
        <v>0</v>
      </c>
      <c r="D23" s="67">
        <f t="shared" si="28"/>
        <v>0</v>
      </c>
      <c r="E23" s="67">
        <f t="shared" si="28"/>
        <v>0</v>
      </c>
      <c r="F23" s="67">
        <f t="shared" ref="F23:V23" si="29">IF(F9=0,0,F9/F$7)</f>
        <v>0</v>
      </c>
      <c r="G23" s="67">
        <f t="shared" si="29"/>
        <v>0</v>
      </c>
      <c r="H23" s="67">
        <f t="shared" si="29"/>
        <v>0</v>
      </c>
      <c r="I23" s="67">
        <f t="shared" si="29"/>
        <v>0</v>
      </c>
      <c r="J23" s="67">
        <f t="shared" si="29"/>
        <v>0</v>
      </c>
      <c r="K23" s="67">
        <f t="shared" si="29"/>
        <v>0</v>
      </c>
      <c r="L23" s="67">
        <f t="shared" si="29"/>
        <v>0</v>
      </c>
      <c r="M23" s="67">
        <f t="shared" si="29"/>
        <v>0</v>
      </c>
      <c r="N23" s="67">
        <f t="shared" si="29"/>
        <v>0</v>
      </c>
      <c r="O23" s="67">
        <f t="shared" si="29"/>
        <v>0</v>
      </c>
      <c r="P23" s="67">
        <f t="shared" si="29"/>
        <v>0</v>
      </c>
      <c r="Q23" s="67">
        <f t="shared" si="29"/>
        <v>0</v>
      </c>
      <c r="R23" s="67">
        <f t="shared" si="29"/>
        <v>0</v>
      </c>
      <c r="S23" s="67">
        <f t="shared" si="29"/>
        <v>0</v>
      </c>
      <c r="T23" s="67">
        <f t="shared" si="29"/>
        <v>0</v>
      </c>
      <c r="U23" s="67">
        <f t="shared" si="29"/>
        <v>0</v>
      </c>
      <c r="V23" s="67">
        <f t="shared" si="29"/>
        <v>0</v>
      </c>
      <c r="W23" s="67">
        <f t="shared" ref="W23:Y23" si="30">IF(W9=0,0,W9/W$7)</f>
        <v>0</v>
      </c>
      <c r="X23" s="67">
        <f t="shared" si="30"/>
        <v>0</v>
      </c>
      <c r="Y23" s="67">
        <f t="shared" si="30"/>
        <v>0</v>
      </c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48.325709372312978</v>
      </c>
      <c r="C3" s="62">
        <f t="shared" ref="C3:V3" si="0">SUM(C4,C10)</f>
        <v>48.48632846087704</v>
      </c>
      <c r="D3" s="62">
        <f t="shared" si="0"/>
        <v>51.60051590713671</v>
      </c>
      <c r="E3" s="62">
        <f t="shared" si="0"/>
        <v>55.700773860705084</v>
      </c>
      <c r="F3" s="62">
        <f t="shared" si="0"/>
        <v>72.588392089423905</v>
      </c>
      <c r="G3" s="62">
        <f t="shared" si="0"/>
        <v>67.4536543422184</v>
      </c>
      <c r="H3" s="62">
        <f t="shared" si="0"/>
        <v>106.26233877901976</v>
      </c>
      <c r="I3" s="62">
        <f t="shared" si="0"/>
        <v>89.301375752364578</v>
      </c>
      <c r="J3" s="62">
        <f t="shared" si="0"/>
        <v>91.624677558039537</v>
      </c>
      <c r="K3" s="62">
        <f t="shared" si="0"/>
        <v>86.004127257093714</v>
      </c>
      <c r="L3" s="62">
        <f t="shared" si="0"/>
        <v>84.226655202063625</v>
      </c>
      <c r="M3" s="62">
        <f t="shared" si="0"/>
        <v>75.717798796216684</v>
      </c>
      <c r="N3" s="62">
        <f t="shared" si="0"/>
        <v>78.899570077386073</v>
      </c>
      <c r="O3" s="62">
        <f t="shared" si="0"/>
        <v>77.605503009458289</v>
      </c>
      <c r="P3" s="62">
        <f t="shared" si="0"/>
        <v>87.264918314703337</v>
      </c>
      <c r="Q3" s="62">
        <f t="shared" si="0"/>
        <v>71.4993981083405</v>
      </c>
      <c r="R3" s="62">
        <f t="shared" si="0"/>
        <v>85.920894239036969</v>
      </c>
      <c r="S3" s="62">
        <f t="shared" si="0"/>
        <v>75.868099742046425</v>
      </c>
      <c r="T3" s="62">
        <f t="shared" si="0"/>
        <v>83.913671539122959</v>
      </c>
      <c r="U3" s="62">
        <f t="shared" si="0"/>
        <v>89.371109200343923</v>
      </c>
      <c r="V3" s="62">
        <f t="shared" si="0"/>
        <v>109.2957007738607</v>
      </c>
      <c r="W3" s="62">
        <f t="shared" ref="W3:Y3" si="1">SUM(W4,W10)</f>
        <v>116.8748065348237</v>
      </c>
      <c r="X3" s="62">
        <f t="shared" si="1"/>
        <v>98.6</v>
      </c>
      <c r="Y3" s="62">
        <f t="shared" si="1"/>
        <v>92.487790197764397</v>
      </c>
      <c r="Z3" s="62"/>
      <c r="AA3" s="62"/>
      <c r="AB3" s="62"/>
      <c r="AC3" s="62"/>
      <c r="AD3" s="62"/>
      <c r="AE3" s="62"/>
      <c r="AF3" s="62"/>
      <c r="AG3" s="62"/>
      <c r="DA3" s="172" t="s">
        <v>1007</v>
      </c>
    </row>
    <row r="4" spans="1:105" ht="11.45" customHeight="1" x14ac:dyDescent="0.25">
      <c r="A4" s="70" t="s">
        <v>30</v>
      </c>
      <c r="B4" s="71">
        <f>SUM(B5:B9)</f>
        <v>48.325709372312978</v>
      </c>
      <c r="C4" s="71">
        <f t="shared" ref="C4:V4" si="2">SUM(C5:C9)</f>
        <v>48.48632846087704</v>
      </c>
      <c r="D4" s="71">
        <f t="shared" si="2"/>
        <v>51.60051590713671</v>
      </c>
      <c r="E4" s="71">
        <f t="shared" si="2"/>
        <v>55.700773860705084</v>
      </c>
      <c r="F4" s="71">
        <f t="shared" si="2"/>
        <v>72.588392089423905</v>
      </c>
      <c r="G4" s="71">
        <f t="shared" si="2"/>
        <v>67.4536543422184</v>
      </c>
      <c r="H4" s="71">
        <f t="shared" si="2"/>
        <v>106.26233877901976</v>
      </c>
      <c r="I4" s="71">
        <f t="shared" si="2"/>
        <v>89.301375752364578</v>
      </c>
      <c r="J4" s="71">
        <f t="shared" si="2"/>
        <v>91.624677558039537</v>
      </c>
      <c r="K4" s="71">
        <f t="shared" si="2"/>
        <v>86.004127257093714</v>
      </c>
      <c r="L4" s="71">
        <f t="shared" si="2"/>
        <v>84.226655202063625</v>
      </c>
      <c r="M4" s="71">
        <f t="shared" si="2"/>
        <v>75.717798796216684</v>
      </c>
      <c r="N4" s="71">
        <f t="shared" si="2"/>
        <v>78.899570077386073</v>
      </c>
      <c r="O4" s="71">
        <f t="shared" si="2"/>
        <v>77.605503009458289</v>
      </c>
      <c r="P4" s="71">
        <f t="shared" si="2"/>
        <v>87.264918314703337</v>
      </c>
      <c r="Q4" s="71">
        <f t="shared" si="2"/>
        <v>71.4993981083405</v>
      </c>
      <c r="R4" s="71">
        <f t="shared" si="2"/>
        <v>85.920894239036969</v>
      </c>
      <c r="S4" s="71">
        <f t="shared" si="2"/>
        <v>75.868099742046425</v>
      </c>
      <c r="T4" s="71">
        <f t="shared" si="2"/>
        <v>83.913671539122959</v>
      </c>
      <c r="U4" s="71">
        <f t="shared" si="2"/>
        <v>89.371109200343923</v>
      </c>
      <c r="V4" s="71">
        <f t="shared" si="2"/>
        <v>109.2957007738607</v>
      </c>
      <c r="W4" s="71">
        <f t="shared" ref="W4:Y4" si="3">SUM(W5:W9)</f>
        <v>116.8748065348237</v>
      </c>
      <c r="X4" s="71">
        <f t="shared" si="3"/>
        <v>98.6</v>
      </c>
      <c r="Y4" s="71">
        <f t="shared" si="3"/>
        <v>92.487790197764397</v>
      </c>
      <c r="Z4" s="71"/>
      <c r="AA4" s="71"/>
      <c r="AB4" s="71"/>
      <c r="AC4" s="71"/>
      <c r="AD4" s="71"/>
      <c r="AE4" s="71"/>
      <c r="AF4" s="71"/>
      <c r="AG4" s="71"/>
      <c r="DA4" s="186" t="s">
        <v>1008</v>
      </c>
    </row>
    <row r="5" spans="1:105" ht="11.45" customHeight="1" x14ac:dyDescent="0.25">
      <c r="A5" s="72" t="s">
        <v>144</v>
      </c>
      <c r="B5" s="73">
        <v>23.703095442820288</v>
      </c>
      <c r="C5" s="73">
        <v>28.78822012037833</v>
      </c>
      <c r="D5" s="73">
        <v>33.872226999140153</v>
      </c>
      <c r="E5" s="73">
        <v>38.957351676698202</v>
      </c>
      <c r="F5" s="73">
        <v>54.860103181427341</v>
      </c>
      <c r="G5" s="73">
        <v>49.725365434221843</v>
      </c>
      <c r="H5" s="73">
        <v>80.654772141014604</v>
      </c>
      <c r="I5" s="73">
        <v>63.693809114359411</v>
      </c>
      <c r="J5" s="73">
        <v>66.017110920034384</v>
      </c>
      <c r="K5" s="73">
        <v>64.336199484092859</v>
      </c>
      <c r="L5" s="73">
        <v>64.528546861564919</v>
      </c>
      <c r="M5" s="73">
        <v>56.019690455717971</v>
      </c>
      <c r="N5" s="73">
        <v>59.20146173688736</v>
      </c>
      <c r="O5" s="73">
        <v>57.907394668959583</v>
      </c>
      <c r="P5" s="73">
        <v>72.491315563198611</v>
      </c>
      <c r="Q5" s="73">
        <v>71.4993981083405</v>
      </c>
      <c r="R5" s="73">
        <v>85.920894239036969</v>
      </c>
      <c r="S5" s="73">
        <v>75.868099742046425</v>
      </c>
      <c r="T5" s="73">
        <v>83.913671539122959</v>
      </c>
      <c r="U5" s="73">
        <v>89.371109200343923</v>
      </c>
      <c r="V5" s="73">
        <v>109.2957007738607</v>
      </c>
      <c r="W5" s="73">
        <v>116.8748065348237</v>
      </c>
      <c r="X5" s="73">
        <v>98.6</v>
      </c>
      <c r="Y5" s="73">
        <v>92.487790197764397</v>
      </c>
      <c r="Z5" s="73"/>
      <c r="AA5" s="73"/>
      <c r="AB5" s="73"/>
      <c r="AC5" s="73"/>
      <c r="AD5" s="73"/>
      <c r="AE5" s="73"/>
      <c r="AF5" s="73"/>
      <c r="AG5" s="73"/>
      <c r="DA5" s="187" t="s">
        <v>1009</v>
      </c>
    </row>
    <row r="6" spans="1:105" ht="11.45" customHeight="1" x14ac:dyDescent="0.25">
      <c r="A6" s="72" t="s">
        <v>145</v>
      </c>
      <c r="B6" s="73">
        <v>24.62261392949269</v>
      </c>
      <c r="C6" s="73">
        <v>19.69810834049871</v>
      </c>
      <c r="D6" s="73">
        <v>17.728288907996557</v>
      </c>
      <c r="E6" s="73">
        <v>16.743422184006882</v>
      </c>
      <c r="F6" s="73">
        <v>17.728288907996564</v>
      </c>
      <c r="G6" s="73">
        <v>17.728288907996557</v>
      </c>
      <c r="H6" s="73">
        <v>25.607566638005153</v>
      </c>
      <c r="I6" s="73">
        <v>25.607566638005167</v>
      </c>
      <c r="J6" s="73">
        <v>25.607566638005153</v>
      </c>
      <c r="K6" s="73">
        <v>21.667927773000855</v>
      </c>
      <c r="L6" s="73">
        <v>19.698108340498706</v>
      </c>
      <c r="M6" s="73">
        <v>19.698108340498713</v>
      </c>
      <c r="N6" s="73">
        <v>19.698108340498713</v>
      </c>
      <c r="O6" s="73">
        <v>19.698108340498706</v>
      </c>
      <c r="P6" s="73">
        <v>14.773602751504725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3">
        <v>0</v>
      </c>
      <c r="Y6" s="73">
        <v>0</v>
      </c>
      <c r="Z6" s="73"/>
      <c r="AA6" s="73"/>
      <c r="AB6" s="73"/>
      <c r="AC6" s="73"/>
      <c r="AD6" s="73"/>
      <c r="AE6" s="73"/>
      <c r="AF6" s="73"/>
      <c r="AG6" s="73"/>
      <c r="DA6" s="187" t="s">
        <v>1010</v>
      </c>
    </row>
    <row r="7" spans="1:105" ht="11.45" customHeight="1" x14ac:dyDescent="0.25">
      <c r="A7" s="72" t="s">
        <v>146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>
        <v>0</v>
      </c>
      <c r="Y7" s="73">
        <v>0</v>
      </c>
      <c r="Z7" s="73"/>
      <c r="AA7" s="73"/>
      <c r="AB7" s="73"/>
      <c r="AC7" s="73"/>
      <c r="AD7" s="73"/>
      <c r="AE7" s="73"/>
      <c r="AF7" s="73"/>
      <c r="AG7" s="73"/>
      <c r="DA7" s="187" t="s">
        <v>1011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  <c r="Z8" s="73"/>
      <c r="AA8" s="73"/>
      <c r="AB8" s="73"/>
      <c r="AC8" s="73"/>
      <c r="AD8" s="73"/>
      <c r="AE8" s="73"/>
      <c r="AF8" s="73"/>
      <c r="AG8" s="73"/>
      <c r="DA8" s="187" t="s">
        <v>1012</v>
      </c>
    </row>
    <row r="9" spans="1:105" ht="11.45" customHeight="1" x14ac:dyDescent="0.25">
      <c r="A9" s="74" t="s">
        <v>147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>
        <v>0</v>
      </c>
      <c r="Y9" s="75">
        <v>0</v>
      </c>
      <c r="Z9" s="75"/>
      <c r="AA9" s="75"/>
      <c r="AB9" s="75"/>
      <c r="AC9" s="75"/>
      <c r="AD9" s="75"/>
      <c r="AE9" s="75"/>
      <c r="AF9" s="75"/>
      <c r="AG9" s="75"/>
      <c r="DA9" s="188" t="s">
        <v>1013</v>
      </c>
    </row>
    <row r="10" spans="1:105" ht="11.45" customHeight="1" x14ac:dyDescent="0.25">
      <c r="A10" s="70" t="s">
        <v>31</v>
      </c>
      <c r="B10" s="71">
        <f>SUM(B11:B15)</f>
        <v>0</v>
      </c>
      <c r="C10" s="71">
        <f t="shared" ref="C10:V10" si="4">SUM(C11:C15)</f>
        <v>0</v>
      </c>
      <c r="D10" s="71">
        <f t="shared" si="4"/>
        <v>0</v>
      </c>
      <c r="E10" s="71">
        <f t="shared" si="4"/>
        <v>0</v>
      </c>
      <c r="F10" s="71">
        <f t="shared" si="4"/>
        <v>0</v>
      </c>
      <c r="G10" s="71">
        <f t="shared" si="4"/>
        <v>0</v>
      </c>
      <c r="H10" s="71">
        <f t="shared" si="4"/>
        <v>0</v>
      </c>
      <c r="I10" s="71">
        <f t="shared" si="4"/>
        <v>0</v>
      </c>
      <c r="J10" s="71">
        <f t="shared" si="4"/>
        <v>0</v>
      </c>
      <c r="K10" s="71">
        <f t="shared" si="4"/>
        <v>0</v>
      </c>
      <c r="L10" s="71">
        <f t="shared" si="4"/>
        <v>0</v>
      </c>
      <c r="M10" s="71">
        <f t="shared" si="4"/>
        <v>0</v>
      </c>
      <c r="N10" s="71">
        <f t="shared" si="4"/>
        <v>0</v>
      </c>
      <c r="O10" s="71">
        <f t="shared" si="4"/>
        <v>0</v>
      </c>
      <c r="P10" s="71">
        <f t="shared" si="4"/>
        <v>0</v>
      </c>
      <c r="Q10" s="71">
        <f t="shared" si="4"/>
        <v>0</v>
      </c>
      <c r="R10" s="71">
        <f t="shared" si="4"/>
        <v>0</v>
      </c>
      <c r="S10" s="71">
        <f t="shared" si="4"/>
        <v>0</v>
      </c>
      <c r="T10" s="71">
        <f t="shared" si="4"/>
        <v>0</v>
      </c>
      <c r="U10" s="71">
        <f t="shared" si="4"/>
        <v>0</v>
      </c>
      <c r="V10" s="71">
        <f t="shared" si="4"/>
        <v>0</v>
      </c>
      <c r="W10" s="71">
        <f t="shared" ref="W10:Y10" si="5">SUM(W11:W15)</f>
        <v>0</v>
      </c>
      <c r="X10" s="71">
        <f t="shared" si="5"/>
        <v>0</v>
      </c>
      <c r="Y10" s="71">
        <f t="shared" si="5"/>
        <v>0</v>
      </c>
      <c r="Z10" s="71"/>
      <c r="AA10" s="71"/>
      <c r="AB10" s="71"/>
      <c r="AC10" s="71"/>
      <c r="AD10" s="71"/>
      <c r="AE10" s="71"/>
      <c r="AF10" s="71"/>
      <c r="AG10" s="71"/>
      <c r="DA10" s="186" t="s">
        <v>1014</v>
      </c>
    </row>
    <row r="11" spans="1:105" ht="11.45" customHeight="1" x14ac:dyDescent="0.25">
      <c r="A11" s="72" t="s">
        <v>144</v>
      </c>
      <c r="B11" s="73">
        <v>0</v>
      </c>
      <c r="C11" s="73">
        <v>0</v>
      </c>
      <c r="D11" s="73">
        <v>0</v>
      </c>
      <c r="E11" s="73">
        <v>0</v>
      </c>
      <c r="F11" s="73">
        <v>0</v>
      </c>
      <c r="G11" s="73">
        <v>0</v>
      </c>
      <c r="H11" s="73">
        <v>0</v>
      </c>
      <c r="I11" s="73">
        <v>0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X11" s="73">
        <v>0</v>
      </c>
      <c r="Y11" s="73">
        <v>0</v>
      </c>
      <c r="Z11" s="73"/>
      <c r="AA11" s="73"/>
      <c r="AB11" s="73"/>
      <c r="AC11" s="73"/>
      <c r="AD11" s="73"/>
      <c r="AE11" s="73"/>
      <c r="AF11" s="73"/>
      <c r="AG11" s="73"/>
      <c r="DA11" s="187" t="s">
        <v>1015</v>
      </c>
    </row>
    <row r="12" spans="1:105" ht="11.45" customHeight="1" x14ac:dyDescent="0.25">
      <c r="A12" s="72" t="s">
        <v>145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>
        <v>0</v>
      </c>
      <c r="Y12" s="73">
        <v>0</v>
      </c>
      <c r="Z12" s="73"/>
      <c r="AA12" s="73"/>
      <c r="AB12" s="73"/>
      <c r="AC12" s="73"/>
      <c r="AD12" s="73"/>
      <c r="AE12" s="73"/>
      <c r="AF12" s="73"/>
      <c r="AG12" s="73"/>
      <c r="DA12" s="187" t="s">
        <v>1016</v>
      </c>
    </row>
    <row r="13" spans="1:105" ht="11.45" customHeight="1" x14ac:dyDescent="0.25">
      <c r="A13" s="72" t="s">
        <v>146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  <c r="Z13" s="73"/>
      <c r="AA13" s="73"/>
      <c r="AB13" s="73"/>
      <c r="AC13" s="73"/>
      <c r="AD13" s="73"/>
      <c r="AE13" s="73"/>
      <c r="AF13" s="73"/>
      <c r="AG13" s="73"/>
      <c r="DA13" s="187" t="s">
        <v>1017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  <c r="Z14" s="73"/>
      <c r="AA14" s="73"/>
      <c r="AB14" s="73"/>
      <c r="AC14" s="73"/>
      <c r="AD14" s="73"/>
      <c r="AE14" s="73"/>
      <c r="AF14" s="73"/>
      <c r="AG14" s="73"/>
      <c r="DA14" s="187" t="s">
        <v>1018</v>
      </c>
    </row>
    <row r="15" spans="1:105" ht="11.45" customHeight="1" x14ac:dyDescent="0.25">
      <c r="A15" s="74" t="s">
        <v>147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0</v>
      </c>
      <c r="Z15" s="75"/>
      <c r="AA15" s="75"/>
      <c r="AB15" s="75"/>
      <c r="AC15" s="75"/>
      <c r="AD15" s="75"/>
      <c r="AE15" s="75"/>
      <c r="AF15" s="75"/>
      <c r="AG15" s="75"/>
      <c r="DA15" s="188" t="s">
        <v>1019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34518.363837366414</v>
      </c>
      <c r="C19" s="62">
        <f>IF(C3=0,0,C3/TrNavi_act!C7*100)</f>
        <v>46621.469673920234</v>
      </c>
      <c r="D19" s="62">
        <f>IF(D3=0,0,D3/TrNavi_act!D7*100)</f>
        <v>57333.90656348523</v>
      </c>
      <c r="E19" s="62">
        <f>IF(E3=0,0,E3/TrNavi_act!E7*100)</f>
        <v>55700.773860705078</v>
      </c>
      <c r="F19" s="62">
        <f>IF(F3=0,0,F3/TrNavi_act!F7*100)</f>
        <v>68479.615178701788</v>
      </c>
      <c r="G19" s="62">
        <f>IF(G3=0,0,G3/TrNavi_act!G7*100)</f>
        <v>60769.057965962522</v>
      </c>
      <c r="H19" s="62">
        <f>IF(H3=0,0,H3/TrNavi_act!H7*100)</f>
        <v>67683.018330585837</v>
      </c>
      <c r="I19" s="62">
        <f>IF(I3=0,0,I3/TrNavi_act!I7*100)</f>
        <v>58750.905100239856</v>
      </c>
      <c r="J19" s="62">
        <f>IF(J3=0,0,J3/TrNavi_act!J7*100)</f>
        <v>61083.118372026365</v>
      </c>
      <c r="K19" s="62">
        <f>IF(K3=0,0,K3/TrNavi_act!K7*100)</f>
        <v>65652.005539766193</v>
      </c>
      <c r="L19" s="62">
        <f>IF(L3=0,0,L3/TrNavi_act!L7*100)</f>
        <v>69038.241968904622</v>
      </c>
      <c r="M19" s="62">
        <f>IF(M3=0,0,M3/TrNavi_act!M7*100)</f>
        <v>41375.846336730428</v>
      </c>
      <c r="N19" s="62">
        <f>IF(N3=0,0,N3/TrNavi_act!N7*100)</f>
        <v>30581.228712165142</v>
      </c>
      <c r="O19" s="62">
        <f>IF(O3=0,0,O3/TrNavi_act!O7*100)</f>
        <v>37310.337985316488</v>
      </c>
      <c r="P19" s="62">
        <f>IF(P3=0,0,P3/TrNavi_act!P7*100)</f>
        <v>49582.339951535985</v>
      </c>
      <c r="Q19" s="62">
        <f>IF(Q3=0,0,Q3/TrNavi_act!Q7*100)</f>
        <v>34210.238329349522</v>
      </c>
      <c r="R19" s="62">
        <f>IF(R3=0,0,R3/TrNavi_act!R7*100)</f>
        <v>59255.789130370329</v>
      </c>
      <c r="S19" s="62">
        <f>IF(S3=0,0,S3/TrNavi_act!S7*100)</f>
        <v>55785.367457387074</v>
      </c>
      <c r="T19" s="62">
        <f>IF(T3=0,0,T3/TrNavi_act!T7*100)</f>
        <v>43705.037259959878</v>
      </c>
      <c r="U19" s="62">
        <f>IF(U3=0,0,U3/TrNavi_act!U7*100)</f>
        <v>36036.73758078384</v>
      </c>
      <c r="V19" s="62">
        <f>IF(V3=0,0,V3/TrNavi_act!V7*100)</f>
        <v>48792.723559759244</v>
      </c>
      <c r="W19" s="62">
        <f>IF(W3=0,0,W3/TrNavi_act!W7*100)</f>
        <v>46013.703360166815</v>
      </c>
      <c r="X19" s="62">
        <f>IF(X3=0,0,X3/TrNavi_act!X7*100)</f>
        <v>50824.742268041235</v>
      </c>
      <c r="Y19" s="62">
        <f>IF(Y3=0,0,Y3/TrNavi_act!Y7*100)</f>
        <v>53771.971045211867</v>
      </c>
      <c r="Z19" s="62"/>
      <c r="AA19" s="62"/>
      <c r="AB19" s="62"/>
      <c r="AC19" s="62"/>
      <c r="AD19" s="62"/>
      <c r="AE19" s="62"/>
      <c r="AF19" s="62"/>
      <c r="AG19" s="62"/>
      <c r="DA19" s="172" t="s">
        <v>1020</v>
      </c>
    </row>
    <row r="20" spans="1:105" ht="11.45" customHeight="1" x14ac:dyDescent="0.25">
      <c r="A20" s="55" t="s">
        <v>30</v>
      </c>
      <c r="B20" s="63">
        <f>IF(B4=0,0,B4/TrNavi_act!B8*100)</f>
        <v>34518.363837366414</v>
      </c>
      <c r="C20" s="63">
        <f>IF(C4=0,0,C4/TrNavi_act!C8*100)</f>
        <v>46621.469673920234</v>
      </c>
      <c r="D20" s="63">
        <f>IF(D4=0,0,D4/TrNavi_act!D8*100)</f>
        <v>57333.90656348523</v>
      </c>
      <c r="E20" s="63">
        <f>IF(E4=0,0,E4/TrNavi_act!E8*100)</f>
        <v>55700.773860705078</v>
      </c>
      <c r="F20" s="63">
        <f>IF(F4=0,0,F4/TrNavi_act!F8*100)</f>
        <v>68479.615178701788</v>
      </c>
      <c r="G20" s="63">
        <f>IF(G4=0,0,G4/TrNavi_act!G8*100)</f>
        <v>60769.057965962522</v>
      </c>
      <c r="H20" s="63">
        <f>IF(H4=0,0,H4/TrNavi_act!H8*100)</f>
        <v>67683.018330585837</v>
      </c>
      <c r="I20" s="63">
        <f>IF(I4=0,0,I4/TrNavi_act!I8*100)</f>
        <v>58750.905100239856</v>
      </c>
      <c r="J20" s="63">
        <f>IF(J4=0,0,J4/TrNavi_act!J8*100)</f>
        <v>61083.118372026365</v>
      </c>
      <c r="K20" s="63">
        <f>IF(K4=0,0,K4/TrNavi_act!K8*100)</f>
        <v>65652.005539766193</v>
      </c>
      <c r="L20" s="63">
        <f>IF(L4=0,0,L4/TrNavi_act!L8*100)</f>
        <v>69038.241968904622</v>
      </c>
      <c r="M20" s="63">
        <f>IF(M4=0,0,M4/TrNavi_act!M8*100)</f>
        <v>41375.846336730428</v>
      </c>
      <c r="N20" s="63">
        <f>IF(N4=0,0,N4/TrNavi_act!N8*100)</f>
        <v>30581.228712165142</v>
      </c>
      <c r="O20" s="63">
        <f>IF(O4=0,0,O4/TrNavi_act!O8*100)</f>
        <v>37310.337985316488</v>
      </c>
      <c r="P20" s="63">
        <f>IF(P4=0,0,P4/TrNavi_act!P8*100)</f>
        <v>49582.339951535985</v>
      </c>
      <c r="Q20" s="63">
        <f>IF(Q4=0,0,Q4/TrNavi_act!Q8*100)</f>
        <v>34210.238329349522</v>
      </c>
      <c r="R20" s="63">
        <f>IF(R4=0,0,R4/TrNavi_act!R8*100)</f>
        <v>59255.789130370329</v>
      </c>
      <c r="S20" s="63">
        <f>IF(S4=0,0,S4/TrNavi_act!S8*100)</f>
        <v>55785.367457387074</v>
      </c>
      <c r="T20" s="63">
        <f>IF(T4=0,0,T4/TrNavi_act!T8*100)</f>
        <v>43705.037259959878</v>
      </c>
      <c r="U20" s="63">
        <f>IF(U4=0,0,U4/TrNavi_act!U8*100)</f>
        <v>36036.73758078384</v>
      </c>
      <c r="V20" s="63">
        <f>IF(V4=0,0,V4/TrNavi_act!V8*100)</f>
        <v>48792.723559759244</v>
      </c>
      <c r="W20" s="63">
        <f>IF(W4=0,0,W4/TrNavi_act!W8*100)</f>
        <v>46013.703360166815</v>
      </c>
      <c r="X20" s="63">
        <f>IF(X4=0,0,X4/TrNavi_act!X8*100)</f>
        <v>50824.742268041235</v>
      </c>
      <c r="Y20" s="63">
        <f>IF(Y4=0,0,Y4/TrNavi_act!Y8*100)</f>
        <v>53771.971045211867</v>
      </c>
      <c r="Z20" s="63"/>
      <c r="AA20" s="63"/>
      <c r="AB20" s="63"/>
      <c r="AC20" s="63"/>
      <c r="AD20" s="63"/>
      <c r="AE20" s="63"/>
      <c r="AF20" s="63"/>
      <c r="AG20" s="63"/>
      <c r="DA20" s="181" t="s">
        <v>1021</v>
      </c>
    </row>
    <row r="21" spans="1:105" ht="11.45" customHeight="1" x14ac:dyDescent="0.25">
      <c r="A21" s="57" t="s">
        <v>31</v>
      </c>
      <c r="B21" s="64">
        <f>IF(B10=0,0,B10/TrNavi_act!B9*100)</f>
        <v>0</v>
      </c>
      <c r="C21" s="64">
        <f>IF(C10=0,0,C10/TrNavi_act!C9*100)</f>
        <v>0</v>
      </c>
      <c r="D21" s="64">
        <f>IF(D10=0,0,D10/TrNavi_act!D9*100)</f>
        <v>0</v>
      </c>
      <c r="E21" s="64">
        <f>IF(E10=0,0,E10/TrNavi_act!E9*100)</f>
        <v>0</v>
      </c>
      <c r="F21" s="64">
        <f>IF(F10=0,0,F10/TrNavi_act!F9*100)</f>
        <v>0</v>
      </c>
      <c r="G21" s="64">
        <f>IF(G10=0,0,G10/TrNavi_act!G9*100)</f>
        <v>0</v>
      </c>
      <c r="H21" s="64">
        <f>IF(H10=0,0,H10/TrNavi_act!H9*100)</f>
        <v>0</v>
      </c>
      <c r="I21" s="64">
        <f>IF(I10=0,0,I10/TrNavi_act!I9*100)</f>
        <v>0</v>
      </c>
      <c r="J21" s="64">
        <f>IF(J10=0,0,J10/TrNavi_act!J9*100)</f>
        <v>0</v>
      </c>
      <c r="K21" s="64">
        <f>IF(K10=0,0,K10/TrNavi_act!K9*100)</f>
        <v>0</v>
      </c>
      <c r="L21" s="64">
        <f>IF(L10=0,0,L10/TrNavi_act!L9*100)</f>
        <v>0</v>
      </c>
      <c r="M21" s="64">
        <f>IF(M10=0,0,M10/TrNavi_act!M9*100)</f>
        <v>0</v>
      </c>
      <c r="N21" s="64">
        <f>IF(N10=0,0,N10/TrNavi_act!N9*100)</f>
        <v>0</v>
      </c>
      <c r="O21" s="64">
        <f>IF(O10=0,0,O10/TrNavi_act!O9*100)</f>
        <v>0</v>
      </c>
      <c r="P21" s="64">
        <f>IF(P10=0,0,P10/TrNavi_act!P9*100)</f>
        <v>0</v>
      </c>
      <c r="Q21" s="64">
        <f>IF(Q10=0,0,Q10/TrNavi_act!Q9*100)</f>
        <v>0</v>
      </c>
      <c r="R21" s="64">
        <f>IF(R10=0,0,R10/TrNavi_act!R9*100)</f>
        <v>0</v>
      </c>
      <c r="S21" s="64">
        <f>IF(S10=0,0,S10/TrNavi_act!S9*100)</f>
        <v>0</v>
      </c>
      <c r="T21" s="64">
        <f>IF(T10=0,0,T10/TrNavi_act!T9*100)</f>
        <v>0</v>
      </c>
      <c r="U21" s="64">
        <f>IF(U10=0,0,U10/TrNavi_act!U9*100)</f>
        <v>0</v>
      </c>
      <c r="V21" s="64">
        <f>IF(V10=0,0,V10/TrNavi_act!V9*100)</f>
        <v>0</v>
      </c>
      <c r="W21" s="64">
        <f>IF(W10=0,0,W10/TrNavi_act!W9*100)</f>
        <v>0</v>
      </c>
      <c r="X21" s="64">
        <f>IF(X10=0,0,X10/TrNavi_act!X9*100)</f>
        <v>0</v>
      </c>
      <c r="Y21" s="64">
        <f>IF(Y10=0,0,Y10/TrNavi_act!Y9*100)</f>
        <v>0</v>
      </c>
      <c r="Z21" s="64"/>
      <c r="AA21" s="64"/>
      <c r="AB21" s="64"/>
      <c r="AC21" s="64"/>
      <c r="AD21" s="64"/>
      <c r="AE21" s="64"/>
      <c r="AF21" s="64"/>
      <c r="AG21" s="64"/>
      <c r="DA21" s="182" t="s">
        <v>1022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162</v>
      </c>
      <c r="B23" s="62">
        <f>IF(B3=0,0,B3/TrNavi_act!B3*1000)</f>
        <v>251.5666889068292</v>
      </c>
      <c r="C23" s="62">
        <f>IF(C3=0,0,C3/TrNavi_act!C3*1000)</f>
        <v>290.4103335023002</v>
      </c>
      <c r="D23" s="62">
        <f>IF(D3=0,0,D3/TrNavi_act!D3*1000)</f>
        <v>441.20351511822355</v>
      </c>
      <c r="E23" s="62">
        <f>IF(E3=0,0,E3/TrNavi_act!E3*1000)</f>
        <v>426.61009650831829</v>
      </c>
      <c r="F23" s="62">
        <f>IF(F3=0,0,F3/TrNavi_act!F3*1000)</f>
        <v>660.67527158845814</v>
      </c>
      <c r="G23" s="62">
        <f>IF(G3=0,0,G3/TrNavi_act!G3*1000)</f>
        <v>456.41555140549701</v>
      </c>
      <c r="H23" s="62">
        <f>IF(H3=0,0,H3/TrNavi_act!H3*1000)</f>
        <v>724.45996522327664</v>
      </c>
      <c r="I23" s="62">
        <f>IF(I3=0,0,I3/TrNavi_act!I3*1000)</f>
        <v>673.21052206833451</v>
      </c>
      <c r="J23" s="62">
        <f>IF(J3=0,0,J3/TrNavi_act!J3*1000)</f>
        <v>651.82210304011278</v>
      </c>
      <c r="K23" s="62">
        <f>IF(K3=0,0,K3/TrNavi_act!K3*1000)</f>
        <v>575.44780575616721</v>
      </c>
      <c r="L23" s="62">
        <f>IF(L3=0,0,L3/TrNavi_act!L3*1000)</f>
        <v>625.1375327652737</v>
      </c>
      <c r="M23" s="62">
        <f>IF(M3=0,0,M3/TrNavi_act!M3*1000)</f>
        <v>380.40734107140474</v>
      </c>
      <c r="N23" s="62">
        <f>IF(N3=0,0,N3/TrNavi_act!N3*1000)</f>
        <v>269.84821409233058</v>
      </c>
      <c r="O23" s="62">
        <f>IF(O3=0,0,O3/TrNavi_act!O3*1000)</f>
        <v>338.40986119838436</v>
      </c>
      <c r="P23" s="62">
        <f>IF(P3=0,0,P3/TrNavi_act!P3*1000)</f>
        <v>427.38581720663984</v>
      </c>
      <c r="Q23" s="62">
        <f>IF(Q3=0,0,Q3/TrNavi_act!Q3*1000)</f>
        <v>435.49395851102753</v>
      </c>
      <c r="R23" s="62">
        <f>IF(R3=0,0,R3/TrNavi_act!R3*1000)</f>
        <v>611.85015979033369</v>
      </c>
      <c r="S23" s="62">
        <f>IF(S3=0,0,S3/TrNavi_act!S3*1000)</f>
        <v>590.49134704238247</v>
      </c>
      <c r="T23" s="62">
        <f>IF(T3=0,0,T3/TrNavi_act!T3*1000)</f>
        <v>506.81994539510998</v>
      </c>
      <c r="U23" s="62">
        <f>IF(U3=0,0,U3/TrNavi_act!U3*1000)</f>
        <v>449.31554863047148</v>
      </c>
      <c r="V23" s="62">
        <f>IF(V3=0,0,V3/TrNavi_act!V3*1000)</f>
        <v>542.29200955553483</v>
      </c>
      <c r="W23" s="62">
        <f>IF(W3=0,0,W3/TrNavi_act!W3*1000)</f>
        <v>522.9531815062137</v>
      </c>
      <c r="X23" s="62">
        <f>IF(X3=0,0,X3/TrNavi_act!X3*1000)</f>
        <v>556.32038637748542</v>
      </c>
      <c r="Y23" s="62">
        <f>IF(Y3=0,0,Y3/TrNavi_act!Y3*1000)</f>
        <v>576.99927131132995</v>
      </c>
      <c r="Z23" s="62"/>
      <c r="AA23" s="62"/>
      <c r="AB23" s="62"/>
      <c r="AC23" s="62"/>
      <c r="AD23" s="62"/>
      <c r="AE23" s="62"/>
      <c r="AF23" s="62"/>
      <c r="AG23" s="62"/>
      <c r="DA23" s="172" t="s">
        <v>429</v>
      </c>
    </row>
    <row r="24" spans="1:105" ht="11.45" customHeight="1" x14ac:dyDescent="0.25">
      <c r="A24" s="55" t="s">
        <v>30</v>
      </c>
      <c r="B24" s="63">
        <f>IF(B4=0,0,B4/TrNavi_act!B4*1000)</f>
        <v>251.5666889068292</v>
      </c>
      <c r="C24" s="63">
        <f>IF(C4=0,0,C4/TrNavi_act!C4*1000)</f>
        <v>290.4103335023002</v>
      </c>
      <c r="D24" s="63">
        <f>IF(D4=0,0,D4/TrNavi_act!D4*1000)</f>
        <v>441.20351511822355</v>
      </c>
      <c r="E24" s="63">
        <f>IF(E4=0,0,E4/TrNavi_act!E4*1000)</f>
        <v>426.61009650831829</v>
      </c>
      <c r="F24" s="63">
        <f>IF(F4=0,0,F4/TrNavi_act!F4*1000)</f>
        <v>660.67527158845814</v>
      </c>
      <c r="G24" s="63">
        <f>IF(G4=0,0,G4/TrNavi_act!G4*1000)</f>
        <v>456.41555140549701</v>
      </c>
      <c r="H24" s="63">
        <f>IF(H4=0,0,H4/TrNavi_act!H4*1000)</f>
        <v>724.45996522327664</v>
      </c>
      <c r="I24" s="63">
        <f>IF(I4=0,0,I4/TrNavi_act!I4*1000)</f>
        <v>673.21052206833451</v>
      </c>
      <c r="J24" s="63">
        <f>IF(J4=0,0,J4/TrNavi_act!J4*1000)</f>
        <v>651.82210304011278</v>
      </c>
      <c r="K24" s="63">
        <f>IF(K4=0,0,K4/TrNavi_act!K4*1000)</f>
        <v>575.44780575616721</v>
      </c>
      <c r="L24" s="63">
        <f>IF(L4=0,0,L4/TrNavi_act!L4*1000)</f>
        <v>625.1375327652737</v>
      </c>
      <c r="M24" s="63">
        <f>IF(M4=0,0,M4/TrNavi_act!M4*1000)</f>
        <v>380.40734107140474</v>
      </c>
      <c r="N24" s="63">
        <f>IF(N4=0,0,N4/TrNavi_act!N4*1000)</f>
        <v>269.84821409233058</v>
      </c>
      <c r="O24" s="63">
        <f>IF(O4=0,0,O4/TrNavi_act!O4*1000)</f>
        <v>338.40986119838436</v>
      </c>
      <c r="P24" s="63">
        <f>IF(P4=0,0,P4/TrNavi_act!P4*1000)</f>
        <v>427.38581720663984</v>
      </c>
      <c r="Q24" s="63">
        <f>IF(Q4=0,0,Q4/TrNavi_act!Q4*1000)</f>
        <v>435.49395851102753</v>
      </c>
      <c r="R24" s="63">
        <f>IF(R4=0,0,R4/TrNavi_act!R4*1000)</f>
        <v>611.85015979033369</v>
      </c>
      <c r="S24" s="63">
        <f>IF(S4=0,0,S4/TrNavi_act!S4*1000)</f>
        <v>590.49134704238247</v>
      </c>
      <c r="T24" s="63">
        <f>IF(T4=0,0,T4/TrNavi_act!T4*1000)</f>
        <v>506.81994539510998</v>
      </c>
      <c r="U24" s="63">
        <f>IF(U4=0,0,U4/TrNavi_act!U4*1000)</f>
        <v>449.31554863047148</v>
      </c>
      <c r="V24" s="63">
        <f>IF(V4=0,0,V4/TrNavi_act!V4*1000)</f>
        <v>542.29200955553483</v>
      </c>
      <c r="W24" s="63">
        <f>IF(W4=0,0,W4/TrNavi_act!W4*1000)</f>
        <v>522.9531815062137</v>
      </c>
      <c r="X24" s="63">
        <f>IF(X4=0,0,X4/TrNavi_act!X4*1000)</f>
        <v>556.32038637748542</v>
      </c>
      <c r="Y24" s="63">
        <f>IF(Y4=0,0,Y4/TrNavi_act!Y4*1000)</f>
        <v>576.99927131132995</v>
      </c>
      <c r="Z24" s="63"/>
      <c r="AA24" s="63"/>
      <c r="AB24" s="63"/>
      <c r="AC24" s="63"/>
      <c r="AD24" s="63"/>
      <c r="AE24" s="63"/>
      <c r="AF24" s="63"/>
      <c r="AG24" s="63"/>
      <c r="DA24" s="181" t="s">
        <v>430</v>
      </c>
    </row>
    <row r="25" spans="1:105" ht="11.45" customHeight="1" x14ac:dyDescent="0.25">
      <c r="A25" s="57" t="s">
        <v>31</v>
      </c>
      <c r="B25" s="64">
        <f>IF(B10=0,0,B10/TrNavi_act!B5*1000)</f>
        <v>0</v>
      </c>
      <c r="C25" s="64">
        <f>IF(C10=0,0,C10/TrNavi_act!C5*1000)</f>
        <v>0</v>
      </c>
      <c r="D25" s="64">
        <f>IF(D10=0,0,D10/TrNavi_act!D5*1000)</f>
        <v>0</v>
      </c>
      <c r="E25" s="64">
        <f>IF(E10=0,0,E10/TrNavi_act!E5*1000)</f>
        <v>0</v>
      </c>
      <c r="F25" s="64">
        <f>IF(F10=0,0,F10/TrNavi_act!F5*1000)</f>
        <v>0</v>
      </c>
      <c r="G25" s="64">
        <f>IF(G10=0,0,G10/TrNavi_act!G5*1000)</f>
        <v>0</v>
      </c>
      <c r="H25" s="64">
        <f>IF(H10=0,0,H10/TrNavi_act!H5*1000)</f>
        <v>0</v>
      </c>
      <c r="I25" s="64">
        <f>IF(I10=0,0,I10/TrNavi_act!I5*1000)</f>
        <v>0</v>
      </c>
      <c r="J25" s="64">
        <f>IF(J10=0,0,J10/TrNavi_act!J5*1000)</f>
        <v>0</v>
      </c>
      <c r="K25" s="64">
        <f>IF(K10=0,0,K10/TrNavi_act!K5*1000)</f>
        <v>0</v>
      </c>
      <c r="L25" s="64">
        <f>IF(L10=0,0,L10/TrNavi_act!L5*1000)</f>
        <v>0</v>
      </c>
      <c r="M25" s="64">
        <f>IF(M10=0,0,M10/TrNavi_act!M5*1000)</f>
        <v>0</v>
      </c>
      <c r="N25" s="64">
        <f>IF(N10=0,0,N10/TrNavi_act!N5*1000)</f>
        <v>0</v>
      </c>
      <c r="O25" s="64">
        <f>IF(O10=0,0,O10/TrNavi_act!O5*1000)</f>
        <v>0</v>
      </c>
      <c r="P25" s="64">
        <f>IF(P10=0,0,P10/TrNavi_act!P5*1000)</f>
        <v>0</v>
      </c>
      <c r="Q25" s="64">
        <f>IF(Q10=0,0,Q10/TrNavi_act!Q5*1000)</f>
        <v>0</v>
      </c>
      <c r="R25" s="64">
        <f>IF(R10=0,0,R10/TrNavi_act!R5*1000)</f>
        <v>0</v>
      </c>
      <c r="S25" s="64">
        <f>IF(S10=0,0,S10/TrNavi_act!S5*1000)</f>
        <v>0</v>
      </c>
      <c r="T25" s="64">
        <f>IF(T10=0,0,T10/TrNavi_act!T5*1000)</f>
        <v>0</v>
      </c>
      <c r="U25" s="64">
        <f>IF(U10=0,0,U10/TrNavi_act!U5*1000)</f>
        <v>0</v>
      </c>
      <c r="V25" s="64">
        <f>IF(V10=0,0,V10/TrNavi_act!V5*1000)</f>
        <v>0</v>
      </c>
      <c r="W25" s="64">
        <f>IF(W10=0,0,W10/TrNavi_act!W5*1000)</f>
        <v>0</v>
      </c>
      <c r="X25" s="64">
        <f>IF(X10=0,0,X10/TrNavi_act!X5*1000)</f>
        <v>0</v>
      </c>
      <c r="Y25" s="64">
        <f>IF(Y10=0,0,Y10/TrNavi_act!Y5*1000)</f>
        <v>0</v>
      </c>
      <c r="Z25" s="64"/>
      <c r="AA25" s="64"/>
      <c r="AB25" s="64"/>
      <c r="AC25" s="64"/>
      <c r="AD25" s="64"/>
      <c r="AE25" s="64"/>
      <c r="AF25" s="64"/>
      <c r="AG25" s="64"/>
      <c r="DA25" s="182" t="s">
        <v>431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>
        <f t="shared" ref="X27:Y27" si="8">IF(X3=0,0,X3/X$3)</f>
        <v>1</v>
      </c>
      <c r="Y27" s="76">
        <f t="shared" si="8"/>
        <v>1</v>
      </c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9">IF(B4=0,0,B4/B$3)</f>
        <v>1</v>
      </c>
      <c r="C28" s="77">
        <f t="shared" si="9"/>
        <v>1</v>
      </c>
      <c r="D28" s="77">
        <f t="shared" si="9"/>
        <v>1</v>
      </c>
      <c r="E28" s="77">
        <f t="shared" si="9"/>
        <v>1</v>
      </c>
      <c r="F28" s="77">
        <f t="shared" si="9"/>
        <v>1</v>
      </c>
      <c r="G28" s="77">
        <f t="shared" si="9"/>
        <v>1</v>
      </c>
      <c r="H28" s="77">
        <f t="shared" si="9"/>
        <v>1</v>
      </c>
      <c r="I28" s="77">
        <f t="shared" si="9"/>
        <v>1</v>
      </c>
      <c r="J28" s="77">
        <f t="shared" si="9"/>
        <v>1</v>
      </c>
      <c r="K28" s="77">
        <f t="shared" si="9"/>
        <v>1</v>
      </c>
      <c r="L28" s="77">
        <f t="shared" si="9"/>
        <v>1</v>
      </c>
      <c r="M28" s="77">
        <f t="shared" si="9"/>
        <v>1</v>
      </c>
      <c r="N28" s="77">
        <f t="shared" si="9"/>
        <v>1</v>
      </c>
      <c r="O28" s="77">
        <f t="shared" si="9"/>
        <v>1</v>
      </c>
      <c r="P28" s="77">
        <f t="shared" si="9"/>
        <v>1</v>
      </c>
      <c r="Q28" s="77">
        <f t="shared" si="9"/>
        <v>1</v>
      </c>
      <c r="R28" s="77">
        <f t="shared" si="9"/>
        <v>1</v>
      </c>
      <c r="S28" s="77">
        <f t="shared" si="9"/>
        <v>1</v>
      </c>
      <c r="T28" s="77">
        <f t="shared" si="9"/>
        <v>1</v>
      </c>
      <c r="U28" s="77">
        <f t="shared" si="9"/>
        <v>1</v>
      </c>
      <c r="V28" s="77">
        <f t="shared" ref="V28:W28" si="10">IF(V4=0,0,V4/V$3)</f>
        <v>1</v>
      </c>
      <c r="W28" s="77">
        <f t="shared" si="10"/>
        <v>1</v>
      </c>
      <c r="X28" s="77">
        <f t="shared" ref="X28:Y28" si="11">IF(X4=0,0,X4/X$3)</f>
        <v>1</v>
      </c>
      <c r="Y28" s="77">
        <f t="shared" si="11"/>
        <v>1</v>
      </c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2">IF(B10=0,0,B10/B$3)</f>
        <v>0</v>
      </c>
      <c r="C29" s="78">
        <f t="shared" si="12"/>
        <v>0</v>
      </c>
      <c r="D29" s="78">
        <f t="shared" si="12"/>
        <v>0</v>
      </c>
      <c r="E29" s="78">
        <f t="shared" si="12"/>
        <v>0</v>
      </c>
      <c r="F29" s="78">
        <f t="shared" si="12"/>
        <v>0</v>
      </c>
      <c r="G29" s="78">
        <f t="shared" si="12"/>
        <v>0</v>
      </c>
      <c r="H29" s="78">
        <f t="shared" si="12"/>
        <v>0</v>
      </c>
      <c r="I29" s="78">
        <f t="shared" si="12"/>
        <v>0</v>
      </c>
      <c r="J29" s="78">
        <f t="shared" si="12"/>
        <v>0</v>
      </c>
      <c r="K29" s="78">
        <f t="shared" si="12"/>
        <v>0</v>
      </c>
      <c r="L29" s="78">
        <f t="shared" si="12"/>
        <v>0</v>
      </c>
      <c r="M29" s="78">
        <f t="shared" si="12"/>
        <v>0</v>
      </c>
      <c r="N29" s="78">
        <f t="shared" si="12"/>
        <v>0</v>
      </c>
      <c r="O29" s="78">
        <f t="shared" si="12"/>
        <v>0</v>
      </c>
      <c r="P29" s="78">
        <f t="shared" si="12"/>
        <v>0</v>
      </c>
      <c r="Q29" s="78">
        <f t="shared" si="12"/>
        <v>0</v>
      </c>
      <c r="R29" s="78">
        <f t="shared" si="12"/>
        <v>0</v>
      </c>
      <c r="S29" s="78">
        <f t="shared" si="12"/>
        <v>0</v>
      </c>
      <c r="T29" s="78">
        <f t="shared" si="12"/>
        <v>0</v>
      </c>
      <c r="U29" s="78">
        <f t="shared" si="12"/>
        <v>0</v>
      </c>
      <c r="V29" s="78">
        <f t="shared" ref="V29:W29" si="13">IF(V10=0,0,V10/V$3)</f>
        <v>0</v>
      </c>
      <c r="W29" s="78">
        <f t="shared" si="13"/>
        <v>0</v>
      </c>
      <c r="X29" s="78">
        <f t="shared" ref="X29:Y29" si="14">IF(X10=0,0,X10/X$3)</f>
        <v>0</v>
      </c>
      <c r="Y29" s="78">
        <f t="shared" si="14"/>
        <v>0</v>
      </c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1023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153.32855796000001</v>
      </c>
      <c r="C3" s="54">
        <f t="shared" ref="C3:V3" si="1">SUM(C4:C5)</f>
        <v>153.14647428000001</v>
      </c>
      <c r="D3" s="54">
        <f t="shared" si="1"/>
        <v>162.53582904000001</v>
      </c>
      <c r="E3" s="54">
        <f t="shared" si="1"/>
        <v>175.12047288000005</v>
      </c>
      <c r="F3" s="54">
        <f t="shared" si="1"/>
        <v>227.64901068000003</v>
      </c>
      <c r="G3" s="54">
        <f t="shared" si="1"/>
        <v>211.71890376000005</v>
      </c>
      <c r="H3" s="54">
        <f t="shared" si="1"/>
        <v>333.20833163999998</v>
      </c>
      <c r="I3" s="54">
        <f t="shared" si="1"/>
        <v>280.58832108000001</v>
      </c>
      <c r="J3" s="54">
        <f t="shared" si="1"/>
        <v>287.79617628</v>
      </c>
      <c r="K3" s="54">
        <f t="shared" si="1"/>
        <v>269.81455751999999</v>
      </c>
      <c r="L3" s="54">
        <f t="shared" si="1"/>
        <v>264.02793588000003</v>
      </c>
      <c r="M3" s="54">
        <f t="shared" si="1"/>
        <v>237.62989980000003</v>
      </c>
      <c r="N3" s="54">
        <f t="shared" si="1"/>
        <v>247.50108684000006</v>
      </c>
      <c r="O3" s="54">
        <f t="shared" si="1"/>
        <v>243.48634884000001</v>
      </c>
      <c r="P3" s="54">
        <f t="shared" si="1"/>
        <v>272.77350911999997</v>
      </c>
      <c r="Q3" s="54">
        <f t="shared" si="1"/>
        <v>221.82107688000002</v>
      </c>
      <c r="R3" s="54">
        <f t="shared" si="1"/>
        <v>266.5625976</v>
      </c>
      <c r="S3" s="54">
        <f t="shared" si="1"/>
        <v>235.37461895999999</v>
      </c>
      <c r="T3" s="54">
        <f t="shared" si="1"/>
        <v>260.33535216000001</v>
      </c>
      <c r="U3" s="54">
        <f t="shared" si="1"/>
        <v>277.26660935999996</v>
      </c>
      <c r="V3" s="54">
        <f t="shared" si="1"/>
        <v>339.08103684000002</v>
      </c>
      <c r="W3" s="54">
        <f t="shared" ref="W3:Y3" si="2">SUM(W4:W5)</f>
        <v>362.59459703999994</v>
      </c>
      <c r="X3" s="54">
        <f t="shared" si="2"/>
        <v>305.89849368</v>
      </c>
      <c r="Y3" s="54">
        <f t="shared" si="2"/>
        <v>286.93585908</v>
      </c>
      <c r="Z3" s="54"/>
      <c r="AA3" s="54"/>
      <c r="AB3" s="54"/>
      <c r="AC3" s="54"/>
      <c r="AD3" s="54"/>
      <c r="AE3" s="54"/>
      <c r="AF3" s="54"/>
      <c r="AG3" s="54"/>
      <c r="DA3" s="172" t="s">
        <v>1024</v>
      </c>
    </row>
    <row r="4" spans="1:105" ht="11.45" customHeight="1" x14ac:dyDescent="0.25">
      <c r="A4" s="55" t="s">
        <v>30</v>
      </c>
      <c r="B4" s="56">
        <v>153.32855796000001</v>
      </c>
      <c r="C4" s="56">
        <v>153.14647428000001</v>
      </c>
      <c r="D4" s="56">
        <v>162.53582904000001</v>
      </c>
      <c r="E4" s="56">
        <v>175.12047288000005</v>
      </c>
      <c r="F4" s="56">
        <v>227.64901068000003</v>
      </c>
      <c r="G4" s="56">
        <v>211.71890376000005</v>
      </c>
      <c r="H4" s="56">
        <v>333.20833163999998</v>
      </c>
      <c r="I4" s="56">
        <v>280.58832108000001</v>
      </c>
      <c r="J4" s="56">
        <v>287.79617628</v>
      </c>
      <c r="K4" s="56">
        <v>269.81455751999999</v>
      </c>
      <c r="L4" s="56">
        <v>264.02793588000003</v>
      </c>
      <c r="M4" s="56">
        <v>237.62989980000003</v>
      </c>
      <c r="N4" s="56">
        <v>247.50108684000006</v>
      </c>
      <c r="O4" s="56">
        <v>243.48634884000001</v>
      </c>
      <c r="P4" s="56">
        <v>272.77350911999997</v>
      </c>
      <c r="Q4" s="56">
        <v>221.82107688000002</v>
      </c>
      <c r="R4" s="56">
        <v>266.5625976</v>
      </c>
      <c r="S4" s="56">
        <v>235.37461895999999</v>
      </c>
      <c r="T4" s="56">
        <v>260.33535216000001</v>
      </c>
      <c r="U4" s="56">
        <v>277.26660935999996</v>
      </c>
      <c r="V4" s="56">
        <v>339.08103684000002</v>
      </c>
      <c r="W4" s="56">
        <v>362.59459703999994</v>
      </c>
      <c r="X4" s="56">
        <v>305.89849368</v>
      </c>
      <c r="Y4" s="56">
        <v>286.93585908</v>
      </c>
      <c r="Z4" s="56"/>
      <c r="AA4" s="56"/>
      <c r="AB4" s="56"/>
      <c r="AC4" s="56"/>
      <c r="AD4" s="56"/>
      <c r="AE4" s="56"/>
      <c r="AF4" s="56"/>
      <c r="AG4" s="56"/>
      <c r="DA4" s="181" t="s">
        <v>1025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>
        <v>0</v>
      </c>
      <c r="Y5" s="58">
        <v>0</v>
      </c>
      <c r="Z5" s="58"/>
      <c r="AA5" s="58"/>
      <c r="AB5" s="58"/>
      <c r="AC5" s="58"/>
      <c r="AD5" s="58"/>
      <c r="AE5" s="58"/>
      <c r="AF5" s="58"/>
      <c r="AG5" s="58"/>
      <c r="DA5" s="182" t="s">
        <v>1026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148</v>
      </c>
      <c r="B9" s="79">
        <f>IF(B3=0,0,B3/TrNavi_ene!B3)</f>
        <v>3.1728154630637624</v>
      </c>
      <c r="C9" s="79">
        <f>IF(C3=0,0,C3/TrNavi_ene!C3)</f>
        <v>3.1585496188595061</v>
      </c>
      <c r="D9" s="79">
        <f>IF(D3=0,0,D3/TrNavi_ene!D3)</f>
        <v>3.1498876742338959</v>
      </c>
      <c r="E9" s="79">
        <f>IF(E3=0,0,E3/TrNavi_ene!E3)</f>
        <v>3.1439504470429149</v>
      </c>
      <c r="F9" s="79">
        <f>IF(F3=0,0,F3/TrNavi_ene!F3)</f>
        <v>3.1361627407251578</v>
      </c>
      <c r="G9" s="79">
        <f>IF(G3=0,0,G3/TrNavi_ene!G3)</f>
        <v>3.1387314123245038</v>
      </c>
      <c r="H9" s="79">
        <f>IF(H3=0,0,H3/TrNavi_ene!H3)</f>
        <v>3.1357142659256811</v>
      </c>
      <c r="I9" s="79">
        <f>IF(I3=0,0,I3/TrNavi_ene!I3)</f>
        <v>3.1420380561446213</v>
      </c>
      <c r="J9" s="79">
        <f>IF(J3=0,0,J3/TrNavi_ene!J3)</f>
        <v>3.1410334415386716</v>
      </c>
      <c r="K9" s="79">
        <f>IF(K3=0,0,K3/TrNavi_ene!K3)</f>
        <v>3.137228015969959</v>
      </c>
      <c r="L9" s="79">
        <f>IF(L3=0,0,L3/TrNavi_ene!L3)</f>
        <v>3.1347313418369143</v>
      </c>
      <c r="M9" s="79">
        <f>IF(M3=0,0,M3/TrNavi_ene!M3)</f>
        <v>3.138362493071754</v>
      </c>
      <c r="N9" s="79">
        <f>IF(N3=0,0,N3/TrNavi_ene!N3)</f>
        <v>3.1369129970828316</v>
      </c>
      <c r="O9" s="79">
        <f>IF(O3=0,0,O3/TrNavi_ene!O3)</f>
        <v>3.1374881857324568</v>
      </c>
      <c r="P9" s="79">
        <f>IF(P3=0,0,P3/TrNavi_ene!P3)</f>
        <v>3.1258094820681239</v>
      </c>
      <c r="Q9" s="79">
        <f>IF(Q3=0,0,Q3/TrNavi_ene!Q3)</f>
        <v>3.1024188000000001</v>
      </c>
      <c r="R9" s="79">
        <f>IF(R3=0,0,R3/TrNavi_ene!R3)</f>
        <v>3.1024188000000001</v>
      </c>
      <c r="S9" s="79">
        <f>IF(S3=0,0,S3/TrNavi_ene!S3)</f>
        <v>3.1024188000000001</v>
      </c>
      <c r="T9" s="79">
        <f>IF(T3=0,0,T3/TrNavi_ene!T3)</f>
        <v>3.1024188000000001</v>
      </c>
      <c r="U9" s="79">
        <f>IF(U3=0,0,U3/TrNavi_ene!U3)</f>
        <v>3.1024188000000001</v>
      </c>
      <c r="V9" s="79">
        <f>IF(V3=0,0,V3/TrNavi_ene!V3)</f>
        <v>3.1024188000000001</v>
      </c>
      <c r="W9" s="79">
        <f>IF(W3=0,0,W3/TrNavi_ene!W3)</f>
        <v>3.1024188000000001</v>
      </c>
      <c r="X9" s="79">
        <f>IF(X3=0,0,X3/TrNavi_ene!X3)</f>
        <v>3.1024188000000001</v>
      </c>
      <c r="Y9" s="79">
        <f>IF(Y3=0,0,Y3/TrNavi_ene!Y3)</f>
        <v>3.1024188000000001</v>
      </c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3.1728154630637624</v>
      </c>
      <c r="C10" s="80">
        <f>IF(C4=0,0,C4/TrNavi_ene!C4)</f>
        <v>3.1585496188595061</v>
      </c>
      <c r="D10" s="80">
        <f>IF(D4=0,0,D4/TrNavi_ene!D4)</f>
        <v>3.1498876742338959</v>
      </c>
      <c r="E10" s="80">
        <f>IF(E4=0,0,E4/TrNavi_ene!E4)</f>
        <v>3.1439504470429149</v>
      </c>
      <c r="F10" s="80">
        <f>IF(F4=0,0,F4/TrNavi_ene!F4)</f>
        <v>3.1361627407251578</v>
      </c>
      <c r="G10" s="80">
        <f>IF(G4=0,0,G4/TrNavi_ene!G4)</f>
        <v>3.1387314123245038</v>
      </c>
      <c r="H10" s="80">
        <f>IF(H4=0,0,H4/TrNavi_ene!H4)</f>
        <v>3.1357142659256811</v>
      </c>
      <c r="I10" s="80">
        <f>IF(I4=0,0,I4/TrNavi_ene!I4)</f>
        <v>3.1420380561446213</v>
      </c>
      <c r="J10" s="80">
        <f>IF(J4=0,0,J4/TrNavi_ene!J4)</f>
        <v>3.1410334415386716</v>
      </c>
      <c r="K10" s="80">
        <f>IF(K4=0,0,K4/TrNavi_ene!K4)</f>
        <v>3.137228015969959</v>
      </c>
      <c r="L10" s="80">
        <f>IF(L4=0,0,L4/TrNavi_ene!L4)</f>
        <v>3.1347313418369143</v>
      </c>
      <c r="M10" s="80">
        <f>IF(M4=0,0,M4/TrNavi_ene!M4)</f>
        <v>3.138362493071754</v>
      </c>
      <c r="N10" s="80">
        <f>IF(N4=0,0,N4/TrNavi_ene!N4)</f>
        <v>3.1369129970828316</v>
      </c>
      <c r="O10" s="80">
        <f>IF(O4=0,0,O4/TrNavi_ene!O4)</f>
        <v>3.1374881857324568</v>
      </c>
      <c r="P10" s="80">
        <f>IF(P4=0,0,P4/TrNavi_ene!P4)</f>
        <v>3.1258094820681239</v>
      </c>
      <c r="Q10" s="80">
        <f>IF(Q4=0,0,Q4/TrNavi_ene!Q4)</f>
        <v>3.1024188000000001</v>
      </c>
      <c r="R10" s="80">
        <f>IF(R4=0,0,R4/TrNavi_ene!R4)</f>
        <v>3.1024188000000001</v>
      </c>
      <c r="S10" s="80">
        <f>IF(S4=0,0,S4/TrNavi_ene!S4)</f>
        <v>3.1024188000000001</v>
      </c>
      <c r="T10" s="80">
        <f>IF(T4=0,0,T4/TrNavi_ene!T4)</f>
        <v>3.1024188000000001</v>
      </c>
      <c r="U10" s="80">
        <f>IF(U4=0,0,U4/TrNavi_ene!U4)</f>
        <v>3.1024188000000001</v>
      </c>
      <c r="V10" s="80">
        <f>IF(V4=0,0,V4/TrNavi_ene!V4)</f>
        <v>3.1024188000000001</v>
      </c>
      <c r="W10" s="80">
        <f>IF(W4=0,0,W4/TrNavi_ene!W4)</f>
        <v>3.1024188000000001</v>
      </c>
      <c r="X10" s="80">
        <f>IF(X4=0,0,X4/TrNavi_ene!X4)</f>
        <v>3.1024188000000001</v>
      </c>
      <c r="Y10" s="80">
        <f>IF(Y4=0,0,Y4/TrNavi_ene!Y4)</f>
        <v>3.1024188000000001</v>
      </c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0</v>
      </c>
      <c r="C11" s="81">
        <f>IF(C5=0,0,C5/TrNavi_ene!C10)</f>
        <v>0</v>
      </c>
      <c r="D11" s="81">
        <f>IF(D5=0,0,D5/TrNavi_ene!D10)</f>
        <v>0</v>
      </c>
      <c r="E11" s="81">
        <f>IF(E5=0,0,E5/TrNavi_ene!E10)</f>
        <v>0</v>
      </c>
      <c r="F11" s="81">
        <f>IF(F5=0,0,F5/TrNavi_ene!F10)</f>
        <v>0</v>
      </c>
      <c r="G11" s="81">
        <f>IF(G5=0,0,G5/TrNavi_ene!G10)</f>
        <v>0</v>
      </c>
      <c r="H11" s="81">
        <f>IF(H5=0,0,H5/TrNavi_ene!H10)</f>
        <v>0</v>
      </c>
      <c r="I11" s="81">
        <f>IF(I5=0,0,I5/TrNavi_ene!I10)</f>
        <v>0</v>
      </c>
      <c r="J11" s="81">
        <f>IF(J5=0,0,J5/TrNavi_ene!J10)</f>
        <v>0</v>
      </c>
      <c r="K11" s="81">
        <f>IF(K5=0,0,K5/TrNavi_ene!K10)</f>
        <v>0</v>
      </c>
      <c r="L11" s="81">
        <f>IF(L5=0,0,L5/TrNavi_ene!L10)</f>
        <v>0</v>
      </c>
      <c r="M11" s="81">
        <f>IF(M5=0,0,M5/TrNavi_ene!M10)</f>
        <v>0</v>
      </c>
      <c r="N11" s="81">
        <f>IF(N5=0,0,N5/TrNavi_ene!N10)</f>
        <v>0</v>
      </c>
      <c r="O11" s="81">
        <f>IF(O5=0,0,O5/TrNavi_ene!O10)</f>
        <v>0</v>
      </c>
      <c r="P11" s="81">
        <f>IF(P5=0,0,P5/TrNavi_ene!P10)</f>
        <v>0</v>
      </c>
      <c r="Q11" s="81">
        <f>IF(Q5=0,0,Q5/TrNavi_ene!Q10)</f>
        <v>0</v>
      </c>
      <c r="R11" s="81">
        <f>IF(R5=0,0,R5/TrNavi_ene!R10)</f>
        <v>0</v>
      </c>
      <c r="S11" s="81">
        <f>IF(S5=0,0,S5/TrNavi_ene!S10)</f>
        <v>0</v>
      </c>
      <c r="T11" s="81">
        <f>IF(T5=0,0,T5/TrNavi_ene!T10)</f>
        <v>0</v>
      </c>
      <c r="U11" s="81">
        <f>IF(U5=0,0,U5/TrNavi_ene!U10)</f>
        <v>0</v>
      </c>
      <c r="V11" s="81">
        <f>IF(V5=0,0,V5/TrNavi_ene!V10)</f>
        <v>0</v>
      </c>
      <c r="W11" s="81">
        <f>IF(W5=0,0,W5/TrNavi_ene!W10)</f>
        <v>0</v>
      </c>
      <c r="X11" s="81">
        <f>IF(X5=0,0,X5/TrNavi_ene!X10)</f>
        <v>0</v>
      </c>
      <c r="Y11" s="81">
        <f>IF(Y5=0,0,Y5/TrNavi_ene!Y10)</f>
        <v>0</v>
      </c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1095203.9854285715</v>
      </c>
      <c r="C13" s="54">
        <f>IF(C3=0,0,C3/TrNavi_act!C7*1000)</f>
        <v>1472562.2526923078</v>
      </c>
      <c r="D13" s="54">
        <f>IF(D3=0,0,D3/TrNavi_act!D7*1000)</f>
        <v>1805953.6560000002</v>
      </c>
      <c r="E13" s="54">
        <f>IF(E3=0,0,E3/TrNavi_act!E7*1000)</f>
        <v>1751204.7288000004</v>
      </c>
      <c r="F13" s="54">
        <f>IF(F3=0,0,F3/TrNavi_act!F7*1000)</f>
        <v>2147632.1762264157</v>
      </c>
      <c r="G13" s="54">
        <f>IF(G3=0,0,G3/TrNavi_act!G7*1000)</f>
        <v>1907377.5113513519</v>
      </c>
      <c r="H13" s="54">
        <f>IF(H3=0,0,H3/TrNavi_act!H7*1000)</f>
        <v>2122346.0614012736</v>
      </c>
      <c r="I13" s="54">
        <f>IF(I3=0,0,I3/TrNavi_act!I7*1000)</f>
        <v>1845975.7965789475</v>
      </c>
      <c r="J13" s="54">
        <f>IF(J3=0,0,J3/TrNavi_act!J7*1000)</f>
        <v>1918641.1752000002</v>
      </c>
      <c r="K13" s="54">
        <f>IF(K3=0,0,K3/TrNavi_act!K7*1000)</f>
        <v>2059653.1108396943</v>
      </c>
      <c r="L13" s="54">
        <f>IF(L3=0,0,L3/TrNavi_act!L7*1000)</f>
        <v>2164163.4088524594</v>
      </c>
      <c r="M13" s="54">
        <f>IF(M3=0,0,M3/TrNavi_act!M7*1000)</f>
        <v>1298524.0426229511</v>
      </c>
      <c r="N13" s="54">
        <f>IF(N3=0,0,N3/TrNavi_act!N7*1000)</f>
        <v>959306.53813953511</v>
      </c>
      <c r="O13" s="54">
        <f>IF(O3=0,0,O3/TrNavi_act!O7*1000)</f>
        <v>1170607.446346154</v>
      </c>
      <c r="P13" s="54">
        <f>IF(P3=0,0,P3/TrNavi_act!P7*1000)</f>
        <v>1549849.4836363636</v>
      </c>
      <c r="Q13" s="54">
        <f>IF(Q3=0,0,Q3/TrNavi_act!Q7*1000)</f>
        <v>1061344.8654545457</v>
      </c>
      <c r="R13" s="54">
        <f>IF(R3=0,0,R3/TrNavi_act!R7*1000)</f>
        <v>1838362.7420689657</v>
      </c>
      <c r="S13" s="54">
        <f>IF(S3=0,0,S3/TrNavi_act!S7*1000)</f>
        <v>1730695.7276470587</v>
      </c>
      <c r="T13" s="54">
        <f>IF(T3=0,0,T3/TrNavi_act!T7*1000)</f>
        <v>1355913.2925000002</v>
      </c>
      <c r="U13" s="54">
        <f>IF(U3=0,0,U3/TrNavi_act!U7*1000)</f>
        <v>1118010.5216129031</v>
      </c>
      <c r="V13" s="54">
        <f>IF(V3=0,0,V3/TrNavi_act!V7*1000)</f>
        <v>1513754.6287500001</v>
      </c>
      <c r="W13" s="54">
        <f>IF(W3=0,0,W3/TrNavi_act!W7*1000)</f>
        <v>1427537.7836220472</v>
      </c>
      <c r="X13" s="54">
        <f>IF(X3=0,0,X3/TrNavi_act!X7*1000)</f>
        <v>1576796.3591752579</v>
      </c>
      <c r="Y13" s="54">
        <f>IF(Y3=0,0,Y3/TrNavi_act!Y7*1000)</f>
        <v>1668231.7388372093</v>
      </c>
      <c r="Z13" s="62"/>
      <c r="AA13" s="62"/>
      <c r="AB13" s="62"/>
      <c r="AC13" s="62"/>
      <c r="AD13" s="62"/>
      <c r="AE13" s="62"/>
      <c r="AF13" s="62"/>
      <c r="AG13" s="62"/>
      <c r="DA13" s="172" t="s">
        <v>1027</v>
      </c>
    </row>
    <row r="14" spans="1:105" ht="11.45" customHeight="1" x14ac:dyDescent="0.25">
      <c r="A14" s="55" t="s">
        <v>30</v>
      </c>
      <c r="B14" s="56">
        <f>IF(B4=0,0,B4/TrNavi_act!B8*1000)</f>
        <v>1095203.9854285715</v>
      </c>
      <c r="C14" s="56">
        <f>IF(C4=0,0,C4/TrNavi_act!C8*1000)</f>
        <v>1472562.2526923078</v>
      </c>
      <c r="D14" s="56">
        <f>IF(D4=0,0,D4/TrNavi_act!D8*1000)</f>
        <v>1805953.6560000002</v>
      </c>
      <c r="E14" s="56">
        <f>IF(E4=0,0,E4/TrNavi_act!E8*1000)</f>
        <v>1751204.7288000004</v>
      </c>
      <c r="F14" s="56">
        <f>IF(F4=0,0,F4/TrNavi_act!F8*1000)</f>
        <v>2147632.1762264157</v>
      </c>
      <c r="G14" s="56">
        <f>IF(G4=0,0,G4/TrNavi_act!G8*1000)</f>
        <v>1907377.5113513519</v>
      </c>
      <c r="H14" s="56">
        <f>IF(H4=0,0,H4/TrNavi_act!H8*1000)</f>
        <v>2122346.0614012736</v>
      </c>
      <c r="I14" s="56">
        <f>IF(I4=0,0,I4/TrNavi_act!I8*1000)</f>
        <v>1845975.7965789475</v>
      </c>
      <c r="J14" s="56">
        <f>IF(J4=0,0,J4/TrNavi_act!J8*1000)</f>
        <v>1918641.1752000002</v>
      </c>
      <c r="K14" s="56">
        <f>IF(K4=0,0,K4/TrNavi_act!K8*1000)</f>
        <v>2059653.1108396943</v>
      </c>
      <c r="L14" s="56">
        <f>IF(L4=0,0,L4/TrNavi_act!L8*1000)</f>
        <v>2164163.4088524594</v>
      </c>
      <c r="M14" s="56">
        <f>IF(M4=0,0,M4/TrNavi_act!M8*1000)</f>
        <v>1298524.0426229511</v>
      </c>
      <c r="N14" s="56">
        <f>IF(N4=0,0,N4/TrNavi_act!N8*1000)</f>
        <v>959306.53813953511</v>
      </c>
      <c r="O14" s="56">
        <f>IF(O4=0,0,O4/TrNavi_act!O8*1000)</f>
        <v>1170607.446346154</v>
      </c>
      <c r="P14" s="56">
        <f>IF(P4=0,0,P4/TrNavi_act!P8*1000)</f>
        <v>1549849.4836363636</v>
      </c>
      <c r="Q14" s="56">
        <f>IF(Q4=0,0,Q4/TrNavi_act!Q8*1000)</f>
        <v>1061344.8654545457</v>
      </c>
      <c r="R14" s="56">
        <f>IF(R4=0,0,R4/TrNavi_act!R8*1000)</f>
        <v>1838362.7420689657</v>
      </c>
      <c r="S14" s="56">
        <f>IF(S4=0,0,S4/TrNavi_act!S8*1000)</f>
        <v>1730695.7276470587</v>
      </c>
      <c r="T14" s="56">
        <f>IF(T4=0,0,T4/TrNavi_act!T8*1000)</f>
        <v>1355913.2925000002</v>
      </c>
      <c r="U14" s="56">
        <f>IF(U4=0,0,U4/TrNavi_act!U8*1000)</f>
        <v>1118010.5216129031</v>
      </c>
      <c r="V14" s="56">
        <f>IF(V4=0,0,V4/TrNavi_act!V8*1000)</f>
        <v>1513754.6287500001</v>
      </c>
      <c r="W14" s="56">
        <f>IF(W4=0,0,W4/TrNavi_act!W8*1000)</f>
        <v>1427537.7836220472</v>
      </c>
      <c r="X14" s="56">
        <f>IF(X4=0,0,X4/TrNavi_act!X8*1000)</f>
        <v>1576796.3591752579</v>
      </c>
      <c r="Y14" s="56">
        <f>IF(Y4=0,0,Y4/TrNavi_act!Y8*1000)</f>
        <v>1668231.7388372093</v>
      </c>
      <c r="Z14" s="63"/>
      <c r="AA14" s="63"/>
      <c r="AB14" s="63"/>
      <c r="AC14" s="63"/>
      <c r="AD14" s="63"/>
      <c r="AE14" s="63"/>
      <c r="AF14" s="63"/>
      <c r="AG14" s="63"/>
      <c r="DA14" s="181" t="s">
        <v>1028</v>
      </c>
    </row>
    <row r="15" spans="1:105" ht="11.45" customHeight="1" x14ac:dyDescent="0.25">
      <c r="A15" s="57" t="s">
        <v>31</v>
      </c>
      <c r="B15" s="58">
        <f>IF(B5=0,0,B5/TrNavi_act!B9*1000)</f>
        <v>0</v>
      </c>
      <c r="C15" s="58">
        <f>IF(C5=0,0,C5/TrNavi_act!C9*1000)</f>
        <v>0</v>
      </c>
      <c r="D15" s="58">
        <f>IF(D5=0,0,D5/TrNavi_act!D9*1000)</f>
        <v>0</v>
      </c>
      <c r="E15" s="58">
        <f>IF(E5=0,0,E5/TrNavi_act!E9*1000)</f>
        <v>0</v>
      </c>
      <c r="F15" s="58">
        <f>IF(F5=0,0,F5/TrNavi_act!F9*1000)</f>
        <v>0</v>
      </c>
      <c r="G15" s="58">
        <f>IF(G5=0,0,G5/TrNavi_act!G9*1000)</f>
        <v>0</v>
      </c>
      <c r="H15" s="58">
        <f>IF(H5=0,0,H5/TrNavi_act!H9*1000)</f>
        <v>0</v>
      </c>
      <c r="I15" s="58">
        <f>IF(I5=0,0,I5/TrNavi_act!I9*1000)</f>
        <v>0</v>
      </c>
      <c r="J15" s="58">
        <f>IF(J5=0,0,J5/TrNavi_act!J9*1000)</f>
        <v>0</v>
      </c>
      <c r="K15" s="58">
        <f>IF(K5=0,0,K5/TrNavi_act!K9*1000)</f>
        <v>0</v>
      </c>
      <c r="L15" s="58">
        <f>IF(L5=0,0,L5/TrNavi_act!L9*1000)</f>
        <v>0</v>
      </c>
      <c r="M15" s="58">
        <f>IF(M5=0,0,M5/TrNavi_act!M9*1000)</f>
        <v>0</v>
      </c>
      <c r="N15" s="58">
        <f>IF(N5=0,0,N5/TrNavi_act!N9*1000)</f>
        <v>0</v>
      </c>
      <c r="O15" s="58">
        <f>IF(O5=0,0,O5/TrNavi_act!O9*1000)</f>
        <v>0</v>
      </c>
      <c r="P15" s="58">
        <f>IF(P5=0,0,P5/TrNavi_act!P9*1000)</f>
        <v>0</v>
      </c>
      <c r="Q15" s="58">
        <f>IF(Q5=0,0,Q5/TrNavi_act!Q9*1000)</f>
        <v>0</v>
      </c>
      <c r="R15" s="58">
        <f>IF(R5=0,0,R5/TrNavi_act!R9*1000)</f>
        <v>0</v>
      </c>
      <c r="S15" s="58">
        <f>IF(S5=0,0,S5/TrNavi_act!S9*1000)</f>
        <v>0</v>
      </c>
      <c r="T15" s="58">
        <f>IF(T5=0,0,T5/TrNavi_act!T9*1000)</f>
        <v>0</v>
      </c>
      <c r="U15" s="58">
        <f>IF(U5=0,0,U5/TrNavi_act!U9*1000)</f>
        <v>0</v>
      </c>
      <c r="V15" s="58">
        <f>IF(V5=0,0,V5/TrNavi_act!V9*1000)</f>
        <v>0</v>
      </c>
      <c r="W15" s="58">
        <f>IF(W5=0,0,W5/TrNavi_act!W9*1000)</f>
        <v>0</v>
      </c>
      <c r="X15" s="58">
        <f>IF(X5=0,0,X5/TrNavi_act!X9*1000)</f>
        <v>0</v>
      </c>
      <c r="Y15" s="58">
        <f>IF(Y5=0,0,Y5/TrNavi_act!Y9*1000)</f>
        <v>0</v>
      </c>
      <c r="Z15" s="64"/>
      <c r="AA15" s="64"/>
      <c r="AB15" s="64"/>
      <c r="AC15" s="64"/>
      <c r="AD15" s="64"/>
      <c r="AE15" s="64"/>
      <c r="AF15" s="64"/>
      <c r="AG15" s="64"/>
      <c r="DA15" s="182" t="s">
        <v>1029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163</v>
      </c>
      <c r="B17" s="62">
        <f>IF(B3=0,0,B3/TrNavi_act!B3*1000)</f>
        <v>798.1746805553388</v>
      </c>
      <c r="C17" s="62">
        <f>IF(C3=0,0,C3/TrNavi_act!C3*1000)</f>
        <v>917.27544819655247</v>
      </c>
      <c r="D17" s="62">
        <f>IF(D3=0,0,D3/TrNavi_act!D3*1000)</f>
        <v>1389.7415140995606</v>
      </c>
      <c r="E17" s="62">
        <f>IF(E3=0,0,E3/TrNavi_act!E3*1000)</f>
        <v>1341.2410036303481</v>
      </c>
      <c r="F17" s="62">
        <f>IF(F3=0,0,F3/TrNavi_act!F3*1000)</f>
        <v>2071.9851704741973</v>
      </c>
      <c r="G17" s="62">
        <f>IF(G3=0,0,G3/TrNavi_act!G3*1000)</f>
        <v>1432.5658282698428</v>
      </c>
      <c r="H17" s="62">
        <f>IF(H3=0,0,H3/TrNavi_act!H3*1000)</f>
        <v>2271.6994480426515</v>
      </c>
      <c r="I17" s="62">
        <f>IF(I3=0,0,I3/TrNavi_act!I3*1000)</f>
        <v>2115.2530801356957</v>
      </c>
      <c r="J17" s="62">
        <f>IF(J3=0,0,J3/TrNavi_act!J3*1000)</f>
        <v>2047.3950235830598</v>
      </c>
      <c r="K17" s="62">
        <f>IF(K3=0,0,K3/TrNavi_act!K3*1000)</f>
        <v>1805.3109779466868</v>
      </c>
      <c r="L17" s="62">
        <f>IF(L3=0,0,L3/TrNavi_act!L3*1000)</f>
        <v>1959.6382169179046</v>
      </c>
      <c r="M17" s="62">
        <f>IF(M3=0,0,M3/TrNavi_act!M3*1000)</f>
        <v>1193.8561313076505</v>
      </c>
      <c r="N17" s="62">
        <f>IF(N3=0,0,N3/TrNavi_act!N3*1000)</f>
        <v>846.49037002582236</v>
      </c>
      <c r="O17" s="62">
        <f>IF(O3=0,0,O3/TrNavi_act!O3*1000)</f>
        <v>1061.7569414452914</v>
      </c>
      <c r="P17" s="62">
        <f>IF(P3=0,0,P3/TrNavi_act!P3*1000)</f>
        <v>1335.9266399259486</v>
      </c>
      <c r="Q17" s="62">
        <f>IF(Q3=0,0,Q3/TrNavi_act!Q3*1000)</f>
        <v>1351.0846441710319</v>
      </c>
      <c r="R17" s="62">
        <f>IF(R3=0,0,R3/TrNavi_act!R3*1000)</f>
        <v>1898.2154385165352</v>
      </c>
      <c r="S17" s="62">
        <f>IF(S3=0,0,S3/TrNavi_act!S3*1000)</f>
        <v>1831.9514563016116</v>
      </c>
      <c r="T17" s="62">
        <f>IF(T3=0,0,T3/TrNavi_act!T3*1000)</f>
        <v>1572.3677268087629</v>
      </c>
      <c r="U17" s="62">
        <f>IF(U3=0,0,U3/TrNavi_act!U3*1000)</f>
        <v>1393.9650052034888</v>
      </c>
      <c r="V17" s="62">
        <f>IF(V3=0,0,V3/TrNavi_act!V3*1000)</f>
        <v>1682.4169255348709</v>
      </c>
      <c r="W17" s="62">
        <f>IF(W3=0,0,W3/TrNavi_act!W3*1000)</f>
        <v>1622.4197818246896</v>
      </c>
      <c r="X17" s="62">
        <f>IF(X3=0,0,X3/TrNavi_act!X3*1000)</f>
        <v>1725.9388255207746</v>
      </c>
      <c r="Y17" s="62">
        <f>IF(Y3=0,0,Y3/TrNavi_act!Y3*1000)</f>
        <v>1790.093386902571</v>
      </c>
      <c r="Z17" s="62"/>
      <c r="AA17" s="62"/>
      <c r="AB17" s="62"/>
      <c r="AC17" s="62"/>
      <c r="AD17" s="62"/>
      <c r="AE17" s="62"/>
      <c r="AF17" s="62"/>
      <c r="AG17" s="62"/>
      <c r="DA17" s="172" t="s">
        <v>449</v>
      </c>
    </row>
    <row r="18" spans="1:105" ht="11.45" customHeight="1" x14ac:dyDescent="0.25">
      <c r="A18" s="55" t="s">
        <v>30</v>
      </c>
      <c r="B18" s="63">
        <f>IF(B4=0,0,B4/TrNavi_act!B4*1000)</f>
        <v>798.1746805553388</v>
      </c>
      <c r="C18" s="63">
        <f>IF(C4=0,0,C4/TrNavi_act!C4*1000)</f>
        <v>917.27544819655247</v>
      </c>
      <c r="D18" s="63">
        <f>IF(D4=0,0,D4/TrNavi_act!D4*1000)</f>
        <v>1389.7415140995606</v>
      </c>
      <c r="E18" s="63">
        <f>IF(E4=0,0,E4/TrNavi_act!E4*1000)</f>
        <v>1341.2410036303481</v>
      </c>
      <c r="F18" s="63">
        <f>IF(F4=0,0,F4/TrNavi_act!F4*1000)</f>
        <v>2071.9851704741973</v>
      </c>
      <c r="G18" s="63">
        <f>IF(G4=0,0,G4/TrNavi_act!G4*1000)</f>
        <v>1432.5658282698428</v>
      </c>
      <c r="H18" s="63">
        <f>IF(H4=0,0,H4/TrNavi_act!H4*1000)</f>
        <v>2271.6994480426515</v>
      </c>
      <c r="I18" s="63">
        <f>IF(I4=0,0,I4/TrNavi_act!I4*1000)</f>
        <v>2115.2530801356957</v>
      </c>
      <c r="J18" s="63">
        <f>IF(J4=0,0,J4/TrNavi_act!J4*1000)</f>
        <v>2047.3950235830598</v>
      </c>
      <c r="K18" s="63">
        <f>IF(K4=0,0,K4/TrNavi_act!K4*1000)</f>
        <v>1805.3109779466868</v>
      </c>
      <c r="L18" s="63">
        <f>IF(L4=0,0,L4/TrNavi_act!L4*1000)</f>
        <v>1959.6382169179046</v>
      </c>
      <c r="M18" s="63">
        <f>IF(M4=0,0,M4/TrNavi_act!M4*1000)</f>
        <v>1193.8561313076505</v>
      </c>
      <c r="N18" s="63">
        <f>IF(N4=0,0,N4/TrNavi_act!N4*1000)</f>
        <v>846.49037002582236</v>
      </c>
      <c r="O18" s="63">
        <f>IF(O4=0,0,O4/TrNavi_act!O4*1000)</f>
        <v>1061.7569414452914</v>
      </c>
      <c r="P18" s="63">
        <f>IF(P4=0,0,P4/TrNavi_act!P4*1000)</f>
        <v>1335.9266399259486</v>
      </c>
      <c r="Q18" s="63">
        <f>IF(Q4=0,0,Q4/TrNavi_act!Q4*1000)</f>
        <v>1351.0846441710319</v>
      </c>
      <c r="R18" s="63">
        <f>IF(R4=0,0,R4/TrNavi_act!R4*1000)</f>
        <v>1898.2154385165352</v>
      </c>
      <c r="S18" s="63">
        <f>IF(S4=0,0,S4/TrNavi_act!S4*1000)</f>
        <v>1831.9514563016116</v>
      </c>
      <c r="T18" s="63">
        <f>IF(T4=0,0,T4/TrNavi_act!T4*1000)</f>
        <v>1572.3677268087629</v>
      </c>
      <c r="U18" s="63">
        <f>IF(U4=0,0,U4/TrNavi_act!U4*1000)</f>
        <v>1393.9650052034888</v>
      </c>
      <c r="V18" s="63">
        <f>IF(V4=0,0,V4/TrNavi_act!V4*1000)</f>
        <v>1682.4169255348709</v>
      </c>
      <c r="W18" s="63">
        <f>IF(W4=0,0,W4/TrNavi_act!W4*1000)</f>
        <v>1622.4197818246896</v>
      </c>
      <c r="X18" s="63">
        <f>IF(X4=0,0,X4/TrNavi_act!X4*1000)</f>
        <v>1725.9388255207746</v>
      </c>
      <c r="Y18" s="63">
        <f>IF(Y4=0,0,Y4/TrNavi_act!Y4*1000)</f>
        <v>1790.093386902571</v>
      </c>
      <c r="Z18" s="63"/>
      <c r="AA18" s="63"/>
      <c r="AB18" s="63"/>
      <c r="AC18" s="63"/>
      <c r="AD18" s="63"/>
      <c r="AE18" s="63"/>
      <c r="AF18" s="63"/>
      <c r="AG18" s="63"/>
      <c r="DA18" s="181" t="s">
        <v>450</v>
      </c>
    </row>
    <row r="19" spans="1:105" ht="11.45" customHeight="1" x14ac:dyDescent="0.25">
      <c r="A19" s="57" t="s">
        <v>31</v>
      </c>
      <c r="B19" s="64">
        <f>IF(B5=0,0,B5/TrNavi_act!B5*1000)</f>
        <v>0</v>
      </c>
      <c r="C19" s="64">
        <f>IF(C5=0,0,C5/TrNavi_act!C5*1000)</f>
        <v>0</v>
      </c>
      <c r="D19" s="64">
        <f>IF(D5=0,0,D5/TrNavi_act!D5*1000)</f>
        <v>0</v>
      </c>
      <c r="E19" s="64">
        <f>IF(E5=0,0,E5/TrNavi_act!E5*1000)</f>
        <v>0</v>
      </c>
      <c r="F19" s="64">
        <f>IF(F5=0,0,F5/TrNavi_act!F5*1000)</f>
        <v>0</v>
      </c>
      <c r="G19" s="64">
        <f>IF(G5=0,0,G5/TrNavi_act!G5*1000)</f>
        <v>0</v>
      </c>
      <c r="H19" s="64">
        <f>IF(H5=0,0,H5/TrNavi_act!H5*1000)</f>
        <v>0</v>
      </c>
      <c r="I19" s="64">
        <f>IF(I5=0,0,I5/TrNavi_act!I5*1000)</f>
        <v>0</v>
      </c>
      <c r="J19" s="64">
        <f>IF(J5=0,0,J5/TrNavi_act!J5*1000)</f>
        <v>0</v>
      </c>
      <c r="K19" s="64">
        <f>IF(K5=0,0,K5/TrNavi_act!K5*1000)</f>
        <v>0</v>
      </c>
      <c r="L19" s="64">
        <f>IF(L5=0,0,L5/TrNavi_act!L5*1000)</f>
        <v>0</v>
      </c>
      <c r="M19" s="64">
        <f>IF(M5=0,0,M5/TrNavi_act!M5*1000)</f>
        <v>0</v>
      </c>
      <c r="N19" s="64">
        <f>IF(N5=0,0,N5/TrNavi_act!N5*1000)</f>
        <v>0</v>
      </c>
      <c r="O19" s="64">
        <f>IF(O5=0,0,O5/TrNavi_act!O5*1000)</f>
        <v>0</v>
      </c>
      <c r="P19" s="64">
        <f>IF(P5=0,0,P5/TrNavi_act!P5*1000)</f>
        <v>0</v>
      </c>
      <c r="Q19" s="64">
        <f>IF(Q5=0,0,Q5/TrNavi_act!Q5*1000)</f>
        <v>0</v>
      </c>
      <c r="R19" s="64">
        <f>IF(R5=0,0,R5/TrNavi_act!R5*1000)</f>
        <v>0</v>
      </c>
      <c r="S19" s="64">
        <f>IF(S5=0,0,S5/TrNavi_act!S5*1000)</f>
        <v>0</v>
      </c>
      <c r="T19" s="64">
        <f>IF(T5=0,0,T5/TrNavi_act!T5*1000)</f>
        <v>0</v>
      </c>
      <c r="U19" s="64">
        <f>IF(U5=0,0,U5/TrNavi_act!U5*1000)</f>
        <v>0</v>
      </c>
      <c r="V19" s="64">
        <f>IF(V5=0,0,V5/TrNavi_act!V5*1000)</f>
        <v>0</v>
      </c>
      <c r="W19" s="64">
        <f>IF(W5=0,0,W5/TrNavi_act!W5*1000)</f>
        <v>0</v>
      </c>
      <c r="X19" s="64">
        <f>IF(X5=0,0,X5/TrNavi_act!X5*1000)</f>
        <v>0</v>
      </c>
      <c r="Y19" s="64">
        <f>IF(Y5=0,0,Y5/TrNavi_act!Y5*1000)</f>
        <v>0</v>
      </c>
      <c r="Z19" s="64"/>
      <c r="AA19" s="64"/>
      <c r="AB19" s="64"/>
      <c r="AC19" s="64"/>
      <c r="AD19" s="64"/>
      <c r="AE19" s="64"/>
      <c r="AF19" s="64"/>
      <c r="AG19" s="64"/>
      <c r="DA19" s="182" t="s">
        <v>451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>
        <f t="shared" ref="X21:Y21" si="5">IF(X3=0,0,X3/X$3)</f>
        <v>1</v>
      </c>
      <c r="Y21" s="76">
        <f t="shared" si="5"/>
        <v>1</v>
      </c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6">IF(B4=0,0,B4/B$3)</f>
        <v>1</v>
      </c>
      <c r="C22" s="77">
        <f t="shared" si="6"/>
        <v>1</v>
      </c>
      <c r="D22" s="77">
        <f t="shared" si="6"/>
        <v>1</v>
      </c>
      <c r="E22" s="77">
        <f t="shared" si="6"/>
        <v>1</v>
      </c>
      <c r="F22" s="77">
        <f t="shared" si="6"/>
        <v>1</v>
      </c>
      <c r="G22" s="77">
        <f t="shared" si="6"/>
        <v>1</v>
      </c>
      <c r="H22" s="77">
        <f t="shared" si="6"/>
        <v>1</v>
      </c>
      <c r="I22" s="77">
        <f t="shared" si="6"/>
        <v>1</v>
      </c>
      <c r="J22" s="77">
        <f t="shared" si="6"/>
        <v>1</v>
      </c>
      <c r="K22" s="77">
        <f t="shared" si="6"/>
        <v>1</v>
      </c>
      <c r="L22" s="77">
        <f t="shared" si="6"/>
        <v>1</v>
      </c>
      <c r="M22" s="77">
        <f t="shared" si="6"/>
        <v>1</v>
      </c>
      <c r="N22" s="77">
        <f t="shared" si="6"/>
        <v>1</v>
      </c>
      <c r="O22" s="77">
        <f t="shared" si="6"/>
        <v>1</v>
      </c>
      <c r="P22" s="77">
        <f t="shared" si="6"/>
        <v>1</v>
      </c>
      <c r="Q22" s="77">
        <f t="shared" si="6"/>
        <v>1</v>
      </c>
      <c r="R22" s="77">
        <f t="shared" si="6"/>
        <v>1</v>
      </c>
      <c r="S22" s="77">
        <f t="shared" si="6"/>
        <v>1</v>
      </c>
      <c r="T22" s="77">
        <f t="shared" si="6"/>
        <v>1</v>
      </c>
      <c r="U22" s="77">
        <f t="shared" si="6"/>
        <v>1</v>
      </c>
      <c r="V22" s="77">
        <f t="shared" ref="V22:W22" si="7">IF(V4=0,0,V4/V$3)</f>
        <v>1</v>
      </c>
      <c r="W22" s="77">
        <f t="shared" si="7"/>
        <v>1</v>
      </c>
      <c r="X22" s="77">
        <f t="shared" ref="X22:Y22" si="8">IF(X4=0,0,X4/X$3)</f>
        <v>1</v>
      </c>
      <c r="Y22" s="77">
        <f t="shared" si="8"/>
        <v>1</v>
      </c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9">IF(B5=0,0,B5/B$3)</f>
        <v>0</v>
      </c>
      <c r="C23" s="78">
        <f t="shared" si="9"/>
        <v>0</v>
      </c>
      <c r="D23" s="78">
        <f t="shared" si="9"/>
        <v>0</v>
      </c>
      <c r="E23" s="78">
        <f t="shared" si="9"/>
        <v>0</v>
      </c>
      <c r="F23" s="78">
        <f t="shared" si="9"/>
        <v>0</v>
      </c>
      <c r="G23" s="78">
        <f t="shared" si="9"/>
        <v>0</v>
      </c>
      <c r="H23" s="78">
        <f t="shared" si="9"/>
        <v>0</v>
      </c>
      <c r="I23" s="78">
        <f t="shared" si="9"/>
        <v>0</v>
      </c>
      <c r="J23" s="78">
        <f t="shared" si="9"/>
        <v>0</v>
      </c>
      <c r="K23" s="78">
        <f t="shared" si="9"/>
        <v>0</v>
      </c>
      <c r="L23" s="78">
        <f t="shared" si="9"/>
        <v>0</v>
      </c>
      <c r="M23" s="78">
        <f t="shared" si="9"/>
        <v>0</v>
      </c>
      <c r="N23" s="78">
        <f t="shared" si="9"/>
        <v>0</v>
      </c>
      <c r="O23" s="78">
        <f t="shared" si="9"/>
        <v>0</v>
      </c>
      <c r="P23" s="78">
        <f t="shared" si="9"/>
        <v>0</v>
      </c>
      <c r="Q23" s="78">
        <f t="shared" si="9"/>
        <v>0</v>
      </c>
      <c r="R23" s="78">
        <f t="shared" si="9"/>
        <v>0</v>
      </c>
      <c r="S23" s="78">
        <f t="shared" si="9"/>
        <v>0</v>
      </c>
      <c r="T23" s="78">
        <f t="shared" si="9"/>
        <v>0</v>
      </c>
      <c r="U23" s="78">
        <f t="shared" si="9"/>
        <v>0</v>
      </c>
      <c r="V23" s="78">
        <f t="shared" ref="V23:W23" si="10">IF(V5=0,0,V5/V$3)</f>
        <v>0</v>
      </c>
      <c r="W23" s="78">
        <f t="shared" si="10"/>
        <v>0</v>
      </c>
      <c r="X23" s="78">
        <f t="shared" ref="X23:Y23" si="11">IF(X5=0,0,X5/X$3)</f>
        <v>0</v>
      </c>
      <c r="Y23" s="78">
        <f t="shared" si="11"/>
        <v>0</v>
      </c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164</v>
      </c>
      <c r="B3" s="54">
        <f t="shared" ref="B3:Q3" si="0">SUM(B4:B5)</f>
        <v>47158.639575000001</v>
      </c>
      <c r="C3" s="54">
        <f t="shared" si="0"/>
        <v>52640.976501000005</v>
      </c>
      <c r="D3" s="54">
        <f t="shared" si="0"/>
        <v>57626.170567000001</v>
      </c>
      <c r="E3" s="54">
        <f t="shared" si="0"/>
        <v>57755.690337</v>
      </c>
      <c r="F3" s="54">
        <f t="shared" si="0"/>
        <v>58141.324795</v>
      </c>
      <c r="G3" s="54">
        <f t="shared" si="0"/>
        <v>59929.877742999997</v>
      </c>
      <c r="H3" s="54">
        <f t="shared" si="0"/>
        <v>30306.877352</v>
      </c>
      <c r="I3" s="54">
        <f t="shared" si="0"/>
        <v>65318.672028000001</v>
      </c>
      <c r="J3" s="54">
        <f t="shared" si="0"/>
        <v>59533.083792999998</v>
      </c>
      <c r="K3" s="54">
        <f t="shared" si="0"/>
        <v>41692.114971000003</v>
      </c>
      <c r="L3" s="54">
        <f t="shared" si="0"/>
        <v>45262.107934</v>
      </c>
      <c r="M3" s="54">
        <f t="shared" si="0"/>
        <v>46093.615263</v>
      </c>
      <c r="N3" s="54">
        <f t="shared" si="0"/>
        <v>50809.217792000003</v>
      </c>
      <c r="O3" s="54">
        <f t="shared" si="0"/>
        <v>48755.422253000004</v>
      </c>
      <c r="P3" s="54">
        <f t="shared" si="0"/>
        <v>50072.724374999998</v>
      </c>
      <c r="Q3" s="54">
        <f t="shared" si="0"/>
        <v>54026.699309999996</v>
      </c>
      <c r="R3" s="54">
        <f t="shared" ref="R3:W3" si="1">SUM(R4:R5)</f>
        <v>52804.768360000002</v>
      </c>
      <c r="S3" s="54">
        <f t="shared" si="1"/>
        <v>55103.840406000003</v>
      </c>
      <c r="T3" s="54">
        <f t="shared" si="1"/>
        <v>55566.563011000006</v>
      </c>
      <c r="U3" s="54">
        <f t="shared" si="1"/>
        <v>53435.179397</v>
      </c>
      <c r="V3" s="54">
        <f t="shared" si="1"/>
        <v>54198.332836000001</v>
      </c>
      <c r="W3" s="54">
        <f t="shared" si="1"/>
        <v>58719.474620000008</v>
      </c>
      <c r="X3" s="54">
        <f t="shared" ref="X3:Y3" si="2">SUM(X4:X5)</f>
        <v>58603.865435999993</v>
      </c>
      <c r="Y3" s="54">
        <f t="shared" si="2"/>
        <v>51037.952516999998</v>
      </c>
      <c r="DA3" s="172" t="s">
        <v>388</v>
      </c>
    </row>
    <row r="4" spans="1:105" ht="11.45" customHeight="1" x14ac:dyDescent="0.25">
      <c r="A4" s="55" t="s">
        <v>166</v>
      </c>
      <c r="B4" s="56">
        <v>11509.197969999999</v>
      </c>
      <c r="C4" s="56">
        <v>12362.392159000001</v>
      </c>
      <c r="D4" s="56">
        <v>13140.510358</v>
      </c>
      <c r="E4" s="56">
        <v>14308.316695000001</v>
      </c>
      <c r="F4" s="56">
        <v>15807.039368</v>
      </c>
      <c r="G4" s="56">
        <v>15922.999759</v>
      </c>
      <c r="H4" s="56">
        <v>15435.041131</v>
      </c>
      <c r="I4" s="56">
        <v>19466.437543</v>
      </c>
      <c r="J4" s="56">
        <v>17399.718765000001</v>
      </c>
      <c r="K4" s="56">
        <v>14713.530663000001</v>
      </c>
      <c r="L4" s="56">
        <v>15356.452626999999</v>
      </c>
      <c r="M4" s="56">
        <v>13732.336946000001</v>
      </c>
      <c r="N4" s="56">
        <v>14494.242265999999</v>
      </c>
      <c r="O4" s="56">
        <v>15864.59799</v>
      </c>
      <c r="P4" s="56">
        <v>14593.397926</v>
      </c>
      <c r="Q4" s="56">
        <v>16222.341252</v>
      </c>
      <c r="R4" s="56">
        <v>16585.401147</v>
      </c>
      <c r="S4" s="56">
        <v>16932.657824000002</v>
      </c>
      <c r="T4" s="56">
        <v>18023.209350000001</v>
      </c>
      <c r="U4" s="56">
        <v>17836.602475</v>
      </c>
      <c r="V4" s="56">
        <v>17244.401556000001</v>
      </c>
      <c r="W4" s="56">
        <v>19561.965453000001</v>
      </c>
      <c r="X4" s="56">
        <v>18520.104261999997</v>
      </c>
      <c r="Y4" s="56">
        <v>20284.840348000002</v>
      </c>
      <c r="DA4" s="181" t="s">
        <v>389</v>
      </c>
    </row>
    <row r="5" spans="1:105" ht="11.45" customHeight="1" x14ac:dyDescent="0.25">
      <c r="A5" s="57" t="s">
        <v>167</v>
      </c>
      <c r="B5" s="58">
        <v>35649.441605</v>
      </c>
      <c r="C5" s="58">
        <v>40278.584342000002</v>
      </c>
      <c r="D5" s="58">
        <v>44485.660209000001</v>
      </c>
      <c r="E5" s="58">
        <v>43447.373641999999</v>
      </c>
      <c r="F5" s="58">
        <v>42334.285427000003</v>
      </c>
      <c r="G5" s="58">
        <v>44006.877983999999</v>
      </c>
      <c r="H5" s="58">
        <v>14871.836221</v>
      </c>
      <c r="I5" s="58">
        <v>45852.234485000001</v>
      </c>
      <c r="J5" s="58">
        <v>42133.365028</v>
      </c>
      <c r="K5" s="58">
        <v>26978.584308000001</v>
      </c>
      <c r="L5" s="58">
        <v>29905.655307000001</v>
      </c>
      <c r="M5" s="58">
        <v>32361.278316999997</v>
      </c>
      <c r="N5" s="58">
        <v>36314.975526000002</v>
      </c>
      <c r="O5" s="58">
        <v>32890.824263000002</v>
      </c>
      <c r="P5" s="58">
        <v>35479.326449</v>
      </c>
      <c r="Q5" s="58">
        <v>37804.358057999998</v>
      </c>
      <c r="R5" s="58">
        <v>36219.367212999998</v>
      </c>
      <c r="S5" s="58">
        <v>38171.182582000001</v>
      </c>
      <c r="T5" s="58">
        <v>37543.353661000001</v>
      </c>
      <c r="U5" s="58">
        <v>35598.576922</v>
      </c>
      <c r="V5" s="58">
        <v>36953.931279999997</v>
      </c>
      <c r="W5" s="58">
        <v>39157.509167000004</v>
      </c>
      <c r="X5" s="58">
        <v>40083.761173999999</v>
      </c>
      <c r="Y5" s="58">
        <v>30753.112169</v>
      </c>
      <c r="DA5" s="182" t="s">
        <v>390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DA6" s="181"/>
    </row>
    <row r="7" spans="1:105" ht="11.45" customHeight="1" x14ac:dyDescent="0.25">
      <c r="A7" s="53" t="s">
        <v>64</v>
      </c>
      <c r="B7" s="59">
        <f t="shared" ref="B7:W7" si="3">SUM(B8:B9)</f>
        <v>6.4629630000000002</v>
      </c>
      <c r="C7" s="59">
        <f t="shared" si="3"/>
        <v>6.8847890000000005</v>
      </c>
      <c r="D7" s="59">
        <f t="shared" si="3"/>
        <v>7.2643710000000006</v>
      </c>
      <c r="E7" s="59">
        <f t="shared" si="3"/>
        <v>7.5095580000000002</v>
      </c>
      <c r="F7" s="59">
        <f t="shared" si="3"/>
        <v>7.81785</v>
      </c>
      <c r="G7" s="59">
        <f t="shared" si="3"/>
        <v>7.5877660000000002</v>
      </c>
      <c r="H7" s="59">
        <f t="shared" si="3"/>
        <v>5.970974</v>
      </c>
      <c r="I7" s="59">
        <f t="shared" si="3"/>
        <v>7.8498380000000001</v>
      </c>
      <c r="J7" s="59">
        <f t="shared" si="3"/>
        <v>6.9446139999999996</v>
      </c>
      <c r="K7" s="59">
        <f t="shared" si="3"/>
        <v>6.1070970000000004</v>
      </c>
      <c r="L7" s="59">
        <f t="shared" si="3"/>
        <v>6.2990520000000005</v>
      </c>
      <c r="M7" s="59">
        <f t="shared" si="3"/>
        <v>5.8240730000000003</v>
      </c>
      <c r="N7" s="59">
        <f t="shared" si="3"/>
        <v>5.7513290000000001</v>
      </c>
      <c r="O7" s="59">
        <f t="shared" si="3"/>
        <v>6.1676159999999998</v>
      </c>
      <c r="P7" s="59">
        <f t="shared" si="3"/>
        <v>6.0782790000000002</v>
      </c>
      <c r="Q7" s="59">
        <f t="shared" si="3"/>
        <v>6.2529569999999994</v>
      </c>
      <c r="R7" s="59">
        <f t="shared" si="3"/>
        <v>6.2452389999999998</v>
      </c>
      <c r="S7" s="59">
        <f t="shared" si="3"/>
        <v>6.5017680000000002</v>
      </c>
      <c r="T7" s="59">
        <f t="shared" si="3"/>
        <v>6.6955729999999996</v>
      </c>
      <c r="U7" s="59">
        <f t="shared" si="3"/>
        <v>6.7357089999999999</v>
      </c>
      <c r="V7" s="59">
        <f t="shared" si="3"/>
        <v>5.9518300000000002</v>
      </c>
      <c r="W7" s="59">
        <f t="shared" si="3"/>
        <v>6.4513740000000004</v>
      </c>
      <c r="X7" s="59">
        <f t="shared" ref="X7:Y7" si="4">SUM(X8:X9)</f>
        <v>6.5150809999999995</v>
      </c>
      <c r="Y7" s="59">
        <f t="shared" si="4"/>
        <v>6.6296910000000002</v>
      </c>
      <c r="DA7" s="172" t="s">
        <v>963</v>
      </c>
    </row>
    <row r="8" spans="1:105" ht="11.45" customHeight="1" x14ac:dyDescent="0.25">
      <c r="A8" s="55" t="s">
        <v>166</v>
      </c>
      <c r="B8" s="60">
        <v>3.76661</v>
      </c>
      <c r="C8" s="60">
        <v>4.0297830000000001</v>
      </c>
      <c r="D8" s="60">
        <v>4.0960520000000002</v>
      </c>
      <c r="E8" s="60">
        <v>4.3630269999999998</v>
      </c>
      <c r="F8" s="60">
        <v>4.7348420000000004</v>
      </c>
      <c r="G8" s="60">
        <v>4.5475859999999999</v>
      </c>
      <c r="H8" s="60">
        <v>4.1937090000000001</v>
      </c>
      <c r="I8" s="60">
        <v>4.9496839999999995</v>
      </c>
      <c r="J8" s="60">
        <v>4.3314899999999996</v>
      </c>
      <c r="K8" s="60">
        <v>3.9939030000000004</v>
      </c>
      <c r="L8" s="60">
        <v>4.1365420000000004</v>
      </c>
      <c r="M8" s="60">
        <v>3.6356730000000002</v>
      </c>
      <c r="N8" s="60">
        <v>3.6467929999999997</v>
      </c>
      <c r="O8" s="60">
        <v>4.1107769999999997</v>
      </c>
      <c r="P8" s="60">
        <v>3.9058410000000001</v>
      </c>
      <c r="Q8" s="60">
        <v>4.0755739999999996</v>
      </c>
      <c r="R8" s="60">
        <v>4.0148510000000002</v>
      </c>
      <c r="S8" s="60">
        <v>4.1630900000000004</v>
      </c>
      <c r="T8" s="60">
        <v>4.3911009999999999</v>
      </c>
      <c r="U8" s="60">
        <v>4.4424910000000004</v>
      </c>
      <c r="V8" s="60">
        <v>3.8378730000000001</v>
      </c>
      <c r="W8" s="60">
        <v>4.5206860000000004</v>
      </c>
      <c r="X8" s="60">
        <v>4.3312429999999997</v>
      </c>
      <c r="Y8" s="60">
        <v>4.721069</v>
      </c>
      <c r="DA8" s="181" t="s">
        <v>964</v>
      </c>
    </row>
    <row r="9" spans="1:105" ht="11.45" customHeight="1" x14ac:dyDescent="0.25">
      <c r="A9" s="57" t="s">
        <v>167</v>
      </c>
      <c r="B9" s="61">
        <v>2.6963530000000002</v>
      </c>
      <c r="C9" s="61">
        <v>2.8550060000000004</v>
      </c>
      <c r="D9" s="61">
        <v>3.1683190000000003</v>
      </c>
      <c r="E9" s="61">
        <v>3.146531</v>
      </c>
      <c r="F9" s="61">
        <v>3.083008</v>
      </c>
      <c r="G9" s="61">
        <v>3.0401800000000003</v>
      </c>
      <c r="H9" s="61">
        <v>1.7772649999999999</v>
      </c>
      <c r="I9" s="61">
        <v>2.9001540000000001</v>
      </c>
      <c r="J9" s="61">
        <v>2.613124</v>
      </c>
      <c r="K9" s="61">
        <v>2.113194</v>
      </c>
      <c r="L9" s="61">
        <v>2.1625100000000002</v>
      </c>
      <c r="M9" s="61">
        <v>2.1884000000000001</v>
      </c>
      <c r="N9" s="61">
        <v>2.104536</v>
      </c>
      <c r="O9" s="61">
        <v>2.0568390000000001</v>
      </c>
      <c r="P9" s="61">
        <v>2.1724380000000001</v>
      </c>
      <c r="Q9" s="61">
        <v>2.1773829999999998</v>
      </c>
      <c r="R9" s="61">
        <v>2.230388</v>
      </c>
      <c r="S9" s="61">
        <v>2.3386779999999998</v>
      </c>
      <c r="T9" s="61">
        <v>2.3044720000000001</v>
      </c>
      <c r="U9" s="61">
        <v>2.293218</v>
      </c>
      <c r="V9" s="61">
        <v>2.1139570000000001</v>
      </c>
      <c r="W9" s="61">
        <v>1.930688</v>
      </c>
      <c r="X9" s="61">
        <v>2.1838379999999997</v>
      </c>
      <c r="Y9" s="61">
        <v>1.9086220000000003</v>
      </c>
      <c r="DA9" s="182" t="s">
        <v>965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143</v>
      </c>
      <c r="B13" s="62">
        <f t="shared" ref="B13:W15" si="5">IF(B3=0,0,B3/B7)</f>
        <v>7296.7522133423945</v>
      </c>
      <c r="C13" s="62">
        <f t="shared" si="5"/>
        <v>7645.9825422391305</v>
      </c>
      <c r="D13" s="62">
        <f t="shared" si="5"/>
        <v>7932.7130410877962</v>
      </c>
      <c r="E13" s="62">
        <f t="shared" si="5"/>
        <v>7690.957355546092</v>
      </c>
      <c r="F13" s="62">
        <f t="shared" si="5"/>
        <v>7436.9967184072348</v>
      </c>
      <c r="G13" s="62">
        <f t="shared" si="5"/>
        <v>7898.2242919721029</v>
      </c>
      <c r="H13" s="62">
        <f t="shared" si="5"/>
        <v>5075.7007737766062</v>
      </c>
      <c r="I13" s="62">
        <f t="shared" si="5"/>
        <v>8321.021660319615</v>
      </c>
      <c r="J13" s="62">
        <f t="shared" si="5"/>
        <v>8572.5547586950124</v>
      </c>
      <c r="K13" s="62">
        <f t="shared" si="5"/>
        <v>6826.8303206908286</v>
      </c>
      <c r="L13" s="62">
        <f t="shared" si="5"/>
        <v>7185.5428299369487</v>
      </c>
      <c r="M13" s="62">
        <f t="shared" si="5"/>
        <v>7914.3264967660944</v>
      </c>
      <c r="N13" s="62">
        <f t="shared" si="5"/>
        <v>8834.3438172290262</v>
      </c>
      <c r="O13" s="62">
        <f t="shared" si="5"/>
        <v>7905.0677365452075</v>
      </c>
      <c r="P13" s="62">
        <f t="shared" si="5"/>
        <v>8237.9772917630125</v>
      </c>
      <c r="Q13" s="62">
        <f t="shared" si="5"/>
        <v>8640.184045724287</v>
      </c>
      <c r="R13" s="62">
        <f t="shared" si="5"/>
        <v>8455.2037736265993</v>
      </c>
      <c r="S13" s="62">
        <f t="shared" si="5"/>
        <v>8475.2086518620781</v>
      </c>
      <c r="T13" s="62">
        <f t="shared" si="5"/>
        <v>8299.0004008618835</v>
      </c>
      <c r="U13" s="62">
        <f t="shared" si="5"/>
        <v>7933.1187551303065</v>
      </c>
      <c r="V13" s="62">
        <f t="shared" si="5"/>
        <v>9106.1627828751825</v>
      </c>
      <c r="W13" s="62">
        <f t="shared" si="5"/>
        <v>9101.8556078131587</v>
      </c>
      <c r="X13" s="62">
        <f t="shared" ref="X13:Y13" si="6">IF(X3=0,0,X3/X7)</f>
        <v>8995.1092604988335</v>
      </c>
      <c r="Y13" s="62">
        <f t="shared" si="6"/>
        <v>7698.3908476277393</v>
      </c>
      <c r="DA13" s="172" t="s">
        <v>966</v>
      </c>
    </row>
    <row r="14" spans="1:105" ht="11.45" customHeight="1" x14ac:dyDescent="0.25">
      <c r="A14" s="55" t="s">
        <v>166</v>
      </c>
      <c r="B14" s="63">
        <f t="shared" si="5"/>
        <v>3055.5852530524794</v>
      </c>
      <c r="C14" s="63">
        <f t="shared" si="5"/>
        <v>3067.756293328946</v>
      </c>
      <c r="D14" s="63">
        <f t="shared" si="5"/>
        <v>3208.0916838946378</v>
      </c>
      <c r="E14" s="63">
        <f t="shared" si="5"/>
        <v>3279.4472037418063</v>
      </c>
      <c r="F14" s="63">
        <f t="shared" si="5"/>
        <v>3338.451286864482</v>
      </c>
      <c r="G14" s="63">
        <f t="shared" si="5"/>
        <v>3501.4180620223565</v>
      </c>
      <c r="H14" s="63">
        <f t="shared" si="5"/>
        <v>3680.5226902963464</v>
      </c>
      <c r="I14" s="63">
        <f t="shared" si="5"/>
        <v>3932.8647127776239</v>
      </c>
      <c r="J14" s="63">
        <f t="shared" si="5"/>
        <v>4017.0284971222382</v>
      </c>
      <c r="K14" s="63">
        <f t="shared" si="5"/>
        <v>3683.9979997010441</v>
      </c>
      <c r="L14" s="63">
        <f t="shared" si="5"/>
        <v>3712.3889052740183</v>
      </c>
      <c r="M14" s="63">
        <f t="shared" si="5"/>
        <v>3777.1100277720248</v>
      </c>
      <c r="N14" s="63">
        <f t="shared" si="5"/>
        <v>3974.5174091318045</v>
      </c>
      <c r="O14" s="63">
        <f t="shared" si="5"/>
        <v>3859.2699117466118</v>
      </c>
      <c r="P14" s="63">
        <f t="shared" si="5"/>
        <v>3736.3010747237277</v>
      </c>
      <c r="Q14" s="63">
        <f t="shared" si="5"/>
        <v>3980.3819663193458</v>
      </c>
      <c r="R14" s="63">
        <f t="shared" si="5"/>
        <v>4131.0128687216538</v>
      </c>
      <c r="S14" s="63">
        <f t="shared" si="5"/>
        <v>4067.3292732081218</v>
      </c>
      <c r="T14" s="63">
        <f t="shared" si="5"/>
        <v>4104.4852646295321</v>
      </c>
      <c r="U14" s="63">
        <f t="shared" si="5"/>
        <v>4015.0002498598192</v>
      </c>
      <c r="V14" s="63">
        <f t="shared" si="5"/>
        <v>4493.2183936258443</v>
      </c>
      <c r="W14" s="63">
        <f t="shared" si="5"/>
        <v>4327.2117225129105</v>
      </c>
      <c r="X14" s="63">
        <f t="shared" ref="X14:Y14" si="7">IF(X4=0,0,X4/X8)</f>
        <v>4275.9328585350668</v>
      </c>
      <c r="Y14" s="63">
        <f t="shared" si="7"/>
        <v>4296.6625457073387</v>
      </c>
      <c r="DA14" s="181" t="s">
        <v>967</v>
      </c>
    </row>
    <row r="15" spans="1:105" ht="11.45" customHeight="1" x14ac:dyDescent="0.25">
      <c r="A15" s="57" t="s">
        <v>167</v>
      </c>
      <c r="B15" s="64">
        <f t="shared" si="5"/>
        <v>13221.355514281697</v>
      </c>
      <c r="C15" s="64">
        <f t="shared" si="5"/>
        <v>14108.055934733586</v>
      </c>
      <c r="D15" s="64">
        <f t="shared" si="5"/>
        <v>14040.776894308938</v>
      </c>
      <c r="E15" s="64">
        <f t="shared" si="5"/>
        <v>13808.023388932128</v>
      </c>
      <c r="F15" s="64">
        <f t="shared" si="5"/>
        <v>13731.4873743435</v>
      </c>
      <c r="G15" s="64">
        <f t="shared" si="5"/>
        <v>14475.089627587839</v>
      </c>
      <c r="H15" s="64">
        <f t="shared" si="5"/>
        <v>8367.8214678171244</v>
      </c>
      <c r="I15" s="64">
        <f t="shared" si="5"/>
        <v>15810.27575949415</v>
      </c>
      <c r="J15" s="64">
        <f t="shared" si="5"/>
        <v>16123.752653146195</v>
      </c>
      <c r="K15" s="64">
        <f t="shared" si="5"/>
        <v>12766.733346772706</v>
      </c>
      <c r="L15" s="64">
        <f t="shared" si="5"/>
        <v>13829.140816458652</v>
      </c>
      <c r="M15" s="64">
        <f t="shared" si="5"/>
        <v>14787.643171723632</v>
      </c>
      <c r="N15" s="64">
        <f t="shared" si="5"/>
        <v>17255.573449919604</v>
      </c>
      <c r="O15" s="64">
        <f t="shared" si="5"/>
        <v>15990.957125472631</v>
      </c>
      <c r="P15" s="64">
        <f t="shared" si="5"/>
        <v>16331.571464410032</v>
      </c>
      <c r="Q15" s="64">
        <f t="shared" si="5"/>
        <v>17362.291364449891</v>
      </c>
      <c r="R15" s="64">
        <f t="shared" si="5"/>
        <v>16239.043257496003</v>
      </c>
      <c r="S15" s="64">
        <f t="shared" si="5"/>
        <v>16321.692247500512</v>
      </c>
      <c r="T15" s="64">
        <f t="shared" si="5"/>
        <v>16291.520860743805</v>
      </c>
      <c r="U15" s="64">
        <f t="shared" si="5"/>
        <v>15523.415969175194</v>
      </c>
      <c r="V15" s="64">
        <f t="shared" si="5"/>
        <v>17480.92855247292</v>
      </c>
      <c r="W15" s="64">
        <f t="shared" si="5"/>
        <v>20281.634923405545</v>
      </c>
      <c r="X15" s="64">
        <f t="shared" ref="X15:Y15" si="8">IF(X5=0,0,X5/X9)</f>
        <v>18354.731978287768</v>
      </c>
      <c r="Y15" s="64">
        <f t="shared" si="8"/>
        <v>16112.730634457737</v>
      </c>
      <c r="DA15" s="182" t="s">
        <v>968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65</v>
      </c>
      <c r="B17" s="65">
        <f t="shared" ref="B17:W19" si="9">IF(B3=0,0,B3/B$3)</f>
        <v>1</v>
      </c>
      <c r="C17" s="65">
        <f t="shared" si="9"/>
        <v>1</v>
      </c>
      <c r="D17" s="65">
        <f t="shared" si="9"/>
        <v>1</v>
      </c>
      <c r="E17" s="65">
        <f t="shared" si="9"/>
        <v>1</v>
      </c>
      <c r="F17" s="65">
        <f t="shared" si="9"/>
        <v>1</v>
      </c>
      <c r="G17" s="65">
        <f t="shared" si="9"/>
        <v>1</v>
      </c>
      <c r="H17" s="65">
        <f t="shared" si="9"/>
        <v>1</v>
      </c>
      <c r="I17" s="65">
        <f t="shared" si="9"/>
        <v>1</v>
      </c>
      <c r="J17" s="65">
        <f t="shared" si="9"/>
        <v>1</v>
      </c>
      <c r="K17" s="65">
        <f t="shared" si="9"/>
        <v>1</v>
      </c>
      <c r="L17" s="65">
        <f t="shared" si="9"/>
        <v>1</v>
      </c>
      <c r="M17" s="65">
        <f t="shared" si="9"/>
        <v>1</v>
      </c>
      <c r="N17" s="65">
        <f t="shared" si="9"/>
        <v>1</v>
      </c>
      <c r="O17" s="65">
        <f t="shared" si="9"/>
        <v>1</v>
      </c>
      <c r="P17" s="65">
        <f t="shared" si="9"/>
        <v>1</v>
      </c>
      <c r="Q17" s="65">
        <f t="shared" si="9"/>
        <v>1</v>
      </c>
      <c r="R17" s="65">
        <f t="shared" si="9"/>
        <v>1</v>
      </c>
      <c r="S17" s="65">
        <f t="shared" si="9"/>
        <v>1</v>
      </c>
      <c r="T17" s="65">
        <f t="shared" si="9"/>
        <v>1</v>
      </c>
      <c r="U17" s="65">
        <f t="shared" si="9"/>
        <v>1</v>
      </c>
      <c r="V17" s="65">
        <f t="shared" si="9"/>
        <v>1</v>
      </c>
      <c r="W17" s="65">
        <f t="shared" si="9"/>
        <v>1</v>
      </c>
      <c r="X17" s="65">
        <f t="shared" ref="X17:Y17" si="10">IF(X3=0,0,X3/X$3)</f>
        <v>1</v>
      </c>
      <c r="Y17" s="65">
        <f t="shared" si="10"/>
        <v>1</v>
      </c>
      <c r="DA17" s="172"/>
    </row>
    <row r="18" spans="1:105" ht="11.45" customHeight="1" x14ac:dyDescent="0.25">
      <c r="A18" s="55" t="s">
        <v>166</v>
      </c>
      <c r="B18" s="66">
        <f t="shared" si="9"/>
        <v>0.24405279867533158</v>
      </c>
      <c r="C18" s="66">
        <f t="shared" si="9"/>
        <v>0.23484351888428887</v>
      </c>
      <c r="D18" s="66">
        <f t="shared" si="9"/>
        <v>0.22803025480796044</v>
      </c>
      <c r="E18" s="66">
        <f t="shared" si="9"/>
        <v>0.24773864898007583</v>
      </c>
      <c r="F18" s="66">
        <f t="shared" si="9"/>
        <v>0.27187270712757072</v>
      </c>
      <c r="G18" s="66">
        <f t="shared" si="9"/>
        <v>0.26569384685353975</v>
      </c>
      <c r="H18" s="66">
        <f t="shared" si="9"/>
        <v>0.50929170140919899</v>
      </c>
      <c r="I18" s="66">
        <f t="shared" si="9"/>
        <v>0.29802255524508164</v>
      </c>
      <c r="J18" s="66">
        <f t="shared" si="9"/>
        <v>0.29226973736989398</v>
      </c>
      <c r="K18" s="66">
        <f t="shared" si="9"/>
        <v>0.35290919333870124</v>
      </c>
      <c r="L18" s="66">
        <f t="shared" si="9"/>
        <v>0.33927833518916906</v>
      </c>
      <c r="M18" s="66">
        <f t="shared" si="9"/>
        <v>0.2979227571464359</v>
      </c>
      <c r="N18" s="66">
        <f t="shared" si="9"/>
        <v>0.28526796703180385</v>
      </c>
      <c r="O18" s="66">
        <f t="shared" si="9"/>
        <v>0.32539145918326706</v>
      </c>
      <c r="P18" s="66">
        <f t="shared" si="9"/>
        <v>0.2914440567824606</v>
      </c>
      <c r="Q18" s="66">
        <f t="shared" si="9"/>
        <v>0.30026526623286331</v>
      </c>
      <c r="R18" s="66">
        <f t="shared" si="9"/>
        <v>0.31408908062862678</v>
      </c>
      <c r="S18" s="66">
        <f t="shared" si="9"/>
        <v>0.30728634699944224</v>
      </c>
      <c r="T18" s="66">
        <f t="shared" si="9"/>
        <v>0.32435350277885838</v>
      </c>
      <c r="U18" s="66">
        <f t="shared" si="9"/>
        <v>0.33379886951406768</v>
      </c>
      <c r="V18" s="66">
        <f t="shared" si="9"/>
        <v>0.31817217714390289</v>
      </c>
      <c r="W18" s="66">
        <f t="shared" si="9"/>
        <v>0.33314271933790673</v>
      </c>
      <c r="X18" s="66">
        <f t="shared" ref="X18:Y18" si="11">IF(X4=0,0,X4/X$3)</f>
        <v>0.31602188907189749</v>
      </c>
      <c r="Y18" s="66">
        <f t="shared" si="11"/>
        <v>0.39744620126058972</v>
      </c>
      <c r="DA18" s="181"/>
    </row>
    <row r="19" spans="1:105" ht="11.45" customHeight="1" x14ac:dyDescent="0.25">
      <c r="A19" s="57" t="s">
        <v>167</v>
      </c>
      <c r="B19" s="67">
        <f t="shared" si="9"/>
        <v>0.75594720132466842</v>
      </c>
      <c r="C19" s="67">
        <f t="shared" si="9"/>
        <v>0.76515648111571111</v>
      </c>
      <c r="D19" s="67">
        <f t="shared" si="9"/>
        <v>0.77196974519203954</v>
      </c>
      <c r="E19" s="67">
        <f t="shared" si="9"/>
        <v>0.7522613510199242</v>
      </c>
      <c r="F19" s="67">
        <f t="shared" si="9"/>
        <v>0.72812729287242928</v>
      </c>
      <c r="G19" s="67">
        <f t="shared" si="9"/>
        <v>0.73430615314646031</v>
      </c>
      <c r="H19" s="67">
        <f t="shared" si="9"/>
        <v>0.49070829859080101</v>
      </c>
      <c r="I19" s="67">
        <f t="shared" si="9"/>
        <v>0.7019774447549183</v>
      </c>
      <c r="J19" s="67">
        <f t="shared" si="9"/>
        <v>0.70773026263010608</v>
      </c>
      <c r="K19" s="67">
        <f t="shared" si="9"/>
        <v>0.6470908066612987</v>
      </c>
      <c r="L19" s="67">
        <f t="shared" si="9"/>
        <v>0.66072166481083094</v>
      </c>
      <c r="M19" s="67">
        <f t="shared" si="9"/>
        <v>0.70207724285356399</v>
      </c>
      <c r="N19" s="67">
        <f t="shared" si="9"/>
        <v>0.7147320329681961</v>
      </c>
      <c r="O19" s="67">
        <f t="shared" si="9"/>
        <v>0.67460854081673294</v>
      </c>
      <c r="P19" s="67">
        <f t="shared" si="9"/>
        <v>0.70855594321753945</v>
      </c>
      <c r="Q19" s="67">
        <f t="shared" si="9"/>
        <v>0.6997347337671368</v>
      </c>
      <c r="R19" s="67">
        <f t="shared" si="9"/>
        <v>0.68591091937137316</v>
      </c>
      <c r="S19" s="67">
        <f t="shared" si="9"/>
        <v>0.69271365300055776</v>
      </c>
      <c r="T19" s="67">
        <f t="shared" si="9"/>
        <v>0.67564649722114156</v>
      </c>
      <c r="U19" s="67">
        <f t="shared" si="9"/>
        <v>0.66620113048593232</v>
      </c>
      <c r="V19" s="67">
        <f t="shared" si="9"/>
        <v>0.681827822856097</v>
      </c>
      <c r="W19" s="67">
        <f t="shared" si="9"/>
        <v>0.66685728066209315</v>
      </c>
      <c r="X19" s="67">
        <f t="shared" ref="X19:Y19" si="12">IF(X5=0,0,X5/X$3)</f>
        <v>0.68397811092810257</v>
      </c>
      <c r="Y19" s="67">
        <f t="shared" si="12"/>
        <v>0.6025537987394104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66</v>
      </c>
      <c r="B21" s="65">
        <f t="shared" ref="B21:W23" si="13">IF(B7=0,0,B7/B$7)</f>
        <v>1</v>
      </c>
      <c r="C21" s="65">
        <f t="shared" si="13"/>
        <v>1</v>
      </c>
      <c r="D21" s="65">
        <f t="shared" si="13"/>
        <v>1</v>
      </c>
      <c r="E21" s="65">
        <f t="shared" si="13"/>
        <v>1</v>
      </c>
      <c r="F21" s="65">
        <f t="shared" si="13"/>
        <v>1</v>
      </c>
      <c r="G21" s="65">
        <f t="shared" si="13"/>
        <v>1</v>
      </c>
      <c r="H21" s="65">
        <f t="shared" si="13"/>
        <v>1</v>
      </c>
      <c r="I21" s="65">
        <f t="shared" si="13"/>
        <v>1</v>
      </c>
      <c r="J21" s="65">
        <f t="shared" si="13"/>
        <v>1</v>
      </c>
      <c r="K21" s="65">
        <f t="shared" si="13"/>
        <v>1</v>
      </c>
      <c r="L21" s="65">
        <f t="shared" si="13"/>
        <v>1</v>
      </c>
      <c r="M21" s="65">
        <f t="shared" si="13"/>
        <v>1</v>
      </c>
      <c r="N21" s="65">
        <f t="shared" si="13"/>
        <v>1</v>
      </c>
      <c r="O21" s="65">
        <f t="shared" si="13"/>
        <v>1</v>
      </c>
      <c r="P21" s="65">
        <f t="shared" si="13"/>
        <v>1</v>
      </c>
      <c r="Q21" s="65">
        <f t="shared" si="13"/>
        <v>1</v>
      </c>
      <c r="R21" s="65">
        <f t="shared" si="13"/>
        <v>1</v>
      </c>
      <c r="S21" s="65">
        <f t="shared" si="13"/>
        <v>1</v>
      </c>
      <c r="T21" s="65">
        <f t="shared" si="13"/>
        <v>1</v>
      </c>
      <c r="U21" s="65">
        <f t="shared" si="13"/>
        <v>1</v>
      </c>
      <c r="V21" s="65">
        <f t="shared" si="13"/>
        <v>1</v>
      </c>
      <c r="W21" s="65">
        <f t="shared" si="13"/>
        <v>1</v>
      </c>
      <c r="X21" s="65">
        <f t="shared" ref="X21:Y21" si="14">IF(X7=0,0,X7/X$7)</f>
        <v>1</v>
      </c>
      <c r="Y21" s="65">
        <f t="shared" si="14"/>
        <v>1</v>
      </c>
      <c r="DA21" s="172"/>
    </row>
    <row r="22" spans="1:105" ht="11.45" customHeight="1" x14ac:dyDescent="0.25">
      <c r="A22" s="55" t="s">
        <v>166</v>
      </c>
      <c r="B22" s="66">
        <f t="shared" si="13"/>
        <v>0.58279925167450286</v>
      </c>
      <c r="C22" s="66">
        <f t="shared" si="13"/>
        <v>0.5853168484902006</v>
      </c>
      <c r="D22" s="66">
        <f t="shared" si="13"/>
        <v>0.5638550123610151</v>
      </c>
      <c r="E22" s="66">
        <f t="shared" si="13"/>
        <v>0.58099651137923158</v>
      </c>
      <c r="F22" s="66">
        <f t="shared" si="13"/>
        <v>0.60564503028326211</v>
      </c>
      <c r="G22" s="66">
        <f t="shared" si="13"/>
        <v>0.59933134469355009</v>
      </c>
      <c r="H22" s="66">
        <f t="shared" si="13"/>
        <v>0.70234923146541928</v>
      </c>
      <c r="I22" s="66">
        <f t="shared" si="13"/>
        <v>0.63054600617235657</v>
      </c>
      <c r="J22" s="66">
        <f t="shared" si="13"/>
        <v>0.62371933126880774</v>
      </c>
      <c r="K22" s="66">
        <f t="shared" si="13"/>
        <v>0.65397733161926197</v>
      </c>
      <c r="L22" s="66">
        <f t="shared" si="13"/>
        <v>0.65669278488255056</v>
      </c>
      <c r="M22" s="66">
        <f t="shared" si="13"/>
        <v>0.62424921528284416</v>
      </c>
      <c r="N22" s="66">
        <f t="shared" si="13"/>
        <v>0.63407831476863863</v>
      </c>
      <c r="O22" s="66">
        <f t="shared" si="13"/>
        <v>0.66650987999252864</v>
      </c>
      <c r="P22" s="66">
        <f t="shared" si="13"/>
        <v>0.64258995021452614</v>
      </c>
      <c r="Q22" s="66">
        <f t="shared" si="13"/>
        <v>0.65178346820552258</v>
      </c>
      <c r="R22" s="66">
        <f t="shared" si="13"/>
        <v>0.642865869504754</v>
      </c>
      <c r="S22" s="66">
        <f t="shared" si="13"/>
        <v>0.64030122268281497</v>
      </c>
      <c r="T22" s="66">
        <f t="shared" si="13"/>
        <v>0.65582154059107411</v>
      </c>
      <c r="U22" s="66">
        <f t="shared" si="13"/>
        <v>0.65954318988543015</v>
      </c>
      <c r="V22" s="66">
        <f t="shared" si="13"/>
        <v>0.64482234875660094</v>
      </c>
      <c r="W22" s="66">
        <f t="shared" si="13"/>
        <v>0.70073227811625871</v>
      </c>
      <c r="X22" s="66">
        <f t="shared" ref="X22:Y22" si="15">IF(X8=0,0,X8/X$7)</f>
        <v>0.66480263253826011</v>
      </c>
      <c r="Y22" s="66">
        <f t="shared" si="15"/>
        <v>0.71210996108265068</v>
      </c>
      <c r="DA22" s="181"/>
    </row>
    <row r="23" spans="1:105" ht="11.45" customHeight="1" x14ac:dyDescent="0.25">
      <c r="A23" s="57" t="s">
        <v>167</v>
      </c>
      <c r="B23" s="67">
        <f t="shared" si="13"/>
        <v>0.41720074832549714</v>
      </c>
      <c r="C23" s="67">
        <f t="shared" si="13"/>
        <v>0.4146831515097994</v>
      </c>
      <c r="D23" s="67">
        <f t="shared" si="13"/>
        <v>0.43614498763898485</v>
      </c>
      <c r="E23" s="67">
        <f t="shared" si="13"/>
        <v>0.41900348862076836</v>
      </c>
      <c r="F23" s="67">
        <f t="shared" si="13"/>
        <v>0.394354969716738</v>
      </c>
      <c r="G23" s="67">
        <f t="shared" si="13"/>
        <v>0.40066865530644991</v>
      </c>
      <c r="H23" s="67">
        <f t="shared" si="13"/>
        <v>0.29765076853458078</v>
      </c>
      <c r="I23" s="67">
        <f t="shared" si="13"/>
        <v>0.36945399382764332</v>
      </c>
      <c r="J23" s="67">
        <f t="shared" si="13"/>
        <v>0.37628066873119226</v>
      </c>
      <c r="K23" s="67">
        <f t="shared" si="13"/>
        <v>0.34602266838073797</v>
      </c>
      <c r="L23" s="67">
        <f t="shared" si="13"/>
        <v>0.34330721511744944</v>
      </c>
      <c r="M23" s="67">
        <f t="shared" si="13"/>
        <v>0.37575078471715584</v>
      </c>
      <c r="N23" s="67">
        <f t="shared" si="13"/>
        <v>0.36592168523136132</v>
      </c>
      <c r="O23" s="67">
        <f t="shared" si="13"/>
        <v>0.3334901200074713</v>
      </c>
      <c r="P23" s="67">
        <f t="shared" si="13"/>
        <v>0.3574100497854738</v>
      </c>
      <c r="Q23" s="67">
        <f t="shared" si="13"/>
        <v>0.34821653179447742</v>
      </c>
      <c r="R23" s="67">
        <f t="shared" si="13"/>
        <v>0.35713413049524606</v>
      </c>
      <c r="S23" s="67">
        <f t="shared" si="13"/>
        <v>0.35969877731718508</v>
      </c>
      <c r="T23" s="67">
        <f t="shared" si="13"/>
        <v>0.34417845940892589</v>
      </c>
      <c r="U23" s="67">
        <f t="shared" si="13"/>
        <v>0.34045681011456996</v>
      </c>
      <c r="V23" s="67">
        <f t="shared" si="13"/>
        <v>0.35517765124339912</v>
      </c>
      <c r="W23" s="67">
        <f t="shared" si="13"/>
        <v>0.29926772188374134</v>
      </c>
      <c r="X23" s="67">
        <f t="shared" ref="X23:Y23" si="16">IF(X9=0,0,X9/X$7)</f>
        <v>0.33519736746173989</v>
      </c>
      <c r="Y23" s="67">
        <f t="shared" si="16"/>
        <v>0.28789003891734927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spans="1:105" ht="11.45" customHeight="1" x14ac:dyDescent="0.25">
      <c r="A25" s="18" t="s">
        <v>168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61</v>
      </c>
      <c r="B3" s="62">
        <f>SUM(B4,B10)</f>
        <v>154.36233877901981</v>
      </c>
      <c r="C3" s="62">
        <f t="shared" ref="C3:W3" si="0">SUM(C4,C10)</f>
        <v>164.755803955288</v>
      </c>
      <c r="D3" s="62">
        <f t="shared" si="0"/>
        <v>146.3792777300086</v>
      </c>
      <c r="E3" s="62">
        <f t="shared" si="0"/>
        <v>173.7140154772141</v>
      </c>
      <c r="F3" s="62">
        <f t="shared" si="0"/>
        <v>152.73413585554599</v>
      </c>
      <c r="G3" s="62">
        <f t="shared" si="0"/>
        <v>106.64058469475495</v>
      </c>
      <c r="H3" s="62">
        <f t="shared" si="0"/>
        <v>130.70060189165949</v>
      </c>
      <c r="I3" s="62">
        <f t="shared" si="0"/>
        <v>113.73215821152192</v>
      </c>
      <c r="J3" s="62">
        <f t="shared" si="0"/>
        <v>70.809630266552006</v>
      </c>
      <c r="K3" s="62">
        <f t="shared" si="0"/>
        <v>97.217454858125521</v>
      </c>
      <c r="L3" s="62">
        <f t="shared" si="0"/>
        <v>138.74746345657786</v>
      </c>
      <c r="M3" s="62">
        <f t="shared" si="0"/>
        <v>108.44230438521065</v>
      </c>
      <c r="N3" s="62">
        <f t="shared" si="0"/>
        <v>128.47979363714532</v>
      </c>
      <c r="O3" s="62">
        <f t="shared" si="0"/>
        <v>145.91969045571796</v>
      </c>
      <c r="P3" s="62">
        <f t="shared" si="0"/>
        <v>134.09174548581251</v>
      </c>
      <c r="Q3" s="62">
        <f t="shared" si="0"/>
        <v>159.77678417884775</v>
      </c>
      <c r="R3" s="62">
        <f t="shared" si="0"/>
        <v>159.94075666380053</v>
      </c>
      <c r="S3" s="62">
        <f t="shared" si="0"/>
        <v>155.81418744625964</v>
      </c>
      <c r="T3" s="62">
        <f t="shared" si="0"/>
        <v>172.71246775580403</v>
      </c>
      <c r="U3" s="62">
        <f t="shared" si="0"/>
        <v>142.20249355116079</v>
      </c>
      <c r="V3" s="62">
        <f t="shared" si="0"/>
        <v>154.96698194325023</v>
      </c>
      <c r="W3" s="62">
        <f t="shared" si="0"/>
        <v>171.78194325021497</v>
      </c>
      <c r="X3" s="62">
        <f t="shared" ref="X3:Y3" si="1">SUM(X4,X10)</f>
        <v>124.87893379191749</v>
      </c>
      <c r="Y3" s="62">
        <f t="shared" si="1"/>
        <v>133.42622527944971</v>
      </c>
      <c r="DA3" s="172" t="s">
        <v>970</v>
      </c>
    </row>
    <row r="4" spans="1:105" ht="11.45" customHeight="1" x14ac:dyDescent="0.25">
      <c r="A4" s="70" t="s">
        <v>166</v>
      </c>
      <c r="B4" s="71">
        <f>SUM(B5:B9)</f>
        <v>69.116565524573545</v>
      </c>
      <c r="C4" s="71">
        <f t="shared" ref="C4:W4" si="2">SUM(C5:C9)</f>
        <v>73.37146023565802</v>
      </c>
      <c r="D4" s="71">
        <f t="shared" si="2"/>
        <v>63.023723325218384</v>
      </c>
      <c r="E4" s="71">
        <f t="shared" si="2"/>
        <v>77.644442678178521</v>
      </c>
      <c r="F4" s="71">
        <f t="shared" si="2"/>
        <v>71.19140064136262</v>
      </c>
      <c r="G4" s="71">
        <f t="shared" si="2"/>
        <v>49.48208328754108</v>
      </c>
      <c r="H4" s="71">
        <f t="shared" si="2"/>
        <v>72.090933874492251</v>
      </c>
      <c r="I4" s="71">
        <f t="shared" si="2"/>
        <v>56.143615231463883</v>
      </c>
      <c r="J4" s="71">
        <f t="shared" si="2"/>
        <v>34.519903698989182</v>
      </c>
      <c r="K4" s="71">
        <f t="shared" si="2"/>
        <v>49.439460544297376</v>
      </c>
      <c r="L4" s="71">
        <f t="shared" si="2"/>
        <v>70.260720675490745</v>
      </c>
      <c r="M4" s="71">
        <f t="shared" si="2"/>
        <v>51.771188127700171</v>
      </c>
      <c r="N4" s="71">
        <f t="shared" si="2"/>
        <v>62.185851161103912</v>
      </c>
      <c r="O4" s="71">
        <f t="shared" si="2"/>
        <v>74.401170918550392</v>
      </c>
      <c r="P4" s="71">
        <f t="shared" si="2"/>
        <v>65.269051146049719</v>
      </c>
      <c r="Q4" s="71">
        <f t="shared" si="2"/>
        <v>79.072581435829576</v>
      </c>
      <c r="R4" s="71">
        <f t="shared" si="2"/>
        <v>78.617329962329862</v>
      </c>
      <c r="S4" s="71">
        <f t="shared" si="2"/>
        <v>75.91748152952438</v>
      </c>
      <c r="T4" s="71">
        <f t="shared" si="2"/>
        <v>86.361735427397306</v>
      </c>
      <c r="U4" s="71">
        <f t="shared" si="2"/>
        <v>71.573648780481719</v>
      </c>
      <c r="V4" s="71">
        <f t="shared" si="2"/>
        <v>71.544364704318994</v>
      </c>
      <c r="W4" s="71">
        <f t="shared" si="2"/>
        <v>82.922776068947201</v>
      </c>
      <c r="X4" s="71">
        <f t="shared" ref="X4:Y4" si="3">SUM(X5:X9)</f>
        <v>62.578388643753271</v>
      </c>
      <c r="Y4" s="71">
        <f t="shared" si="3"/>
        <v>72.982497495177526</v>
      </c>
      <c r="DA4" s="186" t="s">
        <v>971</v>
      </c>
    </row>
    <row r="5" spans="1:105" ht="11.45" customHeight="1" x14ac:dyDescent="0.25">
      <c r="A5" s="72" t="s">
        <v>144</v>
      </c>
      <c r="B5" s="73">
        <v>69.116565524573545</v>
      </c>
      <c r="C5" s="73">
        <v>73.37146023565802</v>
      </c>
      <c r="D5" s="73">
        <v>61.354490966063487</v>
      </c>
      <c r="E5" s="73">
        <v>74.562027830714925</v>
      </c>
      <c r="F5" s="73">
        <v>69.968105286082007</v>
      </c>
      <c r="G5" s="73">
        <v>49.48208328754108</v>
      </c>
      <c r="H5" s="73">
        <v>64.202038820972589</v>
      </c>
      <c r="I5" s="73">
        <v>39.951746023366752</v>
      </c>
      <c r="J5" s="73">
        <v>21.232504132877757</v>
      </c>
      <c r="K5" s="73">
        <v>47.734969154985286</v>
      </c>
      <c r="L5" s="73">
        <v>69.547760962046766</v>
      </c>
      <c r="M5" s="73">
        <v>51.771188127700171</v>
      </c>
      <c r="N5" s="73">
        <v>62.185851161103912</v>
      </c>
      <c r="O5" s="73">
        <v>74.401170918550392</v>
      </c>
      <c r="P5" s="73">
        <v>65.269051146049719</v>
      </c>
      <c r="Q5" s="73">
        <v>79.072581435829576</v>
      </c>
      <c r="R5" s="73">
        <v>78.617329962329862</v>
      </c>
      <c r="S5" s="73">
        <v>75.91748152952438</v>
      </c>
      <c r="T5" s="73">
        <v>86.361735427397306</v>
      </c>
      <c r="U5" s="73">
        <v>71.573648780481719</v>
      </c>
      <c r="V5" s="73">
        <v>71.544364704318994</v>
      </c>
      <c r="W5" s="73">
        <v>82.922776068947201</v>
      </c>
      <c r="X5" s="73">
        <v>62.578388643753271</v>
      </c>
      <c r="Y5" s="73">
        <v>72.982497495177526</v>
      </c>
      <c r="DA5" s="187" t="s">
        <v>972</v>
      </c>
    </row>
    <row r="6" spans="1:105" ht="11.45" customHeight="1" x14ac:dyDescent="0.25">
      <c r="A6" s="72" t="s">
        <v>145</v>
      </c>
      <c r="B6" s="73">
        <v>0</v>
      </c>
      <c r="C6" s="73">
        <v>0</v>
      </c>
      <c r="D6" s="73">
        <v>1.6692323591548952</v>
      </c>
      <c r="E6" s="73">
        <v>3.0824148474635944</v>
      </c>
      <c r="F6" s="73">
        <v>1.2232953552806158</v>
      </c>
      <c r="G6" s="73">
        <v>0</v>
      </c>
      <c r="H6" s="73">
        <v>7.888895053519656</v>
      </c>
      <c r="I6" s="73">
        <v>16.191869208097135</v>
      </c>
      <c r="J6" s="73">
        <v>13.287399566111429</v>
      </c>
      <c r="K6" s="73">
        <v>1.7044913893120928</v>
      </c>
      <c r="L6" s="73">
        <v>0.71295971344397557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3">
        <v>0</v>
      </c>
      <c r="Y6" s="73">
        <v>0</v>
      </c>
      <c r="DA6" s="187" t="s">
        <v>973</v>
      </c>
    </row>
    <row r="7" spans="1:105" ht="11.45" customHeight="1" x14ac:dyDescent="0.25">
      <c r="A7" s="72" t="s">
        <v>146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>
        <v>0</v>
      </c>
      <c r="Y7" s="73">
        <v>0</v>
      </c>
      <c r="DA7" s="187" t="s">
        <v>974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  <c r="DA8" s="187" t="s">
        <v>975</v>
      </c>
    </row>
    <row r="9" spans="1:105" ht="11.45" customHeight="1" x14ac:dyDescent="0.25">
      <c r="A9" s="74" t="s">
        <v>147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>
        <v>0</v>
      </c>
      <c r="Y9" s="75">
        <v>0</v>
      </c>
      <c r="DA9" s="188" t="s">
        <v>976</v>
      </c>
    </row>
    <row r="10" spans="1:105" ht="11.45" customHeight="1" x14ac:dyDescent="0.25">
      <c r="A10" s="70" t="s">
        <v>167</v>
      </c>
      <c r="B10" s="71">
        <f>SUM(B11:B15)</f>
        <v>85.245773254446263</v>
      </c>
      <c r="C10" s="71">
        <f t="shared" ref="C10:W10" si="4">SUM(C11:C15)</f>
        <v>91.384343719629982</v>
      </c>
      <c r="D10" s="71">
        <f t="shared" si="4"/>
        <v>83.355554404790212</v>
      </c>
      <c r="E10" s="71">
        <f t="shared" si="4"/>
        <v>96.069572799035598</v>
      </c>
      <c r="F10" s="71">
        <f t="shared" si="4"/>
        <v>81.542735214183367</v>
      </c>
      <c r="G10" s="71">
        <f t="shared" si="4"/>
        <v>57.158501407213869</v>
      </c>
      <c r="H10" s="71">
        <f t="shared" si="4"/>
        <v>58.609668017167245</v>
      </c>
      <c r="I10" s="71">
        <f t="shared" si="4"/>
        <v>57.588542980058037</v>
      </c>
      <c r="J10" s="71">
        <f t="shared" si="4"/>
        <v>36.289726567562823</v>
      </c>
      <c r="K10" s="71">
        <f t="shared" si="4"/>
        <v>47.777994313828145</v>
      </c>
      <c r="L10" s="71">
        <f t="shared" si="4"/>
        <v>68.486742781087116</v>
      </c>
      <c r="M10" s="71">
        <f t="shared" si="4"/>
        <v>56.671116257510477</v>
      </c>
      <c r="N10" s="71">
        <f t="shared" si="4"/>
        <v>66.293942476041408</v>
      </c>
      <c r="O10" s="71">
        <f t="shared" si="4"/>
        <v>71.518519537167563</v>
      </c>
      <c r="P10" s="71">
        <f t="shared" si="4"/>
        <v>68.822694339762791</v>
      </c>
      <c r="Q10" s="71">
        <f t="shared" si="4"/>
        <v>80.704202743018172</v>
      </c>
      <c r="R10" s="71">
        <f t="shared" si="4"/>
        <v>81.323426701470666</v>
      </c>
      <c r="S10" s="71">
        <f t="shared" si="4"/>
        <v>79.896705916735257</v>
      </c>
      <c r="T10" s="71">
        <f t="shared" si="4"/>
        <v>86.350732328406721</v>
      </c>
      <c r="U10" s="71">
        <f t="shared" si="4"/>
        <v>70.628844770679052</v>
      </c>
      <c r="V10" s="71">
        <f t="shared" si="4"/>
        <v>83.422617238931238</v>
      </c>
      <c r="W10" s="71">
        <f t="shared" si="4"/>
        <v>88.859167181267765</v>
      </c>
      <c r="X10" s="71">
        <f t="shared" ref="X10:Y10" si="5">SUM(X11:X15)</f>
        <v>62.300545148164218</v>
      </c>
      <c r="Y10" s="71">
        <f t="shared" si="5"/>
        <v>60.443727784272184</v>
      </c>
      <c r="DA10" s="186" t="s">
        <v>977</v>
      </c>
    </row>
    <row r="11" spans="1:105" ht="11.45" customHeight="1" x14ac:dyDescent="0.25">
      <c r="A11" s="72" t="s">
        <v>144</v>
      </c>
      <c r="B11" s="73">
        <v>48.804328714463452</v>
      </c>
      <c r="C11" s="73">
        <v>55.927765903636868</v>
      </c>
      <c r="D11" s="73">
        <v>33.809739472457572</v>
      </c>
      <c r="E11" s="73">
        <v>36.118109744521568</v>
      </c>
      <c r="F11" s="73">
        <v>34.505669434468288</v>
      </c>
      <c r="G11" s="73">
        <v>33.520754201710851</v>
      </c>
      <c r="H11" s="73">
        <v>17.253335211701526</v>
      </c>
      <c r="I11" s="73">
        <v>7.791762145162906</v>
      </c>
      <c r="J11" s="73">
        <v>4.2715371396931836</v>
      </c>
      <c r="K11" s="73">
        <v>17.965546752151418</v>
      </c>
      <c r="L11" s="73">
        <v>30.788438522046132</v>
      </c>
      <c r="M11" s="73">
        <v>34.018321760519939</v>
      </c>
      <c r="N11" s="73">
        <v>42.65619527053839</v>
      </c>
      <c r="O11" s="73">
        <v>53.790230629171006</v>
      </c>
      <c r="P11" s="73">
        <v>49.124585999264092</v>
      </c>
      <c r="Q11" s="73">
        <v>66.915552700025913</v>
      </c>
      <c r="R11" s="73">
        <v>70.489462814970224</v>
      </c>
      <c r="S11" s="73">
        <v>66.341503853106715</v>
      </c>
      <c r="T11" s="73">
        <v>70.620895699000002</v>
      </c>
      <c r="U11" s="73">
        <v>60.387830153310183</v>
      </c>
      <c r="V11" s="73">
        <v>73.057526955182297</v>
      </c>
      <c r="W11" s="73">
        <v>82.133285839909206</v>
      </c>
      <c r="X11" s="73">
        <v>61.043795363125525</v>
      </c>
      <c r="Y11" s="73">
        <v>60.443727784272184</v>
      </c>
      <c r="DA11" s="187" t="s">
        <v>978</v>
      </c>
    </row>
    <row r="12" spans="1:105" ht="11.45" customHeight="1" x14ac:dyDescent="0.25">
      <c r="A12" s="72" t="s">
        <v>145</v>
      </c>
      <c r="B12" s="73">
        <v>36.441444539982811</v>
      </c>
      <c r="C12" s="73">
        <v>35.456577815993114</v>
      </c>
      <c r="D12" s="73">
        <v>49.54581493233264</v>
      </c>
      <c r="E12" s="73">
        <v>59.951463054514036</v>
      </c>
      <c r="F12" s="73">
        <v>47.037065779715078</v>
      </c>
      <c r="G12" s="73">
        <v>23.637747205503018</v>
      </c>
      <c r="H12" s="73">
        <v>41.356332805465719</v>
      </c>
      <c r="I12" s="73">
        <v>49.796780834895131</v>
      </c>
      <c r="J12" s="73">
        <v>32.018189427869643</v>
      </c>
      <c r="K12" s="73">
        <v>29.812447561676723</v>
      </c>
      <c r="L12" s="73">
        <v>37.698304259040981</v>
      </c>
      <c r="M12" s="73">
        <v>22.652794496990538</v>
      </c>
      <c r="N12" s="73">
        <v>23.637747205503018</v>
      </c>
      <c r="O12" s="73">
        <v>17.728288907996557</v>
      </c>
      <c r="P12" s="73">
        <v>19.698108340498706</v>
      </c>
      <c r="Q12" s="73">
        <v>13.788650042992259</v>
      </c>
      <c r="R12" s="73">
        <v>10.833963886500442</v>
      </c>
      <c r="S12" s="73">
        <v>13.555202063628542</v>
      </c>
      <c r="T12" s="73">
        <v>15.729836629406719</v>
      </c>
      <c r="U12" s="73">
        <v>10.241014617368876</v>
      </c>
      <c r="V12" s="73">
        <v>10.365090283748941</v>
      </c>
      <c r="W12" s="73">
        <v>6.7258813413585585</v>
      </c>
      <c r="X12" s="73">
        <v>1.2567497850386928</v>
      </c>
      <c r="Y12" s="73">
        <v>0</v>
      </c>
      <c r="DA12" s="187" t="s">
        <v>979</v>
      </c>
    </row>
    <row r="13" spans="1:105" ht="11.45" customHeight="1" x14ac:dyDescent="0.25">
      <c r="A13" s="72" t="s">
        <v>146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  <c r="DA13" s="187" t="s">
        <v>980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  <c r="DA14" s="187" t="s">
        <v>981</v>
      </c>
    </row>
    <row r="15" spans="1:105" ht="11.45" customHeight="1" x14ac:dyDescent="0.25">
      <c r="A15" s="74" t="s">
        <v>147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0</v>
      </c>
      <c r="DA15" s="188" t="s">
        <v>982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DA18" s="181"/>
    </row>
    <row r="19" spans="1:105" ht="11.45" customHeight="1" x14ac:dyDescent="0.25">
      <c r="A19" s="53" t="s">
        <v>62</v>
      </c>
      <c r="B19" s="62">
        <f>IF(B3=0,0,B3/MBunk_act!B7*100)</f>
        <v>2388.414397220281</v>
      </c>
      <c r="C19" s="62">
        <f>IF(C3=0,0,C3/MBunk_act!C7*100)</f>
        <v>2393.0407156310525</v>
      </c>
      <c r="D19" s="62">
        <f>IF(D3=0,0,D3/MBunk_act!D7*100)</f>
        <v>2015.0303134298699</v>
      </c>
      <c r="E19" s="62">
        <f>IF(E3=0,0,E3/MBunk_act!E7*100)</f>
        <v>2313.238881399066</v>
      </c>
      <c r="F19" s="62">
        <f>IF(F3=0,0,F3/MBunk_act!F7*100)</f>
        <v>1953.6590732176492</v>
      </c>
      <c r="G19" s="62">
        <f>IF(G3=0,0,G3/MBunk_act!G7*100)</f>
        <v>1405.427957250592</v>
      </c>
      <c r="H19" s="62">
        <f>IF(H3=0,0,H3/MBunk_act!H7*100)</f>
        <v>2188.9326915786182</v>
      </c>
      <c r="I19" s="62">
        <f>IF(I3=0,0,I3/MBunk_act!I7*100)</f>
        <v>1448.8472018342534</v>
      </c>
      <c r="J19" s="62">
        <f>IF(J3=0,0,J3/MBunk_act!J7*100)</f>
        <v>1019.6337804599652</v>
      </c>
      <c r="K19" s="62">
        <f>IF(K3=0,0,K3/MBunk_act!K7*100)</f>
        <v>1591.87671094999</v>
      </c>
      <c r="L19" s="62">
        <f>IF(L3=0,0,L3/MBunk_act!L7*100)</f>
        <v>2202.6721394993701</v>
      </c>
      <c r="M19" s="62">
        <f>IF(M3=0,0,M3/MBunk_act!M7*100)</f>
        <v>1861.966777978412</v>
      </c>
      <c r="N19" s="62">
        <f>IF(N3=0,0,N3/MBunk_act!N7*100)</f>
        <v>2233.9148679747814</v>
      </c>
      <c r="O19" s="62">
        <f>IF(O3=0,0,O3/MBunk_act!O7*100)</f>
        <v>2365.9010297612231</v>
      </c>
      <c r="P19" s="62">
        <f>IF(P3=0,0,P3/MBunk_act!P7*100)</f>
        <v>2206.0807917144393</v>
      </c>
      <c r="Q19" s="62">
        <f>IF(Q3=0,0,Q3/MBunk_act!Q7*100)</f>
        <v>2555.2196213543093</v>
      </c>
      <c r="R19" s="62">
        <f>IF(R3=0,0,R3/MBunk_act!R7*100)</f>
        <v>2561.0029762479953</v>
      </c>
      <c r="S19" s="62">
        <f>IF(S3=0,0,S3/MBunk_act!S7*100)</f>
        <v>2396.4895001830214</v>
      </c>
      <c r="T19" s="62">
        <f>IF(T3=0,0,T3/MBunk_act!T7*100)</f>
        <v>2579.502422806891</v>
      </c>
      <c r="U19" s="62">
        <f>IF(U3=0,0,U3/MBunk_act!U7*100)</f>
        <v>2111.1733531119116</v>
      </c>
      <c r="V19" s="62">
        <f>IF(V3=0,0,V3/MBunk_act!V7*100)</f>
        <v>2603.6862938499626</v>
      </c>
      <c r="W19" s="62">
        <f>IF(W3=0,0,W3/MBunk_act!W7*100)</f>
        <v>2662.7187208525652</v>
      </c>
      <c r="X19" s="62">
        <f>IF(X3=0,0,X3/MBunk_act!X7*100)</f>
        <v>1916.7671713048157</v>
      </c>
      <c r="Y19" s="62">
        <f>IF(Y3=0,0,Y3/MBunk_act!Y7*100)</f>
        <v>2012.5557175960341</v>
      </c>
      <c r="DA19" s="172" t="s">
        <v>983</v>
      </c>
    </row>
    <row r="20" spans="1:105" ht="11.45" customHeight="1" x14ac:dyDescent="0.25">
      <c r="A20" s="55" t="s">
        <v>166</v>
      </c>
      <c r="B20" s="63">
        <f>IF(B4=0,0,B4/MBunk_act!B8*100)</f>
        <v>1834.9806729280053</v>
      </c>
      <c r="C20" s="63">
        <f>IF(C4=0,0,C4/MBunk_act!C8*100)</f>
        <v>1820.7298069314902</v>
      </c>
      <c r="D20" s="63">
        <f>IF(D4=0,0,D4/MBunk_act!D8*100)</f>
        <v>1538.64558665804</v>
      </c>
      <c r="E20" s="63">
        <f>IF(E4=0,0,E4/MBunk_act!E8*100)</f>
        <v>1779.6003251453296</v>
      </c>
      <c r="F20" s="63">
        <f>IF(F4=0,0,F4/MBunk_act!F8*100)</f>
        <v>1503.5644408274366</v>
      </c>
      <c r="G20" s="63">
        <f>IF(G4=0,0,G4/MBunk_act!G8*100)</f>
        <v>1088.0956025359626</v>
      </c>
      <c r="H20" s="63">
        <f>IF(H4=0,0,H4/MBunk_act!H8*100)</f>
        <v>1719.0256614012142</v>
      </c>
      <c r="I20" s="63">
        <f>IF(I4=0,0,I4/MBunk_act!I8*100)</f>
        <v>1134.2868601604443</v>
      </c>
      <c r="J20" s="63">
        <f>IF(J4=0,0,J4/MBunk_act!J8*100)</f>
        <v>796.95217347816072</v>
      </c>
      <c r="K20" s="63">
        <f>IF(K4=0,0,K4/MBunk_act!K8*100)</f>
        <v>1237.8733420490526</v>
      </c>
      <c r="L20" s="63">
        <f>IF(L4=0,0,L4/MBunk_act!L8*100)</f>
        <v>1698.5375870833834</v>
      </c>
      <c r="M20" s="63">
        <f>IF(M4=0,0,M4/MBunk_act!M8*100)</f>
        <v>1423.9781225566812</v>
      </c>
      <c r="N20" s="63">
        <f>IF(N4=0,0,N4/MBunk_act!N8*100)</f>
        <v>1705.2202074837787</v>
      </c>
      <c r="O20" s="63">
        <f>IF(O4=0,0,O4/MBunk_act!O8*100)</f>
        <v>1809.9053030254474</v>
      </c>
      <c r="P20" s="63">
        <f>IF(P4=0,0,P4/MBunk_act!P8*100)</f>
        <v>1671.0626762853306</v>
      </c>
      <c r="Q20" s="63">
        <f>IF(Q4=0,0,Q4/MBunk_act!Q8*100)</f>
        <v>1940.1581577424331</v>
      </c>
      <c r="R20" s="63">
        <f>IF(R4=0,0,R4/MBunk_act!R8*100)</f>
        <v>1958.1630790863685</v>
      </c>
      <c r="S20" s="63">
        <f>IF(S4=0,0,S4/MBunk_act!S8*100)</f>
        <v>1823.5849220056346</v>
      </c>
      <c r="T20" s="63">
        <f>IF(T4=0,0,T4/MBunk_act!T8*100)</f>
        <v>1966.7444549191036</v>
      </c>
      <c r="U20" s="63">
        <f>IF(U4=0,0,U4/MBunk_act!U8*100)</f>
        <v>1611.1152229792185</v>
      </c>
      <c r="V20" s="63">
        <f>IF(V4=0,0,V4/MBunk_act!V8*100)</f>
        <v>1864.1670713001445</v>
      </c>
      <c r="W20" s="63">
        <f>IF(W4=0,0,W4/MBunk_act!W8*100)</f>
        <v>1834.2963008036211</v>
      </c>
      <c r="X20" s="63">
        <f>IF(X4=0,0,X4/MBunk_act!X8*100)</f>
        <v>1444.8136168705676</v>
      </c>
      <c r="Y20" s="63">
        <f>IF(Y4=0,0,Y4/MBunk_act!Y8*100)</f>
        <v>1545.8892360009465</v>
      </c>
      <c r="DA20" s="181" t="s">
        <v>984</v>
      </c>
    </row>
    <row r="21" spans="1:105" ht="11.45" customHeight="1" x14ac:dyDescent="0.25">
      <c r="A21" s="57" t="s">
        <v>167</v>
      </c>
      <c r="B21" s="64">
        <f>IF(B10=0,0,B10/MBunk_act!B9*100)</f>
        <v>3161.5212568401189</v>
      </c>
      <c r="C21" s="64">
        <f>IF(C10=0,0,C10/MBunk_act!C9*100)</f>
        <v>3200.8459428677197</v>
      </c>
      <c r="D21" s="64">
        <f>IF(D10=0,0,D10/MBunk_act!D9*100)</f>
        <v>2630.9078853736069</v>
      </c>
      <c r="E21" s="64">
        <f>IF(E10=0,0,E10/MBunk_act!E9*100)</f>
        <v>3053.190094076162</v>
      </c>
      <c r="F21" s="64">
        <f>IF(F10=0,0,F10/MBunk_act!F9*100)</f>
        <v>2644.908323759892</v>
      </c>
      <c r="G21" s="64">
        <f>IF(G10=0,0,G10/MBunk_act!G9*100)</f>
        <v>1880.1025402184696</v>
      </c>
      <c r="H21" s="64">
        <f>IF(H10=0,0,H10/MBunk_act!H9*100)</f>
        <v>3297.7450192946608</v>
      </c>
      <c r="I21" s="64">
        <f>IF(I10=0,0,I10/MBunk_act!I9*100)</f>
        <v>1985.7063790425623</v>
      </c>
      <c r="J21" s="64">
        <f>IF(J10=0,0,J10/MBunk_act!J9*100)</f>
        <v>1388.7487378158414</v>
      </c>
      <c r="K21" s="64">
        <f>IF(K10=0,0,K10/MBunk_act!K9*100)</f>
        <v>2260.9374394318811</v>
      </c>
      <c r="L21" s="64">
        <f>IF(L10=0,0,L10/MBunk_act!L9*100)</f>
        <v>3167.0023621202727</v>
      </c>
      <c r="M21" s="64">
        <f>IF(M10=0,0,M10/MBunk_act!M9*100)</f>
        <v>2589.6141590893103</v>
      </c>
      <c r="N21" s="64">
        <f>IF(N10=0,0,N10/MBunk_act!N9*100)</f>
        <v>3150.0502949838547</v>
      </c>
      <c r="O21" s="64">
        <f>IF(O10=0,0,O10/MBunk_act!O9*100)</f>
        <v>3477.1082975948802</v>
      </c>
      <c r="P21" s="64">
        <f>IF(P10=0,0,P10/MBunk_act!P9*100)</f>
        <v>3167.9934865695955</v>
      </c>
      <c r="Q21" s="64">
        <f>IF(Q10=0,0,Q10/MBunk_act!Q9*100)</f>
        <v>3706.4771215269971</v>
      </c>
      <c r="R21" s="64">
        <f>IF(R10=0,0,R10/MBunk_act!R9*100)</f>
        <v>3646.1560365941109</v>
      </c>
      <c r="S21" s="64">
        <f>IF(S10=0,0,S10/MBunk_act!S9*100)</f>
        <v>3416.3192161013726</v>
      </c>
      <c r="T21" s="64">
        <f>IF(T10=0,0,T10/MBunk_act!T9*100)</f>
        <v>3747.0940123553996</v>
      </c>
      <c r="U21" s="64">
        <f>IF(U10=0,0,U10/MBunk_act!U9*100)</f>
        <v>3079.9010286278522</v>
      </c>
      <c r="V21" s="64">
        <f>IF(V10=0,0,V10/MBunk_act!V9*100)</f>
        <v>3946.2778684207501</v>
      </c>
      <c r="W21" s="64">
        <f>IF(W10=0,0,W10/MBunk_act!W9*100)</f>
        <v>4602.4612563639366</v>
      </c>
      <c r="X21" s="64">
        <f>IF(X10=0,0,X10/MBunk_act!X9*100)</f>
        <v>2852.8006724017177</v>
      </c>
      <c r="Y21" s="64">
        <f>IF(Y10=0,0,Y10/MBunk_act!Y9*100)</f>
        <v>3166.8778723221349</v>
      </c>
      <c r="DA21" s="182" t="s">
        <v>985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63</v>
      </c>
      <c r="B23" s="62">
        <f>IF(B3=0,0,B3/MBunk_act!B3*1000)</f>
        <v>3.2732568235673027</v>
      </c>
      <c r="C23" s="62">
        <f>IF(C3=0,0,C3/MBunk_act!C3*1000)</f>
        <v>3.1298014380899297</v>
      </c>
      <c r="D23" s="62">
        <f>IF(D3=0,0,D3/MBunk_act!D3*1000)</f>
        <v>2.5401527863077131</v>
      </c>
      <c r="E23" s="62">
        <f>IF(E3=0,0,E3/MBunk_act!E3*1000)</f>
        <v>3.007738535607595</v>
      </c>
      <c r="F23" s="62">
        <f>IF(F3=0,0,F3/MBunk_act!F3*1000)</f>
        <v>2.626946262302587</v>
      </c>
      <c r="G23" s="62">
        <f>IF(G3=0,0,G3/MBunk_act!G3*1000)</f>
        <v>1.7794226971739637</v>
      </c>
      <c r="H23" s="62">
        <f>IF(H3=0,0,H3/MBunk_act!H3*1000)</f>
        <v>4.3125723700806926</v>
      </c>
      <c r="I23" s="62">
        <f>IF(I3=0,0,I3/MBunk_act!I3*1000)</f>
        <v>1.7411890762685536</v>
      </c>
      <c r="J23" s="62">
        <f>IF(J3=0,0,J3/MBunk_act!J3*1000)</f>
        <v>1.1894164682071773</v>
      </c>
      <c r="K23" s="62">
        <f>IF(K3=0,0,K3/MBunk_act!K3*1000)</f>
        <v>2.3317947512556647</v>
      </c>
      <c r="L23" s="62">
        <f>IF(L3=0,0,L3/MBunk_act!L3*1000)</f>
        <v>3.0654220448348477</v>
      </c>
      <c r="M23" s="62">
        <f>IF(M3=0,0,M3/MBunk_act!M3*1000)</f>
        <v>2.3526534806710817</v>
      </c>
      <c r="N23" s="62">
        <f>IF(N3=0,0,N3/MBunk_act!N3*1000)</f>
        <v>2.528670962090164</v>
      </c>
      <c r="O23" s="62">
        <f>IF(O3=0,0,O3/MBunk_act!O3*1000)</f>
        <v>2.9928915331409991</v>
      </c>
      <c r="P23" s="62">
        <f>IF(P3=0,0,P3/MBunk_act!P3*1000)</f>
        <v>2.6779398796355687</v>
      </c>
      <c r="Q23" s="62">
        <f>IF(Q3=0,0,Q3/MBunk_act!Q3*1000)</f>
        <v>2.9573671206909005</v>
      </c>
      <c r="R23" s="62">
        <f>IF(R3=0,0,R3/MBunk_act!R3*1000)</f>
        <v>3.0289074572469259</v>
      </c>
      <c r="S23" s="62">
        <f>IF(S3=0,0,S3/MBunk_act!S3*1000)</f>
        <v>2.827646608625372</v>
      </c>
      <c r="T23" s="62">
        <f>IF(T3=0,0,T3/MBunk_act!T3*1000)</f>
        <v>3.1082085771908137</v>
      </c>
      <c r="U23" s="62">
        <f>IF(U3=0,0,U3/MBunk_act!U3*1000)</f>
        <v>2.6612148617422706</v>
      </c>
      <c r="V23" s="62">
        <f>IF(V3=0,0,V3/MBunk_act!V3*1000)</f>
        <v>2.8592573578262717</v>
      </c>
      <c r="W23" s="62">
        <f>IF(W3=0,0,W3/MBunk_act!W3*1000)</f>
        <v>2.9254679876121643</v>
      </c>
      <c r="X23" s="62">
        <f>IF(X3=0,0,X3/MBunk_act!X3*1000)</f>
        <v>2.130899265139687</v>
      </c>
      <c r="Y23" s="62">
        <f>IF(Y3=0,0,Y3/MBunk_act!Y3*1000)</f>
        <v>2.6142550533352091</v>
      </c>
      <c r="DA23" s="172" t="s">
        <v>432</v>
      </c>
    </row>
    <row r="24" spans="1:105" ht="11.45" customHeight="1" x14ac:dyDescent="0.25">
      <c r="A24" s="55" t="s">
        <v>166</v>
      </c>
      <c r="B24" s="63">
        <f>IF(B4=0,0,B4/MBunk_act!B4*1000)</f>
        <v>6.0053329263023834</v>
      </c>
      <c r="C24" s="63">
        <f>IF(C4=0,0,C4/MBunk_act!C4*1000)</f>
        <v>5.935053611953454</v>
      </c>
      <c r="D24" s="63">
        <f>IF(D4=0,0,D4/MBunk_act!D4*1000)</f>
        <v>4.7961396938323073</v>
      </c>
      <c r="E24" s="63">
        <f>IF(E4=0,0,E4/MBunk_act!E4*1000)</f>
        <v>5.4265253092497696</v>
      </c>
      <c r="F24" s="63">
        <f>IF(F4=0,0,F4/MBunk_act!F4*1000)</f>
        <v>4.5037782840905374</v>
      </c>
      <c r="G24" s="63">
        <f>IF(G4=0,0,G4/MBunk_act!G4*1000)</f>
        <v>3.107585507534333</v>
      </c>
      <c r="H24" s="63">
        <f>IF(H4=0,0,H4/MBunk_act!H4*1000)</f>
        <v>4.670601993389158</v>
      </c>
      <c r="I24" s="63">
        <f>IF(I4=0,0,I4/MBunk_act!I4*1000)</f>
        <v>2.8841237698190314</v>
      </c>
      <c r="J24" s="63">
        <f>IF(J4=0,0,J4/MBunk_act!J4*1000)</f>
        <v>1.9839345776339148</v>
      </c>
      <c r="K24" s="63">
        <f>IF(K4=0,0,K4/MBunk_act!K4*1000)</f>
        <v>3.360135760522958</v>
      </c>
      <c r="L24" s="63">
        <f>IF(L4=0,0,L4/MBunk_act!L4*1000)</f>
        <v>4.5753223340107239</v>
      </c>
      <c r="M24" s="63">
        <f>IF(M4=0,0,M4/MBunk_act!M4*1000)</f>
        <v>3.7700202326291046</v>
      </c>
      <c r="N24" s="63">
        <f>IF(N4=0,0,N4/MBunk_act!N4*1000)</f>
        <v>4.2903830376132834</v>
      </c>
      <c r="O24" s="63">
        <f>IF(O4=0,0,O4/MBunk_act!O4*1000)</f>
        <v>4.6897608729479314</v>
      </c>
      <c r="P24" s="63">
        <f>IF(P4=0,0,P4/MBunk_act!P4*1000)</f>
        <v>4.4725054080629558</v>
      </c>
      <c r="Q24" s="63">
        <f>IF(Q4=0,0,Q4/MBunk_act!Q4*1000)</f>
        <v>4.8743014468445471</v>
      </c>
      <c r="R24" s="63">
        <f>IF(R4=0,0,R4/MBunk_act!R4*1000)</f>
        <v>4.7401524548925558</v>
      </c>
      <c r="S24" s="63">
        <f>IF(S4=0,0,S4/MBunk_act!S4*1000)</f>
        <v>4.4834946951990311</v>
      </c>
      <c r="T24" s="63">
        <f>IF(T4=0,0,T4/MBunk_act!T4*1000)</f>
        <v>4.7916957379955925</v>
      </c>
      <c r="U24" s="63">
        <f>IF(U4=0,0,U4/MBunk_act!U4*1000)</f>
        <v>4.012740031673645</v>
      </c>
      <c r="V24" s="63">
        <f>IF(V4=0,0,V4/MBunk_act!V4*1000)</f>
        <v>4.1488459006236678</v>
      </c>
      <c r="W24" s="63">
        <f>IF(W4=0,0,W4/MBunk_act!W4*1000)</f>
        <v>4.2389797828944769</v>
      </c>
      <c r="X24" s="63">
        <f>IF(X4=0,0,X4/MBunk_act!X4*1000)</f>
        <v>3.3789436473180738</v>
      </c>
      <c r="Y24" s="63">
        <f>IF(Y4=0,0,Y4/MBunk_act!Y4*1000)</f>
        <v>3.5978837517630891</v>
      </c>
      <c r="DA24" s="181" t="s">
        <v>433</v>
      </c>
    </row>
    <row r="25" spans="1:105" ht="11.45" customHeight="1" x14ac:dyDescent="0.25">
      <c r="A25" s="57" t="s">
        <v>167</v>
      </c>
      <c r="B25" s="64">
        <f>IF(B10=0,0,B10/MBunk_act!B5*1000)</f>
        <v>2.3912232398750994</v>
      </c>
      <c r="C25" s="64">
        <f>IF(C10=0,0,C10/MBunk_act!C5*1000)</f>
        <v>2.2688072386978129</v>
      </c>
      <c r="D25" s="64">
        <f>IF(D10=0,0,D10/MBunk_act!D5*1000)</f>
        <v>1.8737623317980194</v>
      </c>
      <c r="E25" s="64">
        <f>IF(E10=0,0,E10/MBunk_act!E5*1000)</f>
        <v>2.2111710040435311</v>
      </c>
      <c r="F25" s="64">
        <f>IF(F10=0,0,F10/MBunk_act!F5*1000)</f>
        <v>1.9261630234622305</v>
      </c>
      <c r="G25" s="64">
        <f>IF(G10=0,0,G10/MBunk_act!G5*1000)</f>
        <v>1.2988538161692709</v>
      </c>
      <c r="H25" s="64">
        <f>IF(H10=0,0,H10/MBunk_act!H5*1000)</f>
        <v>3.9409839609722561</v>
      </c>
      <c r="I25" s="64">
        <f>IF(I10=0,0,I10/MBunk_act!I5*1000)</f>
        <v>1.2559593578563206</v>
      </c>
      <c r="J25" s="64">
        <f>IF(J10=0,0,J10/MBunk_act!J5*1000)</f>
        <v>0.86130615353049189</v>
      </c>
      <c r="K25" s="64">
        <f>IF(K10=0,0,K10/MBunk_act!K5*1000)</f>
        <v>1.7709600240091345</v>
      </c>
      <c r="L25" s="64">
        <f>IF(L10=0,0,L10/MBunk_act!L5*1000)</f>
        <v>2.2900933645502315</v>
      </c>
      <c r="M25" s="64">
        <f>IF(M10=0,0,M10/MBunk_act!M5*1000)</f>
        <v>1.7512014112168139</v>
      </c>
      <c r="N25" s="64">
        <f>IF(N10=0,0,N10/MBunk_act!N5*1000)</f>
        <v>1.8255262881446175</v>
      </c>
      <c r="O25" s="64">
        <f>IF(O10=0,0,O10/MBunk_act!O5*1000)</f>
        <v>2.1744216248670045</v>
      </c>
      <c r="P25" s="64">
        <f>IF(P10=0,0,P10/MBunk_act!P5*1000)</f>
        <v>1.9397970939130551</v>
      </c>
      <c r="Q25" s="64">
        <f>IF(Q10=0,0,Q10/MBunk_act!Q5*1000)</f>
        <v>2.1347856937340559</v>
      </c>
      <c r="R25" s="64">
        <f>IF(R10=0,0,R10/MBunk_act!R5*1000)</f>
        <v>2.2453022501255004</v>
      </c>
      <c r="S25" s="64">
        <f>IF(S10=0,0,S10/MBunk_act!S5*1000)</f>
        <v>2.0931158144000324</v>
      </c>
      <c r="T25" s="64">
        <f>IF(T10=0,0,T10/MBunk_act!T5*1000)</f>
        <v>2.3000271395069265</v>
      </c>
      <c r="U25" s="64">
        <f>IF(U10=0,0,U10/MBunk_act!U5*1000)</f>
        <v>1.9840356238237791</v>
      </c>
      <c r="V25" s="64">
        <f>IF(V10=0,0,V10/MBunk_act!V5*1000)</f>
        <v>2.2574761155136085</v>
      </c>
      <c r="W25" s="64">
        <f>IF(W10=0,0,W10/MBunk_act!W5*1000)</f>
        <v>2.2692752698415721</v>
      </c>
      <c r="X25" s="64">
        <f>IF(X10=0,0,X10/MBunk_act!X5*1000)</f>
        <v>1.5542589648142837</v>
      </c>
      <c r="Y25" s="64">
        <f>IF(Y10=0,0,Y10/MBunk_act!Y5*1000)</f>
        <v>1.9654507632304334</v>
      </c>
      <c r="DA25" s="182" t="s">
        <v>434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DA26" s="181"/>
    </row>
    <row r="27" spans="1:105" ht="11.45" customHeight="1" x14ac:dyDescent="0.25">
      <c r="A27" s="53" t="s">
        <v>40</v>
      </c>
      <c r="B27" s="76">
        <f>IF(B3=0,0,B3/B$3)</f>
        <v>1</v>
      </c>
      <c r="C27" s="76">
        <f t="shared" ref="C27:W28" si="6">IF(C3=0,0,C3/C$3)</f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si="6"/>
        <v>1</v>
      </c>
      <c r="W27" s="76">
        <f t="shared" si="6"/>
        <v>1</v>
      </c>
      <c r="X27" s="76">
        <f t="shared" ref="X27:Y27" si="7">IF(X3=0,0,X3/X$3)</f>
        <v>1</v>
      </c>
      <c r="Y27" s="76">
        <f t="shared" si="7"/>
        <v>1</v>
      </c>
      <c r="DA27" s="183"/>
    </row>
    <row r="28" spans="1:105" ht="11.45" customHeight="1" x14ac:dyDescent="0.25">
      <c r="A28" s="55" t="s">
        <v>166</v>
      </c>
      <c r="B28" s="77">
        <f>IF(B4=0,0,B4/B$3)</f>
        <v>0.44775536618111633</v>
      </c>
      <c r="C28" s="77">
        <f t="shared" si="6"/>
        <v>0.44533460111408169</v>
      </c>
      <c r="D28" s="77">
        <f t="shared" si="6"/>
        <v>0.43055085598566356</v>
      </c>
      <c r="E28" s="77">
        <f t="shared" si="6"/>
        <v>0.44696705942165654</v>
      </c>
      <c r="F28" s="77">
        <f t="shared" si="6"/>
        <v>0.46611322506642883</v>
      </c>
      <c r="G28" s="77">
        <f t="shared" si="6"/>
        <v>0.46400798935205789</v>
      </c>
      <c r="H28" s="77">
        <f t="shared" si="6"/>
        <v>0.55157308253446269</v>
      </c>
      <c r="I28" s="77">
        <f t="shared" si="6"/>
        <v>0.49364767286879918</v>
      </c>
      <c r="J28" s="77">
        <f t="shared" si="6"/>
        <v>0.48750295078570943</v>
      </c>
      <c r="K28" s="77">
        <f t="shared" si="6"/>
        <v>0.50854510248645113</v>
      </c>
      <c r="L28" s="77">
        <f t="shared" si="6"/>
        <v>0.50639283000283031</v>
      </c>
      <c r="M28" s="77">
        <f t="shared" si="6"/>
        <v>0.47740767241350435</v>
      </c>
      <c r="N28" s="77">
        <f t="shared" si="6"/>
        <v>0.48401269492018473</v>
      </c>
      <c r="O28" s="77">
        <f t="shared" si="6"/>
        <v>0.50987752705745226</v>
      </c>
      <c r="P28" s="77">
        <f t="shared" si="6"/>
        <v>0.48674920972637697</v>
      </c>
      <c r="Q28" s="77">
        <f t="shared" si="6"/>
        <v>0.49489406012402209</v>
      </c>
      <c r="R28" s="77">
        <f t="shared" si="6"/>
        <v>0.4915403153155356</v>
      </c>
      <c r="S28" s="77">
        <f t="shared" si="6"/>
        <v>0.48723086628878609</v>
      </c>
      <c r="T28" s="77">
        <f t="shared" si="6"/>
        <v>0.50003185380631043</v>
      </c>
      <c r="U28" s="77">
        <f t="shared" si="6"/>
        <v>0.50332203742075288</v>
      </c>
      <c r="V28" s="77">
        <f t="shared" si="6"/>
        <v>0.46167489233621994</v>
      </c>
      <c r="W28" s="77">
        <f t="shared" si="6"/>
        <v>0.48272114344499611</v>
      </c>
      <c r="X28" s="77">
        <f t="shared" ref="X28:Y28" si="8">IF(X4=0,0,X4/X$3)</f>
        <v>0.5011124514245614</v>
      </c>
      <c r="Y28" s="77">
        <f t="shared" si="8"/>
        <v>0.54698765060858157</v>
      </c>
      <c r="DA28" s="184"/>
    </row>
    <row r="29" spans="1:105" ht="11.45" customHeight="1" x14ac:dyDescent="0.25">
      <c r="A29" s="57" t="s">
        <v>167</v>
      </c>
      <c r="B29" s="78">
        <f>IF(B10=0,0,B10/B$3)</f>
        <v>0.55224463381888367</v>
      </c>
      <c r="C29" s="78">
        <f t="shared" ref="C29:W29" si="9">IF(C10=0,0,C10/C$3)</f>
        <v>0.55466539888591837</v>
      </c>
      <c r="D29" s="78">
        <f t="shared" si="9"/>
        <v>0.56944914401433644</v>
      </c>
      <c r="E29" s="78">
        <f t="shared" si="9"/>
        <v>0.55303294057834351</v>
      </c>
      <c r="F29" s="78">
        <f t="shared" si="9"/>
        <v>0.53388677493357117</v>
      </c>
      <c r="G29" s="78">
        <f t="shared" si="9"/>
        <v>0.53599201064794211</v>
      </c>
      <c r="H29" s="78">
        <f t="shared" si="9"/>
        <v>0.44842691746553737</v>
      </c>
      <c r="I29" s="78">
        <f t="shared" si="9"/>
        <v>0.50635232713120082</v>
      </c>
      <c r="J29" s="78">
        <f t="shared" si="9"/>
        <v>0.51249704921429062</v>
      </c>
      <c r="K29" s="78">
        <f t="shared" si="9"/>
        <v>0.49145489751354893</v>
      </c>
      <c r="L29" s="78">
        <f t="shared" si="9"/>
        <v>0.49360716999716969</v>
      </c>
      <c r="M29" s="78">
        <f t="shared" si="9"/>
        <v>0.52259232758649565</v>
      </c>
      <c r="N29" s="78">
        <f t="shared" si="9"/>
        <v>0.51598730507981527</v>
      </c>
      <c r="O29" s="78">
        <f t="shared" si="9"/>
        <v>0.49012247294254774</v>
      </c>
      <c r="P29" s="78">
        <f t="shared" si="9"/>
        <v>0.51325079027362297</v>
      </c>
      <c r="Q29" s="78">
        <f t="shared" si="9"/>
        <v>0.50510593987597796</v>
      </c>
      <c r="R29" s="78">
        <f t="shared" si="9"/>
        <v>0.50845968468446445</v>
      </c>
      <c r="S29" s="78">
        <f t="shared" si="9"/>
        <v>0.51276913371121391</v>
      </c>
      <c r="T29" s="78">
        <f t="shared" si="9"/>
        <v>0.49996814619368957</v>
      </c>
      <c r="U29" s="78">
        <f t="shared" si="9"/>
        <v>0.49667796257924701</v>
      </c>
      <c r="V29" s="78">
        <f t="shared" si="9"/>
        <v>0.53832510766378006</v>
      </c>
      <c r="W29" s="78">
        <f t="shared" si="9"/>
        <v>0.51727885655500383</v>
      </c>
      <c r="X29" s="78">
        <f t="shared" ref="X29:Y29" si="10">IF(X10=0,0,X10/X$3)</f>
        <v>0.4988875485754386</v>
      </c>
      <c r="Y29" s="78">
        <f t="shared" si="10"/>
        <v>0.45301234939141849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3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44</v>
      </c>
      <c r="B3" s="62">
        <f t="shared" ref="B3" si="0">SUM(B4:B5)</f>
        <v>483.93153216000007</v>
      </c>
      <c r="C3" s="62">
        <f t="shared" ref="C3:W3" si="1">SUM(C4:C5)</f>
        <v>516.04034039999988</v>
      </c>
      <c r="D3" s="62">
        <f t="shared" si="1"/>
        <v>461.20591944</v>
      </c>
      <c r="E3" s="62">
        <f t="shared" si="1"/>
        <v>547.64266536000014</v>
      </c>
      <c r="F3" s="62">
        <f t="shared" si="1"/>
        <v>480.51311832000005</v>
      </c>
      <c r="G3" s="62">
        <f t="shared" si="1"/>
        <v>334.10964996000001</v>
      </c>
      <c r="H3" s="62">
        <f t="shared" si="1"/>
        <v>412.29194184000005</v>
      </c>
      <c r="I3" s="62">
        <f t="shared" si="1"/>
        <v>361.96206803999996</v>
      </c>
      <c r="J3" s="62">
        <f t="shared" si="1"/>
        <v>225.94074768000002</v>
      </c>
      <c r="K3" s="62">
        <f t="shared" si="1"/>
        <v>305.96377859999996</v>
      </c>
      <c r="L3" s="62">
        <f t="shared" si="1"/>
        <v>435.75980832000016</v>
      </c>
      <c r="M3" s="62">
        <f t="shared" si="1"/>
        <v>339.5632536</v>
      </c>
      <c r="N3" s="62">
        <f t="shared" si="1"/>
        <v>401.86402236000004</v>
      </c>
      <c r="O3" s="62">
        <f t="shared" si="1"/>
        <v>455.15340935999996</v>
      </c>
      <c r="P3" s="62">
        <f t="shared" si="1"/>
        <v>418.73032943999988</v>
      </c>
      <c r="Q3" s="62">
        <f t="shared" si="1"/>
        <v>497.59959959999981</v>
      </c>
      <c r="R3" s="62">
        <f t="shared" si="1"/>
        <v>497.70007848</v>
      </c>
      <c r="S3" s="62">
        <f t="shared" si="1"/>
        <v>485.27371079999995</v>
      </c>
      <c r="T3" s="62">
        <f t="shared" si="1"/>
        <v>537.99971040000025</v>
      </c>
      <c r="U3" s="62">
        <f t="shared" si="1"/>
        <v>442.58663304000004</v>
      </c>
      <c r="V3" s="62">
        <f t="shared" si="1"/>
        <v>482.20456464000011</v>
      </c>
      <c r="W3" s="62">
        <f t="shared" si="1"/>
        <v>533.86880759999997</v>
      </c>
      <c r="X3" s="62">
        <f t="shared" ref="X3:Y3" si="2">SUM(X4:X5)</f>
        <v>387.60039000000017</v>
      </c>
      <c r="Y3" s="62">
        <f t="shared" si="2"/>
        <v>413.94402972000006</v>
      </c>
      <c r="DA3" s="172" t="s">
        <v>987</v>
      </c>
    </row>
    <row r="4" spans="1:105" ht="11.45" customHeight="1" x14ac:dyDescent="0.25">
      <c r="A4" s="55" t="s">
        <v>166</v>
      </c>
      <c r="B4" s="63">
        <v>214.42853227486881</v>
      </c>
      <c r="C4" s="63">
        <v>227.62899761855786</v>
      </c>
      <c r="D4" s="63">
        <v>195.75661257751926</v>
      </c>
      <c r="E4" s="63">
        <v>241.3114586782543</v>
      </c>
      <c r="F4" s="63">
        <v>221.0345556168806</v>
      </c>
      <c r="G4" s="63">
        <v>153.51414545443328</v>
      </c>
      <c r="H4" s="63">
        <v>224.74623301351414</v>
      </c>
      <c r="I4" s="63">
        <v>176.41814728807515</v>
      </c>
      <c r="J4" s="63">
        <v>108.93104379854564</v>
      </c>
      <c r="K4" s="63">
        <v>153.61741188459592</v>
      </c>
      <c r="L4" s="63">
        <v>218.07668637622339</v>
      </c>
      <c r="M4" s="63">
        <v>160.61590734571382</v>
      </c>
      <c r="N4" s="63">
        <v>192.92655373621062</v>
      </c>
      <c r="O4" s="63">
        <v>230.82359139972399</v>
      </c>
      <c r="P4" s="63">
        <v>202.4919313336662</v>
      </c>
      <c r="Q4" s="63">
        <v>245.31626321104866</v>
      </c>
      <c r="R4" s="63">
        <v>243.90388248093547</v>
      </c>
      <c r="S4" s="63">
        <v>235.52782194584921</v>
      </c>
      <c r="T4" s="63">
        <v>267.93027159058346</v>
      </c>
      <c r="U4" s="63">
        <v>222.05143356116358</v>
      </c>
      <c r="V4" s="63">
        <v>221.96058209273571</v>
      </c>
      <c r="W4" s="63">
        <v>257.26117942449184</v>
      </c>
      <c r="X4" s="63">
        <v>194.14436940208668</v>
      </c>
      <c r="Y4" s="63">
        <v>226.42227229999168</v>
      </c>
      <c r="DA4" s="181" t="s">
        <v>988</v>
      </c>
    </row>
    <row r="5" spans="1:105" ht="11.45" customHeight="1" x14ac:dyDescent="0.25">
      <c r="A5" s="57" t="s">
        <v>167</v>
      </c>
      <c r="B5" s="64">
        <v>269.50299988513126</v>
      </c>
      <c r="C5" s="64">
        <v>288.41134278144199</v>
      </c>
      <c r="D5" s="64">
        <v>265.44930686248074</v>
      </c>
      <c r="E5" s="64">
        <v>306.33120668174581</v>
      </c>
      <c r="F5" s="64">
        <v>259.47856270311945</v>
      </c>
      <c r="G5" s="64">
        <v>180.59550450556674</v>
      </c>
      <c r="H5" s="64">
        <v>187.54570882648594</v>
      </c>
      <c r="I5" s="64">
        <v>185.54392075192484</v>
      </c>
      <c r="J5" s="64">
        <v>117.00970388145439</v>
      </c>
      <c r="K5" s="64">
        <v>152.34636671540406</v>
      </c>
      <c r="L5" s="64">
        <v>217.6831219437768</v>
      </c>
      <c r="M5" s="64">
        <v>178.94734625428617</v>
      </c>
      <c r="N5" s="64">
        <v>208.93746862378941</v>
      </c>
      <c r="O5" s="64">
        <v>224.32981796027593</v>
      </c>
      <c r="P5" s="64">
        <v>216.2383981063337</v>
      </c>
      <c r="Q5" s="64">
        <v>252.28333638895114</v>
      </c>
      <c r="R5" s="64">
        <v>253.79619599906457</v>
      </c>
      <c r="S5" s="64">
        <v>249.74588885415073</v>
      </c>
      <c r="T5" s="64">
        <v>270.06943880941679</v>
      </c>
      <c r="U5" s="64">
        <v>220.53519947883643</v>
      </c>
      <c r="V5" s="64">
        <v>260.24398254726441</v>
      </c>
      <c r="W5" s="64">
        <v>276.60762817550813</v>
      </c>
      <c r="X5" s="64">
        <v>193.45602059791347</v>
      </c>
      <c r="Y5" s="64">
        <v>187.52175742000838</v>
      </c>
      <c r="DA5" s="182" t="s">
        <v>989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DA8" s="181"/>
    </row>
    <row r="9" spans="1:105" ht="11.45" customHeight="1" x14ac:dyDescent="0.25">
      <c r="A9" s="53" t="s">
        <v>148</v>
      </c>
      <c r="B9" s="79">
        <f>IF(B3=0,0,B3/MBunk_ene!B3)</f>
        <v>3.13503627884766</v>
      </c>
      <c r="C9" s="79">
        <f>IF(C3=0,0,C3/MBunk_ene!C3)</f>
        <v>3.1321527254969705</v>
      </c>
      <c r="D9" s="79">
        <f>IF(D3=0,0,D3/MBunk_ene!D3)</f>
        <v>3.1507596334139456</v>
      </c>
      <c r="E9" s="79">
        <f>IF(E3=0,0,E3/MBunk_ene!E3)</f>
        <v>3.1525531423331463</v>
      </c>
      <c r="F9" s="79">
        <f>IF(F3=0,0,F3/MBunk_ene!F3)</f>
        <v>3.1460754704793907</v>
      </c>
      <c r="G9" s="79">
        <f>IF(G3=0,0,G3/MBunk_ene!G3)</f>
        <v>3.133044055566145</v>
      </c>
      <c r="H9" s="79">
        <f>IF(H3=0,0,H3/MBunk_ene!H3)</f>
        <v>3.1544762294343345</v>
      </c>
      <c r="I9" s="79">
        <f>IF(I3=0,0,I3/MBunk_ene!I3)</f>
        <v>3.1825833056540951</v>
      </c>
      <c r="J9" s="79">
        <f>IF(J3=0,0,J3/MBunk_ene!J3)</f>
        <v>3.1908194807610304</v>
      </c>
      <c r="K9" s="79">
        <f>IF(K3=0,0,K3/MBunk_ene!K3)</f>
        <v>3.1472103342605378</v>
      </c>
      <c r="L9" s="79">
        <f>IF(L3=0,0,L3/MBunk_ene!L3)</f>
        <v>3.1406686469361995</v>
      </c>
      <c r="M9" s="79">
        <f>IF(M3=0,0,M3/MBunk_ene!M3)</f>
        <v>3.1312803202133872</v>
      </c>
      <c r="N9" s="79">
        <f>IF(N3=0,0,N3/MBunk_ene!N3)</f>
        <v>3.1278383237052108</v>
      </c>
      <c r="O9" s="79">
        <f>IF(O3=0,0,O3/MBunk_ene!O3)</f>
        <v>3.1192048717929861</v>
      </c>
      <c r="P9" s="79">
        <f>IF(P3=0,0,P3/MBunk_ene!P3)</f>
        <v>3.1227151822280019</v>
      </c>
      <c r="Q9" s="79">
        <f>IF(Q3=0,0,Q3/MBunk_ene!Q3)</f>
        <v>3.1143423129796299</v>
      </c>
      <c r="R9" s="79">
        <f>IF(R3=0,0,R3/MBunk_ene!R3)</f>
        <v>3.1117776910745647</v>
      </c>
      <c r="S9" s="79">
        <f>IF(S3=0,0,S3/MBunk_ene!S3)</f>
        <v>3.1144385421730032</v>
      </c>
      <c r="T9" s="79">
        <f>IF(T3=0,0,T3/MBunk_ene!T3)</f>
        <v>3.115002161631268</v>
      </c>
      <c r="U9" s="79">
        <f>IF(U3=0,0,U3/MBunk_ene!U3)</f>
        <v>3.1123690027331961</v>
      </c>
      <c r="V9" s="79">
        <f>IF(V3=0,0,V3/MBunk_ene!V3)</f>
        <v>3.1116600361784559</v>
      </c>
      <c r="W9" s="79">
        <f>IF(W3=0,0,W3/MBunk_ene!W3)</f>
        <v>3.1078284335296802</v>
      </c>
      <c r="X9" s="79">
        <f>IF(X3=0,0,X3/MBunk_ene!X3)</f>
        <v>3.1038092513333644</v>
      </c>
      <c r="Y9" s="79">
        <f>IF(Y3=0,0,Y3/MBunk_ene!Y3)</f>
        <v>3.1024188000000001</v>
      </c>
      <c r="DA9" s="172"/>
    </row>
    <row r="10" spans="1:105" ht="11.45" customHeight="1" x14ac:dyDescent="0.25">
      <c r="A10" s="55" t="s">
        <v>166</v>
      </c>
      <c r="B10" s="80">
        <f>IF(B4=0,0,B4/MBunk_ene!B4)</f>
        <v>3.1024187999999997</v>
      </c>
      <c r="C10" s="80">
        <f>IF(C4=0,0,C4/MBunk_ene!C4)</f>
        <v>3.1024187999999997</v>
      </c>
      <c r="D10" s="80">
        <f>IF(D4=0,0,D4/MBunk_ene!D4)</f>
        <v>3.1060781916575371</v>
      </c>
      <c r="E10" s="80">
        <f>IF(E4=0,0,E4/MBunk_ene!E4)</f>
        <v>3.1079038029604322</v>
      </c>
      <c r="F10" s="80">
        <f>IF(F4=0,0,F4/MBunk_ene!F4)</f>
        <v>3.1047929051203162</v>
      </c>
      <c r="G10" s="80">
        <f>IF(G4=0,0,G4/MBunk_ene!G4)</f>
        <v>3.1024188000000006</v>
      </c>
      <c r="H10" s="80">
        <f>IF(H4=0,0,H4/MBunk_ene!H4)</f>
        <v>3.1175380999334719</v>
      </c>
      <c r="I10" s="80">
        <f>IF(I4=0,0,I4/MBunk_ene!I4)</f>
        <v>3.1422655374213821</v>
      </c>
      <c r="J10" s="80">
        <f>IF(J4=0,0,J4/MBunk_ene!J4)</f>
        <v>3.15560103378085</v>
      </c>
      <c r="K10" s="80">
        <f>IF(K4=0,0,K4/MBunk_ene!K4)</f>
        <v>3.1071822020985831</v>
      </c>
      <c r="L10" s="80">
        <f>IF(L4=0,0,L4/MBunk_ene!L4)</f>
        <v>3.1038208017171067</v>
      </c>
      <c r="M10" s="80">
        <f>IF(M4=0,0,M4/MBunk_ene!M4)</f>
        <v>3.1024188000000001</v>
      </c>
      <c r="N10" s="80">
        <f>IF(N4=0,0,N4/MBunk_ene!N4)</f>
        <v>3.1024188000000001</v>
      </c>
      <c r="O10" s="80">
        <f>IF(O4=0,0,O4/MBunk_ene!O4)</f>
        <v>3.1024187999999997</v>
      </c>
      <c r="P10" s="80">
        <f>IF(P4=0,0,P4/MBunk_ene!P4)</f>
        <v>3.1024188000000001</v>
      </c>
      <c r="Q10" s="80">
        <f>IF(Q4=0,0,Q4/MBunk_ene!Q4)</f>
        <v>3.1024187999999997</v>
      </c>
      <c r="R10" s="80">
        <f>IF(R4=0,0,R4/MBunk_ene!R4)</f>
        <v>3.1024188000000001</v>
      </c>
      <c r="S10" s="80">
        <f>IF(S4=0,0,S4/MBunk_ene!S4)</f>
        <v>3.1024188000000001</v>
      </c>
      <c r="T10" s="80">
        <f>IF(T4=0,0,T4/MBunk_ene!T4)</f>
        <v>3.1024188000000001</v>
      </c>
      <c r="U10" s="80">
        <f>IF(U4=0,0,U4/MBunk_ene!U4)</f>
        <v>3.1024188000000001</v>
      </c>
      <c r="V10" s="80">
        <f>IF(V4=0,0,V4/MBunk_ene!V4)</f>
        <v>3.1024188000000001</v>
      </c>
      <c r="W10" s="80">
        <f>IF(W4=0,0,W4/MBunk_ene!W4)</f>
        <v>3.1024187999999993</v>
      </c>
      <c r="X10" s="80">
        <f>IF(X4=0,0,X4/MBunk_ene!X4)</f>
        <v>3.1024188000000006</v>
      </c>
      <c r="Y10" s="80">
        <f>IF(Y4=0,0,Y4/MBunk_ene!Y4)</f>
        <v>3.1024188000000001</v>
      </c>
      <c r="DA10" s="181"/>
    </row>
    <row r="11" spans="1:105" ht="11.45" customHeight="1" x14ac:dyDescent="0.25">
      <c r="A11" s="57" t="s">
        <v>167</v>
      </c>
      <c r="B11" s="81">
        <f>IF(B5=0,0,B5/MBunk_ene!B10)</f>
        <v>3.1614822600142758</v>
      </c>
      <c r="C11" s="81">
        <f>IF(C5=0,0,C5/MBunk_ene!C10)</f>
        <v>3.156025759360892</v>
      </c>
      <c r="D11" s="81">
        <f>IF(D5=0,0,D5/MBunk_ene!D10)</f>
        <v>3.1845425149883724</v>
      </c>
      <c r="E11" s="81">
        <f>IF(E5=0,0,E5/MBunk_ene!E10)</f>
        <v>3.1886392096543283</v>
      </c>
      <c r="F11" s="81">
        <f>IF(F5=0,0,F5/MBunk_ene!F10)</f>
        <v>3.1821174752301702</v>
      </c>
      <c r="G11" s="81">
        <f>IF(G5=0,0,G5/MBunk_ene!G10)</f>
        <v>3.1595563224961336</v>
      </c>
      <c r="H11" s="81">
        <f>IF(H5=0,0,H5/MBunk_ene!H10)</f>
        <v>3.1999107855644615</v>
      </c>
      <c r="I11" s="81">
        <f>IF(I5=0,0,I5/MBunk_ene!I10)</f>
        <v>3.2218894792350561</v>
      </c>
      <c r="J11" s="81">
        <f>IF(J5=0,0,J5/MBunk_ene!J10)</f>
        <v>3.2243203503782318</v>
      </c>
      <c r="K11" s="81">
        <f>IF(K5=0,0,K5/MBunk_ene!K10)</f>
        <v>3.1886304333899429</v>
      </c>
      <c r="L11" s="81">
        <f>IF(L5=0,0,L5/MBunk_ene!L10)</f>
        <v>3.178470943487341</v>
      </c>
      <c r="M11" s="81">
        <f>IF(M5=0,0,M5/MBunk_ene!M10)</f>
        <v>3.1576464003489741</v>
      </c>
      <c r="N11" s="81">
        <f>IF(N5=0,0,N5/MBunk_ene!N10)</f>
        <v>3.1516826548564265</v>
      </c>
      <c r="O11" s="81">
        <f>IF(O5=0,0,O5/MBunk_ene!O10)</f>
        <v>3.1366675290823607</v>
      </c>
      <c r="P11" s="81">
        <f>IF(P5=0,0,P5/MBunk_ene!P10)</f>
        <v>3.1419635656635498</v>
      </c>
      <c r="Q11" s="81">
        <f>IF(Q5=0,0,Q5/MBunk_ene!Q10)</f>
        <v>3.1260247646864525</v>
      </c>
      <c r="R11" s="81">
        <f>IF(R5=0,0,R5/MBunk_ene!R10)</f>
        <v>3.1208251581764062</v>
      </c>
      <c r="S11" s="81">
        <f>IF(S5=0,0,S5/MBunk_ene!S10)</f>
        <v>3.1258596457584202</v>
      </c>
      <c r="T11" s="81">
        <f>IF(T5=0,0,T5/MBunk_ene!T10)</f>
        <v>3.1275871266765423</v>
      </c>
      <c r="U11" s="81">
        <f>IF(U5=0,0,U5/MBunk_ene!U10)</f>
        <v>3.1224523096035361</v>
      </c>
      <c r="V11" s="81">
        <f>IF(V5=0,0,V5/MBunk_ene!V10)</f>
        <v>3.1195854452983416</v>
      </c>
      <c r="W11" s="81">
        <f>IF(W5=0,0,W5/MBunk_ene!W10)</f>
        <v>3.1128766670887646</v>
      </c>
      <c r="X11" s="81">
        <f>IF(X5=0,0,X5/MBunk_ene!X10)</f>
        <v>3.1052059037016941</v>
      </c>
      <c r="Y11" s="81">
        <f>IF(Y5=0,0,Y5/MBunk_ene!Y10)</f>
        <v>3.1024188000000001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49</v>
      </c>
      <c r="B13" s="62">
        <f>IF(B3=0,0,B3/MBunk_act!B7*100)</f>
        <v>7487.7657842076478</v>
      </c>
      <c r="C13" s="62">
        <f>IF(C3=0,0,C3/MBunk_act!C7*100)</f>
        <v>7495.3689996890216</v>
      </c>
      <c r="D13" s="62">
        <f>IF(D3=0,0,D3/MBunk_act!D7*100)</f>
        <v>6348.8761716602849</v>
      </c>
      <c r="E13" s="62">
        <f>IF(E3=0,0,E3/MBunk_act!E7*100)</f>
        <v>7292.6085045218388</v>
      </c>
      <c r="F13" s="62">
        <f>IF(F3=0,0,F3/MBunk_act!F7*100)</f>
        <v>6146.3588879295467</v>
      </c>
      <c r="G13" s="62">
        <f>IF(G3=0,0,G3/MBunk_act!G7*100)</f>
        <v>4403.2677069904375</v>
      </c>
      <c r="H13" s="62">
        <f>IF(H3=0,0,H3/MBunk_act!H7*100)</f>
        <v>6904.9361434164684</v>
      </c>
      <c r="I13" s="62">
        <f>IF(I3=0,0,I3/MBunk_act!I7*100)</f>
        <v>4611.0769170013446</v>
      </c>
      <c r="J13" s="62">
        <f>IF(J3=0,0,J3/MBunk_act!J7*100)</f>
        <v>3253.4673299336723</v>
      </c>
      <c r="K13" s="62">
        <f>IF(K3=0,0,K3/MBunk_act!K7*100)</f>
        <v>5009.9708355704834</v>
      </c>
      <c r="L13" s="62">
        <f>IF(L3=0,0,L3/MBunk_act!L7*100)</f>
        <v>6917.8633280055492</v>
      </c>
      <c r="M13" s="62">
        <f>IF(M3=0,0,M3/MBunk_act!M7*100)</f>
        <v>5830.3399287749307</v>
      </c>
      <c r="N13" s="62">
        <f>IF(N3=0,0,N3/MBunk_act!N7*100)</f>
        <v>6987.3245359463881</v>
      </c>
      <c r="O13" s="62">
        <f>IF(O3=0,0,O3/MBunk_act!O7*100)</f>
        <v>7379.7300182112494</v>
      </c>
      <c r="P13" s="62">
        <f>IF(P3=0,0,P3/MBunk_act!P7*100)</f>
        <v>6888.9619815082497</v>
      </c>
      <c r="Q13" s="62">
        <f>IF(Q3=0,0,Q3/MBunk_act!Q7*100)</f>
        <v>7957.8285857395131</v>
      </c>
      <c r="R13" s="62">
        <f>IF(R3=0,0,R3/MBunk_act!R7*100)</f>
        <v>7969.2719282640755</v>
      </c>
      <c r="S13" s="62">
        <f>IF(S3=0,0,S3/MBunk_act!S7*100)</f>
        <v>7463.7192652829181</v>
      </c>
      <c r="T13" s="62">
        <f>IF(T3=0,0,T3/MBunk_act!T7*100)</f>
        <v>8035.1556229765592</v>
      </c>
      <c r="U13" s="62">
        <f>IF(U3=0,0,U3/MBunk_act!U7*100)</f>
        <v>6570.7505036218163</v>
      </c>
      <c r="V13" s="62">
        <f>IF(V3=0,0,V3/MBunk_act!V7*100)</f>
        <v>8101.7865873185247</v>
      </c>
      <c r="W13" s="62">
        <f>IF(W3=0,0,W3/MBunk_act!W7*100)</f>
        <v>8275.2729511573798</v>
      </c>
      <c r="X13" s="62">
        <f>IF(X3=0,0,X3/MBunk_act!X7*100)</f>
        <v>5949.2796789479708</v>
      </c>
      <c r="Y13" s="62">
        <f>IF(Y3=0,0,Y3/MBunk_act!Y7*100)</f>
        <v>6243.7906943174285</v>
      </c>
      <c r="DA13" s="172" t="s">
        <v>990</v>
      </c>
    </row>
    <row r="14" spans="1:105" ht="11.45" customHeight="1" x14ac:dyDescent="0.25">
      <c r="A14" s="55" t="s">
        <v>166</v>
      </c>
      <c r="B14" s="63">
        <f>IF(B4=0,0,B4/MBunk_act!B8*100)</f>
        <v>5692.8785373284945</v>
      </c>
      <c r="C14" s="63">
        <f>IF(C4=0,0,C4/MBunk_act!C8*100)</f>
        <v>5648.6663827446255</v>
      </c>
      <c r="D14" s="63">
        <f>IF(D4=0,0,D4/MBunk_act!D8*100)</f>
        <v>4779.1535014086558</v>
      </c>
      <c r="E14" s="63">
        <f>IF(E4=0,0,E4/MBunk_act!E8*100)</f>
        <v>5530.8266182687912</v>
      </c>
      <c r="F14" s="63">
        <f>IF(F4=0,0,F4/MBunk_act!F8*100)</f>
        <v>4668.2562082722206</v>
      </c>
      <c r="G14" s="63">
        <f>IF(G4=0,0,G4/MBunk_act!G8*100)</f>
        <v>3375.7282535048985</v>
      </c>
      <c r="H14" s="63">
        <f>IF(H4=0,0,H4/MBunk_act!H8*100)</f>
        <v>5359.1279941816219</v>
      </c>
      <c r="I14" s="63">
        <f>IF(I4=0,0,I4/MBunk_act!I8*100)</f>
        <v>3564.2305102320706</v>
      </c>
      <c r="J14" s="63">
        <f>IF(J4=0,0,J4/MBunk_act!J8*100)</f>
        <v>2514.8631025015793</v>
      </c>
      <c r="K14" s="63">
        <f>IF(K4=0,0,K4/MBunk_act!K8*100)</f>
        <v>3846.2980168671074</v>
      </c>
      <c r="L14" s="63">
        <f>IF(L4=0,0,L4/MBunk_act!L8*100)</f>
        <v>5271.9562952877877</v>
      </c>
      <c r="M14" s="63">
        <f>IF(M4=0,0,M4/MBunk_act!M8*100)</f>
        <v>4417.7764982085519</v>
      </c>
      <c r="N14" s="63">
        <f>IF(N4=0,0,N4/MBunk_act!N8*100)</f>
        <v>5290.3072298375764</v>
      </c>
      <c r="O14" s="63">
        <f>IF(O4=0,0,O4/MBunk_act!O8*100)</f>
        <v>5615.084238325845</v>
      </c>
      <c r="P14" s="63">
        <f>IF(P4=0,0,P4/MBunk_act!P8*100)</f>
        <v>5184.336262885924</v>
      </c>
      <c r="Q14" s="63">
        <f>IF(Q4=0,0,Q4/MBunk_act!Q8*100)</f>
        <v>6019.1831435534896</v>
      </c>
      <c r="R14" s="63">
        <f>IF(R4=0,0,R4/MBunk_act!R8*100)</f>
        <v>6075.0419500234375</v>
      </c>
      <c r="S14" s="63">
        <f>IF(S4=0,0,S4/MBunk_act!S8*100)</f>
        <v>5657.5241454268153</v>
      </c>
      <c r="T14" s="63">
        <f>IF(T4=0,0,T4/MBunk_act!T8*100)</f>
        <v>6101.66497173678</v>
      </c>
      <c r="U14" s="63">
        <f>IF(U4=0,0,U4/MBunk_act!U8*100)</f>
        <v>4998.3541567369202</v>
      </c>
      <c r="V14" s="63">
        <f>IF(V4=0,0,V4/MBunk_act!V8*100)</f>
        <v>5783.4269683425091</v>
      </c>
      <c r="W14" s="63">
        <f>IF(W4=0,0,W4/MBunk_act!W8*100)</f>
        <v>5690.7553283836087</v>
      </c>
      <c r="X14" s="63">
        <f>IF(X4=0,0,X4/MBunk_act!X8*100)</f>
        <v>4482.4169274752467</v>
      </c>
      <c r="Y14" s="63">
        <f>IF(Y4=0,0,Y4/MBunk_act!Y8*100)</f>
        <v>4795.9958284869736</v>
      </c>
      <c r="DA14" s="181" t="s">
        <v>991</v>
      </c>
    </row>
    <row r="15" spans="1:105" ht="11.45" customHeight="1" x14ac:dyDescent="0.25">
      <c r="A15" s="57" t="s">
        <v>167</v>
      </c>
      <c r="B15" s="64">
        <f>IF(B5=0,0,B5/MBunk_act!B9*100)</f>
        <v>9995.0933681580718</v>
      </c>
      <c r="C15" s="64">
        <f>IF(C5=0,0,C5/MBunk_act!C9*100)</f>
        <v>10101.952247436326</v>
      </c>
      <c r="D15" s="64">
        <f>IF(D5=0,0,D5/MBunk_act!D9*100)</f>
        <v>8378.2380139904071</v>
      </c>
      <c r="E15" s="64">
        <f>IF(E5=0,0,E5/MBunk_act!E9*100)</f>
        <v>9735.521648499438</v>
      </c>
      <c r="F15" s="64">
        <f>IF(F5=0,0,F5/MBunk_act!F9*100)</f>
        <v>8416.4089974180879</v>
      </c>
      <c r="G15" s="64">
        <f>IF(G5=0,0,G5/MBunk_act!G9*100)</f>
        <v>5940.2898678883066</v>
      </c>
      <c r="H15" s="64">
        <f>IF(H5=0,0,H5/MBunk_act!H9*100)</f>
        <v>10552.489855282469</v>
      </c>
      <c r="I15" s="64">
        <f>IF(I5=0,0,I5/MBunk_act!I9*100)</f>
        <v>6397.7264914871703</v>
      </c>
      <c r="J15" s="64">
        <f>IF(J5=0,0,J5/MBunk_act!J9*100)</f>
        <v>4477.7708169017005</v>
      </c>
      <c r="K15" s="64">
        <f>IF(K5=0,0,K5/MBunk_act!K9*100)</f>
        <v>7209.2939273632264</v>
      </c>
      <c r="L15" s="64">
        <f>IF(L5=0,0,L5/MBunk_act!L9*100)</f>
        <v>10066.224985955061</v>
      </c>
      <c r="M15" s="64">
        <f>IF(M5=0,0,M5/MBunk_act!M9*100)</f>
        <v>8177.0858277410962</v>
      </c>
      <c r="N15" s="64">
        <f>IF(N5=0,0,N5/MBunk_act!N9*100)</f>
        <v>9927.958876625984</v>
      </c>
      <c r="O15" s="64">
        <f>IF(O5=0,0,O5/MBunk_act!O9*100)</f>
        <v>10906.532692168708</v>
      </c>
      <c r="P15" s="64">
        <f>IF(P5=0,0,P5/MBunk_act!P9*100)</f>
        <v>9953.7201110611059</v>
      </c>
      <c r="Q15" s="64">
        <f>IF(Q5=0,0,Q5/MBunk_act!Q9*100)</f>
        <v>11586.539271637152</v>
      </c>
      <c r="R15" s="64">
        <f>IF(R5=0,0,R5/MBunk_act!R9*100)</f>
        <v>11379.015489639676</v>
      </c>
      <c r="S15" s="64">
        <f>IF(S5=0,0,S5/MBunk_act!S9*100)</f>
        <v>10678.934374640321</v>
      </c>
      <c r="T15" s="64">
        <f>IF(T5=0,0,T5/MBunk_act!T9*100)</f>
        <v>11719.3629954895</v>
      </c>
      <c r="U15" s="64">
        <f>IF(U5=0,0,U5/MBunk_act!U9*100)</f>
        <v>9616.844080189343</v>
      </c>
      <c r="V15" s="64">
        <f>IF(V5=0,0,V5/MBunk_act!V9*100)</f>
        <v>12310.751001428334</v>
      </c>
      <c r="W15" s="64">
        <f>IF(W5=0,0,W5/MBunk_act!W9*100)</f>
        <v>14326.894256115342</v>
      </c>
      <c r="X15" s="64">
        <f>IF(X5=0,0,X5/MBunk_act!X9*100)</f>
        <v>8858.5334900259768</v>
      </c>
      <c r="Y15" s="64">
        <f>IF(Y5=0,0,Y5/MBunk_act!Y9*100)</f>
        <v>9824.9814483961909</v>
      </c>
      <c r="DA15" s="182" t="s">
        <v>992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50</v>
      </c>
      <c r="B17" s="62">
        <f>IF(B3=0,0,B3/MBunk_act!B3*1000)</f>
        <v>10.261778891869149</v>
      </c>
      <c r="C17" s="62">
        <f>IF(C3=0,0,C3/MBunk_act!C3*1000)</f>
        <v>9.8030161045777113</v>
      </c>
      <c r="D17" s="62">
        <f>IF(D3=0,0,D3/MBunk_act!D3*1000)</f>
        <v>8.003410861802303</v>
      </c>
      <c r="E17" s="62">
        <f>IF(E3=0,0,E3/MBunk_act!E3*1000)</f>
        <v>9.4820555717462192</v>
      </c>
      <c r="F17" s="62">
        <f>IF(F3=0,0,F3/MBunk_act!F3*1000)</f>
        <v>8.2645711980976895</v>
      </c>
      <c r="G17" s="62">
        <f>IF(G3=0,0,G3/MBunk_act!G3*1000)</f>
        <v>5.5750097037203625</v>
      </c>
      <c r="H17" s="62">
        <f>IF(H3=0,0,H3/MBunk_act!H3*1000)</f>
        <v>13.603907029134831</v>
      </c>
      <c r="I17" s="62">
        <f>IF(I3=0,0,I3/MBunk_act!I3*1000)</f>
        <v>5.5414792861195723</v>
      </c>
      <c r="J17" s="62">
        <f>IF(J3=0,0,J3/MBunk_act!J3*1000)</f>
        <v>3.795213237493444</v>
      </c>
      <c r="K17" s="62">
        <f>IF(K3=0,0,K3/MBunk_act!K3*1000)</f>
        <v>7.3386485385263072</v>
      </c>
      <c r="L17" s="62">
        <f>IF(L3=0,0,L3/MBunk_act!L3*1000)</f>
        <v>9.6274749058398577</v>
      </c>
      <c r="M17" s="62">
        <f>IF(M3=0,0,M3/MBunk_act!M3*1000)</f>
        <v>7.3668175443068842</v>
      </c>
      <c r="N17" s="62">
        <f>IF(N3=0,0,N3/MBunk_act!N3*1000)</f>
        <v>7.9092739432661405</v>
      </c>
      <c r="O17" s="62">
        <f>IF(O3=0,0,O3/MBunk_act!O3*1000)</f>
        <v>9.3354418509213843</v>
      </c>
      <c r="P17" s="62">
        <f>IF(P3=0,0,P3/MBunk_act!P3*1000)</f>
        <v>8.3624435192318192</v>
      </c>
      <c r="Q17" s="62">
        <f>IF(Q3=0,0,Q3/MBunk_act!Q3*1000)</f>
        <v>9.2102535589824068</v>
      </c>
      <c r="R17" s="62">
        <f>IF(R3=0,0,R3/MBunk_act!R3*1000)</f>
        <v>9.4252866537903692</v>
      </c>
      <c r="S17" s="62">
        <f>IF(S3=0,0,S3/MBunk_act!S3*1000)</f>
        <v>8.8065315815476399</v>
      </c>
      <c r="T17" s="62">
        <f>IF(T3=0,0,T3/MBunk_act!T3*1000)</f>
        <v>9.6820764367502328</v>
      </c>
      <c r="U17" s="62">
        <f>IF(U3=0,0,U3/MBunk_act!U3*1000)</f>
        <v>8.2826826452995519</v>
      </c>
      <c r="V17" s="62">
        <f>IF(V3=0,0,V3/MBunk_act!V3*1000)</f>
        <v>8.8970368534972124</v>
      </c>
      <c r="W17" s="62">
        <f>IF(W3=0,0,W3/MBunk_act!W3*1000)</f>
        <v>9.0918525932819367</v>
      </c>
      <c r="X17" s="62">
        <f>IF(X3=0,0,X3/MBunk_act!X3*1000)</f>
        <v>6.6139048528000277</v>
      </c>
      <c r="Y17" s="62">
        <f>IF(Y3=0,0,Y3/MBunk_act!Y3*1000)</f>
        <v>8.1105140254621553</v>
      </c>
      <c r="DA17" s="172" t="s">
        <v>452</v>
      </c>
    </row>
    <row r="18" spans="1:105" ht="11.45" customHeight="1" x14ac:dyDescent="0.25">
      <c r="A18" s="55" t="s">
        <v>166</v>
      </c>
      <c r="B18" s="63">
        <f>IF(B4=0,0,B4/MBunk_act!B4*1000)</f>
        <v>18.631057770819524</v>
      </c>
      <c r="C18" s="63">
        <f>IF(C4=0,0,C4/MBunk_act!C4*1000)</f>
        <v>18.4130219047323</v>
      </c>
      <c r="D18" s="63">
        <f>IF(D4=0,0,D4/MBunk_act!D4*1000)</f>
        <v>14.897184907155587</v>
      </c>
      <c r="E18" s="63">
        <f>IF(E4=0,0,E4/MBunk_act!E4*1000)</f>
        <v>16.86511864547839</v>
      </c>
      <c r="F18" s="63">
        <f>IF(F4=0,0,F4/MBunk_act!F4*1000)</f>
        <v>13.983298862679254</v>
      </c>
      <c r="G18" s="63">
        <f>IF(G4=0,0,G4/MBunk_act!G4*1000)</f>
        <v>9.6410317011820581</v>
      </c>
      <c r="H18" s="63">
        <f>IF(H4=0,0,H4/MBunk_act!H4*1000)</f>
        <v>14.560779664015923</v>
      </c>
      <c r="I18" s="63">
        <f>IF(I4=0,0,I4/MBunk_act!I4*1000)</f>
        <v>9.0626827275601816</v>
      </c>
      <c r="J18" s="63">
        <f>IF(J4=0,0,J4/MBunk_act!J4*1000)</f>
        <v>6.2605060041351557</v>
      </c>
      <c r="K18" s="63">
        <f>IF(K4=0,0,K4/MBunk_act!K4*1000)</f>
        <v>10.440554031731923</v>
      </c>
      <c r="L18" s="63">
        <f>IF(L4=0,0,L4/MBunk_act!L4*1000)</f>
        <v>14.200980634863349</v>
      </c>
      <c r="M18" s="63">
        <f>IF(M4=0,0,M4/MBunk_act!M4*1000)</f>
        <v>11.696181646088908</v>
      </c>
      <c r="N18" s="63">
        <f>IF(N4=0,0,N4/MBunk_act!N4*1000)</f>
        <v>13.310564995092557</v>
      </c>
      <c r="O18" s="63">
        <f>IF(O4=0,0,O4/MBunk_act!O4*1000)</f>
        <v>14.549602299738071</v>
      </c>
      <c r="P18" s="63">
        <f>IF(P4=0,0,P4/MBunk_act!P4*1000)</f>
        <v>13.875584861076186</v>
      </c>
      <c r="Q18" s="63">
        <f>IF(Q4=0,0,Q4/MBunk_act!Q4*1000)</f>
        <v>15.122124445557722</v>
      </c>
      <c r="R18" s="63">
        <f>IF(R4=0,0,R4/MBunk_act!R4*1000)</f>
        <v>14.705938090924818</v>
      </c>
      <c r="S18" s="63">
        <f>IF(S4=0,0,S4/MBunk_act!S4*1000)</f>
        <v>13.909678232085746</v>
      </c>
      <c r="T18" s="63">
        <f>IF(T4=0,0,T4/MBunk_act!T4*1000)</f>
        <v>14.8658469414374</v>
      </c>
      <c r="U18" s="63">
        <f>IF(U4=0,0,U4/MBunk_act!U4*1000)</f>
        <v>12.449200113776914</v>
      </c>
      <c r="V18" s="63">
        <f>IF(V4=0,0,V4/MBunk_act!V4*1000)</f>
        <v>12.871457520397799</v>
      </c>
      <c r="W18" s="63">
        <f>IF(W4=0,0,W4/MBunk_act!W4*1000)</f>
        <v>13.151090571271741</v>
      </c>
      <c r="X18" s="63">
        <f>IF(X4=0,0,X4/MBunk_act!X4*1000)</f>
        <v>10.482898295580164</v>
      </c>
      <c r="Y18" s="63">
        <f>IF(Y4=0,0,Y4/MBunk_act!Y4*1000)</f>
        <v>11.162142191684341</v>
      </c>
      <c r="DA18" s="181" t="s">
        <v>453</v>
      </c>
    </row>
    <row r="19" spans="1:105" ht="11.45" customHeight="1" x14ac:dyDescent="0.25">
      <c r="A19" s="57" t="s">
        <v>167</v>
      </c>
      <c r="B19" s="64">
        <f>IF(B5=0,0,B5/MBunk_act!B5*1000)</f>
        <v>7.5598098525989874</v>
      </c>
      <c r="C19" s="64">
        <f>IF(C5=0,0,C5/MBunk_act!C5*1000)</f>
        <v>7.1604140883547531</v>
      </c>
      <c r="D19" s="64">
        <f>IF(D5=0,0,D5/MBunk_act!D5*1000)</f>
        <v>5.9670758085945428</v>
      </c>
      <c r="E19" s="64">
        <f>IF(E5=0,0,E5/MBunk_act!E5*1000)</f>
        <v>7.0506265627439326</v>
      </c>
      <c r="F19" s="64">
        <f>IF(F5=0,0,F5/MBunk_act!F5*1000)</f>
        <v>6.1292770171013435</v>
      </c>
      <c r="G19" s="64">
        <f>IF(G5=0,0,G5/MBunk_act!G5*1000)</f>
        <v>4.1038017868758505</v>
      </c>
      <c r="H19" s="64">
        <f>IF(H5=0,0,H5/MBunk_act!H5*1000)</f>
        <v>12.610797082451674</v>
      </c>
      <c r="I19" s="64">
        <f>IF(I5=0,0,I5/MBunk_act!I5*1000)</f>
        <v>4.0465622414240965</v>
      </c>
      <c r="J19" s="64">
        <f>IF(J5=0,0,J5/MBunk_act!J5*1000)</f>
        <v>2.7771269587343621</v>
      </c>
      <c r="K19" s="64">
        <f>IF(K5=0,0,K5/MBunk_act!K5*1000)</f>
        <v>5.6469370288725109</v>
      </c>
      <c r="L19" s="64">
        <f>IF(L5=0,0,L5/MBunk_act!L5*1000)</f>
        <v>7.2789952170960728</v>
      </c>
      <c r="M19" s="64">
        <f>IF(M5=0,0,M5/MBunk_act!M5*1000)</f>
        <v>5.5296748324148162</v>
      </c>
      <c r="N19" s="64">
        <f>IF(N5=0,0,N5/MBunk_act!N5*1000)</f>
        <v>5.7534795383298256</v>
      </c>
      <c r="O19" s="64">
        <f>IF(O5=0,0,O5/MBunk_act!O5*1000)</f>
        <v>6.8204377052548395</v>
      </c>
      <c r="P19" s="64">
        <f>IF(P5=0,0,P5/MBunk_act!P5*1000)</f>
        <v>6.0947717938548536</v>
      </c>
      <c r="Q19" s="64">
        <f>IF(Q5=0,0,Q5/MBunk_act!Q5*1000)</f>
        <v>6.673392945911008</v>
      </c>
      <c r="R19" s="64">
        <f>IF(R5=0,0,R5/MBunk_act!R5*1000)</f>
        <v>7.0071957499017552</v>
      </c>
      <c r="S19" s="64">
        <f>IF(S5=0,0,S5/MBunk_act!S5*1000)</f>
        <v>6.5427862581318319</v>
      </c>
      <c r="T19" s="64">
        <f>IF(T5=0,0,T5/MBunk_act!T5*1000)</f>
        <v>7.1935352725285346</v>
      </c>
      <c r="U19" s="64">
        <f>IF(U5=0,0,U5/MBunk_act!U5*1000)</f>
        <v>6.1950566159442513</v>
      </c>
      <c r="V19" s="64">
        <f>IF(V5=0,0,V5/MBunk_act!V5*1000)</f>
        <v>7.0423896330648921</v>
      </c>
      <c r="W19" s="64">
        <f>IF(W5=0,0,W5/MBunk_act!W5*1000)</f>
        <v>7.0639740386913896</v>
      </c>
      <c r="X19" s="64">
        <f>IF(X5=0,0,X5/MBunk_act!X5*1000)</f>
        <v>4.8262941134225974</v>
      </c>
      <c r="Y19" s="64">
        <f>IF(Y5=0,0,Y5/MBunk_act!Y5*1000)</f>
        <v>6.0976513983204459</v>
      </c>
      <c r="DA19" s="182" t="s">
        <v>454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41</v>
      </c>
      <c r="B21" s="76">
        <f t="shared" ref="B21:W23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si="3"/>
        <v>1</v>
      </c>
      <c r="W21" s="76">
        <f t="shared" si="3"/>
        <v>1</v>
      </c>
      <c r="X21" s="76">
        <f t="shared" ref="X21:Y21" si="4">IF(X3=0,0,X3/X$3)</f>
        <v>1</v>
      </c>
      <c r="Y21" s="76">
        <f t="shared" si="4"/>
        <v>1</v>
      </c>
      <c r="DA21" s="183"/>
    </row>
    <row r="22" spans="1:105" ht="11.45" customHeight="1" x14ac:dyDescent="0.25">
      <c r="A22" s="55" t="s">
        <v>166</v>
      </c>
      <c r="B22" s="77">
        <f t="shared" si="3"/>
        <v>0.44309683917016029</v>
      </c>
      <c r="C22" s="77">
        <f t="shared" si="3"/>
        <v>0.44110698291942663</v>
      </c>
      <c r="D22" s="77">
        <f t="shared" si="3"/>
        <v>0.42444514332168276</v>
      </c>
      <c r="E22" s="77">
        <f t="shared" si="3"/>
        <v>0.44063670335039551</v>
      </c>
      <c r="F22" s="77">
        <f t="shared" si="3"/>
        <v>0.45999692243507401</v>
      </c>
      <c r="G22" s="77">
        <f t="shared" si="3"/>
        <v>0.45947234829287981</v>
      </c>
      <c r="H22" s="77">
        <f t="shared" si="3"/>
        <v>0.54511429937365208</v>
      </c>
      <c r="I22" s="77">
        <f t="shared" si="3"/>
        <v>0.48739401960920226</v>
      </c>
      <c r="J22" s="77">
        <f t="shared" si="3"/>
        <v>0.48212217104293525</v>
      </c>
      <c r="K22" s="77">
        <f t="shared" si="3"/>
        <v>0.5020771170610584</v>
      </c>
      <c r="L22" s="77">
        <f t="shared" si="3"/>
        <v>0.50045158413526469</v>
      </c>
      <c r="M22" s="77">
        <f t="shared" si="3"/>
        <v>0.47300732821613484</v>
      </c>
      <c r="N22" s="77">
        <f t="shared" si="3"/>
        <v>0.48007918848575626</v>
      </c>
      <c r="O22" s="77">
        <f t="shared" si="3"/>
        <v>0.50713360957636133</v>
      </c>
      <c r="P22" s="77">
        <f t="shared" si="3"/>
        <v>0.4835855372704293</v>
      </c>
      <c r="Q22" s="77">
        <f t="shared" si="3"/>
        <v>0.4929993179420733</v>
      </c>
      <c r="R22" s="77">
        <f t="shared" si="3"/>
        <v>0.4900619731180868</v>
      </c>
      <c r="S22" s="77">
        <f t="shared" si="3"/>
        <v>0.4853504665595193</v>
      </c>
      <c r="T22" s="77">
        <f t="shared" si="3"/>
        <v>0.49801192530638827</v>
      </c>
      <c r="U22" s="77">
        <f t="shared" si="3"/>
        <v>0.50171292349241614</v>
      </c>
      <c r="V22" s="77">
        <f t="shared" si="3"/>
        <v>0.46030377638263342</v>
      </c>
      <c r="W22" s="77">
        <f t="shared" si="3"/>
        <v>0.48188089613440055</v>
      </c>
      <c r="X22" s="77">
        <f t="shared" ref="X22:Y22" si="5">IF(X4=0,0,X4/X$3)</f>
        <v>0.50088796196022045</v>
      </c>
      <c r="Y22" s="77">
        <f t="shared" si="5"/>
        <v>0.54698765060858157</v>
      </c>
      <c r="DA22" s="184"/>
    </row>
    <row r="23" spans="1:105" ht="11.45" customHeight="1" x14ac:dyDescent="0.25">
      <c r="A23" s="57" t="s">
        <v>167</v>
      </c>
      <c r="B23" s="78">
        <f t="shared" si="3"/>
        <v>0.55690316082983971</v>
      </c>
      <c r="C23" s="78">
        <f t="shared" si="3"/>
        <v>0.55889301708057326</v>
      </c>
      <c r="D23" s="78">
        <f t="shared" si="3"/>
        <v>0.57555485667831729</v>
      </c>
      <c r="E23" s="78">
        <f t="shared" si="3"/>
        <v>0.55936329664960449</v>
      </c>
      <c r="F23" s="78">
        <f t="shared" si="3"/>
        <v>0.54000307756492605</v>
      </c>
      <c r="G23" s="78">
        <f t="shared" si="3"/>
        <v>0.54052765170712025</v>
      </c>
      <c r="H23" s="78">
        <f t="shared" si="3"/>
        <v>0.45488570062634798</v>
      </c>
      <c r="I23" s="78">
        <f t="shared" si="3"/>
        <v>0.51260598039079786</v>
      </c>
      <c r="J23" s="78">
        <f t="shared" si="3"/>
        <v>0.5178778289570648</v>
      </c>
      <c r="K23" s="78">
        <f t="shared" si="3"/>
        <v>0.49792288293894171</v>
      </c>
      <c r="L23" s="78">
        <f t="shared" si="3"/>
        <v>0.49954841586473536</v>
      </c>
      <c r="M23" s="78">
        <f t="shared" si="3"/>
        <v>0.52699267178386522</v>
      </c>
      <c r="N23" s="78">
        <f t="shared" si="3"/>
        <v>0.51992081151424374</v>
      </c>
      <c r="O23" s="78">
        <f t="shared" si="3"/>
        <v>0.49286639042363856</v>
      </c>
      <c r="P23" s="78">
        <f t="shared" si="3"/>
        <v>0.51641446272957081</v>
      </c>
      <c r="Q23" s="78">
        <f t="shared" si="3"/>
        <v>0.5070006820579267</v>
      </c>
      <c r="R23" s="78">
        <f t="shared" si="3"/>
        <v>0.50993802688191325</v>
      </c>
      <c r="S23" s="78">
        <f t="shared" si="3"/>
        <v>0.5146495334404807</v>
      </c>
      <c r="T23" s="78">
        <f t="shared" si="3"/>
        <v>0.50198807469361173</v>
      </c>
      <c r="U23" s="78">
        <f t="shared" si="3"/>
        <v>0.49828707650758386</v>
      </c>
      <c r="V23" s="78">
        <f t="shared" si="3"/>
        <v>0.53969622361736658</v>
      </c>
      <c r="W23" s="78">
        <f t="shared" si="3"/>
        <v>0.51811910386559945</v>
      </c>
      <c r="X23" s="78">
        <f t="shared" ref="X23:Y23" si="6">IF(X5=0,0,X5/X$3)</f>
        <v>0.49911203803977949</v>
      </c>
      <c r="Y23" s="78">
        <f t="shared" si="6"/>
        <v>0.45301234939141849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2025-11-06T10:25:59Z</dcterms:created>
  <dcterms:modified xsi:type="dcterms:W3CDTF">2025-11-06T10:25:59Z</dcterms:modified>
</cp:coreProperties>
</file>