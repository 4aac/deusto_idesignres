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IE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23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AA84" i="59" l="1"/>
  <c r="AA82" i="59"/>
  <c r="AA114" i="59"/>
  <c r="AA81" i="59"/>
  <c r="AA113" i="59"/>
  <c r="AA79" i="59"/>
  <c r="AA78" i="59"/>
  <c r="AA74" i="59"/>
  <c r="AA106" i="59"/>
  <c r="AA70" i="59"/>
  <c r="AA102" i="59"/>
  <c r="AA66" i="59"/>
  <c r="AA98" i="59"/>
  <c r="AA5" i="59"/>
  <c r="Z5" i="59"/>
  <c r="Z115" i="59"/>
  <c r="Z107" i="59"/>
  <c r="Z103" i="59"/>
  <c r="Z99" i="59"/>
  <c r="O75" i="57"/>
  <c r="U75" i="57"/>
  <c r="K75" i="57"/>
  <c r="Y75" i="57"/>
  <c r="Q75" i="57"/>
  <c r="S54" i="57"/>
  <c r="Q54" i="57"/>
  <c r="L54" i="57"/>
  <c r="I54" i="57"/>
  <c r="J54" i="57"/>
  <c r="I39" i="57"/>
  <c r="U39" i="57"/>
  <c r="H39" i="57"/>
  <c r="E39" i="57"/>
  <c r="O16" i="57"/>
  <c r="M16" i="57"/>
  <c r="S16" i="57"/>
  <c r="Y16" i="57"/>
  <c r="T75" i="57"/>
  <c r="D75" i="57"/>
  <c r="J75" i="57"/>
  <c r="F75" i="57"/>
  <c r="P54" i="57"/>
  <c r="R54" i="57"/>
  <c r="O39" i="57"/>
  <c r="G16" i="57"/>
  <c r="AA89" i="59" l="1"/>
  <c r="AA80" i="59"/>
  <c r="Z54" i="55"/>
  <c r="AA88" i="59"/>
  <c r="AA93" i="59"/>
  <c r="AA109" i="59"/>
  <c r="AA117" i="59"/>
  <c r="AA121" i="59"/>
  <c r="Z111" i="59"/>
  <c r="E16" i="57"/>
  <c r="Q39" i="57"/>
  <c r="K54" i="57"/>
  <c r="E75" i="57"/>
  <c r="AA94" i="59"/>
  <c r="F16" i="57"/>
  <c r="N16" i="57"/>
  <c r="V16" i="57"/>
  <c r="H16" i="57"/>
  <c r="P16" i="57"/>
  <c r="X16" i="57"/>
  <c r="J16" i="57"/>
  <c r="J39" i="57"/>
  <c r="R39" i="57"/>
  <c r="D39" i="57"/>
  <c r="L39" i="57"/>
  <c r="T39" i="57"/>
  <c r="F39" i="57"/>
  <c r="N39" i="57"/>
  <c r="V39" i="57"/>
  <c r="D54" i="57"/>
  <c r="T54" i="57"/>
  <c r="F54" i="57"/>
  <c r="N54" i="57"/>
  <c r="V54" i="57"/>
  <c r="H54" i="57"/>
  <c r="X54" i="57"/>
  <c r="V75" i="57"/>
  <c r="W16" i="57"/>
  <c r="I16" i="57"/>
  <c r="Q16" i="57"/>
  <c r="K16" i="57"/>
  <c r="U16" i="57"/>
  <c r="K39" i="57"/>
  <c r="S39" i="57"/>
  <c r="M39" i="57"/>
  <c r="G39" i="57"/>
  <c r="W39" i="57"/>
  <c r="Y39" i="57"/>
  <c r="E54" i="57"/>
  <c r="M54" i="57"/>
  <c r="U54" i="57"/>
  <c r="G54" i="57"/>
  <c r="O54" i="57"/>
  <c r="W54" i="57"/>
  <c r="Y54" i="57"/>
  <c r="G75" i="57"/>
  <c r="W75" i="57"/>
  <c r="I75" i="57"/>
  <c r="S75" i="57"/>
  <c r="M75" i="57"/>
  <c r="AA54" i="57"/>
  <c r="AA97" i="59"/>
  <c r="AA101" i="59"/>
  <c r="AA105" i="59"/>
  <c r="AA110" i="59"/>
  <c r="AA39" i="55"/>
  <c r="AA16" i="57"/>
  <c r="AA75" i="57"/>
  <c r="AA21" i="59"/>
  <c r="AA68" i="59"/>
  <c r="AA72" i="59"/>
  <c r="AA76" i="59"/>
  <c r="AA86" i="59"/>
  <c r="AA90" i="59"/>
  <c r="Z80" i="59"/>
  <c r="Z87" i="59"/>
  <c r="AA54" i="55"/>
  <c r="AA69" i="59"/>
  <c r="AA73" i="59"/>
  <c r="AA87" i="59"/>
  <c r="L16" i="57"/>
  <c r="R16" i="57"/>
  <c r="P39" i="57"/>
  <c r="X39" i="57"/>
  <c r="Z75" i="55"/>
  <c r="Z39" i="57"/>
  <c r="Z79" i="59"/>
  <c r="Z84" i="59"/>
  <c r="Z88" i="59"/>
  <c r="D16" i="57"/>
  <c r="T16" i="57"/>
  <c r="AA16" i="55"/>
  <c r="AA75" i="55"/>
  <c r="AA39" i="57"/>
  <c r="N75" i="57"/>
  <c r="H75" i="57"/>
  <c r="P75" i="57"/>
  <c r="X75" i="57"/>
  <c r="R75" i="57"/>
  <c r="L75" i="57"/>
  <c r="Z16" i="55"/>
  <c r="Z54" i="57"/>
  <c r="Z67" i="59"/>
  <c r="Z71" i="59"/>
  <c r="Z75" i="59"/>
  <c r="Z83" i="59"/>
  <c r="AA20" i="59"/>
  <c r="AA67" i="59"/>
  <c r="AA71" i="59"/>
  <c r="AA75" i="59"/>
  <c r="AA77" i="59"/>
  <c r="AA83" i="59"/>
  <c r="Z39" i="55"/>
  <c r="Z16" i="57"/>
  <c r="Z75" i="57"/>
  <c r="Z68" i="59"/>
  <c r="Z72" i="59"/>
  <c r="Z76" i="59"/>
  <c r="AA118" i="59"/>
  <c r="AA122" i="59"/>
  <c r="Z65" i="59"/>
  <c r="Z69" i="59"/>
  <c r="Z73" i="59"/>
  <c r="Z77" i="59"/>
  <c r="Z81" i="59"/>
  <c r="Z85" i="59"/>
  <c r="Z89" i="59"/>
  <c r="Z119" i="59"/>
  <c r="AA65" i="59"/>
  <c r="AA85" i="59"/>
  <c r="AA99" i="59"/>
  <c r="AA103" i="59"/>
  <c r="AA107" i="59"/>
  <c r="AA111" i="59"/>
  <c r="AA115" i="59"/>
  <c r="AA119" i="59"/>
  <c r="Z66" i="59"/>
  <c r="Z70" i="59"/>
  <c r="Z74" i="59"/>
  <c r="Z78" i="59"/>
  <c r="Z82" i="59"/>
  <c r="Z86" i="59"/>
  <c r="Z90" i="59"/>
  <c r="Z100" i="59"/>
  <c r="Z104" i="59"/>
  <c r="Z108" i="59"/>
  <c r="Z112" i="59"/>
  <c r="Z116" i="59"/>
  <c r="Z120" i="59"/>
  <c r="AA100" i="59"/>
  <c r="AA104" i="59"/>
  <c r="AA108" i="59"/>
  <c r="AA112" i="59"/>
  <c r="AA116" i="59"/>
  <c r="AA120" i="59"/>
  <c r="Z20" i="59"/>
  <c r="Z93" i="59"/>
  <c r="Z97" i="59"/>
  <c r="Z101" i="59"/>
  <c r="Z105" i="59"/>
  <c r="Z109" i="59"/>
  <c r="Z113" i="59"/>
  <c r="Z117" i="59"/>
  <c r="Z121" i="59"/>
  <c r="Z21" i="59"/>
  <c r="Z94" i="59"/>
  <c r="Z98" i="59"/>
  <c r="Z102" i="59"/>
  <c r="Z106" i="59"/>
  <c r="Z110" i="59"/>
  <c r="Z114" i="59"/>
  <c r="Z118" i="59"/>
  <c r="Z122" i="59"/>
  <c r="AA95" i="59" l="1"/>
  <c r="AA9" i="59"/>
  <c r="AA10" i="59" s="1"/>
  <c r="Z9" i="59"/>
  <c r="AA12" i="59"/>
  <c r="AA13" i="59" s="1"/>
  <c r="Z12" i="59"/>
  <c r="Z13" i="59" s="1"/>
  <c r="AA96" i="59"/>
  <c r="Z10" i="59"/>
  <c r="X12" i="59"/>
  <c r="X13" i="59" s="1"/>
  <c r="P12" i="59"/>
  <c r="H12" i="59"/>
  <c r="O12" i="59"/>
  <c r="M12" i="59"/>
  <c r="J12" i="59"/>
  <c r="W12" i="59"/>
  <c r="W13" i="59" s="1"/>
  <c r="G12" i="59"/>
  <c r="Y12" i="59"/>
  <c r="Y13" i="59" s="1"/>
  <c r="V12" i="59"/>
  <c r="V13" i="59" s="1"/>
  <c r="N12" i="59"/>
  <c r="F12" i="59"/>
  <c r="U12" i="59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D9" i="59"/>
  <c r="V9" i="59"/>
  <c r="V10" i="59" s="1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Z96" i="59" s="1"/>
  <c r="W21" i="59"/>
  <c r="Y20" i="59"/>
  <c r="Z95" i="59" s="1"/>
  <c r="W20" i="59"/>
  <c r="V20" i="59"/>
  <c r="U93" i="59"/>
  <c r="Y89" i="59"/>
  <c r="T118" i="59"/>
  <c r="W117" i="59"/>
  <c r="U117" i="59"/>
  <c r="Y84" i="59"/>
  <c r="U116" i="59"/>
  <c r="Y115" i="59"/>
  <c r="Y114" i="59"/>
  <c r="W81" i="59"/>
  <c r="W112" i="59"/>
  <c r="T112" i="59"/>
  <c r="V111" i="59"/>
  <c r="W78" i="59"/>
  <c r="U110" i="59"/>
  <c r="Y77" i="59"/>
  <c r="U109" i="59"/>
  <c r="Y107" i="59"/>
  <c r="U107" i="59"/>
  <c r="Y74" i="59"/>
  <c r="T106" i="59"/>
  <c r="R106" i="59"/>
  <c r="L106" i="59"/>
  <c r="J106" i="59"/>
  <c r="Y105" i="59"/>
  <c r="W73" i="59"/>
  <c r="W105" i="59"/>
  <c r="Y71" i="59"/>
  <c r="Y103" i="59"/>
  <c r="U103" i="59"/>
  <c r="Y102" i="59"/>
  <c r="X102" i="59"/>
  <c r="W69" i="59"/>
  <c r="W101" i="59"/>
  <c r="U101" i="59"/>
  <c r="Y68" i="59"/>
  <c r="X100" i="59"/>
  <c r="T67" i="59"/>
  <c r="Y66" i="59"/>
  <c r="W98" i="59"/>
  <c r="T98" i="59"/>
  <c r="Y97" i="59"/>
  <c r="W67" i="59"/>
  <c r="V74" i="59"/>
  <c r="E106" i="59"/>
  <c r="X122" i="59"/>
  <c r="U115" i="59"/>
  <c r="V113" i="59"/>
  <c r="X110" i="59"/>
  <c r="W104" i="59"/>
  <c r="Y93" i="59"/>
  <c r="W90" i="59"/>
  <c r="T80" i="59"/>
  <c r="Y122" i="59"/>
  <c r="W122" i="59"/>
  <c r="T90" i="59"/>
  <c r="U121" i="59"/>
  <c r="Y120" i="59"/>
  <c r="W87" i="59"/>
  <c r="W84" i="59"/>
  <c r="V115" i="59"/>
  <c r="T83" i="59"/>
  <c r="Y82" i="59"/>
  <c r="W113" i="59"/>
  <c r="U113" i="59"/>
  <c r="Y80" i="59"/>
  <c r="W80" i="59"/>
  <c r="Y111" i="59"/>
  <c r="W110" i="59"/>
  <c r="U108" i="59"/>
  <c r="Y75" i="59"/>
  <c r="W75" i="59"/>
  <c r="W74" i="59"/>
  <c r="Y73" i="59"/>
  <c r="Y72" i="59"/>
  <c r="W72" i="59"/>
  <c r="V103" i="59"/>
  <c r="T71" i="59"/>
  <c r="Y70" i="59"/>
  <c r="V101" i="59"/>
  <c r="U100" i="59"/>
  <c r="Y67" i="59"/>
  <c r="Y99" i="59"/>
  <c r="Y65" i="59"/>
  <c r="W65" i="59"/>
  <c r="U94" i="59"/>
  <c r="X20" i="59"/>
  <c r="U20" i="59"/>
  <c r="U13" i="59"/>
  <c r="T10" i="59"/>
  <c r="W5" i="59"/>
  <c r="T5" i="59"/>
  <c r="Y5" i="59"/>
  <c r="X21" i="59"/>
  <c r="U5" i="59"/>
  <c r="U71" i="59" l="1"/>
  <c r="Y69" i="59"/>
  <c r="V94" i="59"/>
  <c r="U104" i="59"/>
  <c r="W111" i="59"/>
  <c r="X112" i="59"/>
  <c r="Y118" i="59"/>
  <c r="T119" i="59"/>
  <c r="W85" i="59"/>
  <c r="M106" i="59"/>
  <c r="G106" i="59"/>
  <c r="O106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V96" i="59" l="1"/>
  <c r="U96" i="59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5" i="4"/>
  <c r="B4" i="4"/>
  <c r="B7" i="4"/>
  <c r="B6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Q94" i="59"/>
  <c r="I96" i="59" l="1"/>
  <c r="F94" i="59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N95" i="59" l="1"/>
  <c r="F95" i="59"/>
  <c r="P95" i="59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16" i="55" l="1"/>
  <c r="V54" i="55"/>
  <c r="J16" i="55"/>
  <c r="P16" i="55"/>
  <c r="Y16" i="55"/>
  <c r="O16" i="55"/>
  <c r="R54" i="55"/>
  <c r="M16" i="55"/>
  <c r="X54" i="55"/>
  <c r="H54" i="55"/>
  <c r="L16" i="55"/>
  <c r="G54" i="55"/>
  <c r="F54" i="55"/>
  <c r="N16" i="55"/>
  <c r="W54" i="55"/>
  <c r="I54" i="55"/>
  <c r="E16" i="55"/>
  <c r="R16" i="55"/>
  <c r="T54" i="55"/>
  <c r="D54" i="55"/>
  <c r="X16" i="55"/>
  <c r="H16" i="55"/>
  <c r="Q54" i="55"/>
  <c r="W16" i="55"/>
  <c r="G16" i="55"/>
  <c r="Y54" i="55"/>
  <c r="N54" i="55"/>
  <c r="K54" i="55"/>
  <c r="M54" i="55"/>
  <c r="P54" i="55"/>
  <c r="Q16" i="55"/>
  <c r="O54" i="55"/>
  <c r="K16" i="55"/>
  <c r="U54" i="55"/>
  <c r="J54" i="55"/>
  <c r="V16" i="55"/>
  <c r="U16" i="55"/>
  <c r="T16" i="55"/>
  <c r="D16" i="55"/>
  <c r="L54" i="55"/>
  <c r="S54" i="55"/>
  <c r="F16" i="55"/>
  <c r="I16" i="55"/>
  <c r="E54" i="55"/>
  <c r="Y39" i="55" l="1"/>
  <c r="T39" i="55"/>
  <c r="G75" i="55"/>
  <c r="S39" i="55"/>
  <c r="R75" i="55"/>
  <c r="P75" i="55"/>
  <c r="Y75" i="55"/>
  <c r="I39" i="55"/>
  <c r="L75" i="55"/>
  <c r="H75" i="55"/>
  <c r="M75" i="55"/>
  <c r="O39" i="55"/>
  <c r="X39" i="55"/>
  <c r="J39" i="55"/>
  <c r="H39" i="55"/>
  <c r="K75" i="55"/>
  <c r="K39" i="55"/>
  <c r="Q39" i="55"/>
  <c r="N75" i="55"/>
  <c r="E75" i="55"/>
  <c r="G39" i="55"/>
  <c r="W75" i="55"/>
  <c r="D75" i="55"/>
  <c r="U75" i="55"/>
  <c r="X75" i="55"/>
  <c r="R39" i="55"/>
  <c r="I75" i="55"/>
  <c r="M39" i="55"/>
  <c r="U39" i="55"/>
  <c r="E39" i="55"/>
  <c r="F39" i="55"/>
  <c r="V39" i="55"/>
  <c r="F75" i="55"/>
  <c r="L39" i="55"/>
  <c r="S75" i="55"/>
  <c r="D39" i="55"/>
  <c r="V75" i="55"/>
  <c r="Q75" i="55"/>
  <c r="J75" i="55"/>
  <c r="W39" i="55"/>
  <c r="P39" i="55"/>
  <c r="N39" i="55"/>
  <c r="T75" i="55"/>
  <c r="O75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<sst xmlns="http://schemas.openxmlformats.org/spreadsheetml/2006/main" count="722" uniqueCount="281">
  <si>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</si>
  <si>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</si>
  <si>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</si>
  <si>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</si>
  <si>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</si>
  <si>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</si>
  <si>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</si>
  <si>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</si>
  <si>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</si>
  <si>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</si>
  <si>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</si>
  <si>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</si>
  <si>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</si>
  <si>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</si>
  <si>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</si>
  <si>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</si>
  <si>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</si>
  <si>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</si>
  <si>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</si>
  <si>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</si>
  <si>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</si>
  <si>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</si>
  <si>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</si>
  <si>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</si>
  <si>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</si>
  <si>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</si>
  <si>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</si>
  <si>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</si>
  <si>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</si>
  <si>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</si>
  <si>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</si>
  <si>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</si>
  <si>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</si>
  <si>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</si>
  <si>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</si>
  <si>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</si>
  <si>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</si>
  <si>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</si>
  <si>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</si>
  <si>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</si>
  <si>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</si>
  <si>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</si>
  <si>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</si>
  <si>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</si>
  <si>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</si>
  <si>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</si>
  <si>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</si>
  <si>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</si>
  <si>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</si>
  <si>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</si>
  <si>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</si>
  <si>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</si>
  <si>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</si>
  <si>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</si>
  <si>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</si>
  <si>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</si>
  <si>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</si>
  <si>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</si>
  <si>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</si>
  <si>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</si>
  <si>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</si>
  <si>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</si>
  <si>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</si>
  <si>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</si>
  <si>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</si>
  <si>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</si>
  <si>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</si>
  <si>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</si>
  <si>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</si>
  <si>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</si>
  <si>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</si>
  <si>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</si>
  <si>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</si>
  <si>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</si>
  <si>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</si>
  <si>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</si>
  <si>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</si>
  <si>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</si>
  <si>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</si>
  <si>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</si>
  <si>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</si>
  <si>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</si>
  <si>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</si>
  <si>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</si>
  <si>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</si>
  <si>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</si>
  <si>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</si>
  <si>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</si>
  <si>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</si>
  <si>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</si>
  <si>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</si>
  <si>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</si>
  <si>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</si>
  <si>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</si>
  <si>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</si>
  <si>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</si>
  <si>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</si>
  <si>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</si>
  <si>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</si>
  <si>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</si>
  <si>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</si>
  <si>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</si>
  <si>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</si>
  <si>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</si>
  <si>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</si>
  <si>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</si>
  <si>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</si>
  <si>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</si>
  <si>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</si>
  <si>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</si>
  <si>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</si>
  <si>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</si>
  <si>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</si>
  <si>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</si>
  <si>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</si>
  <si>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</si>
  <si>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</si>
  <si>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</si>
  <si>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</si>
  <si>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</si>
  <si>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</si>
  <si>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</si>
  <si>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</si>
  <si>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</si>
  <si>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</si>
  <si>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</si>
  <si>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</si>
  <si>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</si>
  <si>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</si>
  <si>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</si>
  <si>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</si>
  <si>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</si>
  <si>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</si>
  <si>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</si>
  <si>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</si>
  <si>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</si>
  <si>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</si>
  <si>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</si>
  <si>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</si>
  <si>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</si>
  <si>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</si>
  <si>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</si>
  <si>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</si>
  <si>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</si>
  <si>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</si>
  <si>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</si>
  <si>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</si>
  <si>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</si>
  <si>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</si>
  <si>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</si>
  <si>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</si>
  <si>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</si>
  <si>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</si>
  <si>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</si>
  <si>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</si>
  <si>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</si>
  <si>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</si>
  <si>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</si>
  <si>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</si>
  <si>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</si>
  <si>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</si>
  <si>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</si>
  <si>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</si>
  <si>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</si>
  <si>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</si>
  <si>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</si>
  <si>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</si>
  <si>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</si>
  <si>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</si>
  <si>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</si>
  <si>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</si>
  <si>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</si>
  <si>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</si>
  <si>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</si>
  <si>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</si>
  <si>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</si>
  <si>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</si>
  <si>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</si>
  <si>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</si>
  <si>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</si>
  <si>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</si>
  <si>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</si>
  <si>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</si>
  <si>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</si>
  <si>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</si>
  <si>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</si>
  <si>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</si>
  <si>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</si>
  <si>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</si>
  <si>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</si>
  <si>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</si>
  <si>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</si>
  <si>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</si>
  <si>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</si>
  <si>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</si>
  <si>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</si>
  <si>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</si>
  <si>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</si>
  <si>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</si>
  <si>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</si>
  <si>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</si>
  <si>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</si>
  <si>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</si>
  <si>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</si>
  <si>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</si>
  <si>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</si>
  <si>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</si>
  <si>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</si>
  <si>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</si>
  <si>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</si>
  <si>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</si>
  <si>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</si>
  <si>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</si>
  <si>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</si>
  <si>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</si>
  <si>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</si>
  <si>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</si>
  <si>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</si>
  <si>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</si>
  <si>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</si>
  <si>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</si>
  <si>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</si>
  <si>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</si>
  <si>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</si>
  <si>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</si>
  <si>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</si>
  <si>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</si>
  <si>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</si>
  <si>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</si>
  <si>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</si>
  <si>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</si>
  <si>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</si>
  <si>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</si>
  <si>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</si>
  <si>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</si>
  <si>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</si>
  <si>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</si>
  <si>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</si>
  <si>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</si>
  <si>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</si>
  <si>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</si>
  <si>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</si>
  <si>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</si>
  <si>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</si>
  <si>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</si>
  <si>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</si>
  <si>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</si>
  <si>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</si>
  <si>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</si>
  <si>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</si>
  <si>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</si>
  <si>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</si>
  <si>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</si>
  <si>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</si>
  <si>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</si>
  <si>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</si>
  <si>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</si>
  <si>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</si>
  <si>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</si>
  <si>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</si>
  <si>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</si>
  <si>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Demographic and macro-economic data at 2015 prices - JRC-IDEES structure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</si>
  <si>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</si>
  <si>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</si>
  <si>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</si>
  <si>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</si>
  <si>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</si>
  <si>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</si>
  <si>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</si>
  <si>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</si>
  <si>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</si>
  <si>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</si>
  <si>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</si>
  <si>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Macro-economic data at 2023 prices - NACE structure</t>
  </si>
  <si>
    <t>ESA2010 [million euro, 2023 prices]</t>
  </si>
  <si>
    <t>ESA2010 [euro, 2023 prices per capita]</t>
  </si>
  <si>
    <t>Gross value added [million euro, 2023 prices]</t>
  </si>
  <si>
    <t>JRC-IDEES-2023 - Integrated Database of the European Energy System</t>
  </si>
  <si>
    <t>v2023-1.00</t>
  </si>
  <si>
    <t>IE</t>
  </si>
  <si>
    <t>Ireland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</si>
</sst>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4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30" fillId="0" borderId="0" xfId="5" applyFont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  <c r="B2" s="150"/>
      <c r="C2" s="150"/>
      <c r="D2" s="150"/>
      <c r="E2" s="150"/>
      <c r="F2" s="150"/>
      <c r="G2" s="150"/>
      <c r="H2" s="150"/>
      <c r="I2" s="150"/>
      <c r="J2" s="150"/>
      <c r="K2" s="150"/>
    </row>
    <row r="3" spans="1:23" ht="15" customHeight="1" x14ac:dyDescent="0.25">
      <c r="B3" s="150"/>
      <c r="C3" s="150"/>
      <c r="D3" s="150"/>
      <c r="E3" s="150"/>
      <c r="F3" s="150"/>
      <c r="G3" s="150"/>
      <c r="H3" s="150"/>
      <c r="I3" s="150"/>
      <c r="J3" s="150"/>
      <c r="K3" s="150"/>
    </row>
    <row r="6" spans="1:23" ht="31.5" x14ac:dyDescent="0.25">
      <c r="A6" s="136"/>
      <c r="B6" s="137" t="s">
        <v>277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258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45967.476168981484</v>
      </c>
      <c r="M30" s="149"/>
      <c r="N30" s="149"/>
      <c r="O30" s="149"/>
      <c r="V30" s="134"/>
    </row>
    <row r="31" spans="12:32" ht="15" customHeight="1" x14ac:dyDescent="0.25">
      <c r="L31" s="140" t="s">
        <v>278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255</v>
      </c>
    </row>
    <row r="39" spans="2:32" ht="15" customHeight="1" x14ac:dyDescent="0.25">
      <c r="B39" s="142" t="s">
        <v>256</v>
      </c>
    </row>
    <row r="40" spans="2:32" ht="15" customHeight="1" x14ac:dyDescent="0.25">
      <c r="B40" s="143" t="s">
        <v>257</v>
      </c>
      <c r="AA40" s="141"/>
      <c r="AB40" s="141"/>
      <c r="AC40" s="141"/>
      <c r="AD40" s="141"/>
      <c r="AE40" s="141"/>
      <c r="AF40" s="141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HYPERLINK("#"&amp;CELL("address",Macro_euro2023!D$2),MID(CELL("filename",Macro_euro2023!D$2),FIND("]",CELL("filename",Macro_euro2023!D$2))+1,256))</f>
        <v>Macro_euro2023</v>
      </c>
      <c r="C5" s="9"/>
      <c r="D5" s="147" t="s">
        <v>273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261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AA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42.7109375" style="10" customWidth="1" collapsed="1"/>
    <col min="4" max="27" width="8.7109375" style="10" customWidth="1"/>
    <col min="28" max="16384" width="9.140625" style="10"/>
  </cols>
  <sheetData>
    <row r="1" spans="1:27" ht="12.75" customHeight="1" x14ac:dyDescent="0.2">
      <c r="A1" s="13"/>
      <c r="B1" s="14" t="s">
        <v>279</v>
      </c>
      <c r="C1" s="15" t="s">
        <v>262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  <c r="Z1" s="33">
        <v>2022</v>
      </c>
      <c r="AA1" s="33">
        <v>2023</v>
      </c>
    </row>
    <row r="2" spans="1:27" ht="12.75" customHeight="1" x14ac:dyDescent="0.2">
      <c r="A2" s="16"/>
      <c r="B2" s="17" t="s">
        <v>24</v>
      </c>
      <c r="C2" s="18" t="s">
        <v>25</v>
      </c>
      <c r="D2" s="19">
        <v>108495.3</v>
      </c>
      <c r="E2" s="19">
        <v>122089.2</v>
      </c>
      <c r="F2" s="19">
        <v>135997.9</v>
      </c>
      <c r="G2" s="19">
        <v>145576.9</v>
      </c>
      <c r="H2" s="19">
        <v>156260</v>
      </c>
      <c r="I2" s="19">
        <v>170306.8</v>
      </c>
      <c r="J2" s="19">
        <v>184916.2</v>
      </c>
      <c r="K2" s="19">
        <v>197069.4</v>
      </c>
      <c r="L2" s="19">
        <v>187283</v>
      </c>
      <c r="M2" s="19">
        <v>169519.7</v>
      </c>
      <c r="N2" s="19">
        <v>167255.1</v>
      </c>
      <c r="O2" s="19">
        <v>173120.4</v>
      </c>
      <c r="P2" s="19">
        <v>176621.9</v>
      </c>
      <c r="Q2" s="19">
        <v>182908.6</v>
      </c>
      <c r="R2" s="19">
        <v>200594.9</v>
      </c>
      <c r="S2" s="19">
        <v>272282.90000000002</v>
      </c>
      <c r="T2" s="19">
        <v>275933.09999999998</v>
      </c>
      <c r="U2" s="19">
        <v>308366</v>
      </c>
      <c r="V2" s="19">
        <v>335136</v>
      </c>
      <c r="W2" s="19">
        <v>363752.6</v>
      </c>
      <c r="X2" s="19">
        <v>381728.7</v>
      </c>
      <c r="Y2" s="19">
        <v>448445.1</v>
      </c>
      <c r="Z2" s="19">
        <v>520718.4</v>
      </c>
      <c r="AA2" s="19">
        <v>524728.80000000005</v>
      </c>
    </row>
    <row r="3" spans="1:27" ht="12.75" customHeight="1" x14ac:dyDescent="0.2">
      <c r="A3" s="20"/>
      <c r="B3" s="21" t="s">
        <v>26</v>
      </c>
      <c r="C3" s="22" t="s">
        <v>27</v>
      </c>
      <c r="D3" s="23">
        <v>50909.7</v>
      </c>
      <c r="E3" s="23">
        <v>55639.4</v>
      </c>
      <c r="F3" s="23">
        <v>60602.400000000001</v>
      </c>
      <c r="G3" s="23">
        <v>64730.3</v>
      </c>
      <c r="H3" s="23">
        <v>68387.3</v>
      </c>
      <c r="I3" s="23">
        <v>74312.7</v>
      </c>
      <c r="J3" s="23">
        <v>81029.2</v>
      </c>
      <c r="K3" s="23">
        <v>89055.9</v>
      </c>
      <c r="L3" s="23">
        <v>90610.5</v>
      </c>
      <c r="M3" s="23">
        <v>80141.399999999994</v>
      </c>
      <c r="N3" s="23">
        <v>79102.7</v>
      </c>
      <c r="O3" s="23">
        <v>78627.100000000006</v>
      </c>
      <c r="P3" s="23">
        <v>78932.3</v>
      </c>
      <c r="Q3" s="23">
        <v>80262.399999999994</v>
      </c>
      <c r="R3" s="23">
        <v>83246.399999999994</v>
      </c>
      <c r="S3" s="23">
        <v>86319.5</v>
      </c>
      <c r="T3" s="23">
        <v>90457.8</v>
      </c>
      <c r="U3" s="23">
        <v>94432.6</v>
      </c>
      <c r="V3" s="23">
        <v>101144.1</v>
      </c>
      <c r="W3" s="23">
        <v>105647.8</v>
      </c>
      <c r="X3" s="23">
        <v>94820.9</v>
      </c>
      <c r="Y3" s="23">
        <v>106293.3</v>
      </c>
      <c r="Z3" s="23">
        <v>126634.4</v>
      </c>
      <c r="AA3" s="23">
        <v>143697.4</v>
      </c>
    </row>
    <row r="4" spans="1:27" ht="12.75" customHeight="1" x14ac:dyDescent="0.2">
      <c r="A4" s="24"/>
      <c r="B4" s="25" t="s">
        <v>28</v>
      </c>
      <c r="C4" s="26" t="s">
        <v>29</v>
      </c>
      <c r="D4" s="27">
        <v>96721.8</v>
      </c>
      <c r="E4" s="27">
        <v>108813.8</v>
      </c>
      <c r="F4" s="27">
        <v>120604.6</v>
      </c>
      <c r="G4" s="27">
        <v>128986.9</v>
      </c>
      <c r="H4" s="27">
        <v>137429.20000000001</v>
      </c>
      <c r="I4" s="27">
        <v>149522.70000000001</v>
      </c>
      <c r="J4" s="27">
        <v>162578.1</v>
      </c>
      <c r="K4" s="27">
        <v>175065.9</v>
      </c>
      <c r="L4" s="27">
        <v>167335</v>
      </c>
      <c r="M4" s="27">
        <v>152335.9</v>
      </c>
      <c r="N4" s="27">
        <v>152323.70000000001</v>
      </c>
      <c r="O4" s="27">
        <v>158278.79999999999</v>
      </c>
      <c r="P4" s="27">
        <v>161459.79999999999</v>
      </c>
      <c r="Q4" s="27">
        <v>169095</v>
      </c>
      <c r="R4" s="27">
        <v>186168</v>
      </c>
      <c r="S4" s="27">
        <v>254663.7</v>
      </c>
      <c r="T4" s="27">
        <v>257066.1</v>
      </c>
      <c r="U4" s="27">
        <v>286712.90000000002</v>
      </c>
      <c r="V4" s="27">
        <v>315068.2</v>
      </c>
      <c r="W4" s="27">
        <v>343049.3</v>
      </c>
      <c r="X4" s="27">
        <v>358665.2</v>
      </c>
      <c r="Y4" s="27">
        <v>422643.4</v>
      </c>
      <c r="Z4" s="27">
        <v>496977.9</v>
      </c>
      <c r="AA4" s="27">
        <v>499273.9</v>
      </c>
    </row>
    <row r="5" spans="1:27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2.75" customHeight="1" x14ac:dyDescent="0.2">
      <c r="A6" s="151" t="s">
        <v>31</v>
      </c>
      <c r="B6" s="17" t="s">
        <v>32</v>
      </c>
      <c r="C6" s="18" t="s">
        <v>33</v>
      </c>
      <c r="D6" s="19">
        <v>2717.7</v>
      </c>
      <c r="E6" s="19">
        <v>2434.3000000000002</v>
      </c>
      <c r="F6" s="19">
        <v>2360</v>
      </c>
      <c r="G6" s="19">
        <v>2154.5</v>
      </c>
      <c r="H6" s="19">
        <v>2459.6999999999998</v>
      </c>
      <c r="I6" s="19">
        <v>1760.2</v>
      </c>
      <c r="J6" s="19">
        <v>1703.4</v>
      </c>
      <c r="K6" s="19">
        <v>2055.9</v>
      </c>
      <c r="L6" s="19">
        <v>1592</v>
      </c>
      <c r="M6" s="19">
        <v>945.8</v>
      </c>
      <c r="N6" s="19">
        <v>1598</v>
      </c>
      <c r="O6" s="19">
        <v>2085.8000000000002</v>
      </c>
      <c r="P6" s="19">
        <v>1742</v>
      </c>
      <c r="Q6" s="19">
        <v>1957.1</v>
      </c>
      <c r="R6" s="19">
        <v>2441.9</v>
      </c>
      <c r="S6" s="19">
        <v>2365.3000000000002</v>
      </c>
      <c r="T6" s="19">
        <v>2555</v>
      </c>
      <c r="U6" s="19">
        <v>3453.1</v>
      </c>
      <c r="V6" s="19">
        <v>3110.6</v>
      </c>
      <c r="W6" s="19">
        <v>3469.8</v>
      </c>
      <c r="X6" s="19">
        <v>3851.5</v>
      </c>
      <c r="Y6" s="19">
        <v>4633</v>
      </c>
      <c r="Z6" s="19">
        <v>6107.1</v>
      </c>
      <c r="AA6" s="19">
        <v>4444</v>
      </c>
    </row>
    <row r="7" spans="1:27" ht="12.75" customHeight="1" x14ac:dyDescent="0.2">
      <c r="A7" s="152"/>
      <c r="B7" s="21" t="s">
        <v>34</v>
      </c>
      <c r="C7" s="22" t="s">
        <v>35</v>
      </c>
      <c r="D7" s="23">
        <v>27246.400000000001</v>
      </c>
      <c r="E7" s="23">
        <v>33530.400000000001</v>
      </c>
      <c r="F7" s="23">
        <v>39070.6</v>
      </c>
      <c r="G7" s="23">
        <v>37028.5</v>
      </c>
      <c r="H7" s="23">
        <v>36128</v>
      </c>
      <c r="I7" s="23">
        <v>36528.199999999997</v>
      </c>
      <c r="J7" s="23">
        <v>38258.5</v>
      </c>
      <c r="K7" s="23">
        <v>40155.1</v>
      </c>
      <c r="L7" s="23">
        <v>37504.9</v>
      </c>
      <c r="M7" s="23">
        <v>39246.5</v>
      </c>
      <c r="N7" s="23">
        <v>36726</v>
      </c>
      <c r="O7" s="23">
        <v>40001.699999999997</v>
      </c>
      <c r="P7" s="23">
        <v>39464.800000000003</v>
      </c>
      <c r="Q7" s="23">
        <v>39791.199999999997</v>
      </c>
      <c r="R7" s="23">
        <v>44210.2</v>
      </c>
      <c r="S7" s="23">
        <v>99355.199999999997</v>
      </c>
      <c r="T7" s="23">
        <v>94580.2</v>
      </c>
      <c r="U7" s="23">
        <v>103795.7</v>
      </c>
      <c r="V7" s="23">
        <v>114847.3</v>
      </c>
      <c r="W7" s="23">
        <v>121056.8</v>
      </c>
      <c r="X7" s="23">
        <v>133228.20000000001</v>
      </c>
      <c r="Y7" s="23">
        <v>160488.5</v>
      </c>
      <c r="Z7" s="23">
        <v>199983.8</v>
      </c>
      <c r="AA7" s="23">
        <v>164863.5</v>
      </c>
    </row>
    <row r="8" spans="1:27" ht="12.75" customHeight="1" x14ac:dyDescent="0.2">
      <c r="A8" s="152"/>
      <c r="B8" s="21" t="s">
        <v>36</v>
      </c>
      <c r="C8" s="22" t="s">
        <v>37</v>
      </c>
      <c r="D8" s="23">
        <v>6931</v>
      </c>
      <c r="E8" s="23">
        <v>8081.4</v>
      </c>
      <c r="F8" s="23">
        <v>8671.7999999999993</v>
      </c>
      <c r="G8" s="23">
        <v>9933.1</v>
      </c>
      <c r="H8" s="23">
        <v>11947.1</v>
      </c>
      <c r="I8" s="23">
        <v>14622</v>
      </c>
      <c r="J8" s="23">
        <v>17365</v>
      </c>
      <c r="K8" s="23">
        <v>16062.1</v>
      </c>
      <c r="L8" s="23">
        <v>11049.2</v>
      </c>
      <c r="M8" s="23">
        <v>4170.5</v>
      </c>
      <c r="N8" s="23">
        <v>2342.3000000000002</v>
      </c>
      <c r="O8" s="23">
        <v>2069.9</v>
      </c>
      <c r="P8" s="23">
        <v>3037.4</v>
      </c>
      <c r="Q8" s="23">
        <v>3813.6</v>
      </c>
      <c r="R8" s="23">
        <v>4792.8</v>
      </c>
      <c r="S8" s="23">
        <v>5310.8</v>
      </c>
      <c r="T8" s="23">
        <v>6188.5</v>
      </c>
      <c r="U8" s="23">
        <v>8000.3</v>
      </c>
      <c r="V8" s="23">
        <v>8645.2999999999993</v>
      </c>
      <c r="W8" s="23">
        <v>9461</v>
      </c>
      <c r="X8" s="23">
        <v>8699.9</v>
      </c>
      <c r="Y8" s="23">
        <v>10129.700000000001</v>
      </c>
      <c r="Z8" s="23">
        <v>12242.5</v>
      </c>
      <c r="AA8" s="23">
        <v>13563.7</v>
      </c>
    </row>
    <row r="9" spans="1:27" ht="12.75" customHeight="1" x14ac:dyDescent="0.2">
      <c r="A9" s="152"/>
      <c r="B9" s="21" t="s">
        <v>38</v>
      </c>
      <c r="C9" s="22" t="s">
        <v>39</v>
      </c>
      <c r="D9" s="23">
        <v>16825.400000000001</v>
      </c>
      <c r="E9" s="23">
        <v>16577</v>
      </c>
      <c r="F9" s="23">
        <v>18044.8</v>
      </c>
      <c r="G9" s="23">
        <v>20263.900000000001</v>
      </c>
      <c r="H9" s="23">
        <v>21313.7</v>
      </c>
      <c r="I9" s="23">
        <v>23680.9</v>
      </c>
      <c r="J9" s="23">
        <v>26090.5</v>
      </c>
      <c r="K9" s="23">
        <v>28864.1</v>
      </c>
      <c r="L9" s="23">
        <v>27253.5</v>
      </c>
      <c r="M9" s="23">
        <v>24639.4</v>
      </c>
      <c r="N9" s="23">
        <v>24891.200000000001</v>
      </c>
      <c r="O9" s="23">
        <v>26710.1</v>
      </c>
      <c r="P9" s="23">
        <v>27558.6</v>
      </c>
      <c r="Q9" s="23">
        <v>29772.7</v>
      </c>
      <c r="R9" s="23">
        <v>30411.200000000001</v>
      </c>
      <c r="S9" s="23">
        <v>31504.3</v>
      </c>
      <c r="T9" s="23">
        <v>33514.800000000003</v>
      </c>
      <c r="U9" s="23">
        <v>35536.9</v>
      </c>
      <c r="V9" s="23">
        <v>36491.599999999999</v>
      </c>
      <c r="W9" s="23">
        <v>37562.5</v>
      </c>
      <c r="X9" s="23">
        <v>32972.400000000001</v>
      </c>
      <c r="Y9" s="23">
        <v>36909.5</v>
      </c>
      <c r="Z9" s="23">
        <v>46522.3</v>
      </c>
      <c r="AA9" s="23">
        <v>51785.2</v>
      </c>
    </row>
    <row r="10" spans="1:27" ht="12.75" customHeight="1" x14ac:dyDescent="0.2">
      <c r="A10" s="152"/>
      <c r="B10" s="21" t="s">
        <v>40</v>
      </c>
      <c r="C10" s="22" t="s">
        <v>41</v>
      </c>
      <c r="D10" s="23">
        <v>7764.3</v>
      </c>
      <c r="E10" s="23">
        <v>7843.9</v>
      </c>
      <c r="F10" s="23">
        <v>7784.7</v>
      </c>
      <c r="G10" s="23">
        <v>8438.2999999999993</v>
      </c>
      <c r="H10" s="23">
        <v>9495.4</v>
      </c>
      <c r="I10" s="23">
        <v>10238.200000000001</v>
      </c>
      <c r="J10" s="23">
        <v>10294.9</v>
      </c>
      <c r="K10" s="23">
        <v>11382.1</v>
      </c>
      <c r="L10" s="23">
        <v>12751.8</v>
      </c>
      <c r="M10" s="23">
        <v>12752.4</v>
      </c>
      <c r="N10" s="23">
        <v>14008.3</v>
      </c>
      <c r="O10" s="23">
        <v>14313.3</v>
      </c>
      <c r="P10" s="23">
        <v>15763.2</v>
      </c>
      <c r="Q10" s="23">
        <v>17199.400000000001</v>
      </c>
      <c r="R10" s="23">
        <v>19476.2</v>
      </c>
      <c r="S10" s="23">
        <v>23441</v>
      </c>
      <c r="T10" s="23">
        <v>25384.7</v>
      </c>
      <c r="U10" s="23">
        <v>32074.799999999999</v>
      </c>
      <c r="V10" s="23">
        <v>40088.6</v>
      </c>
      <c r="W10" s="23">
        <v>51162.9</v>
      </c>
      <c r="X10" s="23">
        <v>61551.199999999997</v>
      </c>
      <c r="Y10" s="23">
        <v>79588.800000000003</v>
      </c>
      <c r="Z10" s="23">
        <v>87796</v>
      </c>
      <c r="AA10" s="23">
        <v>101202.1</v>
      </c>
    </row>
    <row r="11" spans="1:27" ht="12.75" customHeight="1" x14ac:dyDescent="0.2">
      <c r="A11" s="152"/>
      <c r="B11" s="21" t="s">
        <v>42</v>
      </c>
      <c r="C11" s="22" t="s">
        <v>43</v>
      </c>
      <c r="D11" s="23">
        <v>7200.7</v>
      </c>
      <c r="E11" s="23">
        <v>8151.2</v>
      </c>
      <c r="F11" s="23">
        <v>8866.9</v>
      </c>
      <c r="G11" s="23">
        <v>11444.2</v>
      </c>
      <c r="H11" s="23">
        <v>12829.8</v>
      </c>
      <c r="I11" s="23">
        <v>14604.3</v>
      </c>
      <c r="J11" s="23">
        <v>15869.5</v>
      </c>
      <c r="K11" s="23">
        <v>17406.900000000001</v>
      </c>
      <c r="L11" s="23">
        <v>16421.099999999999</v>
      </c>
      <c r="M11" s="23">
        <v>16043.7</v>
      </c>
      <c r="N11" s="23">
        <v>17479.2</v>
      </c>
      <c r="O11" s="23">
        <v>15608.8</v>
      </c>
      <c r="P11" s="23">
        <v>15019.6</v>
      </c>
      <c r="Q11" s="23">
        <v>13377.2</v>
      </c>
      <c r="R11" s="23">
        <v>15674.4</v>
      </c>
      <c r="S11" s="23">
        <v>16731.400000000001</v>
      </c>
      <c r="T11" s="23">
        <v>15368.4</v>
      </c>
      <c r="U11" s="23">
        <v>16345.2</v>
      </c>
      <c r="V11" s="23">
        <v>17035.3</v>
      </c>
      <c r="W11" s="23">
        <v>17039.2</v>
      </c>
      <c r="X11" s="23">
        <v>15883.4</v>
      </c>
      <c r="Y11" s="23">
        <v>19936.3</v>
      </c>
      <c r="Z11" s="23">
        <v>17573.3</v>
      </c>
      <c r="AA11" s="23">
        <v>23162.6</v>
      </c>
    </row>
    <row r="12" spans="1:27" ht="12.75" customHeight="1" x14ac:dyDescent="0.2">
      <c r="A12" s="152"/>
      <c r="B12" s="21" t="s">
        <v>44</v>
      </c>
      <c r="C12" s="22" t="s">
        <v>45</v>
      </c>
      <c r="D12" s="23">
        <v>6867.8</v>
      </c>
      <c r="E12" s="23">
        <v>8046.4</v>
      </c>
      <c r="F12" s="23">
        <v>9264.7000000000007</v>
      </c>
      <c r="G12" s="23">
        <v>9642.5</v>
      </c>
      <c r="H12" s="23">
        <v>9735.4</v>
      </c>
      <c r="I12" s="23">
        <v>10014.1</v>
      </c>
      <c r="J12" s="23">
        <v>11083.1</v>
      </c>
      <c r="K12" s="23">
        <v>12884.2</v>
      </c>
      <c r="L12" s="23">
        <v>12789.5</v>
      </c>
      <c r="M12" s="23">
        <v>8275.9</v>
      </c>
      <c r="N12" s="23">
        <v>9854.4</v>
      </c>
      <c r="O12" s="23">
        <v>10280.5</v>
      </c>
      <c r="P12" s="23">
        <v>11321.9</v>
      </c>
      <c r="Q12" s="23">
        <v>12066.3</v>
      </c>
      <c r="R12" s="23">
        <v>13258.6</v>
      </c>
      <c r="S12" s="23">
        <v>14617.5</v>
      </c>
      <c r="T12" s="23">
        <v>15582</v>
      </c>
      <c r="U12" s="23">
        <v>16705.099999999999</v>
      </c>
      <c r="V12" s="23">
        <v>18868.8</v>
      </c>
      <c r="W12" s="23">
        <v>20316.8</v>
      </c>
      <c r="X12" s="23">
        <v>20235.099999999999</v>
      </c>
      <c r="Y12" s="23">
        <v>22215.8</v>
      </c>
      <c r="Z12" s="23">
        <v>25515.9</v>
      </c>
      <c r="AA12" s="23">
        <v>27429</v>
      </c>
    </row>
    <row r="13" spans="1:27" ht="12.75" customHeight="1" x14ac:dyDescent="0.2">
      <c r="A13" s="152"/>
      <c r="B13" s="21" t="s">
        <v>46</v>
      </c>
      <c r="C13" s="22" t="s">
        <v>47</v>
      </c>
      <c r="D13" s="23">
        <v>6244</v>
      </c>
      <c r="E13" s="23">
        <v>6923.8</v>
      </c>
      <c r="F13" s="23">
        <v>7051.1</v>
      </c>
      <c r="G13" s="23">
        <v>8171.1</v>
      </c>
      <c r="H13" s="23">
        <v>9527.1</v>
      </c>
      <c r="I13" s="23">
        <v>12181.8</v>
      </c>
      <c r="J13" s="23">
        <v>13388.3</v>
      </c>
      <c r="K13" s="23">
        <v>14928.2</v>
      </c>
      <c r="L13" s="23">
        <v>14487.9</v>
      </c>
      <c r="M13" s="23">
        <v>13161.2</v>
      </c>
      <c r="N13" s="23">
        <v>13918.3</v>
      </c>
      <c r="O13" s="23">
        <v>15743.9</v>
      </c>
      <c r="P13" s="23">
        <v>16057.7</v>
      </c>
      <c r="Q13" s="23">
        <v>19777.5</v>
      </c>
      <c r="R13" s="23">
        <v>23943.9</v>
      </c>
      <c r="S13" s="23">
        <v>28537.1</v>
      </c>
      <c r="T13" s="23">
        <v>30071.5</v>
      </c>
      <c r="U13" s="23">
        <v>34505.9</v>
      </c>
      <c r="V13" s="23">
        <v>37749.4</v>
      </c>
      <c r="W13" s="23">
        <v>42300.3</v>
      </c>
      <c r="X13" s="23">
        <v>41874.800000000003</v>
      </c>
      <c r="Y13" s="23">
        <v>44558.3</v>
      </c>
      <c r="Z13" s="23">
        <v>52033</v>
      </c>
      <c r="AA13" s="23">
        <v>58992.3</v>
      </c>
    </row>
    <row r="14" spans="1:27" ht="12.75" customHeight="1" x14ac:dyDescent="0.2">
      <c r="A14" s="152"/>
      <c r="B14" s="21" t="s">
        <v>48</v>
      </c>
      <c r="C14" s="22" t="s">
        <v>49</v>
      </c>
      <c r="D14" s="23">
        <v>12854.799999999988</v>
      </c>
      <c r="E14" s="23">
        <v>14860.400000000009</v>
      </c>
      <c r="F14" s="23">
        <v>16861.60000000002</v>
      </c>
      <c r="G14" s="23">
        <v>19032.799999999988</v>
      </c>
      <c r="H14" s="23">
        <v>20970.900000000009</v>
      </c>
      <c r="I14" s="23">
        <v>22685.700000000012</v>
      </c>
      <c r="J14" s="23">
        <v>24857.300000000017</v>
      </c>
      <c r="K14" s="23">
        <v>27246.299999999988</v>
      </c>
      <c r="L14" s="23">
        <v>29536.700000000012</v>
      </c>
      <c r="M14" s="23">
        <v>29487</v>
      </c>
      <c r="N14" s="23">
        <v>27923.300000000017</v>
      </c>
      <c r="O14" s="23">
        <v>28076.999999999985</v>
      </c>
      <c r="P14" s="23">
        <v>28202.5</v>
      </c>
      <c r="Q14" s="23">
        <v>27853.200000000012</v>
      </c>
      <c r="R14" s="23">
        <v>28386.599999999977</v>
      </c>
      <c r="S14" s="23">
        <v>29210.399999999994</v>
      </c>
      <c r="T14" s="23">
        <v>30142</v>
      </c>
      <c r="U14" s="23">
        <v>32006.500000000029</v>
      </c>
      <c r="V14" s="23">
        <v>33683.799999999988</v>
      </c>
      <c r="W14" s="23">
        <v>35945.599999999977</v>
      </c>
      <c r="X14" s="23">
        <v>36532.600000000035</v>
      </c>
      <c r="Y14" s="23">
        <v>39731.70000000007</v>
      </c>
      <c r="Z14" s="23">
        <v>43440.799999999988</v>
      </c>
      <c r="AA14" s="23">
        <v>47771.000000000058</v>
      </c>
    </row>
    <row r="15" spans="1:27" ht="12.75" customHeight="1" x14ac:dyDescent="0.2">
      <c r="A15" s="152"/>
      <c r="B15" s="21" t="s">
        <v>50</v>
      </c>
      <c r="C15" s="22" t="s">
        <v>51</v>
      </c>
      <c r="D15" s="23">
        <v>2069.6999999999998</v>
      </c>
      <c r="E15" s="23">
        <v>2365</v>
      </c>
      <c r="F15" s="23">
        <v>2628.4</v>
      </c>
      <c r="G15" s="23">
        <v>2878</v>
      </c>
      <c r="H15" s="23">
        <v>3022.1</v>
      </c>
      <c r="I15" s="23">
        <v>3207.3</v>
      </c>
      <c r="J15" s="23">
        <v>3667.6</v>
      </c>
      <c r="K15" s="23">
        <v>4081</v>
      </c>
      <c r="L15" s="23">
        <v>3948.4</v>
      </c>
      <c r="M15" s="23">
        <v>3613.5</v>
      </c>
      <c r="N15" s="23">
        <v>3582.7</v>
      </c>
      <c r="O15" s="23">
        <v>3387.8</v>
      </c>
      <c r="P15" s="23">
        <v>3292.1</v>
      </c>
      <c r="Q15" s="23">
        <v>3486.8</v>
      </c>
      <c r="R15" s="23">
        <v>3572.2</v>
      </c>
      <c r="S15" s="23">
        <v>3590.7</v>
      </c>
      <c r="T15" s="23">
        <v>3679</v>
      </c>
      <c r="U15" s="23">
        <v>4289.3999999999996</v>
      </c>
      <c r="V15" s="23">
        <v>4547.5</v>
      </c>
      <c r="W15" s="23">
        <v>4734.3999999999996</v>
      </c>
      <c r="X15" s="23">
        <v>3836.1</v>
      </c>
      <c r="Y15" s="23">
        <v>4451.8</v>
      </c>
      <c r="Z15" s="23">
        <v>5763.2</v>
      </c>
      <c r="AA15" s="23">
        <v>6060.5</v>
      </c>
    </row>
    <row r="16" spans="1:27" ht="12.75" customHeight="1" x14ac:dyDescent="0.2">
      <c r="A16" s="153"/>
      <c r="B16" s="28" t="s">
        <v>52</v>
      </c>
      <c r="C16" s="29" t="s">
        <v>53</v>
      </c>
      <c r="D16" s="30">
        <f>SUM(D6:D15)</f>
        <v>96721.8</v>
      </c>
      <c r="E16" s="30">
        <f t="shared" ref="E16:Y16" si="0">SUM(E6:E15)</f>
        <v>108813.8</v>
      </c>
      <c r="F16" s="30">
        <f t="shared" si="0"/>
        <v>120604.6</v>
      </c>
      <c r="G16" s="30">
        <f t="shared" si="0"/>
        <v>128986.9</v>
      </c>
      <c r="H16" s="30">
        <f t="shared" si="0"/>
        <v>137429.20000000001</v>
      </c>
      <c r="I16" s="30">
        <f t="shared" si="0"/>
        <v>149522.70000000001</v>
      </c>
      <c r="J16" s="30">
        <f t="shared" si="0"/>
        <v>162578.1</v>
      </c>
      <c r="K16" s="30">
        <f t="shared" si="0"/>
        <v>175065.9</v>
      </c>
      <c r="L16" s="30">
        <f t="shared" si="0"/>
        <v>167335</v>
      </c>
      <c r="M16" s="30">
        <f t="shared" si="0"/>
        <v>152335.9</v>
      </c>
      <c r="N16" s="30">
        <f t="shared" si="0"/>
        <v>152323.70000000001</v>
      </c>
      <c r="O16" s="30">
        <f t="shared" si="0"/>
        <v>158278.79999999999</v>
      </c>
      <c r="P16" s="30">
        <f t="shared" si="0"/>
        <v>161459.80000000002</v>
      </c>
      <c r="Q16" s="30">
        <f t="shared" si="0"/>
        <v>169095</v>
      </c>
      <c r="R16" s="30">
        <f t="shared" si="0"/>
        <v>186168</v>
      </c>
      <c r="S16" s="30">
        <f t="shared" si="0"/>
        <v>254663.7</v>
      </c>
      <c r="T16" s="30">
        <f t="shared" si="0"/>
        <v>257066.1</v>
      </c>
      <c r="U16" s="30">
        <f t="shared" si="0"/>
        <v>286712.90000000002</v>
      </c>
      <c r="V16" s="30">
        <f t="shared" si="0"/>
        <v>315068.2</v>
      </c>
      <c r="W16" s="30">
        <f t="shared" si="0"/>
        <v>343049.3</v>
      </c>
      <c r="X16" s="30">
        <f t="shared" si="0"/>
        <v>358665.2</v>
      </c>
      <c r="Y16" s="30">
        <f t="shared" si="0"/>
        <v>422643.4</v>
      </c>
      <c r="Z16" s="30">
        <f t="shared" ref="Z16:AA16" si="1">SUM(Z6:Z15)</f>
        <v>496977.9</v>
      </c>
      <c r="AA16" s="30">
        <f t="shared" si="1"/>
        <v>499273.9</v>
      </c>
    </row>
    <row r="17" spans="1:27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2.75" customHeight="1" x14ac:dyDescent="0.2">
      <c r="A18" s="151" t="s">
        <v>54</v>
      </c>
      <c r="B18" s="17" t="s">
        <v>32</v>
      </c>
      <c r="C18" s="18" t="s">
        <v>33</v>
      </c>
      <c r="D18" s="19">
        <v>2717.7</v>
      </c>
      <c r="E18" s="19">
        <v>2434.3000000000002</v>
      </c>
      <c r="F18" s="19">
        <v>2360</v>
      </c>
      <c r="G18" s="19">
        <v>2154.5</v>
      </c>
      <c r="H18" s="19">
        <v>2459.6999999999998</v>
      </c>
      <c r="I18" s="19">
        <v>1760.2</v>
      </c>
      <c r="J18" s="19">
        <v>1703.4</v>
      </c>
      <c r="K18" s="19">
        <v>2055.9</v>
      </c>
      <c r="L18" s="19">
        <v>1592</v>
      </c>
      <c r="M18" s="19">
        <v>945.8</v>
      </c>
      <c r="N18" s="19">
        <v>1598</v>
      </c>
      <c r="O18" s="19">
        <v>2085.8000000000002</v>
      </c>
      <c r="P18" s="19">
        <v>1742</v>
      </c>
      <c r="Q18" s="19">
        <v>1957.1</v>
      </c>
      <c r="R18" s="19">
        <v>2441.9</v>
      </c>
      <c r="S18" s="19">
        <v>2365.3000000000002</v>
      </c>
      <c r="T18" s="19">
        <v>2555</v>
      </c>
      <c r="U18" s="19">
        <v>3453.1</v>
      </c>
      <c r="V18" s="19">
        <v>3110.6</v>
      </c>
      <c r="W18" s="19">
        <v>3469.8</v>
      </c>
      <c r="X18" s="19">
        <v>3851.5</v>
      </c>
      <c r="Y18" s="19">
        <v>4633</v>
      </c>
      <c r="Z18" s="19">
        <v>6107.1</v>
      </c>
      <c r="AA18" s="19">
        <v>4444</v>
      </c>
    </row>
    <row r="19" spans="1:27" ht="12.75" customHeight="1" x14ac:dyDescent="0.2">
      <c r="A19" s="152"/>
      <c r="B19" s="21" t="s">
        <v>55</v>
      </c>
      <c r="C19" s="22" t="s">
        <v>56</v>
      </c>
      <c r="D19" s="23">
        <v>478.70000000000022</v>
      </c>
      <c r="E19" s="23">
        <v>608.6</v>
      </c>
      <c r="F19" s="23">
        <v>552.89999999999907</v>
      </c>
      <c r="G19" s="23">
        <v>620.10000000000059</v>
      </c>
      <c r="H19" s="23">
        <v>456.00000000000017</v>
      </c>
      <c r="I19" s="23">
        <v>575.1999999999997</v>
      </c>
      <c r="J19" s="23">
        <v>932.60000000000048</v>
      </c>
      <c r="K19" s="23">
        <v>1208.2999999999986</v>
      </c>
      <c r="L19" s="23">
        <v>913.41977184665711</v>
      </c>
      <c r="M19" s="23">
        <v>916.51956828080904</v>
      </c>
      <c r="N19" s="23">
        <v>686.99999999999977</v>
      </c>
      <c r="O19" s="23">
        <v>726.21672116048796</v>
      </c>
      <c r="P19" s="23">
        <v>886.81833291987141</v>
      </c>
      <c r="Q19" s="23">
        <v>751.69999999999936</v>
      </c>
      <c r="R19" s="23">
        <v>908.81846816639222</v>
      </c>
      <c r="S19" s="23">
        <v>406.99999999999915</v>
      </c>
      <c r="T19" s="23">
        <v>549.51207161687068</v>
      </c>
      <c r="U19" s="23">
        <v>609.09999999999968</v>
      </c>
      <c r="V19" s="23">
        <v>615.60000000000116</v>
      </c>
      <c r="W19" s="23">
        <v>494.62807911297574</v>
      </c>
      <c r="X19" s="23">
        <v>323.61586039728132</v>
      </c>
      <c r="Y19" s="23">
        <v>498.43039441221674</v>
      </c>
      <c r="Z19" s="23">
        <v>639.7303069676791</v>
      </c>
      <c r="AA19" s="23">
        <v>757.14608631136332</v>
      </c>
    </row>
    <row r="20" spans="1:27" ht="12.75" customHeight="1" x14ac:dyDescent="0.2">
      <c r="A20" s="152"/>
      <c r="B20" s="21" t="s">
        <v>57</v>
      </c>
      <c r="C20" s="22" t="s">
        <v>58</v>
      </c>
      <c r="D20" s="23">
        <v>25083.200000000001</v>
      </c>
      <c r="E20" s="23">
        <v>30827.4</v>
      </c>
      <c r="F20" s="23">
        <v>36372.800000000003</v>
      </c>
      <c r="G20" s="23">
        <v>34004.699999999997</v>
      </c>
      <c r="H20" s="23">
        <v>33013.599999999999</v>
      </c>
      <c r="I20" s="23">
        <v>33366.6</v>
      </c>
      <c r="J20" s="23">
        <v>34344.6</v>
      </c>
      <c r="K20" s="23">
        <v>35418.800000000003</v>
      </c>
      <c r="L20" s="23">
        <v>32885.1</v>
      </c>
      <c r="M20" s="23">
        <v>34562.800000000003</v>
      </c>
      <c r="N20" s="23">
        <v>32629.4</v>
      </c>
      <c r="O20" s="23">
        <v>35658.6</v>
      </c>
      <c r="P20" s="23">
        <v>34627.5</v>
      </c>
      <c r="Q20" s="23">
        <v>34891.9</v>
      </c>
      <c r="R20" s="23">
        <v>39289.199999999997</v>
      </c>
      <c r="S20" s="23">
        <v>95003.1</v>
      </c>
      <c r="T20" s="23">
        <v>90028.1</v>
      </c>
      <c r="U20" s="23">
        <v>99168.5</v>
      </c>
      <c r="V20" s="23">
        <v>109857.4</v>
      </c>
      <c r="W20" s="23">
        <v>116147.3</v>
      </c>
      <c r="X20" s="23">
        <v>128318.9</v>
      </c>
      <c r="Y20" s="23">
        <v>153880.79999999999</v>
      </c>
      <c r="Z20" s="23">
        <v>193176.3</v>
      </c>
      <c r="AA20" s="23">
        <v>156393.1</v>
      </c>
    </row>
    <row r="21" spans="1:27" ht="12.75" customHeight="1" x14ac:dyDescent="0.2">
      <c r="A21" s="152"/>
      <c r="B21" s="21" t="s">
        <v>59</v>
      </c>
      <c r="C21" s="22" t="s">
        <v>60</v>
      </c>
      <c r="D21" s="23">
        <v>1094.5000000000005</v>
      </c>
      <c r="E21" s="23">
        <v>1368.3</v>
      </c>
      <c r="F21" s="23">
        <v>1373.1999999999978</v>
      </c>
      <c r="G21" s="23">
        <v>1594.8000000000015</v>
      </c>
      <c r="H21" s="23">
        <v>1749.8000000000009</v>
      </c>
      <c r="I21" s="23">
        <v>1640.099999999999</v>
      </c>
      <c r="J21" s="23">
        <v>1825.5000000000009</v>
      </c>
      <c r="K21" s="23">
        <v>2242.1999999999975</v>
      </c>
      <c r="L21" s="23">
        <v>2422.4524363053888</v>
      </c>
      <c r="M21" s="23">
        <v>2588.4552651806284</v>
      </c>
      <c r="N21" s="23">
        <v>2516.3999999999992</v>
      </c>
      <c r="O21" s="23">
        <v>2869.666074142297</v>
      </c>
      <c r="P21" s="23">
        <v>3111.9643326717955</v>
      </c>
      <c r="Q21" s="23">
        <v>3265.8999999999969</v>
      </c>
      <c r="R21" s="23">
        <v>3059.8621796825782</v>
      </c>
      <c r="S21" s="23">
        <v>2925.3999999999937</v>
      </c>
      <c r="T21" s="23">
        <v>2923.9642333040365</v>
      </c>
      <c r="U21" s="23">
        <v>2813.5999999999981</v>
      </c>
      <c r="V21" s="23">
        <v>3060.7000000000053</v>
      </c>
      <c r="W21" s="23">
        <v>2973.7514833682949</v>
      </c>
      <c r="X21" s="23">
        <v>3185.6345946057095</v>
      </c>
      <c r="Y21" s="23">
        <v>4190.8908765086426</v>
      </c>
      <c r="Z21" s="23">
        <v>3997.8168751015105</v>
      </c>
      <c r="AA21" s="23">
        <v>4899.7812785952729</v>
      </c>
    </row>
    <row r="22" spans="1:27" ht="12.75" customHeight="1" x14ac:dyDescent="0.2">
      <c r="A22" s="152"/>
      <c r="B22" s="21" t="s">
        <v>61</v>
      </c>
      <c r="C22" s="22" t="s">
        <v>62</v>
      </c>
      <c r="D22" s="23">
        <v>590.00000000000023</v>
      </c>
      <c r="E22" s="23">
        <v>726.1</v>
      </c>
      <c r="F22" s="23">
        <v>771.69999999999879</v>
      </c>
      <c r="G22" s="23">
        <v>808.90000000000077</v>
      </c>
      <c r="H22" s="23">
        <v>908.60000000000048</v>
      </c>
      <c r="I22" s="23">
        <v>946.2999999999995</v>
      </c>
      <c r="J22" s="23">
        <v>1155.8000000000006</v>
      </c>
      <c r="K22" s="23">
        <v>1285.7999999999988</v>
      </c>
      <c r="L22" s="23">
        <v>1283.9277918479561</v>
      </c>
      <c r="M22" s="23">
        <v>1178.7251665385593</v>
      </c>
      <c r="N22" s="23">
        <v>893.1999999999997</v>
      </c>
      <c r="O22" s="23">
        <v>747.21720469721367</v>
      </c>
      <c r="P22" s="23">
        <v>838.51733440833584</v>
      </c>
      <c r="Q22" s="23">
        <v>881.69999999999925</v>
      </c>
      <c r="R22" s="23">
        <v>952.31935215102908</v>
      </c>
      <c r="S22" s="23">
        <v>1019.699999999998</v>
      </c>
      <c r="T22" s="23">
        <v>1078.623695079084</v>
      </c>
      <c r="U22" s="23">
        <v>1204.4999999999993</v>
      </c>
      <c r="V22" s="23">
        <v>1313.6000000000022</v>
      </c>
      <c r="W22" s="23">
        <v>1441.1204375187294</v>
      </c>
      <c r="X22" s="23">
        <v>1400.0495449970263</v>
      </c>
      <c r="Y22" s="23">
        <v>1918.3787290791527</v>
      </c>
      <c r="Z22" s="23">
        <v>2169.9528179308104</v>
      </c>
      <c r="AA22" s="23">
        <v>2813.4726350933574</v>
      </c>
    </row>
    <row r="23" spans="1:27" ht="12.75" customHeight="1" x14ac:dyDescent="0.2">
      <c r="A23" s="152"/>
      <c r="B23" s="21" t="s">
        <v>36</v>
      </c>
      <c r="C23" s="22" t="s">
        <v>37</v>
      </c>
      <c r="D23" s="23">
        <v>6931</v>
      </c>
      <c r="E23" s="23">
        <v>8081.4</v>
      </c>
      <c r="F23" s="23">
        <v>8671.7999999999993</v>
      </c>
      <c r="G23" s="23">
        <v>9933.1</v>
      </c>
      <c r="H23" s="23">
        <v>11947.1</v>
      </c>
      <c r="I23" s="23">
        <v>14622</v>
      </c>
      <c r="J23" s="23">
        <v>17365</v>
      </c>
      <c r="K23" s="23">
        <v>16062.1</v>
      </c>
      <c r="L23" s="23">
        <v>11049.2</v>
      </c>
      <c r="M23" s="23">
        <v>4170.5</v>
      </c>
      <c r="N23" s="23">
        <v>2342.3000000000002</v>
      </c>
      <c r="O23" s="23">
        <v>2069.9</v>
      </c>
      <c r="P23" s="23">
        <v>3037.4</v>
      </c>
      <c r="Q23" s="23">
        <v>3813.6</v>
      </c>
      <c r="R23" s="23">
        <v>4792.8</v>
      </c>
      <c r="S23" s="23">
        <v>5310.8</v>
      </c>
      <c r="T23" s="23">
        <v>6188.5</v>
      </c>
      <c r="U23" s="23">
        <v>8000.3</v>
      </c>
      <c r="V23" s="23">
        <v>8645.2999999999993</v>
      </c>
      <c r="W23" s="23">
        <v>9461</v>
      </c>
      <c r="X23" s="23">
        <v>8699.9</v>
      </c>
      <c r="Y23" s="23">
        <v>10129.700000000001</v>
      </c>
      <c r="Z23" s="23">
        <v>12242.5</v>
      </c>
      <c r="AA23" s="23">
        <v>13563.7</v>
      </c>
    </row>
    <row r="24" spans="1:27" ht="12.75" customHeight="1" x14ac:dyDescent="0.2">
      <c r="A24" s="152"/>
      <c r="B24" s="21" t="s">
        <v>63</v>
      </c>
      <c r="C24" s="22" t="s">
        <v>64</v>
      </c>
      <c r="D24" s="23">
        <v>10526.2</v>
      </c>
      <c r="E24" s="23">
        <v>9867.2999999999993</v>
      </c>
      <c r="F24" s="23">
        <v>11088.8</v>
      </c>
      <c r="G24" s="23">
        <v>12543.100000000002</v>
      </c>
      <c r="H24" s="23">
        <v>13171.400000000001</v>
      </c>
      <c r="I24" s="23">
        <v>14900.800000000001</v>
      </c>
      <c r="J24" s="23">
        <v>16466.400000000001</v>
      </c>
      <c r="K24" s="23">
        <v>18162.5</v>
      </c>
      <c r="L24" s="23">
        <v>17450.5</v>
      </c>
      <c r="M24" s="23">
        <v>14802.300000000001</v>
      </c>
      <c r="N24" s="23">
        <v>15871.100000000002</v>
      </c>
      <c r="O24" s="23">
        <v>17624.199999999997</v>
      </c>
      <c r="P24" s="23">
        <v>18342.399999999998</v>
      </c>
      <c r="Q24" s="23">
        <v>20067</v>
      </c>
      <c r="R24" s="23">
        <v>20090.5</v>
      </c>
      <c r="S24" s="23">
        <v>20375</v>
      </c>
      <c r="T24" s="23">
        <v>21949.200000000004</v>
      </c>
      <c r="U24" s="23">
        <v>23280.9</v>
      </c>
      <c r="V24" s="23">
        <v>24531.599999999999</v>
      </c>
      <c r="W24" s="23">
        <v>24727.3</v>
      </c>
      <c r="X24" s="23">
        <v>26393.9</v>
      </c>
      <c r="Y24" s="23">
        <v>28135.9</v>
      </c>
      <c r="Z24" s="23">
        <v>31070.9</v>
      </c>
      <c r="AA24" s="23">
        <v>33733.299999999996</v>
      </c>
    </row>
    <row r="25" spans="1:27" ht="12.75" customHeight="1" x14ac:dyDescent="0.2">
      <c r="A25" s="152"/>
      <c r="B25" s="21" t="s">
        <v>65</v>
      </c>
      <c r="C25" s="22" t="s">
        <v>66</v>
      </c>
      <c r="D25" s="23">
        <v>3636.5</v>
      </c>
      <c r="E25" s="23">
        <v>3914.3</v>
      </c>
      <c r="F25" s="23">
        <v>4144</v>
      </c>
      <c r="G25" s="23">
        <v>4596.6000000000004</v>
      </c>
      <c r="H25" s="23">
        <v>4964.8</v>
      </c>
      <c r="I25" s="23">
        <v>5294.3</v>
      </c>
      <c r="J25" s="23">
        <v>5864.3</v>
      </c>
      <c r="K25" s="23">
        <v>6371.5</v>
      </c>
      <c r="L25" s="23">
        <v>5869.2</v>
      </c>
      <c r="M25" s="23">
        <v>6151.5</v>
      </c>
      <c r="N25" s="23">
        <v>5684.4</v>
      </c>
      <c r="O25" s="23">
        <v>5709.6</v>
      </c>
      <c r="P25" s="23">
        <v>5668.2</v>
      </c>
      <c r="Q25" s="23">
        <v>5896.6</v>
      </c>
      <c r="R25" s="23">
        <v>6280.7</v>
      </c>
      <c r="S25" s="23">
        <v>6655.2</v>
      </c>
      <c r="T25" s="23">
        <v>6796.9</v>
      </c>
      <c r="U25" s="23">
        <v>6998.1</v>
      </c>
      <c r="V25" s="23">
        <v>6372.7</v>
      </c>
      <c r="W25" s="23">
        <v>7125.2</v>
      </c>
      <c r="X25" s="23">
        <v>3737.3</v>
      </c>
      <c r="Y25" s="23">
        <v>4912.3</v>
      </c>
      <c r="Z25" s="23">
        <v>8435.7999999999993</v>
      </c>
      <c r="AA25" s="23">
        <v>9638</v>
      </c>
    </row>
    <row r="26" spans="1:27" ht="12.75" customHeight="1" x14ac:dyDescent="0.2">
      <c r="A26" s="152"/>
      <c r="B26" s="21" t="s">
        <v>67</v>
      </c>
      <c r="C26" s="22" t="s">
        <v>68</v>
      </c>
      <c r="D26" s="23">
        <v>2662.7</v>
      </c>
      <c r="E26" s="23">
        <v>2795.4</v>
      </c>
      <c r="F26" s="23">
        <v>2812</v>
      </c>
      <c r="G26" s="23">
        <v>3124.2</v>
      </c>
      <c r="H26" s="23">
        <v>3177.5</v>
      </c>
      <c r="I26" s="23">
        <v>3485.8</v>
      </c>
      <c r="J26" s="23">
        <v>3759.8</v>
      </c>
      <c r="K26" s="23">
        <v>4330.1000000000004</v>
      </c>
      <c r="L26" s="23">
        <v>3933.8</v>
      </c>
      <c r="M26" s="23">
        <v>3685.6</v>
      </c>
      <c r="N26" s="23">
        <v>3335.7</v>
      </c>
      <c r="O26" s="23">
        <v>3376.3</v>
      </c>
      <c r="P26" s="23">
        <v>3548</v>
      </c>
      <c r="Q26" s="23">
        <v>3809.1</v>
      </c>
      <c r="R26" s="23">
        <v>4040</v>
      </c>
      <c r="S26" s="23">
        <v>4474.1000000000004</v>
      </c>
      <c r="T26" s="23">
        <v>4768.7</v>
      </c>
      <c r="U26" s="23">
        <v>5257.9</v>
      </c>
      <c r="V26" s="23">
        <v>5587.3</v>
      </c>
      <c r="W26" s="23">
        <v>5710</v>
      </c>
      <c r="X26" s="23">
        <v>2841.2</v>
      </c>
      <c r="Y26" s="23">
        <v>3861.3</v>
      </c>
      <c r="Z26" s="23">
        <v>7015.6</v>
      </c>
      <c r="AA26" s="23">
        <v>8413.9</v>
      </c>
    </row>
    <row r="27" spans="1:27" ht="12.75" customHeight="1" x14ac:dyDescent="0.2">
      <c r="A27" s="152"/>
      <c r="B27" s="21" t="s">
        <v>40</v>
      </c>
      <c r="C27" s="22" t="s">
        <v>41</v>
      </c>
      <c r="D27" s="23">
        <v>7764.3</v>
      </c>
      <c r="E27" s="23">
        <v>7843.9</v>
      </c>
      <c r="F27" s="23">
        <v>7784.7</v>
      </c>
      <c r="G27" s="23">
        <v>8438.2999999999993</v>
      </c>
      <c r="H27" s="23">
        <v>9495.4</v>
      </c>
      <c r="I27" s="23">
        <v>10238.200000000001</v>
      </c>
      <c r="J27" s="23">
        <v>10294.9</v>
      </c>
      <c r="K27" s="23">
        <v>11382.1</v>
      </c>
      <c r="L27" s="23">
        <v>12751.8</v>
      </c>
      <c r="M27" s="23">
        <v>12752.4</v>
      </c>
      <c r="N27" s="23">
        <v>14008.3</v>
      </c>
      <c r="O27" s="23">
        <v>14313.3</v>
      </c>
      <c r="P27" s="23">
        <v>15763.2</v>
      </c>
      <c r="Q27" s="23">
        <v>17199.400000000001</v>
      </c>
      <c r="R27" s="23">
        <v>19476.2</v>
      </c>
      <c r="S27" s="23">
        <v>23441</v>
      </c>
      <c r="T27" s="23">
        <v>25384.7</v>
      </c>
      <c r="U27" s="23">
        <v>32074.799999999999</v>
      </c>
      <c r="V27" s="23">
        <v>40088.6</v>
      </c>
      <c r="W27" s="23">
        <v>51162.9</v>
      </c>
      <c r="X27" s="23">
        <v>61551.199999999997</v>
      </c>
      <c r="Y27" s="23">
        <v>79588.800000000003</v>
      </c>
      <c r="Z27" s="23">
        <v>87796</v>
      </c>
      <c r="AA27" s="23">
        <v>101202.1</v>
      </c>
    </row>
    <row r="28" spans="1:27" ht="12.75" customHeight="1" x14ac:dyDescent="0.2">
      <c r="A28" s="152"/>
      <c r="B28" s="21" t="s">
        <v>42</v>
      </c>
      <c r="C28" s="22" t="s">
        <v>43</v>
      </c>
      <c r="D28" s="23">
        <v>7200.7</v>
      </c>
      <c r="E28" s="23">
        <v>8151.2</v>
      </c>
      <c r="F28" s="23">
        <v>8866.9</v>
      </c>
      <c r="G28" s="23">
        <v>11444.2</v>
      </c>
      <c r="H28" s="23">
        <v>12829.8</v>
      </c>
      <c r="I28" s="23">
        <v>14604.3</v>
      </c>
      <c r="J28" s="23">
        <v>15869.5</v>
      </c>
      <c r="K28" s="23">
        <v>17406.900000000001</v>
      </c>
      <c r="L28" s="23">
        <v>16421.099999999999</v>
      </c>
      <c r="M28" s="23">
        <v>16043.7</v>
      </c>
      <c r="N28" s="23">
        <v>17479.2</v>
      </c>
      <c r="O28" s="23">
        <v>15608.8</v>
      </c>
      <c r="P28" s="23">
        <v>15019.6</v>
      </c>
      <c r="Q28" s="23">
        <v>13377.2</v>
      </c>
      <c r="R28" s="23">
        <v>15674.4</v>
      </c>
      <c r="S28" s="23">
        <v>16731.400000000001</v>
      </c>
      <c r="T28" s="23">
        <v>15368.4</v>
      </c>
      <c r="U28" s="23">
        <v>16345.2</v>
      </c>
      <c r="V28" s="23">
        <v>17035.3</v>
      </c>
      <c r="W28" s="23">
        <v>17039.2</v>
      </c>
      <c r="X28" s="23">
        <v>15883.4</v>
      </c>
      <c r="Y28" s="23">
        <v>19936.3</v>
      </c>
      <c r="Z28" s="23">
        <v>17573.3</v>
      </c>
      <c r="AA28" s="23">
        <v>23162.6</v>
      </c>
    </row>
    <row r="29" spans="1:27" ht="12.75" customHeight="1" x14ac:dyDescent="0.2">
      <c r="A29" s="152"/>
      <c r="B29" s="21" t="s">
        <v>44</v>
      </c>
      <c r="C29" s="22" t="s">
        <v>45</v>
      </c>
      <c r="D29" s="23">
        <v>6867.8</v>
      </c>
      <c r="E29" s="23">
        <v>8046.4</v>
      </c>
      <c r="F29" s="23">
        <v>9264.7000000000007</v>
      </c>
      <c r="G29" s="23">
        <v>9642.5</v>
      </c>
      <c r="H29" s="23">
        <v>9735.4</v>
      </c>
      <c r="I29" s="23">
        <v>10014.1</v>
      </c>
      <c r="J29" s="23">
        <v>11083.1</v>
      </c>
      <c r="K29" s="23">
        <v>12884.2</v>
      </c>
      <c r="L29" s="23">
        <v>12789.5</v>
      </c>
      <c r="M29" s="23">
        <v>8275.9</v>
      </c>
      <c r="N29" s="23">
        <v>9854.4</v>
      </c>
      <c r="O29" s="23">
        <v>10280.5</v>
      </c>
      <c r="P29" s="23">
        <v>11321.9</v>
      </c>
      <c r="Q29" s="23">
        <v>12066.3</v>
      </c>
      <c r="R29" s="23">
        <v>13258.6</v>
      </c>
      <c r="S29" s="23">
        <v>14617.5</v>
      </c>
      <c r="T29" s="23">
        <v>15582</v>
      </c>
      <c r="U29" s="23">
        <v>16705.099999999999</v>
      </c>
      <c r="V29" s="23">
        <v>18868.8</v>
      </c>
      <c r="W29" s="23">
        <v>20316.8</v>
      </c>
      <c r="X29" s="23">
        <v>20235.099999999999</v>
      </c>
      <c r="Y29" s="23">
        <v>22215.8</v>
      </c>
      <c r="Z29" s="23">
        <v>25515.9</v>
      </c>
      <c r="AA29" s="23">
        <v>27429</v>
      </c>
    </row>
    <row r="30" spans="1:27" ht="12.75" customHeight="1" x14ac:dyDescent="0.2">
      <c r="A30" s="152"/>
      <c r="B30" s="21" t="s">
        <v>69</v>
      </c>
      <c r="C30" s="22" t="s">
        <v>70</v>
      </c>
      <c r="D30" s="23">
        <v>3743.5</v>
      </c>
      <c r="E30" s="23">
        <v>4104</v>
      </c>
      <c r="F30" s="23">
        <v>4286.4000000000005</v>
      </c>
      <c r="G30" s="23">
        <v>4899.9000000000005</v>
      </c>
      <c r="H30" s="23">
        <v>5878.2000000000007</v>
      </c>
      <c r="I30" s="23">
        <v>6589.1999999999989</v>
      </c>
      <c r="J30" s="23">
        <v>7190.4999999999991</v>
      </c>
      <c r="K30" s="23">
        <v>7958.2000000000007</v>
      </c>
      <c r="L30" s="23">
        <v>7565.7</v>
      </c>
      <c r="M30" s="23">
        <v>6594.4000000000005</v>
      </c>
      <c r="N30" s="23">
        <v>6392.0999999999995</v>
      </c>
      <c r="O30" s="23">
        <v>7391.7999999999993</v>
      </c>
      <c r="P30" s="23">
        <v>7359.3000000000011</v>
      </c>
      <c r="Q30" s="23">
        <v>8097.4</v>
      </c>
      <c r="R30" s="23">
        <v>9254.8000000000011</v>
      </c>
      <c r="S30" s="23">
        <v>10509.5</v>
      </c>
      <c r="T30" s="23">
        <v>10053.799999999999</v>
      </c>
      <c r="U30" s="23">
        <v>12964.900000000001</v>
      </c>
      <c r="V30" s="23">
        <v>15581.400000000001</v>
      </c>
      <c r="W30" s="23">
        <v>18030.600000000002</v>
      </c>
      <c r="X30" s="23">
        <v>20633.800000000003</v>
      </c>
      <c r="Y30" s="23">
        <v>23951.500000000004</v>
      </c>
      <c r="Z30" s="23">
        <v>28142.2</v>
      </c>
      <c r="AA30" s="23">
        <v>32935.700000000004</v>
      </c>
    </row>
    <row r="31" spans="1:27" ht="12.75" customHeight="1" x14ac:dyDescent="0.2">
      <c r="A31" s="152"/>
      <c r="B31" s="21" t="s">
        <v>71</v>
      </c>
      <c r="C31" s="22" t="s">
        <v>72</v>
      </c>
      <c r="D31" s="23">
        <v>2500.5</v>
      </c>
      <c r="E31" s="23">
        <v>2819.8</v>
      </c>
      <c r="F31" s="23">
        <v>2764.7</v>
      </c>
      <c r="G31" s="23">
        <v>3271.2</v>
      </c>
      <c r="H31" s="23">
        <v>3648.9</v>
      </c>
      <c r="I31" s="23">
        <v>5592.6</v>
      </c>
      <c r="J31" s="23">
        <v>6197.8</v>
      </c>
      <c r="K31" s="23">
        <v>6970</v>
      </c>
      <c r="L31" s="23">
        <v>6922.2</v>
      </c>
      <c r="M31" s="23">
        <v>6566.8</v>
      </c>
      <c r="N31" s="23">
        <v>7526.2</v>
      </c>
      <c r="O31" s="23">
        <v>8352.1</v>
      </c>
      <c r="P31" s="23">
        <v>8698.4</v>
      </c>
      <c r="Q31" s="23">
        <v>11680.1</v>
      </c>
      <c r="R31" s="23">
        <v>14689.1</v>
      </c>
      <c r="S31" s="23">
        <v>18027.599999999999</v>
      </c>
      <c r="T31" s="23">
        <v>20017.7</v>
      </c>
      <c r="U31" s="23">
        <v>21541</v>
      </c>
      <c r="V31" s="23">
        <v>22168</v>
      </c>
      <c r="W31" s="23">
        <v>24269.7</v>
      </c>
      <c r="X31" s="23">
        <v>21241</v>
      </c>
      <c r="Y31" s="23">
        <v>20606.8</v>
      </c>
      <c r="Z31" s="23">
        <v>23890.799999999999</v>
      </c>
      <c r="AA31" s="23">
        <v>26056.6</v>
      </c>
    </row>
    <row r="32" spans="1:27" ht="12.75" customHeight="1" x14ac:dyDescent="0.2">
      <c r="A32" s="152"/>
      <c r="B32" s="21" t="s">
        <v>73</v>
      </c>
      <c r="C32" s="22" t="s">
        <v>74</v>
      </c>
      <c r="D32" s="23">
        <v>3829.699999999988</v>
      </c>
      <c r="E32" s="23">
        <v>4305.1000000000095</v>
      </c>
      <c r="F32" s="23">
        <v>4818.7000000000189</v>
      </c>
      <c r="G32" s="23">
        <v>5186.3999999999887</v>
      </c>
      <c r="H32" s="23">
        <v>5760.6000000000076</v>
      </c>
      <c r="I32" s="23">
        <v>6023.6000000000131</v>
      </c>
      <c r="J32" s="23">
        <v>6283.0000000000182</v>
      </c>
      <c r="K32" s="23">
        <v>6879.6999999999898</v>
      </c>
      <c r="L32" s="23">
        <v>7280.6000000000131</v>
      </c>
      <c r="M32" s="23">
        <v>6879.1999999999971</v>
      </c>
      <c r="N32" s="23">
        <v>6802.6000000000204</v>
      </c>
      <c r="O32" s="23">
        <v>7996.9999999999854</v>
      </c>
      <c r="P32" s="23">
        <v>7861.4000000000015</v>
      </c>
      <c r="Q32" s="23">
        <v>7741.6000000000131</v>
      </c>
      <c r="R32" s="23">
        <v>7865.7999999999738</v>
      </c>
      <c r="S32" s="23">
        <v>8008.6999999999935</v>
      </c>
      <c r="T32" s="23">
        <v>8261.6999999999971</v>
      </c>
      <c r="U32" s="23">
        <v>8614.3000000000284</v>
      </c>
      <c r="V32" s="23">
        <v>9025.8999999999869</v>
      </c>
      <c r="W32" s="23">
        <v>9598.6999999999753</v>
      </c>
      <c r="X32" s="23">
        <v>9828.1000000000349</v>
      </c>
      <c r="Y32" s="23">
        <v>10477.900000000067</v>
      </c>
      <c r="Z32" s="23">
        <v>11562.599999999991</v>
      </c>
      <c r="AA32" s="23">
        <v>12351.700000000055</v>
      </c>
    </row>
    <row r="33" spans="1:27" ht="12.75" customHeight="1" x14ac:dyDescent="0.2">
      <c r="A33" s="152"/>
      <c r="B33" s="21" t="s">
        <v>75</v>
      </c>
      <c r="C33" s="22" t="s">
        <v>76</v>
      </c>
      <c r="D33" s="23">
        <v>3838.9</v>
      </c>
      <c r="E33" s="23">
        <v>4438.5</v>
      </c>
      <c r="F33" s="23">
        <v>5173.6000000000004</v>
      </c>
      <c r="G33" s="23">
        <v>5896.5</v>
      </c>
      <c r="H33" s="23">
        <v>6318.6</v>
      </c>
      <c r="I33" s="23">
        <v>6949.6</v>
      </c>
      <c r="J33" s="23">
        <v>7748.3</v>
      </c>
      <c r="K33" s="23">
        <v>8475.7999999999993</v>
      </c>
      <c r="L33" s="23">
        <v>9210.6</v>
      </c>
      <c r="M33" s="23">
        <v>9667.2000000000007</v>
      </c>
      <c r="N33" s="23">
        <v>9229.9</v>
      </c>
      <c r="O33" s="23">
        <v>7742.7</v>
      </c>
      <c r="P33" s="23">
        <v>7846.3</v>
      </c>
      <c r="Q33" s="23">
        <v>7834.6</v>
      </c>
      <c r="R33" s="23">
        <v>8132.1</v>
      </c>
      <c r="S33" s="23">
        <v>8349.2000000000007</v>
      </c>
      <c r="T33" s="23">
        <v>8491.6</v>
      </c>
      <c r="U33" s="23">
        <v>9067.5</v>
      </c>
      <c r="V33" s="23">
        <v>9560</v>
      </c>
      <c r="W33" s="23">
        <v>10068.700000000001</v>
      </c>
      <c r="X33" s="23">
        <v>10174</v>
      </c>
      <c r="Y33" s="23">
        <v>10839.4</v>
      </c>
      <c r="Z33" s="23">
        <v>11643.9</v>
      </c>
      <c r="AA33" s="23">
        <v>12549.7</v>
      </c>
    </row>
    <row r="34" spans="1:27" ht="12.75" customHeight="1" x14ac:dyDescent="0.2">
      <c r="A34" s="152"/>
      <c r="B34" s="21" t="s">
        <v>77</v>
      </c>
      <c r="C34" s="22" t="s">
        <v>78</v>
      </c>
      <c r="D34" s="23">
        <v>5186.2</v>
      </c>
      <c r="E34" s="23">
        <v>6116.8</v>
      </c>
      <c r="F34" s="23">
        <v>6869.3</v>
      </c>
      <c r="G34" s="23">
        <v>7949.9</v>
      </c>
      <c r="H34" s="23">
        <v>8891.7000000000007</v>
      </c>
      <c r="I34" s="23">
        <v>9712.5</v>
      </c>
      <c r="J34" s="23">
        <v>10826</v>
      </c>
      <c r="K34" s="23">
        <v>11890.8</v>
      </c>
      <c r="L34" s="23">
        <v>13045.5</v>
      </c>
      <c r="M34" s="23">
        <v>12940.6</v>
      </c>
      <c r="N34" s="23">
        <v>11890.8</v>
      </c>
      <c r="O34" s="23">
        <v>12337.3</v>
      </c>
      <c r="P34" s="23">
        <v>12494.8</v>
      </c>
      <c r="Q34" s="23">
        <v>12277</v>
      </c>
      <c r="R34" s="23">
        <v>12388.7</v>
      </c>
      <c r="S34" s="23">
        <v>12852.5</v>
      </c>
      <c r="T34" s="23">
        <v>13388.7</v>
      </c>
      <c r="U34" s="23">
        <v>14324.7</v>
      </c>
      <c r="V34" s="23">
        <v>15097.9</v>
      </c>
      <c r="W34" s="23">
        <v>16278.2</v>
      </c>
      <c r="X34" s="23">
        <v>16530.5</v>
      </c>
      <c r="Y34" s="23">
        <v>18414.400000000001</v>
      </c>
      <c r="Z34" s="23">
        <v>20234.3</v>
      </c>
      <c r="AA34" s="23">
        <v>22869.599999999999</v>
      </c>
    </row>
    <row r="35" spans="1:27" ht="12.75" customHeight="1" x14ac:dyDescent="0.2">
      <c r="A35" s="152"/>
      <c r="B35" s="21" t="s">
        <v>79</v>
      </c>
      <c r="C35" s="22" t="s">
        <v>80</v>
      </c>
      <c r="D35" s="23">
        <v>1390.1999999999998</v>
      </c>
      <c r="E35" s="23">
        <v>1537.8000000000002</v>
      </c>
      <c r="F35" s="23">
        <v>1634.2</v>
      </c>
      <c r="G35" s="23">
        <v>1854</v>
      </c>
      <c r="H35" s="23">
        <v>1878.3999999999999</v>
      </c>
      <c r="I35" s="23">
        <v>2003.4000000000003</v>
      </c>
      <c r="J35" s="23">
        <v>2370.2999999999997</v>
      </c>
      <c r="K35" s="23">
        <v>2713</v>
      </c>
      <c r="L35" s="23">
        <v>2619.8000000000002</v>
      </c>
      <c r="M35" s="23">
        <v>2362.3000000000002</v>
      </c>
      <c r="N35" s="23">
        <v>2327.8999999999996</v>
      </c>
      <c r="O35" s="23">
        <v>2056.9</v>
      </c>
      <c r="P35" s="23">
        <v>1923.2999999999997</v>
      </c>
      <c r="Q35" s="23">
        <v>2039.5</v>
      </c>
      <c r="R35" s="23">
        <v>2079.8000000000002</v>
      </c>
      <c r="S35" s="23">
        <v>2056.8999999999996</v>
      </c>
      <c r="T35" s="23">
        <v>2089.1999999999998</v>
      </c>
      <c r="U35" s="23">
        <v>2407.3999999999996</v>
      </c>
      <c r="V35" s="23">
        <v>2558.6000000000004</v>
      </c>
      <c r="W35" s="23">
        <v>2684.9999999999995</v>
      </c>
      <c r="X35" s="23">
        <v>2155.1999999999998</v>
      </c>
      <c r="Y35" s="23">
        <v>2608.1999999999998</v>
      </c>
      <c r="Z35" s="23">
        <v>3194.7</v>
      </c>
      <c r="AA35" s="23">
        <v>3475.1</v>
      </c>
    </row>
    <row r="36" spans="1:27" ht="12.75" customHeight="1" x14ac:dyDescent="0.2">
      <c r="A36" s="152"/>
      <c r="B36" s="21" t="s">
        <v>81</v>
      </c>
      <c r="C36" s="22" t="s">
        <v>82</v>
      </c>
      <c r="D36" s="23">
        <v>593</v>
      </c>
      <c r="E36" s="23">
        <v>734.8</v>
      </c>
      <c r="F36" s="23">
        <v>900.6</v>
      </c>
      <c r="G36" s="23">
        <v>910.9</v>
      </c>
      <c r="H36" s="23">
        <v>1030</v>
      </c>
      <c r="I36" s="23">
        <v>1059.5999999999999</v>
      </c>
      <c r="J36" s="23">
        <v>1101.4000000000001</v>
      </c>
      <c r="K36" s="23">
        <v>1131.5999999999999</v>
      </c>
      <c r="L36" s="23">
        <v>1102.5999999999999</v>
      </c>
      <c r="M36" s="23">
        <v>1059.8</v>
      </c>
      <c r="N36" s="23">
        <v>1219.8</v>
      </c>
      <c r="O36" s="23">
        <v>1274.9000000000001</v>
      </c>
      <c r="P36" s="23">
        <v>1306.4000000000001</v>
      </c>
      <c r="Q36" s="23">
        <v>1393.9</v>
      </c>
      <c r="R36" s="23">
        <v>1432.1</v>
      </c>
      <c r="S36" s="23">
        <v>1473.5</v>
      </c>
      <c r="T36" s="23">
        <v>1519.7</v>
      </c>
      <c r="U36" s="23">
        <v>1718.1</v>
      </c>
      <c r="V36" s="23">
        <v>1804.6</v>
      </c>
      <c r="W36" s="23">
        <v>1860</v>
      </c>
      <c r="X36" s="23">
        <v>1501.5</v>
      </c>
      <c r="Y36" s="23">
        <v>1640.4</v>
      </c>
      <c r="Z36" s="23">
        <v>2283.1999999999998</v>
      </c>
      <c r="AA36" s="23">
        <v>2295.5</v>
      </c>
    </row>
    <row r="37" spans="1:27" ht="12.75" customHeight="1" x14ac:dyDescent="0.2">
      <c r="A37" s="152"/>
      <c r="B37" s="21" t="s">
        <v>83</v>
      </c>
      <c r="C37" s="22" t="s">
        <v>84</v>
      </c>
      <c r="D37" s="23">
        <v>86.5</v>
      </c>
      <c r="E37" s="23">
        <v>92.4</v>
      </c>
      <c r="F37" s="23">
        <v>93.6</v>
      </c>
      <c r="G37" s="23">
        <v>113.1</v>
      </c>
      <c r="H37" s="23">
        <v>113.7</v>
      </c>
      <c r="I37" s="23">
        <v>144.30000000000001</v>
      </c>
      <c r="J37" s="23">
        <v>195.9</v>
      </c>
      <c r="K37" s="23">
        <v>236.4</v>
      </c>
      <c r="L37" s="23">
        <v>226</v>
      </c>
      <c r="M37" s="23">
        <v>191.4</v>
      </c>
      <c r="N37" s="23">
        <v>35</v>
      </c>
      <c r="O37" s="23">
        <v>56</v>
      </c>
      <c r="P37" s="23">
        <v>62.4</v>
      </c>
      <c r="Q37" s="23">
        <v>53.4</v>
      </c>
      <c r="R37" s="23">
        <v>60.3</v>
      </c>
      <c r="S37" s="23">
        <v>60.3</v>
      </c>
      <c r="T37" s="23">
        <v>70.099999999999994</v>
      </c>
      <c r="U37" s="23">
        <v>163.9</v>
      </c>
      <c r="V37" s="23">
        <v>184.3</v>
      </c>
      <c r="W37" s="23">
        <v>189.4</v>
      </c>
      <c r="X37" s="23">
        <v>179.4</v>
      </c>
      <c r="Y37" s="23">
        <v>203.2</v>
      </c>
      <c r="Z37" s="23">
        <v>285.3</v>
      </c>
      <c r="AA37" s="23">
        <v>289.89999999999998</v>
      </c>
    </row>
    <row r="38" spans="1:27" ht="12.75" customHeight="1" x14ac:dyDescent="0.2">
      <c r="A38" s="152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</row>
    <row r="39" spans="1:27" ht="12.75" customHeight="1" x14ac:dyDescent="0.2">
      <c r="A39" s="153"/>
      <c r="B39" s="28" t="s">
        <v>52</v>
      </c>
      <c r="C39" s="29" t="s">
        <v>53</v>
      </c>
      <c r="D39" s="30">
        <f>SUM(D18:D38)</f>
        <v>96721.799999999974</v>
      </c>
      <c r="E39" s="30">
        <f t="shared" ref="E39:Y39" si="2">SUM(E18:E38)</f>
        <v>108813.80000000002</v>
      </c>
      <c r="F39" s="30">
        <f t="shared" si="2"/>
        <v>120604.6</v>
      </c>
      <c r="G39" s="30">
        <f t="shared" si="2"/>
        <v>128986.89999999998</v>
      </c>
      <c r="H39" s="30">
        <f t="shared" si="2"/>
        <v>137429.20000000001</v>
      </c>
      <c r="I39" s="30">
        <f t="shared" si="2"/>
        <v>149522.70000000001</v>
      </c>
      <c r="J39" s="30">
        <f t="shared" si="2"/>
        <v>162578.1</v>
      </c>
      <c r="K39" s="30">
        <f t="shared" si="2"/>
        <v>175065.89999999997</v>
      </c>
      <c r="L39" s="30">
        <f t="shared" si="2"/>
        <v>167335</v>
      </c>
      <c r="M39" s="30">
        <f t="shared" si="2"/>
        <v>152335.89999999997</v>
      </c>
      <c r="N39" s="30">
        <f t="shared" si="2"/>
        <v>152323.70000000001</v>
      </c>
      <c r="O39" s="30">
        <f t="shared" si="2"/>
        <v>158278.79999999999</v>
      </c>
      <c r="P39" s="30">
        <f t="shared" si="2"/>
        <v>161459.79999999996</v>
      </c>
      <c r="Q39" s="30">
        <f t="shared" si="2"/>
        <v>169095</v>
      </c>
      <c r="R39" s="30">
        <f t="shared" si="2"/>
        <v>186167.99999999994</v>
      </c>
      <c r="S39" s="30">
        <f t="shared" si="2"/>
        <v>254663.69999999998</v>
      </c>
      <c r="T39" s="30">
        <f t="shared" si="2"/>
        <v>257066.10000000003</v>
      </c>
      <c r="U39" s="30">
        <f t="shared" si="2"/>
        <v>286712.90000000008</v>
      </c>
      <c r="V39" s="30">
        <f t="shared" si="2"/>
        <v>315068.19999999995</v>
      </c>
      <c r="W39" s="30">
        <f t="shared" si="2"/>
        <v>343049.3</v>
      </c>
      <c r="X39" s="30">
        <f t="shared" si="2"/>
        <v>358665.20000000007</v>
      </c>
      <c r="Y39" s="30">
        <f t="shared" si="2"/>
        <v>422643.40000000014</v>
      </c>
      <c r="Z39" s="30">
        <f t="shared" ref="Z39:AA39" si="3">SUM(Z18:Z38)</f>
        <v>496977.89999999997</v>
      </c>
      <c r="AA39" s="30">
        <f t="shared" si="3"/>
        <v>499273.9</v>
      </c>
    </row>
    <row r="40" spans="1:27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2.75" customHeight="1" x14ac:dyDescent="0.2">
      <c r="A41" s="151" t="s">
        <v>87</v>
      </c>
      <c r="B41" s="17" t="s">
        <v>88</v>
      </c>
      <c r="C41" s="18" t="s">
        <v>89</v>
      </c>
      <c r="D41" s="19">
        <v>3602.3</v>
      </c>
      <c r="E41" s="19">
        <v>4543</v>
      </c>
      <c r="F41" s="19">
        <v>5027.3</v>
      </c>
      <c r="G41" s="19">
        <v>5918.2</v>
      </c>
      <c r="H41" s="19">
        <v>5806.5</v>
      </c>
      <c r="I41" s="19">
        <v>5732.3</v>
      </c>
      <c r="J41" s="19">
        <v>6128.9</v>
      </c>
      <c r="K41" s="19">
        <v>6344.8</v>
      </c>
      <c r="L41" s="19">
        <v>6143</v>
      </c>
      <c r="M41" s="19">
        <v>5934.9</v>
      </c>
      <c r="N41" s="19">
        <v>6499.1</v>
      </c>
      <c r="O41" s="19">
        <v>6433.8</v>
      </c>
      <c r="P41" s="19">
        <v>6669.9</v>
      </c>
      <c r="Q41" s="19">
        <v>7592.5</v>
      </c>
      <c r="R41" s="19">
        <v>8493.1</v>
      </c>
      <c r="S41" s="19">
        <v>8901.5</v>
      </c>
      <c r="T41" s="19">
        <v>8993.2000000000007</v>
      </c>
      <c r="U41" s="19">
        <v>8643.4</v>
      </c>
      <c r="V41" s="19">
        <v>9053.2999999999993</v>
      </c>
      <c r="W41" s="19">
        <v>7739.3</v>
      </c>
      <c r="X41" s="19">
        <v>7762.7</v>
      </c>
      <c r="Y41" s="19">
        <v>8312.2000000000007</v>
      </c>
      <c r="Z41" s="19">
        <v>9912.4</v>
      </c>
      <c r="AA41" s="19">
        <v>11227.1</v>
      </c>
    </row>
    <row r="42" spans="1:27" ht="12.75" customHeight="1" x14ac:dyDescent="0.2">
      <c r="A42" s="152"/>
      <c r="B42" s="21" t="s">
        <v>90</v>
      </c>
      <c r="C42" s="22" t="s">
        <v>91</v>
      </c>
      <c r="D42" s="23">
        <v>343.9</v>
      </c>
      <c r="E42" s="23">
        <v>375.2</v>
      </c>
      <c r="F42" s="23">
        <v>322.89999999999998</v>
      </c>
      <c r="G42" s="23">
        <v>303.10000000000002</v>
      </c>
      <c r="H42" s="23">
        <v>267.39999999999998</v>
      </c>
      <c r="I42" s="23">
        <v>261.39999999999998</v>
      </c>
      <c r="J42" s="23">
        <v>241.4</v>
      </c>
      <c r="K42" s="23">
        <v>262.39999999999998</v>
      </c>
      <c r="L42" s="23">
        <v>213.7</v>
      </c>
      <c r="M42" s="23">
        <v>186.4</v>
      </c>
      <c r="N42" s="23">
        <v>152.30000000000001</v>
      </c>
      <c r="O42" s="23">
        <v>135.5</v>
      </c>
      <c r="P42" s="23">
        <v>131.4</v>
      </c>
      <c r="Q42" s="23">
        <v>140.5</v>
      </c>
      <c r="R42" s="23">
        <v>151.80000000000001</v>
      </c>
      <c r="S42" s="23">
        <v>163.9</v>
      </c>
      <c r="T42" s="23">
        <v>159.30000000000001</v>
      </c>
      <c r="U42" s="23">
        <v>155.19999999999999</v>
      </c>
      <c r="V42" s="23">
        <v>157.5</v>
      </c>
      <c r="W42" s="23">
        <v>160.69999999999999</v>
      </c>
      <c r="X42" s="23">
        <v>151</v>
      </c>
      <c r="Y42" s="23">
        <v>179.2</v>
      </c>
      <c r="Z42" s="23">
        <v>194.7</v>
      </c>
      <c r="AA42" s="23">
        <v>207.3</v>
      </c>
    </row>
    <row r="43" spans="1:27" ht="12.75" customHeight="1" x14ac:dyDescent="0.2">
      <c r="A43" s="152"/>
      <c r="B43" s="21" t="s">
        <v>92</v>
      </c>
      <c r="C43" s="22" t="s">
        <v>93</v>
      </c>
      <c r="D43" s="23">
        <v>1038.5999999999999</v>
      </c>
      <c r="E43" s="23">
        <v>1253.2</v>
      </c>
      <c r="F43" s="23">
        <v>1269.2</v>
      </c>
      <c r="G43" s="23">
        <v>1365.8</v>
      </c>
      <c r="H43" s="23">
        <v>1425.5</v>
      </c>
      <c r="I43" s="23">
        <v>1535.5</v>
      </c>
      <c r="J43" s="23">
        <v>1593.3</v>
      </c>
      <c r="K43" s="23">
        <v>1277.5999999999999</v>
      </c>
      <c r="L43" s="23">
        <v>962.2</v>
      </c>
      <c r="M43" s="23">
        <v>828.8</v>
      </c>
      <c r="N43" s="23">
        <v>737.5</v>
      </c>
      <c r="O43" s="23">
        <v>651.79999999999995</v>
      </c>
      <c r="P43" s="23">
        <v>610.29999999999995</v>
      </c>
      <c r="Q43" s="23">
        <v>685.8</v>
      </c>
      <c r="R43" s="23">
        <v>782.9</v>
      </c>
      <c r="S43" s="23">
        <v>807.8</v>
      </c>
      <c r="T43" s="23">
        <v>757</v>
      </c>
      <c r="U43" s="23">
        <v>796</v>
      </c>
      <c r="V43" s="23">
        <v>854</v>
      </c>
      <c r="W43" s="23">
        <v>889.1</v>
      </c>
      <c r="X43" s="23">
        <v>847.2</v>
      </c>
      <c r="Y43" s="23">
        <v>969.1</v>
      </c>
      <c r="Z43" s="23">
        <v>985.2</v>
      </c>
      <c r="AA43" s="23">
        <v>1194.7</v>
      </c>
    </row>
    <row r="44" spans="1:27" ht="12.75" customHeight="1" x14ac:dyDescent="0.2">
      <c r="A44" s="152"/>
      <c r="B44" s="21" t="s">
        <v>94</v>
      </c>
      <c r="C44" s="22" t="s">
        <v>95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</row>
    <row r="45" spans="1:27" ht="12.75" customHeight="1" x14ac:dyDescent="0.2">
      <c r="A45" s="152"/>
      <c r="B45" s="21" t="s">
        <v>96</v>
      </c>
      <c r="C45" s="22" t="s">
        <v>97</v>
      </c>
      <c r="D45" s="23">
        <v>1924.8000000000029</v>
      </c>
      <c r="E45" s="23">
        <v>790.90000000000509</v>
      </c>
      <c r="F45" s="23">
        <v>864.10000000000582</v>
      </c>
      <c r="G45" s="23">
        <v>704.49999999999272</v>
      </c>
      <c r="H45" s="23">
        <v>876.09999999999854</v>
      </c>
      <c r="I45" s="23">
        <v>748.59999999999854</v>
      </c>
      <c r="J45" s="23">
        <v>718.30000000000291</v>
      </c>
      <c r="K45" s="23">
        <v>1837.4000000000015</v>
      </c>
      <c r="L45" s="23">
        <v>1561.9000000000015</v>
      </c>
      <c r="M45" s="23">
        <v>1764.7000000000044</v>
      </c>
      <c r="N45" s="23">
        <v>1624.5999999999985</v>
      </c>
      <c r="O45" s="23">
        <v>2417.2999999999956</v>
      </c>
      <c r="P45" s="23">
        <v>3146.2000000000007</v>
      </c>
      <c r="Q45" s="23">
        <v>3622.7000000000007</v>
      </c>
      <c r="R45" s="23">
        <v>3704.7999999999956</v>
      </c>
      <c r="S45" s="23">
        <v>3800.1464487446424</v>
      </c>
      <c r="T45" s="23">
        <v>4451.2263868442033</v>
      </c>
      <c r="U45" s="23">
        <v>4753.0458907785469</v>
      </c>
      <c r="V45" s="23">
        <v>4849.8029343093231</v>
      </c>
      <c r="W45" s="23">
        <v>5280.5013151339126</v>
      </c>
      <c r="X45" s="23">
        <v>5529.1167929344665</v>
      </c>
      <c r="Y45" s="23">
        <v>6009.2226611747164</v>
      </c>
      <c r="Z45" s="23">
        <v>6858.3375737020897</v>
      </c>
      <c r="AA45" s="23">
        <v>7551.1227555817559</v>
      </c>
    </row>
    <row r="46" spans="1:27" ht="12.75" customHeight="1" x14ac:dyDescent="0.2">
      <c r="A46" s="152"/>
      <c r="B46" s="21" t="s">
        <v>98</v>
      </c>
      <c r="C46" s="22" t="s">
        <v>99</v>
      </c>
      <c r="D46" s="23">
        <v>8632.2000000000007</v>
      </c>
      <c r="E46" s="23">
        <v>12508.1</v>
      </c>
      <c r="F46" s="23">
        <v>17409.3</v>
      </c>
      <c r="G46" s="23">
        <v>14178.4</v>
      </c>
      <c r="H46" s="23">
        <v>12509.6</v>
      </c>
      <c r="I46" s="23">
        <v>12338.9</v>
      </c>
      <c r="J46" s="23">
        <v>11938.7</v>
      </c>
      <c r="K46" s="23">
        <v>12606.2</v>
      </c>
      <c r="L46" s="23">
        <v>12138.7</v>
      </c>
      <c r="M46" s="23">
        <v>15024.6</v>
      </c>
      <c r="N46" s="23">
        <v>14789</v>
      </c>
      <c r="O46" s="23">
        <v>15886.2</v>
      </c>
      <c r="P46" s="23">
        <v>14405.5</v>
      </c>
      <c r="Q46" s="23">
        <v>12472.7</v>
      </c>
      <c r="R46" s="23">
        <v>14337.4</v>
      </c>
      <c r="S46" s="23">
        <v>66388.598519851337</v>
      </c>
      <c r="T46" s="23">
        <v>62407.179144017318</v>
      </c>
      <c r="U46" s="23">
        <v>68337.591055858036</v>
      </c>
      <c r="V46" s="23">
        <v>79137.731633525225</v>
      </c>
      <c r="W46" s="23">
        <v>82013.949400631333</v>
      </c>
      <c r="X46" s="23">
        <v>92429.20695677209</v>
      </c>
      <c r="Y46" s="23">
        <v>113363.6433601301</v>
      </c>
      <c r="Z46" s="23">
        <v>145449.11487922136</v>
      </c>
      <c r="AA46" s="23">
        <v>105918.08717292314</v>
      </c>
    </row>
    <row r="47" spans="1:27" ht="12.75" customHeight="1" x14ac:dyDescent="0.2">
      <c r="A47" s="152"/>
      <c r="B47" s="21" t="s">
        <v>100</v>
      </c>
      <c r="C47" s="22" t="s">
        <v>101</v>
      </c>
      <c r="D47" s="23">
        <v>1327</v>
      </c>
      <c r="E47" s="23">
        <v>1417.4</v>
      </c>
      <c r="F47" s="23">
        <v>1394</v>
      </c>
      <c r="G47" s="23">
        <v>1481.2</v>
      </c>
      <c r="H47" s="23">
        <v>1543.8</v>
      </c>
      <c r="I47" s="23">
        <v>1681.8</v>
      </c>
      <c r="J47" s="23">
        <v>1805</v>
      </c>
      <c r="K47" s="23">
        <v>1865.3</v>
      </c>
      <c r="L47" s="23">
        <v>1419.5</v>
      </c>
      <c r="M47" s="23">
        <v>959.9</v>
      </c>
      <c r="N47" s="23">
        <v>741.9</v>
      </c>
      <c r="O47" s="23">
        <v>815.5</v>
      </c>
      <c r="P47" s="23">
        <v>780.2</v>
      </c>
      <c r="Q47" s="23">
        <v>921.1</v>
      </c>
      <c r="R47" s="23">
        <v>1150.8</v>
      </c>
      <c r="S47" s="23">
        <v>1170.2</v>
      </c>
      <c r="T47" s="23">
        <v>1393.5</v>
      </c>
      <c r="U47" s="23">
        <v>1493.9</v>
      </c>
      <c r="V47" s="23">
        <v>1526.1</v>
      </c>
      <c r="W47" s="23">
        <v>1671</v>
      </c>
      <c r="X47" s="23">
        <v>1761</v>
      </c>
      <c r="Y47" s="23">
        <v>1931.9</v>
      </c>
      <c r="Z47" s="23">
        <v>2237.5</v>
      </c>
      <c r="AA47" s="23">
        <v>2490</v>
      </c>
    </row>
    <row r="48" spans="1:27" ht="12.75" customHeight="1" x14ac:dyDescent="0.2">
      <c r="A48" s="152"/>
      <c r="B48" s="21" t="s">
        <v>102</v>
      </c>
      <c r="C48" s="22" t="s">
        <v>103</v>
      </c>
      <c r="D48" s="23">
        <v>818.2</v>
      </c>
      <c r="E48" s="23">
        <v>856.1</v>
      </c>
      <c r="F48" s="23">
        <v>845</v>
      </c>
      <c r="G48" s="23">
        <v>883.4</v>
      </c>
      <c r="H48" s="23">
        <v>1001.5</v>
      </c>
      <c r="I48" s="23">
        <v>1096.0999999999999</v>
      </c>
      <c r="J48" s="23">
        <v>1300.5999999999999</v>
      </c>
      <c r="K48" s="23">
        <v>1339.5</v>
      </c>
      <c r="L48" s="23">
        <v>1244.0999999999999</v>
      </c>
      <c r="M48" s="23">
        <v>842.8</v>
      </c>
      <c r="N48" s="23">
        <v>733.4</v>
      </c>
      <c r="O48" s="23">
        <v>732.2</v>
      </c>
      <c r="P48" s="23">
        <v>752.8</v>
      </c>
      <c r="Q48" s="23">
        <v>861.4</v>
      </c>
      <c r="R48" s="23">
        <v>989.2</v>
      </c>
      <c r="S48" s="23">
        <v>1093.4000000000001</v>
      </c>
      <c r="T48" s="23">
        <v>1162.0999999999999</v>
      </c>
      <c r="U48" s="23">
        <v>1359</v>
      </c>
      <c r="V48" s="23">
        <v>1382.7</v>
      </c>
      <c r="W48" s="23">
        <v>1506.8</v>
      </c>
      <c r="X48" s="23">
        <v>1355.4</v>
      </c>
      <c r="Y48" s="23">
        <v>1265.3</v>
      </c>
      <c r="Z48" s="23">
        <v>1422.2</v>
      </c>
      <c r="AA48" s="23">
        <v>1733.2</v>
      </c>
    </row>
    <row r="49" spans="1:27" ht="12.75" customHeight="1" x14ac:dyDescent="0.2">
      <c r="A49" s="152"/>
      <c r="B49" s="21" t="s">
        <v>104</v>
      </c>
      <c r="C49" s="22" t="s">
        <v>105</v>
      </c>
      <c r="D49" s="23">
        <v>3667.8</v>
      </c>
      <c r="E49" s="23">
        <v>4753.1000000000004</v>
      </c>
      <c r="F49" s="23">
        <v>4494.8999999999996</v>
      </c>
      <c r="G49" s="23">
        <v>4086</v>
      </c>
      <c r="H49" s="23">
        <v>4540</v>
      </c>
      <c r="I49" s="23">
        <v>4687.1000000000004</v>
      </c>
      <c r="J49" s="23">
        <v>4823.1000000000004</v>
      </c>
      <c r="K49" s="23">
        <v>3857.1</v>
      </c>
      <c r="L49" s="23">
        <v>3118.7</v>
      </c>
      <c r="M49" s="23">
        <v>3455.8</v>
      </c>
      <c r="N49" s="23">
        <v>3165.8</v>
      </c>
      <c r="O49" s="23">
        <v>2827.9</v>
      </c>
      <c r="P49" s="23">
        <v>2895.9</v>
      </c>
      <c r="Q49" s="23">
        <v>2740.5</v>
      </c>
      <c r="R49" s="23">
        <v>2766.7</v>
      </c>
      <c r="S49" s="23">
        <v>3345.0926382221514</v>
      </c>
      <c r="T49" s="23">
        <v>3666.2931079334544</v>
      </c>
      <c r="U49" s="23">
        <v>3994.7488937191388</v>
      </c>
      <c r="V49" s="23">
        <v>4493.3070376508003</v>
      </c>
      <c r="W49" s="23">
        <v>4775.8353005031959</v>
      </c>
      <c r="X49" s="23">
        <v>6719.1833549910534</v>
      </c>
      <c r="Y49" s="23">
        <v>8193.784200234184</v>
      </c>
      <c r="Z49" s="23">
        <v>10384.55794901015</v>
      </c>
      <c r="AA49" s="23">
        <v>11262.525275605916</v>
      </c>
    </row>
    <row r="50" spans="1:27" ht="12.75" customHeight="1" x14ac:dyDescent="0.2">
      <c r="A50" s="152"/>
      <c r="B50" s="21" t="s">
        <v>106</v>
      </c>
      <c r="C50" s="22" t="s">
        <v>107</v>
      </c>
      <c r="D50" s="23">
        <v>566.79999999999995</v>
      </c>
      <c r="E50" s="23">
        <v>589.79999999999995</v>
      </c>
      <c r="F50" s="23">
        <v>522.1</v>
      </c>
      <c r="G50" s="23">
        <v>352.1</v>
      </c>
      <c r="H50" s="23">
        <v>151</v>
      </c>
      <c r="I50" s="23">
        <v>249.9</v>
      </c>
      <c r="J50" s="23">
        <v>309.8</v>
      </c>
      <c r="K50" s="23">
        <v>310.39999999999998</v>
      </c>
      <c r="L50" s="23">
        <v>361.8</v>
      </c>
      <c r="M50" s="23">
        <v>304.7</v>
      </c>
      <c r="N50" s="23">
        <v>125.8</v>
      </c>
      <c r="O50" s="23">
        <v>238.8</v>
      </c>
      <c r="P50" s="23">
        <v>268.2</v>
      </c>
      <c r="Q50" s="23">
        <v>298.7</v>
      </c>
      <c r="R50" s="23">
        <v>345.4</v>
      </c>
      <c r="S50" s="23">
        <v>365.7</v>
      </c>
      <c r="T50" s="23">
        <v>369.5</v>
      </c>
      <c r="U50" s="23">
        <v>400.5</v>
      </c>
      <c r="V50" s="23">
        <v>445.2</v>
      </c>
      <c r="W50" s="23">
        <v>428.4</v>
      </c>
      <c r="X50" s="23">
        <v>466.8</v>
      </c>
      <c r="Y50" s="23">
        <v>461.1</v>
      </c>
      <c r="Z50" s="23">
        <v>426.8</v>
      </c>
      <c r="AA50" s="23">
        <v>447</v>
      </c>
    </row>
    <row r="51" spans="1:27" ht="12.75" customHeight="1" x14ac:dyDescent="0.2">
      <c r="A51" s="152"/>
      <c r="B51" s="21" t="s">
        <v>108</v>
      </c>
      <c r="C51" s="22" t="s">
        <v>109</v>
      </c>
      <c r="D51" s="23">
        <v>540.6</v>
      </c>
      <c r="E51" s="23">
        <v>611.29999999999995</v>
      </c>
      <c r="F51" s="23">
        <v>991.7</v>
      </c>
      <c r="G51" s="23">
        <v>1012.9</v>
      </c>
      <c r="H51" s="23">
        <v>1196.8</v>
      </c>
      <c r="I51" s="23">
        <v>1275</v>
      </c>
      <c r="J51" s="23">
        <v>1299.8</v>
      </c>
      <c r="K51" s="23">
        <v>1521.9</v>
      </c>
      <c r="L51" s="23">
        <v>1401</v>
      </c>
      <c r="M51" s="23">
        <v>962.5</v>
      </c>
      <c r="N51" s="23">
        <v>672.3</v>
      </c>
      <c r="O51" s="23">
        <v>821</v>
      </c>
      <c r="P51" s="23">
        <v>907.1</v>
      </c>
      <c r="Q51" s="23">
        <v>963.1</v>
      </c>
      <c r="R51" s="23">
        <v>1031.3</v>
      </c>
      <c r="S51" s="23">
        <v>1151</v>
      </c>
      <c r="T51" s="23">
        <v>1252.2</v>
      </c>
      <c r="U51" s="23">
        <v>1242.2</v>
      </c>
      <c r="V51" s="23">
        <v>1274.7</v>
      </c>
      <c r="W51" s="23">
        <v>1351.6</v>
      </c>
      <c r="X51" s="23">
        <v>1841.4</v>
      </c>
      <c r="Y51" s="23">
        <v>1478.6</v>
      </c>
      <c r="Z51" s="23">
        <v>1834</v>
      </c>
      <c r="AA51" s="23">
        <v>1824.2</v>
      </c>
    </row>
    <row r="52" spans="1:27" ht="12.75" customHeight="1" x14ac:dyDescent="0.2">
      <c r="A52" s="152"/>
      <c r="B52" s="21" t="s">
        <v>110</v>
      </c>
      <c r="C52" s="22" t="s">
        <v>111</v>
      </c>
      <c r="D52" s="23">
        <v>349.8</v>
      </c>
      <c r="E52" s="23">
        <v>360.1</v>
      </c>
      <c r="F52" s="23">
        <v>348.7</v>
      </c>
      <c r="G52" s="23">
        <v>575</v>
      </c>
      <c r="H52" s="23">
        <v>410.4</v>
      </c>
      <c r="I52" s="23">
        <v>469.2</v>
      </c>
      <c r="J52" s="23">
        <v>428</v>
      </c>
      <c r="K52" s="23">
        <v>454.2</v>
      </c>
      <c r="L52" s="23">
        <v>428.9</v>
      </c>
      <c r="M52" s="23">
        <v>242.3</v>
      </c>
      <c r="N52" s="23">
        <v>209.2</v>
      </c>
      <c r="O52" s="23">
        <v>222.8</v>
      </c>
      <c r="P52" s="23">
        <v>223.6</v>
      </c>
      <c r="Q52" s="23">
        <v>251.2</v>
      </c>
      <c r="R52" s="23">
        <v>280.89999999999998</v>
      </c>
      <c r="S52" s="23">
        <v>336.8</v>
      </c>
      <c r="T52" s="23">
        <v>354.6</v>
      </c>
      <c r="U52" s="23">
        <v>364.6</v>
      </c>
      <c r="V52" s="23">
        <v>406.1</v>
      </c>
      <c r="W52" s="23">
        <v>384.9</v>
      </c>
      <c r="X52" s="23">
        <v>328.5</v>
      </c>
      <c r="Y52" s="23">
        <v>393.4</v>
      </c>
      <c r="Z52" s="23">
        <v>483.2</v>
      </c>
      <c r="AA52" s="23">
        <v>520.20000000000005</v>
      </c>
    </row>
    <row r="53" spans="1:27" ht="12.75" customHeight="1" x14ac:dyDescent="0.2">
      <c r="A53" s="152"/>
      <c r="B53" s="21" t="s">
        <v>112</v>
      </c>
      <c r="C53" s="22" t="s">
        <v>113</v>
      </c>
      <c r="D53" s="23">
        <v>2271.2000000000007</v>
      </c>
      <c r="E53" s="23">
        <v>2769.1999999999971</v>
      </c>
      <c r="F53" s="23">
        <v>2883.6000000000058</v>
      </c>
      <c r="G53" s="23">
        <v>3144.1000000000022</v>
      </c>
      <c r="H53" s="23">
        <v>3285</v>
      </c>
      <c r="I53" s="23">
        <v>3290.7999999999993</v>
      </c>
      <c r="J53" s="23">
        <v>3757.6999999999971</v>
      </c>
      <c r="K53" s="23">
        <v>3742</v>
      </c>
      <c r="L53" s="23">
        <v>3891.5999999999985</v>
      </c>
      <c r="M53" s="23">
        <v>4055.4000000000015</v>
      </c>
      <c r="N53" s="23">
        <v>3178.5</v>
      </c>
      <c r="O53" s="23">
        <v>4475.7999999999993</v>
      </c>
      <c r="P53" s="23">
        <v>3836.4000000000015</v>
      </c>
      <c r="Q53" s="23">
        <v>4341.7000000000007</v>
      </c>
      <c r="R53" s="23">
        <v>5254.9000000000015</v>
      </c>
      <c r="S53" s="23">
        <v>7478.9623931818733</v>
      </c>
      <c r="T53" s="23">
        <v>5062.0013612050298</v>
      </c>
      <c r="U53" s="23">
        <v>7628.3141596442838</v>
      </c>
      <c r="V53" s="23">
        <v>6276.9583945146569</v>
      </c>
      <c r="W53" s="23">
        <v>9945.2139837315608</v>
      </c>
      <c r="X53" s="23">
        <v>9127.3928953023787</v>
      </c>
      <c r="Y53" s="23">
        <v>11323.349778460997</v>
      </c>
      <c r="Z53" s="23">
        <v>12988.289598066385</v>
      </c>
      <c r="AA53" s="23">
        <v>12017.664795889197</v>
      </c>
    </row>
    <row r="54" spans="1:27" ht="12.75" customHeight="1" x14ac:dyDescent="0.2">
      <c r="A54" s="153"/>
      <c r="B54" s="28" t="s">
        <v>52</v>
      </c>
      <c r="C54" s="31" t="s">
        <v>58</v>
      </c>
      <c r="D54" s="30">
        <f>SUM(D41:D53)</f>
        <v>25083.200000000001</v>
      </c>
      <c r="E54" s="30">
        <f t="shared" ref="E54:Y54" si="4">SUM(E41:E53)</f>
        <v>30827.4</v>
      </c>
      <c r="F54" s="30">
        <f t="shared" si="4"/>
        <v>36372.800000000003</v>
      </c>
      <c r="G54" s="30">
        <f t="shared" si="4"/>
        <v>34004.699999999997</v>
      </c>
      <c r="H54" s="30">
        <f t="shared" si="4"/>
        <v>33013.599999999999</v>
      </c>
      <c r="I54" s="30">
        <f t="shared" si="4"/>
        <v>33366.6</v>
      </c>
      <c r="J54" s="30">
        <f t="shared" si="4"/>
        <v>34344.6</v>
      </c>
      <c r="K54" s="30">
        <f t="shared" si="4"/>
        <v>35418.800000000003</v>
      </c>
      <c r="L54" s="30">
        <f t="shared" si="4"/>
        <v>32885.1</v>
      </c>
      <c r="M54" s="30">
        <f t="shared" si="4"/>
        <v>34562.800000000003</v>
      </c>
      <c r="N54" s="30">
        <f t="shared" si="4"/>
        <v>32629.4</v>
      </c>
      <c r="O54" s="30">
        <f t="shared" si="4"/>
        <v>35658.6</v>
      </c>
      <c r="P54" s="30">
        <f t="shared" si="4"/>
        <v>34627.5</v>
      </c>
      <c r="Q54" s="30">
        <f t="shared" si="4"/>
        <v>34891.9</v>
      </c>
      <c r="R54" s="30">
        <f t="shared" si="4"/>
        <v>39289.199999999997</v>
      </c>
      <c r="S54" s="30">
        <f t="shared" si="4"/>
        <v>95003.1</v>
      </c>
      <c r="T54" s="30">
        <f t="shared" si="4"/>
        <v>90028.1</v>
      </c>
      <c r="U54" s="30">
        <f t="shared" si="4"/>
        <v>99168.5</v>
      </c>
      <c r="V54" s="30">
        <f t="shared" si="4"/>
        <v>109857.40000000001</v>
      </c>
      <c r="W54" s="30">
        <f t="shared" si="4"/>
        <v>116147.3</v>
      </c>
      <c r="X54" s="30">
        <f t="shared" si="4"/>
        <v>128318.89999999997</v>
      </c>
      <c r="Y54" s="30">
        <f t="shared" si="4"/>
        <v>153880.80000000002</v>
      </c>
      <c r="Z54" s="30">
        <f t="shared" ref="Z54:AA54" si="5">SUM(Z41:Z53)</f>
        <v>193176.3</v>
      </c>
      <c r="AA54" s="30">
        <f t="shared" si="5"/>
        <v>156393.10000000003</v>
      </c>
    </row>
    <row r="55" spans="1:27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2.75" customHeight="1" x14ac:dyDescent="0.2">
      <c r="A56" s="151" t="s">
        <v>114</v>
      </c>
      <c r="B56" s="17" t="s">
        <v>88</v>
      </c>
      <c r="C56" s="18" t="s">
        <v>89</v>
      </c>
      <c r="D56" s="19">
        <v>3602.3</v>
      </c>
      <c r="E56" s="19">
        <v>4543</v>
      </c>
      <c r="F56" s="19">
        <v>5027.3</v>
      </c>
      <c r="G56" s="19">
        <v>5918.2</v>
      </c>
      <c r="H56" s="19">
        <v>5806.5</v>
      </c>
      <c r="I56" s="19">
        <v>5732.3</v>
      </c>
      <c r="J56" s="19">
        <v>6128.9</v>
      </c>
      <c r="K56" s="19">
        <v>6344.8</v>
      </c>
      <c r="L56" s="19">
        <v>6143</v>
      </c>
      <c r="M56" s="19">
        <v>5934.9</v>
      </c>
      <c r="N56" s="19">
        <v>6499.1</v>
      </c>
      <c r="O56" s="19">
        <v>6433.8</v>
      </c>
      <c r="P56" s="19">
        <v>6669.9</v>
      </c>
      <c r="Q56" s="19">
        <v>7592.5</v>
      </c>
      <c r="R56" s="19">
        <v>8493.1</v>
      </c>
      <c r="S56" s="19">
        <v>8901.5</v>
      </c>
      <c r="T56" s="19">
        <v>8993.2000000000007</v>
      </c>
      <c r="U56" s="19">
        <v>8643.4</v>
      </c>
      <c r="V56" s="19">
        <v>9053.2999999999993</v>
      </c>
      <c r="W56" s="19">
        <v>7739.3</v>
      </c>
      <c r="X56" s="19">
        <v>7762.7</v>
      </c>
      <c r="Y56" s="19">
        <v>8312.2000000000007</v>
      </c>
      <c r="Z56" s="19">
        <v>9912.4</v>
      </c>
      <c r="AA56" s="19">
        <v>11227.1</v>
      </c>
    </row>
    <row r="57" spans="1:27" ht="12.75" customHeight="1" x14ac:dyDescent="0.2">
      <c r="A57" s="152"/>
      <c r="B57" s="21" t="s">
        <v>90</v>
      </c>
      <c r="C57" s="22" t="s">
        <v>91</v>
      </c>
      <c r="D57" s="23">
        <v>343.9</v>
      </c>
      <c r="E57" s="23">
        <v>375.2</v>
      </c>
      <c r="F57" s="23">
        <v>322.89999999999998</v>
      </c>
      <c r="G57" s="23">
        <v>303.10000000000002</v>
      </c>
      <c r="H57" s="23">
        <v>267.39999999999998</v>
      </c>
      <c r="I57" s="23">
        <v>261.39999999999998</v>
      </c>
      <c r="J57" s="23">
        <v>241.4</v>
      </c>
      <c r="K57" s="23">
        <v>262.39999999999998</v>
      </c>
      <c r="L57" s="23">
        <v>213.7</v>
      </c>
      <c r="M57" s="23">
        <v>186.4</v>
      </c>
      <c r="N57" s="23">
        <v>152.30000000000001</v>
      </c>
      <c r="O57" s="23">
        <v>135.5</v>
      </c>
      <c r="P57" s="23">
        <v>131.4</v>
      </c>
      <c r="Q57" s="23">
        <v>140.5</v>
      </c>
      <c r="R57" s="23">
        <v>151.80000000000001</v>
      </c>
      <c r="S57" s="23">
        <v>163.9</v>
      </c>
      <c r="T57" s="23">
        <v>159.30000000000001</v>
      </c>
      <c r="U57" s="23">
        <v>155.19999999999999</v>
      </c>
      <c r="V57" s="23">
        <v>157.5</v>
      </c>
      <c r="W57" s="23">
        <v>160.69999999999999</v>
      </c>
      <c r="X57" s="23">
        <v>151</v>
      </c>
      <c r="Y57" s="23">
        <v>179.2</v>
      </c>
      <c r="Z57" s="23">
        <v>194.7</v>
      </c>
      <c r="AA57" s="23">
        <v>207.3</v>
      </c>
    </row>
    <row r="58" spans="1:27" ht="12.75" customHeight="1" x14ac:dyDescent="0.2">
      <c r="A58" s="152"/>
      <c r="B58" s="21" t="s">
        <v>115</v>
      </c>
      <c r="C58" s="22" t="s">
        <v>116</v>
      </c>
      <c r="D58" s="23">
        <v>373.9</v>
      </c>
      <c r="E58" s="23">
        <v>319.2</v>
      </c>
      <c r="F58" s="23">
        <v>345.9</v>
      </c>
      <c r="G58" s="23">
        <v>388</v>
      </c>
      <c r="H58" s="23">
        <v>454.1</v>
      </c>
      <c r="I58" s="23">
        <v>463.6</v>
      </c>
      <c r="J58" s="23">
        <v>519.29999999999995</v>
      </c>
      <c r="K58" s="23">
        <v>551.9</v>
      </c>
      <c r="L58" s="23">
        <v>315.7</v>
      </c>
      <c r="M58" s="23">
        <v>202.1</v>
      </c>
      <c r="N58" s="23">
        <v>164.4</v>
      </c>
      <c r="O58" s="23">
        <v>134.4</v>
      </c>
      <c r="P58" s="23">
        <v>138.5</v>
      </c>
      <c r="Q58" s="23">
        <v>171.4</v>
      </c>
      <c r="R58" s="23">
        <v>189.5</v>
      </c>
      <c r="S58" s="23">
        <v>214.7</v>
      </c>
      <c r="T58" s="23">
        <v>229.9</v>
      </c>
      <c r="U58" s="23">
        <v>277.3</v>
      </c>
      <c r="V58" s="23">
        <v>321</v>
      </c>
      <c r="W58" s="23">
        <v>354.4</v>
      </c>
      <c r="X58" s="23">
        <v>333.7</v>
      </c>
      <c r="Y58" s="23">
        <v>485.9</v>
      </c>
      <c r="Z58" s="23">
        <v>551</v>
      </c>
      <c r="AA58" s="23">
        <v>622.20000000000005</v>
      </c>
    </row>
    <row r="59" spans="1:27" ht="12.75" customHeight="1" x14ac:dyDescent="0.2">
      <c r="A59" s="152"/>
      <c r="B59" s="21" t="s">
        <v>117</v>
      </c>
      <c r="C59" s="22" t="s">
        <v>118</v>
      </c>
      <c r="D59" s="23">
        <v>271.89999999999998</v>
      </c>
      <c r="E59" s="23">
        <v>273.60000000000002</v>
      </c>
      <c r="F59" s="23">
        <v>306</v>
      </c>
      <c r="G59" s="23">
        <v>323.8</v>
      </c>
      <c r="H59" s="23">
        <v>272</v>
      </c>
      <c r="I59" s="23">
        <v>242</v>
      </c>
      <c r="J59" s="23">
        <v>230.5</v>
      </c>
      <c r="K59" s="23">
        <v>230.7</v>
      </c>
      <c r="L59" s="23">
        <v>203.1</v>
      </c>
      <c r="M59" s="23">
        <v>169</v>
      </c>
      <c r="N59" s="23">
        <v>186.5</v>
      </c>
      <c r="O59" s="23">
        <v>158.1</v>
      </c>
      <c r="P59" s="23">
        <v>165.7</v>
      </c>
      <c r="Q59" s="23">
        <v>177.8</v>
      </c>
      <c r="R59" s="23">
        <v>203.4</v>
      </c>
      <c r="S59" s="23">
        <v>197.5</v>
      </c>
      <c r="T59" s="23">
        <v>190.2</v>
      </c>
      <c r="U59" s="23">
        <v>218.2</v>
      </c>
      <c r="V59" s="23">
        <v>230.3</v>
      </c>
      <c r="W59" s="23">
        <v>226.9</v>
      </c>
      <c r="X59" s="23">
        <v>245.5</v>
      </c>
      <c r="Y59" s="23">
        <v>253</v>
      </c>
      <c r="Z59" s="23">
        <v>263.5</v>
      </c>
      <c r="AA59" s="23">
        <v>284.3</v>
      </c>
    </row>
    <row r="60" spans="1:27" ht="12.75" customHeight="1" x14ac:dyDescent="0.2">
      <c r="A60" s="152"/>
      <c r="B60" s="21" t="s">
        <v>119</v>
      </c>
      <c r="C60" s="22" t="s">
        <v>7</v>
      </c>
      <c r="D60" s="23">
        <v>392.79999999999995</v>
      </c>
      <c r="E60" s="23">
        <v>660.40000000000009</v>
      </c>
      <c r="F60" s="23">
        <v>617.30000000000007</v>
      </c>
      <c r="G60" s="23">
        <v>654</v>
      </c>
      <c r="H60" s="23">
        <v>699.4</v>
      </c>
      <c r="I60" s="23">
        <v>829.9</v>
      </c>
      <c r="J60" s="23">
        <v>843.5</v>
      </c>
      <c r="K60" s="23">
        <v>495</v>
      </c>
      <c r="L60" s="23">
        <v>443.40000000000009</v>
      </c>
      <c r="M60" s="23">
        <v>457.69999999999993</v>
      </c>
      <c r="N60" s="23">
        <v>386.6</v>
      </c>
      <c r="O60" s="23">
        <v>359.29999999999995</v>
      </c>
      <c r="P60" s="23">
        <v>306.09999999999997</v>
      </c>
      <c r="Q60" s="23">
        <v>336.59999999999991</v>
      </c>
      <c r="R60" s="23">
        <v>390</v>
      </c>
      <c r="S60" s="23">
        <v>395.59999999999997</v>
      </c>
      <c r="T60" s="23">
        <v>336.9</v>
      </c>
      <c r="U60" s="23">
        <v>300.5</v>
      </c>
      <c r="V60" s="23">
        <v>302.70000000000005</v>
      </c>
      <c r="W60" s="23">
        <v>307.80000000000007</v>
      </c>
      <c r="X60" s="23">
        <v>268</v>
      </c>
      <c r="Y60" s="23">
        <v>230.20000000000005</v>
      </c>
      <c r="Z60" s="23">
        <v>170.70000000000005</v>
      </c>
      <c r="AA60" s="23">
        <v>288.20000000000005</v>
      </c>
    </row>
    <row r="61" spans="1:27" ht="12.75" customHeight="1" x14ac:dyDescent="0.2">
      <c r="A61" s="152"/>
      <c r="B61" s="21" t="s">
        <v>94</v>
      </c>
      <c r="C61" s="22" t="s">
        <v>95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0</v>
      </c>
    </row>
    <row r="62" spans="1:27" ht="12.75" customHeight="1" x14ac:dyDescent="0.2">
      <c r="A62" s="152"/>
      <c r="B62" s="21" t="s">
        <v>96</v>
      </c>
      <c r="C62" s="22" t="s">
        <v>97</v>
      </c>
      <c r="D62" s="23">
        <v>1924.8000000000029</v>
      </c>
      <c r="E62" s="23">
        <v>790.90000000000509</v>
      </c>
      <c r="F62" s="23">
        <v>864.10000000000582</v>
      </c>
      <c r="G62" s="23">
        <v>704.49999999999272</v>
      </c>
      <c r="H62" s="23">
        <v>876.09999999999854</v>
      </c>
      <c r="I62" s="23">
        <v>748.59999999999854</v>
      </c>
      <c r="J62" s="23">
        <v>718.30000000000291</v>
      </c>
      <c r="K62" s="23">
        <v>1837.4000000000015</v>
      </c>
      <c r="L62" s="23">
        <v>1561.9000000000015</v>
      </c>
      <c r="M62" s="23">
        <v>1764.7000000000044</v>
      </c>
      <c r="N62" s="23">
        <v>1624.5999999999985</v>
      </c>
      <c r="O62" s="23">
        <v>2417.2999999999956</v>
      </c>
      <c r="P62" s="23">
        <v>3146.2000000000007</v>
      </c>
      <c r="Q62" s="23">
        <v>3622.7000000000007</v>
      </c>
      <c r="R62" s="23">
        <v>3704.7999999999956</v>
      </c>
      <c r="S62" s="23">
        <v>3800.1464487446424</v>
      </c>
      <c r="T62" s="23">
        <v>4451.2263868442033</v>
      </c>
      <c r="U62" s="23">
        <v>4753.0458907785469</v>
      </c>
      <c r="V62" s="23">
        <v>4849.8029343093231</v>
      </c>
      <c r="W62" s="23">
        <v>5280.5013151339126</v>
      </c>
      <c r="X62" s="23">
        <v>5529.1167929344665</v>
      </c>
      <c r="Y62" s="23">
        <v>6009.2226611747164</v>
      </c>
      <c r="Z62" s="23">
        <v>6858.3375737020897</v>
      </c>
      <c r="AA62" s="23">
        <v>7551.1227555817559</v>
      </c>
    </row>
    <row r="63" spans="1:27" ht="12.75" customHeight="1" x14ac:dyDescent="0.2">
      <c r="A63" s="152"/>
      <c r="B63" s="21" t="s">
        <v>98</v>
      </c>
      <c r="C63" s="22" t="s">
        <v>99</v>
      </c>
      <c r="D63" s="23">
        <v>8632.2000000000007</v>
      </c>
      <c r="E63" s="23">
        <v>12508.1</v>
      </c>
      <c r="F63" s="23">
        <v>17409.3</v>
      </c>
      <c r="G63" s="23">
        <v>14178.4</v>
      </c>
      <c r="H63" s="23">
        <v>12509.6</v>
      </c>
      <c r="I63" s="23">
        <v>12338.9</v>
      </c>
      <c r="J63" s="23">
        <v>11938.7</v>
      </c>
      <c r="K63" s="23">
        <v>12606.2</v>
      </c>
      <c r="L63" s="23">
        <v>12138.7</v>
      </c>
      <c r="M63" s="23">
        <v>15024.6</v>
      </c>
      <c r="N63" s="23">
        <v>14789</v>
      </c>
      <c r="O63" s="23">
        <v>15886.2</v>
      </c>
      <c r="P63" s="23">
        <v>14405.5</v>
      </c>
      <c r="Q63" s="23">
        <v>12472.7</v>
      </c>
      <c r="R63" s="23">
        <v>14337.4</v>
      </c>
      <c r="S63" s="23">
        <v>66388.598519851337</v>
      </c>
      <c r="T63" s="23">
        <v>62407.179144017318</v>
      </c>
      <c r="U63" s="23">
        <v>68337.591055858036</v>
      </c>
      <c r="V63" s="23">
        <v>79137.731633525225</v>
      </c>
      <c r="W63" s="23">
        <v>82013.949400631333</v>
      </c>
      <c r="X63" s="23">
        <v>92429.20695677209</v>
      </c>
      <c r="Y63" s="23">
        <v>113363.6433601301</v>
      </c>
      <c r="Z63" s="23">
        <v>145449.11487922136</v>
      </c>
      <c r="AA63" s="23">
        <v>105918.08717292314</v>
      </c>
    </row>
    <row r="64" spans="1:27" ht="12.75" customHeight="1" x14ac:dyDescent="0.2">
      <c r="A64" s="152"/>
      <c r="B64" s="21" t="s">
        <v>120</v>
      </c>
      <c r="C64" s="22" t="s">
        <v>121</v>
      </c>
      <c r="D64" s="23">
        <v>527.6</v>
      </c>
      <c r="E64" s="23">
        <v>607.70000000000005</v>
      </c>
      <c r="F64" s="23">
        <v>606.9</v>
      </c>
      <c r="G64" s="23">
        <v>640.79999999999995</v>
      </c>
      <c r="H64" s="23">
        <v>646.9</v>
      </c>
      <c r="I64" s="23">
        <v>667</v>
      </c>
      <c r="J64" s="23">
        <v>707.5</v>
      </c>
      <c r="K64" s="23">
        <v>675.7</v>
      </c>
      <c r="L64" s="23">
        <v>559</v>
      </c>
      <c r="M64" s="23">
        <v>423.5</v>
      </c>
      <c r="N64" s="23">
        <v>362.4</v>
      </c>
      <c r="O64" s="23">
        <v>380</v>
      </c>
      <c r="P64" s="23">
        <v>399.2</v>
      </c>
      <c r="Q64" s="23">
        <v>412.7</v>
      </c>
      <c r="R64" s="23">
        <v>481.1</v>
      </c>
      <c r="S64" s="23">
        <v>575.70000000000005</v>
      </c>
      <c r="T64" s="23">
        <v>576</v>
      </c>
      <c r="U64" s="23">
        <v>623.79999999999995</v>
      </c>
      <c r="V64" s="23">
        <v>642.5</v>
      </c>
      <c r="W64" s="23">
        <v>660.1</v>
      </c>
      <c r="X64" s="23">
        <v>729.9</v>
      </c>
      <c r="Y64" s="23">
        <v>858.8</v>
      </c>
      <c r="Z64" s="23">
        <v>955.4</v>
      </c>
      <c r="AA64" s="23">
        <v>1032.2</v>
      </c>
    </row>
    <row r="65" spans="1:27" ht="12.75" customHeight="1" x14ac:dyDescent="0.2">
      <c r="A65" s="152"/>
      <c r="B65" s="21" t="s">
        <v>122</v>
      </c>
      <c r="C65" s="22" t="s">
        <v>123</v>
      </c>
      <c r="D65" s="23">
        <v>799.4</v>
      </c>
      <c r="E65" s="23">
        <v>809.7</v>
      </c>
      <c r="F65" s="23">
        <v>787.1</v>
      </c>
      <c r="G65" s="23">
        <v>840.40000000000009</v>
      </c>
      <c r="H65" s="23">
        <v>896.9</v>
      </c>
      <c r="I65" s="23">
        <v>1014.8</v>
      </c>
      <c r="J65" s="23">
        <v>1097.5</v>
      </c>
      <c r="K65" s="23">
        <v>1189.5999999999999</v>
      </c>
      <c r="L65" s="23">
        <v>860.5</v>
      </c>
      <c r="M65" s="23">
        <v>536.4</v>
      </c>
      <c r="N65" s="23">
        <v>379.5</v>
      </c>
      <c r="O65" s="23">
        <v>435.5</v>
      </c>
      <c r="P65" s="23">
        <v>381.00000000000006</v>
      </c>
      <c r="Q65" s="23">
        <v>508.40000000000003</v>
      </c>
      <c r="R65" s="23">
        <v>669.69999999999993</v>
      </c>
      <c r="S65" s="23">
        <v>594.5</v>
      </c>
      <c r="T65" s="23">
        <v>817.5</v>
      </c>
      <c r="U65" s="23">
        <v>870.10000000000014</v>
      </c>
      <c r="V65" s="23">
        <v>883.59999999999991</v>
      </c>
      <c r="W65" s="23">
        <v>1010.9</v>
      </c>
      <c r="X65" s="23">
        <v>1031.0999999999999</v>
      </c>
      <c r="Y65" s="23">
        <v>1073.1000000000001</v>
      </c>
      <c r="Z65" s="23">
        <v>1282.0999999999999</v>
      </c>
      <c r="AA65" s="23">
        <v>1457.8</v>
      </c>
    </row>
    <row r="66" spans="1:27" ht="12.75" customHeight="1" x14ac:dyDescent="0.2">
      <c r="A66" s="152"/>
      <c r="B66" s="21" t="s">
        <v>124</v>
      </c>
      <c r="C66" s="22" t="s">
        <v>125</v>
      </c>
      <c r="D66" s="23">
        <v>193.3</v>
      </c>
      <c r="E66" s="23">
        <v>230.8</v>
      </c>
      <c r="F66" s="23">
        <v>181.7</v>
      </c>
      <c r="G66" s="23">
        <v>206.2</v>
      </c>
      <c r="H66" s="23">
        <v>251.7</v>
      </c>
      <c r="I66" s="23">
        <v>231.1</v>
      </c>
      <c r="J66" s="23">
        <v>343.4</v>
      </c>
      <c r="K66" s="23">
        <v>260.39999999999998</v>
      </c>
      <c r="L66" s="23">
        <v>228.8</v>
      </c>
      <c r="M66" s="23">
        <v>132.1</v>
      </c>
      <c r="N66" s="23">
        <v>183.1</v>
      </c>
      <c r="O66" s="23">
        <v>160</v>
      </c>
      <c r="P66" s="23">
        <v>151.4</v>
      </c>
      <c r="Q66" s="23">
        <v>188</v>
      </c>
      <c r="R66" s="23">
        <v>229.1</v>
      </c>
      <c r="S66" s="23">
        <v>269.8</v>
      </c>
      <c r="T66" s="23">
        <v>238</v>
      </c>
      <c r="U66" s="23">
        <v>304.60000000000002</v>
      </c>
      <c r="V66" s="23">
        <v>303.3</v>
      </c>
      <c r="W66" s="23">
        <v>379.8</v>
      </c>
      <c r="X66" s="23">
        <v>290.5</v>
      </c>
      <c r="Y66" s="23">
        <v>179.2</v>
      </c>
      <c r="Z66" s="23">
        <v>151.5</v>
      </c>
      <c r="AA66" s="23">
        <v>209.3</v>
      </c>
    </row>
    <row r="67" spans="1:27" ht="12.75" customHeight="1" x14ac:dyDescent="0.2">
      <c r="A67" s="152"/>
      <c r="B67" s="21" t="s">
        <v>126</v>
      </c>
      <c r="C67" s="22" t="s">
        <v>127</v>
      </c>
      <c r="D67" s="23">
        <v>624.90000000000009</v>
      </c>
      <c r="E67" s="23">
        <v>625.29999999999995</v>
      </c>
      <c r="F67" s="23">
        <v>663.3</v>
      </c>
      <c r="G67" s="23">
        <v>677.2</v>
      </c>
      <c r="H67" s="23">
        <v>749.8</v>
      </c>
      <c r="I67" s="23">
        <v>864.99999999999989</v>
      </c>
      <c r="J67" s="23">
        <v>957.19999999999993</v>
      </c>
      <c r="K67" s="23">
        <v>1079.0999999999999</v>
      </c>
      <c r="L67" s="23">
        <v>1015.3</v>
      </c>
      <c r="M67" s="23">
        <v>710.69999999999993</v>
      </c>
      <c r="N67" s="23">
        <v>550.29999999999995</v>
      </c>
      <c r="O67" s="23">
        <v>572.20000000000005</v>
      </c>
      <c r="P67" s="23">
        <v>601.4</v>
      </c>
      <c r="Q67" s="23">
        <v>673.4</v>
      </c>
      <c r="R67" s="23">
        <v>760.1</v>
      </c>
      <c r="S67" s="23">
        <v>823.60000000000014</v>
      </c>
      <c r="T67" s="23">
        <v>924.09999999999991</v>
      </c>
      <c r="U67" s="23">
        <v>1054.4000000000001</v>
      </c>
      <c r="V67" s="23">
        <v>1079.4000000000001</v>
      </c>
      <c r="W67" s="23">
        <v>1127</v>
      </c>
      <c r="X67" s="23">
        <v>1064.9000000000001</v>
      </c>
      <c r="Y67" s="23">
        <v>1086.0999999999999</v>
      </c>
      <c r="Z67" s="23">
        <v>1270.7</v>
      </c>
      <c r="AA67" s="23">
        <v>1523.9</v>
      </c>
    </row>
    <row r="68" spans="1:27" ht="12.75" customHeight="1" x14ac:dyDescent="0.2">
      <c r="A68" s="152"/>
      <c r="B68" s="21" t="s">
        <v>104</v>
      </c>
      <c r="C68" s="22" t="s">
        <v>105</v>
      </c>
      <c r="D68" s="23">
        <v>3667.8</v>
      </c>
      <c r="E68" s="23">
        <v>4753.1000000000004</v>
      </c>
      <c r="F68" s="23">
        <v>4494.8999999999996</v>
      </c>
      <c r="G68" s="23">
        <v>4086</v>
      </c>
      <c r="H68" s="23">
        <v>4540</v>
      </c>
      <c r="I68" s="23">
        <v>4687.1000000000004</v>
      </c>
      <c r="J68" s="23">
        <v>4823.1000000000004</v>
      </c>
      <c r="K68" s="23">
        <v>3857.1</v>
      </c>
      <c r="L68" s="23">
        <v>3118.7</v>
      </c>
      <c r="M68" s="23">
        <v>3455.8</v>
      </c>
      <c r="N68" s="23">
        <v>3165.8</v>
      </c>
      <c r="O68" s="23">
        <v>2827.9</v>
      </c>
      <c r="P68" s="23">
        <v>2895.9</v>
      </c>
      <c r="Q68" s="23">
        <v>2740.5</v>
      </c>
      <c r="R68" s="23">
        <v>2766.7</v>
      </c>
      <c r="S68" s="23">
        <v>3345.0926382221514</v>
      </c>
      <c r="T68" s="23">
        <v>3666.2931079334544</v>
      </c>
      <c r="U68" s="23">
        <v>3994.7488937191388</v>
      </c>
      <c r="V68" s="23">
        <v>4493.3070376508003</v>
      </c>
      <c r="W68" s="23">
        <v>4775.8353005031959</v>
      </c>
      <c r="X68" s="23">
        <v>6719.1833549910534</v>
      </c>
      <c r="Y68" s="23">
        <v>8193.784200234184</v>
      </c>
      <c r="Z68" s="23">
        <v>10384.55794901015</v>
      </c>
      <c r="AA68" s="23">
        <v>11262.525275605916</v>
      </c>
    </row>
    <row r="69" spans="1:27" ht="12.75" customHeight="1" x14ac:dyDescent="0.2">
      <c r="A69" s="152"/>
      <c r="B69" s="21" t="s">
        <v>106</v>
      </c>
      <c r="C69" s="22" t="s">
        <v>107</v>
      </c>
      <c r="D69" s="23">
        <v>566.79999999999995</v>
      </c>
      <c r="E69" s="23">
        <v>589.79999999999995</v>
      </c>
      <c r="F69" s="23">
        <v>522.1</v>
      </c>
      <c r="G69" s="23">
        <v>352.1</v>
      </c>
      <c r="H69" s="23">
        <v>151</v>
      </c>
      <c r="I69" s="23">
        <v>249.9</v>
      </c>
      <c r="J69" s="23">
        <v>309.8</v>
      </c>
      <c r="K69" s="23">
        <v>310.39999999999998</v>
      </c>
      <c r="L69" s="23">
        <v>361.8</v>
      </c>
      <c r="M69" s="23">
        <v>304.7</v>
      </c>
      <c r="N69" s="23">
        <v>125.8</v>
      </c>
      <c r="O69" s="23">
        <v>238.8</v>
      </c>
      <c r="P69" s="23">
        <v>268.2</v>
      </c>
      <c r="Q69" s="23">
        <v>298.7</v>
      </c>
      <c r="R69" s="23">
        <v>345.4</v>
      </c>
      <c r="S69" s="23">
        <v>365.7</v>
      </c>
      <c r="T69" s="23">
        <v>369.5</v>
      </c>
      <c r="U69" s="23">
        <v>400.5</v>
      </c>
      <c r="V69" s="23">
        <v>445.2</v>
      </c>
      <c r="W69" s="23">
        <v>428.4</v>
      </c>
      <c r="X69" s="23">
        <v>466.8</v>
      </c>
      <c r="Y69" s="23">
        <v>461.1</v>
      </c>
      <c r="Z69" s="23">
        <v>426.8</v>
      </c>
      <c r="AA69" s="23">
        <v>447</v>
      </c>
    </row>
    <row r="70" spans="1:27" ht="12.75" customHeight="1" x14ac:dyDescent="0.2">
      <c r="A70" s="152"/>
      <c r="B70" s="21" t="s">
        <v>108</v>
      </c>
      <c r="C70" s="22" t="s">
        <v>109</v>
      </c>
      <c r="D70" s="23">
        <v>540.6</v>
      </c>
      <c r="E70" s="23">
        <v>611.29999999999995</v>
      </c>
      <c r="F70" s="23">
        <v>991.7</v>
      </c>
      <c r="G70" s="23">
        <v>1012.9</v>
      </c>
      <c r="H70" s="23">
        <v>1196.8</v>
      </c>
      <c r="I70" s="23">
        <v>1275</v>
      </c>
      <c r="J70" s="23">
        <v>1299.8</v>
      </c>
      <c r="K70" s="23">
        <v>1521.9</v>
      </c>
      <c r="L70" s="23">
        <v>1401</v>
      </c>
      <c r="M70" s="23">
        <v>962.5</v>
      </c>
      <c r="N70" s="23">
        <v>672.3</v>
      </c>
      <c r="O70" s="23">
        <v>821</v>
      </c>
      <c r="P70" s="23">
        <v>907.1</v>
      </c>
      <c r="Q70" s="23">
        <v>963.1</v>
      </c>
      <c r="R70" s="23">
        <v>1031.3</v>
      </c>
      <c r="S70" s="23">
        <v>1151</v>
      </c>
      <c r="T70" s="23">
        <v>1252.2</v>
      </c>
      <c r="U70" s="23">
        <v>1242.2</v>
      </c>
      <c r="V70" s="23">
        <v>1274.7</v>
      </c>
      <c r="W70" s="23">
        <v>1351.6</v>
      </c>
      <c r="X70" s="23">
        <v>1841.4</v>
      </c>
      <c r="Y70" s="23">
        <v>1478.6</v>
      </c>
      <c r="Z70" s="23">
        <v>1834</v>
      </c>
      <c r="AA70" s="23">
        <v>1824.2</v>
      </c>
    </row>
    <row r="71" spans="1:27" ht="12.75" customHeight="1" x14ac:dyDescent="0.2">
      <c r="A71" s="152"/>
      <c r="B71" s="21" t="s">
        <v>128</v>
      </c>
      <c r="C71" s="22" t="s">
        <v>129</v>
      </c>
      <c r="D71" s="23">
        <v>161.5</v>
      </c>
      <c r="E71" s="23">
        <v>160.69999999999999</v>
      </c>
      <c r="F71" s="23">
        <v>184.8</v>
      </c>
      <c r="G71" s="23">
        <v>175.2</v>
      </c>
      <c r="H71" s="23">
        <v>196</v>
      </c>
      <c r="I71" s="23">
        <v>222.8</v>
      </c>
      <c r="J71" s="23">
        <v>218</v>
      </c>
      <c r="K71" s="23">
        <v>248.7</v>
      </c>
      <c r="L71" s="23">
        <v>190.2</v>
      </c>
      <c r="M71" s="23">
        <v>141.4</v>
      </c>
      <c r="N71" s="23">
        <v>147.80000000000001</v>
      </c>
      <c r="O71" s="23">
        <v>187.9</v>
      </c>
      <c r="P71" s="23">
        <v>181.9</v>
      </c>
      <c r="Q71" s="23">
        <v>197</v>
      </c>
      <c r="R71" s="23">
        <v>208.5</v>
      </c>
      <c r="S71" s="23">
        <v>252.0422328560895</v>
      </c>
      <c r="T71" s="23">
        <v>266.59559252798306</v>
      </c>
      <c r="U71" s="23">
        <v>274.03757701440708</v>
      </c>
      <c r="V71" s="23">
        <v>308.20516561558946</v>
      </c>
      <c r="W71" s="23">
        <v>289.77577312174492</v>
      </c>
      <c r="X71" s="23">
        <v>243.61966685396575</v>
      </c>
      <c r="Y71" s="23">
        <v>297.05798089614024</v>
      </c>
      <c r="Z71" s="23">
        <v>372.44577485129008</v>
      </c>
      <c r="AA71" s="23">
        <v>403.93437772236803</v>
      </c>
    </row>
    <row r="72" spans="1:27" ht="12.75" customHeight="1" x14ac:dyDescent="0.2">
      <c r="A72" s="152"/>
      <c r="B72" s="21" t="s">
        <v>130</v>
      </c>
      <c r="C72" s="22" t="s">
        <v>131</v>
      </c>
      <c r="D72" s="23">
        <v>188.3</v>
      </c>
      <c r="E72" s="23">
        <v>199.40000000000003</v>
      </c>
      <c r="F72" s="23">
        <v>163.89999999999998</v>
      </c>
      <c r="G72" s="23">
        <v>399.8</v>
      </c>
      <c r="H72" s="23">
        <v>214.39999999999998</v>
      </c>
      <c r="I72" s="23">
        <v>246.39999999999998</v>
      </c>
      <c r="J72" s="23">
        <v>210</v>
      </c>
      <c r="K72" s="23">
        <v>205.5</v>
      </c>
      <c r="L72" s="23">
        <v>238.7</v>
      </c>
      <c r="M72" s="23">
        <v>100.9</v>
      </c>
      <c r="N72" s="23">
        <v>61.399999999999977</v>
      </c>
      <c r="O72" s="23">
        <v>34.900000000000006</v>
      </c>
      <c r="P72" s="23">
        <v>41.699999999999989</v>
      </c>
      <c r="Q72" s="23">
        <v>54.199999999999989</v>
      </c>
      <c r="R72" s="23">
        <v>72.399999999999977</v>
      </c>
      <c r="S72" s="23">
        <v>84.757767143910513</v>
      </c>
      <c r="T72" s="23">
        <v>88.004407472016965</v>
      </c>
      <c r="U72" s="23">
        <v>90.562422985592946</v>
      </c>
      <c r="V72" s="23">
        <v>97.894834384410558</v>
      </c>
      <c r="W72" s="23">
        <v>95.124226878255058</v>
      </c>
      <c r="X72" s="23">
        <v>84.880333146034246</v>
      </c>
      <c r="Y72" s="23">
        <v>96.342019103859741</v>
      </c>
      <c r="Z72" s="23">
        <v>110.75422514870991</v>
      </c>
      <c r="AA72" s="23">
        <v>116.26562227763202</v>
      </c>
    </row>
    <row r="73" spans="1:27" ht="12.75" customHeight="1" x14ac:dyDescent="0.2">
      <c r="A73" s="152"/>
      <c r="B73" s="21" t="s">
        <v>132</v>
      </c>
      <c r="C73" s="22" t="s">
        <v>133</v>
      </c>
      <c r="D73" s="23">
        <v>2086.9</v>
      </c>
      <c r="E73" s="23">
        <v>2604.6999999999998</v>
      </c>
      <c r="F73" s="23">
        <v>2743</v>
      </c>
      <c r="G73" s="23">
        <v>3005.5</v>
      </c>
      <c r="H73" s="23">
        <v>3136.1</v>
      </c>
      <c r="I73" s="23">
        <v>3132.7</v>
      </c>
      <c r="J73" s="23">
        <v>3592.7</v>
      </c>
      <c r="K73" s="23">
        <v>3568.7</v>
      </c>
      <c r="L73" s="23">
        <v>3681.6</v>
      </c>
      <c r="M73" s="23">
        <v>3863.8</v>
      </c>
      <c r="N73" s="23">
        <v>2947.7</v>
      </c>
      <c r="O73" s="23">
        <v>4186.2</v>
      </c>
      <c r="P73" s="23">
        <v>3541.4</v>
      </c>
      <c r="Q73" s="23">
        <v>4014.9</v>
      </c>
      <c r="R73" s="23">
        <v>4888.5</v>
      </c>
      <c r="S73" s="23">
        <v>7043.3</v>
      </c>
      <c r="T73" s="23">
        <v>4605.2</v>
      </c>
      <c r="U73" s="23">
        <v>7158.5</v>
      </c>
      <c r="V73" s="23">
        <v>5759</v>
      </c>
      <c r="W73" s="23">
        <v>9449.7999999999993</v>
      </c>
      <c r="X73" s="23">
        <v>8698.5</v>
      </c>
      <c r="Y73" s="23">
        <v>10818.9</v>
      </c>
      <c r="Z73" s="23">
        <v>12381.3</v>
      </c>
      <c r="AA73" s="23">
        <v>11369</v>
      </c>
    </row>
    <row r="74" spans="1:27" ht="12.75" customHeight="1" x14ac:dyDescent="0.2">
      <c r="A74" s="152"/>
      <c r="B74" s="21" t="s">
        <v>134</v>
      </c>
      <c r="C74" s="22" t="s">
        <v>135</v>
      </c>
      <c r="D74" s="23">
        <v>184.30000000000064</v>
      </c>
      <c r="E74" s="23">
        <v>164.49999999999727</v>
      </c>
      <c r="F74" s="23">
        <v>140.60000000000582</v>
      </c>
      <c r="G74" s="23">
        <v>138.60000000000218</v>
      </c>
      <c r="H74" s="23">
        <v>148.90000000000009</v>
      </c>
      <c r="I74" s="23">
        <v>158.09999999999945</v>
      </c>
      <c r="J74" s="23">
        <v>164.99999999999727</v>
      </c>
      <c r="K74" s="23">
        <v>173.30000000000018</v>
      </c>
      <c r="L74" s="23">
        <v>209.99999999999864</v>
      </c>
      <c r="M74" s="23">
        <v>191.60000000000127</v>
      </c>
      <c r="N74" s="23">
        <v>230.80000000000018</v>
      </c>
      <c r="O74" s="23">
        <v>289.59999999999945</v>
      </c>
      <c r="P74" s="23">
        <v>295.00000000000136</v>
      </c>
      <c r="Q74" s="23">
        <v>326.80000000000064</v>
      </c>
      <c r="R74" s="23">
        <v>366.40000000000146</v>
      </c>
      <c r="S74" s="23">
        <v>435.66239318187309</v>
      </c>
      <c r="T74" s="23">
        <v>456.80136120502993</v>
      </c>
      <c r="U74" s="23">
        <v>469.81415964428379</v>
      </c>
      <c r="V74" s="23">
        <v>517.9583945146569</v>
      </c>
      <c r="W74" s="23">
        <v>495.41398373156153</v>
      </c>
      <c r="X74" s="23">
        <v>428.89289530237875</v>
      </c>
      <c r="Y74" s="23">
        <v>504.44977846099755</v>
      </c>
      <c r="Z74" s="23">
        <v>606.98959806638595</v>
      </c>
      <c r="AA74" s="23">
        <v>648.66479588919719</v>
      </c>
    </row>
    <row r="75" spans="1:27" ht="12.75" customHeight="1" x14ac:dyDescent="0.2">
      <c r="A75" s="153"/>
      <c r="B75" s="28" t="s">
        <v>52</v>
      </c>
      <c r="C75" s="31" t="s">
        <v>58</v>
      </c>
      <c r="D75" s="30">
        <f>SUM(D56:D74)</f>
        <v>25083.200000000001</v>
      </c>
      <c r="E75" s="30">
        <f t="shared" ref="E75:Y75" si="6">SUM(E56:E74)</f>
        <v>30827.400000000005</v>
      </c>
      <c r="F75" s="30">
        <f t="shared" si="6"/>
        <v>36372.80000000001</v>
      </c>
      <c r="G75" s="30">
        <f t="shared" si="6"/>
        <v>34004.699999999997</v>
      </c>
      <c r="H75" s="30">
        <f t="shared" si="6"/>
        <v>33013.600000000006</v>
      </c>
      <c r="I75" s="30">
        <f t="shared" si="6"/>
        <v>33366.6</v>
      </c>
      <c r="J75" s="30">
        <f t="shared" si="6"/>
        <v>34344.6</v>
      </c>
      <c r="K75" s="30">
        <f t="shared" si="6"/>
        <v>35418.800000000003</v>
      </c>
      <c r="L75" s="30">
        <f t="shared" si="6"/>
        <v>32885.1</v>
      </c>
      <c r="M75" s="30">
        <f t="shared" si="6"/>
        <v>34562.800000000003</v>
      </c>
      <c r="N75" s="30">
        <f t="shared" si="6"/>
        <v>32629.399999999998</v>
      </c>
      <c r="O75" s="30">
        <f t="shared" si="6"/>
        <v>35658.6</v>
      </c>
      <c r="P75" s="30">
        <f t="shared" si="6"/>
        <v>34627.500000000007</v>
      </c>
      <c r="Q75" s="30">
        <f t="shared" si="6"/>
        <v>34891.900000000009</v>
      </c>
      <c r="R75" s="30">
        <f t="shared" si="6"/>
        <v>39289.199999999997</v>
      </c>
      <c r="S75" s="30">
        <f t="shared" si="6"/>
        <v>95003.10000000002</v>
      </c>
      <c r="T75" s="30">
        <f t="shared" si="6"/>
        <v>90028.1</v>
      </c>
      <c r="U75" s="30">
        <f t="shared" si="6"/>
        <v>99168.5</v>
      </c>
      <c r="V75" s="30">
        <f t="shared" si="6"/>
        <v>109857.40000000001</v>
      </c>
      <c r="W75" s="30">
        <f t="shared" si="6"/>
        <v>116147.3</v>
      </c>
      <c r="X75" s="30">
        <f t="shared" si="6"/>
        <v>128318.89999999997</v>
      </c>
      <c r="Y75" s="30">
        <f t="shared" si="6"/>
        <v>153880.79999999999</v>
      </c>
      <c r="Z75" s="30">
        <f t="shared" ref="Z75:AA75" si="7">SUM(Z56:Z74)</f>
        <v>193176.29999999993</v>
      </c>
      <c r="AA75" s="30">
        <f t="shared" si="7"/>
        <v>156393.1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AA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42.7109375" style="10" customWidth="1" collapsed="1"/>
    <col min="4" max="27" width="8.7109375" style="10" customWidth="1"/>
    <col min="28" max="16384" width="9.140625" style="10"/>
  </cols>
  <sheetData>
    <row r="1" spans="1:27" ht="12.75" customHeight="1" x14ac:dyDescent="0.2">
      <c r="A1" s="13"/>
      <c r="B1" s="14" t="s">
        <v>279</v>
      </c>
      <c r="C1" s="15" t="s">
        <v>274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  <c r="Z1" s="32">
        <v>2022</v>
      </c>
      <c r="AA1" s="32">
        <v>2023</v>
      </c>
    </row>
    <row r="2" spans="1:27" ht="12.75" customHeight="1" x14ac:dyDescent="0.2">
      <c r="A2" s="16"/>
      <c r="B2" s="17" t="s">
        <v>24</v>
      </c>
      <c r="C2" s="18" t="s">
        <v>25</v>
      </c>
      <c r="D2" s="19">
        <v>171191.79759230831</v>
      </c>
      <c r="E2" s="19">
        <v>180275.26714048089</v>
      </c>
      <c r="F2" s="19">
        <v>190910.60391987732</v>
      </c>
      <c r="G2" s="19">
        <v>196664.84700185619</v>
      </c>
      <c r="H2" s="19">
        <v>210014.70178014314</v>
      </c>
      <c r="I2" s="19">
        <v>222069.92418236646</v>
      </c>
      <c r="J2" s="19">
        <v>233144.39514079431</v>
      </c>
      <c r="K2" s="19">
        <v>245526.89010526316</v>
      </c>
      <c r="L2" s="19">
        <v>234516.03838591091</v>
      </c>
      <c r="M2" s="19">
        <v>222566.78432233774</v>
      </c>
      <c r="N2" s="19">
        <v>226310.73797157011</v>
      </c>
      <c r="O2" s="19">
        <v>229953.2510020858</v>
      </c>
      <c r="P2" s="19">
        <v>229019.97138778534</v>
      </c>
      <c r="Q2" s="19">
        <v>234043.11344362545</v>
      </c>
      <c r="R2" s="19">
        <v>256011.28395416721</v>
      </c>
      <c r="S2" s="19">
        <v>319050.21090399998</v>
      </c>
      <c r="T2" s="19">
        <v>322952.74407287547</v>
      </c>
      <c r="U2" s="19">
        <v>355598.6932252096</v>
      </c>
      <c r="V2" s="19">
        <v>382937.87297779595</v>
      </c>
      <c r="W2" s="19">
        <v>401983.12450580962</v>
      </c>
      <c r="X2" s="19">
        <v>430736.89525827207</v>
      </c>
      <c r="Y2" s="19">
        <v>500767.1851333708</v>
      </c>
      <c r="Z2" s="19">
        <v>538380.15069353767</v>
      </c>
      <c r="AA2" s="19">
        <v>524728.80000000005</v>
      </c>
    </row>
    <row r="3" spans="1:27" ht="12.75" customHeight="1" x14ac:dyDescent="0.2">
      <c r="A3" s="20"/>
      <c r="B3" s="21" t="s">
        <v>26</v>
      </c>
      <c r="C3" s="22" t="s">
        <v>27</v>
      </c>
      <c r="D3" s="23">
        <v>78792.876690610312</v>
      </c>
      <c r="E3" s="23">
        <v>82522.912120604917</v>
      </c>
      <c r="F3" s="23">
        <v>85523.98495356871</v>
      </c>
      <c r="G3" s="23">
        <v>87911.391990372489</v>
      </c>
      <c r="H3" s="23">
        <v>91267.445286680959</v>
      </c>
      <c r="I3" s="23">
        <v>97677.279840596661</v>
      </c>
      <c r="J3" s="23">
        <v>103916.60227279676</v>
      </c>
      <c r="K3" s="23">
        <v>110852.74315603082</v>
      </c>
      <c r="L3" s="23">
        <v>111064.01669134408</v>
      </c>
      <c r="M3" s="23">
        <v>105150.75131539158</v>
      </c>
      <c r="N3" s="23">
        <v>105468.31092662251</v>
      </c>
      <c r="O3" s="23">
        <v>103861.33194868728</v>
      </c>
      <c r="P3" s="23">
        <v>102761.76635041178</v>
      </c>
      <c r="Q3" s="23">
        <v>102700.84152167501</v>
      </c>
      <c r="R3" s="23">
        <v>105263.46328482997</v>
      </c>
      <c r="S3" s="23">
        <v>108616.69004500001</v>
      </c>
      <c r="T3" s="23">
        <v>113270.06370647534</v>
      </c>
      <c r="U3" s="23">
        <v>117131.75966129765</v>
      </c>
      <c r="V3" s="23">
        <v>123546.92805929293</v>
      </c>
      <c r="W3" s="23">
        <v>126949.47641548174</v>
      </c>
      <c r="X3" s="23">
        <v>114014.68415927682</v>
      </c>
      <c r="Y3" s="23">
        <v>124244.01289630382</v>
      </c>
      <c r="Z3" s="23">
        <v>137669.30050023759</v>
      </c>
      <c r="AA3" s="23">
        <v>143697.4</v>
      </c>
    </row>
    <row r="4" spans="1:27" ht="12.75" customHeight="1" x14ac:dyDescent="0.2">
      <c r="A4" s="24"/>
      <c r="B4" s="25" t="s">
        <v>28</v>
      </c>
      <c r="C4" s="26" t="s">
        <v>29</v>
      </c>
      <c r="D4" s="27">
        <v>168502.75849056605</v>
      </c>
      <c r="E4" s="27">
        <v>174921.06847123711</v>
      </c>
      <c r="F4" s="27">
        <v>185580.01742156621</v>
      </c>
      <c r="G4" s="27">
        <v>187986.16938318592</v>
      </c>
      <c r="H4" s="27">
        <v>197758.90739075973</v>
      </c>
      <c r="I4" s="27">
        <v>209807.00663082011</v>
      </c>
      <c r="J4" s="27">
        <v>219438.29691395001</v>
      </c>
      <c r="K4" s="27">
        <v>236596.11493673516</v>
      </c>
      <c r="L4" s="27">
        <v>231286.01423802393</v>
      </c>
      <c r="M4" s="27">
        <v>216542.11186475633</v>
      </c>
      <c r="N4" s="27">
        <v>220437.22368278046</v>
      </c>
      <c r="O4" s="27">
        <v>225737.44187643018</v>
      </c>
      <c r="P4" s="27">
        <v>219440.52134041663</v>
      </c>
      <c r="Q4" s="27">
        <v>224228.22563121738</v>
      </c>
      <c r="R4" s="27">
        <v>243584.62935501162</v>
      </c>
      <c r="S4" s="27">
        <v>298392.00392700004</v>
      </c>
      <c r="T4" s="27">
        <v>301321.42217142513</v>
      </c>
      <c r="U4" s="27">
        <v>324583.93435652182</v>
      </c>
      <c r="V4" s="27">
        <v>354921.99186840234</v>
      </c>
      <c r="W4" s="27">
        <v>373646.81276771775</v>
      </c>
      <c r="X4" s="27">
        <v>402397.23612512811</v>
      </c>
      <c r="Y4" s="27">
        <v>468705.51432384347</v>
      </c>
      <c r="Z4" s="27">
        <v>509871.44088767865</v>
      </c>
      <c r="AA4" s="27">
        <v>499273.9</v>
      </c>
    </row>
    <row r="5" spans="1:27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2.75" customHeight="1" x14ac:dyDescent="0.2">
      <c r="A6" s="151" t="s">
        <v>31</v>
      </c>
      <c r="B6" s="17" t="s">
        <v>32</v>
      </c>
      <c r="C6" s="18" t="s">
        <v>33</v>
      </c>
      <c r="D6" s="19">
        <v>4734.6094339622641</v>
      </c>
      <c r="E6" s="19">
        <v>3913.201790393613</v>
      </c>
      <c r="F6" s="19">
        <v>3631.4439176855294</v>
      </c>
      <c r="G6" s="19">
        <v>3139.9793462442626</v>
      </c>
      <c r="H6" s="19">
        <v>3539.4776692948194</v>
      </c>
      <c r="I6" s="19">
        <v>2469.874427572332</v>
      </c>
      <c r="J6" s="19">
        <v>2299.1485013247325</v>
      </c>
      <c r="K6" s="19">
        <v>2778.4848602636712</v>
      </c>
      <c r="L6" s="19">
        <v>2200.4203225083461</v>
      </c>
      <c r="M6" s="19">
        <v>1344.4337769474334</v>
      </c>
      <c r="N6" s="19">
        <v>2312.5664846972804</v>
      </c>
      <c r="O6" s="19">
        <v>2974.7708237986271</v>
      </c>
      <c r="P6" s="19">
        <v>2367.5576717858303</v>
      </c>
      <c r="Q6" s="19">
        <v>2595.2101504057218</v>
      </c>
      <c r="R6" s="19">
        <v>3195.013678086475</v>
      </c>
      <c r="S6" s="19">
        <v>2771.4456630000004</v>
      </c>
      <c r="T6" s="19">
        <v>2994.8570956963645</v>
      </c>
      <c r="U6" s="19">
        <v>3909.2094695652177</v>
      </c>
      <c r="V6" s="19">
        <v>3504.0678427903936</v>
      </c>
      <c r="W6" s="19">
        <v>3779.2810273667001</v>
      </c>
      <c r="X6" s="19">
        <v>4321.1132692436595</v>
      </c>
      <c r="Y6" s="19">
        <v>5137.9310498220639</v>
      </c>
      <c r="Z6" s="19">
        <v>6265.5419418954898</v>
      </c>
      <c r="AA6" s="19">
        <v>4444</v>
      </c>
    </row>
    <row r="7" spans="1:27" ht="12.75" customHeight="1" x14ac:dyDescent="0.2">
      <c r="A7" s="152"/>
      <c r="B7" s="21" t="s">
        <v>34</v>
      </c>
      <c r="C7" s="22" t="s">
        <v>35</v>
      </c>
      <c r="D7" s="23">
        <v>47466.99874213837</v>
      </c>
      <c r="E7" s="23">
        <v>53901.006988708868</v>
      </c>
      <c r="F7" s="23">
        <v>60119.785055222135</v>
      </c>
      <c r="G7" s="23">
        <v>53965.525747229374</v>
      </c>
      <c r="H7" s="23">
        <v>51987.742097118855</v>
      </c>
      <c r="I7" s="23">
        <v>51255.577244203865</v>
      </c>
      <c r="J7" s="23">
        <v>51639.058904504091</v>
      </c>
      <c r="K7" s="23">
        <v>54268.367825465117</v>
      </c>
      <c r="L7" s="23">
        <v>51838.281503544771</v>
      </c>
      <c r="M7" s="23">
        <v>55788.031536231181</v>
      </c>
      <c r="N7" s="23">
        <v>53148.508583850016</v>
      </c>
      <c r="O7" s="23">
        <v>57050.479462242562</v>
      </c>
      <c r="P7" s="23">
        <v>53636.73364264836</v>
      </c>
      <c r="Q7" s="23">
        <v>52765.073903645265</v>
      </c>
      <c r="R7" s="23">
        <v>57845.199930766481</v>
      </c>
      <c r="S7" s="23">
        <v>116415.481392</v>
      </c>
      <c r="T7" s="23">
        <v>110862.69396570696</v>
      </c>
      <c r="U7" s="23">
        <v>117505.7581130435</v>
      </c>
      <c r="V7" s="23">
        <v>129374.63214855694</v>
      </c>
      <c r="W7" s="23">
        <v>131854.18971517813</v>
      </c>
      <c r="X7" s="23">
        <v>149472.71007593095</v>
      </c>
      <c r="Y7" s="23">
        <v>177979.46196619218</v>
      </c>
      <c r="Z7" s="23">
        <v>205172.1580782432</v>
      </c>
      <c r="AA7" s="23">
        <v>164863.5</v>
      </c>
    </row>
    <row r="8" spans="1:27" ht="12.75" customHeight="1" x14ac:dyDescent="0.2">
      <c r="A8" s="152"/>
      <c r="B8" s="21" t="s">
        <v>36</v>
      </c>
      <c r="C8" s="22" t="s">
        <v>37</v>
      </c>
      <c r="D8" s="23">
        <v>12074.761006289309</v>
      </c>
      <c r="E8" s="23">
        <v>12991.064761486645</v>
      </c>
      <c r="F8" s="23">
        <v>13343.709900587022</v>
      </c>
      <c r="G8" s="23">
        <v>14476.550867569686</v>
      </c>
      <c r="H8" s="23">
        <v>17191.728122467026</v>
      </c>
      <c r="I8" s="23">
        <v>20517.272968959573</v>
      </c>
      <c r="J8" s="23">
        <v>23438.249222439812</v>
      </c>
      <c r="K8" s="23">
        <v>21707.428218318553</v>
      </c>
      <c r="L8" s="23">
        <v>15271.912203177902</v>
      </c>
      <c r="M8" s="23">
        <v>5928.2734899125307</v>
      </c>
      <c r="N8" s="23">
        <v>3389.6899105797502</v>
      </c>
      <c r="O8" s="23">
        <v>2952.0942219679637</v>
      </c>
      <c r="P8" s="23">
        <v>4128.1398807590595</v>
      </c>
      <c r="Q8" s="23">
        <v>5057.0197892735478</v>
      </c>
      <c r="R8" s="23">
        <v>6270.9617741647317</v>
      </c>
      <c r="S8" s="23">
        <v>6222.7174680000007</v>
      </c>
      <c r="T8" s="23">
        <v>7253.8838108481223</v>
      </c>
      <c r="U8" s="23">
        <v>9057.0352782608716</v>
      </c>
      <c r="V8" s="23">
        <v>9738.8663670275146</v>
      </c>
      <c r="W8" s="23">
        <v>10304.852671599616</v>
      </c>
      <c r="X8" s="23">
        <v>9760.6785229372726</v>
      </c>
      <c r="Y8" s="23">
        <v>11233.693104982207</v>
      </c>
      <c r="Z8" s="23">
        <v>12560.118095930233</v>
      </c>
      <c r="AA8" s="23">
        <v>13563.7</v>
      </c>
    </row>
    <row r="9" spans="1:27" ht="12.75" customHeight="1" x14ac:dyDescent="0.2">
      <c r="A9" s="152"/>
      <c r="B9" s="21" t="s">
        <v>38</v>
      </c>
      <c r="C9" s="22" t="s">
        <v>39</v>
      </c>
      <c r="D9" s="23">
        <v>29312.174842767297</v>
      </c>
      <c r="E9" s="23">
        <v>26647.967004623471</v>
      </c>
      <c r="F9" s="23">
        <v>27766.389494005016</v>
      </c>
      <c r="G9" s="23">
        <v>29532.711754169934</v>
      </c>
      <c r="H9" s="23">
        <v>30670.148879964632</v>
      </c>
      <c r="I9" s="23">
        <v>33228.524788034112</v>
      </c>
      <c r="J9" s="23">
        <v>35215.412688630342</v>
      </c>
      <c r="K9" s="23">
        <v>39008.93275700989</v>
      </c>
      <c r="L9" s="23">
        <v>37669.06737404599</v>
      </c>
      <c r="M9" s="23">
        <v>35024.362025500741</v>
      </c>
      <c r="N9" s="23">
        <v>36021.62383222588</v>
      </c>
      <c r="O9" s="23">
        <v>38093.981292906174</v>
      </c>
      <c r="P9" s="23">
        <v>37454.979824154412</v>
      </c>
      <c r="Q9" s="23">
        <v>39480.053775987144</v>
      </c>
      <c r="R9" s="23">
        <v>39790.409094157585</v>
      </c>
      <c r="S9" s="23">
        <v>36913.903353000002</v>
      </c>
      <c r="T9" s="23">
        <v>39284.554438686704</v>
      </c>
      <c r="U9" s="23">
        <v>40230.860965217398</v>
      </c>
      <c r="V9" s="23">
        <v>41107.516907339399</v>
      </c>
      <c r="W9" s="23">
        <v>40912.802925373697</v>
      </c>
      <c r="X9" s="23">
        <v>36992.723655409485</v>
      </c>
      <c r="Y9" s="23">
        <v>40932.110097864766</v>
      </c>
      <c r="Z9" s="23">
        <v>47729.269519648362</v>
      </c>
      <c r="AA9" s="23">
        <v>51785.2</v>
      </c>
    </row>
    <row r="10" spans="1:27" ht="12.75" customHeight="1" x14ac:dyDescent="0.2">
      <c r="A10" s="152"/>
      <c r="B10" s="21" t="s">
        <v>40</v>
      </c>
      <c r="C10" s="22" t="s">
        <v>41</v>
      </c>
      <c r="D10" s="23">
        <v>13526.484905660378</v>
      </c>
      <c r="E10" s="23">
        <v>12609.27721466888</v>
      </c>
      <c r="F10" s="23">
        <v>11978.687061867178</v>
      </c>
      <c r="G10" s="23">
        <v>12298.021683644911</v>
      </c>
      <c r="H10" s="23">
        <v>13663.762353548005</v>
      </c>
      <c r="I10" s="23">
        <v>14366.01997748611</v>
      </c>
      <c r="J10" s="23">
        <v>13895.446698537035</v>
      </c>
      <c r="K10" s="23">
        <v>15382.553882974431</v>
      </c>
      <c r="L10" s="23">
        <v>17625.200922463522</v>
      </c>
      <c r="M10" s="23">
        <v>18127.254490531246</v>
      </c>
      <c r="N10" s="23">
        <v>20272.293546673915</v>
      </c>
      <c r="O10" s="23">
        <v>20413.648112128147</v>
      </c>
      <c r="P10" s="23">
        <v>21423.814633693688</v>
      </c>
      <c r="Q10" s="23">
        <v>22807.244116748341</v>
      </c>
      <c r="R10" s="23">
        <v>25482.913058334823</v>
      </c>
      <c r="S10" s="23">
        <v>27466.054110000001</v>
      </c>
      <c r="T10" s="23">
        <v>29754.813666193153</v>
      </c>
      <c r="U10" s="23">
        <v>36311.462713043482</v>
      </c>
      <c r="V10" s="23">
        <v>45159.510744707441</v>
      </c>
      <c r="W10" s="23">
        <v>55726.260094258956</v>
      </c>
      <c r="X10" s="23">
        <v>69056.135806275561</v>
      </c>
      <c r="Y10" s="23">
        <v>88262.8462633452</v>
      </c>
      <c r="Z10" s="23">
        <v>90073.769928551425</v>
      </c>
      <c r="AA10" s="23">
        <v>101202.1</v>
      </c>
    </row>
    <row r="11" spans="1:27" ht="12.75" customHeight="1" x14ac:dyDescent="0.2">
      <c r="A11" s="152"/>
      <c r="B11" s="21" t="s">
        <v>42</v>
      </c>
      <c r="C11" s="22" t="s">
        <v>43</v>
      </c>
      <c r="D11" s="23">
        <v>12544.615723270441</v>
      </c>
      <c r="E11" s="23">
        <v>13103.270112088245</v>
      </c>
      <c r="F11" s="23">
        <v>13643.919522765178</v>
      </c>
      <c r="G11" s="23">
        <v>16678.835755065487</v>
      </c>
      <c r="H11" s="23">
        <v>18461.922430182003</v>
      </c>
      <c r="I11" s="23">
        <v>20492.436713211344</v>
      </c>
      <c r="J11" s="23">
        <v>21419.711836193987</v>
      </c>
      <c r="K11" s="23">
        <v>23524.883561517439</v>
      </c>
      <c r="L11" s="23">
        <v>22696.810400717211</v>
      </c>
      <c r="M11" s="23">
        <v>22805.76463016657</v>
      </c>
      <c r="N11" s="23">
        <v>25295.251626608704</v>
      </c>
      <c r="O11" s="23">
        <v>22261.291990846679</v>
      </c>
      <c r="P11" s="23">
        <v>20413.185537976155</v>
      </c>
      <c r="Q11" s="23">
        <v>17738.820307601771</v>
      </c>
      <c r="R11" s="23">
        <v>20508.588556369483</v>
      </c>
      <c r="S11" s="23">
        <v>19604.348694000004</v>
      </c>
      <c r="T11" s="23">
        <v>18014.153342270063</v>
      </c>
      <c r="U11" s="23">
        <v>18504.187721739134</v>
      </c>
      <c r="V11" s="23">
        <v>19190.139176457014</v>
      </c>
      <c r="W11" s="23">
        <v>18558.973220792748</v>
      </c>
      <c r="X11" s="23">
        <v>17820.062443386923</v>
      </c>
      <c r="Y11" s="23">
        <v>22109.072909252667</v>
      </c>
      <c r="Z11" s="23">
        <v>18029.219794585319</v>
      </c>
      <c r="AA11" s="23">
        <v>23162.6</v>
      </c>
    </row>
    <row r="12" spans="1:27" ht="12.75" customHeight="1" x14ac:dyDescent="0.2">
      <c r="A12" s="152"/>
      <c r="B12" s="21" t="s">
        <v>44</v>
      </c>
      <c r="C12" s="22" t="s">
        <v>45</v>
      </c>
      <c r="D12" s="23">
        <v>11964.657861635222</v>
      </c>
      <c r="E12" s="23">
        <v>12934.801333534553</v>
      </c>
      <c r="F12" s="23">
        <v>14256.033247534377</v>
      </c>
      <c r="G12" s="23">
        <v>14053.028937646926</v>
      </c>
      <c r="H12" s="23">
        <v>14009.119364822047</v>
      </c>
      <c r="I12" s="23">
        <v>14051.567722504313</v>
      </c>
      <c r="J12" s="23">
        <v>14959.312407556734</v>
      </c>
      <c r="K12" s="23">
        <v>17412.59528022238</v>
      </c>
      <c r="L12" s="23">
        <v>17677.30886603046</v>
      </c>
      <c r="M12" s="23">
        <v>11764.008769971733</v>
      </c>
      <c r="N12" s="23">
        <v>14260.923133167009</v>
      </c>
      <c r="O12" s="23">
        <v>14662.063215102975</v>
      </c>
      <c r="P12" s="23">
        <v>15387.629853152694</v>
      </c>
      <c r="Q12" s="23">
        <v>16000.502906259548</v>
      </c>
      <c r="R12" s="23">
        <v>17347.724457298555</v>
      </c>
      <c r="S12" s="23">
        <v>17127.470925000001</v>
      </c>
      <c r="T12" s="23">
        <v>18264.525739781115</v>
      </c>
      <c r="U12" s="23">
        <v>18911.625817391305</v>
      </c>
      <c r="V12" s="23">
        <v>21255.56333570481</v>
      </c>
      <c r="W12" s="23">
        <v>22128.91140031234</v>
      </c>
      <c r="X12" s="23">
        <v>22702.36508229842</v>
      </c>
      <c r="Y12" s="23">
        <v>24637.005960854091</v>
      </c>
      <c r="Z12" s="23">
        <v>26177.881749964978</v>
      </c>
      <c r="AA12" s="23">
        <v>27429</v>
      </c>
    </row>
    <row r="13" spans="1:27" ht="12.75" customHeight="1" x14ac:dyDescent="0.2">
      <c r="A13" s="152"/>
      <c r="B13" s="21" t="s">
        <v>46</v>
      </c>
      <c r="C13" s="22" t="s">
        <v>47</v>
      </c>
      <c r="D13" s="23">
        <v>10877.911949685535</v>
      </c>
      <c r="E13" s="23">
        <v>11130.19207013404</v>
      </c>
      <c r="F13" s="23">
        <v>10849.86195253917</v>
      </c>
      <c r="G13" s="23">
        <v>11908.603033695286</v>
      </c>
      <c r="H13" s="23">
        <v>13709.378258787119</v>
      </c>
      <c r="I13" s="23">
        <v>17093.237303602222</v>
      </c>
      <c r="J13" s="23">
        <v>18070.734930307568</v>
      </c>
      <c r="K13" s="23">
        <v>20174.997660872679</v>
      </c>
      <c r="L13" s="23">
        <v>20024.79245632454</v>
      </c>
      <c r="M13" s="23">
        <v>18708.354647029566</v>
      </c>
      <c r="N13" s="23">
        <v>20142.04887607144</v>
      </c>
      <c r="O13" s="23">
        <v>22453.971796338672</v>
      </c>
      <c r="P13" s="23">
        <v>21824.070508745885</v>
      </c>
      <c r="Q13" s="23">
        <v>26225.930585891965</v>
      </c>
      <c r="R13" s="23">
        <v>31328.509769742723</v>
      </c>
      <c r="S13" s="23">
        <v>33437.205440999998</v>
      </c>
      <c r="T13" s="23">
        <v>35248.471684240008</v>
      </c>
      <c r="U13" s="23">
        <v>39063.679313043489</v>
      </c>
      <c r="V13" s="23">
        <v>42524.419283942552</v>
      </c>
      <c r="W13" s="23">
        <v>46073.180368297777</v>
      </c>
      <c r="X13" s="23">
        <v>46980.592996734878</v>
      </c>
      <c r="Y13" s="23">
        <v>49414.52041814947</v>
      </c>
      <c r="Z13" s="23">
        <v>53382.938524446625</v>
      </c>
      <c r="AA13" s="23">
        <v>58992.3</v>
      </c>
    </row>
    <row r="14" spans="1:27" ht="12.75" customHeight="1" x14ac:dyDescent="0.2">
      <c r="A14" s="152"/>
      <c r="B14" s="21" t="s">
        <v>48</v>
      </c>
      <c r="C14" s="22" t="s">
        <v>49</v>
      </c>
      <c r="D14" s="23">
        <v>22394.840251572306</v>
      </c>
      <c r="E14" s="23">
        <v>23888.486992550334</v>
      </c>
      <c r="F14" s="23">
        <v>25945.743543409491</v>
      </c>
      <c r="G14" s="23">
        <v>27738.500302250064</v>
      </c>
      <c r="H14" s="23">
        <v>30176.863948861555</v>
      </c>
      <c r="I14" s="23">
        <v>31832.081752969934</v>
      </c>
      <c r="J14" s="23">
        <v>33550.912317705355</v>
      </c>
      <c r="K14" s="23">
        <v>36822.526410915918</v>
      </c>
      <c r="L14" s="23">
        <v>40824.846067733852</v>
      </c>
      <c r="M14" s="23">
        <v>41915.118186560554</v>
      </c>
      <c r="N14" s="23">
        <v>40409.566784823292</v>
      </c>
      <c r="O14" s="23">
        <v>40043.455949656731</v>
      </c>
      <c r="P14" s="23">
        <v>38330.10633670487</v>
      </c>
      <c r="Q14" s="23">
        <v>36934.703061305343</v>
      </c>
      <c r="R14" s="23">
        <v>37141.396156423056</v>
      </c>
      <c r="S14" s="23">
        <v>34226.117783999995</v>
      </c>
      <c r="T14" s="23">
        <v>35331.108641283688</v>
      </c>
      <c r="U14" s="23">
        <v>36234.141173913078</v>
      </c>
      <c r="V14" s="23">
        <v>37944.551020054983</v>
      </c>
      <c r="W14" s="23">
        <v>39151.687156986671</v>
      </c>
      <c r="X14" s="23">
        <v>40987.018725164497</v>
      </c>
      <c r="Y14" s="23">
        <v>44061.889724199369</v>
      </c>
      <c r="Z14" s="23">
        <v>44567.8234169235</v>
      </c>
      <c r="AA14" s="23">
        <v>47771.000000000058</v>
      </c>
    </row>
    <row r="15" spans="1:27" ht="12.75" customHeight="1" x14ac:dyDescent="0.2">
      <c r="A15" s="152"/>
      <c r="B15" s="21" t="s">
        <v>50</v>
      </c>
      <c r="C15" s="22" t="s">
        <v>51</v>
      </c>
      <c r="D15" s="23">
        <v>3605.7037735849053</v>
      </c>
      <c r="E15" s="23">
        <v>3801.8002030484713</v>
      </c>
      <c r="F15" s="23">
        <v>4044.443725951121</v>
      </c>
      <c r="G15" s="23">
        <v>4194.411955669987</v>
      </c>
      <c r="H15" s="23">
        <v>4348.7642657136539</v>
      </c>
      <c r="I15" s="23">
        <v>4500.4137322762981</v>
      </c>
      <c r="J15" s="23">
        <v>4950.3094067503744</v>
      </c>
      <c r="K15" s="23">
        <v>5515.344479175078</v>
      </c>
      <c r="L15" s="23">
        <v>5457.3741214773581</v>
      </c>
      <c r="M15" s="23">
        <v>5136.5103119047908</v>
      </c>
      <c r="N15" s="23">
        <v>5184.7509040831956</v>
      </c>
      <c r="O15" s="23">
        <v>4831.6850114416475</v>
      </c>
      <c r="P15" s="23">
        <v>4474.3034507957127</v>
      </c>
      <c r="Q15" s="23">
        <v>4623.6670340987539</v>
      </c>
      <c r="R15" s="23">
        <v>4673.9128796676787</v>
      </c>
      <c r="S15" s="23">
        <v>4207.2590970000001</v>
      </c>
      <c r="T15" s="23">
        <v>4312.3597867189528</v>
      </c>
      <c r="U15" s="23">
        <v>4855.9737913043482</v>
      </c>
      <c r="V15" s="23">
        <v>5122.7250418212934</v>
      </c>
      <c r="W15" s="23">
        <v>5156.674187551127</v>
      </c>
      <c r="X15" s="23">
        <v>4303.8355477464884</v>
      </c>
      <c r="Y15" s="23">
        <v>4936.9828291814947</v>
      </c>
      <c r="Z15" s="23">
        <v>5912.7198374894924</v>
      </c>
      <c r="AA15" s="23">
        <v>6060.5</v>
      </c>
    </row>
    <row r="16" spans="1:27" ht="12.75" customHeight="1" x14ac:dyDescent="0.2">
      <c r="A16" s="153"/>
      <c r="B16" s="28" t="s">
        <v>52</v>
      </c>
      <c r="C16" s="29" t="s">
        <v>53</v>
      </c>
      <c r="D16" s="30">
        <f>SUM(D6:D15)</f>
        <v>168502.75849056605</v>
      </c>
      <c r="E16" s="30">
        <f t="shared" ref="E16:S16" si="0">SUM(E6:E15)</f>
        <v>174921.06847123714</v>
      </c>
      <c r="F16" s="30">
        <f t="shared" si="0"/>
        <v>185580.01742156621</v>
      </c>
      <c r="G16" s="30">
        <f t="shared" si="0"/>
        <v>187986.16938318592</v>
      </c>
      <c r="H16" s="30">
        <f t="shared" si="0"/>
        <v>197758.90739075973</v>
      </c>
      <c r="I16" s="30">
        <f t="shared" si="0"/>
        <v>209807.00663082013</v>
      </c>
      <c r="J16" s="30">
        <f t="shared" si="0"/>
        <v>219438.29691395006</v>
      </c>
      <c r="K16" s="30">
        <f t="shared" si="0"/>
        <v>236596.11493673516</v>
      </c>
      <c r="L16" s="30">
        <f t="shared" si="0"/>
        <v>231286.01423802396</v>
      </c>
      <c r="M16" s="30">
        <f t="shared" si="0"/>
        <v>216542.11186475636</v>
      </c>
      <c r="N16" s="30">
        <f t="shared" si="0"/>
        <v>220437.22368278046</v>
      </c>
      <c r="O16" s="30">
        <f t="shared" si="0"/>
        <v>225737.44187643018</v>
      </c>
      <c r="P16" s="30">
        <f t="shared" si="0"/>
        <v>219440.52134041666</v>
      </c>
      <c r="Q16" s="30">
        <f t="shared" si="0"/>
        <v>224228.22563121741</v>
      </c>
      <c r="R16" s="30">
        <f t="shared" si="0"/>
        <v>243584.6293550116</v>
      </c>
      <c r="S16" s="30">
        <f t="shared" si="0"/>
        <v>298392.00392699998</v>
      </c>
      <c r="T16" s="30">
        <f t="shared" ref="T16:Y16" si="1">SUM(T6:T15)</f>
        <v>301321.42217142519</v>
      </c>
      <c r="U16" s="30">
        <f t="shared" si="1"/>
        <v>324583.93435652182</v>
      </c>
      <c r="V16" s="30">
        <f t="shared" si="1"/>
        <v>354921.99186840229</v>
      </c>
      <c r="W16" s="30">
        <f t="shared" si="1"/>
        <v>373646.81276771781</v>
      </c>
      <c r="X16" s="30">
        <f t="shared" si="1"/>
        <v>402397.23612512823</v>
      </c>
      <c r="Y16" s="30">
        <f t="shared" si="1"/>
        <v>468705.51432384353</v>
      </c>
      <c r="Z16" s="30">
        <f t="shared" ref="Z16:AA16" si="2">SUM(Z6:Z15)</f>
        <v>509871.44088767865</v>
      </c>
      <c r="AA16" s="30">
        <f t="shared" si="2"/>
        <v>499273.9</v>
      </c>
    </row>
    <row r="17" spans="1:27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2.75" customHeight="1" x14ac:dyDescent="0.2">
      <c r="A18" s="151" t="s">
        <v>54</v>
      </c>
      <c r="B18" s="17" t="s">
        <v>32</v>
      </c>
      <c r="C18" s="18" t="s">
        <v>33</v>
      </c>
      <c r="D18" s="19">
        <v>4734.6094339622641</v>
      </c>
      <c r="E18" s="19">
        <v>3913.201790393613</v>
      </c>
      <c r="F18" s="19">
        <v>3631.4439176855294</v>
      </c>
      <c r="G18" s="19">
        <v>3139.9793462442626</v>
      </c>
      <c r="H18" s="19">
        <v>3539.4776692948194</v>
      </c>
      <c r="I18" s="19">
        <v>2469.874427572332</v>
      </c>
      <c r="J18" s="19">
        <v>2299.1485013247325</v>
      </c>
      <c r="K18" s="19">
        <v>2778.4848602636712</v>
      </c>
      <c r="L18" s="19">
        <v>2200.4203225083461</v>
      </c>
      <c r="M18" s="19">
        <v>1344.4337769474334</v>
      </c>
      <c r="N18" s="19">
        <v>2312.5664846972804</v>
      </c>
      <c r="O18" s="19">
        <v>2974.7708237986271</v>
      </c>
      <c r="P18" s="19">
        <v>2367.5576717858303</v>
      </c>
      <c r="Q18" s="19">
        <v>2595.2101504057218</v>
      </c>
      <c r="R18" s="19">
        <v>3195.013678086475</v>
      </c>
      <c r="S18" s="19">
        <v>2771.4456630000004</v>
      </c>
      <c r="T18" s="19">
        <v>2994.8570956963645</v>
      </c>
      <c r="U18" s="19">
        <v>3909.2094695652177</v>
      </c>
      <c r="V18" s="19">
        <v>3504.0678427903936</v>
      </c>
      <c r="W18" s="19">
        <v>3779.2810273667001</v>
      </c>
      <c r="X18" s="19">
        <v>4321.1132692436595</v>
      </c>
      <c r="Y18" s="19">
        <v>5137.9310498220639</v>
      </c>
      <c r="Z18" s="19">
        <v>6265.5419418954898</v>
      </c>
      <c r="AA18" s="19">
        <v>4444</v>
      </c>
    </row>
    <row r="19" spans="1:27" ht="12.75" customHeight="1" x14ac:dyDescent="0.2">
      <c r="A19" s="152"/>
      <c r="B19" s="21" t="s">
        <v>55</v>
      </c>
      <c r="C19" s="22" t="s">
        <v>56</v>
      </c>
      <c r="D19" s="23">
        <v>833.96163522012614</v>
      </c>
      <c r="E19" s="23">
        <v>978.34063576122605</v>
      </c>
      <c r="F19" s="23">
        <v>850.77345003742619</v>
      </c>
      <c r="G19" s="23">
        <v>903.73691928803396</v>
      </c>
      <c r="H19" s="23">
        <v>656.17832142067664</v>
      </c>
      <c r="I19" s="23">
        <v>807.1081529028545</v>
      </c>
      <c r="J19" s="23">
        <v>1258.7682824559388</v>
      </c>
      <c r="K19" s="23">
        <v>1632.9798417513448</v>
      </c>
      <c r="L19" s="23">
        <v>1262.5046664273375</v>
      </c>
      <c r="M19" s="23">
        <v>1302.8122910023253</v>
      </c>
      <c r="N19" s="23">
        <v>994.20098559889311</v>
      </c>
      <c r="O19" s="23">
        <v>1035.7312848129843</v>
      </c>
      <c r="P19" s="23">
        <v>1205.2775818511839</v>
      </c>
      <c r="Q19" s="23">
        <v>996.79089983137271</v>
      </c>
      <c r="R19" s="23">
        <v>1189.1098884840578</v>
      </c>
      <c r="S19" s="23">
        <v>476.88596999999902</v>
      </c>
      <c r="T19" s="23">
        <v>644.11355258418553</v>
      </c>
      <c r="U19" s="23">
        <v>689.55416521739107</v>
      </c>
      <c r="V19" s="23">
        <v>693.4688368873434</v>
      </c>
      <c r="W19" s="23">
        <v>538.7453210543847</v>
      </c>
      <c r="X19" s="23">
        <v>363.07433168905516</v>
      </c>
      <c r="Y19" s="23">
        <v>552.75221230856596</v>
      </c>
      <c r="Z19" s="23">
        <v>656.32740086254842</v>
      </c>
      <c r="AA19" s="23">
        <v>757.14608631136332</v>
      </c>
    </row>
    <row r="20" spans="1:27" ht="12.75" customHeight="1" x14ac:dyDescent="0.2">
      <c r="A20" s="152"/>
      <c r="B20" s="21" t="s">
        <v>57</v>
      </c>
      <c r="C20" s="22" t="s">
        <v>58</v>
      </c>
      <c r="D20" s="23">
        <v>43698.405031446542</v>
      </c>
      <c r="E20" s="23">
        <v>49555.862824294483</v>
      </c>
      <c r="F20" s="23">
        <v>55968.552258132302</v>
      </c>
      <c r="G20" s="23">
        <v>49558.624124034475</v>
      </c>
      <c r="H20" s="23">
        <v>47506.159280819389</v>
      </c>
      <c r="I20" s="23">
        <v>46819.288759819887</v>
      </c>
      <c r="J20" s="23">
        <v>46356.308335445225</v>
      </c>
      <c r="K20" s="23">
        <v>47867.405792454359</v>
      </c>
      <c r="L20" s="23">
        <v>45452.916047562321</v>
      </c>
      <c r="M20" s="23">
        <v>49130.255599364311</v>
      </c>
      <c r="N20" s="23">
        <v>47220.060610626693</v>
      </c>
      <c r="O20" s="23">
        <v>50856.344279176199</v>
      </c>
      <c r="P20" s="23">
        <v>47062.344018234122</v>
      </c>
      <c r="Q20" s="23">
        <v>46268.362907843963</v>
      </c>
      <c r="R20" s="23">
        <v>51406.499611398962</v>
      </c>
      <c r="S20" s="23">
        <v>111316.08230100002</v>
      </c>
      <c r="T20" s="23">
        <v>105526.92528260739</v>
      </c>
      <c r="U20" s="23">
        <v>112267.3653478261</v>
      </c>
      <c r="V20" s="23">
        <v>123753.54678600957</v>
      </c>
      <c r="W20" s="23">
        <v>126506.79787592031</v>
      </c>
      <c r="X20" s="23">
        <v>143964.81928722581</v>
      </c>
      <c r="Y20" s="23">
        <v>170651.61672597865</v>
      </c>
      <c r="Z20" s="23">
        <v>198188.04503449844</v>
      </c>
      <c r="AA20" s="23">
        <v>156393.1</v>
      </c>
    </row>
    <row r="21" spans="1:27" ht="12.75" customHeight="1" x14ac:dyDescent="0.2">
      <c r="A21" s="152"/>
      <c r="B21" s="21" t="s">
        <v>59</v>
      </c>
      <c r="C21" s="22" t="s">
        <v>60</v>
      </c>
      <c r="D21" s="23">
        <v>1906.7704402515733</v>
      </c>
      <c r="E21" s="23">
        <v>2199.5785276241959</v>
      </c>
      <c r="F21" s="23">
        <v>2113.0079609176955</v>
      </c>
      <c r="G21" s="23">
        <v>2324.2696966304734</v>
      </c>
      <c r="H21" s="23">
        <v>2517.9404096971493</v>
      </c>
      <c r="I21" s="23">
        <v>2301.3527148400062</v>
      </c>
      <c r="J21" s="23">
        <v>2463.9518546250442</v>
      </c>
      <c r="K21" s="23">
        <v>3030.2635116898664</v>
      </c>
      <c r="L21" s="23">
        <v>3348.2497306257742</v>
      </c>
      <c r="M21" s="23">
        <v>3679.4318974690877</v>
      </c>
      <c r="N21" s="23">
        <v>3641.6409900452036</v>
      </c>
      <c r="O21" s="23">
        <v>4092.721694986697</v>
      </c>
      <c r="P21" s="23">
        <v>4229.480499506878</v>
      </c>
      <c r="Q21" s="23">
        <v>4330.7428492208055</v>
      </c>
      <c r="R21" s="23">
        <v>4003.5634207565145</v>
      </c>
      <c r="S21" s="23">
        <v>3427.7204339999926</v>
      </c>
      <c r="T21" s="23">
        <v>3427.3405212027296</v>
      </c>
      <c r="U21" s="23">
        <v>3185.2398608695635</v>
      </c>
      <c r="V21" s="23">
        <v>3447.8558626723384</v>
      </c>
      <c r="W21" s="23">
        <v>3238.9885760555007</v>
      </c>
      <c r="X21" s="23">
        <v>3574.0589167109893</v>
      </c>
      <c r="Y21" s="23">
        <v>4647.6383252384549</v>
      </c>
      <c r="Z21" s="23">
        <v>4101.5358037310789</v>
      </c>
      <c r="AA21" s="23">
        <v>4899.7812785952729</v>
      </c>
    </row>
    <row r="22" spans="1:27" ht="12.75" customHeight="1" x14ac:dyDescent="0.2">
      <c r="A22" s="152"/>
      <c r="B22" s="21" t="s">
        <v>61</v>
      </c>
      <c r="C22" s="22" t="s">
        <v>62</v>
      </c>
      <c r="D22" s="23">
        <v>1027.8616352201261</v>
      </c>
      <c r="E22" s="23">
        <v>1167.225001028962</v>
      </c>
      <c r="F22" s="23">
        <v>1187.4513861347114</v>
      </c>
      <c r="G22" s="23">
        <v>1178.8950072763919</v>
      </c>
      <c r="H22" s="23">
        <v>1307.464085181638</v>
      </c>
      <c r="I22" s="23">
        <v>1327.8276166411183</v>
      </c>
      <c r="J22" s="23">
        <v>1560.0304319778836</v>
      </c>
      <c r="K22" s="23">
        <v>1737.7186795695438</v>
      </c>
      <c r="L22" s="23">
        <v>1774.6110589293394</v>
      </c>
      <c r="M22" s="23">
        <v>1675.531748395462</v>
      </c>
      <c r="N22" s="23">
        <v>1292.6059975792305</v>
      </c>
      <c r="O22" s="23">
        <v>1065.6822032666782</v>
      </c>
      <c r="P22" s="23">
        <v>1139.631543056177</v>
      </c>
      <c r="Q22" s="23">
        <v>1169.1772467491303</v>
      </c>
      <c r="R22" s="23">
        <v>1246.0270101269457</v>
      </c>
      <c r="S22" s="23">
        <v>1194.7926869999976</v>
      </c>
      <c r="T22" s="23">
        <v>1264.3146093126522</v>
      </c>
      <c r="U22" s="23">
        <v>1363.5987391304343</v>
      </c>
      <c r="V22" s="23">
        <v>1479.7606629876773</v>
      </c>
      <c r="W22" s="23">
        <v>1569.6579421479428</v>
      </c>
      <c r="X22" s="23">
        <v>1570.7575403051273</v>
      </c>
      <c r="Y22" s="23">
        <v>2127.4547026665159</v>
      </c>
      <c r="Z22" s="23">
        <v>2226.249839151119</v>
      </c>
      <c r="AA22" s="23">
        <v>2813.4726350933574</v>
      </c>
    </row>
    <row r="23" spans="1:27" ht="12.75" customHeight="1" x14ac:dyDescent="0.2">
      <c r="A23" s="152"/>
      <c r="B23" s="21" t="s">
        <v>36</v>
      </c>
      <c r="C23" s="22" t="s">
        <v>37</v>
      </c>
      <c r="D23" s="23">
        <v>12074.761006289309</v>
      </c>
      <c r="E23" s="23">
        <v>12991.064761486645</v>
      </c>
      <c r="F23" s="23">
        <v>13343.709900587022</v>
      </c>
      <c r="G23" s="23">
        <v>14476.550867569686</v>
      </c>
      <c r="H23" s="23">
        <v>17191.728122467026</v>
      </c>
      <c r="I23" s="23">
        <v>20517.272968959573</v>
      </c>
      <c r="J23" s="23">
        <v>23438.249222439812</v>
      </c>
      <c r="K23" s="23">
        <v>21707.428218318553</v>
      </c>
      <c r="L23" s="23">
        <v>15271.912203177902</v>
      </c>
      <c r="M23" s="23">
        <v>5928.2734899125307</v>
      </c>
      <c r="N23" s="23">
        <v>3389.6899105797502</v>
      </c>
      <c r="O23" s="23">
        <v>2952.0942219679637</v>
      </c>
      <c r="P23" s="23">
        <v>4128.1398807590595</v>
      </c>
      <c r="Q23" s="23">
        <v>5057.0197892735478</v>
      </c>
      <c r="R23" s="23">
        <v>6270.9617741647317</v>
      </c>
      <c r="S23" s="23">
        <v>6222.7174680000007</v>
      </c>
      <c r="T23" s="23">
        <v>7253.8838108481223</v>
      </c>
      <c r="U23" s="23">
        <v>9057.0352782608716</v>
      </c>
      <c r="V23" s="23">
        <v>9738.8663670275146</v>
      </c>
      <c r="W23" s="23">
        <v>10304.852671599616</v>
      </c>
      <c r="X23" s="23">
        <v>9760.6785229372726</v>
      </c>
      <c r="Y23" s="23">
        <v>11233.693104982207</v>
      </c>
      <c r="Z23" s="23">
        <v>12560.118095930233</v>
      </c>
      <c r="AA23" s="23">
        <v>13563.7</v>
      </c>
    </row>
    <row r="24" spans="1:27" ht="12.75" customHeight="1" x14ac:dyDescent="0.2">
      <c r="A24" s="152"/>
      <c r="B24" s="21" t="s">
        <v>63</v>
      </c>
      <c r="C24" s="22" t="s">
        <v>64</v>
      </c>
      <c r="D24" s="23">
        <v>18338.096855345913</v>
      </c>
      <c r="E24" s="23">
        <v>15861.946360904938</v>
      </c>
      <c r="F24" s="23">
        <v>17062.862421369195</v>
      </c>
      <c r="G24" s="23">
        <v>18280.378249188405</v>
      </c>
      <c r="H24" s="23">
        <v>18953.480576228725</v>
      </c>
      <c r="I24" s="23">
        <v>20908.479076451429</v>
      </c>
      <c r="J24" s="23">
        <v>22225.372127635066</v>
      </c>
      <c r="K24" s="23">
        <v>24546.053443522997</v>
      </c>
      <c r="L24" s="23">
        <v>24119.619873072799</v>
      </c>
      <c r="M24" s="23">
        <v>21041.141992502642</v>
      </c>
      <c r="N24" s="23">
        <v>22968.068795543815</v>
      </c>
      <c r="O24" s="23">
        <v>25135.658237986267</v>
      </c>
      <c r="P24" s="23">
        <v>24929.213455203451</v>
      </c>
      <c r="Q24" s="23">
        <v>26609.821719989588</v>
      </c>
      <c r="R24" s="23">
        <v>26286.671157539753</v>
      </c>
      <c r="S24" s="23">
        <v>23873.591250000001</v>
      </c>
      <c r="T24" s="23">
        <v>25727.873724015131</v>
      </c>
      <c r="U24" s="23">
        <v>26356.003226086963</v>
      </c>
      <c r="V24" s="23">
        <v>27634.66556040533</v>
      </c>
      <c r="W24" s="23">
        <v>26932.796053952559</v>
      </c>
      <c r="X24" s="23">
        <v>29612.107365205822</v>
      </c>
      <c r="Y24" s="23">
        <v>31202.312588967972</v>
      </c>
      <c r="Z24" s="23">
        <v>31877.000069172038</v>
      </c>
      <c r="AA24" s="23">
        <v>33733.299999999996</v>
      </c>
    </row>
    <row r="25" spans="1:27" ht="12.75" customHeight="1" x14ac:dyDescent="0.2">
      <c r="A25" s="152"/>
      <c r="B25" s="21" t="s">
        <v>65</v>
      </c>
      <c r="C25" s="22" t="s">
        <v>66</v>
      </c>
      <c r="D25" s="23">
        <v>6335.2861635220124</v>
      </c>
      <c r="E25" s="23">
        <v>6292.3410295106269</v>
      </c>
      <c r="F25" s="23">
        <v>6376.5693198681502</v>
      </c>
      <c r="G25" s="23">
        <v>6699.1084070301131</v>
      </c>
      <c r="H25" s="23">
        <v>7144.285373222312</v>
      </c>
      <c r="I25" s="23">
        <v>7428.8468253017827</v>
      </c>
      <c r="J25" s="23">
        <v>7915.2850512613759</v>
      </c>
      <c r="K25" s="23">
        <v>8610.8839375309999</v>
      </c>
      <c r="L25" s="23">
        <v>8112.2531136092866</v>
      </c>
      <c r="M25" s="23">
        <v>8744.2211660944577</v>
      </c>
      <c r="N25" s="23">
        <v>8226.2533952523281</v>
      </c>
      <c r="O25" s="23">
        <v>8143.0393592677347</v>
      </c>
      <c r="P25" s="23">
        <v>7703.6684243492782</v>
      </c>
      <c r="Q25" s="23">
        <v>7819.1794864250069</v>
      </c>
      <c r="R25" s="23">
        <v>8217.7494606485616</v>
      </c>
      <c r="S25" s="23">
        <v>7797.9643919999999</v>
      </c>
      <c r="T25" s="23">
        <v>7967.0231678037644</v>
      </c>
      <c r="U25" s="23">
        <v>7922.457730434784</v>
      </c>
      <c r="V25" s="23">
        <v>7178.7993125925359</v>
      </c>
      <c r="W25" s="23">
        <v>7760.7162303859614</v>
      </c>
      <c r="X25" s="23">
        <v>4192.9888669724332</v>
      </c>
      <c r="Y25" s="23">
        <v>5447.6707740213524</v>
      </c>
      <c r="Z25" s="23">
        <v>8654.6574828383291</v>
      </c>
      <c r="AA25" s="23">
        <v>9638</v>
      </c>
    </row>
    <row r="26" spans="1:27" ht="12.75" customHeight="1" x14ac:dyDescent="0.2">
      <c r="A26" s="152"/>
      <c r="B26" s="21" t="s">
        <v>67</v>
      </c>
      <c r="C26" s="22" t="s">
        <v>68</v>
      </c>
      <c r="D26" s="23">
        <v>4638.7918238993707</v>
      </c>
      <c r="E26" s="23">
        <v>4493.6796142079056</v>
      </c>
      <c r="F26" s="23">
        <v>4326.9577527676729</v>
      </c>
      <c r="G26" s="23">
        <v>4553.2250979514156</v>
      </c>
      <c r="H26" s="23">
        <v>4572.3829305135951</v>
      </c>
      <c r="I26" s="23">
        <v>4891.1988862808967</v>
      </c>
      <c r="J26" s="23">
        <v>5074.7555097339018</v>
      </c>
      <c r="K26" s="23">
        <v>5851.9953759558948</v>
      </c>
      <c r="L26" s="23">
        <v>5437.194387363902</v>
      </c>
      <c r="M26" s="23">
        <v>5238.9988669036384</v>
      </c>
      <c r="N26" s="23">
        <v>4827.3016414297363</v>
      </c>
      <c r="O26" s="23">
        <v>4815.2836956521742</v>
      </c>
      <c r="P26" s="23">
        <v>4822.09794460168</v>
      </c>
      <c r="Q26" s="23">
        <v>5051.0525695725491</v>
      </c>
      <c r="R26" s="23">
        <v>5285.9884759692695</v>
      </c>
      <c r="S26" s="23">
        <v>5242.3477110000003</v>
      </c>
      <c r="T26" s="23">
        <v>5589.6575468678093</v>
      </c>
      <c r="U26" s="23">
        <v>5952.400008695653</v>
      </c>
      <c r="V26" s="23">
        <v>6294.052034341531</v>
      </c>
      <c r="W26" s="23">
        <v>6219.2906410351761</v>
      </c>
      <c r="X26" s="23">
        <v>3187.6274232312303</v>
      </c>
      <c r="Y26" s="23">
        <v>4282.1267348754454</v>
      </c>
      <c r="Z26" s="23">
        <v>7197.6119676379949</v>
      </c>
      <c r="AA26" s="23">
        <v>8413.9</v>
      </c>
    </row>
    <row r="27" spans="1:27" ht="12.75" customHeight="1" x14ac:dyDescent="0.2">
      <c r="A27" s="152"/>
      <c r="B27" s="21" t="s">
        <v>40</v>
      </c>
      <c r="C27" s="22" t="s">
        <v>41</v>
      </c>
      <c r="D27" s="23">
        <v>13526.484905660378</v>
      </c>
      <c r="E27" s="23">
        <v>12609.27721466888</v>
      </c>
      <c r="F27" s="23">
        <v>11978.687061867178</v>
      </c>
      <c r="G27" s="23">
        <v>12298.021683644911</v>
      </c>
      <c r="H27" s="23">
        <v>13663.762353548005</v>
      </c>
      <c r="I27" s="23">
        <v>14366.01997748611</v>
      </c>
      <c r="J27" s="23">
        <v>13895.446698537035</v>
      </c>
      <c r="K27" s="23">
        <v>15382.553882974431</v>
      </c>
      <c r="L27" s="23">
        <v>17625.200922463522</v>
      </c>
      <c r="M27" s="23">
        <v>18127.254490531246</v>
      </c>
      <c r="N27" s="23">
        <v>20272.293546673915</v>
      </c>
      <c r="O27" s="23">
        <v>20413.648112128147</v>
      </c>
      <c r="P27" s="23">
        <v>21423.814633693688</v>
      </c>
      <c r="Q27" s="23">
        <v>22807.244116748341</v>
      </c>
      <c r="R27" s="23">
        <v>25482.913058334823</v>
      </c>
      <c r="S27" s="23">
        <v>27466.054110000001</v>
      </c>
      <c r="T27" s="23">
        <v>29754.813666193153</v>
      </c>
      <c r="U27" s="23">
        <v>36311.462713043482</v>
      </c>
      <c r="V27" s="23">
        <v>45159.510744707441</v>
      </c>
      <c r="W27" s="23">
        <v>55726.260094258956</v>
      </c>
      <c r="X27" s="23">
        <v>69056.135806275561</v>
      </c>
      <c r="Y27" s="23">
        <v>88262.8462633452</v>
      </c>
      <c r="Z27" s="23">
        <v>90073.769928551425</v>
      </c>
      <c r="AA27" s="23">
        <v>101202.1</v>
      </c>
    </row>
    <row r="28" spans="1:27" ht="12.75" customHeight="1" x14ac:dyDescent="0.2">
      <c r="A28" s="152"/>
      <c r="B28" s="21" t="s">
        <v>42</v>
      </c>
      <c r="C28" s="22" t="s">
        <v>43</v>
      </c>
      <c r="D28" s="23">
        <v>12544.615723270441</v>
      </c>
      <c r="E28" s="23">
        <v>13103.270112088245</v>
      </c>
      <c r="F28" s="23">
        <v>13643.919522765178</v>
      </c>
      <c r="G28" s="23">
        <v>16678.835755065487</v>
      </c>
      <c r="H28" s="23">
        <v>18461.922430182003</v>
      </c>
      <c r="I28" s="23">
        <v>20492.436713211344</v>
      </c>
      <c r="J28" s="23">
        <v>21419.711836193987</v>
      </c>
      <c r="K28" s="23">
        <v>23524.883561517439</v>
      </c>
      <c r="L28" s="23">
        <v>22696.810400717211</v>
      </c>
      <c r="M28" s="23">
        <v>22805.76463016657</v>
      </c>
      <c r="N28" s="23">
        <v>25295.251626608704</v>
      </c>
      <c r="O28" s="23">
        <v>22261.291990846679</v>
      </c>
      <c r="P28" s="23">
        <v>20413.185537976155</v>
      </c>
      <c r="Q28" s="23">
        <v>17738.820307601771</v>
      </c>
      <c r="R28" s="23">
        <v>20508.588556369483</v>
      </c>
      <c r="S28" s="23">
        <v>19604.348694000004</v>
      </c>
      <c r="T28" s="23">
        <v>18014.153342270063</v>
      </c>
      <c r="U28" s="23">
        <v>18504.187721739134</v>
      </c>
      <c r="V28" s="23">
        <v>19190.139176457014</v>
      </c>
      <c r="W28" s="23">
        <v>18558.973220792748</v>
      </c>
      <c r="X28" s="23">
        <v>17820.062443386923</v>
      </c>
      <c r="Y28" s="23">
        <v>22109.072909252667</v>
      </c>
      <c r="Z28" s="23">
        <v>18029.219794585319</v>
      </c>
      <c r="AA28" s="23">
        <v>23162.6</v>
      </c>
    </row>
    <row r="29" spans="1:27" ht="12.75" customHeight="1" x14ac:dyDescent="0.2">
      <c r="A29" s="152"/>
      <c r="B29" s="21" t="s">
        <v>44</v>
      </c>
      <c r="C29" s="22" t="s">
        <v>45</v>
      </c>
      <c r="D29" s="23">
        <v>11964.657861635222</v>
      </c>
      <c r="E29" s="23">
        <v>12934.801333534553</v>
      </c>
      <c r="F29" s="23">
        <v>14256.033247534377</v>
      </c>
      <c r="G29" s="23">
        <v>14053.028937646926</v>
      </c>
      <c r="H29" s="23">
        <v>14009.119364822047</v>
      </c>
      <c r="I29" s="23">
        <v>14051.567722504313</v>
      </c>
      <c r="J29" s="23">
        <v>14959.312407556734</v>
      </c>
      <c r="K29" s="23">
        <v>17412.59528022238</v>
      </c>
      <c r="L29" s="23">
        <v>17677.30886603046</v>
      </c>
      <c r="M29" s="23">
        <v>11764.008769971733</v>
      </c>
      <c r="N29" s="23">
        <v>14260.923133167009</v>
      </c>
      <c r="O29" s="23">
        <v>14662.063215102975</v>
      </c>
      <c r="P29" s="23">
        <v>15387.629853152694</v>
      </c>
      <c r="Q29" s="23">
        <v>16000.502906259548</v>
      </c>
      <c r="R29" s="23">
        <v>17347.724457298555</v>
      </c>
      <c r="S29" s="23">
        <v>17127.470925000001</v>
      </c>
      <c r="T29" s="23">
        <v>18264.525739781115</v>
      </c>
      <c r="U29" s="23">
        <v>18911.625817391305</v>
      </c>
      <c r="V29" s="23">
        <v>21255.56333570481</v>
      </c>
      <c r="W29" s="23">
        <v>22128.91140031234</v>
      </c>
      <c r="X29" s="23">
        <v>22702.36508229842</v>
      </c>
      <c r="Y29" s="23">
        <v>24637.005960854091</v>
      </c>
      <c r="Z29" s="23">
        <v>26177.881749964978</v>
      </c>
      <c r="AA29" s="23">
        <v>27429</v>
      </c>
    </row>
    <row r="30" spans="1:27" ht="12.75" customHeight="1" x14ac:dyDescent="0.2">
      <c r="A30" s="152"/>
      <c r="B30" s="21" t="s">
        <v>69</v>
      </c>
      <c r="C30" s="22" t="s">
        <v>70</v>
      </c>
      <c r="D30" s="23">
        <v>6521.6949685534591</v>
      </c>
      <c r="E30" s="23">
        <v>6597.2888090109627</v>
      </c>
      <c r="F30" s="23">
        <v>6595.6869528674815</v>
      </c>
      <c r="G30" s="23">
        <v>7141.1393820664953</v>
      </c>
      <c r="H30" s="23">
        <v>8458.6565986294318</v>
      </c>
      <c r="I30" s="23">
        <v>9245.8223941368069</v>
      </c>
      <c r="J30" s="23">
        <v>9705.3113178205258</v>
      </c>
      <c r="K30" s="23">
        <v>10755.259601610171</v>
      </c>
      <c r="L30" s="23">
        <v>10457.11057412148</v>
      </c>
      <c r="M30" s="23">
        <v>9373.7937182302358</v>
      </c>
      <c r="N30" s="23">
        <v>9250.4106550897905</v>
      </c>
      <c r="O30" s="23">
        <v>10542.195308924483</v>
      </c>
      <c r="P30" s="23">
        <v>10002.047746253424</v>
      </c>
      <c r="Q30" s="23">
        <v>10737.547734860402</v>
      </c>
      <c r="R30" s="23">
        <v>12109.100531534752</v>
      </c>
      <c r="S30" s="23">
        <v>12314.086245</v>
      </c>
      <c r="T30" s="23">
        <v>11784.616152137811</v>
      </c>
      <c r="U30" s="23">
        <v>14677.394182608699</v>
      </c>
      <c r="V30" s="23">
        <v>17552.331603438</v>
      </c>
      <c r="W30" s="23">
        <v>19638.798919833425</v>
      </c>
      <c r="X30" s="23">
        <v>23149.678560280365</v>
      </c>
      <c r="Y30" s="23">
        <v>26561.872553380788</v>
      </c>
      <c r="Z30" s="23">
        <v>28872.318193121326</v>
      </c>
      <c r="AA30" s="23">
        <v>32935.700000000004</v>
      </c>
    </row>
    <row r="31" spans="1:27" ht="12.75" customHeight="1" x14ac:dyDescent="0.2">
      <c r="A31" s="152"/>
      <c r="B31" s="21" t="s">
        <v>71</v>
      </c>
      <c r="C31" s="22" t="s">
        <v>72</v>
      </c>
      <c r="D31" s="23">
        <v>4356.2169811320755</v>
      </c>
      <c r="E31" s="23">
        <v>4532.9032611230787</v>
      </c>
      <c r="F31" s="23">
        <v>4254.1749996716881</v>
      </c>
      <c r="G31" s="23">
        <v>4767.4636516287919</v>
      </c>
      <c r="H31" s="23">
        <v>5250.7216601576893</v>
      </c>
      <c r="I31" s="23">
        <v>7847.4149094654158</v>
      </c>
      <c r="J31" s="23">
        <v>8365.4236124870404</v>
      </c>
      <c r="K31" s="23">
        <v>9419.7380592625068</v>
      </c>
      <c r="L31" s="23">
        <v>9567.6818822030618</v>
      </c>
      <c r="M31" s="23">
        <v>9334.5609287993302</v>
      </c>
      <c r="N31" s="23">
        <v>10891.638220981647</v>
      </c>
      <c r="O31" s="23">
        <v>11911.776487414189</v>
      </c>
      <c r="P31" s="23">
        <v>11822.022762492461</v>
      </c>
      <c r="Q31" s="23">
        <v>15488.382851031563</v>
      </c>
      <c r="R31" s="23">
        <v>19219.409238207969</v>
      </c>
      <c r="S31" s="23">
        <v>21123.119196</v>
      </c>
      <c r="T31" s="23">
        <v>23463.8555321022</v>
      </c>
      <c r="U31" s="23">
        <v>24386.285130434786</v>
      </c>
      <c r="V31" s="23">
        <v>24972.087680504548</v>
      </c>
      <c r="W31" s="23">
        <v>26434.381448464348</v>
      </c>
      <c r="X31" s="23">
        <v>23830.914436454514</v>
      </c>
      <c r="Y31" s="23">
        <v>22852.647864768682</v>
      </c>
      <c r="Z31" s="23">
        <v>24510.620331325303</v>
      </c>
      <c r="AA31" s="23">
        <v>26056.6</v>
      </c>
    </row>
    <row r="32" spans="1:27" ht="12.75" customHeight="1" x14ac:dyDescent="0.2">
      <c r="A32" s="152"/>
      <c r="B32" s="21" t="s">
        <v>73</v>
      </c>
      <c r="C32" s="22" t="s">
        <v>74</v>
      </c>
      <c r="D32" s="23">
        <v>6671.8672955974635</v>
      </c>
      <c r="E32" s="23">
        <v>6920.5623907585668</v>
      </c>
      <c r="F32" s="23">
        <v>7414.762205996326</v>
      </c>
      <c r="G32" s="23">
        <v>7558.6859509683027</v>
      </c>
      <c r="H32" s="23">
        <v>8289.4316631051624</v>
      </c>
      <c r="I32" s="23">
        <v>8452.1847528262297</v>
      </c>
      <c r="J32" s="23">
        <v>8480.4215297776991</v>
      </c>
      <c r="K32" s="23">
        <v>9297.7004198433533</v>
      </c>
      <c r="L32" s="23">
        <v>10063.05288948134</v>
      </c>
      <c r="M32" s="23">
        <v>9778.6306178650684</v>
      </c>
      <c r="N32" s="23">
        <v>9844.4710693377765</v>
      </c>
      <c r="O32" s="23">
        <v>11405.332379862679</v>
      </c>
      <c r="P32" s="23">
        <v>10684.453433396746</v>
      </c>
      <c r="Q32" s="23">
        <v>10265.739563834741</v>
      </c>
      <c r="R32" s="23">
        <v>10291.714889673005</v>
      </c>
      <c r="S32" s="23">
        <v>9383.8738769999927</v>
      </c>
      <c r="T32" s="23">
        <v>9683.9964256417406</v>
      </c>
      <c r="U32" s="23">
        <v>9752.1366695652505</v>
      </c>
      <c r="V32" s="23">
        <v>10167.609445843815</v>
      </c>
      <c r="W32" s="23">
        <v>10454.834514203887</v>
      </c>
      <c r="X32" s="23">
        <v>11026.439912100157</v>
      </c>
      <c r="Y32" s="23">
        <v>11619.841948398651</v>
      </c>
      <c r="Z32" s="23">
        <v>11862.578843863819</v>
      </c>
      <c r="AA32" s="23">
        <v>12351.700000000055</v>
      </c>
    </row>
    <row r="33" spans="1:27" ht="12.75" customHeight="1" x14ac:dyDescent="0.2">
      <c r="A33" s="152"/>
      <c r="B33" s="21" t="s">
        <v>75</v>
      </c>
      <c r="C33" s="22" t="s">
        <v>76</v>
      </c>
      <c r="D33" s="23">
        <v>6687.8949685534599</v>
      </c>
      <c r="E33" s="23">
        <v>7135.0064275816658</v>
      </c>
      <c r="F33" s="23">
        <v>7960.8636663296002</v>
      </c>
      <c r="G33" s="23">
        <v>8593.5893316914808</v>
      </c>
      <c r="H33" s="23">
        <v>9092.3867143172938</v>
      </c>
      <c r="I33" s="23">
        <v>9751.5278501628673</v>
      </c>
      <c r="J33" s="23">
        <v>10458.196743462735</v>
      </c>
      <c r="K33" s="23">
        <v>11454.779891348227</v>
      </c>
      <c r="L33" s="23">
        <v>12730.647878451868</v>
      </c>
      <c r="M33" s="23">
        <v>13741.710941537567</v>
      </c>
      <c r="N33" s="23">
        <v>13357.169835486502</v>
      </c>
      <c r="O33" s="23">
        <v>11042.649370709381</v>
      </c>
      <c r="P33" s="23">
        <v>10663.930975966223</v>
      </c>
      <c r="Q33" s="23">
        <v>10389.062104322044</v>
      </c>
      <c r="R33" s="23">
        <v>10640.145268670718</v>
      </c>
      <c r="S33" s="23">
        <v>9782.8411320000014</v>
      </c>
      <c r="T33" s="23">
        <v>9953.4749564834638</v>
      </c>
      <c r="U33" s="23">
        <v>10265.198478260871</v>
      </c>
      <c r="V33" s="23">
        <v>10769.269136846964</v>
      </c>
      <c r="W33" s="23">
        <v>10966.755109875812</v>
      </c>
      <c r="X33" s="23">
        <v>11414.515487806046</v>
      </c>
      <c r="Y33" s="23">
        <v>12020.740302491104</v>
      </c>
      <c r="Z33" s="23">
        <v>11945.988082270944</v>
      </c>
      <c r="AA33" s="23">
        <v>12549.7</v>
      </c>
    </row>
    <row r="34" spans="1:27" ht="12.75" customHeight="1" x14ac:dyDescent="0.2">
      <c r="A34" s="152"/>
      <c r="B34" s="21" t="s">
        <v>77</v>
      </c>
      <c r="C34" s="22" t="s">
        <v>78</v>
      </c>
      <c r="D34" s="23">
        <v>9035.077987421384</v>
      </c>
      <c r="E34" s="23">
        <v>9832.9181742101009</v>
      </c>
      <c r="F34" s="23">
        <v>10570.117671083563</v>
      </c>
      <c r="G34" s="23">
        <v>11586.225019590282</v>
      </c>
      <c r="H34" s="23">
        <v>12795.045571439099</v>
      </c>
      <c r="I34" s="23">
        <v>13628.369149980839</v>
      </c>
      <c r="J34" s="23">
        <v>14612.294044464923</v>
      </c>
      <c r="K34" s="23">
        <v>16070.046099724335</v>
      </c>
      <c r="L34" s="23">
        <v>18031.145299800646</v>
      </c>
      <c r="M34" s="23">
        <v>18394.77662715792</v>
      </c>
      <c r="N34" s="23">
        <v>17207.925879999013</v>
      </c>
      <c r="O34" s="23">
        <v>17595.474199084667</v>
      </c>
      <c r="P34" s="23">
        <v>16981.7219273419</v>
      </c>
      <c r="Q34" s="23">
        <v>16279.901393148561</v>
      </c>
      <c r="R34" s="23">
        <v>16209.535998079329</v>
      </c>
      <c r="S34" s="23">
        <v>15059.402775</v>
      </c>
      <c r="T34" s="23">
        <v>15693.63725915848</v>
      </c>
      <c r="U34" s="23">
        <v>16216.806026086959</v>
      </c>
      <c r="V34" s="23">
        <v>17007.672437364203</v>
      </c>
      <c r="W34" s="23">
        <v>17730.097532906973</v>
      </c>
      <c r="X34" s="23">
        <v>18546.063325258292</v>
      </c>
      <c r="Y34" s="23">
        <v>20421.307473309611</v>
      </c>
      <c r="Z34" s="23">
        <v>20759.256490788735</v>
      </c>
      <c r="AA34" s="23">
        <v>22869.599999999999</v>
      </c>
    </row>
    <row r="35" spans="1:27" ht="12.75" customHeight="1" x14ac:dyDescent="0.2">
      <c r="A35" s="152"/>
      <c r="B35" s="21" t="s">
        <v>79</v>
      </c>
      <c r="C35" s="22" t="s">
        <v>80</v>
      </c>
      <c r="D35" s="23">
        <v>2421.9207547169808</v>
      </c>
      <c r="E35" s="23">
        <v>2472.0542715636111</v>
      </c>
      <c r="F35" s="23">
        <v>2514.6210382549543</v>
      </c>
      <c r="G35" s="23">
        <v>2702.0291055636403</v>
      </c>
      <c r="H35" s="23">
        <v>2702.9942082381544</v>
      </c>
      <c r="I35" s="23">
        <v>2811.1273879095615</v>
      </c>
      <c r="J35" s="23">
        <v>3199.2906496947353</v>
      </c>
      <c r="K35" s="23">
        <v>3666.535058074488</v>
      </c>
      <c r="L35" s="23">
        <v>3621.0183171528679</v>
      </c>
      <c r="M35" s="23">
        <v>3357.9571910371355</v>
      </c>
      <c r="N35" s="23">
        <v>3368.8507632833534</v>
      </c>
      <c r="O35" s="23">
        <v>2933.5536041189935</v>
      </c>
      <c r="P35" s="23">
        <v>2613.9630712661806</v>
      </c>
      <c r="Q35" s="23">
        <v>2704.4765733751315</v>
      </c>
      <c r="R35" s="23">
        <v>2721.237334732893</v>
      </c>
      <c r="S35" s="23">
        <v>2410.0902989999995</v>
      </c>
      <c r="T35" s="23">
        <v>2448.8671014985694</v>
      </c>
      <c r="U35" s="23">
        <v>2725.3861391304349</v>
      </c>
      <c r="V35" s="23">
        <v>2882.2439344703603</v>
      </c>
      <c r="W35" s="23">
        <v>2924.4825518703055</v>
      </c>
      <c r="X35" s="23">
        <v>2417.9834656299968</v>
      </c>
      <c r="Y35" s="23">
        <v>2892.4566725978648</v>
      </c>
      <c r="Z35" s="23">
        <v>3277.5829512818714</v>
      </c>
      <c r="AA35" s="23">
        <v>3475.1</v>
      </c>
    </row>
    <row r="36" spans="1:27" ht="12.75" customHeight="1" x14ac:dyDescent="0.2">
      <c r="A36" s="152"/>
      <c r="B36" s="21" t="s">
        <v>81</v>
      </c>
      <c r="C36" s="22" t="s">
        <v>82</v>
      </c>
      <c r="D36" s="23">
        <v>1033.0880503144654</v>
      </c>
      <c r="E36" s="23">
        <v>1181.2104816913388</v>
      </c>
      <c r="F36" s="23">
        <v>1385.795928926944</v>
      </c>
      <c r="G36" s="23">
        <v>1327.5503302362029</v>
      </c>
      <c r="H36" s="23">
        <v>1482.1571733844225</v>
      </c>
      <c r="I36" s="23">
        <v>1486.807716995593</v>
      </c>
      <c r="J36" s="23">
        <v>1486.6045317359753</v>
      </c>
      <c r="K36" s="23">
        <v>1529.3221790332068</v>
      </c>
      <c r="L36" s="23">
        <v>1523.9845776367476</v>
      </c>
      <c r="M36" s="23">
        <v>1506.482255031603</v>
      </c>
      <c r="N36" s="23">
        <v>1765.2494355655463</v>
      </c>
      <c r="O36" s="23">
        <v>1818.2641304347828</v>
      </c>
      <c r="P36" s="23">
        <v>1775.5323435252635</v>
      </c>
      <c r="Q36" s="23">
        <v>1848.3794536050973</v>
      </c>
      <c r="R36" s="23">
        <v>1873.7782416919779</v>
      </c>
      <c r="S36" s="23">
        <v>1726.5146850000001</v>
      </c>
      <c r="T36" s="23">
        <v>1781.3245903443308</v>
      </c>
      <c r="U36" s="23">
        <v>1945.0386000000001</v>
      </c>
      <c r="V36" s="23">
        <v>2032.8685234679947</v>
      </c>
      <c r="W36" s="23">
        <v>2025.8985275526143</v>
      </c>
      <c r="X36" s="23">
        <v>1684.577845974128</v>
      </c>
      <c r="Y36" s="23">
        <v>1819.1802491103203</v>
      </c>
      <c r="Z36" s="23">
        <v>2342.4350938638272</v>
      </c>
      <c r="AA36" s="23">
        <v>2295.5</v>
      </c>
    </row>
    <row r="37" spans="1:27" ht="12.75" customHeight="1" x14ac:dyDescent="0.2">
      <c r="A37" s="152"/>
      <c r="B37" s="21" t="s">
        <v>83</v>
      </c>
      <c r="C37" s="22" t="s">
        <v>84</v>
      </c>
      <c r="D37" s="23">
        <v>150.69496855345912</v>
      </c>
      <c r="E37" s="23">
        <v>148.53544979352168</v>
      </c>
      <c r="F37" s="23">
        <v>144.02675876922268</v>
      </c>
      <c r="G37" s="23">
        <v>164.83251987014438</v>
      </c>
      <c r="H37" s="23">
        <v>163.61288409107655</v>
      </c>
      <c r="I37" s="23">
        <v>202.47862737114392</v>
      </c>
      <c r="J37" s="23">
        <v>264.41422531966361</v>
      </c>
      <c r="K37" s="23">
        <v>319.48724206738262</v>
      </c>
      <c r="L37" s="23">
        <v>312.37122668774259</v>
      </c>
      <c r="M37" s="23">
        <v>272.07086583605286</v>
      </c>
      <c r="N37" s="23">
        <v>50.650705234295884</v>
      </c>
      <c r="O37" s="23">
        <v>79.867276887871853</v>
      </c>
      <c r="P37" s="23">
        <v>84.808036004268544</v>
      </c>
      <c r="Q37" s="23">
        <v>70.81100711852514</v>
      </c>
      <c r="R37" s="23">
        <v>78.897303242808647</v>
      </c>
      <c r="S37" s="23">
        <v>70.654112999999995</v>
      </c>
      <c r="T37" s="23">
        <v>82.168094876052891</v>
      </c>
      <c r="U37" s="23">
        <v>185.54905217391308</v>
      </c>
      <c r="V37" s="23">
        <v>207.61258388293885</v>
      </c>
      <c r="W37" s="23">
        <v>206.29310812820708</v>
      </c>
      <c r="X37" s="23">
        <v>201.27423614236335</v>
      </c>
      <c r="Y37" s="23">
        <v>225.34590747330961</v>
      </c>
      <c r="Z37" s="23">
        <v>292.70179234379378</v>
      </c>
      <c r="AA37" s="23">
        <v>289.89999999999998</v>
      </c>
    </row>
    <row r="38" spans="1:27" ht="12.75" customHeight="1" x14ac:dyDescent="0.2">
      <c r="A38" s="152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</row>
    <row r="39" spans="1:27" ht="12.75" customHeight="1" x14ac:dyDescent="0.2">
      <c r="A39" s="153"/>
      <c r="B39" s="28" t="s">
        <v>52</v>
      </c>
      <c r="C39" s="29" t="s">
        <v>53</v>
      </c>
      <c r="D39" s="30">
        <f>SUM(D18:D38)</f>
        <v>168502.75849056605</v>
      </c>
      <c r="E39" s="30">
        <f t="shared" ref="E39:S39" si="3">SUM(E18:E38)</f>
        <v>174921.06847123711</v>
      </c>
      <c r="F39" s="30">
        <f t="shared" si="3"/>
        <v>185580.01742156627</v>
      </c>
      <c r="G39" s="30">
        <f t="shared" si="3"/>
        <v>187986.16938318592</v>
      </c>
      <c r="H39" s="30">
        <f t="shared" si="3"/>
        <v>197758.90739075973</v>
      </c>
      <c r="I39" s="30">
        <f t="shared" si="3"/>
        <v>209807.00663082011</v>
      </c>
      <c r="J39" s="30">
        <f t="shared" si="3"/>
        <v>219438.29691395006</v>
      </c>
      <c r="K39" s="30">
        <f t="shared" si="3"/>
        <v>236596.11493673516</v>
      </c>
      <c r="L39" s="30">
        <f t="shared" si="3"/>
        <v>231286.01423802393</v>
      </c>
      <c r="M39" s="30">
        <f t="shared" si="3"/>
        <v>216542.11186475639</v>
      </c>
      <c r="N39" s="30">
        <f t="shared" si="3"/>
        <v>220437.22368278046</v>
      </c>
      <c r="O39" s="30">
        <f t="shared" si="3"/>
        <v>225737.44187643018</v>
      </c>
      <c r="P39" s="30">
        <f t="shared" si="3"/>
        <v>219440.52134041672</v>
      </c>
      <c r="Q39" s="30">
        <f t="shared" si="3"/>
        <v>224228.22563121738</v>
      </c>
      <c r="R39" s="30">
        <f t="shared" si="3"/>
        <v>243584.62935501154</v>
      </c>
      <c r="S39" s="30">
        <f t="shared" si="3"/>
        <v>298392.00392700004</v>
      </c>
      <c r="T39" s="30">
        <f t="shared" ref="T39:Y39" si="4">SUM(T18:T38)</f>
        <v>301321.42217142519</v>
      </c>
      <c r="U39" s="30">
        <f t="shared" si="4"/>
        <v>324583.93435652187</v>
      </c>
      <c r="V39" s="30">
        <f t="shared" si="4"/>
        <v>354921.99186840217</v>
      </c>
      <c r="W39" s="30">
        <f t="shared" si="4"/>
        <v>373646.81276771781</v>
      </c>
      <c r="X39" s="30">
        <f t="shared" si="4"/>
        <v>402397.23612512817</v>
      </c>
      <c r="Y39" s="30">
        <f t="shared" si="4"/>
        <v>468705.51432384358</v>
      </c>
      <c r="Z39" s="30">
        <f t="shared" ref="Z39:AA39" si="5">SUM(Z18:Z38)</f>
        <v>509871.44088767859</v>
      </c>
      <c r="AA39" s="30">
        <f t="shared" si="5"/>
        <v>499273.9</v>
      </c>
    </row>
    <row r="40" spans="1:27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2.75" customHeight="1" x14ac:dyDescent="0.2">
      <c r="A41" s="151" t="s">
        <v>87</v>
      </c>
      <c r="B41" s="17" t="s">
        <v>88</v>
      </c>
      <c r="C41" s="18" t="s">
        <v>89</v>
      </c>
      <c r="D41" s="19">
        <v>6275.7050314465414</v>
      </c>
      <c r="E41" s="19">
        <v>7302.9929481814825</v>
      </c>
      <c r="F41" s="19">
        <v>7735.7449183815525</v>
      </c>
      <c r="G41" s="19">
        <v>8625.215022948616</v>
      </c>
      <c r="H41" s="19">
        <v>8355.4811915113114</v>
      </c>
      <c r="I41" s="19">
        <v>8043.438916698602</v>
      </c>
      <c r="J41" s="19">
        <v>8272.4264704527122</v>
      </c>
      <c r="K41" s="19">
        <v>8574.7997185665354</v>
      </c>
      <c r="L41" s="19">
        <v>8490.6922369150561</v>
      </c>
      <c r="M41" s="19">
        <v>8436.3290577345342</v>
      </c>
      <c r="N41" s="19">
        <v>9405.2570968060681</v>
      </c>
      <c r="O41" s="19">
        <v>9175.8943935926782</v>
      </c>
      <c r="P41" s="19">
        <v>9065.0820407831852</v>
      </c>
      <c r="Q41" s="19">
        <v>10068.02568440828</v>
      </c>
      <c r="R41" s="19">
        <v>11112.482357736288</v>
      </c>
      <c r="S41" s="19">
        <v>10429.976565000001</v>
      </c>
      <c r="T41" s="19">
        <v>10541.42811468358</v>
      </c>
      <c r="U41" s="19">
        <v>9785.0804000000007</v>
      </c>
      <c r="V41" s="19">
        <v>10198.475342742322</v>
      </c>
      <c r="W41" s="19">
        <v>8429.589502305349</v>
      </c>
      <c r="X41" s="19">
        <v>8709.2057575380368</v>
      </c>
      <c r="Y41" s="19">
        <v>9218.1114768683274</v>
      </c>
      <c r="Z41" s="19">
        <v>10169.566233538806</v>
      </c>
      <c r="AA41" s="19">
        <v>11227.1</v>
      </c>
    </row>
    <row r="42" spans="1:27" ht="12.75" customHeight="1" x14ac:dyDescent="0.2">
      <c r="A42" s="152"/>
      <c r="B42" s="21" t="s">
        <v>90</v>
      </c>
      <c r="C42" s="22" t="s">
        <v>91</v>
      </c>
      <c r="D42" s="23">
        <v>599.12138364779867</v>
      </c>
      <c r="E42" s="23">
        <v>603.14394764642134</v>
      </c>
      <c r="F42" s="23">
        <v>496.86154280536329</v>
      </c>
      <c r="G42" s="23">
        <v>441.73949401097059</v>
      </c>
      <c r="H42" s="23">
        <v>384.78527006115979</v>
      </c>
      <c r="I42" s="23">
        <v>366.79080523088714</v>
      </c>
      <c r="J42" s="23">
        <v>325.82743232346502</v>
      </c>
      <c r="K42" s="23">
        <v>354.62543281929436</v>
      </c>
      <c r="L42" s="23">
        <v>295.37049178394068</v>
      </c>
      <c r="M42" s="23">
        <v>264.96347644639633</v>
      </c>
      <c r="N42" s="23">
        <v>220.40292591952181</v>
      </c>
      <c r="O42" s="23">
        <v>193.25028604118992</v>
      </c>
      <c r="P42" s="23">
        <v>178.58615273975781</v>
      </c>
      <c r="Q42" s="23">
        <v>186.30985955342288</v>
      </c>
      <c r="R42" s="23">
        <v>198.61709174557802</v>
      </c>
      <c r="S42" s="23">
        <v>192.04326900000001</v>
      </c>
      <c r="T42" s="23">
        <v>186.72435825613735</v>
      </c>
      <c r="U42" s="23">
        <v>175.69989565217392</v>
      </c>
      <c r="V42" s="23">
        <v>177.42258253696619</v>
      </c>
      <c r="W42" s="23">
        <v>175.03327600951889</v>
      </c>
      <c r="X42" s="23">
        <v>169.41142506965923</v>
      </c>
      <c r="Y42" s="23">
        <v>198.73024911032027</v>
      </c>
      <c r="Z42" s="23">
        <v>199.7512757425049</v>
      </c>
      <c r="AA42" s="23">
        <v>207.3</v>
      </c>
    </row>
    <row r="43" spans="1:27" ht="12.75" customHeight="1" x14ac:dyDescent="0.2">
      <c r="A43" s="152"/>
      <c r="B43" s="21" t="s">
        <v>92</v>
      </c>
      <c r="C43" s="22" t="s">
        <v>93</v>
      </c>
      <c r="D43" s="23">
        <v>1809.3849056603772</v>
      </c>
      <c r="E43" s="23">
        <v>2014.5522259874606</v>
      </c>
      <c r="F43" s="23">
        <v>1952.9782289518957</v>
      </c>
      <c r="G43" s="23">
        <v>1990.5239225344228</v>
      </c>
      <c r="H43" s="23">
        <v>2051.2767482131017</v>
      </c>
      <c r="I43" s="23">
        <v>2154.5802656160186</v>
      </c>
      <c r="J43" s="23">
        <v>2150.5420377836654</v>
      </c>
      <c r="K43" s="23">
        <v>1726.6366347939424</v>
      </c>
      <c r="L43" s="23">
        <v>1329.9274084909114</v>
      </c>
      <c r="M43" s="23">
        <v>1178.1208652294702</v>
      </c>
      <c r="N43" s="23">
        <v>1067.282717436949</v>
      </c>
      <c r="O43" s="23">
        <v>929.59805491990835</v>
      </c>
      <c r="P43" s="23">
        <v>829.46064700969703</v>
      </c>
      <c r="Q43" s="23">
        <v>909.40428243229474</v>
      </c>
      <c r="R43" s="23">
        <v>1024.3565291674111</v>
      </c>
      <c r="S43" s="23">
        <v>946.507338</v>
      </c>
      <c r="T43" s="23">
        <v>887.32165222784658</v>
      </c>
      <c r="U43" s="23">
        <v>901.14121739130451</v>
      </c>
      <c r="V43" s="23">
        <v>962.02466975599441</v>
      </c>
      <c r="W43" s="23">
        <v>968.40128002528468</v>
      </c>
      <c r="X43" s="23">
        <v>950.49906833784974</v>
      </c>
      <c r="Y43" s="23">
        <v>1074.7181049822063</v>
      </c>
      <c r="Z43" s="23">
        <v>1010.7599222471281</v>
      </c>
      <c r="AA43" s="23">
        <v>1194.7</v>
      </c>
    </row>
    <row r="44" spans="1:27" ht="12.75" customHeight="1" x14ac:dyDescent="0.2">
      <c r="A44" s="152"/>
      <c r="B44" s="21" t="s">
        <v>94</v>
      </c>
      <c r="C44" s="22" t="s">
        <v>95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</row>
    <row r="45" spans="1:27" ht="12.75" customHeight="1" x14ac:dyDescent="0.2">
      <c r="A45" s="152"/>
      <c r="B45" s="21" t="s">
        <v>96</v>
      </c>
      <c r="C45" s="22" t="s">
        <v>97</v>
      </c>
      <c r="D45" s="23">
        <v>3353.267924528307</v>
      </c>
      <c r="E45" s="23">
        <v>1271.3927190659854</v>
      </c>
      <c r="F45" s="23">
        <v>1329.6316479966472</v>
      </c>
      <c r="G45" s="23">
        <v>1026.7419120116315</v>
      </c>
      <c r="H45" s="23">
        <v>1260.6969899049423</v>
      </c>
      <c r="I45" s="23">
        <v>1050.4192685380322</v>
      </c>
      <c r="J45" s="23">
        <v>969.5188261721039</v>
      </c>
      <c r="K45" s="23">
        <v>2483.1889110601069</v>
      </c>
      <c r="L45" s="23">
        <v>2158.8168980689629</v>
      </c>
      <c r="M45" s="23">
        <v>2508.4820111853901</v>
      </c>
      <c r="N45" s="23">
        <v>2351.0610206753436</v>
      </c>
      <c r="O45" s="23">
        <v>3447.5565789473621</v>
      </c>
      <c r="P45" s="23">
        <v>4276.0103025100925</v>
      </c>
      <c r="Q45" s="23">
        <v>4803.8770690689344</v>
      </c>
      <c r="R45" s="23">
        <v>4847.4084420225063</v>
      </c>
      <c r="S45" s="23">
        <v>4452.6695954585848</v>
      </c>
      <c r="T45" s="23">
        <v>5217.5291307989246</v>
      </c>
      <c r="U45" s="23">
        <v>5380.8612566996444</v>
      </c>
      <c r="V45" s="23">
        <v>5463.2670565112167</v>
      </c>
      <c r="W45" s="23">
        <v>5751.4837844459344</v>
      </c>
      <c r="X45" s="23">
        <v>6203.2818229643171</v>
      </c>
      <c r="Y45" s="23">
        <v>6664.1423907066583</v>
      </c>
      <c r="Z45" s="23">
        <v>7036.2695419606998</v>
      </c>
      <c r="AA45" s="23">
        <v>7551.1227555817559</v>
      </c>
    </row>
    <row r="46" spans="1:27" ht="12.75" customHeight="1" x14ac:dyDescent="0.2">
      <c r="A46" s="152"/>
      <c r="B46" s="21" t="s">
        <v>98</v>
      </c>
      <c r="C46" s="22" t="s">
        <v>99</v>
      </c>
      <c r="D46" s="23">
        <v>15038.486792452832</v>
      </c>
      <c r="E46" s="23">
        <v>20107.102376215891</v>
      </c>
      <c r="F46" s="23">
        <v>26788.515506848595</v>
      </c>
      <c r="G46" s="23">
        <v>20663.672853464679</v>
      </c>
      <c r="H46" s="23">
        <v>18001.158617640558</v>
      </c>
      <c r="I46" s="23">
        <v>17313.676613096377</v>
      </c>
      <c r="J46" s="23">
        <v>16114.150647390854</v>
      </c>
      <c r="K46" s="23">
        <v>17036.88693295194</v>
      </c>
      <c r="L46" s="23">
        <v>16777.790307055315</v>
      </c>
      <c r="M46" s="23">
        <v>21357.136524766771</v>
      </c>
      <c r="N46" s="23">
        <v>21402.093706000051</v>
      </c>
      <c r="O46" s="23">
        <v>22656.920251716248</v>
      </c>
      <c r="P46" s="23">
        <v>19578.560299030298</v>
      </c>
      <c r="Q46" s="23">
        <v>16539.40914770091</v>
      </c>
      <c r="R46" s="23">
        <v>18759.240389941042</v>
      </c>
      <c r="S46" s="23">
        <v>77788.184771695014</v>
      </c>
      <c r="T46" s="23">
        <v>73150.913221860843</v>
      </c>
      <c r="U46" s="23">
        <v>77364.095474453556</v>
      </c>
      <c r="V46" s="23">
        <v>89148.068079602599</v>
      </c>
      <c r="W46" s="23">
        <v>89328.999639523463</v>
      </c>
      <c r="X46" s="23">
        <v>103699.09714308093</v>
      </c>
      <c r="Y46" s="23">
        <v>125718.66676904107</v>
      </c>
      <c r="Z46" s="23">
        <v>149222.63098481059</v>
      </c>
      <c r="AA46" s="23">
        <v>105918.08717292314</v>
      </c>
    </row>
    <row r="47" spans="1:27" ht="12.75" customHeight="1" x14ac:dyDescent="0.2">
      <c r="A47" s="152"/>
      <c r="B47" s="21" t="s">
        <v>100</v>
      </c>
      <c r="C47" s="22" t="s">
        <v>101</v>
      </c>
      <c r="D47" s="23">
        <v>2311.817610062893</v>
      </c>
      <c r="E47" s="23">
        <v>2278.5080794084161</v>
      </c>
      <c r="F47" s="23">
        <v>2145.0139073108594</v>
      </c>
      <c r="G47" s="23">
        <v>2158.7084741967983</v>
      </c>
      <c r="H47" s="23">
        <v>2221.5089750202637</v>
      </c>
      <c r="I47" s="23">
        <v>2359.865249568883</v>
      </c>
      <c r="J47" s="23">
        <v>2436.2821679530007</v>
      </c>
      <c r="K47" s="23">
        <v>2520.8948926746561</v>
      </c>
      <c r="L47" s="23">
        <v>1961.9953817842948</v>
      </c>
      <c r="M47" s="23">
        <v>1364.4766150262651</v>
      </c>
      <c r="N47" s="23">
        <v>1073.6502346664033</v>
      </c>
      <c r="O47" s="23">
        <v>1163.0672196796338</v>
      </c>
      <c r="P47" s="23">
        <v>1060.3722706815759</v>
      </c>
      <c r="Q47" s="23">
        <v>1221.4235703534364</v>
      </c>
      <c r="R47" s="23">
        <v>1505.7216678577809</v>
      </c>
      <c r="S47" s="23">
        <v>1371.1350420000001</v>
      </c>
      <c r="T47" s="23">
        <v>1633.3985764590543</v>
      </c>
      <c r="U47" s="23">
        <v>1691.2247043478264</v>
      </c>
      <c r="V47" s="23">
        <v>1719.1403378391369</v>
      </c>
      <c r="W47" s="23">
        <v>1820.0410965271067</v>
      </c>
      <c r="X47" s="23">
        <v>1975.7186725011252</v>
      </c>
      <c r="Y47" s="23">
        <v>2142.4495996441283</v>
      </c>
      <c r="Z47" s="23">
        <v>2295.5494580064446</v>
      </c>
      <c r="AA47" s="23">
        <v>2490</v>
      </c>
    </row>
    <row r="48" spans="1:27" ht="12.75" customHeight="1" x14ac:dyDescent="0.2">
      <c r="A48" s="152"/>
      <c r="B48" s="21" t="s">
        <v>102</v>
      </c>
      <c r="C48" s="22" t="s">
        <v>103</v>
      </c>
      <c r="D48" s="23">
        <v>1425.4176100628931</v>
      </c>
      <c r="E48" s="23">
        <v>1376.203447708159</v>
      </c>
      <c r="F48" s="23">
        <v>1300.2415722221494</v>
      </c>
      <c r="G48" s="23">
        <v>1287.4716892421359</v>
      </c>
      <c r="H48" s="23">
        <v>1441.1460282956305</v>
      </c>
      <c r="I48" s="23">
        <v>1538.0237246119946</v>
      </c>
      <c r="J48" s="23">
        <v>1755.4729017394309</v>
      </c>
      <c r="K48" s="23">
        <v>1810.2925581609941</v>
      </c>
      <c r="L48" s="23">
        <v>1719.5621377089406</v>
      </c>
      <c r="M48" s="23">
        <v>1198.0215555205086</v>
      </c>
      <c r="N48" s="23">
        <v>1061.3493491095028</v>
      </c>
      <c r="O48" s="23">
        <v>1044.2646453089246</v>
      </c>
      <c r="P48" s="23">
        <v>1023.1328446155987</v>
      </c>
      <c r="Q48" s="23">
        <v>1142.2584556535123</v>
      </c>
      <c r="R48" s="23">
        <v>1294.2821288190103</v>
      </c>
      <c r="S48" s="23">
        <v>1281.1477140000002</v>
      </c>
      <c r="T48" s="23">
        <v>1362.1618124887457</v>
      </c>
      <c r="U48" s="23">
        <v>1538.5061739130438</v>
      </c>
      <c r="V48" s="23">
        <v>1557.6013007864326</v>
      </c>
      <c r="W48" s="23">
        <v>1641.1956458689674</v>
      </c>
      <c r="X48" s="23">
        <v>1520.6638777444778</v>
      </c>
      <c r="Y48" s="23">
        <v>1403.1996886120996</v>
      </c>
      <c r="Z48" s="23">
        <v>1459.0974029840293</v>
      </c>
      <c r="AA48" s="23">
        <v>1733.2</v>
      </c>
    </row>
    <row r="49" spans="1:27" ht="12.75" customHeight="1" x14ac:dyDescent="0.2">
      <c r="A49" s="152"/>
      <c r="B49" s="21" t="s">
        <v>104</v>
      </c>
      <c r="C49" s="22" t="s">
        <v>105</v>
      </c>
      <c r="D49" s="23">
        <v>6389.8150943396231</v>
      </c>
      <c r="E49" s="23">
        <v>7640.7342685453232</v>
      </c>
      <c r="F49" s="23">
        <v>6916.5157905104597</v>
      </c>
      <c r="G49" s="23">
        <v>5954.957349154819</v>
      </c>
      <c r="H49" s="23">
        <v>6533.0034632672614</v>
      </c>
      <c r="I49" s="23">
        <v>6576.8369670913971</v>
      </c>
      <c r="J49" s="23">
        <v>6509.9349164842761</v>
      </c>
      <c r="K49" s="23">
        <v>5212.7505980461137</v>
      </c>
      <c r="L49" s="23">
        <v>4310.5847109339065</v>
      </c>
      <c r="M49" s="23">
        <v>4912.3432505550236</v>
      </c>
      <c r="N49" s="23">
        <v>4581.4286465923979</v>
      </c>
      <c r="O49" s="23">
        <v>4033.1548627002289</v>
      </c>
      <c r="P49" s="23">
        <v>3935.8267862942516</v>
      </c>
      <c r="Q49" s="23">
        <v>3634.0367979085795</v>
      </c>
      <c r="R49" s="23">
        <v>3619.9862169465782</v>
      </c>
      <c r="S49" s="23">
        <v>3919.4784951312772</v>
      </c>
      <c r="T49" s="23">
        <v>4297.4653343237505</v>
      </c>
      <c r="U49" s="23">
        <v>4522.403117159085</v>
      </c>
      <c r="V49" s="23">
        <v>5061.6770714382865</v>
      </c>
      <c r="W49" s="23">
        <v>5201.8052167329151</v>
      </c>
      <c r="X49" s="23">
        <v>7538.4531620752869</v>
      </c>
      <c r="Y49" s="23">
        <v>9086.7900405621986</v>
      </c>
      <c r="Z49" s="23">
        <v>10653.973797312521</v>
      </c>
      <c r="AA49" s="23">
        <v>11262.525275605916</v>
      </c>
    </row>
    <row r="50" spans="1:27" ht="12.75" customHeight="1" x14ac:dyDescent="0.2">
      <c r="A50" s="152"/>
      <c r="B50" s="21" t="s">
        <v>106</v>
      </c>
      <c r="C50" s="22" t="s">
        <v>107</v>
      </c>
      <c r="D50" s="23">
        <v>987.44402515723266</v>
      </c>
      <c r="E50" s="23">
        <v>948.1191373183882</v>
      </c>
      <c r="F50" s="23">
        <v>803.38002941678599</v>
      </c>
      <c r="G50" s="23">
        <v>513.15234523676259</v>
      </c>
      <c r="H50" s="23">
        <v>217.28711959325031</v>
      </c>
      <c r="I50" s="23">
        <v>350.65425488599351</v>
      </c>
      <c r="J50" s="23">
        <v>418.14970395115773</v>
      </c>
      <c r="K50" s="23">
        <v>419.4959388228238</v>
      </c>
      <c r="L50" s="23">
        <v>500.07039741427116</v>
      </c>
      <c r="M50" s="23">
        <v>433.12430940567032</v>
      </c>
      <c r="N50" s="23">
        <v>182.05310624212635</v>
      </c>
      <c r="O50" s="23">
        <v>340.57688787185356</v>
      </c>
      <c r="P50" s="23">
        <v>364.51146244142348</v>
      </c>
      <c r="Q50" s="23">
        <v>396.09078326410969</v>
      </c>
      <c r="R50" s="23">
        <v>451.92584643559047</v>
      </c>
      <c r="S50" s="23">
        <v>428.494347</v>
      </c>
      <c r="T50" s="23">
        <v>433.11142734239007</v>
      </c>
      <c r="U50" s="23">
        <v>453.40082608695661</v>
      </c>
      <c r="V50" s="23">
        <v>501.5144999711577</v>
      </c>
      <c r="W50" s="23">
        <v>466.61017699115052</v>
      </c>
      <c r="X50" s="23">
        <v>523.71690875839022</v>
      </c>
      <c r="Y50" s="23">
        <v>511.35333629893239</v>
      </c>
      <c r="Z50" s="23">
        <v>437.8728530400673</v>
      </c>
      <c r="AA50" s="23">
        <v>447</v>
      </c>
    </row>
    <row r="51" spans="1:27" ht="12.75" customHeight="1" x14ac:dyDescent="0.2">
      <c r="A51" s="152"/>
      <c r="B51" s="21" t="s">
        <v>108</v>
      </c>
      <c r="C51" s="22" t="s">
        <v>109</v>
      </c>
      <c r="D51" s="23">
        <v>941.80000000000007</v>
      </c>
      <c r="E51" s="23">
        <v>982.68095734610165</v>
      </c>
      <c r="F51" s="23">
        <v>1525.9758191392966</v>
      </c>
      <c r="G51" s="23">
        <v>1476.2056531960147</v>
      </c>
      <c r="H51" s="23">
        <v>1722.1802962198806</v>
      </c>
      <c r="I51" s="23">
        <v>1789.0523208469056</v>
      </c>
      <c r="J51" s="23">
        <v>1754.3931090888145</v>
      </c>
      <c r="K51" s="23">
        <v>2056.8004809744061</v>
      </c>
      <c r="L51" s="23">
        <v>1936.4251707501212</v>
      </c>
      <c r="M51" s="23">
        <v>1368.1724575088865</v>
      </c>
      <c r="N51" s="23">
        <v>972.92768940048916</v>
      </c>
      <c r="O51" s="23">
        <v>1170.9113272311213</v>
      </c>
      <c r="P51" s="23">
        <v>1232.8424592864103</v>
      </c>
      <c r="Q51" s="23">
        <v>1277.1176208960967</v>
      </c>
      <c r="R51" s="23">
        <v>1349.3663156601751</v>
      </c>
      <c r="S51" s="23">
        <v>1348.6382100000001</v>
      </c>
      <c r="T51" s="23">
        <v>1467.7730157459835</v>
      </c>
      <c r="U51" s="23">
        <v>1406.2784173913046</v>
      </c>
      <c r="V51" s="23">
        <v>1435.940101332513</v>
      </c>
      <c r="W51" s="23">
        <v>1472.1529300215664</v>
      </c>
      <c r="X51" s="23">
        <v>2065.9218418759638</v>
      </c>
      <c r="Y51" s="23">
        <v>1639.7463523131671</v>
      </c>
      <c r="Z51" s="23">
        <v>1881.5810976463997</v>
      </c>
      <c r="AA51" s="23">
        <v>1824.2</v>
      </c>
    </row>
    <row r="52" spans="1:27" ht="12.75" customHeight="1" x14ac:dyDescent="0.2">
      <c r="A52" s="152"/>
      <c r="B52" s="21" t="s">
        <v>110</v>
      </c>
      <c r="C52" s="22" t="s">
        <v>111</v>
      </c>
      <c r="D52" s="23">
        <v>609.40000000000009</v>
      </c>
      <c r="E52" s="23">
        <v>578.87029730137613</v>
      </c>
      <c r="F52" s="23">
        <v>536.56122631226447</v>
      </c>
      <c r="G52" s="23">
        <v>838.00794805776331</v>
      </c>
      <c r="H52" s="23">
        <v>590.56048927860877</v>
      </c>
      <c r="I52" s="23">
        <v>658.37125407166127</v>
      </c>
      <c r="J52" s="23">
        <v>577.68906807971427</v>
      </c>
      <c r="K52" s="23">
        <v>613.83716305839755</v>
      </c>
      <c r="L52" s="23">
        <v>592.81424392200358</v>
      </c>
      <c r="M52" s="23">
        <v>344.42408982275657</v>
      </c>
      <c r="N52" s="23">
        <v>302.74650100041993</v>
      </c>
      <c r="O52" s="23">
        <v>317.7576659038902</v>
      </c>
      <c r="P52" s="23">
        <v>303.89546234862894</v>
      </c>
      <c r="Q52" s="23">
        <v>333.1034641980059</v>
      </c>
      <c r="R52" s="23">
        <v>367.53320863855635</v>
      </c>
      <c r="S52" s="23">
        <v>394.63192800000002</v>
      </c>
      <c r="T52" s="23">
        <v>415.64631159840741</v>
      </c>
      <c r="U52" s="23">
        <v>412.75890434782616</v>
      </c>
      <c r="V52" s="23">
        <v>457.46863979848871</v>
      </c>
      <c r="W52" s="23">
        <v>419.23029207258128</v>
      </c>
      <c r="X52" s="23">
        <v>368.55399427405996</v>
      </c>
      <c r="Y52" s="23">
        <v>436.27499999999998</v>
      </c>
      <c r="Z52" s="23">
        <v>495.73608854020733</v>
      </c>
      <c r="AA52" s="23">
        <v>520.20000000000005</v>
      </c>
    </row>
    <row r="53" spans="1:27" ht="12.75" customHeight="1" x14ac:dyDescent="0.2">
      <c r="A53" s="152"/>
      <c r="B53" s="21" t="s">
        <v>112</v>
      </c>
      <c r="C53" s="22" t="s">
        <v>113</v>
      </c>
      <c r="D53" s="23">
        <v>3956.7446540880519</v>
      </c>
      <c r="E53" s="23">
        <v>4451.5624195694782</v>
      </c>
      <c r="F53" s="23">
        <v>4437.1320682364467</v>
      </c>
      <c r="G53" s="23">
        <v>4582.2274599798529</v>
      </c>
      <c r="H53" s="23">
        <v>4727.0740918134252</v>
      </c>
      <c r="I53" s="23">
        <v>4617.5791195631336</v>
      </c>
      <c r="J53" s="23">
        <v>5071.9210540260301</v>
      </c>
      <c r="K53" s="23">
        <v>5057.1965305251506</v>
      </c>
      <c r="L53" s="23">
        <v>5378.8666627345956</v>
      </c>
      <c r="M53" s="23">
        <v>5764.6613861626392</v>
      </c>
      <c r="N53" s="23">
        <v>4599.8076167774134</v>
      </c>
      <c r="O53" s="23">
        <v>6383.3921052631567</v>
      </c>
      <c r="P53" s="23">
        <v>5214.0632904932054</v>
      </c>
      <c r="Q53" s="23">
        <v>5757.3061724063791</v>
      </c>
      <c r="R53" s="23">
        <v>6875.5794164284462</v>
      </c>
      <c r="S53" s="23">
        <v>8763.1750257151325</v>
      </c>
      <c r="T53" s="23">
        <v>5933.4523268217372</v>
      </c>
      <c r="U53" s="23">
        <v>8635.9149603833866</v>
      </c>
      <c r="V53" s="23">
        <v>7070.9471036944724</v>
      </c>
      <c r="W53" s="23">
        <v>10832.255035396473</v>
      </c>
      <c r="X53" s="23">
        <v>10240.295613005688</v>
      </c>
      <c r="Y53" s="23">
        <v>12557.433717839531</v>
      </c>
      <c r="Z53" s="23">
        <v>13325.256378669064</v>
      </c>
      <c r="AA53" s="23">
        <v>12017.664795889197</v>
      </c>
    </row>
    <row r="54" spans="1:27" ht="12.75" customHeight="1" x14ac:dyDescent="0.2">
      <c r="A54" s="153"/>
      <c r="B54" s="28" t="s">
        <v>52</v>
      </c>
      <c r="C54" s="31" t="s">
        <v>58</v>
      </c>
      <c r="D54" s="30">
        <f>SUM(D41:D53)</f>
        <v>43698.405031446557</v>
      </c>
      <c r="E54" s="30">
        <f t="shared" ref="E54:S54" si="6">SUM(E41:E53)</f>
        <v>49555.862824294491</v>
      </c>
      <c r="F54" s="30">
        <f t="shared" si="6"/>
        <v>55968.552258132317</v>
      </c>
      <c r="G54" s="30">
        <f t="shared" si="6"/>
        <v>49558.624124034468</v>
      </c>
      <c r="H54" s="30">
        <f t="shared" si="6"/>
        <v>47506.159280819389</v>
      </c>
      <c r="I54" s="30">
        <f t="shared" si="6"/>
        <v>46819.288759819879</v>
      </c>
      <c r="J54" s="30">
        <f t="shared" si="6"/>
        <v>46356.308335445232</v>
      </c>
      <c r="K54" s="30">
        <f t="shared" si="6"/>
        <v>47867.405792454367</v>
      </c>
      <c r="L54" s="30">
        <f t="shared" si="6"/>
        <v>45452.916047562321</v>
      </c>
      <c r="M54" s="30">
        <f t="shared" si="6"/>
        <v>49130.255599364311</v>
      </c>
      <c r="N54" s="30">
        <f t="shared" si="6"/>
        <v>47220.060610626686</v>
      </c>
      <c r="O54" s="30">
        <f t="shared" si="6"/>
        <v>50856.344279176192</v>
      </c>
      <c r="P54" s="30">
        <f t="shared" si="6"/>
        <v>47062.344018234122</v>
      </c>
      <c r="Q54" s="30">
        <f t="shared" si="6"/>
        <v>46268.36290784397</v>
      </c>
      <c r="R54" s="30">
        <f t="shared" si="6"/>
        <v>51406.499611398962</v>
      </c>
      <c r="S54" s="30">
        <f t="shared" si="6"/>
        <v>111316.08230100002</v>
      </c>
      <c r="T54" s="30">
        <f t="shared" ref="T54:Y54" si="7">SUM(T41:T53)</f>
        <v>105526.92528260739</v>
      </c>
      <c r="U54" s="30">
        <f t="shared" si="7"/>
        <v>112267.36534782613</v>
      </c>
      <c r="V54" s="30">
        <f t="shared" si="7"/>
        <v>123753.5467860096</v>
      </c>
      <c r="W54" s="30">
        <f t="shared" si="7"/>
        <v>126506.7978759203</v>
      </c>
      <c r="X54" s="30">
        <f t="shared" si="7"/>
        <v>143964.81928722581</v>
      </c>
      <c r="Y54" s="30">
        <f t="shared" si="7"/>
        <v>170651.61672597865</v>
      </c>
      <c r="Z54" s="30">
        <f t="shared" ref="Z54:AA54" si="8">SUM(Z41:Z53)</f>
        <v>198188.0450344985</v>
      </c>
      <c r="AA54" s="30">
        <f t="shared" si="8"/>
        <v>156393.10000000003</v>
      </c>
    </row>
    <row r="55" spans="1:27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2.75" customHeight="1" x14ac:dyDescent="0.2">
      <c r="A56" s="151" t="s">
        <v>114</v>
      </c>
      <c r="B56" s="17" t="s">
        <v>88</v>
      </c>
      <c r="C56" s="18" t="s">
        <v>89</v>
      </c>
      <c r="D56" s="19">
        <v>6275.7050314465414</v>
      </c>
      <c r="E56" s="19">
        <v>7302.9929481814825</v>
      </c>
      <c r="F56" s="19">
        <v>7735.7449183815525</v>
      </c>
      <c r="G56" s="19">
        <v>8625.215022948616</v>
      </c>
      <c r="H56" s="19">
        <v>8355.4811915113114</v>
      </c>
      <c r="I56" s="19">
        <v>8043.438916698602</v>
      </c>
      <c r="J56" s="19">
        <v>8272.4264704527122</v>
      </c>
      <c r="K56" s="19">
        <v>8574.7997185665354</v>
      </c>
      <c r="L56" s="19">
        <v>8490.6922369150561</v>
      </c>
      <c r="M56" s="19">
        <v>8436.3290577345342</v>
      </c>
      <c r="N56" s="19">
        <v>9405.2570968060681</v>
      </c>
      <c r="O56" s="19">
        <v>9175.8943935926782</v>
      </c>
      <c r="P56" s="19">
        <v>9065.0820407831852</v>
      </c>
      <c r="Q56" s="19">
        <v>10068.02568440828</v>
      </c>
      <c r="R56" s="19">
        <v>11112.482357736288</v>
      </c>
      <c r="S56" s="19">
        <v>10429.976565000001</v>
      </c>
      <c r="T56" s="19">
        <v>10541.42811468358</v>
      </c>
      <c r="U56" s="19">
        <v>9785.0804000000007</v>
      </c>
      <c r="V56" s="19">
        <v>10198.475342742322</v>
      </c>
      <c r="W56" s="19">
        <v>8429.589502305349</v>
      </c>
      <c r="X56" s="19">
        <v>8709.2057575380368</v>
      </c>
      <c r="Y56" s="19">
        <v>9218.1114768683274</v>
      </c>
      <c r="Z56" s="19">
        <v>10169.566233538806</v>
      </c>
      <c r="AA56" s="19">
        <v>11227.1</v>
      </c>
    </row>
    <row r="57" spans="1:27" ht="12.75" customHeight="1" x14ac:dyDescent="0.2">
      <c r="A57" s="152"/>
      <c r="B57" s="21" t="s">
        <v>90</v>
      </c>
      <c r="C57" s="22" t="s">
        <v>91</v>
      </c>
      <c r="D57" s="23">
        <v>599.12138364779867</v>
      </c>
      <c r="E57" s="23">
        <v>603.14394764642134</v>
      </c>
      <c r="F57" s="23">
        <v>496.86154280536329</v>
      </c>
      <c r="G57" s="23">
        <v>441.73949401097059</v>
      </c>
      <c r="H57" s="23">
        <v>384.78527006115979</v>
      </c>
      <c r="I57" s="23">
        <v>366.79080523088714</v>
      </c>
      <c r="J57" s="23">
        <v>325.82743232346502</v>
      </c>
      <c r="K57" s="23">
        <v>354.62543281929436</v>
      </c>
      <c r="L57" s="23">
        <v>295.37049178394068</v>
      </c>
      <c r="M57" s="23">
        <v>264.96347644639633</v>
      </c>
      <c r="N57" s="23">
        <v>220.40292591952181</v>
      </c>
      <c r="O57" s="23">
        <v>193.25028604118992</v>
      </c>
      <c r="P57" s="23">
        <v>178.58615273975781</v>
      </c>
      <c r="Q57" s="23">
        <v>186.30985955342288</v>
      </c>
      <c r="R57" s="23">
        <v>198.61709174557802</v>
      </c>
      <c r="S57" s="23">
        <v>192.04326900000001</v>
      </c>
      <c r="T57" s="23">
        <v>186.72435825613735</v>
      </c>
      <c r="U57" s="23">
        <v>175.69989565217392</v>
      </c>
      <c r="V57" s="23">
        <v>177.42258253696619</v>
      </c>
      <c r="W57" s="23">
        <v>175.03327600951889</v>
      </c>
      <c r="X57" s="23">
        <v>169.41142506965923</v>
      </c>
      <c r="Y57" s="23">
        <v>198.73024911032027</v>
      </c>
      <c r="Z57" s="23">
        <v>199.7512757425049</v>
      </c>
      <c r="AA57" s="23">
        <v>207.3</v>
      </c>
    </row>
    <row r="58" spans="1:27" ht="12.75" customHeight="1" x14ac:dyDescent="0.2">
      <c r="A58" s="152"/>
      <c r="B58" s="21" t="s">
        <v>115</v>
      </c>
      <c r="C58" s="22" t="s">
        <v>116</v>
      </c>
      <c r="D58" s="23">
        <v>651.38553459119498</v>
      </c>
      <c r="E58" s="23">
        <v>513.12246292307486</v>
      </c>
      <c r="F58" s="23">
        <v>532.25273352856971</v>
      </c>
      <c r="G58" s="23">
        <v>565.47318929810808</v>
      </c>
      <c r="H58" s="23">
        <v>653.44424508142367</v>
      </c>
      <c r="I58" s="23">
        <v>650.5134556428435</v>
      </c>
      <c r="J58" s="23">
        <v>700.92040433129819</v>
      </c>
      <c r="K58" s="23">
        <v>745.87567215308138</v>
      </c>
      <c r="L58" s="23">
        <v>436.35219586424927</v>
      </c>
      <c r="M58" s="23">
        <v>287.28067912991787</v>
      </c>
      <c r="N58" s="23">
        <v>237.91359830052124</v>
      </c>
      <c r="O58" s="23">
        <v>191.68146453089244</v>
      </c>
      <c r="P58" s="23">
        <v>188.23578504152556</v>
      </c>
      <c r="Q58" s="23">
        <v>227.28476816695149</v>
      </c>
      <c r="R58" s="23">
        <v>247.94426143469718</v>
      </c>
      <c r="S58" s="23">
        <v>251.566137</v>
      </c>
      <c r="T58" s="23">
        <v>269.47853084171987</v>
      </c>
      <c r="U58" s="23">
        <v>313.92771304347832</v>
      </c>
      <c r="V58" s="23">
        <v>361.60412059915012</v>
      </c>
      <c r="W58" s="23">
        <v>386.00991299174541</v>
      </c>
      <c r="X58" s="23">
        <v>374.38803010427341</v>
      </c>
      <c r="Y58" s="23">
        <v>538.8561832740213</v>
      </c>
      <c r="Z58" s="23">
        <v>565.2950844073971</v>
      </c>
      <c r="AA58" s="23">
        <v>622.20000000000005</v>
      </c>
    </row>
    <row r="59" spans="1:27" ht="12.75" customHeight="1" x14ac:dyDescent="0.2">
      <c r="A59" s="152"/>
      <c r="B59" s="21" t="s">
        <v>117</v>
      </c>
      <c r="C59" s="22" t="s">
        <v>118</v>
      </c>
      <c r="D59" s="23">
        <v>473.6874213836478</v>
      </c>
      <c r="E59" s="23">
        <v>439.81925393406419</v>
      </c>
      <c r="F59" s="23">
        <v>470.85671136092037</v>
      </c>
      <c r="G59" s="23">
        <v>471.90778014105001</v>
      </c>
      <c r="H59" s="23">
        <v>391.40461277724557</v>
      </c>
      <c r="I59" s="23">
        <v>339.569146388197</v>
      </c>
      <c r="J59" s="23">
        <v>311.11525745881812</v>
      </c>
      <c r="K59" s="23">
        <v>311.78386947946348</v>
      </c>
      <c r="L59" s="23">
        <v>280.7194519481439</v>
      </c>
      <c r="M59" s="23">
        <v>240.22976137039149</v>
      </c>
      <c r="N59" s="23">
        <v>269.89590074846234</v>
      </c>
      <c r="O59" s="23">
        <v>225.4824370709382</v>
      </c>
      <c r="P59" s="23">
        <v>225.20339047928363</v>
      </c>
      <c r="Q59" s="23">
        <v>235.77148063059497</v>
      </c>
      <c r="R59" s="23">
        <v>266.1312019832053</v>
      </c>
      <c r="S59" s="23">
        <v>231.41272499999999</v>
      </c>
      <c r="T59" s="23">
        <v>222.94396070506789</v>
      </c>
      <c r="U59" s="23">
        <v>247.0213739130435</v>
      </c>
      <c r="V59" s="23">
        <v>259.43124290960833</v>
      </c>
      <c r="W59" s="23">
        <v>247.13783650628397</v>
      </c>
      <c r="X59" s="23">
        <v>275.43380698411482</v>
      </c>
      <c r="Y59" s="23">
        <v>280.57339857651243</v>
      </c>
      <c r="Z59" s="23">
        <v>270.33621550154106</v>
      </c>
      <c r="AA59" s="23">
        <v>284.3</v>
      </c>
    </row>
    <row r="60" spans="1:27" ht="12.75" customHeight="1" x14ac:dyDescent="0.2">
      <c r="A60" s="152"/>
      <c r="B60" s="21" t="s">
        <v>119</v>
      </c>
      <c r="C60" s="22" t="s">
        <v>7</v>
      </c>
      <c r="D60" s="23">
        <v>684.3119496855345</v>
      </c>
      <c r="E60" s="23">
        <v>1061.6105091303216</v>
      </c>
      <c r="F60" s="23">
        <v>949.86878406240578</v>
      </c>
      <c r="G60" s="23">
        <v>953.14295309526472</v>
      </c>
      <c r="H60" s="23">
        <v>1006.4278903544322</v>
      </c>
      <c r="I60" s="23">
        <v>1164.497663584978</v>
      </c>
      <c r="J60" s="23">
        <v>1138.5063759935492</v>
      </c>
      <c r="K60" s="23">
        <v>668.97709316139753</v>
      </c>
      <c r="L60" s="23">
        <v>612.8557606785181</v>
      </c>
      <c r="M60" s="23">
        <v>650.61042472916074</v>
      </c>
      <c r="N60" s="23">
        <v>559.4732183879654</v>
      </c>
      <c r="O60" s="23">
        <v>512.43415331807773</v>
      </c>
      <c r="P60" s="23">
        <v>416.02147148888781</v>
      </c>
      <c r="Q60" s="23">
        <v>446.34803363474822</v>
      </c>
      <c r="R60" s="23">
        <v>510.28106574950868</v>
      </c>
      <c r="S60" s="23">
        <v>463.52847599999996</v>
      </c>
      <c r="T60" s="23">
        <v>394.89916068105879</v>
      </c>
      <c r="U60" s="23">
        <v>340.19213043478265</v>
      </c>
      <c r="V60" s="23">
        <v>340.98930624723602</v>
      </c>
      <c r="W60" s="23">
        <v>335.25353052725529</v>
      </c>
      <c r="X60" s="23">
        <v>300.67723124946144</v>
      </c>
      <c r="Y60" s="23">
        <v>255.28852313167263</v>
      </c>
      <c r="Z60" s="23">
        <v>175.12862233819001</v>
      </c>
      <c r="AA60" s="23">
        <v>288.20000000000005</v>
      </c>
    </row>
    <row r="61" spans="1:27" ht="12.75" customHeight="1" x14ac:dyDescent="0.2">
      <c r="A61" s="152"/>
      <c r="B61" s="21" t="s">
        <v>94</v>
      </c>
      <c r="C61" s="22" t="s">
        <v>95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0</v>
      </c>
    </row>
    <row r="62" spans="1:27" ht="12.75" customHeight="1" x14ac:dyDescent="0.2">
      <c r="A62" s="152"/>
      <c r="B62" s="21" t="s">
        <v>96</v>
      </c>
      <c r="C62" s="22" t="s">
        <v>97</v>
      </c>
      <c r="D62" s="23">
        <v>3353.267924528307</v>
      </c>
      <c r="E62" s="23">
        <v>1271.3927190659854</v>
      </c>
      <c r="F62" s="23">
        <v>1329.6316479966472</v>
      </c>
      <c r="G62" s="23">
        <v>1026.7419120116315</v>
      </c>
      <c r="H62" s="23">
        <v>1260.6969899049423</v>
      </c>
      <c r="I62" s="23">
        <v>1050.4192685380322</v>
      </c>
      <c r="J62" s="23">
        <v>969.5188261721039</v>
      </c>
      <c r="K62" s="23">
        <v>2483.1889110601069</v>
      </c>
      <c r="L62" s="23">
        <v>2158.8168980689629</v>
      </c>
      <c r="M62" s="23">
        <v>2508.4820111853901</v>
      </c>
      <c r="N62" s="23">
        <v>2351.0610206753436</v>
      </c>
      <c r="O62" s="23">
        <v>3447.5565789473621</v>
      </c>
      <c r="P62" s="23">
        <v>4276.0103025100925</v>
      </c>
      <c r="Q62" s="23">
        <v>4803.8770690689344</v>
      </c>
      <c r="R62" s="23">
        <v>4847.4084420225063</v>
      </c>
      <c r="S62" s="23">
        <v>4452.6695954585848</v>
      </c>
      <c r="T62" s="23">
        <v>5217.5291307989246</v>
      </c>
      <c r="U62" s="23">
        <v>5380.8612566996444</v>
      </c>
      <c r="V62" s="23">
        <v>5463.2670565112167</v>
      </c>
      <c r="W62" s="23">
        <v>5751.4837844459344</v>
      </c>
      <c r="X62" s="23">
        <v>6203.2818229643171</v>
      </c>
      <c r="Y62" s="23">
        <v>6664.1423907066583</v>
      </c>
      <c r="Z62" s="23">
        <v>7036.2695419606998</v>
      </c>
      <c r="AA62" s="23">
        <v>7551.1227555817559</v>
      </c>
    </row>
    <row r="63" spans="1:27" ht="12.75" customHeight="1" x14ac:dyDescent="0.2">
      <c r="A63" s="152"/>
      <c r="B63" s="21" t="s">
        <v>98</v>
      </c>
      <c r="C63" s="22" t="s">
        <v>99</v>
      </c>
      <c r="D63" s="23">
        <v>15038.486792452832</v>
      </c>
      <c r="E63" s="23">
        <v>20107.102376215891</v>
      </c>
      <c r="F63" s="23">
        <v>26788.515506848595</v>
      </c>
      <c r="G63" s="23">
        <v>20663.672853464679</v>
      </c>
      <c r="H63" s="23">
        <v>18001.158617640558</v>
      </c>
      <c r="I63" s="23">
        <v>17313.676613096377</v>
      </c>
      <c r="J63" s="23">
        <v>16114.150647390854</v>
      </c>
      <c r="K63" s="23">
        <v>17036.88693295194</v>
      </c>
      <c r="L63" s="23">
        <v>16777.790307055315</v>
      </c>
      <c r="M63" s="23">
        <v>21357.136524766771</v>
      </c>
      <c r="N63" s="23">
        <v>21402.093706000051</v>
      </c>
      <c r="O63" s="23">
        <v>22656.920251716248</v>
      </c>
      <c r="P63" s="23">
        <v>19578.560299030298</v>
      </c>
      <c r="Q63" s="23">
        <v>16539.40914770091</v>
      </c>
      <c r="R63" s="23">
        <v>18759.240389941042</v>
      </c>
      <c r="S63" s="23">
        <v>77788.184771695014</v>
      </c>
      <c r="T63" s="23">
        <v>73150.913221860843</v>
      </c>
      <c r="U63" s="23">
        <v>77364.095474453556</v>
      </c>
      <c r="V63" s="23">
        <v>89148.068079602599</v>
      </c>
      <c r="W63" s="23">
        <v>89328.999639523463</v>
      </c>
      <c r="X63" s="23">
        <v>103699.09714308093</v>
      </c>
      <c r="Y63" s="23">
        <v>125718.66676904107</v>
      </c>
      <c r="Z63" s="23">
        <v>149222.63098481059</v>
      </c>
      <c r="AA63" s="23">
        <v>105918.08717292314</v>
      </c>
    </row>
    <row r="64" spans="1:27" ht="12.75" customHeight="1" x14ac:dyDescent="0.2">
      <c r="A64" s="152"/>
      <c r="B64" s="21" t="s">
        <v>120</v>
      </c>
      <c r="C64" s="22" t="s">
        <v>121</v>
      </c>
      <c r="D64" s="23">
        <v>919.15220125786175</v>
      </c>
      <c r="E64" s="23">
        <v>976.89386189960089</v>
      </c>
      <c r="F64" s="23">
        <v>933.86581086582532</v>
      </c>
      <c r="G64" s="23">
        <v>933.90520541811247</v>
      </c>
      <c r="H64" s="23">
        <v>930.88104413823589</v>
      </c>
      <c r="I64" s="23">
        <v>935.9199200038322</v>
      </c>
      <c r="J64" s="23">
        <v>954.94162538878004</v>
      </c>
      <c r="K64" s="23">
        <v>913.18751888718452</v>
      </c>
      <c r="L64" s="23">
        <v>772.6350253028678</v>
      </c>
      <c r="M64" s="23">
        <v>601.9958813039101</v>
      </c>
      <c r="N64" s="23">
        <v>524.45187362596653</v>
      </c>
      <c r="O64" s="23">
        <v>541.95652173913038</v>
      </c>
      <c r="P64" s="23">
        <v>542.55397392474367</v>
      </c>
      <c r="Q64" s="23">
        <v>547.26034902275887</v>
      </c>
      <c r="R64" s="23">
        <v>629.47748905663752</v>
      </c>
      <c r="S64" s="23">
        <v>674.55344700000012</v>
      </c>
      <c r="T64" s="23">
        <v>675.16152137812367</v>
      </c>
      <c r="U64" s="23">
        <v>706.19584347826094</v>
      </c>
      <c r="V64" s="23">
        <v>723.77148749206845</v>
      </c>
      <c r="W64" s="23">
        <v>718.97613872982834</v>
      </c>
      <c r="X64" s="23">
        <v>818.89668316784287</v>
      </c>
      <c r="Y64" s="23">
        <v>952.39697508896791</v>
      </c>
      <c r="Z64" s="23">
        <v>980.18679427010363</v>
      </c>
      <c r="AA64" s="23">
        <v>1032.2</v>
      </c>
    </row>
    <row r="65" spans="1:27" ht="12.75" customHeight="1" x14ac:dyDescent="0.2">
      <c r="A65" s="152"/>
      <c r="B65" s="21" t="s">
        <v>122</v>
      </c>
      <c r="C65" s="22" t="s">
        <v>123</v>
      </c>
      <c r="D65" s="23">
        <v>1392.6654088050313</v>
      </c>
      <c r="E65" s="23">
        <v>1301.614217508815</v>
      </c>
      <c r="F65" s="23">
        <v>1211.1480964450341</v>
      </c>
      <c r="G65" s="23">
        <v>1224.8032687786858</v>
      </c>
      <c r="H65" s="23">
        <v>1290.6279308820278</v>
      </c>
      <c r="I65" s="23">
        <v>1423.9453295650508</v>
      </c>
      <c r="J65" s="23">
        <v>1481.3405425642206</v>
      </c>
      <c r="K65" s="23">
        <v>1607.7073737874716</v>
      </c>
      <c r="L65" s="23">
        <v>1189.3603564814271</v>
      </c>
      <c r="M65" s="23">
        <v>762.48073372235501</v>
      </c>
      <c r="N65" s="23">
        <v>549.19836104043679</v>
      </c>
      <c r="O65" s="23">
        <v>621.11069794050343</v>
      </c>
      <c r="P65" s="23">
        <v>517.81829675683207</v>
      </c>
      <c r="Q65" s="23">
        <v>674.16322133067763</v>
      </c>
      <c r="R65" s="23">
        <v>876.24417880114345</v>
      </c>
      <c r="S65" s="23">
        <v>696.58159499999999</v>
      </c>
      <c r="T65" s="23">
        <v>958.23705508093076</v>
      </c>
      <c r="U65" s="23">
        <v>985.02886086956551</v>
      </c>
      <c r="V65" s="23">
        <v>995.36885034706859</v>
      </c>
      <c r="W65" s="23">
        <v>1101.0649577972783</v>
      </c>
      <c r="X65" s="23">
        <v>1156.8219893332823</v>
      </c>
      <c r="Y65" s="23">
        <v>1190.0526245551603</v>
      </c>
      <c r="Z65" s="23">
        <v>1315.3626637363407</v>
      </c>
      <c r="AA65" s="23">
        <v>1457.8</v>
      </c>
    </row>
    <row r="66" spans="1:27" ht="12.75" customHeight="1" x14ac:dyDescent="0.2">
      <c r="A66" s="152"/>
      <c r="B66" s="21" t="s">
        <v>124</v>
      </c>
      <c r="C66" s="22" t="s">
        <v>125</v>
      </c>
      <c r="D66" s="23">
        <v>336.75534591194969</v>
      </c>
      <c r="E66" s="23">
        <v>371.01711918122083</v>
      </c>
      <c r="F66" s="23">
        <v>279.59040671333076</v>
      </c>
      <c r="G66" s="23">
        <v>300.5169371991492</v>
      </c>
      <c r="H66" s="23">
        <v>362.19316557364965</v>
      </c>
      <c r="I66" s="23">
        <v>324.27450301781948</v>
      </c>
      <c r="J66" s="23">
        <v>463.5009952770418</v>
      </c>
      <c r="K66" s="23">
        <v>351.92249506914732</v>
      </c>
      <c r="L66" s="23">
        <v>316.24131268210402</v>
      </c>
      <c r="M66" s="23">
        <v>187.77722767472613</v>
      </c>
      <c r="N66" s="23">
        <v>264.97554652570216</v>
      </c>
      <c r="O66" s="23">
        <v>228.19221967963387</v>
      </c>
      <c r="P66" s="23">
        <v>205.76821556163875</v>
      </c>
      <c r="Q66" s="23">
        <v>249.2971786195267</v>
      </c>
      <c r="R66" s="23">
        <v>299.75741580310881</v>
      </c>
      <c r="S66" s="23">
        <v>316.12735800000002</v>
      </c>
      <c r="T66" s="23">
        <v>278.97298973609969</v>
      </c>
      <c r="U66" s="23">
        <v>344.83368695652183</v>
      </c>
      <c r="V66" s="23">
        <v>341.66520179975777</v>
      </c>
      <c r="W66" s="23">
        <v>413.67540901316289</v>
      </c>
      <c r="X66" s="23">
        <v>325.920655514808</v>
      </c>
      <c r="Y66" s="23">
        <v>198.73024911032027</v>
      </c>
      <c r="Z66" s="23">
        <v>155.43049961473804</v>
      </c>
      <c r="AA66" s="23">
        <v>209.3</v>
      </c>
    </row>
    <row r="67" spans="1:27" ht="12.75" customHeight="1" x14ac:dyDescent="0.2">
      <c r="A67" s="152"/>
      <c r="B67" s="21" t="s">
        <v>126</v>
      </c>
      <c r="C67" s="22" t="s">
        <v>127</v>
      </c>
      <c r="D67" s="23">
        <v>1088.6622641509437</v>
      </c>
      <c r="E67" s="23">
        <v>1005.1863285269383</v>
      </c>
      <c r="F67" s="23">
        <v>1020.6511655088185</v>
      </c>
      <c r="G67" s="23">
        <v>986.95475204298668</v>
      </c>
      <c r="H67" s="23">
        <v>1078.9528627219806</v>
      </c>
      <c r="I67" s="23">
        <v>1213.749221594175</v>
      </c>
      <c r="J67" s="23">
        <v>1291.9719064623889</v>
      </c>
      <c r="K67" s="23">
        <v>1458.3700630918465</v>
      </c>
      <c r="L67" s="23">
        <v>1403.3208250268365</v>
      </c>
      <c r="M67" s="23">
        <v>1010.2443278457823</v>
      </c>
      <c r="N67" s="23">
        <v>796.37380258380063</v>
      </c>
      <c r="O67" s="23">
        <v>816.07242562929071</v>
      </c>
      <c r="P67" s="23">
        <v>817.36462905396002</v>
      </c>
      <c r="Q67" s="23">
        <v>892.96127703398554</v>
      </c>
      <c r="R67" s="23">
        <v>994.5247130159014</v>
      </c>
      <c r="S67" s="23">
        <v>965.02035600000022</v>
      </c>
      <c r="T67" s="23">
        <v>1083.1888227526458</v>
      </c>
      <c r="U67" s="23">
        <v>1193.6724869565221</v>
      </c>
      <c r="V67" s="23">
        <v>1215.936098986675</v>
      </c>
      <c r="W67" s="23">
        <v>1227.5202368558046</v>
      </c>
      <c r="X67" s="23">
        <v>1194.7432222296698</v>
      </c>
      <c r="Y67" s="23">
        <v>1204.4694395017793</v>
      </c>
      <c r="Z67" s="23">
        <v>1303.6669033692913</v>
      </c>
      <c r="AA67" s="23">
        <v>1523.9</v>
      </c>
    </row>
    <row r="68" spans="1:27" ht="12.75" customHeight="1" x14ac:dyDescent="0.2">
      <c r="A68" s="152"/>
      <c r="B68" s="21" t="s">
        <v>104</v>
      </c>
      <c r="C68" s="22" t="s">
        <v>105</v>
      </c>
      <c r="D68" s="23">
        <v>6389.8150943396231</v>
      </c>
      <c r="E68" s="23">
        <v>7640.7342685453232</v>
      </c>
      <c r="F68" s="23">
        <v>6916.5157905104597</v>
      </c>
      <c r="G68" s="23">
        <v>5954.957349154819</v>
      </c>
      <c r="H68" s="23">
        <v>6533.0034632672614</v>
      </c>
      <c r="I68" s="23">
        <v>6576.8369670913971</v>
      </c>
      <c r="J68" s="23">
        <v>6509.9349164842761</v>
      </c>
      <c r="K68" s="23">
        <v>5212.7505980461137</v>
      </c>
      <c r="L68" s="23">
        <v>4310.5847109339065</v>
      </c>
      <c r="M68" s="23">
        <v>4912.3432505550236</v>
      </c>
      <c r="N68" s="23">
        <v>4581.4286465923979</v>
      </c>
      <c r="O68" s="23">
        <v>4033.1548627002289</v>
      </c>
      <c r="P68" s="23">
        <v>3935.8267862942516</v>
      </c>
      <c r="Q68" s="23">
        <v>3634.0367979085795</v>
      </c>
      <c r="R68" s="23">
        <v>3619.9862169465782</v>
      </c>
      <c r="S68" s="23">
        <v>3919.4784951312772</v>
      </c>
      <c r="T68" s="23">
        <v>4297.4653343237505</v>
      </c>
      <c r="U68" s="23">
        <v>4522.403117159085</v>
      </c>
      <c r="V68" s="23">
        <v>5061.6770714382865</v>
      </c>
      <c r="W68" s="23">
        <v>5201.8052167329151</v>
      </c>
      <c r="X68" s="23">
        <v>7538.4531620752869</v>
      </c>
      <c r="Y68" s="23">
        <v>9086.7900405621986</v>
      </c>
      <c r="Z68" s="23">
        <v>10653.973797312521</v>
      </c>
      <c r="AA68" s="23">
        <v>11262.525275605916</v>
      </c>
    </row>
    <row r="69" spans="1:27" ht="12.75" customHeight="1" x14ac:dyDescent="0.2">
      <c r="A69" s="152"/>
      <c r="B69" s="21" t="s">
        <v>106</v>
      </c>
      <c r="C69" s="22" t="s">
        <v>107</v>
      </c>
      <c r="D69" s="23">
        <v>987.44402515723266</v>
      </c>
      <c r="E69" s="23">
        <v>948.1191373183882</v>
      </c>
      <c r="F69" s="23">
        <v>803.38002941678599</v>
      </c>
      <c r="G69" s="23">
        <v>513.15234523676259</v>
      </c>
      <c r="H69" s="23">
        <v>217.28711959325031</v>
      </c>
      <c r="I69" s="23">
        <v>350.65425488599351</v>
      </c>
      <c r="J69" s="23">
        <v>418.14970395115773</v>
      </c>
      <c r="K69" s="23">
        <v>419.4959388228238</v>
      </c>
      <c r="L69" s="23">
        <v>500.07039741427116</v>
      </c>
      <c r="M69" s="23">
        <v>433.12430940567032</v>
      </c>
      <c r="N69" s="23">
        <v>182.05310624212635</v>
      </c>
      <c r="O69" s="23">
        <v>340.57688787185356</v>
      </c>
      <c r="P69" s="23">
        <v>364.51146244142348</v>
      </c>
      <c r="Q69" s="23">
        <v>396.09078326410969</v>
      </c>
      <c r="R69" s="23">
        <v>451.92584643559047</v>
      </c>
      <c r="S69" s="23">
        <v>428.494347</v>
      </c>
      <c r="T69" s="23">
        <v>433.11142734239007</v>
      </c>
      <c r="U69" s="23">
        <v>453.40082608695661</v>
      </c>
      <c r="V69" s="23">
        <v>501.5144999711577</v>
      </c>
      <c r="W69" s="23">
        <v>466.61017699115052</v>
      </c>
      <c r="X69" s="23">
        <v>523.71690875839022</v>
      </c>
      <c r="Y69" s="23">
        <v>511.35333629893239</v>
      </c>
      <c r="Z69" s="23">
        <v>437.8728530400673</v>
      </c>
      <c r="AA69" s="23">
        <v>447</v>
      </c>
    </row>
    <row r="70" spans="1:27" ht="12.75" customHeight="1" x14ac:dyDescent="0.2">
      <c r="A70" s="152"/>
      <c r="B70" s="21" t="s">
        <v>108</v>
      </c>
      <c r="C70" s="22" t="s">
        <v>109</v>
      </c>
      <c r="D70" s="23">
        <v>941.80000000000007</v>
      </c>
      <c r="E70" s="23">
        <v>982.68095734610165</v>
      </c>
      <c r="F70" s="23">
        <v>1525.9758191392966</v>
      </c>
      <c r="G70" s="23">
        <v>1476.2056531960147</v>
      </c>
      <c r="H70" s="23">
        <v>1722.1802962198806</v>
      </c>
      <c r="I70" s="23">
        <v>1789.0523208469056</v>
      </c>
      <c r="J70" s="23">
        <v>1754.3931090888145</v>
      </c>
      <c r="K70" s="23">
        <v>2056.8004809744061</v>
      </c>
      <c r="L70" s="23">
        <v>1936.4251707501212</v>
      </c>
      <c r="M70" s="23">
        <v>1368.1724575088865</v>
      </c>
      <c r="N70" s="23">
        <v>972.92768940048916</v>
      </c>
      <c r="O70" s="23">
        <v>1170.9113272311213</v>
      </c>
      <c r="P70" s="23">
        <v>1232.8424592864103</v>
      </c>
      <c r="Q70" s="23">
        <v>1277.1176208960967</v>
      </c>
      <c r="R70" s="23">
        <v>1349.3663156601751</v>
      </c>
      <c r="S70" s="23">
        <v>1348.6382100000001</v>
      </c>
      <c r="T70" s="23">
        <v>1467.7730157459835</v>
      </c>
      <c r="U70" s="23">
        <v>1406.2784173913046</v>
      </c>
      <c r="V70" s="23">
        <v>1435.940101332513</v>
      </c>
      <c r="W70" s="23">
        <v>1472.1529300215664</v>
      </c>
      <c r="X70" s="23">
        <v>2065.9218418759638</v>
      </c>
      <c r="Y70" s="23">
        <v>1639.7463523131671</v>
      </c>
      <c r="Z70" s="23">
        <v>1881.5810976463997</v>
      </c>
      <c r="AA70" s="23">
        <v>1824.2</v>
      </c>
    </row>
    <row r="71" spans="1:27" ht="12.75" customHeight="1" x14ac:dyDescent="0.2">
      <c r="A71" s="152"/>
      <c r="B71" s="21" t="s">
        <v>128</v>
      </c>
      <c r="C71" s="22" t="s">
        <v>129</v>
      </c>
      <c r="D71" s="23">
        <v>281.35534591194971</v>
      </c>
      <c r="E71" s="23">
        <v>258.32951062574602</v>
      </c>
      <c r="F71" s="23">
        <v>284.36052372384995</v>
      </c>
      <c r="G71" s="23">
        <v>255.33737826038282</v>
      </c>
      <c r="H71" s="23">
        <v>282.04155920713288</v>
      </c>
      <c r="I71" s="23">
        <v>312.62812320367891</v>
      </c>
      <c r="J71" s="23">
        <v>294.24349729293863</v>
      </c>
      <c r="K71" s="23">
        <v>336.11030923078698</v>
      </c>
      <c r="L71" s="23">
        <v>262.8894129026931</v>
      </c>
      <c r="M71" s="23">
        <v>200.99697193948734</v>
      </c>
      <c r="N71" s="23">
        <v>213.89069238939805</v>
      </c>
      <c r="O71" s="23">
        <v>267.98323798627001</v>
      </c>
      <c r="P71" s="23">
        <v>247.22086136500721</v>
      </c>
      <c r="Q71" s="23">
        <v>261.23161802152532</v>
      </c>
      <c r="R71" s="23">
        <v>272.80410822762195</v>
      </c>
      <c r="S71" s="23">
        <v>295.32040465980862</v>
      </c>
      <c r="T71" s="23">
        <v>312.49146847898504</v>
      </c>
      <c r="U71" s="23">
        <v>310.23436653483185</v>
      </c>
      <c r="V71" s="23">
        <v>347.19083450635719</v>
      </c>
      <c r="W71" s="23">
        <v>315.62167316546424</v>
      </c>
      <c r="X71" s="23">
        <v>273.32420487897991</v>
      </c>
      <c r="Y71" s="23">
        <v>329.43307223046156</v>
      </c>
      <c r="Z71" s="23">
        <v>382.1084677527013</v>
      </c>
      <c r="AA71" s="23">
        <v>403.93437772236803</v>
      </c>
    </row>
    <row r="72" spans="1:27" ht="12.75" customHeight="1" x14ac:dyDescent="0.2">
      <c r="A72" s="152"/>
      <c r="B72" s="21" t="s">
        <v>130</v>
      </c>
      <c r="C72" s="22" t="s">
        <v>131</v>
      </c>
      <c r="D72" s="23">
        <v>328.04465408805032</v>
      </c>
      <c r="E72" s="23">
        <v>320.54078667563016</v>
      </c>
      <c r="F72" s="23">
        <v>252.20070258841449</v>
      </c>
      <c r="G72" s="23">
        <v>582.67056979738049</v>
      </c>
      <c r="H72" s="23">
        <v>308.51893007147589</v>
      </c>
      <c r="I72" s="23">
        <v>345.74313086798236</v>
      </c>
      <c r="J72" s="23">
        <v>283.4455707867757</v>
      </c>
      <c r="K72" s="23">
        <v>277.72685382761051</v>
      </c>
      <c r="L72" s="23">
        <v>329.92483101931043</v>
      </c>
      <c r="M72" s="23">
        <v>143.42711788326926</v>
      </c>
      <c r="N72" s="23">
        <v>88.855808611021885</v>
      </c>
      <c r="O72" s="23">
        <v>49.774427917620145</v>
      </c>
      <c r="P72" s="23">
        <v>56.674600983621758</v>
      </c>
      <c r="Q72" s="23">
        <v>71.87184617648056</v>
      </c>
      <c r="R72" s="23">
        <v>94.729100410934407</v>
      </c>
      <c r="S72" s="23">
        <v>99.311523340191386</v>
      </c>
      <c r="T72" s="23">
        <v>103.15484311942238</v>
      </c>
      <c r="U72" s="23">
        <v>102.52453781299432</v>
      </c>
      <c r="V72" s="23">
        <v>110.27780529213153</v>
      </c>
      <c r="W72" s="23">
        <v>103.60861890711706</v>
      </c>
      <c r="X72" s="23">
        <v>95.22978939508009</v>
      </c>
      <c r="Y72" s="23">
        <v>106.8419277695384</v>
      </c>
      <c r="Z72" s="23">
        <v>113.62762078750603</v>
      </c>
      <c r="AA72" s="23">
        <v>116.26562227763202</v>
      </c>
    </row>
    <row r="73" spans="1:27" ht="12.75" customHeight="1" x14ac:dyDescent="0.2">
      <c r="A73" s="152"/>
      <c r="B73" s="21" t="s">
        <v>132</v>
      </c>
      <c r="C73" s="22" t="s">
        <v>133</v>
      </c>
      <c r="D73" s="23">
        <v>3635.6685534591197</v>
      </c>
      <c r="E73" s="23">
        <v>4187.1243081946523</v>
      </c>
      <c r="F73" s="23">
        <v>4220.7841805980543</v>
      </c>
      <c r="G73" s="23">
        <v>4380.2311093697526</v>
      </c>
      <c r="H73" s="23">
        <v>4512.8088460688232</v>
      </c>
      <c r="I73" s="23">
        <v>4395.736631778118</v>
      </c>
      <c r="J73" s="23">
        <v>4849.2138198364237</v>
      </c>
      <c r="K73" s="23">
        <v>4822.9869744749076</v>
      </c>
      <c r="L73" s="23">
        <v>5088.6102131574917</v>
      </c>
      <c r="M73" s="23">
        <v>5492.3062247509979</v>
      </c>
      <c r="N73" s="23">
        <v>4265.8023948323989</v>
      </c>
      <c r="O73" s="23">
        <v>5970.3641876430202</v>
      </c>
      <c r="P73" s="23">
        <v>4813.1278638704589</v>
      </c>
      <c r="Q73" s="23">
        <v>5323.9534172315844</v>
      </c>
      <c r="R73" s="23">
        <v>6396.176897221726</v>
      </c>
      <c r="S73" s="23">
        <v>8252.7050429999999</v>
      </c>
      <c r="T73" s="23">
        <v>5398.0101358516231</v>
      </c>
      <c r="U73" s="23">
        <v>8104.0444782608711</v>
      </c>
      <c r="V73" s="23">
        <v>6487.4708116215124</v>
      </c>
      <c r="W73" s="23">
        <v>10292.653712724028</v>
      </c>
      <c r="X73" s="23">
        <v>9759.1078209829848</v>
      </c>
      <c r="Y73" s="23">
        <v>11998.006094306049</v>
      </c>
      <c r="Z73" s="23">
        <v>12702.51910811852</v>
      </c>
      <c r="AA73" s="23">
        <v>11369</v>
      </c>
    </row>
    <row r="74" spans="1:27" ht="12.75" customHeight="1" x14ac:dyDescent="0.2">
      <c r="A74" s="152"/>
      <c r="B74" s="21" t="s">
        <v>134</v>
      </c>
      <c r="C74" s="22" t="s">
        <v>135</v>
      </c>
      <c r="D74" s="23">
        <v>321.07610062893195</v>
      </c>
      <c r="E74" s="23">
        <v>264.43811137482584</v>
      </c>
      <c r="F74" s="23">
        <v>216.34788763839262</v>
      </c>
      <c r="G74" s="23">
        <v>201.99635061010056</v>
      </c>
      <c r="H74" s="23">
        <v>214.26524574460259</v>
      </c>
      <c r="I74" s="23">
        <v>221.84248778501552</v>
      </c>
      <c r="J74" s="23">
        <v>222.7072341896058</v>
      </c>
      <c r="K74" s="23">
        <v>234.20955605024307</v>
      </c>
      <c r="L74" s="23">
        <v>290.25644957710409</v>
      </c>
      <c r="M74" s="23">
        <v>272.35516141164095</v>
      </c>
      <c r="N74" s="23">
        <v>334.00522194501428</v>
      </c>
      <c r="O74" s="23">
        <v>413.02791762013652</v>
      </c>
      <c r="P74" s="23">
        <v>400.93542662274581</v>
      </c>
      <c r="Q74" s="23">
        <v>433.35275517479516</v>
      </c>
      <c r="R74" s="23">
        <v>479.40251920671983</v>
      </c>
      <c r="S74" s="23">
        <v>510.46998271513252</v>
      </c>
      <c r="T74" s="23">
        <v>535.44219097011421</v>
      </c>
      <c r="U74" s="23">
        <v>531.8704821225158</v>
      </c>
      <c r="V74" s="23">
        <v>583.47629207296006</v>
      </c>
      <c r="W74" s="23">
        <v>539.60132267244376</v>
      </c>
      <c r="X74" s="23">
        <v>481.18779202270292</v>
      </c>
      <c r="Y74" s="23">
        <v>559.42762353348166</v>
      </c>
      <c r="Z74" s="23">
        <v>622.73727055054383</v>
      </c>
      <c r="AA74" s="23">
        <v>648.66479588919719</v>
      </c>
    </row>
    <row r="75" spans="1:27" ht="12.75" customHeight="1" x14ac:dyDescent="0.2">
      <c r="A75" s="153"/>
      <c r="B75" s="28" t="s">
        <v>52</v>
      </c>
      <c r="C75" s="31" t="s">
        <v>58</v>
      </c>
      <c r="D75" s="30">
        <f>SUM(D56:D74)</f>
        <v>43698.405031446549</v>
      </c>
      <c r="E75" s="30">
        <f t="shared" ref="E75:S75" si="9">SUM(E56:E74)</f>
        <v>49555.862824294469</v>
      </c>
      <c r="F75" s="30">
        <f t="shared" si="9"/>
        <v>55968.552258132324</v>
      </c>
      <c r="G75" s="30">
        <f t="shared" si="9"/>
        <v>49558.624124034461</v>
      </c>
      <c r="H75" s="30">
        <f t="shared" si="9"/>
        <v>47506.159280819389</v>
      </c>
      <c r="I75" s="30">
        <f t="shared" si="9"/>
        <v>46819.288759819879</v>
      </c>
      <c r="J75" s="30">
        <f t="shared" si="9"/>
        <v>46356.308335445232</v>
      </c>
      <c r="K75" s="30">
        <f t="shared" si="9"/>
        <v>47867.405792454367</v>
      </c>
      <c r="L75" s="30">
        <f t="shared" si="9"/>
        <v>45452.916047562321</v>
      </c>
      <c r="M75" s="30">
        <f t="shared" si="9"/>
        <v>49130.255599364311</v>
      </c>
      <c r="N75" s="30">
        <f t="shared" si="9"/>
        <v>47220.060610626679</v>
      </c>
      <c r="O75" s="30">
        <f t="shared" si="9"/>
        <v>50856.344279176185</v>
      </c>
      <c r="P75" s="30">
        <f t="shared" si="9"/>
        <v>47062.344018234136</v>
      </c>
      <c r="Q75" s="30">
        <f t="shared" si="9"/>
        <v>46268.36290784397</v>
      </c>
      <c r="R75" s="30">
        <f t="shared" si="9"/>
        <v>51406.499611398969</v>
      </c>
      <c r="S75" s="30">
        <f t="shared" si="9"/>
        <v>111316.082301</v>
      </c>
      <c r="T75" s="30">
        <f t="shared" ref="T75:Y75" si="10">SUM(T56:T74)</f>
        <v>105526.92528260739</v>
      </c>
      <c r="U75" s="30">
        <f t="shared" si="10"/>
        <v>112267.36534782611</v>
      </c>
      <c r="V75" s="30">
        <f t="shared" si="10"/>
        <v>123753.54678600957</v>
      </c>
      <c r="W75" s="30">
        <f t="shared" si="10"/>
        <v>126506.79787592033</v>
      </c>
      <c r="X75" s="30">
        <f t="shared" si="10"/>
        <v>143964.81928722581</v>
      </c>
      <c r="Y75" s="30">
        <f t="shared" si="10"/>
        <v>170651.61672597862</v>
      </c>
      <c r="Z75" s="30">
        <f t="shared" ref="Z75:AA75" si="11">SUM(Z56:Z74)</f>
        <v>198188.04503449844</v>
      </c>
      <c r="AA75" s="30">
        <f t="shared" si="11"/>
        <v>156393.1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AA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7" width="9.28515625" style="1" customWidth="1"/>
    <col min="28" max="16384" width="9.140625" style="1"/>
  </cols>
  <sheetData>
    <row r="1" spans="1:27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  <c r="Z1" s="32">
        <v>2022</v>
      </c>
      <c r="AA1" s="32">
        <v>2023</v>
      </c>
    </row>
    <row r="2" spans="1:27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</row>
    <row r="3" spans="1:27" x14ac:dyDescent="0.25">
      <c r="A3" s="40" t="s">
        <v>238</v>
      </c>
      <c r="B3" s="41"/>
      <c r="C3" s="41"/>
      <c r="D3" s="42">
        <v>3777565</v>
      </c>
      <c r="E3" s="42">
        <v>3832783</v>
      </c>
      <c r="F3" s="42">
        <v>3899702</v>
      </c>
      <c r="G3" s="42">
        <v>3964191</v>
      </c>
      <c r="H3" s="42">
        <v>4028851</v>
      </c>
      <c r="I3" s="42">
        <v>4111672</v>
      </c>
      <c r="J3" s="42">
        <v>4208156</v>
      </c>
      <c r="K3" s="42">
        <v>4340118</v>
      </c>
      <c r="L3" s="42">
        <v>4457765</v>
      </c>
      <c r="M3" s="42">
        <v>4521322</v>
      </c>
      <c r="N3" s="42">
        <v>4549428</v>
      </c>
      <c r="O3" s="42">
        <v>4570881</v>
      </c>
      <c r="P3" s="42">
        <v>4589287</v>
      </c>
      <c r="Q3" s="42">
        <v>4609779</v>
      </c>
      <c r="R3" s="42">
        <v>4637852</v>
      </c>
      <c r="S3" s="42">
        <v>4677627</v>
      </c>
      <c r="T3" s="42">
        <v>4726286</v>
      </c>
      <c r="U3" s="42">
        <v>4799157</v>
      </c>
      <c r="V3" s="42">
        <v>4855733</v>
      </c>
      <c r="W3" s="42">
        <v>4940311</v>
      </c>
      <c r="X3" s="42">
        <v>5012600</v>
      </c>
      <c r="Y3" s="42">
        <v>5066893</v>
      </c>
      <c r="Z3" s="42">
        <v>5154277</v>
      </c>
      <c r="AA3" s="42">
        <v>5271395</v>
      </c>
    </row>
    <row r="4" spans="1:27" x14ac:dyDescent="0.25">
      <c r="A4" s="43" t="s">
        <v>239</v>
      </c>
      <c r="B4" s="44"/>
      <c r="C4" s="44"/>
      <c r="D4" s="45">
        <v>1295943</v>
      </c>
      <c r="E4" s="45">
        <v>1324568</v>
      </c>
      <c r="F4" s="45">
        <v>1357691</v>
      </c>
      <c r="G4" s="45">
        <v>1390456</v>
      </c>
      <c r="H4" s="45">
        <v>1413632</v>
      </c>
      <c r="I4" s="45">
        <v>1460111</v>
      </c>
      <c r="J4" s="45">
        <v>1491196</v>
      </c>
      <c r="K4" s="45">
        <v>1546177</v>
      </c>
      <c r="L4" s="45">
        <v>1610464</v>
      </c>
      <c r="M4" s="45">
        <v>1669617</v>
      </c>
      <c r="N4" s="45">
        <v>1700721</v>
      </c>
      <c r="O4" s="45">
        <v>1696689</v>
      </c>
      <c r="P4" s="45">
        <v>1711782</v>
      </c>
      <c r="Q4" s="45">
        <v>1718784</v>
      </c>
      <c r="R4" s="45">
        <v>1727641</v>
      </c>
      <c r="S4" s="45">
        <v>1740189</v>
      </c>
      <c r="T4" s="45">
        <v>1758945</v>
      </c>
      <c r="U4" s="45">
        <v>1785899</v>
      </c>
      <c r="V4" s="45">
        <v>1806785</v>
      </c>
      <c r="W4" s="45">
        <v>1838085</v>
      </c>
      <c r="X4" s="45">
        <v>1864807</v>
      </c>
      <c r="Y4" s="45">
        <v>1880109</v>
      </c>
      <c r="Z4" s="45">
        <v>1894258</v>
      </c>
      <c r="AA4" s="45">
        <v>1965472</v>
      </c>
    </row>
    <row r="5" spans="1:27" x14ac:dyDescent="0.25">
      <c r="A5" s="46" t="s">
        <v>240</v>
      </c>
      <c r="B5" s="47"/>
      <c r="C5" s="47"/>
      <c r="D5" s="48">
        <f>D3/D4</f>
        <v>2.9149160109665315</v>
      </c>
      <c r="E5" s="48">
        <f t="shared" ref="E5:S5" si="0">E3/E4</f>
        <v>2.893609841095361</v>
      </c>
      <c r="F5" s="48">
        <f t="shared" si="0"/>
        <v>2.8723045228995403</v>
      </c>
      <c r="G5" s="48">
        <f t="shared" si="0"/>
        <v>2.8510006789139677</v>
      </c>
      <c r="H5" s="48">
        <f t="shared" si="0"/>
        <v>2.8499998585204636</v>
      </c>
      <c r="I5" s="48">
        <f t="shared" si="0"/>
        <v>2.8159996055094441</v>
      </c>
      <c r="J5" s="48">
        <f t="shared" si="0"/>
        <v>2.8220005954951595</v>
      </c>
      <c r="K5" s="48">
        <f t="shared" si="0"/>
        <v>2.80699945737131</v>
      </c>
      <c r="L5" s="48">
        <f t="shared" si="0"/>
        <v>2.7680004023685099</v>
      </c>
      <c r="M5" s="48">
        <f t="shared" si="0"/>
        <v>2.7079994992863634</v>
      </c>
      <c r="N5" s="48">
        <f t="shared" si="0"/>
        <v>2.6749996031095047</v>
      </c>
      <c r="O5" s="48">
        <f t="shared" si="0"/>
        <v>2.6940004915455926</v>
      </c>
      <c r="P5" s="48">
        <f t="shared" si="0"/>
        <v>2.6809996833708967</v>
      </c>
      <c r="Q5" s="48">
        <f t="shared" si="0"/>
        <v>2.6820001815236818</v>
      </c>
      <c r="R5" s="48">
        <f t="shared" si="0"/>
        <v>2.6844998469010632</v>
      </c>
      <c r="S5" s="48">
        <f t="shared" si="0"/>
        <v>2.6879994069609681</v>
      </c>
      <c r="T5" s="48">
        <f t="shared" ref="T5:Y5" si="1">T3/T4</f>
        <v>2.6870004462902477</v>
      </c>
      <c r="U5" s="48">
        <f t="shared" si="1"/>
        <v>2.6872499508650827</v>
      </c>
      <c r="V5" s="48">
        <f t="shared" si="1"/>
        <v>2.6874990660205835</v>
      </c>
      <c r="W5" s="48">
        <f t="shared" si="1"/>
        <v>2.6877489343528729</v>
      </c>
      <c r="X5" s="48">
        <f t="shared" si="1"/>
        <v>2.6879993479217958</v>
      </c>
      <c r="Y5" s="48">
        <f t="shared" si="1"/>
        <v>2.6949995984275379</v>
      </c>
      <c r="Z5" s="48">
        <f t="shared" ref="Z5:AA5" si="2">Z3/Z4</f>
        <v>2.7210005184087911</v>
      </c>
      <c r="AA5" s="48">
        <f t="shared" si="2"/>
        <v>2.6819995400595888</v>
      </c>
    </row>
    <row r="6" spans="1:27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</row>
    <row r="7" spans="1:27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</row>
    <row r="8" spans="1:27" x14ac:dyDescent="0.25">
      <c r="A8" s="40" t="s">
        <v>249</v>
      </c>
      <c r="B8" s="41"/>
      <c r="C8" s="41"/>
      <c r="D8" s="42">
        <v>3099.7</v>
      </c>
      <c r="E8" s="42">
        <v>3033.16</v>
      </c>
      <c r="F8" s="42">
        <v>2983.1</v>
      </c>
      <c r="G8" s="42">
        <v>2874.88</v>
      </c>
      <c r="H8" s="42">
        <v>3005.09</v>
      </c>
      <c r="I8" s="42">
        <v>3245.99</v>
      </c>
      <c r="J8" s="42">
        <v>3397.75</v>
      </c>
      <c r="K8" s="42">
        <v>3102.6</v>
      </c>
      <c r="L8" s="42">
        <v>2977.96</v>
      </c>
      <c r="M8" s="42">
        <v>2828.93</v>
      </c>
      <c r="N8" s="42">
        <v>2803.19</v>
      </c>
      <c r="O8" s="42">
        <v>2909.29</v>
      </c>
      <c r="P8" s="42">
        <v>2886.59</v>
      </c>
      <c r="Q8" s="42">
        <v>2911.68</v>
      </c>
      <c r="R8" s="42">
        <v>2855.69</v>
      </c>
      <c r="S8" s="42">
        <v>2662.41</v>
      </c>
      <c r="T8" s="42">
        <v>2896.32</v>
      </c>
      <c r="U8" s="42">
        <v>2538.02</v>
      </c>
      <c r="V8" s="42">
        <v>2613.4299999999998</v>
      </c>
      <c r="W8" s="42">
        <v>2653.11</v>
      </c>
      <c r="X8" s="42">
        <v>2792.71</v>
      </c>
      <c r="Y8" s="42">
        <v>2800.86</v>
      </c>
      <c r="Z8" s="42">
        <v>2699.57</v>
      </c>
      <c r="AA8" s="42">
        <v>2630.34</v>
      </c>
    </row>
    <row r="9" spans="1:27" x14ac:dyDescent="0.25">
      <c r="A9" s="43" t="s">
        <v>259</v>
      </c>
      <c r="B9" s="44"/>
      <c r="C9" s="44"/>
      <c r="D9" s="45">
        <f t="shared" ref="D9:W9" si="3">AVERAGE($D8:$X8)</f>
        <v>2908.1714285714284</v>
      </c>
      <c r="E9" s="45">
        <f t="shared" si="3"/>
        <v>2908.1714285714284</v>
      </c>
      <c r="F9" s="45">
        <f t="shared" si="3"/>
        <v>2908.1714285714284</v>
      </c>
      <c r="G9" s="45">
        <f t="shared" si="3"/>
        <v>2908.1714285714284</v>
      </c>
      <c r="H9" s="45">
        <f t="shared" si="3"/>
        <v>2908.1714285714284</v>
      </c>
      <c r="I9" s="45">
        <f t="shared" si="3"/>
        <v>2908.1714285714284</v>
      </c>
      <c r="J9" s="45">
        <f t="shared" si="3"/>
        <v>2908.1714285714284</v>
      </c>
      <c r="K9" s="45">
        <f t="shared" si="3"/>
        <v>2908.1714285714284</v>
      </c>
      <c r="L9" s="45">
        <f t="shared" si="3"/>
        <v>2908.1714285714284</v>
      </c>
      <c r="M9" s="45">
        <f t="shared" si="3"/>
        <v>2908.1714285714284</v>
      </c>
      <c r="N9" s="45">
        <f t="shared" si="3"/>
        <v>2908.1714285714284</v>
      </c>
      <c r="O9" s="45">
        <f t="shared" si="3"/>
        <v>2908.1714285714284</v>
      </c>
      <c r="P9" s="45">
        <f t="shared" si="3"/>
        <v>2908.1714285714284</v>
      </c>
      <c r="Q9" s="45">
        <f t="shared" si="3"/>
        <v>2908.1714285714284</v>
      </c>
      <c r="R9" s="45">
        <f t="shared" si="3"/>
        <v>2908.1714285714284</v>
      </c>
      <c r="S9" s="45">
        <f t="shared" si="3"/>
        <v>2908.1714285714284</v>
      </c>
      <c r="T9" s="45">
        <f t="shared" si="3"/>
        <v>2908.1714285714284</v>
      </c>
      <c r="U9" s="45">
        <f t="shared" si="3"/>
        <v>2908.1714285714284</v>
      </c>
      <c r="V9" s="45">
        <f t="shared" si="3"/>
        <v>2908.1714285714284</v>
      </c>
      <c r="W9" s="45">
        <f t="shared" si="3"/>
        <v>2908.1714285714284</v>
      </c>
      <c r="X9" s="45">
        <f>AVERAGE($D8:$X8)</f>
        <v>2908.1714285714284</v>
      </c>
      <c r="Y9" s="45">
        <f t="shared" ref="Y9:AA9" si="4">AVERAGE($D8:$X8)</f>
        <v>2908.1714285714284</v>
      </c>
      <c r="Z9" s="45">
        <f t="shared" si="4"/>
        <v>2908.1714285714284</v>
      </c>
      <c r="AA9" s="45">
        <f t="shared" si="4"/>
        <v>2908.1714285714284</v>
      </c>
    </row>
    <row r="10" spans="1:27" x14ac:dyDescent="0.25">
      <c r="A10" s="51" t="s">
        <v>250</v>
      </c>
      <c r="B10" s="52"/>
      <c r="C10" s="52"/>
      <c r="D10" s="53">
        <f t="shared" ref="D10:S10" si="5">IF(D8=0,0,D8/D9)</f>
        <v>1.0658587625017193</v>
      </c>
      <c r="E10" s="53">
        <f t="shared" si="5"/>
        <v>1.0429784056746507</v>
      </c>
      <c r="F10" s="53">
        <f t="shared" si="5"/>
        <v>1.0257648399583441</v>
      </c>
      <c r="G10" s="53">
        <f t="shared" si="5"/>
        <v>0.98855245318609641</v>
      </c>
      <c r="H10" s="53">
        <f t="shared" si="5"/>
        <v>1.0333262924174249</v>
      </c>
      <c r="I10" s="53">
        <f t="shared" si="5"/>
        <v>1.1161618493702474</v>
      </c>
      <c r="J10" s="53">
        <f t="shared" si="5"/>
        <v>1.1683458432397384</v>
      </c>
      <c r="K10" s="53">
        <f t="shared" si="5"/>
        <v>1.0668559526850452</v>
      </c>
      <c r="L10" s="53">
        <f t="shared" si="5"/>
        <v>1.0239974063230701</v>
      </c>
      <c r="M10" s="53">
        <f t="shared" si="5"/>
        <v>0.97275214666064092</v>
      </c>
      <c r="N10" s="53">
        <f t="shared" si="5"/>
        <v>0.96390122413691481</v>
      </c>
      <c r="O10" s="53">
        <f t="shared" si="5"/>
        <v>1.0003846304992829</v>
      </c>
      <c r="P10" s="53">
        <f t="shared" si="5"/>
        <v>0.99257903837462924</v>
      </c>
      <c r="Q10" s="53">
        <f t="shared" si="5"/>
        <v>1.0012064527538169</v>
      </c>
      <c r="R10" s="53">
        <f t="shared" si="5"/>
        <v>0.98195380504195084</v>
      </c>
      <c r="S10" s="53">
        <f t="shared" si="5"/>
        <v>0.91549279861670563</v>
      </c>
      <c r="T10" s="53">
        <f t="shared" ref="T10:Y10" si="6">IF(T8=0,0,T8/T9)</f>
        <v>0.99592478336902923</v>
      </c>
      <c r="U10" s="53">
        <f t="shared" si="6"/>
        <v>0.87272021692570689</v>
      </c>
      <c r="V10" s="53">
        <f t="shared" si="6"/>
        <v>0.89865060027901678</v>
      </c>
      <c r="W10" s="53">
        <f t="shared" si="6"/>
        <v>0.91229491285638509</v>
      </c>
      <c r="X10" s="53">
        <f t="shared" si="6"/>
        <v>0.96029758512958574</v>
      </c>
      <c r="Y10" s="53">
        <f t="shared" si="6"/>
        <v>0.9631000334034151</v>
      </c>
      <c r="Z10" s="53">
        <f t="shared" ref="Z10:AA10" si="7">IF(Z8=0,0,Z8/Z9)</f>
        <v>0.92827058731063228</v>
      </c>
      <c r="AA10" s="53">
        <f t="shared" si="7"/>
        <v>0.90446525062385796</v>
      </c>
    </row>
    <row r="11" spans="1:27" x14ac:dyDescent="0.25">
      <c r="A11" s="43" t="s">
        <v>251</v>
      </c>
      <c r="B11" s="44"/>
      <c r="C11" s="44"/>
      <c r="D11" s="45">
        <v>0</v>
      </c>
      <c r="E11" s="45">
        <v>0</v>
      </c>
      <c r="F11" s="45">
        <v>0</v>
      </c>
      <c r="G11" s="45">
        <v>0.8</v>
      </c>
      <c r="H11" s="45">
        <v>0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45">
        <v>0</v>
      </c>
      <c r="P11" s="45">
        <v>0</v>
      </c>
      <c r="Q11" s="45">
        <v>0</v>
      </c>
      <c r="R11" s="45">
        <v>0</v>
      </c>
      <c r="S11" s="45">
        <v>0.05</v>
      </c>
      <c r="T11" s="45">
        <v>0</v>
      </c>
      <c r="U11" s="45">
        <v>0</v>
      </c>
      <c r="V11" s="45">
        <v>0</v>
      </c>
      <c r="W11" s="45">
        <v>0</v>
      </c>
      <c r="X11" s="45">
        <v>0</v>
      </c>
      <c r="Y11" s="45">
        <v>0</v>
      </c>
      <c r="Z11" s="45">
        <v>0</v>
      </c>
      <c r="AA11" s="45">
        <v>0</v>
      </c>
    </row>
    <row r="12" spans="1:27" x14ac:dyDescent="0.25">
      <c r="A12" s="43" t="s">
        <v>260</v>
      </c>
      <c r="B12" s="44"/>
      <c r="C12" s="44"/>
      <c r="D12" s="45">
        <f t="shared" ref="D12" si="8">AVERAGE($D11:$X11)</f>
        <v>4.0476190476190478E-2</v>
      </c>
      <c r="E12" s="45">
        <f t="shared" ref="E12" si="9">AVERAGE($D11:$X11)</f>
        <v>4.0476190476190478E-2</v>
      </c>
      <c r="F12" s="45">
        <f t="shared" ref="F12" si="10">AVERAGE($D11:$X11)</f>
        <v>4.0476190476190478E-2</v>
      </c>
      <c r="G12" s="45">
        <f t="shared" ref="G12" si="11">AVERAGE($D11:$X11)</f>
        <v>4.0476190476190478E-2</v>
      </c>
      <c r="H12" s="45">
        <f t="shared" ref="H12" si="12">AVERAGE($D11:$X11)</f>
        <v>4.0476190476190478E-2</v>
      </c>
      <c r="I12" s="45">
        <f t="shared" ref="I12" si="13">AVERAGE($D11:$X11)</f>
        <v>4.0476190476190478E-2</v>
      </c>
      <c r="J12" s="45">
        <f t="shared" ref="J12" si="14">AVERAGE($D11:$X11)</f>
        <v>4.0476190476190478E-2</v>
      </c>
      <c r="K12" s="45">
        <f t="shared" ref="K12" si="15">AVERAGE($D11:$X11)</f>
        <v>4.0476190476190478E-2</v>
      </c>
      <c r="L12" s="45">
        <f t="shared" ref="L12" si="16">AVERAGE($D11:$X11)</f>
        <v>4.0476190476190478E-2</v>
      </c>
      <c r="M12" s="45">
        <f t="shared" ref="M12" si="17">AVERAGE($D11:$X11)</f>
        <v>4.0476190476190478E-2</v>
      </c>
      <c r="N12" s="45">
        <f t="shared" ref="N12" si="18">AVERAGE($D11:$X11)</f>
        <v>4.0476190476190478E-2</v>
      </c>
      <c r="O12" s="45">
        <f t="shared" ref="O12" si="19">AVERAGE($D11:$X11)</f>
        <v>4.0476190476190478E-2</v>
      </c>
      <c r="P12" s="45">
        <f t="shared" ref="P12" si="20">AVERAGE($D11:$X11)</f>
        <v>4.0476190476190478E-2</v>
      </c>
      <c r="Q12" s="45">
        <f t="shared" ref="Q12" si="21">AVERAGE($D11:$X11)</f>
        <v>4.0476190476190478E-2</v>
      </c>
      <c r="R12" s="45">
        <f t="shared" ref="R12" si="22">AVERAGE($D11:$X11)</f>
        <v>4.0476190476190478E-2</v>
      </c>
      <c r="S12" s="45">
        <f t="shared" ref="S12" si="23">AVERAGE($D11:$X11)</f>
        <v>4.0476190476190478E-2</v>
      </c>
      <c r="T12" s="45">
        <f t="shared" ref="T12" si="24">AVERAGE($D11:$X11)</f>
        <v>4.0476190476190478E-2</v>
      </c>
      <c r="U12" s="45">
        <f t="shared" ref="U12" si="25">AVERAGE($D11:$X11)</f>
        <v>4.0476190476190478E-2</v>
      </c>
      <c r="V12" s="45">
        <f t="shared" ref="V12" si="26">AVERAGE($D11:$X11)</f>
        <v>4.0476190476190478E-2</v>
      </c>
      <c r="W12" s="45">
        <f t="shared" ref="W12" si="27">AVERAGE($D11:$X11)</f>
        <v>4.0476190476190478E-2</v>
      </c>
      <c r="X12" s="45">
        <f>AVERAGE($D11:$X11)</f>
        <v>4.0476190476190478E-2</v>
      </c>
      <c r="Y12" s="45">
        <f t="shared" ref="Y12:AA12" si="28">AVERAGE($D11:$X11)</f>
        <v>4.0476190476190478E-2</v>
      </c>
      <c r="Z12" s="45">
        <f t="shared" si="28"/>
        <v>4.0476190476190478E-2</v>
      </c>
      <c r="AA12" s="45">
        <f t="shared" si="28"/>
        <v>4.0476190476190478E-2</v>
      </c>
    </row>
    <row r="13" spans="1:27" x14ac:dyDescent="0.25">
      <c r="A13" s="54" t="s">
        <v>252</v>
      </c>
      <c r="B13" s="47"/>
      <c r="C13" s="47"/>
      <c r="D13" s="55">
        <f t="shared" ref="D13:E13" si="29">IF(D11=0,0,D11/D12)</f>
        <v>0</v>
      </c>
      <c r="E13" s="55">
        <f t="shared" si="29"/>
        <v>0</v>
      </c>
      <c r="F13" s="55">
        <f t="shared" ref="F13" si="30">IF(F11=0,0,F11/F12)</f>
        <v>0</v>
      </c>
      <c r="G13" s="55">
        <f t="shared" ref="G13" si="31">IF(G11=0,0,G11/G12)</f>
        <v>19.764705882352942</v>
      </c>
      <c r="H13" s="55">
        <f t="shared" ref="H13" si="32">IF(H11=0,0,H11/H12)</f>
        <v>0</v>
      </c>
      <c r="I13" s="55">
        <f t="shared" ref="I13" si="33">IF(I11=0,0,I11/I12)</f>
        <v>0</v>
      </c>
      <c r="J13" s="55">
        <f t="shared" ref="J13" si="34">IF(J11=0,0,J11/J12)</f>
        <v>0</v>
      </c>
      <c r="K13" s="55">
        <f t="shared" ref="K13" si="35">IF(K11=0,0,K11/K12)</f>
        <v>0</v>
      </c>
      <c r="L13" s="55">
        <f t="shared" ref="L13" si="36">IF(L11=0,0,L11/L12)</f>
        <v>0</v>
      </c>
      <c r="M13" s="55">
        <f t="shared" ref="M13" si="37">IF(M11=0,0,M11/M12)</f>
        <v>0</v>
      </c>
      <c r="N13" s="55">
        <f t="shared" ref="N13" si="38">IF(N11=0,0,N11/N12)</f>
        <v>0</v>
      </c>
      <c r="O13" s="55">
        <f t="shared" ref="O13" si="39">IF(O11=0,0,O11/O12)</f>
        <v>0</v>
      </c>
      <c r="P13" s="55">
        <f t="shared" ref="P13" si="40">IF(P11=0,0,P11/P12)</f>
        <v>0</v>
      </c>
      <c r="Q13" s="55">
        <f t="shared" ref="Q13" si="41">IF(Q11=0,0,Q11/Q12)</f>
        <v>0</v>
      </c>
      <c r="R13" s="55">
        <f t="shared" ref="R13" si="42">IF(R11=0,0,R11/R12)</f>
        <v>0</v>
      </c>
      <c r="S13" s="55">
        <f t="shared" ref="S13:Y13" si="43">IF(S11=0,0,S11/S12)</f>
        <v>1.2352941176470589</v>
      </c>
      <c r="T13" s="55">
        <f t="shared" si="43"/>
        <v>0</v>
      </c>
      <c r="U13" s="55">
        <f t="shared" si="43"/>
        <v>0</v>
      </c>
      <c r="V13" s="55">
        <f t="shared" si="43"/>
        <v>0</v>
      </c>
      <c r="W13" s="55">
        <f t="shared" si="43"/>
        <v>0</v>
      </c>
      <c r="X13" s="55">
        <f t="shared" si="43"/>
        <v>0</v>
      </c>
      <c r="Y13" s="55">
        <f t="shared" si="43"/>
        <v>0</v>
      </c>
      <c r="Z13" s="55">
        <f t="shared" ref="Z13:AA13" si="44">IF(Z11=0,0,Z11/Z12)</f>
        <v>0</v>
      </c>
      <c r="AA13" s="55">
        <f t="shared" si="44"/>
        <v>0</v>
      </c>
    </row>
    <row r="14" spans="1:27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</row>
    <row r="15" spans="1:27" x14ac:dyDescent="0.2">
      <c r="A15" s="49" t="s">
        <v>274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</row>
    <row r="16" spans="1:27" x14ac:dyDescent="0.25">
      <c r="A16" s="40" t="s">
        <v>139</v>
      </c>
      <c r="B16" s="41"/>
      <c r="C16" s="41"/>
      <c r="D16" s="42">
        <v>171191.79759230831</v>
      </c>
      <c r="E16" s="42">
        <v>180275.26714048089</v>
      </c>
      <c r="F16" s="42">
        <v>190910.60391987732</v>
      </c>
      <c r="G16" s="42">
        <v>196664.84700185619</v>
      </c>
      <c r="H16" s="42">
        <v>210014.70178014314</v>
      </c>
      <c r="I16" s="42">
        <v>222069.92418236646</v>
      </c>
      <c r="J16" s="42">
        <v>233144.39514079431</v>
      </c>
      <c r="K16" s="42">
        <v>245526.89010526316</v>
      </c>
      <c r="L16" s="42">
        <v>234516.03838591091</v>
      </c>
      <c r="M16" s="42">
        <v>222566.78432233774</v>
      </c>
      <c r="N16" s="42">
        <v>226310.73797157011</v>
      </c>
      <c r="O16" s="42">
        <v>229953.2510020858</v>
      </c>
      <c r="P16" s="42">
        <v>229019.97138778534</v>
      </c>
      <c r="Q16" s="42">
        <v>234043.11344362545</v>
      </c>
      <c r="R16" s="42">
        <v>256011.28395416721</v>
      </c>
      <c r="S16" s="42">
        <v>319050.21090399998</v>
      </c>
      <c r="T16" s="42">
        <v>322952.74407287547</v>
      </c>
      <c r="U16" s="42">
        <v>355598.6932252096</v>
      </c>
      <c r="V16" s="42">
        <v>382937.87297779595</v>
      </c>
      <c r="W16" s="42">
        <v>401983.12450580962</v>
      </c>
      <c r="X16" s="42">
        <v>430736.89525827207</v>
      </c>
      <c r="Y16" s="42">
        <v>500767.1851333708</v>
      </c>
      <c r="Z16" s="42">
        <v>538380.15069353767</v>
      </c>
      <c r="AA16" s="42">
        <v>524728.80000000005</v>
      </c>
    </row>
    <row r="17" spans="1:27" x14ac:dyDescent="0.25">
      <c r="A17" s="46" t="s">
        <v>141</v>
      </c>
      <c r="B17" s="47"/>
      <c r="C17" s="47"/>
      <c r="D17" s="57">
        <v>78792.876690610312</v>
      </c>
      <c r="E17" s="57">
        <v>82522.912120604917</v>
      </c>
      <c r="F17" s="57">
        <v>85523.98495356871</v>
      </c>
      <c r="G17" s="57">
        <v>87911.391990372489</v>
      </c>
      <c r="H17" s="57">
        <v>91267.445286680959</v>
      </c>
      <c r="I17" s="57">
        <v>97677.279840596661</v>
      </c>
      <c r="J17" s="57">
        <v>103916.60227279676</v>
      </c>
      <c r="K17" s="57">
        <v>110852.74315603082</v>
      </c>
      <c r="L17" s="57">
        <v>111064.01669134408</v>
      </c>
      <c r="M17" s="57">
        <v>105150.75131539158</v>
      </c>
      <c r="N17" s="57">
        <v>105468.31092662251</v>
      </c>
      <c r="O17" s="57">
        <v>103861.33194868728</v>
      </c>
      <c r="P17" s="57">
        <v>102761.76635041178</v>
      </c>
      <c r="Q17" s="57">
        <v>102700.84152167501</v>
      </c>
      <c r="R17" s="57">
        <v>105263.46328482997</v>
      </c>
      <c r="S17" s="57">
        <v>108616.69004500001</v>
      </c>
      <c r="T17" s="57">
        <v>113270.06370647534</v>
      </c>
      <c r="U17" s="57">
        <v>117131.75966129765</v>
      </c>
      <c r="V17" s="57">
        <v>123546.92805929293</v>
      </c>
      <c r="W17" s="57">
        <v>126949.47641548174</v>
      </c>
      <c r="X17" s="57">
        <v>114014.68415927682</v>
      </c>
      <c r="Y17" s="57">
        <v>124244.01289630382</v>
      </c>
      <c r="Z17" s="57">
        <v>137669.30050023759</v>
      </c>
      <c r="AA17" s="57">
        <v>143697.4</v>
      </c>
    </row>
    <row r="18" spans="1:27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 spans="1:27" x14ac:dyDescent="0.2">
      <c r="A19" s="49" t="s">
        <v>275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</row>
    <row r="20" spans="1:27" x14ac:dyDescent="0.25">
      <c r="A20" s="40" t="s">
        <v>139</v>
      </c>
      <c r="B20" s="41"/>
      <c r="C20" s="41"/>
      <c r="D20" s="42">
        <f>1000000*D16/D$3</f>
        <v>45318.028304558182</v>
      </c>
      <c r="E20" s="42">
        <f t="shared" ref="E20:S20" si="45">1000000*E16/E$3</f>
        <v>47035.083160325252</v>
      </c>
      <c r="F20" s="42">
        <f t="shared" si="45"/>
        <v>48955.177580204159</v>
      </c>
      <c r="G20" s="42">
        <f t="shared" si="45"/>
        <v>49610.335879844388</v>
      </c>
      <c r="H20" s="42">
        <f t="shared" si="45"/>
        <v>52127.691438611932</v>
      </c>
      <c r="I20" s="42">
        <f t="shared" si="45"/>
        <v>54009.639918351088</v>
      </c>
      <c r="J20" s="42">
        <f t="shared" si="45"/>
        <v>55402.982955193278</v>
      </c>
      <c r="K20" s="42">
        <f t="shared" si="45"/>
        <v>56571.478034759231</v>
      </c>
      <c r="L20" s="42">
        <f t="shared" si="45"/>
        <v>52608.434582332382</v>
      </c>
      <c r="M20" s="42">
        <f t="shared" si="45"/>
        <v>49226.04148130519</v>
      </c>
      <c r="N20" s="42">
        <f t="shared" si="45"/>
        <v>49744.877371742143</v>
      </c>
      <c r="O20" s="42">
        <f t="shared" si="45"/>
        <v>50308.299647723448</v>
      </c>
      <c r="P20" s="42">
        <f t="shared" si="45"/>
        <v>49903.170446255666</v>
      </c>
      <c r="Q20" s="42">
        <f t="shared" si="45"/>
        <v>50771.005170448618</v>
      </c>
      <c r="R20" s="42">
        <f t="shared" si="45"/>
        <v>55200.399657894908</v>
      </c>
      <c r="S20" s="42">
        <f t="shared" si="45"/>
        <v>68207.706793209465</v>
      </c>
      <c r="T20" s="42">
        <f t="shared" ref="T20:Y20" si="46">1000000*T16/T$3</f>
        <v>68331.189452537466</v>
      </c>
      <c r="U20" s="42">
        <f t="shared" si="46"/>
        <v>74096.074211618747</v>
      </c>
      <c r="V20" s="42">
        <f t="shared" si="46"/>
        <v>78863.04147649715</v>
      </c>
      <c r="W20" s="42">
        <f t="shared" si="46"/>
        <v>81367.97956764455</v>
      </c>
      <c r="X20" s="42">
        <f t="shared" si="46"/>
        <v>85930.833351608366</v>
      </c>
      <c r="Y20" s="42">
        <f t="shared" si="46"/>
        <v>98831.213750393144</v>
      </c>
      <c r="Z20" s="42">
        <f t="shared" ref="Z20:AA20" si="47">1000000*Z16/Z$3</f>
        <v>104453.08831743766</v>
      </c>
      <c r="AA20" s="42">
        <f t="shared" si="47"/>
        <v>99542.682724402184</v>
      </c>
    </row>
    <row r="21" spans="1:27" x14ac:dyDescent="0.25">
      <c r="A21" s="46" t="s">
        <v>141</v>
      </c>
      <c r="B21" s="47"/>
      <c r="C21" s="47"/>
      <c r="D21" s="57">
        <f>1000000*D17/D$3</f>
        <v>20858.112750041444</v>
      </c>
      <c r="E21" s="57">
        <f t="shared" ref="E21:S21" si="48">1000000*E17/E$3</f>
        <v>21530.807280403016</v>
      </c>
      <c r="F21" s="57">
        <f t="shared" si="48"/>
        <v>21930.902657066799</v>
      </c>
      <c r="G21" s="57">
        <f t="shared" si="48"/>
        <v>22176.376463791094</v>
      </c>
      <c r="H21" s="57">
        <f t="shared" si="48"/>
        <v>22653.467523788036</v>
      </c>
      <c r="I21" s="57">
        <f t="shared" si="48"/>
        <v>23756.097237473383</v>
      </c>
      <c r="J21" s="57">
        <f t="shared" si="48"/>
        <v>24694.094580333232</v>
      </c>
      <c r="K21" s="57">
        <f t="shared" si="48"/>
        <v>25541.412274051265</v>
      </c>
      <c r="L21" s="57">
        <f t="shared" si="48"/>
        <v>24914.731191829105</v>
      </c>
      <c r="M21" s="57">
        <f t="shared" si="48"/>
        <v>23256.638504267466</v>
      </c>
      <c r="N21" s="57">
        <f t="shared" si="48"/>
        <v>23182.762959788026</v>
      </c>
      <c r="O21" s="57">
        <f t="shared" si="48"/>
        <v>22722.388079822529</v>
      </c>
      <c r="P21" s="57">
        <f t="shared" si="48"/>
        <v>22391.662659234815</v>
      </c>
      <c r="Q21" s="57">
        <f t="shared" si="48"/>
        <v>22278.90784388471</v>
      </c>
      <c r="R21" s="57">
        <f t="shared" si="48"/>
        <v>22696.598184855829</v>
      </c>
      <c r="S21" s="57">
        <f t="shared" si="48"/>
        <v>23220.468422343212</v>
      </c>
      <c r="T21" s="57">
        <f t="shared" ref="T21:Y21" si="49">1000000*T17/T$3</f>
        <v>23965.977451740193</v>
      </c>
      <c r="U21" s="57">
        <f t="shared" si="49"/>
        <v>24406.736362510677</v>
      </c>
      <c r="V21" s="57">
        <f t="shared" si="49"/>
        <v>25443.517602655033</v>
      </c>
      <c r="W21" s="57">
        <f t="shared" si="49"/>
        <v>25696.656833037785</v>
      </c>
      <c r="X21" s="57">
        <f t="shared" si="49"/>
        <v>22745.617874810843</v>
      </c>
      <c r="Y21" s="57">
        <f t="shared" si="49"/>
        <v>24520.749282904497</v>
      </c>
      <c r="Z21" s="57">
        <f t="shared" ref="Z21:AA21" si="50">1000000*Z17/Z$3</f>
        <v>26709.720975461267</v>
      </c>
      <c r="AA21" s="57">
        <f t="shared" si="50"/>
        <v>27259.842982739861</v>
      </c>
    </row>
    <row r="22" spans="1:27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 spans="1:27" x14ac:dyDescent="0.25">
      <c r="A23" s="58" t="s">
        <v>276</v>
      </c>
      <c r="B23" s="59"/>
      <c r="C23" s="59"/>
      <c r="D23" s="60">
        <v>168502.75849056605</v>
      </c>
      <c r="E23" s="60">
        <v>174921.06847123711</v>
      </c>
      <c r="F23" s="60">
        <v>185580.01742156621</v>
      </c>
      <c r="G23" s="60">
        <v>187986.16938318592</v>
      </c>
      <c r="H23" s="60">
        <v>197758.90739075973</v>
      </c>
      <c r="I23" s="60">
        <v>209807.00663082011</v>
      </c>
      <c r="J23" s="60">
        <v>219438.29691395001</v>
      </c>
      <c r="K23" s="60">
        <v>236596.11493673516</v>
      </c>
      <c r="L23" s="60">
        <v>231286.01423802393</v>
      </c>
      <c r="M23" s="60">
        <v>216542.11186475633</v>
      </c>
      <c r="N23" s="60">
        <v>220437.22368278046</v>
      </c>
      <c r="O23" s="60">
        <v>225737.44187643018</v>
      </c>
      <c r="P23" s="60">
        <v>219440.52134041663</v>
      </c>
      <c r="Q23" s="60">
        <v>224228.22563121738</v>
      </c>
      <c r="R23" s="60">
        <v>243584.62935501162</v>
      </c>
      <c r="S23" s="60">
        <v>298392.00392700004</v>
      </c>
      <c r="T23" s="60">
        <v>301321.42217142513</v>
      </c>
      <c r="U23" s="60">
        <v>324583.93435652182</v>
      </c>
      <c r="V23" s="60">
        <v>354921.99186840234</v>
      </c>
      <c r="W23" s="60">
        <v>373646.81276771775</v>
      </c>
      <c r="X23" s="60">
        <v>402397.23612512811</v>
      </c>
      <c r="Y23" s="60">
        <v>468705.51432384347</v>
      </c>
      <c r="Z23" s="60">
        <v>509871.44088767865</v>
      </c>
      <c r="AA23" s="60">
        <v>499273.9</v>
      </c>
    </row>
    <row r="24" spans="1:27" x14ac:dyDescent="0.25">
      <c r="A24" s="61" t="s">
        <v>33</v>
      </c>
      <c r="B24" s="62"/>
      <c r="C24" s="62"/>
      <c r="D24" s="63">
        <v>4734.6094339622641</v>
      </c>
      <c r="E24" s="63">
        <v>3913.201790393613</v>
      </c>
      <c r="F24" s="63">
        <v>3631.4439176855294</v>
      </c>
      <c r="G24" s="63">
        <v>3139.9793462442626</v>
      </c>
      <c r="H24" s="63">
        <v>3539.4776692948194</v>
      </c>
      <c r="I24" s="63">
        <v>2469.874427572332</v>
      </c>
      <c r="J24" s="63">
        <v>2299.1485013247325</v>
      </c>
      <c r="K24" s="63">
        <v>2778.4848602636712</v>
      </c>
      <c r="L24" s="63">
        <v>2200.4203225083461</v>
      </c>
      <c r="M24" s="63">
        <v>1344.4337769474334</v>
      </c>
      <c r="N24" s="63">
        <v>2312.5664846972804</v>
      </c>
      <c r="O24" s="63">
        <v>2974.7708237986271</v>
      </c>
      <c r="P24" s="63">
        <v>2367.5576717858303</v>
      </c>
      <c r="Q24" s="63">
        <v>2595.2101504057218</v>
      </c>
      <c r="R24" s="63">
        <v>3195.013678086475</v>
      </c>
      <c r="S24" s="63">
        <v>2771.4456630000004</v>
      </c>
      <c r="T24" s="63">
        <v>2994.8570956963645</v>
      </c>
      <c r="U24" s="63">
        <v>3909.2094695652177</v>
      </c>
      <c r="V24" s="63">
        <v>3504.0678427903936</v>
      </c>
      <c r="W24" s="63">
        <v>3779.2810273667001</v>
      </c>
      <c r="X24" s="63">
        <v>4321.1132692436595</v>
      </c>
      <c r="Y24" s="63">
        <v>5137.9310498220639</v>
      </c>
      <c r="Z24" s="63">
        <v>6265.5419418954898</v>
      </c>
      <c r="AA24" s="63">
        <v>4444</v>
      </c>
    </row>
    <row r="25" spans="1:27" x14ac:dyDescent="0.25">
      <c r="A25" s="64" t="s">
        <v>56</v>
      </c>
      <c r="B25" s="65"/>
      <c r="C25" s="65"/>
      <c r="D25" s="66">
        <v>833.96163522012614</v>
      </c>
      <c r="E25" s="66">
        <v>978.34063576122605</v>
      </c>
      <c r="F25" s="66">
        <v>850.77345003742619</v>
      </c>
      <c r="G25" s="66">
        <v>903.73691928803396</v>
      </c>
      <c r="H25" s="66">
        <v>656.17832142067664</v>
      </c>
      <c r="I25" s="66">
        <v>807.1081529028545</v>
      </c>
      <c r="J25" s="66">
        <v>1258.7682824559388</v>
      </c>
      <c r="K25" s="66">
        <v>1632.9798417513448</v>
      </c>
      <c r="L25" s="66">
        <v>1262.5046664273375</v>
      </c>
      <c r="M25" s="66">
        <v>1302.8122910023253</v>
      </c>
      <c r="N25" s="66">
        <v>994.20098559889311</v>
      </c>
      <c r="O25" s="66">
        <v>1035.7312848129843</v>
      </c>
      <c r="P25" s="66">
        <v>1205.2775818511839</v>
      </c>
      <c r="Q25" s="66">
        <v>996.79089983137271</v>
      </c>
      <c r="R25" s="66">
        <v>1189.1098884840578</v>
      </c>
      <c r="S25" s="66">
        <v>476.88596999999902</v>
      </c>
      <c r="T25" s="66">
        <v>644.11355258418553</v>
      </c>
      <c r="U25" s="66">
        <v>689.55416521739107</v>
      </c>
      <c r="V25" s="66">
        <v>693.4688368873434</v>
      </c>
      <c r="W25" s="66">
        <v>538.7453210543847</v>
      </c>
      <c r="X25" s="66">
        <v>363.07433168905516</v>
      </c>
      <c r="Y25" s="66">
        <v>552.75221230856596</v>
      </c>
      <c r="Z25" s="66">
        <v>656.32740086254842</v>
      </c>
      <c r="AA25" s="66">
        <v>757.14608631136332</v>
      </c>
    </row>
    <row r="26" spans="1:27" x14ac:dyDescent="0.25">
      <c r="A26" s="67" t="s">
        <v>146</v>
      </c>
      <c r="B26" s="44"/>
      <c r="C26" s="44"/>
      <c r="D26" s="45">
        <v>105575.32704402512</v>
      </c>
      <c r="E26" s="45">
        <v>105547.45804305175</v>
      </c>
      <c r="F26" s="45">
        <v>109888.87782184462</v>
      </c>
      <c r="G26" s="45">
        <v>117785.00478002909</v>
      </c>
      <c r="H26" s="45">
        <v>126561.68883280529</v>
      </c>
      <c r="I26" s="45">
        <v>137113.95209451046</v>
      </c>
      <c r="J26" s="45">
        <v>143844.57795184886</v>
      </c>
      <c r="K26" s="45">
        <v>159813.76226830762</v>
      </c>
      <c r="L26" s="45">
        <v>164040.2677172994</v>
      </c>
      <c r="M26" s="45">
        <v>155429.25997147232</v>
      </c>
      <c r="N26" s="45">
        <v>163213.06992317765</v>
      </c>
      <c r="O26" s="45">
        <v>164238.80748930783</v>
      </c>
      <c r="P26" s="45">
        <v>160848.65711490231</v>
      </c>
      <c r="Q26" s="45">
        <v>165413.45178981681</v>
      </c>
      <c r="R26" s="45">
        <v>177998.88350132757</v>
      </c>
      <c r="S26" s="45">
        <v>174687.62207371512</v>
      </c>
      <c r="T26" s="45">
        <v>182009.7440994565</v>
      </c>
      <c r="U26" s="45">
        <v>196007.40071690516</v>
      </c>
      <c r="V26" s="45">
        <v>214367.66246508816</v>
      </c>
      <c r="W26" s="45">
        <v>229817.74861839376</v>
      </c>
      <c r="X26" s="45">
        <v>240894.6795893441</v>
      </c>
      <c r="Y26" s="45">
        <v>277041.31052904698</v>
      </c>
      <c r="Z26" s="45">
        <v>288722.60988131136</v>
      </c>
      <c r="AA26" s="45">
        <v>319864.83743098262</v>
      </c>
    </row>
    <row r="27" spans="1:27" x14ac:dyDescent="0.25">
      <c r="A27" s="68" t="s">
        <v>148</v>
      </c>
      <c r="B27" s="69"/>
      <c r="C27" s="69"/>
      <c r="D27" s="70">
        <v>35790.838993710669</v>
      </c>
      <c r="E27" s="70">
        <v>37146.561907832482</v>
      </c>
      <c r="F27" s="70">
        <v>39163.891654300271</v>
      </c>
      <c r="G27" s="70">
        <v>41692.862912795237</v>
      </c>
      <c r="H27" s="70">
        <v>44596.526460835616</v>
      </c>
      <c r="I27" s="70">
        <v>46963.254852462174</v>
      </c>
      <c r="J27" s="70">
        <v>49740.243528395367</v>
      </c>
      <c r="K27" s="70">
        <v>54951.940782477293</v>
      </c>
      <c r="L27" s="70">
        <v>57995.311885859912</v>
      </c>
      <c r="M27" s="70">
        <v>59256.295410595783</v>
      </c>
      <c r="N27" s="70">
        <v>56831.972584788702</v>
      </c>
      <c r="O27" s="70">
        <v>55935.332608695629</v>
      </c>
      <c r="P27" s="70">
        <v>53469.835776922009</v>
      </c>
      <c r="Q27" s="70">
        <v>52509.411690678033</v>
      </c>
      <c r="R27" s="70">
        <v>53366.371427773774</v>
      </c>
      <c r="S27" s="70">
        <v>49676.520185999994</v>
      </c>
      <c r="T27" s="70">
        <v>51336.656457453828</v>
      </c>
      <c r="U27" s="70">
        <v>52834.385052173959</v>
      </c>
      <c r="V27" s="70">
        <v>54299.646301459405</v>
      </c>
      <c r="W27" s="70">
        <v>56056.176580278123</v>
      </c>
      <c r="X27" s="70">
        <v>50785.61848099815</v>
      </c>
      <c r="Y27" s="70">
        <v>56684.143905694029</v>
      </c>
      <c r="Z27" s="70">
        <v>63697.675818681695</v>
      </c>
      <c r="AA27" s="70">
        <v>69298.000000000058</v>
      </c>
    </row>
    <row r="28" spans="1:27" x14ac:dyDescent="0.25">
      <c r="A28" s="68" t="s">
        <v>150</v>
      </c>
      <c r="B28" s="71"/>
      <c r="C28" s="71"/>
      <c r="D28" s="70">
        <v>50097.453459119497</v>
      </c>
      <c r="E28" s="70">
        <v>51107.286661910584</v>
      </c>
      <c r="F28" s="70">
        <v>52258.324472402062</v>
      </c>
      <c r="G28" s="70">
        <v>56430.872260158962</v>
      </c>
      <c r="H28" s="70">
        <v>61489.952464814669</v>
      </c>
      <c r="I28" s="70">
        <v>67692.548061170732</v>
      </c>
      <c r="J28" s="70">
        <v>70096.224629650955</v>
      </c>
      <c r="K28" s="70">
        <v>78343.839806687523</v>
      </c>
      <c r="L28" s="70">
        <v>79860.468449860229</v>
      </c>
      <c r="M28" s="70">
        <v>73183.93565856677</v>
      </c>
      <c r="N28" s="70">
        <v>81786.417323320915</v>
      </c>
      <c r="O28" s="70">
        <v>81689.106521739115</v>
      </c>
      <c r="P28" s="70">
        <v>80909.040913097953</v>
      </c>
      <c r="Q28" s="70">
        <v>84691.688377225248</v>
      </c>
      <c r="R28" s="70">
        <v>96620.411386680367</v>
      </c>
      <c r="S28" s="70">
        <v>99432.247968000011</v>
      </c>
      <c r="T28" s="70">
        <v>103145.45711770472</v>
      </c>
      <c r="U28" s="70">
        <v>114921.54321739131</v>
      </c>
      <c r="V28" s="70">
        <v>130370.11364816275</v>
      </c>
      <c r="W28" s="70">
        <v>144719.51671934265</v>
      </c>
      <c r="X28" s="70">
        <v>158445.00841081227</v>
      </c>
      <c r="Y28" s="70">
        <v>186467.97170818507</v>
      </c>
      <c r="Z28" s="70">
        <v>190298.94688375597</v>
      </c>
      <c r="AA28" s="70">
        <v>213371.40000000002</v>
      </c>
    </row>
    <row r="29" spans="1:27" x14ac:dyDescent="0.25">
      <c r="A29" s="68" t="s">
        <v>152</v>
      </c>
      <c r="B29" s="71"/>
      <c r="C29" s="71"/>
      <c r="D29" s="70">
        <v>19687.03459119497</v>
      </c>
      <c r="E29" s="70">
        <v>17293.609473308723</v>
      </c>
      <c r="F29" s="70">
        <v>18466.661695142298</v>
      </c>
      <c r="G29" s="70">
        <v>19661.269607074897</v>
      </c>
      <c r="H29" s="70">
        <v>20475.209907154964</v>
      </c>
      <c r="I29" s="70">
        <v>22458.149180877565</v>
      </c>
      <c r="J29" s="70">
        <v>24008.109793802556</v>
      </c>
      <c r="K29" s="70">
        <v>26517.981679142784</v>
      </c>
      <c r="L29" s="70">
        <v>26184.487381579242</v>
      </c>
      <c r="M29" s="70">
        <v>22989.028902309743</v>
      </c>
      <c r="N29" s="70">
        <v>24594.680015068061</v>
      </c>
      <c r="O29" s="70">
        <v>26614.368358873082</v>
      </c>
      <c r="P29" s="70">
        <v>26469.780424882374</v>
      </c>
      <c r="Q29" s="70">
        <v>28212.351721913514</v>
      </c>
      <c r="R29" s="70">
        <v>28012.100686873418</v>
      </c>
      <c r="S29" s="70">
        <v>25578.853919715129</v>
      </c>
      <c r="T29" s="70">
        <v>27527.6305242979</v>
      </c>
      <c r="U29" s="70">
        <v>28251.472447339911</v>
      </c>
      <c r="V29" s="70">
        <v>29697.902515465965</v>
      </c>
      <c r="W29" s="70">
        <v>29042.055318772946</v>
      </c>
      <c r="X29" s="70">
        <v>31664.052697533651</v>
      </c>
      <c r="Y29" s="70">
        <v>33889.194915167973</v>
      </c>
      <c r="Z29" s="70">
        <v>34725.9871788737</v>
      </c>
      <c r="AA29" s="70">
        <v>37195.437430982551</v>
      </c>
    </row>
    <row r="30" spans="1:27" x14ac:dyDescent="0.25">
      <c r="A30" s="64" t="s">
        <v>154</v>
      </c>
      <c r="B30" s="65"/>
      <c r="C30" s="65"/>
      <c r="D30" s="66">
        <v>1906.7704402515733</v>
      </c>
      <c r="E30" s="66">
        <v>2199.5785276241959</v>
      </c>
      <c r="F30" s="66">
        <v>2113.0079609176955</v>
      </c>
      <c r="G30" s="66">
        <v>2324.2696966304734</v>
      </c>
      <c r="H30" s="66">
        <v>2517.9404096971493</v>
      </c>
      <c r="I30" s="66">
        <v>2301.3527148400062</v>
      </c>
      <c r="J30" s="66">
        <v>2463.9518546250442</v>
      </c>
      <c r="K30" s="66">
        <v>3030.2635116898664</v>
      </c>
      <c r="L30" s="66">
        <v>3348.2497306257742</v>
      </c>
      <c r="M30" s="66">
        <v>3679.4318974690877</v>
      </c>
      <c r="N30" s="66">
        <v>3641.6409900452036</v>
      </c>
      <c r="O30" s="66">
        <v>4092.721694986697</v>
      </c>
      <c r="P30" s="66">
        <v>4229.480499506878</v>
      </c>
      <c r="Q30" s="66">
        <v>4330.7428492208055</v>
      </c>
      <c r="R30" s="66">
        <v>4003.5634207565145</v>
      </c>
      <c r="S30" s="66">
        <v>3427.7204339999926</v>
      </c>
      <c r="T30" s="66">
        <v>3427.3405212027296</v>
      </c>
      <c r="U30" s="66">
        <v>3185.2398608695635</v>
      </c>
      <c r="V30" s="66">
        <v>3447.8558626723384</v>
      </c>
      <c r="W30" s="66">
        <v>3238.9885760555007</v>
      </c>
      <c r="X30" s="66">
        <v>3574.0589167109893</v>
      </c>
      <c r="Y30" s="66">
        <v>4647.6383252384549</v>
      </c>
      <c r="Z30" s="66">
        <v>4101.5358037310789</v>
      </c>
      <c r="AA30" s="66">
        <v>4899.7812785952729</v>
      </c>
    </row>
    <row r="31" spans="1:27" x14ac:dyDescent="0.25">
      <c r="A31" s="64" t="s">
        <v>37</v>
      </c>
      <c r="B31" s="65"/>
      <c r="C31" s="65"/>
      <c r="D31" s="66">
        <v>12074.761006289309</v>
      </c>
      <c r="E31" s="66">
        <v>12991.064761486645</v>
      </c>
      <c r="F31" s="66">
        <v>13343.709900587022</v>
      </c>
      <c r="G31" s="66">
        <v>14476.550867569686</v>
      </c>
      <c r="H31" s="66">
        <v>17191.728122467026</v>
      </c>
      <c r="I31" s="66">
        <v>20517.272968959573</v>
      </c>
      <c r="J31" s="66">
        <v>23438.249222439812</v>
      </c>
      <c r="K31" s="66">
        <v>21707.428218318553</v>
      </c>
      <c r="L31" s="66">
        <v>15271.912203177902</v>
      </c>
      <c r="M31" s="66">
        <v>5928.2734899125307</v>
      </c>
      <c r="N31" s="66">
        <v>3389.6899105797502</v>
      </c>
      <c r="O31" s="66">
        <v>2952.0942219679637</v>
      </c>
      <c r="P31" s="66">
        <v>4128.1398807590595</v>
      </c>
      <c r="Q31" s="66">
        <v>5057.0197892735478</v>
      </c>
      <c r="R31" s="66">
        <v>6270.9617741647317</v>
      </c>
      <c r="S31" s="66">
        <v>6222.7174680000007</v>
      </c>
      <c r="T31" s="66">
        <v>7253.8838108481223</v>
      </c>
      <c r="U31" s="66">
        <v>9057.0352782608716</v>
      </c>
      <c r="V31" s="66">
        <v>9738.8663670275146</v>
      </c>
      <c r="W31" s="66">
        <v>10304.852671599616</v>
      </c>
      <c r="X31" s="66">
        <v>9760.6785229372726</v>
      </c>
      <c r="Y31" s="66">
        <v>11233.693104982207</v>
      </c>
      <c r="Z31" s="66">
        <v>12560.118095930233</v>
      </c>
      <c r="AA31" s="66">
        <v>13563.7</v>
      </c>
    </row>
    <row r="32" spans="1:27" x14ac:dyDescent="0.25">
      <c r="A32" s="64" t="s">
        <v>58</v>
      </c>
      <c r="B32" s="65"/>
      <c r="C32" s="65"/>
      <c r="D32" s="66">
        <v>43377.32893081761</v>
      </c>
      <c r="E32" s="66">
        <v>49291.424712919659</v>
      </c>
      <c r="F32" s="66">
        <v>55752.204370493906</v>
      </c>
      <c r="G32" s="66">
        <v>49356.627773424378</v>
      </c>
      <c r="H32" s="66">
        <v>47291.894035074787</v>
      </c>
      <c r="I32" s="66">
        <v>46597.446272034875</v>
      </c>
      <c r="J32" s="66">
        <v>46133.601101255619</v>
      </c>
      <c r="K32" s="66">
        <v>47633.196236404117</v>
      </c>
      <c r="L32" s="66">
        <v>45162.659597985214</v>
      </c>
      <c r="M32" s="66">
        <v>48857.900437952667</v>
      </c>
      <c r="N32" s="66">
        <v>46886.055388681678</v>
      </c>
      <c r="O32" s="66">
        <v>50443.316361556062</v>
      </c>
      <c r="P32" s="66">
        <v>46661.408591611376</v>
      </c>
      <c r="Q32" s="66">
        <v>45835.010152669165</v>
      </c>
      <c r="R32" s="66">
        <v>50927.097092192242</v>
      </c>
      <c r="S32" s="66">
        <v>110805.61231828488</v>
      </c>
      <c r="T32" s="66">
        <v>104991.48309163727</v>
      </c>
      <c r="U32" s="66">
        <v>111735.49486570359</v>
      </c>
      <c r="V32" s="66">
        <v>123170.07049393661</v>
      </c>
      <c r="W32" s="66">
        <v>125967.19655324786</v>
      </c>
      <c r="X32" s="66">
        <v>143483.6314952031</v>
      </c>
      <c r="Y32" s="66">
        <v>170092.18910244518</v>
      </c>
      <c r="Z32" s="66">
        <v>197565.3077639479</v>
      </c>
      <c r="AA32" s="66">
        <v>155744.43520411081</v>
      </c>
    </row>
    <row r="33" spans="1:27" x14ac:dyDescent="0.25">
      <c r="A33" s="72" t="s">
        <v>158</v>
      </c>
      <c r="B33" s="65"/>
      <c r="C33" s="65"/>
      <c r="D33" s="66">
        <v>336.75534591194969</v>
      </c>
      <c r="E33" s="66">
        <v>371.01711918122083</v>
      </c>
      <c r="F33" s="66">
        <v>279.59040671333076</v>
      </c>
      <c r="G33" s="66">
        <v>300.5169371991492</v>
      </c>
      <c r="H33" s="66">
        <v>362.19316557364965</v>
      </c>
      <c r="I33" s="66">
        <v>324.27450301781948</v>
      </c>
      <c r="J33" s="66">
        <v>463.5009952770418</v>
      </c>
      <c r="K33" s="66">
        <v>351.92249506914732</v>
      </c>
      <c r="L33" s="66">
        <v>316.24131268210402</v>
      </c>
      <c r="M33" s="66">
        <v>187.77722767472613</v>
      </c>
      <c r="N33" s="66">
        <v>264.97554652570216</v>
      </c>
      <c r="O33" s="66">
        <v>228.19221967963387</v>
      </c>
      <c r="P33" s="66">
        <v>205.76821556163875</v>
      </c>
      <c r="Q33" s="66">
        <v>249.2971786195267</v>
      </c>
      <c r="R33" s="66">
        <v>299.75741580310881</v>
      </c>
      <c r="S33" s="66">
        <v>316.12735800000002</v>
      </c>
      <c r="T33" s="66">
        <v>278.97298973609969</v>
      </c>
      <c r="U33" s="66">
        <v>344.83368695652183</v>
      </c>
      <c r="V33" s="66">
        <v>341.66520179975777</v>
      </c>
      <c r="W33" s="66">
        <v>413.67540901316289</v>
      </c>
      <c r="X33" s="66">
        <v>325.920655514808</v>
      </c>
      <c r="Y33" s="66">
        <v>198.73024911032027</v>
      </c>
      <c r="Z33" s="66">
        <v>155.43049961473804</v>
      </c>
      <c r="AA33" s="66">
        <v>209.3</v>
      </c>
    </row>
    <row r="34" spans="1:27" x14ac:dyDescent="0.25">
      <c r="A34" s="73" t="s">
        <v>5</v>
      </c>
      <c r="B34" s="65"/>
      <c r="C34" s="65"/>
      <c r="D34" s="66">
        <v>13.614817019297583</v>
      </c>
      <c r="E34" s="66">
        <v>15</v>
      </c>
      <c r="F34" s="66">
        <v>0</v>
      </c>
      <c r="G34" s="66">
        <v>0</v>
      </c>
      <c r="H34" s="66">
        <v>0</v>
      </c>
      <c r="I34" s="66">
        <v>0</v>
      </c>
      <c r="J34" s="66">
        <v>0</v>
      </c>
      <c r="K34" s="66">
        <v>0</v>
      </c>
      <c r="L34" s="66">
        <v>0</v>
      </c>
      <c r="M34" s="66">
        <v>0</v>
      </c>
      <c r="N34" s="66">
        <v>0</v>
      </c>
      <c r="O34" s="66">
        <v>0</v>
      </c>
      <c r="P34" s="66">
        <v>0</v>
      </c>
      <c r="Q34" s="66">
        <v>0</v>
      </c>
      <c r="R34" s="66">
        <v>0</v>
      </c>
      <c r="S34" s="66">
        <v>0</v>
      </c>
      <c r="T34" s="66">
        <v>0</v>
      </c>
      <c r="U34" s="66">
        <v>0</v>
      </c>
      <c r="V34" s="66">
        <v>0</v>
      </c>
      <c r="W34" s="66">
        <v>0</v>
      </c>
      <c r="X34" s="66">
        <v>0</v>
      </c>
      <c r="Y34" s="66">
        <v>0</v>
      </c>
      <c r="Z34" s="66">
        <v>0</v>
      </c>
      <c r="AA34" s="66">
        <v>0</v>
      </c>
    </row>
    <row r="35" spans="1:27" x14ac:dyDescent="0.25">
      <c r="A35" s="74" t="s">
        <v>264</v>
      </c>
      <c r="B35" s="44"/>
      <c r="C35" s="44"/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</row>
    <row r="36" spans="1:27" x14ac:dyDescent="0.25">
      <c r="A36" s="74" t="s">
        <v>15</v>
      </c>
      <c r="B36" s="44"/>
      <c r="C36" s="44"/>
      <c r="D36" s="45">
        <v>13.614817019297583</v>
      </c>
      <c r="E36" s="45">
        <v>15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</row>
    <row r="37" spans="1:27" x14ac:dyDescent="0.25">
      <c r="A37" s="73" t="s">
        <v>263</v>
      </c>
      <c r="B37" s="65"/>
      <c r="C37" s="65"/>
      <c r="D37" s="66">
        <v>323.14052889265213</v>
      </c>
      <c r="E37" s="66">
        <v>356.01711918122083</v>
      </c>
      <c r="F37" s="66">
        <v>279.59040671333076</v>
      </c>
      <c r="G37" s="66">
        <v>300.5169371991492</v>
      </c>
      <c r="H37" s="66">
        <v>362.19316557364965</v>
      </c>
      <c r="I37" s="66">
        <v>324.27450301781948</v>
      </c>
      <c r="J37" s="66">
        <v>463.5009952770418</v>
      </c>
      <c r="K37" s="66">
        <v>351.92249506914732</v>
      </c>
      <c r="L37" s="66">
        <v>316.24131268210402</v>
      </c>
      <c r="M37" s="66">
        <v>187.77722767472613</v>
      </c>
      <c r="N37" s="66">
        <v>264.97554652570216</v>
      </c>
      <c r="O37" s="66">
        <v>228.19221967963387</v>
      </c>
      <c r="P37" s="66">
        <v>205.76821556163875</v>
      </c>
      <c r="Q37" s="66">
        <v>249.2971786195267</v>
      </c>
      <c r="R37" s="66">
        <v>299.75741580310881</v>
      </c>
      <c r="S37" s="66">
        <v>316.12735800000002</v>
      </c>
      <c r="T37" s="66">
        <v>278.97298973609969</v>
      </c>
      <c r="U37" s="66">
        <v>344.83368695652183</v>
      </c>
      <c r="V37" s="66">
        <v>341.66520179975777</v>
      </c>
      <c r="W37" s="66">
        <v>413.67540901316289</v>
      </c>
      <c r="X37" s="66">
        <v>325.920655514808</v>
      </c>
      <c r="Y37" s="66">
        <v>198.73024911032024</v>
      </c>
      <c r="Z37" s="66">
        <v>155.43049961473804</v>
      </c>
      <c r="AA37" s="66">
        <v>209.3</v>
      </c>
    </row>
    <row r="38" spans="1:27" x14ac:dyDescent="0.25">
      <c r="A38" s="74" t="s">
        <v>14</v>
      </c>
      <c r="B38" s="44"/>
      <c r="C38" s="44"/>
      <c r="D38" s="45">
        <v>280.02513981080273</v>
      </c>
      <c r="E38" s="45">
        <v>308.51513400499209</v>
      </c>
      <c r="F38" s="45">
        <v>254.06566993856114</v>
      </c>
      <c r="G38" s="45">
        <v>273.08174795736278</v>
      </c>
      <c r="H38" s="45">
        <v>329.12734861102791</v>
      </c>
      <c r="I38" s="45">
        <v>294.67040669134695</v>
      </c>
      <c r="J38" s="45">
        <v>421.18645008801286</v>
      </c>
      <c r="K38" s="45">
        <v>319.79432172673972</v>
      </c>
      <c r="L38" s="45">
        <v>287.37059298035598</v>
      </c>
      <c r="M38" s="45">
        <v>119.20956650766909</v>
      </c>
      <c r="N38" s="45">
        <v>223.04399430948246</v>
      </c>
      <c r="O38" s="45">
        <v>178.14314535110097</v>
      </c>
      <c r="P38" s="45">
        <v>160.24657407876353</v>
      </c>
      <c r="Q38" s="45">
        <v>145</v>
      </c>
      <c r="R38" s="45">
        <v>170</v>
      </c>
      <c r="S38" s="45">
        <v>219.1320747924693</v>
      </c>
      <c r="T38" s="45">
        <v>167.48597388325578</v>
      </c>
      <c r="U38" s="45">
        <v>241.7387462845096</v>
      </c>
      <c r="V38" s="45">
        <v>240</v>
      </c>
      <c r="W38" s="45">
        <v>300</v>
      </c>
      <c r="X38" s="45">
        <v>239.99999999999997</v>
      </c>
      <c r="Y38" s="45">
        <v>99.999999999999986</v>
      </c>
      <c r="Z38" s="45">
        <v>55.28095138322378</v>
      </c>
      <c r="AA38" s="45">
        <v>110</v>
      </c>
    </row>
    <row r="39" spans="1:27" x14ac:dyDescent="0.25">
      <c r="A39" s="74" t="s">
        <v>19</v>
      </c>
      <c r="B39" s="44"/>
      <c r="C39" s="44"/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</row>
    <row r="40" spans="1:27" x14ac:dyDescent="0.25">
      <c r="A40" s="75" t="s">
        <v>267</v>
      </c>
      <c r="B40" s="76"/>
      <c r="C40" s="76"/>
      <c r="D40" s="45">
        <v>0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v>0</v>
      </c>
      <c r="O40" s="45">
        <v>0</v>
      </c>
      <c r="P40" s="45">
        <v>0</v>
      </c>
      <c r="Q40" s="45">
        <v>0</v>
      </c>
      <c r="R40" s="45">
        <v>0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5">
        <v>0</v>
      </c>
      <c r="Y40" s="45">
        <v>0</v>
      </c>
      <c r="Z40" s="45">
        <v>0</v>
      </c>
      <c r="AA40" s="45">
        <v>0</v>
      </c>
    </row>
    <row r="41" spans="1:27" x14ac:dyDescent="0.25">
      <c r="A41" s="75" t="s">
        <v>268</v>
      </c>
      <c r="B41" s="76"/>
      <c r="C41" s="76"/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</row>
    <row r="42" spans="1:27" x14ac:dyDescent="0.25">
      <c r="A42" s="74" t="s">
        <v>13</v>
      </c>
      <c r="B42" s="44"/>
      <c r="C42" s="44"/>
      <c r="D42" s="45">
        <v>43.115389081849401</v>
      </c>
      <c r="E42" s="45">
        <v>47.501985176228743</v>
      </c>
      <c r="F42" s="45">
        <v>25.524736774769622</v>
      </c>
      <c r="G42" s="45">
        <v>27.435189241786418</v>
      </c>
      <c r="H42" s="45">
        <v>33.065816962621739</v>
      </c>
      <c r="I42" s="45">
        <v>29.604096326472529</v>
      </c>
      <c r="J42" s="45">
        <v>42.314545189028934</v>
      </c>
      <c r="K42" s="45">
        <v>32.128173342407592</v>
      </c>
      <c r="L42" s="45">
        <v>28.870719701748044</v>
      </c>
      <c r="M42" s="45">
        <v>68.56766116705704</v>
      </c>
      <c r="N42" s="45">
        <v>41.9315522162197</v>
      </c>
      <c r="O42" s="45">
        <v>50.049074328532896</v>
      </c>
      <c r="P42" s="45">
        <v>45.521641482875225</v>
      </c>
      <c r="Q42" s="45">
        <v>104.2971786195267</v>
      </c>
      <c r="R42" s="45">
        <v>129.75741580310881</v>
      </c>
      <c r="S42" s="45">
        <v>96.995283207530719</v>
      </c>
      <c r="T42" s="45">
        <v>111.48701585284391</v>
      </c>
      <c r="U42" s="45">
        <v>103.09494067201223</v>
      </c>
      <c r="V42" s="45">
        <v>101.66520179975775</v>
      </c>
      <c r="W42" s="45">
        <v>113.67540901316289</v>
      </c>
      <c r="X42" s="45">
        <v>85.920655514808004</v>
      </c>
      <c r="Y42" s="45">
        <v>98.730249110320273</v>
      </c>
      <c r="Z42" s="45">
        <v>100.14954823151426</v>
      </c>
      <c r="AA42" s="45">
        <v>99.300000000000026</v>
      </c>
    </row>
    <row r="43" spans="1:27" x14ac:dyDescent="0.25">
      <c r="A43" s="72" t="s">
        <v>265</v>
      </c>
      <c r="B43" s="65"/>
      <c r="C43" s="65"/>
      <c r="D43" s="66">
        <v>18391.754716981137</v>
      </c>
      <c r="E43" s="66">
        <v>21378.495095281876</v>
      </c>
      <c r="F43" s="66">
        <v>28118.147154845243</v>
      </c>
      <c r="G43" s="66">
        <v>21690.414765476311</v>
      </c>
      <c r="H43" s="66">
        <v>19261.855607545502</v>
      </c>
      <c r="I43" s="66">
        <v>18364.09588163441</v>
      </c>
      <c r="J43" s="66">
        <v>17083.669473562957</v>
      </c>
      <c r="K43" s="66">
        <v>19520.075844012048</v>
      </c>
      <c r="L43" s="66">
        <v>18936.607205124277</v>
      </c>
      <c r="M43" s="66">
        <v>23865.618535952162</v>
      </c>
      <c r="N43" s="66">
        <v>23753.154726675395</v>
      </c>
      <c r="O43" s="66">
        <v>26104.476830663611</v>
      </c>
      <c r="P43" s="66">
        <v>23854.570601540392</v>
      </c>
      <c r="Q43" s="66">
        <v>21343.286216769844</v>
      </c>
      <c r="R43" s="66">
        <v>23606.648831963546</v>
      </c>
      <c r="S43" s="66">
        <v>82240.854367153603</v>
      </c>
      <c r="T43" s="66">
        <v>78368.442352659767</v>
      </c>
      <c r="U43" s="66">
        <v>82744.956731153201</v>
      </c>
      <c r="V43" s="66">
        <v>94611.335136113819</v>
      </c>
      <c r="W43" s="66">
        <v>95080.483423969403</v>
      </c>
      <c r="X43" s="66">
        <v>109902.37896604525</v>
      </c>
      <c r="Y43" s="66">
        <v>132382.80915974773</v>
      </c>
      <c r="Z43" s="66">
        <v>156258.90052677129</v>
      </c>
      <c r="AA43" s="66">
        <v>113469.2099285049</v>
      </c>
    </row>
    <row r="44" spans="1:27" x14ac:dyDescent="0.25">
      <c r="A44" s="73" t="s">
        <v>266</v>
      </c>
      <c r="B44" s="65"/>
      <c r="C44" s="65"/>
      <c r="D44" s="66">
        <v>3353.267924528307</v>
      </c>
      <c r="E44" s="66">
        <v>1271.3927190659854</v>
      </c>
      <c r="F44" s="66">
        <v>1329.6316479966472</v>
      </c>
      <c r="G44" s="66">
        <v>1026.7419120116315</v>
      </c>
      <c r="H44" s="66">
        <v>1260.6969899049423</v>
      </c>
      <c r="I44" s="66">
        <v>1050.4192685380322</v>
      </c>
      <c r="J44" s="66">
        <v>969.5188261721039</v>
      </c>
      <c r="K44" s="66">
        <v>2483.1889110601069</v>
      </c>
      <c r="L44" s="66">
        <v>2158.8168980689629</v>
      </c>
      <c r="M44" s="66">
        <v>2508.4820111853901</v>
      </c>
      <c r="N44" s="66">
        <v>2351.0610206753436</v>
      </c>
      <c r="O44" s="66">
        <v>3447.5565789473621</v>
      </c>
      <c r="P44" s="66">
        <v>4276.0103025100925</v>
      </c>
      <c r="Q44" s="66">
        <v>4803.8770690689344</v>
      </c>
      <c r="R44" s="66">
        <v>4847.4084420225063</v>
      </c>
      <c r="S44" s="66">
        <v>4452.6695954585848</v>
      </c>
      <c r="T44" s="66">
        <v>5217.5291307989246</v>
      </c>
      <c r="U44" s="66">
        <v>5380.8612566996444</v>
      </c>
      <c r="V44" s="66">
        <v>5463.2670565112167</v>
      </c>
      <c r="W44" s="66">
        <v>5751.4837844459344</v>
      </c>
      <c r="X44" s="66">
        <v>6203.2818229643171</v>
      </c>
      <c r="Y44" s="66">
        <v>6664.1423907066583</v>
      </c>
      <c r="Z44" s="66">
        <v>7036.2695419606998</v>
      </c>
      <c r="AA44" s="66">
        <v>7551.1227555817559</v>
      </c>
    </row>
    <row r="45" spans="1:27" x14ac:dyDescent="0.25">
      <c r="A45" s="74" t="s">
        <v>20</v>
      </c>
      <c r="B45" s="44"/>
      <c r="C45" s="44"/>
      <c r="D45" s="45">
        <v>0</v>
      </c>
      <c r="E45" s="45">
        <v>0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v>0</v>
      </c>
      <c r="O45" s="45">
        <v>0</v>
      </c>
      <c r="P45" s="45">
        <v>0</v>
      </c>
      <c r="Q45" s="45">
        <v>0</v>
      </c>
      <c r="R45" s="45">
        <v>0</v>
      </c>
      <c r="S45" s="45">
        <v>0</v>
      </c>
      <c r="T45" s="45">
        <v>0</v>
      </c>
      <c r="U45" s="45">
        <v>0</v>
      </c>
      <c r="V45" s="45">
        <v>0</v>
      </c>
      <c r="W45" s="45">
        <v>0</v>
      </c>
      <c r="X45" s="45">
        <v>0</v>
      </c>
      <c r="Y45" s="45">
        <v>0</v>
      </c>
      <c r="Z45" s="45">
        <v>0</v>
      </c>
      <c r="AA45" s="45">
        <v>0</v>
      </c>
    </row>
    <row r="46" spans="1:27" x14ac:dyDescent="0.25">
      <c r="A46" s="74" t="s">
        <v>12</v>
      </c>
      <c r="B46" s="44"/>
      <c r="C46" s="44"/>
      <c r="D46" s="45">
        <v>3353.267924528307</v>
      </c>
      <c r="E46" s="45">
        <v>1271.3927190659854</v>
      </c>
      <c r="F46" s="45">
        <v>1329.6316479966472</v>
      </c>
      <c r="G46" s="45">
        <v>1026.7419120116315</v>
      </c>
      <c r="H46" s="45">
        <v>1260.6969899049423</v>
      </c>
      <c r="I46" s="45">
        <v>1050.4192685380322</v>
      </c>
      <c r="J46" s="45">
        <v>969.5188261721039</v>
      </c>
      <c r="K46" s="45">
        <v>2483.1889110601069</v>
      </c>
      <c r="L46" s="45">
        <v>2158.8168980689629</v>
      </c>
      <c r="M46" s="45">
        <v>2508.4820111853901</v>
      </c>
      <c r="N46" s="45">
        <v>2351.0610206753436</v>
      </c>
      <c r="O46" s="45">
        <v>3447.5565789473621</v>
      </c>
      <c r="P46" s="45">
        <v>4276.0103025100925</v>
      </c>
      <c r="Q46" s="45">
        <v>4803.8770690689344</v>
      </c>
      <c r="R46" s="45">
        <v>4847.4084420225063</v>
      </c>
      <c r="S46" s="45">
        <v>4452.6695954585848</v>
      </c>
      <c r="T46" s="45">
        <v>5217.5291307989246</v>
      </c>
      <c r="U46" s="45">
        <v>5380.8612566996444</v>
      </c>
      <c r="V46" s="45">
        <v>5463.2670565112167</v>
      </c>
      <c r="W46" s="45">
        <v>5751.4837844459344</v>
      </c>
      <c r="X46" s="45">
        <v>6203.2818229643171</v>
      </c>
      <c r="Y46" s="45">
        <v>6664.1423907066583</v>
      </c>
      <c r="Z46" s="45">
        <v>7036.2695419606998</v>
      </c>
      <c r="AA46" s="45">
        <v>7551.1227555817559</v>
      </c>
    </row>
    <row r="47" spans="1:27" x14ac:dyDescent="0.25">
      <c r="A47" s="73" t="s">
        <v>11</v>
      </c>
      <c r="B47" s="65"/>
      <c r="C47" s="65"/>
      <c r="D47" s="66">
        <v>15038.486792452832</v>
      </c>
      <c r="E47" s="66">
        <v>20107.102376215891</v>
      </c>
      <c r="F47" s="66">
        <v>26788.515506848595</v>
      </c>
      <c r="G47" s="66">
        <v>20663.672853464679</v>
      </c>
      <c r="H47" s="66">
        <v>18001.158617640558</v>
      </c>
      <c r="I47" s="66">
        <v>17313.676613096377</v>
      </c>
      <c r="J47" s="66">
        <v>16114.150647390854</v>
      </c>
      <c r="K47" s="66">
        <v>17036.88693295194</v>
      </c>
      <c r="L47" s="66">
        <v>16777.790307055315</v>
      </c>
      <c r="M47" s="66">
        <v>21357.136524766771</v>
      </c>
      <c r="N47" s="66">
        <v>21402.093706000051</v>
      </c>
      <c r="O47" s="66">
        <v>22656.920251716248</v>
      </c>
      <c r="P47" s="66">
        <v>19578.560299030298</v>
      </c>
      <c r="Q47" s="66">
        <v>16539.40914770091</v>
      </c>
      <c r="R47" s="66">
        <v>18759.240389941042</v>
      </c>
      <c r="S47" s="66">
        <v>77788.184771695014</v>
      </c>
      <c r="T47" s="66">
        <v>73150.913221860843</v>
      </c>
      <c r="U47" s="66">
        <v>77364.095474453556</v>
      </c>
      <c r="V47" s="66">
        <v>89148.068079602599</v>
      </c>
      <c r="W47" s="66">
        <v>89328.999639523463</v>
      </c>
      <c r="X47" s="66">
        <v>103699.09714308093</v>
      </c>
      <c r="Y47" s="66">
        <v>125718.66676904107</v>
      </c>
      <c r="Z47" s="66">
        <v>149222.63098481059</v>
      </c>
      <c r="AA47" s="66">
        <v>105918.08717292314</v>
      </c>
    </row>
    <row r="48" spans="1:27" x14ac:dyDescent="0.25">
      <c r="A48" s="72" t="s">
        <v>4</v>
      </c>
      <c r="B48" s="65"/>
      <c r="C48" s="65"/>
      <c r="D48" s="66">
        <v>1392.6654088050313</v>
      </c>
      <c r="E48" s="66">
        <v>1301.614217508815</v>
      </c>
      <c r="F48" s="66">
        <v>1211.1480964450341</v>
      </c>
      <c r="G48" s="66">
        <v>1224.8032687786858</v>
      </c>
      <c r="H48" s="66">
        <v>1290.6279308820278</v>
      </c>
      <c r="I48" s="66">
        <v>1423.9453295650508</v>
      </c>
      <c r="J48" s="66">
        <v>1481.3405425642206</v>
      </c>
      <c r="K48" s="66">
        <v>1607.7073737874716</v>
      </c>
      <c r="L48" s="66">
        <v>1189.3603564814271</v>
      </c>
      <c r="M48" s="66">
        <v>762.48073372235501</v>
      </c>
      <c r="N48" s="66">
        <v>549.19836104043679</v>
      </c>
      <c r="O48" s="66">
        <v>621.11069794050343</v>
      </c>
      <c r="P48" s="66">
        <v>517.81829675683207</v>
      </c>
      <c r="Q48" s="66">
        <v>674.16322133067763</v>
      </c>
      <c r="R48" s="66">
        <v>876.24417880114345</v>
      </c>
      <c r="S48" s="66">
        <v>696.58159499999999</v>
      </c>
      <c r="T48" s="66">
        <v>958.23705508093076</v>
      </c>
      <c r="U48" s="66">
        <v>985.02886086956551</v>
      </c>
      <c r="V48" s="66">
        <v>995.36885034706859</v>
      </c>
      <c r="W48" s="66">
        <v>1101.0649577972783</v>
      </c>
      <c r="X48" s="66">
        <v>1156.8219893332823</v>
      </c>
      <c r="Y48" s="66">
        <v>1190.0526245551603</v>
      </c>
      <c r="Z48" s="66">
        <v>1315.3626637363407</v>
      </c>
      <c r="AA48" s="66">
        <v>1457.8</v>
      </c>
    </row>
    <row r="49" spans="1:27" x14ac:dyDescent="0.25">
      <c r="A49" s="77" t="s">
        <v>10</v>
      </c>
      <c r="B49" s="44"/>
      <c r="C49" s="44"/>
      <c r="D49" s="45">
        <v>520.32580405365945</v>
      </c>
      <c r="E49" s="45">
        <v>542.37914038210295</v>
      </c>
      <c r="F49" s="45">
        <v>523.43429876927553</v>
      </c>
      <c r="G49" s="45">
        <v>547.85341634202337</v>
      </c>
      <c r="H49" s="45">
        <v>695.12845268780143</v>
      </c>
      <c r="I49" s="45">
        <v>711.26598344792319</v>
      </c>
      <c r="J49" s="45">
        <v>721.87695564816875</v>
      </c>
      <c r="K49" s="45">
        <v>755.07517595788454</v>
      </c>
      <c r="L49" s="45">
        <v>594.56081083476954</v>
      </c>
      <c r="M49" s="45">
        <v>439.17653023592663</v>
      </c>
      <c r="N49" s="45">
        <v>380.37563206575624</v>
      </c>
      <c r="O49" s="45">
        <v>359.23530997573766</v>
      </c>
      <c r="P49" s="45">
        <v>190.78863146841533</v>
      </c>
      <c r="Q49" s="45">
        <v>248.39346000247588</v>
      </c>
      <c r="R49" s="45">
        <v>322.84959560658825</v>
      </c>
      <c r="S49" s="45">
        <v>256.6534439754372</v>
      </c>
      <c r="T49" s="45">
        <v>353.05963019508374</v>
      </c>
      <c r="U49" s="45">
        <v>362.93099239490493</v>
      </c>
      <c r="V49" s="45">
        <v>366.74073116652858</v>
      </c>
      <c r="W49" s="45">
        <v>405.68415170277484</v>
      </c>
      <c r="X49" s="45">
        <v>426.22766630649113</v>
      </c>
      <c r="Y49" s="45">
        <v>438.47139631085111</v>
      </c>
      <c r="Z49" s="45">
        <v>484.64151241985758</v>
      </c>
      <c r="AA49" s="45">
        <v>537.12213086450026</v>
      </c>
    </row>
    <row r="50" spans="1:27" x14ac:dyDescent="0.25">
      <c r="A50" s="77" t="s">
        <v>18</v>
      </c>
      <c r="B50" s="44"/>
      <c r="C50" s="44"/>
      <c r="D50" s="45">
        <v>305.2367879686671</v>
      </c>
      <c r="E50" s="45">
        <v>240.56503869692872</v>
      </c>
      <c r="F50" s="45">
        <v>207.90225136397788</v>
      </c>
      <c r="G50" s="45">
        <v>158.80184875080727</v>
      </c>
      <c r="H50" s="45">
        <v>154.45220656646219</v>
      </c>
      <c r="I50" s="45">
        <v>155.16991457369204</v>
      </c>
      <c r="J50" s="45">
        <v>160.69055784376377</v>
      </c>
      <c r="K50" s="45">
        <v>178.00812394373295</v>
      </c>
      <c r="L50" s="45">
        <v>146.24595413104316</v>
      </c>
      <c r="M50" s="45">
        <v>68.875946175148101</v>
      </c>
      <c r="N50" s="45">
        <v>94.403305251354894</v>
      </c>
      <c r="O50" s="45">
        <v>105.53193313565347</v>
      </c>
      <c r="P50" s="45">
        <v>60.087354220019428</v>
      </c>
      <c r="Q50" s="45">
        <v>78.229534444644571</v>
      </c>
      <c r="R50" s="45">
        <v>101.67889911309832</v>
      </c>
      <c r="S50" s="45">
        <v>80.830950362433029</v>
      </c>
      <c r="T50" s="45">
        <v>111.19330799242654</v>
      </c>
      <c r="U50" s="45">
        <v>114.30221460059077</v>
      </c>
      <c r="V50" s="45">
        <v>115.5020613697322</v>
      </c>
      <c r="W50" s="45">
        <v>127.76698033419363</v>
      </c>
      <c r="X50" s="45">
        <v>134.23699602337265</v>
      </c>
      <c r="Y50" s="45">
        <v>138.0930609056665</v>
      </c>
      <c r="Z50" s="45">
        <v>152.6339698669039</v>
      </c>
      <c r="AA50" s="45">
        <v>169.16232108939784</v>
      </c>
    </row>
    <row r="51" spans="1:27" x14ac:dyDescent="0.25">
      <c r="A51" s="77" t="s">
        <v>9</v>
      </c>
      <c r="B51" s="44"/>
      <c r="C51" s="44"/>
      <c r="D51" s="45">
        <v>567.10281678270485</v>
      </c>
      <c r="E51" s="45">
        <v>518.6700384297834</v>
      </c>
      <c r="F51" s="45">
        <v>479.81154631178066</v>
      </c>
      <c r="G51" s="45">
        <v>518.1480036858552</v>
      </c>
      <c r="H51" s="45">
        <v>441.04727162776419</v>
      </c>
      <c r="I51" s="45">
        <v>557.50943154343554</v>
      </c>
      <c r="J51" s="45">
        <v>598.77302907228818</v>
      </c>
      <c r="K51" s="45">
        <v>674.62407388585416</v>
      </c>
      <c r="L51" s="45">
        <v>448.55359151561436</v>
      </c>
      <c r="M51" s="45">
        <v>254.42825731128028</v>
      </c>
      <c r="N51" s="45">
        <v>74.419423723325664</v>
      </c>
      <c r="O51" s="45">
        <v>156.34345482911229</v>
      </c>
      <c r="P51" s="45">
        <v>266.94231106839726</v>
      </c>
      <c r="Q51" s="45">
        <v>347.54022688355718</v>
      </c>
      <c r="R51" s="45">
        <v>451.71568408145691</v>
      </c>
      <c r="S51" s="45">
        <v>359.09720066212975</v>
      </c>
      <c r="T51" s="45">
        <v>493.98411689342049</v>
      </c>
      <c r="U51" s="45">
        <v>507.79565387406979</v>
      </c>
      <c r="V51" s="45">
        <v>513.12605781080777</v>
      </c>
      <c r="W51" s="45">
        <v>567.61382576030985</v>
      </c>
      <c r="X51" s="45">
        <v>596.35732700341862</v>
      </c>
      <c r="Y51" s="45">
        <v>613.4881673386426</v>
      </c>
      <c r="Z51" s="45">
        <v>678.08718144957925</v>
      </c>
      <c r="AA51" s="45">
        <v>751.51554804610191</v>
      </c>
    </row>
    <row r="52" spans="1:27" x14ac:dyDescent="0.25">
      <c r="A52" s="72" t="s">
        <v>3</v>
      </c>
      <c r="B52" s="65"/>
      <c r="C52" s="65"/>
      <c r="D52" s="66">
        <v>1157.9993710691824</v>
      </c>
      <c r="E52" s="66">
        <v>1501.4297630643857</v>
      </c>
      <c r="F52" s="66">
        <v>1420.7254954233263</v>
      </c>
      <c r="G52" s="66">
        <v>1425.0507332363147</v>
      </c>
      <c r="H52" s="66">
        <v>1397.8325031316776</v>
      </c>
      <c r="I52" s="66">
        <v>1504.0668099731749</v>
      </c>
      <c r="J52" s="66">
        <v>1449.6216334523674</v>
      </c>
      <c r="K52" s="66">
        <v>980.76096264086095</v>
      </c>
      <c r="L52" s="66">
        <v>893.57521262666205</v>
      </c>
      <c r="M52" s="66">
        <v>890.84018609955228</v>
      </c>
      <c r="N52" s="66">
        <v>829.3691191364278</v>
      </c>
      <c r="O52" s="66">
        <v>737.91659038901594</v>
      </c>
      <c r="P52" s="66">
        <v>641.22486196817147</v>
      </c>
      <c r="Q52" s="66">
        <v>682.11951426534324</v>
      </c>
      <c r="R52" s="66">
        <v>776.41226773271399</v>
      </c>
      <c r="S52" s="66">
        <v>694.94120099999998</v>
      </c>
      <c r="T52" s="66">
        <v>617.84312138612665</v>
      </c>
      <c r="U52" s="66">
        <v>587.21350434782619</v>
      </c>
      <c r="V52" s="66">
        <v>600.42054915684434</v>
      </c>
      <c r="W52" s="66">
        <v>582.39136703353927</v>
      </c>
      <c r="X52" s="66">
        <v>576.11103823357621</v>
      </c>
      <c r="Y52" s="66">
        <v>535.86192170818504</v>
      </c>
      <c r="Z52" s="66">
        <v>445.4648378397311</v>
      </c>
      <c r="AA52" s="66">
        <v>572.5</v>
      </c>
    </row>
    <row r="53" spans="1:27" x14ac:dyDescent="0.25">
      <c r="A53" s="73" t="s">
        <v>21</v>
      </c>
      <c r="B53" s="65"/>
      <c r="C53" s="65"/>
      <c r="D53" s="66">
        <v>473.6874213836478</v>
      </c>
      <c r="E53" s="66">
        <v>439.81925393406419</v>
      </c>
      <c r="F53" s="66">
        <v>470.85671136092037</v>
      </c>
      <c r="G53" s="66">
        <v>471.90778014105001</v>
      </c>
      <c r="H53" s="66">
        <v>391.40461277724557</v>
      </c>
      <c r="I53" s="66">
        <v>339.569146388197</v>
      </c>
      <c r="J53" s="66">
        <v>311.11525745881812</v>
      </c>
      <c r="K53" s="66">
        <v>311.78386947946348</v>
      </c>
      <c r="L53" s="66">
        <v>280.7194519481439</v>
      </c>
      <c r="M53" s="66">
        <v>240.22976137039149</v>
      </c>
      <c r="N53" s="66">
        <v>269.89590074846234</v>
      </c>
      <c r="O53" s="66">
        <v>225.4824370709382</v>
      </c>
      <c r="P53" s="66">
        <v>225.20339047928363</v>
      </c>
      <c r="Q53" s="66">
        <v>235.77148063059497</v>
      </c>
      <c r="R53" s="66">
        <v>266.1312019832053</v>
      </c>
      <c r="S53" s="66">
        <v>231.41272499999999</v>
      </c>
      <c r="T53" s="66">
        <v>222.94396070506789</v>
      </c>
      <c r="U53" s="66">
        <v>247.0213739130435</v>
      </c>
      <c r="V53" s="66">
        <v>259.43124290960833</v>
      </c>
      <c r="W53" s="66">
        <v>247.13783650628397</v>
      </c>
      <c r="X53" s="66">
        <v>275.43380698411482</v>
      </c>
      <c r="Y53" s="66">
        <v>280.57339857651243</v>
      </c>
      <c r="Z53" s="66">
        <v>270.33621550154106</v>
      </c>
      <c r="AA53" s="66">
        <v>284.3</v>
      </c>
    </row>
    <row r="54" spans="1:27" x14ac:dyDescent="0.25">
      <c r="A54" s="74" t="s">
        <v>8</v>
      </c>
      <c r="B54" s="44"/>
      <c r="C54" s="44"/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</row>
    <row r="55" spans="1:27" x14ac:dyDescent="0.25">
      <c r="A55" s="74" t="s">
        <v>17</v>
      </c>
      <c r="B55" s="44"/>
      <c r="C55" s="44"/>
      <c r="D55" s="45">
        <v>473.6874213836478</v>
      </c>
      <c r="E55" s="45">
        <v>439.81925393406419</v>
      </c>
      <c r="F55" s="45">
        <v>470.85671136092037</v>
      </c>
      <c r="G55" s="45">
        <v>471.90778014105001</v>
      </c>
      <c r="H55" s="45">
        <v>391.40461277724557</v>
      </c>
      <c r="I55" s="45">
        <v>339.569146388197</v>
      </c>
      <c r="J55" s="45">
        <v>311.11525745881812</v>
      </c>
      <c r="K55" s="45">
        <v>311.78386947946348</v>
      </c>
      <c r="L55" s="45">
        <v>280.7194519481439</v>
      </c>
      <c r="M55" s="45">
        <v>240.22976137039149</v>
      </c>
      <c r="N55" s="45">
        <v>269.89590074846234</v>
      </c>
      <c r="O55" s="45">
        <v>225.4824370709382</v>
      </c>
      <c r="P55" s="45">
        <v>225.20339047928363</v>
      </c>
      <c r="Q55" s="45">
        <v>235.77148063059497</v>
      </c>
      <c r="R55" s="45">
        <v>266.1312019832053</v>
      </c>
      <c r="S55" s="45">
        <v>231.41272499999999</v>
      </c>
      <c r="T55" s="45">
        <v>222.94396070506789</v>
      </c>
      <c r="U55" s="45">
        <v>247.0213739130435</v>
      </c>
      <c r="V55" s="45">
        <v>259.43124290960833</v>
      </c>
      <c r="W55" s="45">
        <v>247.13783650628397</v>
      </c>
      <c r="X55" s="45">
        <v>275.43380698411482</v>
      </c>
      <c r="Y55" s="45">
        <v>280.57339857651243</v>
      </c>
      <c r="Z55" s="45">
        <v>270.33621550154106</v>
      </c>
      <c r="AA55" s="45">
        <v>284.3</v>
      </c>
    </row>
    <row r="56" spans="1:27" x14ac:dyDescent="0.25">
      <c r="A56" s="73" t="s">
        <v>16</v>
      </c>
      <c r="B56" s="65"/>
      <c r="C56" s="65"/>
      <c r="D56" s="66">
        <v>684.3119496855345</v>
      </c>
      <c r="E56" s="66">
        <v>1061.6105091303216</v>
      </c>
      <c r="F56" s="66">
        <v>949.86878406240578</v>
      </c>
      <c r="G56" s="66">
        <v>953.14295309526472</v>
      </c>
      <c r="H56" s="66">
        <v>1006.4278903544322</v>
      </c>
      <c r="I56" s="66">
        <v>1164.497663584978</v>
      </c>
      <c r="J56" s="66">
        <v>1138.5063759935492</v>
      </c>
      <c r="K56" s="66">
        <v>668.97709316139753</v>
      </c>
      <c r="L56" s="66">
        <v>612.8557606785181</v>
      </c>
      <c r="M56" s="66">
        <v>650.61042472916074</v>
      </c>
      <c r="N56" s="66">
        <v>559.4732183879654</v>
      </c>
      <c r="O56" s="66">
        <v>512.43415331807773</v>
      </c>
      <c r="P56" s="66">
        <v>416.02147148888781</v>
      </c>
      <c r="Q56" s="66">
        <v>446.34803363474822</v>
      </c>
      <c r="R56" s="66">
        <v>510.28106574950868</v>
      </c>
      <c r="S56" s="66">
        <v>463.52847599999996</v>
      </c>
      <c r="T56" s="66">
        <v>394.89916068105879</v>
      </c>
      <c r="U56" s="66">
        <v>340.19213043478265</v>
      </c>
      <c r="V56" s="66">
        <v>340.98930624723602</v>
      </c>
      <c r="W56" s="66">
        <v>335.25353052725529</v>
      </c>
      <c r="X56" s="66">
        <v>300.67723124946144</v>
      </c>
      <c r="Y56" s="66">
        <v>255.28852313167263</v>
      </c>
      <c r="Z56" s="66">
        <v>175.12862233819001</v>
      </c>
      <c r="AA56" s="66">
        <v>288.20000000000005</v>
      </c>
    </row>
    <row r="57" spans="1:27" x14ac:dyDescent="0.25">
      <c r="A57" s="72" t="s">
        <v>2</v>
      </c>
      <c r="B57" s="65"/>
      <c r="C57" s="65"/>
      <c r="D57" s="66">
        <v>6275.7050314465414</v>
      </c>
      <c r="E57" s="66">
        <v>7302.9929481814825</v>
      </c>
      <c r="F57" s="66">
        <v>7735.7449183815525</v>
      </c>
      <c r="G57" s="66">
        <v>8625.215022948616</v>
      </c>
      <c r="H57" s="66">
        <v>8355.4811915113114</v>
      </c>
      <c r="I57" s="66">
        <v>8043.438916698602</v>
      </c>
      <c r="J57" s="66">
        <v>8272.4264704527122</v>
      </c>
      <c r="K57" s="66">
        <v>8574.7997185665354</v>
      </c>
      <c r="L57" s="66">
        <v>8490.6922369150561</v>
      </c>
      <c r="M57" s="66">
        <v>8436.3290577345342</v>
      </c>
      <c r="N57" s="66">
        <v>9405.2570968060681</v>
      </c>
      <c r="O57" s="66">
        <v>9175.8943935926782</v>
      </c>
      <c r="P57" s="66">
        <v>9065.0820407831852</v>
      </c>
      <c r="Q57" s="66">
        <v>10068.02568440828</v>
      </c>
      <c r="R57" s="66">
        <v>11112.482357736288</v>
      </c>
      <c r="S57" s="66">
        <v>10429.976565000001</v>
      </c>
      <c r="T57" s="66">
        <v>10541.42811468358</v>
      </c>
      <c r="U57" s="66">
        <v>9785.0804000000007</v>
      </c>
      <c r="V57" s="66">
        <v>10198.475342742322</v>
      </c>
      <c r="W57" s="66">
        <v>8429.589502305349</v>
      </c>
      <c r="X57" s="66">
        <v>8709.2057575380368</v>
      </c>
      <c r="Y57" s="66">
        <v>9218.1114768683274</v>
      </c>
      <c r="Z57" s="66">
        <v>10169.566233538806</v>
      </c>
      <c r="AA57" s="66">
        <v>11227.1</v>
      </c>
    </row>
    <row r="58" spans="1:27" x14ac:dyDescent="0.25">
      <c r="A58" s="72" t="s">
        <v>269</v>
      </c>
      <c r="B58" s="65"/>
      <c r="C58" s="65"/>
      <c r="D58" s="66">
        <v>609.40000000000009</v>
      </c>
      <c r="E58" s="66">
        <v>578.87029730137613</v>
      </c>
      <c r="F58" s="66">
        <v>536.56122631226447</v>
      </c>
      <c r="G58" s="66">
        <v>838.00794805776331</v>
      </c>
      <c r="H58" s="66">
        <v>590.56048927860877</v>
      </c>
      <c r="I58" s="66">
        <v>658.37125407166127</v>
      </c>
      <c r="J58" s="66">
        <v>577.68906807971427</v>
      </c>
      <c r="K58" s="66">
        <v>613.83716305839755</v>
      </c>
      <c r="L58" s="66">
        <v>592.81424392200358</v>
      </c>
      <c r="M58" s="66">
        <v>344.42408982275657</v>
      </c>
      <c r="N58" s="66">
        <v>302.74650100041993</v>
      </c>
      <c r="O58" s="66">
        <v>317.7576659038902</v>
      </c>
      <c r="P58" s="66">
        <v>303.89546234862894</v>
      </c>
      <c r="Q58" s="66">
        <v>333.1034641980059</v>
      </c>
      <c r="R58" s="66">
        <v>367.53320863855635</v>
      </c>
      <c r="S58" s="66">
        <v>394.63192800000002</v>
      </c>
      <c r="T58" s="66">
        <v>415.64631159840741</v>
      </c>
      <c r="U58" s="66">
        <v>412.75890434782616</v>
      </c>
      <c r="V58" s="66">
        <v>457.46863979848871</v>
      </c>
      <c r="W58" s="66">
        <v>419.23029207258128</v>
      </c>
      <c r="X58" s="66">
        <v>368.55399427405996</v>
      </c>
      <c r="Y58" s="66">
        <v>436.27499999999998</v>
      </c>
      <c r="Z58" s="66">
        <v>495.73608854020733</v>
      </c>
      <c r="AA58" s="66">
        <v>520.20000000000005</v>
      </c>
    </row>
    <row r="59" spans="1:27" x14ac:dyDescent="0.25">
      <c r="A59" s="72" t="s">
        <v>270</v>
      </c>
      <c r="B59" s="65"/>
      <c r="C59" s="65"/>
      <c r="D59" s="66">
        <v>9407.7213836477986</v>
      </c>
      <c r="E59" s="66">
        <v>10576.720691736751</v>
      </c>
      <c r="F59" s="66">
        <v>10266.522804575361</v>
      </c>
      <c r="G59" s="66">
        <v>8931.270099630583</v>
      </c>
      <c r="H59" s="66">
        <v>9551.4237418023731</v>
      </c>
      <c r="I59" s="66">
        <v>9930.2927644184711</v>
      </c>
      <c r="J59" s="66">
        <v>9974.4496359866389</v>
      </c>
      <c r="K59" s="66">
        <v>9147.417080935189</v>
      </c>
      <c r="L59" s="66">
        <v>8150.4011041251342</v>
      </c>
      <c r="M59" s="66">
        <v>7723.8843453153622</v>
      </c>
      <c r="N59" s="66">
        <v>6532.7832448188128</v>
      </c>
      <c r="O59" s="66">
        <v>6360.7155034324942</v>
      </c>
      <c r="P59" s="66">
        <v>6350.5453370760451</v>
      </c>
      <c r="Q59" s="66">
        <v>6200.2064791027715</v>
      </c>
      <c r="R59" s="66">
        <v>6415.8030920582451</v>
      </c>
      <c r="S59" s="66">
        <v>6661.6314081312776</v>
      </c>
      <c r="T59" s="66">
        <v>7281.5386001647703</v>
      </c>
      <c r="U59" s="66">
        <v>7575.7548475938693</v>
      </c>
      <c r="V59" s="66">
        <v>8215.0677717286326</v>
      </c>
      <c r="W59" s="66">
        <v>8368.0885606014363</v>
      </c>
      <c r="X59" s="66">
        <v>11322.835134939312</v>
      </c>
      <c r="Y59" s="66">
        <v>12442.359168676077</v>
      </c>
      <c r="Z59" s="66">
        <v>14277.094651368279</v>
      </c>
      <c r="AA59" s="66">
        <v>15057.625275605917</v>
      </c>
    </row>
    <row r="60" spans="1:27" x14ac:dyDescent="0.25">
      <c r="A60" s="72" t="s">
        <v>1</v>
      </c>
      <c r="B60" s="65"/>
      <c r="C60" s="65"/>
      <c r="D60" s="66">
        <v>599.12138364779867</v>
      </c>
      <c r="E60" s="66">
        <v>603.14394764642134</v>
      </c>
      <c r="F60" s="66">
        <v>496.86154280536329</v>
      </c>
      <c r="G60" s="66">
        <v>441.73949401097059</v>
      </c>
      <c r="H60" s="66">
        <v>384.78527006115979</v>
      </c>
      <c r="I60" s="66">
        <v>366.79080523088714</v>
      </c>
      <c r="J60" s="66">
        <v>325.82743232346502</v>
      </c>
      <c r="K60" s="66">
        <v>354.62543281929436</v>
      </c>
      <c r="L60" s="66">
        <v>295.37049178394068</v>
      </c>
      <c r="M60" s="66">
        <v>264.96347644639633</v>
      </c>
      <c r="N60" s="66">
        <v>220.40292591952181</v>
      </c>
      <c r="O60" s="66">
        <v>193.25028604118992</v>
      </c>
      <c r="P60" s="66">
        <v>178.58615273975781</v>
      </c>
      <c r="Q60" s="66">
        <v>186.30985955342288</v>
      </c>
      <c r="R60" s="66">
        <v>198.61709174557802</v>
      </c>
      <c r="S60" s="66">
        <v>192.04326900000001</v>
      </c>
      <c r="T60" s="66">
        <v>186.72435825613735</v>
      </c>
      <c r="U60" s="66">
        <v>175.69989565217392</v>
      </c>
      <c r="V60" s="66">
        <v>177.42258253696619</v>
      </c>
      <c r="W60" s="66">
        <v>175.03327600951889</v>
      </c>
      <c r="X60" s="66">
        <v>169.41142506965923</v>
      </c>
      <c r="Y60" s="66">
        <v>198.73024911032027</v>
      </c>
      <c r="Z60" s="66">
        <v>199.7512757425049</v>
      </c>
      <c r="AA60" s="66">
        <v>207.3</v>
      </c>
    </row>
    <row r="61" spans="1:27" x14ac:dyDescent="0.25">
      <c r="A61" s="72" t="s">
        <v>0</v>
      </c>
      <c r="B61" s="65"/>
      <c r="C61" s="65"/>
      <c r="D61" s="66">
        <v>651.38553459119498</v>
      </c>
      <c r="E61" s="66">
        <v>513.12246292307486</v>
      </c>
      <c r="F61" s="66">
        <v>532.25273352856971</v>
      </c>
      <c r="G61" s="66">
        <v>565.47318929810808</v>
      </c>
      <c r="H61" s="66">
        <v>653.44424508142367</v>
      </c>
      <c r="I61" s="66">
        <v>650.5134556428435</v>
      </c>
      <c r="J61" s="66">
        <v>700.92040433129819</v>
      </c>
      <c r="K61" s="66">
        <v>745.87567215308138</v>
      </c>
      <c r="L61" s="66">
        <v>436.35219586424927</v>
      </c>
      <c r="M61" s="66">
        <v>287.28067912991787</v>
      </c>
      <c r="N61" s="66">
        <v>237.91359830052124</v>
      </c>
      <c r="O61" s="66">
        <v>191.68146453089244</v>
      </c>
      <c r="P61" s="66">
        <v>188.23578504152556</v>
      </c>
      <c r="Q61" s="66">
        <v>227.28476816695149</v>
      </c>
      <c r="R61" s="66">
        <v>247.94426143469718</v>
      </c>
      <c r="S61" s="66">
        <v>251.566137</v>
      </c>
      <c r="T61" s="66">
        <v>269.47853084171987</v>
      </c>
      <c r="U61" s="66">
        <v>313.92771304347832</v>
      </c>
      <c r="V61" s="66">
        <v>361.60412059915012</v>
      </c>
      <c r="W61" s="66">
        <v>386.00991299174541</v>
      </c>
      <c r="X61" s="66">
        <v>374.38803010427341</v>
      </c>
      <c r="Y61" s="66">
        <v>538.8561832740213</v>
      </c>
      <c r="Z61" s="66">
        <v>565.2950844073971</v>
      </c>
      <c r="AA61" s="66">
        <v>622.20000000000005</v>
      </c>
    </row>
    <row r="62" spans="1:27" x14ac:dyDescent="0.25">
      <c r="A62" s="78" t="s">
        <v>271</v>
      </c>
      <c r="B62" s="79"/>
      <c r="C62" s="79"/>
      <c r="D62" s="80">
        <v>4554.8207547169814</v>
      </c>
      <c r="E62" s="80">
        <v>5164.018170094253</v>
      </c>
      <c r="F62" s="80">
        <v>5154.6499914638798</v>
      </c>
      <c r="G62" s="80">
        <v>5314.1363147878656</v>
      </c>
      <c r="H62" s="80">
        <v>5443.6898902070589</v>
      </c>
      <c r="I62" s="80">
        <v>5331.6565517819499</v>
      </c>
      <c r="J62" s="80">
        <v>5804.1554452252039</v>
      </c>
      <c r="K62" s="80">
        <v>5736.1744933620921</v>
      </c>
      <c r="L62" s="80">
        <v>5861.2452384603594</v>
      </c>
      <c r="M62" s="80">
        <v>6094.3021060549081</v>
      </c>
      <c r="N62" s="80">
        <v>4790.2542684583659</v>
      </c>
      <c r="O62" s="80">
        <v>6512.3207093821502</v>
      </c>
      <c r="P62" s="80">
        <v>5355.6818377952022</v>
      </c>
      <c r="Q62" s="80">
        <v>5871.2137662543428</v>
      </c>
      <c r="R62" s="80">
        <v>7025.6543862783637</v>
      </c>
      <c r="S62" s="80">
        <v>8927.2584900000002</v>
      </c>
      <c r="T62" s="80">
        <v>6073.1716572297464</v>
      </c>
      <c r="U62" s="80">
        <v>8810.2403217391329</v>
      </c>
      <c r="V62" s="80">
        <v>7211.2422991135809</v>
      </c>
      <c r="W62" s="80">
        <v>11011.629851453856</v>
      </c>
      <c r="X62" s="80">
        <v>10578.004504150827</v>
      </c>
      <c r="Y62" s="80">
        <v>12950.403069395017</v>
      </c>
      <c r="Z62" s="80">
        <v>13682.705902388623</v>
      </c>
      <c r="AA62" s="80">
        <v>12401.2</v>
      </c>
    </row>
    <row r="63" spans="1:27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</row>
    <row r="64" spans="1:27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</row>
    <row r="65" spans="1:27" x14ac:dyDescent="0.25">
      <c r="A65" s="81" t="s">
        <v>142</v>
      </c>
      <c r="B65" s="41"/>
      <c r="C65" s="41"/>
      <c r="D65" s="82">
        <f t="shared" ref="D65:D76" si="51">D23/D$23</f>
        <v>1</v>
      </c>
      <c r="E65" s="82">
        <f t="shared" ref="E65:S65" si="52">E23/E$23</f>
        <v>1</v>
      </c>
      <c r="F65" s="82">
        <f t="shared" si="52"/>
        <v>1</v>
      </c>
      <c r="G65" s="82">
        <f t="shared" si="52"/>
        <v>1</v>
      </c>
      <c r="H65" s="82">
        <f t="shared" si="52"/>
        <v>1</v>
      </c>
      <c r="I65" s="82">
        <f t="shared" si="52"/>
        <v>1</v>
      </c>
      <c r="J65" s="82">
        <f t="shared" si="52"/>
        <v>1</v>
      </c>
      <c r="K65" s="82">
        <f t="shared" si="52"/>
        <v>1</v>
      </c>
      <c r="L65" s="82">
        <f t="shared" si="52"/>
        <v>1</v>
      </c>
      <c r="M65" s="82">
        <f t="shared" si="52"/>
        <v>1</v>
      </c>
      <c r="N65" s="82">
        <f t="shared" si="52"/>
        <v>1</v>
      </c>
      <c r="O65" s="82">
        <f t="shared" si="52"/>
        <v>1</v>
      </c>
      <c r="P65" s="82">
        <f t="shared" si="52"/>
        <v>1</v>
      </c>
      <c r="Q65" s="82">
        <f t="shared" si="52"/>
        <v>1</v>
      </c>
      <c r="R65" s="82">
        <f t="shared" si="52"/>
        <v>1</v>
      </c>
      <c r="S65" s="82">
        <f t="shared" si="52"/>
        <v>1</v>
      </c>
      <c r="T65" s="82">
        <f t="shared" ref="T65:Y65" si="53">T23/T$23</f>
        <v>1</v>
      </c>
      <c r="U65" s="82">
        <f t="shared" si="53"/>
        <v>1</v>
      </c>
      <c r="V65" s="82">
        <f t="shared" si="53"/>
        <v>1</v>
      </c>
      <c r="W65" s="82">
        <f t="shared" si="53"/>
        <v>1</v>
      </c>
      <c r="X65" s="82">
        <f t="shared" si="53"/>
        <v>1</v>
      </c>
      <c r="Y65" s="82">
        <f t="shared" si="53"/>
        <v>1</v>
      </c>
      <c r="Z65" s="82">
        <f t="shared" ref="Z65:AA65" si="54">Z23/Z$23</f>
        <v>1</v>
      </c>
      <c r="AA65" s="82">
        <f t="shared" si="54"/>
        <v>1</v>
      </c>
    </row>
    <row r="66" spans="1:27" x14ac:dyDescent="0.25">
      <c r="A66" s="64" t="s">
        <v>33</v>
      </c>
      <c r="B66" s="65"/>
      <c r="C66" s="65"/>
      <c r="D66" s="83">
        <f t="shared" si="51"/>
        <v>2.8098112318008968E-2</v>
      </c>
      <c r="E66" s="83">
        <f t="shared" ref="E66:S66" si="55">E24/E$23</f>
        <v>2.2371243353324671E-2</v>
      </c>
      <c r="F66" s="83">
        <f t="shared" si="55"/>
        <v>1.9568076176198917E-2</v>
      </c>
      <c r="G66" s="83">
        <f t="shared" si="55"/>
        <v>1.6703246608764148E-2</v>
      </c>
      <c r="H66" s="83">
        <f t="shared" si="55"/>
        <v>1.7897943086330994E-2</v>
      </c>
      <c r="I66" s="83">
        <f t="shared" si="55"/>
        <v>1.1772125570231141E-2</v>
      </c>
      <c r="J66" s="83">
        <f t="shared" si="55"/>
        <v>1.0477425926370158E-2</v>
      </c>
      <c r="K66" s="83">
        <f t="shared" si="55"/>
        <v>1.1743577704167403E-2</v>
      </c>
      <c r="L66" s="83">
        <f t="shared" si="55"/>
        <v>9.5138494636507597E-3</v>
      </c>
      <c r="M66" s="83">
        <f t="shared" si="55"/>
        <v>6.2086481256223907E-3</v>
      </c>
      <c r="N66" s="83">
        <f t="shared" si="55"/>
        <v>1.0490816596498115E-2</v>
      </c>
      <c r="O66" s="83">
        <f t="shared" si="55"/>
        <v>1.3178012469136741E-2</v>
      </c>
      <c r="P66" s="83">
        <f t="shared" si="55"/>
        <v>1.0789063283863849E-2</v>
      </c>
      <c r="Q66" s="83">
        <f t="shared" si="55"/>
        <v>1.1573967296490139E-2</v>
      </c>
      <c r="R66" s="83">
        <f t="shared" si="55"/>
        <v>1.3116647329293971E-2</v>
      </c>
      <c r="S66" s="83">
        <f t="shared" si="55"/>
        <v>9.2879354222843696E-3</v>
      </c>
      <c r="T66" s="83">
        <f t="shared" ref="T66:Y66" si="56">T24/T$23</f>
        <v>9.9390779258719843E-3</v>
      </c>
      <c r="U66" s="83">
        <f t="shared" si="56"/>
        <v>1.2043755268772348E-2</v>
      </c>
      <c r="V66" s="83">
        <f t="shared" si="56"/>
        <v>9.8727830990242745E-3</v>
      </c>
      <c r="W66" s="83">
        <f t="shared" si="56"/>
        <v>1.0114581198679026E-2</v>
      </c>
      <c r="X66" s="83">
        <f t="shared" si="56"/>
        <v>1.0738426811410753E-2</v>
      </c>
      <c r="Y66" s="83">
        <f t="shared" si="56"/>
        <v>1.0961959893375832E-2</v>
      </c>
      <c r="Z66" s="83">
        <f t="shared" ref="Z66:AA66" si="57">Z24/Z$23</f>
        <v>1.2288473994517666E-2</v>
      </c>
      <c r="AA66" s="83">
        <f t="shared" si="57"/>
        <v>8.9009259246277447E-3</v>
      </c>
    </row>
    <row r="67" spans="1:27" x14ac:dyDescent="0.25">
      <c r="A67" s="64" t="s">
        <v>56</v>
      </c>
      <c r="B67" s="65"/>
      <c r="C67" s="65"/>
      <c r="D67" s="83">
        <f t="shared" si="51"/>
        <v>4.9492461885531514E-3</v>
      </c>
      <c r="E67" s="83">
        <f t="shared" ref="E67:S67" si="58">E25/E$23</f>
        <v>5.5930405886018128E-3</v>
      </c>
      <c r="F67" s="83">
        <f t="shared" si="58"/>
        <v>4.5844022533137125E-3</v>
      </c>
      <c r="G67" s="83">
        <f t="shared" si="58"/>
        <v>4.8074649441144845E-3</v>
      </c>
      <c r="H67" s="83">
        <f t="shared" si="58"/>
        <v>3.3180721418737801E-3</v>
      </c>
      <c r="I67" s="83">
        <f t="shared" si="58"/>
        <v>3.8469075264157188E-3</v>
      </c>
      <c r="J67" s="83">
        <f t="shared" si="58"/>
        <v>5.7363199594533364E-3</v>
      </c>
      <c r="K67" s="83">
        <f t="shared" si="58"/>
        <v>6.9019723429862611E-3</v>
      </c>
      <c r="L67" s="83">
        <f t="shared" si="58"/>
        <v>5.4586295266779647E-3</v>
      </c>
      <c r="M67" s="83">
        <f t="shared" si="58"/>
        <v>6.0164384644775725E-3</v>
      </c>
      <c r="N67" s="83">
        <f t="shared" si="58"/>
        <v>4.5101320411728429E-3</v>
      </c>
      <c r="O67" s="83">
        <f t="shared" si="58"/>
        <v>4.588212199994491E-3</v>
      </c>
      <c r="P67" s="83">
        <f t="shared" si="58"/>
        <v>5.4925023623209716E-3</v>
      </c>
      <c r="Q67" s="83">
        <f t="shared" si="58"/>
        <v>4.4454300836807674E-3</v>
      </c>
      <c r="R67" s="83">
        <f t="shared" si="58"/>
        <v>4.8817115087791251E-3</v>
      </c>
      <c r="S67" s="83">
        <f t="shared" si="58"/>
        <v>1.5981861568806197E-3</v>
      </c>
      <c r="T67" s="83">
        <f t="shared" ref="T67:Y67" si="59">T25/T$23</f>
        <v>2.1376294720185612E-3</v>
      </c>
      <c r="U67" s="83">
        <f t="shared" si="59"/>
        <v>2.1244248166022513E-3</v>
      </c>
      <c r="V67" s="83">
        <f t="shared" si="59"/>
        <v>1.9538626875070259E-3</v>
      </c>
      <c r="W67" s="83">
        <f t="shared" si="59"/>
        <v>1.4418571299022495E-3</v>
      </c>
      <c r="X67" s="83">
        <f t="shared" si="59"/>
        <v>9.0227839332413992E-4</v>
      </c>
      <c r="Y67" s="83">
        <f t="shared" si="59"/>
        <v>1.1793166400142926E-3</v>
      </c>
      <c r="Z67" s="83">
        <f t="shared" ref="Z67:AA67" si="60">Z25/Z$23</f>
        <v>1.2872409557199206E-3</v>
      </c>
      <c r="AA67" s="83">
        <f t="shared" si="60"/>
        <v>1.5164944258279139E-3</v>
      </c>
    </row>
    <row r="68" spans="1:27" x14ac:dyDescent="0.25">
      <c r="A68" s="64" t="s">
        <v>146</v>
      </c>
      <c r="B68" s="65"/>
      <c r="C68" s="65"/>
      <c r="D68" s="83">
        <f t="shared" si="51"/>
        <v>0.62654954725821865</v>
      </c>
      <c r="E68" s="83">
        <f t="shared" ref="E68:S68" si="61">E26/E$23</f>
        <v>0.60340048780577449</v>
      </c>
      <c r="F68" s="83">
        <f t="shared" si="61"/>
        <v>0.59213744749371089</v>
      </c>
      <c r="G68" s="83">
        <f t="shared" si="61"/>
        <v>0.62656207723419977</v>
      </c>
      <c r="H68" s="83">
        <f t="shared" si="61"/>
        <v>0.63997971319050118</v>
      </c>
      <c r="I68" s="83">
        <f t="shared" si="61"/>
        <v>0.65352418060936568</v>
      </c>
      <c r="J68" s="83">
        <f t="shared" si="61"/>
        <v>0.65551264284673028</v>
      </c>
      <c r="K68" s="83">
        <f t="shared" si="61"/>
        <v>0.67547077986061255</v>
      </c>
      <c r="L68" s="83">
        <f t="shared" si="61"/>
        <v>0.70925286277137467</v>
      </c>
      <c r="M68" s="83">
        <f t="shared" si="61"/>
        <v>0.71777844333829766</v>
      </c>
      <c r="N68" s="83">
        <f t="shared" si="61"/>
        <v>0.74040612196263611</v>
      </c>
      <c r="O68" s="83">
        <f t="shared" si="61"/>
        <v>0.72756564495496046</v>
      </c>
      <c r="P68" s="83">
        <f t="shared" si="61"/>
        <v>0.73299432635497097</v>
      </c>
      <c r="Q68" s="83">
        <f t="shared" si="61"/>
        <v>0.73770129217303904</v>
      </c>
      <c r="R68" s="83">
        <f t="shared" si="61"/>
        <v>0.73074760083446677</v>
      </c>
      <c r="S68" s="83">
        <f t="shared" si="61"/>
        <v>0.58542997055796264</v>
      </c>
      <c r="T68" s="83">
        <f t="shared" ref="T68:Y68" si="62">T26/T$23</f>
        <v>0.60403851404865971</v>
      </c>
      <c r="U68" s="83">
        <f t="shared" si="62"/>
        <v>0.60387277363398817</v>
      </c>
      <c r="V68" s="83">
        <f t="shared" si="62"/>
        <v>0.60398529078629537</v>
      </c>
      <c r="W68" s="83">
        <f t="shared" si="62"/>
        <v>0.61506679774962469</v>
      </c>
      <c r="X68" s="83">
        <f t="shared" si="62"/>
        <v>0.59864894179948169</v>
      </c>
      <c r="Y68" s="83">
        <f t="shared" si="62"/>
        <v>0.59107755736287404</v>
      </c>
      <c r="Z68" s="83">
        <f t="shared" ref="Z68:AA68" si="63">Z26/Z$23</f>
        <v>0.56626550680824472</v>
      </c>
      <c r="AA68" s="83">
        <f t="shared" si="63"/>
        <v>0.64066004137404864</v>
      </c>
    </row>
    <row r="69" spans="1:27" x14ac:dyDescent="0.25">
      <c r="A69" s="68" t="s">
        <v>148</v>
      </c>
      <c r="B69" s="69"/>
      <c r="C69" s="69"/>
      <c r="D69" s="84">
        <f t="shared" si="51"/>
        <v>0.21240506276764892</v>
      </c>
      <c r="E69" s="84">
        <f t="shared" ref="E69:S69" si="64">E27/E$23</f>
        <v>0.21236185116226078</v>
      </c>
      <c r="F69" s="84">
        <f t="shared" si="64"/>
        <v>0.21103506831414406</v>
      </c>
      <c r="G69" s="84">
        <f t="shared" si="64"/>
        <v>0.22178686362723651</v>
      </c>
      <c r="H69" s="84">
        <f t="shared" si="64"/>
        <v>0.2255095714738935</v>
      </c>
      <c r="I69" s="84">
        <f t="shared" si="64"/>
        <v>0.22384025970638577</v>
      </c>
      <c r="J69" s="84">
        <f t="shared" si="64"/>
        <v>0.22667075085758792</v>
      </c>
      <c r="K69" s="84">
        <f t="shared" si="64"/>
        <v>0.23226053731766144</v>
      </c>
      <c r="L69" s="84">
        <f t="shared" si="64"/>
        <v>0.25075148653897877</v>
      </c>
      <c r="M69" s="84">
        <f t="shared" si="64"/>
        <v>0.27364790571362363</v>
      </c>
      <c r="N69" s="84">
        <f t="shared" si="64"/>
        <v>0.25781477209390274</v>
      </c>
      <c r="O69" s="84">
        <f t="shared" si="64"/>
        <v>0.24778934386664536</v>
      </c>
      <c r="P69" s="84">
        <f t="shared" si="64"/>
        <v>0.24366436722948998</v>
      </c>
      <c r="Q69" s="84">
        <f t="shared" si="64"/>
        <v>0.23417842041455994</v>
      </c>
      <c r="R69" s="84">
        <f t="shared" si="64"/>
        <v>0.21908759829831106</v>
      </c>
      <c r="S69" s="84">
        <f t="shared" si="64"/>
        <v>0.1664807351813391</v>
      </c>
      <c r="T69" s="84">
        <f t="shared" ref="T69:Y69" si="65">T27/T$23</f>
        <v>0.170371744854728</v>
      </c>
      <c r="U69" s="84">
        <f t="shared" si="65"/>
        <v>0.16277572442676988</v>
      </c>
      <c r="V69" s="84">
        <f t="shared" si="65"/>
        <v>0.15299036843451666</v>
      </c>
      <c r="W69" s="84">
        <f t="shared" si="65"/>
        <v>0.15002450085162683</v>
      </c>
      <c r="X69" s="84">
        <f t="shared" si="65"/>
        <v>0.12620767222468204</v>
      </c>
      <c r="Y69" s="84">
        <f t="shared" si="65"/>
        <v>0.12093765098425781</v>
      </c>
      <c r="Z69" s="84">
        <f t="shared" ref="Z69:AA69" si="66">Z27/Z$23</f>
        <v>0.12492889522854032</v>
      </c>
      <c r="AA69" s="84">
        <f t="shared" si="66"/>
        <v>0.13879756181927405</v>
      </c>
    </row>
    <row r="70" spans="1:27" x14ac:dyDescent="0.25">
      <c r="A70" s="68" t="s">
        <v>150</v>
      </c>
      <c r="B70" s="71"/>
      <c r="C70" s="71"/>
      <c r="D70" s="84">
        <f t="shared" si="51"/>
        <v>0.29730939664067457</v>
      </c>
      <c r="E70" s="84">
        <f t="shared" ref="E70:S70" si="67">E28/E$23</f>
        <v>0.29217341918028777</v>
      </c>
      <c r="F70" s="84">
        <f t="shared" si="67"/>
        <v>0.28159456604474453</v>
      </c>
      <c r="G70" s="84">
        <f t="shared" si="67"/>
        <v>0.30018629798840041</v>
      </c>
      <c r="H70" s="84">
        <f t="shared" si="67"/>
        <v>0.31093392088435345</v>
      </c>
      <c r="I70" s="84">
        <f t="shared" si="67"/>
        <v>0.32264198011405626</v>
      </c>
      <c r="J70" s="84">
        <f t="shared" si="67"/>
        <v>0.31943478242149465</v>
      </c>
      <c r="K70" s="84">
        <f t="shared" si="67"/>
        <v>0.33112902055740157</v>
      </c>
      <c r="L70" s="84">
        <f t="shared" si="67"/>
        <v>0.34528879194430334</v>
      </c>
      <c r="M70" s="84">
        <f t="shared" si="67"/>
        <v>0.33796629684795249</v>
      </c>
      <c r="N70" s="84">
        <f t="shared" si="67"/>
        <v>0.37101908632734104</v>
      </c>
      <c r="O70" s="84">
        <f t="shared" si="67"/>
        <v>0.36187663793255948</v>
      </c>
      <c r="P70" s="84">
        <f t="shared" si="67"/>
        <v>0.36870601846403878</v>
      </c>
      <c r="Q70" s="84">
        <f t="shared" si="67"/>
        <v>0.37770306632366424</v>
      </c>
      <c r="R70" s="84">
        <f t="shared" si="67"/>
        <v>0.39666054316531302</v>
      </c>
      <c r="S70" s="84">
        <f t="shared" si="67"/>
        <v>0.33322691848111841</v>
      </c>
      <c r="T70" s="84">
        <f t="shared" ref="T70:Y70" si="68">T28/T$23</f>
        <v>0.34231040187718254</v>
      </c>
      <c r="U70" s="84">
        <f t="shared" si="68"/>
        <v>0.3540580141319068</v>
      </c>
      <c r="V70" s="84">
        <f t="shared" si="68"/>
        <v>0.36732047220252628</v>
      </c>
      <c r="W70" s="84">
        <f t="shared" si="68"/>
        <v>0.38731634199515935</v>
      </c>
      <c r="X70" s="84">
        <f t="shared" si="68"/>
        <v>0.39375272538289185</v>
      </c>
      <c r="Y70" s="84">
        <f t="shared" si="68"/>
        <v>0.3978360953938947</v>
      </c>
      <c r="Z70" s="84">
        <f t="shared" ref="Z70:AA70" si="69">Z28/Z$23</f>
        <v>0.37322927236804698</v>
      </c>
      <c r="AA70" s="84">
        <f t="shared" si="69"/>
        <v>0.42736341715439163</v>
      </c>
    </row>
    <row r="71" spans="1:27" x14ac:dyDescent="0.25">
      <c r="A71" s="68" t="s">
        <v>152</v>
      </c>
      <c r="B71" s="71"/>
      <c r="C71" s="71"/>
      <c r="D71" s="84">
        <f t="shared" si="51"/>
        <v>0.11683508784989527</v>
      </c>
      <c r="E71" s="84">
        <f t="shared" ref="E71:S71" si="70">E29/E$23</f>
        <v>9.8865217463226115E-2</v>
      </c>
      <c r="F71" s="84">
        <f t="shared" si="70"/>
        <v>9.9507813134822418E-2</v>
      </c>
      <c r="G71" s="84">
        <f t="shared" si="70"/>
        <v>0.10458891561856286</v>
      </c>
      <c r="H71" s="84">
        <f t="shared" si="70"/>
        <v>0.10353622083225399</v>
      </c>
      <c r="I71" s="84">
        <f t="shared" si="70"/>
        <v>0.10704194078892368</v>
      </c>
      <c r="J71" s="84">
        <f t="shared" si="70"/>
        <v>0.10940710956764779</v>
      </c>
      <c r="K71" s="84">
        <f t="shared" si="70"/>
        <v>0.11208122198554944</v>
      </c>
      <c r="L71" s="84">
        <f t="shared" si="70"/>
        <v>0.11321258428809249</v>
      </c>
      <c r="M71" s="84">
        <f t="shared" si="70"/>
        <v>0.10616424077672146</v>
      </c>
      <c r="N71" s="84">
        <f t="shared" si="70"/>
        <v>0.11157226354139246</v>
      </c>
      <c r="O71" s="84">
        <f t="shared" si="70"/>
        <v>0.11789966315575562</v>
      </c>
      <c r="P71" s="84">
        <f t="shared" si="70"/>
        <v>0.12062394066144227</v>
      </c>
      <c r="Q71" s="84">
        <f t="shared" si="70"/>
        <v>0.12581980543481475</v>
      </c>
      <c r="R71" s="84">
        <f t="shared" si="70"/>
        <v>0.11499945937084262</v>
      </c>
      <c r="S71" s="84">
        <f t="shared" si="70"/>
        <v>8.5722316895505205E-2</v>
      </c>
      <c r="T71" s="84">
        <f t="shared" ref="T71:Y71" si="71">T29/T$23</f>
        <v>9.1356367316748968E-2</v>
      </c>
      <c r="U71" s="84">
        <f t="shared" si="71"/>
        <v>8.7039035075311508E-2</v>
      </c>
      <c r="V71" s="84">
        <f t="shared" si="71"/>
        <v>8.3674450149252302E-2</v>
      </c>
      <c r="W71" s="84">
        <f t="shared" si="71"/>
        <v>7.7725954902838429E-2</v>
      </c>
      <c r="X71" s="84">
        <f t="shared" si="71"/>
        <v>7.8688544191907669E-2</v>
      </c>
      <c r="Y71" s="84">
        <f t="shared" si="71"/>
        <v>7.2303810984721759E-2</v>
      </c>
      <c r="Z71" s="84">
        <f t="shared" ref="Z71:AA71" si="72">Z29/Z$23</f>
        <v>6.8107339211657486E-2</v>
      </c>
      <c r="AA71" s="84">
        <f t="shared" si="72"/>
        <v>7.449906240038294E-2</v>
      </c>
    </row>
    <row r="72" spans="1:27" x14ac:dyDescent="0.25">
      <c r="A72" s="64" t="s">
        <v>154</v>
      </c>
      <c r="B72" s="65"/>
      <c r="C72" s="65"/>
      <c r="D72" s="83">
        <f t="shared" si="51"/>
        <v>1.1315959793965791E-2</v>
      </c>
      <c r="E72" s="83">
        <f t="shared" ref="E72:S72" si="73">E30/E$23</f>
        <v>1.2574691812986954E-2</v>
      </c>
      <c r="F72" s="83">
        <f t="shared" si="73"/>
        <v>1.1385967036083182E-2</v>
      </c>
      <c r="G72" s="83">
        <f t="shared" si="73"/>
        <v>1.2364046271365555E-2</v>
      </c>
      <c r="H72" s="83">
        <f t="shared" si="73"/>
        <v>1.2732374197041098E-2</v>
      </c>
      <c r="I72" s="83">
        <f t="shared" si="73"/>
        <v>1.0968903049503513E-2</v>
      </c>
      <c r="J72" s="83">
        <f t="shared" si="73"/>
        <v>1.1228449588228677E-2</v>
      </c>
      <c r="K72" s="83">
        <f t="shared" si="73"/>
        <v>1.2807748396460976E-2</v>
      </c>
      <c r="L72" s="83">
        <f t="shared" si="73"/>
        <v>1.4476663198406722E-2</v>
      </c>
      <c r="M72" s="83">
        <f t="shared" si="73"/>
        <v>1.6991761398203763E-2</v>
      </c>
      <c r="N72" s="83">
        <f t="shared" si="73"/>
        <v>1.652008190452306E-2</v>
      </c>
      <c r="O72" s="83">
        <f t="shared" si="73"/>
        <v>1.8130451293175694E-2</v>
      </c>
      <c r="P72" s="83">
        <f t="shared" si="73"/>
        <v>1.9273926591459892E-2</v>
      </c>
      <c r="Q72" s="83">
        <f t="shared" si="73"/>
        <v>1.9313995091516583E-2</v>
      </c>
      <c r="R72" s="83">
        <f t="shared" si="73"/>
        <v>1.6436026490495564E-2</v>
      </c>
      <c r="S72" s="83">
        <f t="shared" si="73"/>
        <v>1.1487306592969447E-2</v>
      </c>
      <c r="T72" s="83">
        <f t="shared" ref="T72:Y72" si="74">T30/T$23</f>
        <v>1.1374367267033796E-2</v>
      </c>
      <c r="U72" s="83">
        <f t="shared" si="74"/>
        <v>9.8133010408670059E-3</v>
      </c>
      <c r="V72" s="83">
        <f t="shared" si="74"/>
        <v>9.7144046907939458E-3</v>
      </c>
      <c r="W72" s="83">
        <f t="shared" si="74"/>
        <v>8.6685834466599838E-3</v>
      </c>
      <c r="X72" s="83">
        <f t="shared" si="74"/>
        <v>8.8819171600860898E-3</v>
      </c>
      <c r="Y72" s="83">
        <f t="shared" si="74"/>
        <v>9.9159028072096766E-3</v>
      </c>
      <c r="Z72" s="83">
        <f t="shared" ref="Z72:AA72" si="75">Z30/Z$23</f>
        <v>8.0442548352784096E-3</v>
      </c>
      <c r="AA72" s="83">
        <f t="shared" si="75"/>
        <v>9.8138141781400397E-3</v>
      </c>
    </row>
    <row r="73" spans="1:27" x14ac:dyDescent="0.25">
      <c r="A73" s="64" t="s">
        <v>37</v>
      </c>
      <c r="B73" s="65"/>
      <c r="C73" s="65"/>
      <c r="D73" s="83">
        <f t="shared" si="51"/>
        <v>7.1659129586091247E-2</v>
      </c>
      <c r="E73" s="83">
        <f t="shared" ref="E73:S73" si="76">E31/E$23</f>
        <v>7.4268153487884805E-2</v>
      </c>
      <c r="F73" s="83">
        <f t="shared" si="76"/>
        <v>7.1902730078288873E-2</v>
      </c>
      <c r="G73" s="83">
        <f t="shared" si="76"/>
        <v>7.7008595446514352E-2</v>
      </c>
      <c r="H73" s="83">
        <f t="shared" si="76"/>
        <v>8.6932762469693475E-2</v>
      </c>
      <c r="I73" s="83">
        <f t="shared" si="76"/>
        <v>9.7791171507737612E-2</v>
      </c>
      <c r="J73" s="83">
        <f t="shared" si="76"/>
        <v>0.10681020383434178</v>
      </c>
      <c r="K73" s="83">
        <f t="shared" si="76"/>
        <v>9.1748878565157468E-2</v>
      </c>
      <c r="L73" s="83">
        <f t="shared" si="76"/>
        <v>6.6030418023724877E-2</v>
      </c>
      <c r="M73" s="83">
        <f t="shared" si="76"/>
        <v>2.7377000431283764E-2</v>
      </c>
      <c r="N73" s="83">
        <f t="shared" si="76"/>
        <v>1.5377121222764417E-2</v>
      </c>
      <c r="O73" s="83">
        <f t="shared" si="76"/>
        <v>1.307755681746387E-2</v>
      </c>
      <c r="P73" s="83">
        <f t="shared" si="76"/>
        <v>1.8812112984160766E-2</v>
      </c>
      <c r="Q73" s="83">
        <f t="shared" si="76"/>
        <v>2.2553002749933469E-2</v>
      </c>
      <c r="R73" s="83">
        <f t="shared" si="76"/>
        <v>2.5744488848781746E-2</v>
      </c>
      <c r="S73" s="83">
        <f t="shared" si="76"/>
        <v>2.0854169636269324E-2</v>
      </c>
      <c r="T73" s="83">
        <f t="shared" ref="T73:Y73" si="77">T31/T$23</f>
        <v>2.4073574850981907E-2</v>
      </c>
      <c r="U73" s="83">
        <f t="shared" si="77"/>
        <v>2.7903523001581023E-2</v>
      </c>
      <c r="V73" s="83">
        <f t="shared" si="77"/>
        <v>2.743945596540685E-2</v>
      </c>
      <c r="W73" s="83">
        <f t="shared" si="77"/>
        <v>2.757912638212642E-2</v>
      </c>
      <c r="X73" s="83">
        <f t="shared" si="77"/>
        <v>2.4256325955236243E-2</v>
      </c>
      <c r="Y73" s="83">
        <f t="shared" si="77"/>
        <v>2.3967486538296823E-2</v>
      </c>
      <c r="Z73" s="83">
        <f t="shared" ref="Z73:AA73" si="78">Z31/Z$23</f>
        <v>2.4633892171060323E-2</v>
      </c>
      <c r="AA73" s="83">
        <f t="shared" si="78"/>
        <v>2.7166851702041705E-2</v>
      </c>
    </row>
    <row r="74" spans="1:27" x14ac:dyDescent="0.25">
      <c r="A74" s="64" t="s">
        <v>58</v>
      </c>
      <c r="B74" s="65"/>
      <c r="C74" s="65"/>
      <c r="D74" s="83">
        <f t="shared" si="51"/>
        <v>0.25742800485516193</v>
      </c>
      <c r="E74" s="83">
        <f t="shared" ref="E74:S74" si="79">E32/E$23</f>
        <v>0.28179238295142717</v>
      </c>
      <c r="F74" s="83">
        <f t="shared" si="79"/>
        <v>0.30042137696240434</v>
      </c>
      <c r="G74" s="83">
        <f t="shared" si="79"/>
        <v>0.26255456949504175</v>
      </c>
      <c r="H74" s="83">
        <f t="shared" si="79"/>
        <v>0.2391391349145596</v>
      </c>
      <c r="I74" s="83">
        <f t="shared" si="79"/>
        <v>0.22209671173674631</v>
      </c>
      <c r="J74" s="83">
        <f t="shared" si="79"/>
        <v>0.21023495784487581</v>
      </c>
      <c r="K74" s="83">
        <f t="shared" si="79"/>
        <v>0.20132704313061539</v>
      </c>
      <c r="L74" s="83">
        <f t="shared" si="79"/>
        <v>0.19526757701616518</v>
      </c>
      <c r="M74" s="83">
        <f t="shared" si="79"/>
        <v>0.22562770824211498</v>
      </c>
      <c r="N74" s="83">
        <f t="shared" si="79"/>
        <v>0.21269572627240543</v>
      </c>
      <c r="O74" s="83">
        <f t="shared" si="79"/>
        <v>0.22346012226526865</v>
      </c>
      <c r="P74" s="83">
        <f t="shared" si="79"/>
        <v>0.21263806842322364</v>
      </c>
      <c r="Q74" s="83">
        <f t="shared" si="79"/>
        <v>0.20441231260534021</v>
      </c>
      <c r="R74" s="83">
        <f t="shared" si="79"/>
        <v>0.20907352498818269</v>
      </c>
      <c r="S74" s="83">
        <f t="shared" si="79"/>
        <v>0.3713424316336334</v>
      </c>
      <c r="T74" s="83">
        <f t="shared" ref="T74:Y74" si="80">T32/T$23</f>
        <v>0.34843683643543422</v>
      </c>
      <c r="U74" s="83">
        <f t="shared" si="80"/>
        <v>0.34424222223818918</v>
      </c>
      <c r="V74" s="83">
        <f t="shared" si="80"/>
        <v>0.34703420277097258</v>
      </c>
      <c r="W74" s="83">
        <f t="shared" si="80"/>
        <v>0.33712905409300775</v>
      </c>
      <c r="X74" s="83">
        <f t="shared" si="80"/>
        <v>0.35657210988046129</v>
      </c>
      <c r="Y74" s="83">
        <f t="shared" si="80"/>
        <v>0.36289777675822926</v>
      </c>
      <c r="Z74" s="83">
        <f t="shared" ref="Z74:AA74" si="81">Z32/Z$23</f>
        <v>0.38748063123517884</v>
      </c>
      <c r="AA74" s="83">
        <f t="shared" si="81"/>
        <v>0.31194187239531407</v>
      </c>
    </row>
    <row r="75" spans="1:27" x14ac:dyDescent="0.25">
      <c r="A75" s="85" t="s">
        <v>158</v>
      </c>
      <c r="B75" s="86"/>
      <c r="C75" s="86"/>
      <c r="D75" s="87">
        <f t="shared" si="51"/>
        <v>1.9985153295327424E-3</v>
      </c>
      <c r="E75" s="87">
        <f t="shared" ref="E75:S75" si="82">E33/E$23</f>
        <v>2.1210544986021993E-3</v>
      </c>
      <c r="F75" s="87">
        <f t="shared" si="82"/>
        <v>1.5065760344132807E-3</v>
      </c>
      <c r="G75" s="87">
        <f t="shared" si="82"/>
        <v>1.5986119520664502E-3</v>
      </c>
      <c r="H75" s="87">
        <f t="shared" si="82"/>
        <v>1.8314885046263817E-3</v>
      </c>
      <c r="I75" s="87">
        <f t="shared" si="82"/>
        <v>1.5455847172369142E-3</v>
      </c>
      <c r="J75" s="87">
        <f t="shared" si="82"/>
        <v>2.1122156059149417E-3</v>
      </c>
      <c r="K75" s="87">
        <f t="shared" si="82"/>
        <v>1.487439872642245E-3</v>
      </c>
      <c r="L75" s="87">
        <f t="shared" si="82"/>
        <v>1.367317058595034E-3</v>
      </c>
      <c r="M75" s="87">
        <f t="shared" si="82"/>
        <v>8.671626320519327E-4</v>
      </c>
      <c r="N75" s="87">
        <f t="shared" si="82"/>
        <v>1.202045380987988E-3</v>
      </c>
      <c r="O75" s="87">
        <f t="shared" si="82"/>
        <v>1.0108744822427262E-3</v>
      </c>
      <c r="P75" s="87">
        <f t="shared" si="82"/>
        <v>9.3769470790871796E-4</v>
      </c>
      <c r="Q75" s="87">
        <f t="shared" si="82"/>
        <v>1.1118010585765398E-3</v>
      </c>
      <c r="R75" s="87">
        <f t="shared" si="82"/>
        <v>1.2306089123802157E-3</v>
      </c>
      <c r="S75" s="87">
        <f t="shared" si="82"/>
        <v>1.0594364253719709E-3</v>
      </c>
      <c r="T75" s="87">
        <f t="shared" ref="T75:Y75" si="83">T33/T$23</f>
        <v>9.2583191638259568E-4</v>
      </c>
      <c r="U75" s="87">
        <f t="shared" si="83"/>
        <v>1.0623867987802434E-3</v>
      </c>
      <c r="V75" s="87">
        <f t="shared" si="83"/>
        <v>9.6264872176881082E-4</v>
      </c>
      <c r="W75" s="87">
        <f t="shared" si="83"/>
        <v>1.1071295000456205E-3</v>
      </c>
      <c r="X75" s="87">
        <f t="shared" si="83"/>
        <v>8.0994754997139394E-4</v>
      </c>
      <c r="Y75" s="87">
        <f t="shared" si="83"/>
        <v>4.2399810336562685E-4</v>
      </c>
      <c r="Z75" s="87">
        <f t="shared" ref="Z75:AA75" si="84">Z33/Z$23</f>
        <v>3.048425292150818E-4</v>
      </c>
      <c r="AA75" s="87">
        <f t="shared" si="84"/>
        <v>4.1920877498303035E-4</v>
      </c>
    </row>
    <row r="76" spans="1:27" x14ac:dyDescent="0.25">
      <c r="A76" s="88" t="s">
        <v>5</v>
      </c>
      <c r="B76" s="44"/>
      <c r="C76" s="44"/>
      <c r="D76" s="89">
        <f t="shared" si="51"/>
        <v>8.0798778258931795E-5</v>
      </c>
      <c r="E76" s="89">
        <f t="shared" ref="E76:S76" si="85">E34/E$23</f>
        <v>8.5752963500028596E-5</v>
      </c>
      <c r="F76" s="89">
        <f t="shared" si="85"/>
        <v>0</v>
      </c>
      <c r="G76" s="89">
        <f t="shared" si="85"/>
        <v>0</v>
      </c>
      <c r="H76" s="89">
        <f t="shared" si="85"/>
        <v>0</v>
      </c>
      <c r="I76" s="89">
        <f t="shared" si="85"/>
        <v>0</v>
      </c>
      <c r="J76" s="89">
        <f t="shared" si="85"/>
        <v>0</v>
      </c>
      <c r="K76" s="89">
        <f t="shared" si="85"/>
        <v>0</v>
      </c>
      <c r="L76" s="89">
        <f t="shared" si="85"/>
        <v>0</v>
      </c>
      <c r="M76" s="89">
        <f t="shared" si="85"/>
        <v>0</v>
      </c>
      <c r="N76" s="89">
        <f t="shared" si="85"/>
        <v>0</v>
      </c>
      <c r="O76" s="89">
        <f t="shared" si="85"/>
        <v>0</v>
      </c>
      <c r="P76" s="89">
        <f t="shared" si="85"/>
        <v>0</v>
      </c>
      <c r="Q76" s="89">
        <f t="shared" si="85"/>
        <v>0</v>
      </c>
      <c r="R76" s="89">
        <f t="shared" si="85"/>
        <v>0</v>
      </c>
      <c r="S76" s="89">
        <f t="shared" si="85"/>
        <v>0</v>
      </c>
      <c r="T76" s="89">
        <f t="shared" ref="T76:Y76" si="86">T34/T$23</f>
        <v>0</v>
      </c>
      <c r="U76" s="89">
        <f t="shared" si="86"/>
        <v>0</v>
      </c>
      <c r="V76" s="89">
        <f t="shared" si="86"/>
        <v>0</v>
      </c>
      <c r="W76" s="89">
        <f t="shared" si="86"/>
        <v>0</v>
      </c>
      <c r="X76" s="89">
        <f t="shared" si="86"/>
        <v>0</v>
      </c>
      <c r="Y76" s="89">
        <f t="shared" si="86"/>
        <v>0</v>
      </c>
      <c r="Z76" s="89">
        <f t="shared" ref="Z76:AA76" si="87">Z34/Z$23</f>
        <v>0</v>
      </c>
      <c r="AA76" s="89">
        <f t="shared" si="87"/>
        <v>0</v>
      </c>
    </row>
    <row r="77" spans="1:27" x14ac:dyDescent="0.25">
      <c r="A77" s="88" t="s">
        <v>263</v>
      </c>
      <c r="B77" s="44"/>
      <c r="C77" s="44"/>
      <c r="D77" s="89">
        <f>D37/D$23</f>
        <v>1.9177165512738105E-3</v>
      </c>
      <c r="E77" s="89">
        <f t="shared" ref="E77:S77" si="88">E37/E$23</f>
        <v>2.0353015351021707E-3</v>
      </c>
      <c r="F77" s="89">
        <f t="shared" si="88"/>
        <v>1.5065760344132807E-3</v>
      </c>
      <c r="G77" s="89">
        <f t="shared" si="88"/>
        <v>1.5986119520664502E-3</v>
      </c>
      <c r="H77" s="89">
        <f t="shared" si="88"/>
        <v>1.8314885046263817E-3</v>
      </c>
      <c r="I77" s="89">
        <f t="shared" si="88"/>
        <v>1.5455847172369142E-3</v>
      </c>
      <c r="J77" s="89">
        <f t="shared" si="88"/>
        <v>2.1122156059149417E-3</v>
      </c>
      <c r="K77" s="89">
        <f t="shared" si="88"/>
        <v>1.487439872642245E-3</v>
      </c>
      <c r="L77" s="89">
        <f t="shared" si="88"/>
        <v>1.367317058595034E-3</v>
      </c>
      <c r="M77" s="89">
        <f t="shared" si="88"/>
        <v>8.671626320519327E-4</v>
      </c>
      <c r="N77" s="89">
        <f t="shared" si="88"/>
        <v>1.202045380987988E-3</v>
      </c>
      <c r="O77" s="89">
        <f t="shared" si="88"/>
        <v>1.0108744822427262E-3</v>
      </c>
      <c r="P77" s="89">
        <f t="shared" si="88"/>
        <v>9.3769470790871796E-4</v>
      </c>
      <c r="Q77" s="89">
        <f t="shared" si="88"/>
        <v>1.1118010585765398E-3</v>
      </c>
      <c r="R77" s="89">
        <f t="shared" si="88"/>
        <v>1.2306089123802157E-3</v>
      </c>
      <c r="S77" s="89">
        <f t="shared" si="88"/>
        <v>1.0594364253719709E-3</v>
      </c>
      <c r="T77" s="89">
        <f t="shared" ref="T77:Y77" si="89">T37/T$23</f>
        <v>9.2583191638259568E-4</v>
      </c>
      <c r="U77" s="89">
        <f t="shared" si="89"/>
        <v>1.0623867987802434E-3</v>
      </c>
      <c r="V77" s="89">
        <f t="shared" si="89"/>
        <v>9.6264872176881082E-4</v>
      </c>
      <c r="W77" s="89">
        <f t="shared" si="89"/>
        <v>1.1071295000456205E-3</v>
      </c>
      <c r="X77" s="89">
        <f t="shared" si="89"/>
        <v>8.0994754997139394E-4</v>
      </c>
      <c r="Y77" s="89">
        <f t="shared" si="89"/>
        <v>4.239981033656268E-4</v>
      </c>
      <c r="Z77" s="89">
        <f t="shared" ref="Z77:AA77" si="90">Z37/Z$23</f>
        <v>3.048425292150818E-4</v>
      </c>
      <c r="AA77" s="89">
        <f t="shared" si="90"/>
        <v>4.1920877498303035E-4</v>
      </c>
    </row>
    <row r="78" spans="1:27" x14ac:dyDescent="0.25">
      <c r="A78" s="68" t="s">
        <v>265</v>
      </c>
      <c r="B78" s="44"/>
      <c r="C78" s="44"/>
      <c r="D78" s="89">
        <f>D43/D$23</f>
        <v>0.10914809277742972</v>
      </c>
      <c r="E78" s="89">
        <f t="shared" ref="E78:S78" si="91">E43/E$23</f>
        <v>0.12221795397274982</v>
      </c>
      <c r="F78" s="89">
        <f t="shared" si="91"/>
        <v>0.15151495050769209</v>
      </c>
      <c r="G78" s="89">
        <f t="shared" si="91"/>
        <v>0.11538303502138585</v>
      </c>
      <c r="H78" s="89">
        <f t="shared" si="91"/>
        <v>9.7400697959385621E-2</v>
      </c>
      <c r="I78" s="89">
        <f t="shared" si="91"/>
        <v>8.7528515737075346E-2</v>
      </c>
      <c r="J78" s="89">
        <f t="shared" si="91"/>
        <v>7.7851813989707114E-2</v>
      </c>
      <c r="K78" s="89">
        <f t="shared" si="91"/>
        <v>8.2503788573331543E-2</v>
      </c>
      <c r="L78" s="89">
        <f t="shared" si="91"/>
        <v>8.1875280126691971E-2</v>
      </c>
      <c r="M78" s="89">
        <f t="shared" si="91"/>
        <v>0.11021236622490173</v>
      </c>
      <c r="N78" s="89">
        <f t="shared" si="91"/>
        <v>0.10775473547451905</v>
      </c>
      <c r="O78" s="89">
        <f t="shared" si="91"/>
        <v>0.11564088178581085</v>
      </c>
      <c r="P78" s="89">
        <f t="shared" si="91"/>
        <v>0.10870631575166081</v>
      </c>
      <c r="Q78" s="89">
        <f t="shared" si="91"/>
        <v>9.5185546586238512E-2</v>
      </c>
      <c r="R78" s="89">
        <f t="shared" si="91"/>
        <v>9.6913540458080843E-2</v>
      </c>
      <c r="S78" s="89">
        <f t="shared" si="91"/>
        <v>0.27561346579271401</v>
      </c>
      <c r="T78" s="89">
        <f t="shared" ref="T78:Y78" si="92">T43/T$23</f>
        <v>0.26008254503748851</v>
      </c>
      <c r="U78" s="89">
        <f t="shared" si="92"/>
        <v>0.25492622392168812</v>
      </c>
      <c r="V78" s="89">
        <f t="shared" si="92"/>
        <v>0.26656937947985404</v>
      </c>
      <c r="W78" s="89">
        <f t="shared" si="92"/>
        <v>0.25446619688705169</v>
      </c>
      <c r="X78" s="89">
        <f t="shared" si="92"/>
        <v>0.27311911986361248</v>
      </c>
      <c r="Y78" s="89">
        <f t="shared" si="92"/>
        <v>0.28244346420955541</v>
      </c>
      <c r="Z78" s="89">
        <f t="shared" ref="Z78:AA78" si="93">Z43/Z$23</f>
        <v>0.30646725428419141</v>
      </c>
      <c r="AA78" s="89">
        <f t="shared" si="93"/>
        <v>0.22726845911333418</v>
      </c>
    </row>
    <row r="79" spans="1:27" x14ac:dyDescent="0.25">
      <c r="A79" s="88" t="s">
        <v>266</v>
      </c>
      <c r="B79" s="44"/>
      <c r="C79" s="44"/>
      <c r="D79" s="89">
        <f>D44/D$23</f>
        <v>1.9900374062517476E-2</v>
      </c>
      <c r="E79" s="89">
        <f t="shared" ref="E79:S79" si="94">E44/E$23</f>
        <v>7.2683795621511704E-3</v>
      </c>
      <c r="F79" s="89">
        <f t="shared" si="94"/>
        <v>7.1647350101074567E-3</v>
      </c>
      <c r="G79" s="89">
        <f t="shared" si="94"/>
        <v>5.4617949574723695E-3</v>
      </c>
      <c r="H79" s="89">
        <f t="shared" si="94"/>
        <v>6.3749188673149406E-3</v>
      </c>
      <c r="I79" s="89">
        <f t="shared" si="94"/>
        <v>5.0065976604221204E-3</v>
      </c>
      <c r="J79" s="89">
        <f t="shared" si="94"/>
        <v>4.4181842449875037E-3</v>
      </c>
      <c r="K79" s="89">
        <f t="shared" si="94"/>
        <v>1.0495476274934192E-2</v>
      </c>
      <c r="L79" s="89">
        <f t="shared" si="94"/>
        <v>9.3339707771835038E-3</v>
      </c>
      <c r="M79" s="89">
        <f t="shared" si="94"/>
        <v>1.1584268711446247E-2</v>
      </c>
      <c r="N79" s="89">
        <f t="shared" si="94"/>
        <v>1.0665444707553708E-2</v>
      </c>
      <c r="O79" s="89">
        <f t="shared" si="94"/>
        <v>1.527241803703336E-2</v>
      </c>
      <c r="P79" s="89">
        <f t="shared" si="94"/>
        <v>1.9485964927492796E-2</v>
      </c>
      <c r="Q79" s="89">
        <f t="shared" si="94"/>
        <v>2.1424051568644849E-2</v>
      </c>
      <c r="R79" s="89">
        <f t="shared" si="94"/>
        <v>1.9900305100769174E-2</v>
      </c>
      <c r="S79" s="89">
        <f t="shared" si="94"/>
        <v>1.4922214861186112E-2</v>
      </c>
      <c r="T79" s="89">
        <f t="shared" ref="T79:Y79" si="95">T44/T$23</f>
        <v>1.7315493512540948E-2</v>
      </c>
      <c r="U79" s="89">
        <f t="shared" si="95"/>
        <v>1.657771900315105E-2</v>
      </c>
      <c r="V79" s="89">
        <f t="shared" si="95"/>
        <v>1.539286711356247E-2</v>
      </c>
      <c r="W79" s="89">
        <f t="shared" si="95"/>
        <v>1.5392835126420352E-2</v>
      </c>
      <c r="X79" s="89">
        <f t="shared" si="95"/>
        <v>1.5415816178805376E-2</v>
      </c>
      <c r="Y79" s="89">
        <f t="shared" si="95"/>
        <v>1.4218186445534737E-2</v>
      </c>
      <c r="Z79" s="89">
        <f t="shared" ref="Z79:AA79" si="96">Z44/Z$23</f>
        <v>1.3800085624938433E-2</v>
      </c>
      <c r="AA79" s="89">
        <f t="shared" si="96"/>
        <v>1.5124208887309662E-2</v>
      </c>
    </row>
    <row r="80" spans="1:27" x14ac:dyDescent="0.25">
      <c r="A80" s="88" t="s">
        <v>11</v>
      </c>
      <c r="B80" s="44"/>
      <c r="C80" s="44"/>
      <c r="D80" s="89">
        <f>D47/D$23</f>
        <v>8.9247718714912258E-2</v>
      </c>
      <c r="E80" s="89">
        <f t="shared" ref="E80:S80" si="97">E47/E$23</f>
        <v>0.11494957441059864</v>
      </c>
      <c r="F80" s="89">
        <f t="shared" si="97"/>
        <v>0.14435021549758464</v>
      </c>
      <c r="G80" s="89">
        <f t="shared" si="97"/>
        <v>0.10992124006391348</v>
      </c>
      <c r="H80" s="89">
        <f t="shared" si="97"/>
        <v>9.1025779092070672E-2</v>
      </c>
      <c r="I80" s="89">
        <f t="shared" si="97"/>
        <v>8.2521918076653225E-2</v>
      </c>
      <c r="J80" s="89">
        <f t="shared" si="97"/>
        <v>7.343362974471962E-2</v>
      </c>
      <c r="K80" s="89">
        <f t="shared" si="97"/>
        <v>7.2008312298397353E-2</v>
      </c>
      <c r="L80" s="89">
        <f t="shared" si="97"/>
        <v>7.2541309349508476E-2</v>
      </c>
      <c r="M80" s="89">
        <f t="shared" si="97"/>
        <v>9.862809751345547E-2</v>
      </c>
      <c r="N80" s="89">
        <f t="shared" si="97"/>
        <v>9.7089290766965347E-2</v>
      </c>
      <c r="O80" s="89">
        <f t="shared" si="97"/>
        <v>0.10036846374877749</v>
      </c>
      <c r="P80" s="89">
        <f t="shared" si="97"/>
        <v>8.9220350824168002E-2</v>
      </c>
      <c r="Q80" s="89">
        <f t="shared" si="97"/>
        <v>7.3761495017593673E-2</v>
      </c>
      <c r="R80" s="89">
        <f t="shared" si="97"/>
        <v>7.701323535731168E-2</v>
      </c>
      <c r="S80" s="89">
        <f t="shared" si="97"/>
        <v>0.26069125093152784</v>
      </c>
      <c r="T80" s="89">
        <f t="shared" ref="T80:Y80" si="98">T47/T$23</f>
        <v>0.24276705152494757</v>
      </c>
      <c r="U80" s="89">
        <f t="shared" si="98"/>
        <v>0.23834850491853707</v>
      </c>
      <c r="V80" s="89">
        <f t="shared" si="98"/>
        <v>0.25117651236629157</v>
      </c>
      <c r="W80" s="89">
        <f t="shared" si="98"/>
        <v>0.23907336176063132</v>
      </c>
      <c r="X80" s="89">
        <f t="shared" si="98"/>
        <v>0.25770330368480715</v>
      </c>
      <c r="Y80" s="89">
        <f t="shared" si="98"/>
        <v>0.26822527776402066</v>
      </c>
      <c r="Z80" s="89">
        <f t="shared" ref="Z80:AA80" si="99">Z47/Z$23</f>
        <v>0.29266716865925302</v>
      </c>
      <c r="AA80" s="89">
        <f t="shared" si="99"/>
        <v>0.21214425022602451</v>
      </c>
    </row>
    <row r="81" spans="1:27" x14ac:dyDescent="0.25">
      <c r="A81" s="68" t="s">
        <v>4</v>
      </c>
      <c r="B81" s="44"/>
      <c r="C81" s="44"/>
      <c r="D81" s="89">
        <f>D48/D$23</f>
        <v>8.2649413058896743E-3</v>
      </c>
      <c r="E81" s="89">
        <f t="shared" ref="E81:S81" si="100">E48/E$23</f>
        <v>7.4411517656767807E-3</v>
      </c>
      <c r="F81" s="89">
        <f t="shared" si="100"/>
        <v>6.5262850670704097E-3</v>
      </c>
      <c r="G81" s="89">
        <f t="shared" si="100"/>
        <v>6.5153903225831471E-3</v>
      </c>
      <c r="H81" s="89">
        <f t="shared" si="100"/>
        <v>6.526269526417966E-3</v>
      </c>
      <c r="I81" s="89">
        <f t="shared" si="100"/>
        <v>6.7869293425011712E-3</v>
      </c>
      <c r="J81" s="89">
        <f t="shared" si="100"/>
        <v>6.7506017108085277E-3</v>
      </c>
      <c r="K81" s="89">
        <f t="shared" si="100"/>
        <v>6.7951554243287811E-3</v>
      </c>
      <c r="L81" s="89">
        <f t="shared" si="100"/>
        <v>5.1423790599695223E-3</v>
      </c>
      <c r="M81" s="89">
        <f t="shared" si="100"/>
        <v>3.5211660547513754E-3</v>
      </c>
      <c r="N81" s="89">
        <f t="shared" si="100"/>
        <v>2.4914048175037765E-3</v>
      </c>
      <c r="O81" s="89">
        <f t="shared" si="100"/>
        <v>2.7514739813544204E-3</v>
      </c>
      <c r="P81" s="89">
        <f t="shared" si="100"/>
        <v>2.3597205000873288E-3</v>
      </c>
      <c r="Q81" s="89">
        <f t="shared" si="100"/>
        <v>3.0065939264910264E-3</v>
      </c>
      <c r="R81" s="89">
        <f t="shared" si="100"/>
        <v>3.5972884706286794E-3</v>
      </c>
      <c r="S81" s="89">
        <f t="shared" si="100"/>
        <v>2.3344512782936867E-3</v>
      </c>
      <c r="T81" s="89">
        <f t="shared" ref="T81:Y81" si="101">T48/T$23</f>
        <v>3.1801159312721517E-3</v>
      </c>
      <c r="U81" s="89">
        <f t="shared" si="101"/>
        <v>3.0347431175925467E-3</v>
      </c>
      <c r="V81" s="89">
        <f t="shared" si="101"/>
        <v>2.8044721745958492E-3</v>
      </c>
      <c r="W81" s="89">
        <f t="shared" si="101"/>
        <v>2.9468067709218469E-3</v>
      </c>
      <c r="X81" s="89">
        <f t="shared" si="101"/>
        <v>2.8748258821876221E-3</v>
      </c>
      <c r="Y81" s="89">
        <f t="shared" si="101"/>
        <v>2.5390198924199457E-3</v>
      </c>
      <c r="Z81" s="89">
        <f t="shared" ref="Z81:AA81" si="102">Z48/Z$23</f>
        <v>2.5797927835422862E-3</v>
      </c>
      <c r="AA81" s="89">
        <f t="shared" si="102"/>
        <v>2.9198401919267158E-3</v>
      </c>
    </row>
    <row r="82" spans="1:27" x14ac:dyDescent="0.25">
      <c r="A82" s="68" t="s">
        <v>3</v>
      </c>
      <c r="B82" s="44"/>
      <c r="C82" s="44"/>
      <c r="D82" s="89">
        <f>D52/D$23</f>
        <v>6.8722873230233515E-3</v>
      </c>
      <c r="E82" s="89">
        <f t="shared" ref="E82:S82" si="103">E52/E$23</f>
        <v>8.58347011132779E-3</v>
      </c>
      <c r="F82" s="89">
        <f t="shared" si="103"/>
        <v>7.6555952260527384E-3</v>
      </c>
      <c r="G82" s="89">
        <f t="shared" si="103"/>
        <v>7.5806147756089966E-3</v>
      </c>
      <c r="H82" s="89">
        <f t="shared" si="103"/>
        <v>7.0683668390705886E-3</v>
      </c>
      <c r="I82" s="89">
        <f t="shared" si="103"/>
        <v>7.1688111571018972E-3</v>
      </c>
      <c r="J82" s="89">
        <f t="shared" si="103"/>
        <v>6.6060557971830162E-3</v>
      </c>
      <c r="K82" s="89">
        <f t="shared" si="103"/>
        <v>4.1452961427668094E-3</v>
      </c>
      <c r="L82" s="89">
        <f t="shared" si="103"/>
        <v>3.8635073355843077E-3</v>
      </c>
      <c r="M82" s="89">
        <f t="shared" si="103"/>
        <v>4.1139350606127639E-3</v>
      </c>
      <c r="N82" s="89">
        <f t="shared" si="103"/>
        <v>3.7623823475926598E-3</v>
      </c>
      <c r="O82" s="89">
        <f t="shared" si="103"/>
        <v>3.2689153569524158E-3</v>
      </c>
      <c r="P82" s="89">
        <f t="shared" si="103"/>
        <v>2.9220895851475104E-3</v>
      </c>
      <c r="Q82" s="89">
        <f t="shared" si="103"/>
        <v>3.0420769389987875E-3</v>
      </c>
      <c r="R82" s="89">
        <f t="shared" si="103"/>
        <v>3.1874435993296379E-3</v>
      </c>
      <c r="S82" s="89">
        <f t="shared" si="103"/>
        <v>2.3289538320538025E-3</v>
      </c>
      <c r="T82" s="89">
        <f t="shared" ref="T82:Y82" si="104">T52/T$23</f>
        <v>2.050445391282631E-3</v>
      </c>
      <c r="U82" s="89">
        <f t="shared" si="104"/>
        <v>1.8091268303588712E-3</v>
      </c>
      <c r="V82" s="89">
        <f t="shared" si="104"/>
        <v>1.6916972261878541E-3</v>
      </c>
      <c r="W82" s="89">
        <f t="shared" si="104"/>
        <v>1.5586680981421624E-3</v>
      </c>
      <c r="X82" s="89">
        <f t="shared" si="104"/>
        <v>1.4316973043384191E-3</v>
      </c>
      <c r="Y82" s="89">
        <f t="shared" si="104"/>
        <v>1.143280600146601E-3</v>
      </c>
      <c r="Z82" s="89">
        <f t="shared" ref="Z82:AA82" si="105">Z52/Z$23</f>
        <v>8.7368070089233359E-4</v>
      </c>
      <c r="AA82" s="89">
        <f t="shared" si="105"/>
        <v>1.1466651871848298E-3</v>
      </c>
    </row>
    <row r="83" spans="1:27" x14ac:dyDescent="0.25">
      <c r="A83" s="88" t="s">
        <v>21</v>
      </c>
      <c r="B83" s="44"/>
      <c r="C83" s="44"/>
      <c r="D83" s="89">
        <f>D53/D$23</f>
        <v>2.8111552928088597E-3</v>
      </c>
      <c r="E83" s="89">
        <f t="shared" ref="E83:S83" si="106">E53/E$23</f>
        <v>2.5143869619478412E-3</v>
      </c>
      <c r="F83" s="89">
        <f t="shared" si="106"/>
        <v>2.5372166567444359E-3</v>
      </c>
      <c r="G83" s="89">
        <f t="shared" si="106"/>
        <v>2.5103324446125925E-3</v>
      </c>
      <c r="H83" s="89">
        <f t="shared" si="106"/>
        <v>1.9792009267317278E-3</v>
      </c>
      <c r="I83" s="89">
        <f t="shared" si="106"/>
        <v>1.6184833473445836E-3</v>
      </c>
      <c r="J83" s="89">
        <f t="shared" si="106"/>
        <v>1.4177801315183288E-3</v>
      </c>
      <c r="K83" s="89">
        <f t="shared" si="106"/>
        <v>1.3177894724215281E-3</v>
      </c>
      <c r="L83" s="89">
        <f t="shared" si="106"/>
        <v>1.2137329309469028E-3</v>
      </c>
      <c r="M83" s="89">
        <f t="shared" si="106"/>
        <v>1.1093904982344936E-3</v>
      </c>
      <c r="N83" s="89">
        <f t="shared" si="106"/>
        <v>1.2243662673635158E-3</v>
      </c>
      <c r="O83" s="89">
        <f t="shared" si="106"/>
        <v>9.9887034776609371E-4</v>
      </c>
      <c r="P83" s="89">
        <f t="shared" si="106"/>
        <v>1.0262616453135705E-3</v>
      </c>
      <c r="Q83" s="89">
        <f t="shared" si="106"/>
        <v>1.0514799373133447E-3</v>
      </c>
      <c r="R83" s="89">
        <f t="shared" si="106"/>
        <v>1.092561557303081E-3</v>
      </c>
      <c r="S83" s="89">
        <f t="shared" si="106"/>
        <v>7.7553259455509353E-4</v>
      </c>
      <c r="T83" s="89">
        <f t="shared" ref="T83:Y83" si="107">T53/T$23</f>
        <v>7.3988752309230965E-4</v>
      </c>
      <c r="U83" s="89">
        <f t="shared" si="107"/>
        <v>7.6104005086621482E-4</v>
      </c>
      <c r="V83" s="89">
        <f t="shared" si="107"/>
        <v>7.3095285401700327E-4</v>
      </c>
      <c r="W83" s="89">
        <f t="shared" si="107"/>
        <v>6.6142096777343671E-4</v>
      </c>
      <c r="X83" s="89">
        <f t="shared" si="107"/>
        <v>6.844823529018148E-4</v>
      </c>
      <c r="Y83" s="89">
        <f t="shared" si="107"/>
        <v>5.9861339370258703E-4</v>
      </c>
      <c r="Z83" s="89">
        <f t="shared" ref="Z83:AA83" si="108">Z53/Z$23</f>
        <v>5.3020466302425122E-4</v>
      </c>
      <c r="AA83" s="89">
        <f t="shared" si="108"/>
        <v>5.6942692177580287E-4</v>
      </c>
    </row>
    <row r="84" spans="1:27" x14ac:dyDescent="0.25">
      <c r="A84" s="88" t="s">
        <v>16</v>
      </c>
      <c r="B84" s="44"/>
      <c r="C84" s="44"/>
      <c r="D84" s="89">
        <f t="shared" ref="D84:D90" si="109">D56/D$23</f>
        <v>4.0611320302144909E-3</v>
      </c>
      <c r="E84" s="89">
        <f t="shared" ref="E84:S84" si="110">E56/E$23</f>
        <v>6.0690831493799497E-3</v>
      </c>
      <c r="F84" s="89">
        <f t="shared" si="110"/>
        <v>5.1183785693083017E-3</v>
      </c>
      <c r="G84" s="89">
        <f t="shared" si="110"/>
        <v>5.0702823309964036E-3</v>
      </c>
      <c r="H84" s="89">
        <f t="shared" si="110"/>
        <v>5.0891659123388612E-3</v>
      </c>
      <c r="I84" s="89">
        <f t="shared" si="110"/>
        <v>5.550327809757314E-3</v>
      </c>
      <c r="J84" s="89">
        <f t="shared" si="110"/>
        <v>5.1882756656646874E-3</v>
      </c>
      <c r="K84" s="89">
        <f t="shared" si="110"/>
        <v>2.8275066703452815E-3</v>
      </c>
      <c r="L84" s="89">
        <f t="shared" si="110"/>
        <v>2.6497744046374045E-3</v>
      </c>
      <c r="M84" s="89">
        <f t="shared" si="110"/>
        <v>3.0045445623782703E-3</v>
      </c>
      <c r="N84" s="89">
        <f t="shared" si="110"/>
        <v>2.5380160802291438E-3</v>
      </c>
      <c r="O84" s="89">
        <f t="shared" si="110"/>
        <v>2.2700450091863219E-3</v>
      </c>
      <c r="P84" s="89">
        <f t="shared" si="110"/>
        <v>1.8958279398339399E-3</v>
      </c>
      <c r="Q84" s="89">
        <f t="shared" si="110"/>
        <v>1.9905970016854424E-3</v>
      </c>
      <c r="R84" s="89">
        <f t="shared" si="110"/>
        <v>2.0948820420265564E-3</v>
      </c>
      <c r="S84" s="89">
        <f t="shared" si="110"/>
        <v>1.5534212374987088E-3</v>
      </c>
      <c r="T84" s="89">
        <f t="shared" ref="T84:Y84" si="111">T56/T$23</f>
        <v>1.3105578681903215E-3</v>
      </c>
      <c r="U84" s="89">
        <f t="shared" si="111"/>
        <v>1.0480867794926561E-3</v>
      </c>
      <c r="V84" s="89">
        <f t="shared" si="111"/>
        <v>9.6074437217085081E-4</v>
      </c>
      <c r="W84" s="89">
        <f t="shared" si="111"/>
        <v>8.9724713036872569E-4</v>
      </c>
      <c r="X84" s="89">
        <f t="shared" si="111"/>
        <v>7.4721495143660437E-4</v>
      </c>
      <c r="Y84" s="89">
        <f t="shared" si="111"/>
        <v>5.446672064440141E-4</v>
      </c>
      <c r="Z84" s="89">
        <f t="shared" ref="Z84:AA84" si="112">Z56/Z$23</f>
        <v>3.4347603786808232E-4</v>
      </c>
      <c r="AA84" s="89">
        <f t="shared" si="112"/>
        <v>5.772382654090271E-4</v>
      </c>
    </row>
    <row r="85" spans="1:27" x14ac:dyDescent="0.25">
      <c r="A85" s="68" t="s">
        <v>2</v>
      </c>
      <c r="B85" s="44"/>
      <c r="C85" s="44"/>
      <c r="D85" s="89">
        <f t="shared" si="109"/>
        <v>3.7243930530655965E-2</v>
      </c>
      <c r="E85" s="89">
        <f t="shared" ref="E85:S85" si="113">E57/E$23</f>
        <v>4.1750219181758197E-2</v>
      </c>
      <c r="F85" s="89">
        <f t="shared" si="113"/>
        <v>4.1684148034154586E-2</v>
      </c>
      <c r="G85" s="89">
        <f t="shared" si="113"/>
        <v>4.5882178732879073E-2</v>
      </c>
      <c r="H85" s="89">
        <f t="shared" si="113"/>
        <v>4.2250846253925653E-2</v>
      </c>
      <c r="I85" s="89">
        <f t="shared" si="113"/>
        <v>3.8337322694146109E-2</v>
      </c>
      <c r="J85" s="89">
        <f t="shared" si="113"/>
        <v>3.7698189362527917E-2</v>
      </c>
      <c r="K85" s="89">
        <f t="shared" si="113"/>
        <v>3.6242352165670184E-2</v>
      </c>
      <c r="L85" s="89">
        <f t="shared" si="113"/>
        <v>3.6710789733169984E-2</v>
      </c>
      <c r="M85" s="89">
        <f t="shared" si="113"/>
        <v>3.8959299810484592E-2</v>
      </c>
      <c r="N85" s="89">
        <f t="shared" si="113"/>
        <v>4.2666374306821589E-2</v>
      </c>
      <c r="O85" s="89">
        <f t="shared" si="113"/>
        <v>4.064852652408283E-2</v>
      </c>
      <c r="P85" s="89">
        <f t="shared" si="113"/>
        <v>4.1309973132631156E-2</v>
      </c>
      <c r="Q85" s="89">
        <f t="shared" si="113"/>
        <v>4.4900795410863718E-2</v>
      </c>
      <c r="R85" s="89">
        <f t="shared" si="113"/>
        <v>4.5620622233681407E-2</v>
      </c>
      <c r="S85" s="89">
        <f t="shared" si="113"/>
        <v>3.4953941217378055E-2</v>
      </c>
      <c r="T85" s="89">
        <f t="shared" ref="T85:Y85" si="114">T57/T$23</f>
        <v>3.4983998279041854E-2</v>
      </c>
      <c r="U85" s="89">
        <f t="shared" si="114"/>
        <v>3.0146533343982772E-2</v>
      </c>
      <c r="V85" s="89">
        <f t="shared" si="114"/>
        <v>2.8734413692019692E-2</v>
      </c>
      <c r="W85" s="89">
        <f t="shared" si="114"/>
        <v>2.2560314217227671E-2</v>
      </c>
      <c r="X85" s="89">
        <f t="shared" si="114"/>
        <v>2.1643304117600477E-2</v>
      </c>
      <c r="Y85" s="89">
        <f t="shared" si="114"/>
        <v>1.9667170953101359E-2</v>
      </c>
      <c r="Z85" s="89">
        <f t="shared" ref="Z85:AA85" si="115">Z57/Z$23</f>
        <v>1.9945353706875092E-2</v>
      </c>
      <c r="AA85" s="89">
        <f t="shared" si="115"/>
        <v>2.2486855411428475E-2</v>
      </c>
    </row>
    <row r="86" spans="1:27" x14ac:dyDescent="0.25">
      <c r="A86" s="68" t="s">
        <v>269</v>
      </c>
      <c r="B86" s="44"/>
      <c r="C86" s="44"/>
      <c r="D86" s="89">
        <f t="shared" si="109"/>
        <v>3.6165580045036385E-3</v>
      </c>
      <c r="E86" s="89">
        <f t="shared" ref="E86:S86" si="116">E58/E$23</f>
        <v>3.3093228983823741E-3</v>
      </c>
      <c r="F86" s="89">
        <f t="shared" si="116"/>
        <v>2.8912661706104077E-3</v>
      </c>
      <c r="G86" s="89">
        <f t="shared" si="116"/>
        <v>4.4578170341329241E-3</v>
      </c>
      <c r="H86" s="89">
        <f t="shared" si="116"/>
        <v>2.986264927686401E-3</v>
      </c>
      <c r="I86" s="89">
        <f t="shared" si="116"/>
        <v>3.1379850684879283E-3</v>
      </c>
      <c r="J86" s="89">
        <f t="shared" si="116"/>
        <v>2.632580894966788E-3</v>
      </c>
      <c r="K86" s="89">
        <f t="shared" si="116"/>
        <v>2.5944515750925797E-3</v>
      </c>
      <c r="L86" s="89">
        <f t="shared" si="116"/>
        <v>2.5631218812561629E-3</v>
      </c>
      <c r="M86" s="89">
        <f t="shared" si="116"/>
        <v>1.5905640101906381E-3</v>
      </c>
      <c r="N86" s="89">
        <f t="shared" si="116"/>
        <v>1.3733910087530697E-3</v>
      </c>
      <c r="O86" s="89">
        <f t="shared" si="116"/>
        <v>1.4076427165229965E-3</v>
      </c>
      <c r="P86" s="89">
        <f t="shared" si="116"/>
        <v>1.3848648394213297E-3</v>
      </c>
      <c r="Q86" s="89">
        <f t="shared" si="116"/>
        <v>1.485555456991632E-3</v>
      </c>
      <c r="R86" s="89">
        <f t="shared" si="116"/>
        <v>1.5088522195006659E-3</v>
      </c>
      <c r="S86" s="89">
        <f t="shared" si="116"/>
        <v>1.3225284954235723E-3</v>
      </c>
      <c r="T86" s="89">
        <f t="shared" ref="T86:Y86" si="117">T58/T$23</f>
        <v>1.379411754408691E-3</v>
      </c>
      <c r="U86" s="89">
        <f t="shared" si="117"/>
        <v>1.2716553737205406E-3</v>
      </c>
      <c r="V86" s="89">
        <f t="shared" si="117"/>
        <v>1.2889272862193011E-3</v>
      </c>
      <c r="W86" s="89">
        <f t="shared" si="117"/>
        <v>1.1219961678977336E-3</v>
      </c>
      <c r="X86" s="89">
        <f t="shared" si="117"/>
        <v>9.1589593860792729E-4</v>
      </c>
      <c r="Y86" s="89">
        <f t="shared" si="117"/>
        <v>9.3080833629485263E-4</v>
      </c>
      <c r="Z86" s="89">
        <f t="shared" ref="Z86:AA86" si="118">Z58/Z$23</f>
        <v>9.7227663443384498E-4</v>
      </c>
      <c r="AA86" s="89">
        <f t="shared" si="118"/>
        <v>1.0419130661546698E-3</v>
      </c>
    </row>
    <row r="87" spans="1:27" x14ac:dyDescent="0.25">
      <c r="A87" s="68" t="s">
        <v>270</v>
      </c>
      <c r="B87" s="44"/>
      <c r="C87" s="44"/>
      <c r="D87" s="89">
        <f t="shared" si="109"/>
        <v>5.5831260377701815E-2</v>
      </c>
      <c r="E87" s="89">
        <f t="shared" ref="E87:S87" si="119">E59/E$23</f>
        <v>6.0465676228566592E-2</v>
      </c>
      <c r="F87" s="89">
        <f t="shared" si="119"/>
        <v>5.5321272986270834E-2</v>
      </c>
      <c r="G87" s="89">
        <f t="shared" si="119"/>
        <v>4.7510251040997188E-2</v>
      </c>
      <c r="H87" s="89">
        <f t="shared" si="119"/>
        <v>4.829832379145043E-2</v>
      </c>
      <c r="I87" s="89">
        <f t="shared" si="119"/>
        <v>4.7330605988254622E-2</v>
      </c>
      <c r="J87" s="89">
        <f t="shared" si="119"/>
        <v>4.5454461578773531E-2</v>
      </c>
      <c r="K87" s="89">
        <f t="shared" si="119"/>
        <v>3.8662583632791986E-2</v>
      </c>
      <c r="L87" s="89">
        <f t="shared" si="119"/>
        <v>3.5239489646517463E-2</v>
      </c>
      <c r="M87" s="89">
        <f t="shared" si="119"/>
        <v>3.5669202072525254E-2</v>
      </c>
      <c r="N87" s="89">
        <f t="shared" si="119"/>
        <v>2.9635572140120015E-2</v>
      </c>
      <c r="O87" s="89">
        <f t="shared" si="119"/>
        <v>2.8177494395964592E-2</v>
      </c>
      <c r="P87" s="89">
        <f t="shared" si="119"/>
        <v>2.8939711308945015E-2</v>
      </c>
      <c r="Q87" s="89">
        <f t="shared" si="119"/>
        <v>2.7651320263757061E-2</v>
      </c>
      <c r="R87" s="89">
        <f t="shared" si="119"/>
        <v>2.6339113059172359E-2</v>
      </c>
      <c r="S87" s="89">
        <f t="shared" si="119"/>
        <v>2.2325100272328372E-2</v>
      </c>
      <c r="T87" s="89">
        <f t="shared" ref="T87:Y87" si="120">T59/T$23</f>
        <v>2.416535322212246E-2</v>
      </c>
      <c r="U87" s="89">
        <f t="shared" si="120"/>
        <v>2.3339894695073502E-2</v>
      </c>
      <c r="V87" s="89">
        <f t="shared" si="120"/>
        <v>2.3146122133718354E-2</v>
      </c>
      <c r="W87" s="89">
        <f t="shared" si="120"/>
        <v>2.2395717759818183E-2</v>
      </c>
      <c r="X87" s="89">
        <f t="shared" si="120"/>
        <v>2.8138451555910788E-2</v>
      </c>
      <c r="Y87" s="89">
        <f t="shared" si="120"/>
        <v>2.6546218869700045E-2</v>
      </c>
      <c r="Z87" s="89">
        <f t="shared" ref="Z87:AA87" si="121">Z59/Z$23</f>
        <v>2.8001361728580185E-2</v>
      </c>
      <c r="AA87" s="89">
        <f t="shared" si="121"/>
        <v>3.0159047520020407E-2</v>
      </c>
    </row>
    <row r="88" spans="1:27" x14ac:dyDescent="0.25">
      <c r="A88" s="68" t="s">
        <v>1</v>
      </c>
      <c r="B88" s="44"/>
      <c r="C88" s="44"/>
      <c r="D88" s="89">
        <f t="shared" si="109"/>
        <v>3.5555583126037765E-3</v>
      </c>
      <c r="E88" s="89">
        <f t="shared" ref="E88:S88" si="122">E60/E$23</f>
        <v>3.4480920618524488E-3</v>
      </c>
      <c r="F88" s="89">
        <f t="shared" si="122"/>
        <v>2.6773439819045039E-3</v>
      </c>
      <c r="G88" s="89">
        <f t="shared" si="122"/>
        <v>2.3498510313838075E-3</v>
      </c>
      <c r="H88" s="89">
        <f t="shared" si="122"/>
        <v>1.9457291463531763E-3</v>
      </c>
      <c r="I88" s="89">
        <f t="shared" si="122"/>
        <v>1.7482295330408023E-3</v>
      </c>
      <c r="J88" s="89">
        <f t="shared" si="122"/>
        <v>1.4848248318808006E-3</v>
      </c>
      <c r="K88" s="89">
        <f t="shared" si="122"/>
        <v>1.4988641420173774E-3</v>
      </c>
      <c r="L88" s="89">
        <f t="shared" si="122"/>
        <v>1.277078913556638E-3</v>
      </c>
      <c r="M88" s="89">
        <f t="shared" si="122"/>
        <v>1.2236117684669211E-3</v>
      </c>
      <c r="N88" s="89">
        <f t="shared" si="122"/>
        <v>9.9984441029202947E-4</v>
      </c>
      <c r="O88" s="89">
        <f t="shared" si="122"/>
        <v>8.5608432714930874E-4</v>
      </c>
      <c r="P88" s="89">
        <f t="shared" si="122"/>
        <v>8.1382486538444866E-4</v>
      </c>
      <c r="Q88" s="89">
        <f t="shared" si="122"/>
        <v>8.3089387622342474E-4</v>
      </c>
      <c r="R88" s="89">
        <f t="shared" si="122"/>
        <v>8.1539254866572143E-4</v>
      </c>
      <c r="S88" s="89">
        <f t="shared" si="122"/>
        <v>6.4359388479787259E-4</v>
      </c>
      <c r="T88" s="89">
        <f t="shared" ref="T88:Y88" si="123">T60/T$23</f>
        <v>6.1968497596532571E-4</v>
      </c>
      <c r="U88" s="89">
        <f t="shared" si="123"/>
        <v>5.4130804717890261E-4</v>
      </c>
      <c r="V88" s="89">
        <f t="shared" si="123"/>
        <v>4.99891769464516E-4</v>
      </c>
      <c r="W88" s="89">
        <f t="shared" si="123"/>
        <v>4.6844578898718061E-4</v>
      </c>
      <c r="X88" s="89">
        <f t="shared" si="123"/>
        <v>4.2100543905569871E-4</v>
      </c>
      <c r="Y88" s="89">
        <f t="shared" si="123"/>
        <v>4.2399810336562685E-4</v>
      </c>
      <c r="Z88" s="89">
        <f t="shared" ref="Z88:AA88" si="124">Z60/Z$23</f>
        <v>3.917679236843328E-4</v>
      </c>
      <c r="AA88" s="89">
        <f t="shared" si="124"/>
        <v>4.1520295773522309E-4</v>
      </c>
    </row>
    <row r="89" spans="1:27" x14ac:dyDescent="0.25">
      <c r="A89" s="68" t="s">
        <v>0</v>
      </c>
      <c r="B89" s="44"/>
      <c r="C89" s="44"/>
      <c r="D89" s="89">
        <f t="shared" si="109"/>
        <v>3.8657262375183256E-3</v>
      </c>
      <c r="E89" s="89">
        <f t="shared" ref="E89:S89" si="125">E61/E$23</f>
        <v>2.9334514556058145E-3</v>
      </c>
      <c r="F89" s="89">
        <f t="shared" si="125"/>
        <v>2.8680498090454254E-3</v>
      </c>
      <c r="G89" s="89">
        <f t="shared" si="125"/>
        <v>3.0080574073801294E-3</v>
      </c>
      <c r="H89" s="89">
        <f t="shared" si="125"/>
        <v>3.3042468412826384E-3</v>
      </c>
      <c r="I89" s="89">
        <f t="shared" si="125"/>
        <v>3.1005325612766489E-3</v>
      </c>
      <c r="J89" s="89">
        <f t="shared" si="125"/>
        <v>3.1941571466267593E-3</v>
      </c>
      <c r="K89" s="89">
        <f t="shared" si="125"/>
        <v>3.1525271340677994E-3</v>
      </c>
      <c r="L89" s="89">
        <f t="shared" si="125"/>
        <v>1.8866345952729554E-3</v>
      </c>
      <c r="M89" s="89">
        <f t="shared" si="125"/>
        <v>1.3266734893088235E-3</v>
      </c>
      <c r="N89" s="89">
        <f t="shared" si="125"/>
        <v>1.0792805059225846E-3</v>
      </c>
      <c r="O89" s="89">
        <f t="shared" si="125"/>
        <v>8.4913456508389003E-4</v>
      </c>
      <c r="P89" s="89">
        <f t="shared" si="125"/>
        <v>8.5779865948056434E-4</v>
      </c>
      <c r="Q89" s="89">
        <f t="shared" si="125"/>
        <v>1.0136313906383987E-3</v>
      </c>
      <c r="R89" s="89">
        <f t="shared" si="125"/>
        <v>1.0178978127282886E-3</v>
      </c>
      <c r="S89" s="89">
        <f t="shared" si="125"/>
        <v>8.4307264835938522E-4</v>
      </c>
      <c r="T89" s="89">
        <f t="shared" ref="T89:Y89" si="126">T61/T$23</f>
        <v>8.9432251082503691E-4</v>
      </c>
      <c r="U89" s="89">
        <f t="shared" si="126"/>
        <v>9.6716959718240784E-4</v>
      </c>
      <c r="V89" s="89">
        <f t="shared" si="126"/>
        <v>1.0188270349086326E-3</v>
      </c>
      <c r="W89" s="89">
        <f t="shared" si="126"/>
        <v>1.0330876640762712E-3</v>
      </c>
      <c r="X89" s="89">
        <f t="shared" si="126"/>
        <v>9.3039413915818982E-4</v>
      </c>
      <c r="Y89" s="89">
        <f t="shared" si="126"/>
        <v>1.1496689644272214E-3</v>
      </c>
      <c r="Z89" s="89">
        <f t="shared" ref="Z89:AA89" si="127">Z61/Z$23</f>
        <v>1.1087012118647531E-3</v>
      </c>
      <c r="AA89" s="89">
        <f t="shared" si="127"/>
        <v>1.2462097457928403E-3</v>
      </c>
    </row>
    <row r="90" spans="1:27" x14ac:dyDescent="0.25">
      <c r="A90" s="90" t="s">
        <v>272</v>
      </c>
      <c r="B90" s="47"/>
      <c r="C90" s="47"/>
      <c r="D90" s="91">
        <f t="shared" si="109"/>
        <v>2.7031134656302924E-2</v>
      </c>
      <c r="E90" s="91">
        <f t="shared" ref="E90:S90" si="128">E62/E$23</f>
        <v>2.9521990776905132E-2</v>
      </c>
      <c r="F90" s="91">
        <f t="shared" si="128"/>
        <v>2.777588914519015E-2</v>
      </c>
      <c r="G90" s="91">
        <f t="shared" si="128"/>
        <v>2.8268762176624142E-2</v>
      </c>
      <c r="H90" s="91">
        <f t="shared" si="128"/>
        <v>2.7526901124360757E-2</v>
      </c>
      <c r="I90" s="91">
        <f t="shared" si="128"/>
        <v>2.5412194937624848E-2</v>
      </c>
      <c r="J90" s="91">
        <f t="shared" si="128"/>
        <v>2.6450056926486408E-2</v>
      </c>
      <c r="K90" s="91">
        <f t="shared" si="128"/>
        <v>2.4244584467906085E-2</v>
      </c>
      <c r="L90" s="91">
        <f t="shared" si="128"/>
        <v>2.534197866555114E-2</v>
      </c>
      <c r="M90" s="91">
        <f t="shared" si="128"/>
        <v>2.8143727118820978E-2</v>
      </c>
      <c r="N90" s="91">
        <f t="shared" si="128"/>
        <v>2.1730695879892622E-2</v>
      </c>
      <c r="O90" s="91">
        <f t="shared" si="128"/>
        <v>2.8849094130104599E-2</v>
      </c>
      <c r="P90" s="91">
        <f t="shared" si="128"/>
        <v>2.4406075072556762E-2</v>
      </c>
      <c r="Q90" s="91">
        <f t="shared" si="128"/>
        <v>2.6184097696561104E-2</v>
      </c>
      <c r="R90" s="91">
        <f t="shared" si="128"/>
        <v>2.8842765674014868E-2</v>
      </c>
      <c r="S90" s="91">
        <f t="shared" si="128"/>
        <v>2.9917887786912699E-2</v>
      </c>
      <c r="T90" s="91">
        <f t="shared" ref="T90:Y90" si="129">T62/T$23</f>
        <v>2.0155127416644977E-2</v>
      </c>
      <c r="U90" s="91">
        <f t="shared" si="129"/>
        <v>2.7143180512631277E-2</v>
      </c>
      <c r="V90" s="91">
        <f t="shared" si="129"/>
        <v>2.0317823252235547E-2</v>
      </c>
      <c r="W90" s="91">
        <f t="shared" si="129"/>
        <v>2.9470691238839428E-2</v>
      </c>
      <c r="X90" s="91">
        <f t="shared" si="129"/>
        <v>2.6287468090018209E-2</v>
      </c>
      <c r="Y90" s="91">
        <f t="shared" si="129"/>
        <v>2.7630148725852569E-2</v>
      </c>
      <c r="Z90" s="91">
        <f t="shared" ref="Z90:AA90" si="130">Z62/Z$23</f>
        <v>2.6835599731899543E-2</v>
      </c>
      <c r="AA90" s="91">
        <f t="shared" si="130"/>
        <v>2.4838470426753731E-2</v>
      </c>
    </row>
    <row r="91" spans="1:27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</row>
    <row r="92" spans="1:27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</row>
    <row r="93" spans="1:27" x14ac:dyDescent="0.25">
      <c r="A93" s="40" t="s">
        <v>139</v>
      </c>
      <c r="B93" s="41"/>
      <c r="C93" s="41"/>
      <c r="D93" s="41"/>
      <c r="E93" s="92">
        <f t="shared" ref="E93:E94" si="131">IF(D16=0,"",E16/D16-1)</f>
        <v>5.3060191410600144E-2</v>
      </c>
      <c r="F93" s="92">
        <f t="shared" ref="F93:F94" si="132">IF(E16=0,"",F16/E16-1)</f>
        <v>5.8994985546790391E-2</v>
      </c>
      <c r="G93" s="92">
        <f t="shared" ref="G93:G94" si="133">IF(F16=0,"",G16/F16-1)</f>
        <v>3.014103440997884E-2</v>
      </c>
      <c r="H93" s="92">
        <f t="shared" ref="H93:H94" si="134">IF(G16=0,"",H16/G16-1)</f>
        <v>6.7881245590173833E-2</v>
      </c>
      <c r="I93" s="92">
        <f t="shared" ref="I93:I94" si="135">IF(H16=0,"",I16/H16-1)</f>
        <v>5.740180235021608E-2</v>
      </c>
      <c r="J93" s="92">
        <f t="shared" ref="J93:J94" si="136">IF(I16=0,"",J16/I16-1)</f>
        <v>4.9869296795604701E-2</v>
      </c>
      <c r="K93" s="92">
        <f t="shared" ref="K93:K94" si="137">IF(J16=0,"",K16/J16-1)</f>
        <v>5.3110841274958132E-2</v>
      </c>
      <c r="L93" s="92">
        <f t="shared" ref="L93:L94" si="138">IF(K16=0,"",L16/K16-1)</f>
        <v>-4.4845807783545188E-2</v>
      </c>
      <c r="M93" s="92">
        <f t="shared" ref="M93:M94" si="139">IF(L16=0,"",M16/L16-1)</f>
        <v>-5.0952822441550527E-2</v>
      </c>
      <c r="N93" s="92">
        <f t="shared" ref="N93:N94" si="140">IF(M16=0,"",N16/M16-1)</f>
        <v>1.6821708866540108E-2</v>
      </c>
      <c r="O93" s="92">
        <f t="shared" ref="O93:O94" si="141">IF(N16=0,"",O16/N16-1)</f>
        <v>1.6095184272578722E-2</v>
      </c>
      <c r="P93" s="92">
        <f t="shared" ref="P93:P94" si="142">IF(O16=0,"",P16/O16-1)</f>
        <v>-4.058562382716624E-3</v>
      </c>
      <c r="Q93" s="92">
        <f t="shared" ref="Q93:Q94" si="143">IF(P16=0,"",Q16/P16-1)</f>
        <v>2.1933205324415672E-2</v>
      </c>
      <c r="R93" s="92">
        <f t="shared" ref="R93:R94" si="144">IF(Q16=0,"",R16/Q16-1)</f>
        <v>9.3863776580776381E-2</v>
      </c>
      <c r="S93" s="92">
        <f t="shared" ref="S93:S94" si="145">IF(R16=0,"",S16/R16-1)</f>
        <v>0.24623495486674885</v>
      </c>
      <c r="T93" s="92">
        <f t="shared" ref="T93:T94" si="146">IF(S16=0,"",T16/S16-1)</f>
        <v>1.2231721012871288E-2</v>
      </c>
      <c r="U93" s="92">
        <f t="shared" ref="U93:U94" si="147">IF(T16=0,"",U16/T16-1)</f>
        <v>0.10108583918694758</v>
      </c>
      <c r="V93" s="92">
        <f t="shared" ref="V93:V94" si="148">IF(U16=0,"",V16/U16-1)</f>
        <v>7.6882115354883318E-2</v>
      </c>
      <c r="W93" s="92">
        <f t="shared" ref="W93:W94" si="149">IF(V16=0,"",W16/V16-1)</f>
        <v>4.9734572817032419E-2</v>
      </c>
      <c r="X93" s="92">
        <f t="shared" ref="X93:X94" si="150">IF(W16=0,"",X16/W16-1)</f>
        <v>7.1529795654511119E-2</v>
      </c>
      <c r="Y93" s="92">
        <f t="shared" ref="Y93:Y94" si="151">IF(X16=0,"",Y16/X16-1)</f>
        <v>0.16258251996989537</v>
      </c>
      <c r="Z93" s="92">
        <f t="shared" ref="Z93:Z94" si="152">IF(Y16=0,"",Z16/Y16-1)</f>
        <v>7.5110683520824839E-2</v>
      </c>
      <c r="AA93" s="92">
        <f t="shared" ref="AA93:AA94" si="153">IF(Z16=0,"",AA16/Z16-1)</f>
        <v>-2.5356341009140193E-2</v>
      </c>
    </row>
    <row r="94" spans="1:27" x14ac:dyDescent="0.25">
      <c r="A94" s="46" t="s">
        <v>141</v>
      </c>
      <c r="B94" s="47"/>
      <c r="C94" s="47"/>
      <c r="D94" s="47"/>
      <c r="E94" s="93">
        <f t="shared" si="131"/>
        <v>4.7339754387202282E-2</v>
      </c>
      <c r="F94" s="93">
        <f t="shared" si="132"/>
        <v>3.636654058666533E-2</v>
      </c>
      <c r="G94" s="93">
        <f t="shared" si="133"/>
        <v>2.7915058426006611E-2</v>
      </c>
      <c r="H94" s="93">
        <f t="shared" si="134"/>
        <v>3.8175408446222914E-2</v>
      </c>
      <c r="I94" s="93">
        <f t="shared" si="135"/>
        <v>7.0231335322049615E-2</v>
      </c>
      <c r="J94" s="93">
        <f t="shared" si="136"/>
        <v>6.3876906097122044E-2</v>
      </c>
      <c r="K94" s="93">
        <f t="shared" si="137"/>
        <v>6.6747186989674967E-2</v>
      </c>
      <c r="L94" s="93">
        <f t="shared" si="138"/>
        <v>1.9058936143410143E-3</v>
      </c>
      <c r="M94" s="93">
        <f t="shared" si="139"/>
        <v>-5.3241954974363459E-2</v>
      </c>
      <c r="N94" s="93">
        <f t="shared" si="140"/>
        <v>3.0200412955532219E-3</v>
      </c>
      <c r="O94" s="93">
        <f t="shared" si="141"/>
        <v>-1.523660485141598E-2</v>
      </c>
      <c r="P94" s="93">
        <f t="shared" si="142"/>
        <v>-1.0586862094342675E-2</v>
      </c>
      <c r="Q94" s="93">
        <f t="shared" si="143"/>
        <v>-5.9287447949285532E-4</v>
      </c>
      <c r="R94" s="93">
        <f t="shared" si="144"/>
        <v>2.4952295669496527E-2</v>
      </c>
      <c r="S94" s="93">
        <f t="shared" si="145"/>
        <v>3.1855561802072163E-2</v>
      </c>
      <c r="T94" s="93">
        <f t="shared" si="146"/>
        <v>4.2842160440972998E-2</v>
      </c>
      <c r="U94" s="93">
        <f t="shared" si="147"/>
        <v>3.4092820542852342E-2</v>
      </c>
      <c r="V94" s="93">
        <f t="shared" si="148"/>
        <v>5.4768821168106774E-2</v>
      </c>
      <c r="W94" s="93">
        <f t="shared" si="149"/>
        <v>2.7540533865446193E-2</v>
      </c>
      <c r="X94" s="93">
        <f t="shared" si="150"/>
        <v>-0.10188929187759532</v>
      </c>
      <c r="Y94" s="93">
        <f t="shared" si="151"/>
        <v>8.9719397220245467E-2</v>
      </c>
      <c r="Z94" s="93">
        <f t="shared" si="152"/>
        <v>0.10805581122962238</v>
      </c>
      <c r="AA94" s="93">
        <f t="shared" si="153"/>
        <v>4.3786809970404406E-2</v>
      </c>
    </row>
    <row r="95" spans="1:27" x14ac:dyDescent="0.25">
      <c r="A95" s="40" t="s">
        <v>242</v>
      </c>
      <c r="B95" s="41"/>
      <c r="C95" s="41"/>
      <c r="D95" s="41"/>
      <c r="E95" s="92">
        <f t="shared" ref="E95:E96" si="154">IF(D20=0,"",E20/D20-1)</f>
        <v>3.7889001794775057E-2</v>
      </c>
      <c r="F95" s="92">
        <f t="shared" ref="F95:F96" si="155">IF(E20=0,"",F20/E20-1)</f>
        <v>4.0822600724102376E-2</v>
      </c>
      <c r="G95" s="92">
        <f t="shared" ref="G95:G96" si="156">IF(F20=0,"",G20/F20-1)</f>
        <v>1.3382819387527833E-2</v>
      </c>
      <c r="H95" s="92">
        <f t="shared" ref="H95:H96" si="157">IF(G20=0,"",H20/G20-1)</f>
        <v>5.0742562293158988E-2</v>
      </c>
      <c r="I95" s="92">
        <f t="shared" ref="I95:I96" si="158">IF(H20=0,"",I20/H20-1)</f>
        <v>3.6102663053003692E-2</v>
      </c>
      <c r="J95" s="92">
        <f t="shared" ref="J95:J96" si="159">IF(I20=0,"",J20/I20-1)</f>
        <v>2.579804344092218E-2</v>
      </c>
      <c r="K95" s="92">
        <f t="shared" ref="K95:K96" si="160">IF(J20=0,"",K20/J20-1)</f>
        <v>2.1090833331320225E-2</v>
      </c>
      <c r="L95" s="92">
        <f t="shared" ref="L95:L96" si="161">IF(K20=0,"",L20/K20-1)</f>
        <v>-7.0053737149873174E-2</v>
      </c>
      <c r="M95" s="92">
        <f t="shared" ref="M95:M96" si="162">IF(L20=0,"",M20/L20-1)</f>
        <v>-6.4293741638210777E-2</v>
      </c>
      <c r="N95" s="92">
        <f t="shared" ref="N95:N96" si="163">IF(M20=0,"",N20/M20-1)</f>
        <v>1.0539866193262526E-2</v>
      </c>
      <c r="O95" s="92">
        <f t="shared" ref="O95:O96" si="164">IF(N20=0,"",O20/N20-1)</f>
        <v>1.1326237107207371E-2</v>
      </c>
      <c r="P95" s="92">
        <f t="shared" ref="P95:P96" si="165">IF(O20=0,"",P20/O20-1)</f>
        <v>-8.0529297214304574E-3</v>
      </c>
      <c r="Q95" s="92">
        <f t="shared" ref="Q95:Q96" si="166">IF(P20=0,"",Q20/P20-1)</f>
        <v>1.7390372524078046E-2</v>
      </c>
      <c r="R95" s="92">
        <f t="shared" ref="R95:R96" si="167">IF(Q20=0,"",R20/Q20-1)</f>
        <v>8.7242599837759949E-2</v>
      </c>
      <c r="S95" s="92">
        <f t="shared" ref="S95:S96" si="168">IF(R20=0,"",S20/R20-1)</f>
        <v>0.23563791595581707</v>
      </c>
      <c r="T95" s="92">
        <f t="shared" ref="T95:T96" si="169">IF(S20=0,"",T20/S20-1)</f>
        <v>1.8103915984504226E-3</v>
      </c>
      <c r="U95" s="92">
        <f t="shared" ref="U95:U96" si="170">IF(T20=0,"",U20/T20-1)</f>
        <v>8.4366814119129829E-2</v>
      </c>
      <c r="V95" s="92">
        <f t="shared" ref="V95:V96" si="171">IF(U20=0,"",V20/U20-1)</f>
        <v>6.43349504761066E-2</v>
      </c>
      <c r="W95" s="92">
        <f t="shared" ref="W95:W96" si="172">IF(V20=0,"",W20/V20-1)</f>
        <v>3.176314334635344E-2</v>
      </c>
      <c r="X95" s="92">
        <f t="shared" ref="X95:X96" si="173">IF(W20=0,"",X20/W20-1)</f>
        <v>5.6076773789995871E-2</v>
      </c>
      <c r="Y95" s="92">
        <f t="shared" ref="Y95:Y96" si="174">IF(X20=0,"",Y20/X20-1)</f>
        <v>0.15012516340903526</v>
      </c>
      <c r="Z95" s="92">
        <f t="shared" ref="Z95:Z96" si="175">IF(Y20=0,"",Z20/Y20-1)</f>
        <v>5.6883593287066825E-2</v>
      </c>
      <c r="AA95" s="92">
        <f t="shared" ref="AA95:AA96" si="176">IF(Z20=0,"",AA20/Z20-1)</f>
        <v>-4.7010631012771364E-2</v>
      </c>
    </row>
    <row r="96" spans="1:27" x14ac:dyDescent="0.25">
      <c r="A96" s="46" t="s">
        <v>243</v>
      </c>
      <c r="B96" s="47"/>
      <c r="C96" s="47"/>
      <c r="D96" s="47"/>
      <c r="E96" s="93">
        <f t="shared" si="154"/>
        <v>3.2250977757334987E-2</v>
      </c>
      <c r="F96" s="93">
        <f t="shared" si="155"/>
        <v>1.8582460539133816E-2</v>
      </c>
      <c r="G96" s="93">
        <f t="shared" si="156"/>
        <v>1.1193055323019063E-2</v>
      </c>
      <c r="H96" s="93">
        <f t="shared" si="157"/>
        <v>2.1513481283830238E-2</v>
      </c>
      <c r="I96" s="93">
        <f t="shared" si="158"/>
        <v>4.8673772018676287E-2</v>
      </c>
      <c r="J96" s="93">
        <f t="shared" si="159"/>
        <v>3.9484488276139595E-2</v>
      </c>
      <c r="K96" s="93">
        <f t="shared" si="160"/>
        <v>3.4312563716867306E-2</v>
      </c>
      <c r="L96" s="93">
        <f t="shared" si="161"/>
        <v>-2.4535882178247204E-2</v>
      </c>
      <c r="M96" s="93">
        <f t="shared" si="162"/>
        <v>-6.6550695441796148E-2</v>
      </c>
      <c r="N96" s="93">
        <f t="shared" si="163"/>
        <v>-3.1765357863684507E-3</v>
      </c>
      <c r="O96" s="93">
        <f t="shared" si="164"/>
        <v>-1.9858499211851788E-2</v>
      </c>
      <c r="P96" s="93">
        <f t="shared" si="165"/>
        <v>-1.4555046741825395E-2</v>
      </c>
      <c r="Q96" s="93">
        <f t="shared" si="166"/>
        <v>-5.0355713671669244E-3</v>
      </c>
      <c r="R96" s="93">
        <f t="shared" si="167"/>
        <v>1.8748241336514537E-2</v>
      </c>
      <c r="S96" s="93">
        <f t="shared" si="168"/>
        <v>2.3081443008359459E-2</v>
      </c>
      <c r="T96" s="93">
        <f t="shared" si="169"/>
        <v>3.2105684340098639E-2</v>
      </c>
      <c r="U96" s="93">
        <f t="shared" si="170"/>
        <v>1.8391025847288356E-2</v>
      </c>
      <c r="V96" s="93">
        <f t="shared" si="171"/>
        <v>4.2479306726845856E-2</v>
      </c>
      <c r="W96" s="93">
        <f t="shared" si="172"/>
        <v>9.9490657831187157E-3</v>
      </c>
      <c r="X96" s="93">
        <f t="shared" si="173"/>
        <v>-0.11484135766769621</v>
      </c>
      <c r="Y96" s="93">
        <f t="shared" si="174"/>
        <v>7.8042786872784209E-2</v>
      </c>
      <c r="Z96" s="93">
        <f t="shared" si="175"/>
        <v>8.9270179605926092E-2</v>
      </c>
      <c r="AA96" s="93">
        <f t="shared" si="176"/>
        <v>2.0596321758059588E-2</v>
      </c>
    </row>
    <row r="97" spans="1:27" x14ac:dyDescent="0.25">
      <c r="A97" s="94" t="s">
        <v>142</v>
      </c>
      <c r="B97" s="44"/>
      <c r="C97" s="44"/>
      <c r="D97" s="89"/>
      <c r="E97" s="89">
        <f t="shared" ref="E97:E106" si="177">IF(D23=0,"",E23/D23-1)</f>
        <v>3.8090236849329662E-2</v>
      </c>
      <c r="F97" s="89">
        <f t="shared" ref="F97:F106" si="178">IF(E23=0,"",F23/E23-1)</f>
        <v>6.0935764019082628E-2</v>
      </c>
      <c r="G97" s="89">
        <f t="shared" ref="G97:G106" si="179">IF(F23=0,"",G23/F23-1)</f>
        <v>1.2965576763331432E-2</v>
      </c>
      <c r="H97" s="89">
        <f t="shared" ref="H97:H106" si="180">IF(G23=0,"",H23/G23-1)</f>
        <v>5.1986473471105965E-2</v>
      </c>
      <c r="I97" s="89">
        <f t="shared" ref="I97:I106" si="181">IF(H23=0,"",I23/H23-1)</f>
        <v>6.0923168513740134E-2</v>
      </c>
      <c r="J97" s="89">
        <f t="shared" ref="J97:J106" si="182">IF(I23=0,"",J23/I23-1)</f>
        <v>4.5905474930478807E-2</v>
      </c>
      <c r="K97" s="89">
        <f t="shared" ref="K97:K106" si="183">IF(J23=0,"",K23/J23-1)</f>
        <v>7.8189715578741437E-2</v>
      </c>
      <c r="L97" s="89">
        <f t="shared" ref="L97:L106" si="184">IF(K23=0,"",L23/K23-1)</f>
        <v>-2.2443735815911969E-2</v>
      </c>
      <c r="M97" s="89">
        <f t="shared" ref="M97:M106" si="185">IF(L23=0,"",M23/L23-1)</f>
        <v>-6.3747487810024595E-2</v>
      </c>
      <c r="N97" s="89">
        <f t="shared" ref="N97:N106" si="186">IF(M23=0,"",N23/M23-1)</f>
        <v>1.7987779764782497E-2</v>
      </c>
      <c r="O97" s="89">
        <f t="shared" ref="O97:O106" si="187">IF(N23=0,"",O23/N23-1)</f>
        <v>2.404411607577206E-2</v>
      </c>
      <c r="P97" s="89">
        <f t="shared" ref="P97:P106" si="188">IF(O23=0,"",P23/O23-1)</f>
        <v>-2.7894887457174833E-2</v>
      </c>
      <c r="Q97" s="89">
        <f t="shared" ref="Q97:Q106" si="189">IF(P23=0,"",Q23/P23-1)</f>
        <v>2.181777668753182E-2</v>
      </c>
      <c r="R97" s="89">
        <f t="shared" ref="R97:R106" si="190">IF(Q23=0,"",R23/Q23-1)</f>
        <v>8.6324563597221848E-2</v>
      </c>
      <c r="S97" s="89">
        <f t="shared" ref="S97:S106" si="191">IF(R23=0,"",S23/R23-1)</f>
        <v>0.22500341962098758</v>
      </c>
      <c r="T97" s="89">
        <f t="shared" ref="T97:T106" si="192">IF(S23=0,"",T23/S23-1)</f>
        <v>9.8173483400103567E-3</v>
      </c>
      <c r="U97" s="89">
        <f t="shared" ref="U97:U106" si="193">IF(T23=0,"",U23/T23-1)</f>
        <v>7.7201654025986777E-2</v>
      </c>
      <c r="V97" s="89">
        <f t="shared" ref="V97:V106" si="194">IF(U23=0,"",V23/U23-1)</f>
        <v>9.3467526579911642E-2</v>
      </c>
      <c r="W97" s="89">
        <f t="shared" ref="W97:W106" si="195">IF(V23=0,"",W23/V23-1)</f>
        <v>5.2757567376265024E-2</v>
      </c>
      <c r="X97" s="89">
        <f t="shared" ref="X97:X106" si="196">IF(W23=0,"",X23/W23-1)</f>
        <v>7.6945453232819094E-2</v>
      </c>
      <c r="Y97" s="89">
        <f t="shared" ref="Y97:Y106" si="197">IF(X23=0,"",Y23/X23-1)</f>
        <v>0.16478313528499577</v>
      </c>
      <c r="Z97" s="89">
        <f t="shared" ref="Z97:Z108" si="198">IF(Y23=0,"",Z23/Y23-1)</f>
        <v>8.7828978550041903E-2</v>
      </c>
      <c r="AA97" s="89">
        <f t="shared" ref="AA97:AA108" si="199">IF(Z23=0,"",AA23/Z23-1)</f>
        <v>-2.0784731282906255E-2</v>
      </c>
    </row>
    <row r="98" spans="1:27" x14ac:dyDescent="0.25">
      <c r="A98" s="64" t="s">
        <v>33</v>
      </c>
      <c r="B98" s="65"/>
      <c r="C98" s="65"/>
      <c r="D98" s="83"/>
      <c r="E98" s="83">
        <f t="shared" si="177"/>
        <v>-0.17349005340895407</v>
      </c>
      <c r="F98" s="83">
        <f t="shared" si="178"/>
        <v>-7.2001876672897702E-2</v>
      </c>
      <c r="G98" s="83">
        <f t="shared" si="179"/>
        <v>-0.13533585608957932</v>
      </c>
      <c r="H98" s="83">
        <f t="shared" si="180"/>
        <v>0.12722960217187351</v>
      </c>
      <c r="I98" s="83">
        <f t="shared" si="181"/>
        <v>-0.30219239720068292</v>
      </c>
      <c r="J98" s="83">
        <f t="shared" si="182"/>
        <v>-6.912332236072749E-2</v>
      </c>
      <c r="K98" s="83">
        <f t="shared" si="183"/>
        <v>0.20848429697462034</v>
      </c>
      <c r="L98" s="83">
        <f t="shared" si="184"/>
        <v>-0.20805027445802537</v>
      </c>
      <c r="M98" s="83">
        <f t="shared" si="185"/>
        <v>-0.3890104707745744</v>
      </c>
      <c r="N98" s="83">
        <f t="shared" si="186"/>
        <v>0.72010442191359814</v>
      </c>
      <c r="O98" s="83">
        <f t="shared" si="187"/>
        <v>0.28635040051098493</v>
      </c>
      <c r="P98" s="83">
        <f t="shared" si="188"/>
        <v>-0.20412098544028923</v>
      </c>
      <c r="Q98" s="83">
        <f t="shared" si="189"/>
        <v>9.6154987619868626E-2</v>
      </c>
      <c r="R98" s="83">
        <f t="shared" si="190"/>
        <v>0.23111944425270647</v>
      </c>
      <c r="S98" s="83">
        <f t="shared" si="191"/>
        <v>-0.13257158114582901</v>
      </c>
      <c r="T98" s="83">
        <f t="shared" si="192"/>
        <v>8.061187548397708E-2</v>
      </c>
      <c r="U98" s="83">
        <f t="shared" si="193"/>
        <v>0.30530751373171872</v>
      </c>
      <c r="V98" s="83">
        <f t="shared" si="194"/>
        <v>-0.10363773799511544</v>
      </c>
      <c r="W98" s="83">
        <f t="shared" si="195"/>
        <v>7.8541054832187873E-2</v>
      </c>
      <c r="X98" s="83">
        <f t="shared" si="196"/>
        <v>0.14336913237026283</v>
      </c>
      <c r="Y98" s="83">
        <f t="shared" si="197"/>
        <v>0.18902947682308158</v>
      </c>
      <c r="Z98" s="83">
        <f t="shared" si="198"/>
        <v>0.21946789109061271</v>
      </c>
      <c r="AA98" s="83">
        <f t="shared" si="199"/>
        <v>-0.29072376480563877</v>
      </c>
    </row>
    <row r="99" spans="1:27" x14ac:dyDescent="0.25">
      <c r="A99" s="64" t="s">
        <v>56</v>
      </c>
      <c r="B99" s="65"/>
      <c r="C99" s="65"/>
      <c r="D99" s="83"/>
      <c r="E99" s="83">
        <f t="shared" si="177"/>
        <v>0.17312427148161413</v>
      </c>
      <c r="F99" s="83">
        <f t="shared" si="178"/>
        <v>-0.13039138011940243</v>
      </c>
      <c r="G99" s="83">
        <f t="shared" si="179"/>
        <v>6.2253316965025007E-2</v>
      </c>
      <c r="H99" s="83">
        <f t="shared" si="180"/>
        <v>-0.27392772452229186</v>
      </c>
      <c r="I99" s="83">
        <f t="shared" si="181"/>
        <v>0.23001343774265992</v>
      </c>
      <c r="J99" s="83">
        <f t="shared" si="182"/>
        <v>0.55960298248585172</v>
      </c>
      <c r="K99" s="83">
        <f t="shared" si="183"/>
        <v>0.29728391198838833</v>
      </c>
      <c r="L99" s="83">
        <f t="shared" si="184"/>
        <v>-0.22687063603104773</v>
      </c>
      <c r="M99" s="83">
        <f t="shared" si="185"/>
        <v>3.1926713339643475E-2</v>
      </c>
      <c r="N99" s="83">
        <f t="shared" si="186"/>
        <v>-0.23688086728595448</v>
      </c>
      <c r="O99" s="83">
        <f t="shared" si="187"/>
        <v>4.1772538767977485E-2</v>
      </c>
      <c r="P99" s="83">
        <f t="shared" si="188"/>
        <v>0.16369718625310559</v>
      </c>
      <c r="Q99" s="83">
        <f t="shared" si="189"/>
        <v>-0.17297814641138254</v>
      </c>
      <c r="R99" s="83">
        <f t="shared" si="190"/>
        <v>0.1929381464911244</v>
      </c>
      <c r="S99" s="83">
        <f t="shared" si="191"/>
        <v>-0.59895550897490279</v>
      </c>
      <c r="T99" s="83">
        <f t="shared" si="192"/>
        <v>0.35066576310514419</v>
      </c>
      <c r="U99" s="83">
        <f t="shared" si="193"/>
        <v>7.0547518292229272E-2</v>
      </c>
      <c r="V99" s="83">
        <f t="shared" si="194"/>
        <v>5.6771053927548998E-3</v>
      </c>
      <c r="W99" s="83">
        <f t="shared" si="195"/>
        <v>-0.22311531189698453</v>
      </c>
      <c r="X99" s="83">
        <f t="shared" si="196"/>
        <v>-0.32607427387308319</v>
      </c>
      <c r="Y99" s="83">
        <f t="shared" si="197"/>
        <v>0.52242162021509997</v>
      </c>
      <c r="Z99" s="83">
        <f t="shared" si="198"/>
        <v>0.18738086659373354</v>
      </c>
      <c r="AA99" s="83">
        <f t="shared" si="199"/>
        <v>0.15361035561873315</v>
      </c>
    </row>
    <row r="100" spans="1:27" x14ac:dyDescent="0.25">
      <c r="A100" s="64" t="s">
        <v>146</v>
      </c>
      <c r="B100" s="65"/>
      <c r="C100" s="65"/>
      <c r="D100" s="83"/>
      <c r="E100" s="83">
        <f t="shared" si="177"/>
        <v>-2.6397267007038927E-4</v>
      </c>
      <c r="F100" s="83">
        <f t="shared" si="178"/>
        <v>4.1132395410432787E-2</v>
      </c>
      <c r="G100" s="83">
        <f t="shared" si="179"/>
        <v>7.1855560951181285E-2</v>
      </c>
      <c r="H100" s="83">
        <f t="shared" si="180"/>
        <v>7.4514443236362693E-2</v>
      </c>
      <c r="I100" s="83">
        <f t="shared" si="181"/>
        <v>8.3376441631126452E-2</v>
      </c>
      <c r="J100" s="83">
        <f t="shared" si="182"/>
        <v>4.9087826253444211E-2</v>
      </c>
      <c r="K100" s="83">
        <f t="shared" si="183"/>
        <v>0.11101693608364127</v>
      </c>
      <c r="L100" s="83">
        <f t="shared" si="184"/>
        <v>2.6446442340153364E-2</v>
      </c>
      <c r="M100" s="83">
        <f t="shared" si="185"/>
        <v>-5.2493255867315236E-2</v>
      </c>
      <c r="N100" s="83">
        <f t="shared" si="186"/>
        <v>5.0079437765669033E-2</v>
      </c>
      <c r="O100" s="83">
        <f t="shared" si="187"/>
        <v>6.2846533467753041E-3</v>
      </c>
      <c r="P100" s="83">
        <f t="shared" si="188"/>
        <v>-2.0641591510740964E-2</v>
      </c>
      <c r="Q100" s="83">
        <f t="shared" si="189"/>
        <v>2.8379439137335316E-2</v>
      </c>
      <c r="R100" s="83">
        <f t="shared" si="190"/>
        <v>7.6084693084710331E-2</v>
      </c>
      <c r="S100" s="83">
        <f t="shared" si="191"/>
        <v>-1.8602708974788329E-2</v>
      </c>
      <c r="T100" s="83">
        <f t="shared" si="192"/>
        <v>4.1915517189028861E-2</v>
      </c>
      <c r="U100" s="83">
        <f t="shared" si="193"/>
        <v>7.6906083719341156E-2</v>
      </c>
      <c r="V100" s="83">
        <f t="shared" si="194"/>
        <v>9.3671267926769941E-2</v>
      </c>
      <c r="W100" s="83">
        <f t="shared" si="195"/>
        <v>7.2072839604815808E-2</v>
      </c>
      <c r="X100" s="83">
        <f t="shared" si="196"/>
        <v>4.8198762008339502E-2</v>
      </c>
      <c r="Y100" s="83">
        <f t="shared" si="197"/>
        <v>0.15005159516732558</v>
      </c>
      <c r="Z100" s="83">
        <f t="shared" si="198"/>
        <v>4.2164467566073061E-2</v>
      </c>
      <c r="AA100" s="83">
        <f t="shared" si="199"/>
        <v>0.10786210183703049</v>
      </c>
    </row>
    <row r="101" spans="1:27" x14ac:dyDescent="0.25">
      <c r="A101" s="68" t="s">
        <v>148</v>
      </c>
      <c r="B101" s="69"/>
      <c r="C101" s="69"/>
      <c r="D101" s="84"/>
      <c r="E101" s="84">
        <f t="shared" si="177"/>
        <v>3.7879048165371243E-2</v>
      </c>
      <c r="F101" s="84">
        <f t="shared" si="178"/>
        <v>5.4307307133111271E-2</v>
      </c>
      <c r="G101" s="84">
        <f t="shared" si="179"/>
        <v>6.4574054101114386E-2</v>
      </c>
      <c r="H101" s="84">
        <f t="shared" si="180"/>
        <v>6.9644139192688082E-2</v>
      </c>
      <c r="I101" s="84">
        <f t="shared" si="181"/>
        <v>5.3069792188972453E-2</v>
      </c>
      <c r="J101" s="84">
        <f t="shared" si="182"/>
        <v>5.9131094824182551E-2</v>
      </c>
      <c r="K101" s="84">
        <f t="shared" si="183"/>
        <v>0.10477828181735194</v>
      </c>
      <c r="L101" s="84">
        <f t="shared" si="184"/>
        <v>5.5382413433395339E-2</v>
      </c>
      <c r="M101" s="84">
        <f t="shared" si="185"/>
        <v>2.1742852719157657E-2</v>
      </c>
      <c r="N101" s="84">
        <f t="shared" si="186"/>
        <v>-4.0912493921676729E-2</v>
      </c>
      <c r="O101" s="84">
        <f t="shared" si="187"/>
        <v>-1.5777034217057229E-2</v>
      </c>
      <c r="P101" s="84">
        <f t="shared" si="188"/>
        <v>-4.4077628875855424E-2</v>
      </c>
      <c r="Q101" s="84">
        <f t="shared" si="189"/>
        <v>-1.7961979353198321E-2</v>
      </c>
      <c r="R101" s="84">
        <f t="shared" si="190"/>
        <v>1.6320116899117387E-2</v>
      </c>
      <c r="S101" s="84">
        <f t="shared" si="191"/>
        <v>-6.9141879859072608E-2</v>
      </c>
      <c r="T101" s="84">
        <f t="shared" si="192"/>
        <v>3.3418932430007375E-2</v>
      </c>
      <c r="U101" s="84">
        <f t="shared" si="193"/>
        <v>2.9174642410952467E-2</v>
      </c>
      <c r="V101" s="84">
        <f t="shared" si="194"/>
        <v>2.7733099341243461E-2</v>
      </c>
      <c r="W101" s="84">
        <f t="shared" si="195"/>
        <v>3.2348834632676127E-2</v>
      </c>
      <c r="X101" s="84">
        <f t="shared" si="196"/>
        <v>-9.4022789651591721E-2</v>
      </c>
      <c r="Y101" s="84">
        <f t="shared" si="197"/>
        <v>0.11614558611514902</v>
      </c>
      <c r="Z101" s="84">
        <f t="shared" si="198"/>
        <v>0.12373004917664709</v>
      </c>
      <c r="AA101" s="84">
        <f t="shared" si="199"/>
        <v>8.7920384995834766E-2</v>
      </c>
    </row>
    <row r="102" spans="1:27" x14ac:dyDescent="0.25">
      <c r="A102" s="68" t="s">
        <v>150</v>
      </c>
      <c r="B102" s="71"/>
      <c r="C102" s="71"/>
      <c r="D102" s="84"/>
      <c r="E102" s="84">
        <f t="shared" si="177"/>
        <v>2.0157375935587751E-2</v>
      </c>
      <c r="F102" s="84">
        <f t="shared" si="178"/>
        <v>2.2521990222371224E-2</v>
      </c>
      <c r="G102" s="84">
        <f t="shared" si="179"/>
        <v>7.9844653074563121E-2</v>
      </c>
      <c r="H102" s="84">
        <f t="shared" si="180"/>
        <v>8.9650930457573219E-2</v>
      </c>
      <c r="I102" s="84">
        <f t="shared" si="181"/>
        <v>0.10087169281689179</v>
      </c>
      <c r="J102" s="84">
        <f t="shared" si="182"/>
        <v>3.5508732309915914E-2</v>
      </c>
      <c r="K102" s="84">
        <f t="shared" si="183"/>
        <v>0.11766133227020892</v>
      </c>
      <c r="L102" s="84">
        <f t="shared" si="184"/>
        <v>1.9358620242701408E-2</v>
      </c>
      <c r="M102" s="84">
        <f t="shared" si="185"/>
        <v>-8.3602474677258676E-2</v>
      </c>
      <c r="N102" s="84">
        <f t="shared" si="186"/>
        <v>0.11754603776555927</v>
      </c>
      <c r="O102" s="84">
        <f t="shared" si="187"/>
        <v>-1.18981616711622E-3</v>
      </c>
      <c r="P102" s="84">
        <f t="shared" si="188"/>
        <v>-9.5491999099485136E-3</v>
      </c>
      <c r="Q102" s="84">
        <f t="shared" si="189"/>
        <v>4.6751851479615469E-2</v>
      </c>
      <c r="R102" s="84">
        <f t="shared" si="190"/>
        <v>0.14084880391477617</v>
      </c>
      <c r="S102" s="84">
        <f t="shared" si="191"/>
        <v>2.9101889972984241E-2</v>
      </c>
      <c r="T102" s="84">
        <f t="shared" si="192"/>
        <v>3.7344113460048955E-2</v>
      </c>
      <c r="U102" s="84">
        <f t="shared" si="193"/>
        <v>0.11416970197968368</v>
      </c>
      <c r="V102" s="84">
        <f t="shared" si="194"/>
        <v>0.13442710564326621</v>
      </c>
      <c r="W102" s="84">
        <f t="shared" si="195"/>
        <v>0.1100666607525207</v>
      </c>
      <c r="X102" s="84">
        <f t="shared" si="196"/>
        <v>9.4842022711337126E-2</v>
      </c>
      <c r="Y102" s="84">
        <f t="shared" si="197"/>
        <v>0.17686239269031168</v>
      </c>
      <c r="Z102" s="84">
        <f t="shared" si="198"/>
        <v>2.054495010846269E-2</v>
      </c>
      <c r="AA102" s="84">
        <f t="shared" si="199"/>
        <v>0.12124319915620885</v>
      </c>
    </row>
    <row r="103" spans="1:27" x14ac:dyDescent="0.25">
      <c r="A103" s="68" t="s">
        <v>152</v>
      </c>
      <c r="B103" s="71"/>
      <c r="C103" s="71"/>
      <c r="D103" s="84"/>
      <c r="E103" s="84">
        <f t="shared" si="177"/>
        <v>-0.12157367361749372</v>
      </c>
      <c r="F103" s="84">
        <f t="shared" si="178"/>
        <v>6.7831543417473661E-2</v>
      </c>
      <c r="G103" s="84">
        <f t="shared" si="179"/>
        <v>6.4689976545508676E-2</v>
      </c>
      <c r="H103" s="84">
        <f t="shared" si="180"/>
        <v>4.139815568101346E-2</v>
      </c>
      <c r="I103" s="84">
        <f t="shared" si="181"/>
        <v>9.6845858123763229E-2</v>
      </c>
      <c r="J103" s="84">
        <f t="shared" si="182"/>
        <v>6.9015509712827772E-2</v>
      </c>
      <c r="K103" s="84">
        <f t="shared" si="183"/>
        <v>0.10454266941032264</v>
      </c>
      <c r="L103" s="84">
        <f t="shared" si="184"/>
        <v>-1.257615687342617E-2</v>
      </c>
      <c r="M103" s="84">
        <f t="shared" si="185"/>
        <v>-0.12203631992877972</v>
      </c>
      <c r="N103" s="84">
        <f t="shared" si="186"/>
        <v>6.9844233942260914E-2</v>
      </c>
      <c r="O103" s="84">
        <f t="shared" si="187"/>
        <v>8.2118911185981913E-2</v>
      </c>
      <c r="P103" s="84">
        <f t="shared" si="188"/>
        <v>-5.4327020668331061E-3</v>
      </c>
      <c r="Q103" s="84">
        <f t="shared" si="189"/>
        <v>6.5832480249555569E-2</v>
      </c>
      <c r="R103" s="84">
        <f t="shared" si="190"/>
        <v>-7.0979915823378148E-3</v>
      </c>
      <c r="S103" s="84">
        <f t="shared" si="191"/>
        <v>-8.6864130411273277E-2</v>
      </c>
      <c r="T103" s="84">
        <f t="shared" si="192"/>
        <v>7.6187018022755737E-2</v>
      </c>
      <c r="U103" s="84">
        <f t="shared" si="193"/>
        <v>2.6295104564233895E-2</v>
      </c>
      <c r="V103" s="84">
        <f t="shared" si="194"/>
        <v>5.1198395794136653E-2</v>
      </c>
      <c r="W103" s="84">
        <f t="shared" si="195"/>
        <v>-2.2083956816528305E-2</v>
      </c>
      <c r="X103" s="84">
        <f t="shared" si="196"/>
        <v>9.0282776132095233E-2</v>
      </c>
      <c r="Y103" s="84">
        <f t="shared" si="197"/>
        <v>7.0273449797777721E-2</v>
      </c>
      <c r="Z103" s="84">
        <f t="shared" si="198"/>
        <v>2.4692007756466294E-2</v>
      </c>
      <c r="AA103" s="84">
        <f t="shared" si="199"/>
        <v>7.1112456483632958E-2</v>
      </c>
    </row>
    <row r="104" spans="1:27" x14ac:dyDescent="0.25">
      <c r="A104" s="64" t="s">
        <v>154</v>
      </c>
      <c r="B104" s="65"/>
      <c r="C104" s="65"/>
      <c r="D104" s="83"/>
      <c r="E104" s="83">
        <f t="shared" si="177"/>
        <v>0.15356231730443137</v>
      </c>
      <c r="F104" s="83">
        <f t="shared" si="178"/>
        <v>-3.9357797695909857E-2</v>
      </c>
      <c r="G104" s="83">
        <f t="shared" si="179"/>
        <v>9.9981514324738008E-2</v>
      </c>
      <c r="H104" s="83">
        <f t="shared" si="180"/>
        <v>8.3325404684079007E-2</v>
      </c>
      <c r="I104" s="83">
        <f t="shared" si="181"/>
        <v>-8.6017800112749176E-2</v>
      </c>
      <c r="J104" s="83">
        <f t="shared" si="182"/>
        <v>7.0653724106060078E-2</v>
      </c>
      <c r="K104" s="83">
        <f t="shared" si="183"/>
        <v>0.2298387673451523</v>
      </c>
      <c r="L104" s="83">
        <f t="shared" si="184"/>
        <v>0.10493682074486599</v>
      </c>
      <c r="M104" s="83">
        <f t="shared" si="185"/>
        <v>9.8912026726697189E-2</v>
      </c>
      <c r="N104" s="83">
        <f t="shared" si="186"/>
        <v>-1.0270853891841014E-2</v>
      </c>
      <c r="O104" s="83">
        <f t="shared" si="187"/>
        <v>0.12386742849571619</v>
      </c>
      <c r="P104" s="83">
        <f t="shared" si="188"/>
        <v>3.3415124387202066E-2</v>
      </c>
      <c r="Q104" s="83">
        <f t="shared" si="189"/>
        <v>2.3942030167944717E-2</v>
      </c>
      <c r="R104" s="83">
        <f t="shared" si="190"/>
        <v>-7.5548107993333669E-2</v>
      </c>
      <c r="S104" s="83">
        <f t="shared" si="191"/>
        <v>-0.14383261265977654</v>
      </c>
      <c r="T104" s="83">
        <f t="shared" si="192"/>
        <v>-1.1083540929845981E-4</v>
      </c>
      <c r="U104" s="83">
        <f t="shared" si="193"/>
        <v>-7.0638052692881481E-2</v>
      </c>
      <c r="V104" s="83">
        <f t="shared" si="194"/>
        <v>8.2447794600649438E-2</v>
      </c>
      <c r="W104" s="83">
        <f t="shared" si="195"/>
        <v>-6.0578891617281916E-2</v>
      </c>
      <c r="X104" s="83">
        <f t="shared" si="196"/>
        <v>0.10344906528307152</v>
      </c>
      <c r="Y104" s="83">
        <f t="shared" si="197"/>
        <v>0.30038100477521557</v>
      </c>
      <c r="Z104" s="83">
        <f t="shared" si="198"/>
        <v>-0.11750107975094148</v>
      </c>
      <c r="AA104" s="83">
        <f t="shared" si="199"/>
        <v>0.19462111586056308</v>
      </c>
    </row>
    <row r="105" spans="1:27" x14ac:dyDescent="0.25">
      <c r="A105" s="64" t="s">
        <v>37</v>
      </c>
      <c r="B105" s="65"/>
      <c r="C105" s="65"/>
      <c r="D105" s="83"/>
      <c r="E105" s="83">
        <f t="shared" si="177"/>
        <v>7.5885870926974519E-2</v>
      </c>
      <c r="F105" s="83">
        <f t="shared" si="178"/>
        <v>2.7145206769027208E-2</v>
      </c>
      <c r="G105" s="83">
        <f t="shared" si="179"/>
        <v>8.4897002064832527E-2</v>
      </c>
      <c r="H105" s="83">
        <f t="shared" si="180"/>
        <v>0.18755691737179392</v>
      </c>
      <c r="I105" s="83">
        <f t="shared" si="181"/>
        <v>0.19343865973232521</v>
      </c>
      <c r="J105" s="83">
        <f t="shared" si="182"/>
        <v>0.14236669063668272</v>
      </c>
      <c r="K105" s="83">
        <f t="shared" si="183"/>
        <v>-7.3846002220343654E-2</v>
      </c>
      <c r="L105" s="83">
        <f t="shared" si="184"/>
        <v>-0.29646607375210954</v>
      </c>
      <c r="M105" s="83">
        <f t="shared" si="185"/>
        <v>-0.61181851944650867</v>
      </c>
      <c r="N105" s="83">
        <f t="shared" si="186"/>
        <v>-0.42821634049987733</v>
      </c>
      <c r="O105" s="83">
        <f t="shared" si="187"/>
        <v>-0.12909608257852201</v>
      </c>
      <c r="P105" s="83">
        <f t="shared" si="188"/>
        <v>0.39837673541703711</v>
      </c>
      <c r="Q105" s="83">
        <f t="shared" si="189"/>
        <v>0.22501173297056276</v>
      </c>
      <c r="R105" s="83">
        <f t="shared" si="190"/>
        <v>0.24005086700789224</v>
      </c>
      <c r="S105" s="83">
        <f t="shared" si="191"/>
        <v>-7.6932865965614328E-3</v>
      </c>
      <c r="T105" s="83">
        <f t="shared" si="192"/>
        <v>0.16570997287774047</v>
      </c>
      <c r="U105" s="83">
        <f t="shared" si="193"/>
        <v>0.24857738480952118</v>
      </c>
      <c r="V105" s="83">
        <f t="shared" si="194"/>
        <v>7.5281929220614385E-2</v>
      </c>
      <c r="W105" s="83">
        <f t="shared" si="195"/>
        <v>5.8116240971160416E-2</v>
      </c>
      <c r="X105" s="83">
        <f t="shared" si="196"/>
        <v>-5.280756222377625E-2</v>
      </c>
      <c r="Y105" s="83">
        <f t="shared" si="197"/>
        <v>0.15091313360883651</v>
      </c>
      <c r="Z105" s="83">
        <f t="shared" si="198"/>
        <v>0.11807559442404103</v>
      </c>
      <c r="AA105" s="83">
        <f t="shared" si="199"/>
        <v>7.9902266555515133E-2</v>
      </c>
    </row>
    <row r="106" spans="1:27" x14ac:dyDescent="0.25">
      <c r="A106" s="64" t="s">
        <v>58</v>
      </c>
      <c r="B106" s="65"/>
      <c r="C106" s="65"/>
      <c r="D106" s="83"/>
      <c r="E106" s="83">
        <f t="shared" si="177"/>
        <v>0.13634070902646922</v>
      </c>
      <c r="F106" s="83">
        <f t="shared" si="178"/>
        <v>0.13107309628810193</v>
      </c>
      <c r="G106" s="83">
        <f t="shared" si="179"/>
        <v>-0.11471432689133809</v>
      </c>
      <c r="H106" s="83">
        <f t="shared" si="180"/>
        <v>-4.1832958034084489E-2</v>
      </c>
      <c r="I106" s="83">
        <f t="shared" si="181"/>
        <v>-1.4684287386013017E-2</v>
      </c>
      <c r="J106" s="83">
        <f t="shared" si="182"/>
        <v>-9.9543045357322057E-3</v>
      </c>
      <c r="K106" s="83">
        <f t="shared" si="183"/>
        <v>3.2505486225910207E-2</v>
      </c>
      <c r="L106" s="83">
        <f t="shared" si="184"/>
        <v>-5.1865858972755086E-2</v>
      </c>
      <c r="M106" s="83">
        <f t="shared" si="185"/>
        <v>8.1820709250973955E-2</v>
      </c>
      <c r="N106" s="83">
        <f t="shared" si="186"/>
        <v>-4.0358775788475465E-2</v>
      </c>
      <c r="O106" s="83">
        <f t="shared" si="187"/>
        <v>7.5870340197847108E-2</v>
      </c>
      <c r="P106" s="83">
        <f t="shared" si="188"/>
        <v>-7.4973416554089956E-2</v>
      </c>
      <c r="Q106" s="83">
        <f t="shared" si="189"/>
        <v>-1.7710533476925083E-2</v>
      </c>
      <c r="R106" s="83">
        <f t="shared" si="190"/>
        <v>0.11109601421625404</v>
      </c>
      <c r="S106" s="83">
        <f t="shared" si="191"/>
        <v>1.1757692592942384</v>
      </c>
      <c r="T106" s="83">
        <f t="shared" si="192"/>
        <v>-5.2471432673886098E-2</v>
      </c>
      <c r="U106" s="83">
        <f t="shared" si="193"/>
        <v>6.4233893792890795E-2</v>
      </c>
      <c r="V106" s="83">
        <f t="shared" si="194"/>
        <v>0.10233610762610756</v>
      </c>
      <c r="W106" s="83">
        <f t="shared" si="195"/>
        <v>2.2709462193974739E-2</v>
      </c>
      <c r="X106" s="83">
        <f t="shared" si="196"/>
        <v>0.13905552732175641</v>
      </c>
      <c r="Y106" s="83">
        <f t="shared" si="197"/>
        <v>0.18544664175252379</v>
      </c>
      <c r="Z106" s="83">
        <f t="shared" si="198"/>
        <v>0.16151899041616713</v>
      </c>
      <c r="AA106" s="83">
        <f t="shared" si="199"/>
        <v>-0.21168125635602431</v>
      </c>
    </row>
    <row r="107" spans="1:27" x14ac:dyDescent="0.25">
      <c r="A107" s="85" t="s">
        <v>158</v>
      </c>
      <c r="B107" s="86"/>
      <c r="C107" s="86"/>
      <c r="D107" s="87"/>
      <c r="E107" s="87">
        <f t="shared" ref="E107:E108" si="200">IF(D33=0,"",E33/D33-1)</f>
        <v>0.10174084445931686</v>
      </c>
      <c r="F107" s="87">
        <f t="shared" ref="F107:F108" si="201">IF(E33=0,"",F33/E33-1)</f>
        <v>-0.24642181651794159</v>
      </c>
      <c r="G107" s="87">
        <f t="shared" ref="G107:G108" si="202">IF(F33=0,"",G33/F33-1)</f>
        <v>7.4847097694860532E-2</v>
      </c>
      <c r="H107" s="87">
        <f t="shared" ref="H107:H108" si="203">IF(G33=0,"",H33/G33-1)</f>
        <v>0.20523378465563269</v>
      </c>
      <c r="I107" s="87">
        <f t="shared" ref="I107:I108" si="204">IF(H33=0,"",I33/H33-1)</f>
        <v>-0.10469182237542707</v>
      </c>
      <c r="J107" s="87">
        <f t="shared" ref="J107:J108" si="205">IF(I33=0,"",J33/I33-1)</f>
        <v>0.42934763900192174</v>
      </c>
      <c r="K107" s="87">
        <f t="shared" ref="K107:K108" si="206">IF(J33=0,"",K33/J33-1)</f>
        <v>-0.24072979636473546</v>
      </c>
      <c r="L107" s="87">
        <f t="shared" ref="L107:L108" si="207">IF(K33=0,"",L33/K33-1)</f>
        <v>-0.10138931977062871</v>
      </c>
      <c r="M107" s="87">
        <f t="shared" ref="M107:M108" si="208">IF(L33=0,"",M33/L33-1)</f>
        <v>-0.40622170429868576</v>
      </c>
      <c r="N107" s="87">
        <f t="shared" ref="N107:N108" si="209">IF(M33=0,"",N33/M33-1)</f>
        <v>0.41111651187385445</v>
      </c>
      <c r="O107" s="87">
        <f t="shared" ref="O107:O108" si="210">IF(N33=0,"",O33/N33-1)</f>
        <v>-0.13881781669426763</v>
      </c>
      <c r="P107" s="87">
        <f t="shared" ref="P107:P108" si="211">IF(O33=0,"",P33/O33-1)</f>
        <v>-9.826804853152693E-2</v>
      </c>
      <c r="Q107" s="87">
        <f t="shared" ref="Q107:Q108" si="212">IF(P33=0,"",Q33/P33-1)</f>
        <v>0.21154366790360135</v>
      </c>
      <c r="R107" s="87">
        <f t="shared" ref="R107:R108" si="213">IF(Q33=0,"",R33/Q33-1)</f>
        <v>0.20240998098335372</v>
      </c>
      <c r="S107" s="87">
        <f t="shared" ref="S107:S108" si="214">IF(R33=0,"",S33/R33-1)</f>
        <v>5.4610632911392454E-2</v>
      </c>
      <c r="T107" s="87">
        <f t="shared" ref="T107:T108" si="215">IF(S33=0,"",T33/S33-1)</f>
        <v>-0.11752974655202197</v>
      </c>
      <c r="U107" s="87">
        <f t="shared" ref="U107:U108" si="216">IF(T33=0,"",U33/T33-1)</f>
        <v>0.2360827020663343</v>
      </c>
      <c r="V107" s="87">
        <f t="shared" ref="V107:V108" si="217">IF(U33=0,"",V33/U33-1)</f>
        <v>-9.1884443910595914E-3</v>
      </c>
      <c r="W107" s="87">
        <f t="shared" ref="W107:W108" si="218">IF(V33=0,"",W33/V33-1)</f>
        <v>0.21076248571432998</v>
      </c>
      <c r="X107" s="87">
        <f t="shared" ref="X107:X108" si="219">IF(W33=0,"",X33/W33-1)</f>
        <v>-0.21213432460898973</v>
      </c>
      <c r="Y107" s="87">
        <f t="shared" ref="Y107:Y108" si="220">IF(X33=0,"",Y33/X33-1)</f>
        <v>-0.3902496029396606</v>
      </c>
      <c r="Z107" s="87">
        <f t="shared" si="198"/>
        <v>-0.21788202696583658</v>
      </c>
      <c r="AA107" s="87">
        <f t="shared" si="199"/>
        <v>0.34658255952845196</v>
      </c>
    </row>
    <row r="108" spans="1:27" x14ac:dyDescent="0.25">
      <c r="A108" s="88" t="s">
        <v>5</v>
      </c>
      <c r="B108" s="44"/>
      <c r="C108" s="44"/>
      <c r="D108" s="89"/>
      <c r="E108" s="89">
        <f t="shared" si="200"/>
        <v>0.10174084445931708</v>
      </c>
      <c r="F108" s="89">
        <f t="shared" si="201"/>
        <v>-1</v>
      </c>
      <c r="G108" s="89" t="str">
        <f t="shared" si="202"/>
        <v/>
      </c>
      <c r="H108" s="89" t="str">
        <f t="shared" si="203"/>
        <v/>
      </c>
      <c r="I108" s="89" t="str">
        <f t="shared" si="204"/>
        <v/>
      </c>
      <c r="J108" s="89" t="str">
        <f t="shared" si="205"/>
        <v/>
      </c>
      <c r="K108" s="89" t="str">
        <f t="shared" si="206"/>
        <v/>
      </c>
      <c r="L108" s="89" t="str">
        <f t="shared" si="207"/>
        <v/>
      </c>
      <c r="M108" s="89" t="str">
        <f t="shared" si="208"/>
        <v/>
      </c>
      <c r="N108" s="89" t="str">
        <f t="shared" si="209"/>
        <v/>
      </c>
      <c r="O108" s="89" t="str">
        <f t="shared" si="210"/>
        <v/>
      </c>
      <c r="P108" s="89" t="str">
        <f t="shared" si="211"/>
        <v/>
      </c>
      <c r="Q108" s="89" t="str">
        <f t="shared" si="212"/>
        <v/>
      </c>
      <c r="R108" s="89" t="str">
        <f t="shared" si="213"/>
        <v/>
      </c>
      <c r="S108" s="89" t="str">
        <f t="shared" si="214"/>
        <v/>
      </c>
      <c r="T108" s="89" t="str">
        <f t="shared" si="215"/>
        <v/>
      </c>
      <c r="U108" s="89" t="str">
        <f t="shared" si="216"/>
        <v/>
      </c>
      <c r="V108" s="89" t="str">
        <f t="shared" si="217"/>
        <v/>
      </c>
      <c r="W108" s="89" t="str">
        <f t="shared" si="218"/>
        <v/>
      </c>
      <c r="X108" s="89" t="str">
        <f t="shared" si="219"/>
        <v/>
      </c>
      <c r="Y108" s="89" t="str">
        <f t="shared" si="220"/>
        <v/>
      </c>
      <c r="Z108" s="89" t="str">
        <f t="shared" si="198"/>
        <v/>
      </c>
      <c r="AA108" s="89" t="str">
        <f t="shared" si="199"/>
        <v/>
      </c>
    </row>
    <row r="109" spans="1:27" x14ac:dyDescent="0.25">
      <c r="A109" s="88" t="s">
        <v>263</v>
      </c>
      <c r="B109" s="44"/>
      <c r="C109" s="44"/>
      <c r="D109" s="89"/>
      <c r="E109" s="89">
        <f t="shared" ref="E109" si="221">IF(D37=0,"",E37/D37-1)</f>
        <v>0.10174084445931686</v>
      </c>
      <c r="F109" s="89">
        <f t="shared" ref="F109" si="222">IF(E37=0,"",F37/E37-1)</f>
        <v>-0.21467145356284711</v>
      </c>
      <c r="G109" s="89">
        <f t="shared" ref="G109" si="223">IF(F37=0,"",G37/F37-1)</f>
        <v>7.4847097694860532E-2</v>
      </c>
      <c r="H109" s="89">
        <f t="shared" ref="H109" si="224">IF(G37=0,"",H37/G37-1)</f>
        <v>0.20523378465563269</v>
      </c>
      <c r="I109" s="89">
        <f t="shared" ref="I109" si="225">IF(H37=0,"",I37/H37-1)</f>
        <v>-0.10469182237542707</v>
      </c>
      <c r="J109" s="89">
        <f t="shared" ref="J109" si="226">IF(I37=0,"",J37/I37-1)</f>
        <v>0.42934763900192174</v>
      </c>
      <c r="K109" s="89">
        <f t="shared" ref="K109" si="227">IF(J37=0,"",K37/J37-1)</f>
        <v>-0.24072979636473546</v>
      </c>
      <c r="L109" s="89">
        <f t="shared" ref="L109" si="228">IF(K37=0,"",L37/K37-1)</f>
        <v>-0.10138931977062871</v>
      </c>
      <c r="M109" s="89">
        <f t="shared" ref="M109" si="229">IF(L37=0,"",M37/L37-1)</f>
        <v>-0.40622170429868576</v>
      </c>
      <c r="N109" s="89">
        <f t="shared" ref="N109" si="230">IF(M37=0,"",N37/M37-1)</f>
        <v>0.41111651187385445</v>
      </c>
      <c r="O109" s="89">
        <f t="shared" ref="O109" si="231">IF(N37=0,"",O37/N37-1)</f>
        <v>-0.13881781669426763</v>
      </c>
      <c r="P109" s="89">
        <f t="shared" ref="P109" si="232">IF(O37=0,"",P37/O37-1)</f>
        <v>-9.826804853152693E-2</v>
      </c>
      <c r="Q109" s="89">
        <f t="shared" ref="Q109" si="233">IF(P37=0,"",Q37/P37-1)</f>
        <v>0.21154366790360135</v>
      </c>
      <c r="R109" s="89">
        <f t="shared" ref="R109" si="234">IF(Q37=0,"",R37/Q37-1)</f>
        <v>0.20240998098335372</v>
      </c>
      <c r="S109" s="89">
        <f t="shared" ref="S109" si="235">IF(R37=0,"",S37/R37-1)</f>
        <v>5.4610632911392454E-2</v>
      </c>
      <c r="T109" s="89">
        <f t="shared" ref="T109" si="236">IF(S37=0,"",T37/S37-1)</f>
        <v>-0.11752974655202197</v>
      </c>
      <c r="U109" s="89">
        <f t="shared" ref="U109" si="237">IF(T37=0,"",U37/T37-1)</f>
        <v>0.2360827020663343</v>
      </c>
      <c r="V109" s="89">
        <f t="shared" ref="V109" si="238">IF(U37=0,"",V37/U37-1)</f>
        <v>-9.1884443910595914E-3</v>
      </c>
      <c r="W109" s="89">
        <f t="shared" ref="W109" si="239">IF(V37=0,"",W37/V37-1)</f>
        <v>0.21076248571432998</v>
      </c>
      <c r="X109" s="89">
        <f t="shared" ref="X109" si="240">IF(W37=0,"",X37/W37-1)</f>
        <v>-0.21213432460898973</v>
      </c>
      <c r="Y109" s="89">
        <f t="shared" ref="Y109" si="241">IF(X37=0,"",Y37/X37-1)</f>
        <v>-0.39024960293966071</v>
      </c>
      <c r="Z109" s="89">
        <f t="shared" ref="Z109" si="242">IF(Y37=0,"",Z37/Y37-1)</f>
        <v>-0.21788202696583647</v>
      </c>
      <c r="AA109" s="89">
        <f t="shared" ref="AA109" si="243">IF(Z37=0,"",AA37/Z37-1)</f>
        <v>0.34658255952845196</v>
      </c>
    </row>
    <row r="110" spans="1:27" x14ac:dyDescent="0.25">
      <c r="A110" s="68" t="s">
        <v>265</v>
      </c>
      <c r="B110" s="44"/>
      <c r="C110" s="44"/>
      <c r="D110" s="89"/>
      <c r="E110" s="89">
        <f t="shared" ref="E110:E111" si="244">IF(D43=0,"",E43/D43-1)</f>
        <v>0.16239561826817295</v>
      </c>
      <c r="F110" s="89">
        <f t="shared" ref="F110:F111" si="245">IF(E43=0,"",F43/E43-1)</f>
        <v>0.31525381134291219</v>
      </c>
      <c r="G110" s="89">
        <f t="shared" ref="G110:G111" si="246">IF(F43=0,"",G43/F43-1)</f>
        <v>-0.22859729533285844</v>
      </c>
      <c r="H110" s="89">
        <f t="shared" ref="H110:H111" si="247">IF(G43=0,"",H43/G43-1)</f>
        <v>-0.11196462512078109</v>
      </c>
      <c r="I110" s="89">
        <f t="shared" ref="I110:I111" si="248">IF(H43=0,"",I43/H43-1)</f>
        <v>-4.6608164042067135E-2</v>
      </c>
      <c r="J110" s="89">
        <f t="shared" ref="J110:J111" si="249">IF(I43=0,"",J43/I43-1)</f>
        <v>-6.9724445805795621E-2</v>
      </c>
      <c r="K110" s="89">
        <f t="shared" ref="K110:K111" si="250">IF(J43=0,"",K43/J43-1)</f>
        <v>0.1426161033037685</v>
      </c>
      <c r="L110" s="89">
        <f t="shared" ref="L110:L111" si="251">IF(K43=0,"",L43/K43-1)</f>
        <v>-2.9890695279585988E-2</v>
      </c>
      <c r="M110" s="89">
        <f t="shared" ref="M110:M111" si="252">IF(L43=0,"",M43/L43-1)</f>
        <v>0.2602900972405493</v>
      </c>
      <c r="N110" s="89">
        <f t="shared" ref="N110:N111" si="253">IF(M43=0,"",N43/M43-1)</f>
        <v>-4.7123777289638236E-3</v>
      </c>
      <c r="O110" s="89">
        <f t="shared" ref="O110:O111" si="254">IF(N43=0,"",O43/N43-1)</f>
        <v>9.8989887071615934E-2</v>
      </c>
      <c r="P110" s="89">
        <f t="shared" ref="P110:P111" si="255">IF(O43=0,"",P43/O43-1)</f>
        <v>-8.6188520218890896E-2</v>
      </c>
      <c r="Q110" s="89">
        <f t="shared" ref="Q110:Q111" si="256">IF(P43=0,"",Q43/P43-1)</f>
        <v>-0.10527476795614099</v>
      </c>
      <c r="R110" s="89">
        <f t="shared" ref="R110:R111" si="257">IF(Q43=0,"",R43/Q43-1)</f>
        <v>0.10604564790099347</v>
      </c>
      <c r="S110" s="89">
        <f t="shared" ref="S110:S111" si="258">IF(R43=0,"",S43/R43-1)</f>
        <v>2.4838004730175416</v>
      </c>
      <c r="T110" s="89">
        <f t="shared" ref="T110:T111" si="259">IF(S43=0,"",T43/S43-1)</f>
        <v>-4.7086232801108241E-2</v>
      </c>
      <c r="U110" s="89">
        <f t="shared" ref="U110:U111" si="260">IF(T43=0,"",U43/T43-1)</f>
        <v>5.5845366414187803E-2</v>
      </c>
      <c r="V110" s="89">
        <f t="shared" ref="V110:V111" si="261">IF(U43=0,"",V43/U43-1)</f>
        <v>0.14340908345043535</v>
      </c>
      <c r="W110" s="89">
        <f t="shared" ref="W110:W111" si="262">IF(V43=0,"",W43/V43-1)</f>
        <v>4.9586900679567947E-3</v>
      </c>
      <c r="X110" s="89">
        <f t="shared" ref="X110:X111" si="263">IF(W43=0,"",X43/W43-1)</f>
        <v>0.1558878858028534</v>
      </c>
      <c r="Y110" s="89">
        <f t="shared" ref="Y110:Y111" si="264">IF(X43=0,"",Y43/X43-1)</f>
        <v>0.20454907714643644</v>
      </c>
      <c r="Z110" s="89">
        <f t="shared" ref="Z110:Z111" si="265">IF(Y43=0,"",Z43/Y43-1)</f>
        <v>0.18035643387965905</v>
      </c>
      <c r="AA110" s="89">
        <f t="shared" ref="AA110:AA111" si="266">IF(Z43=0,"",AA43/Z43-1)</f>
        <v>-0.27383842106923939</v>
      </c>
    </row>
    <row r="111" spans="1:27" x14ac:dyDescent="0.25">
      <c r="A111" s="88" t="s">
        <v>266</v>
      </c>
      <c r="B111" s="44"/>
      <c r="C111" s="44"/>
      <c r="D111" s="89"/>
      <c r="E111" s="89">
        <f t="shared" si="244"/>
        <v>-0.62084964646992002</v>
      </c>
      <c r="F111" s="89">
        <f t="shared" si="245"/>
        <v>4.5807190852442892E-2</v>
      </c>
      <c r="G111" s="89">
        <f t="shared" si="246"/>
        <v>-0.22779973419057753</v>
      </c>
      <c r="H111" s="89">
        <f t="shared" si="247"/>
        <v>0.22786162243531782</v>
      </c>
      <c r="I111" s="89">
        <f t="shared" si="248"/>
        <v>-0.16679481513060901</v>
      </c>
      <c r="J111" s="89">
        <f t="shared" si="249"/>
        <v>-7.7017287086255659E-2</v>
      </c>
      <c r="K111" s="89">
        <f t="shared" si="250"/>
        <v>1.5612590947453189</v>
      </c>
      <c r="L111" s="89">
        <f t="shared" si="251"/>
        <v>-0.13062719938317746</v>
      </c>
      <c r="M111" s="89">
        <f t="shared" si="252"/>
        <v>0.16197071341677871</v>
      </c>
      <c r="N111" s="89">
        <f t="shared" si="253"/>
        <v>-6.2755479133636216E-2</v>
      </c>
      <c r="O111" s="89">
        <f t="shared" si="254"/>
        <v>0.46638328338966284</v>
      </c>
      <c r="P111" s="89">
        <f t="shared" si="255"/>
        <v>0.24030170487170976</v>
      </c>
      <c r="Q111" s="89">
        <f t="shared" si="256"/>
        <v>0.12344843188263011</v>
      </c>
      <c r="R111" s="89">
        <f t="shared" si="257"/>
        <v>9.0617166775270874E-3</v>
      </c>
      <c r="S111" s="89">
        <f t="shared" si="258"/>
        <v>-8.1432965941533708E-2</v>
      </c>
      <c r="T111" s="89">
        <f t="shared" si="259"/>
        <v>0.17177549758473964</v>
      </c>
      <c r="U111" s="89">
        <f t="shared" si="260"/>
        <v>3.1304497168319623E-2</v>
      </c>
      <c r="V111" s="89">
        <f t="shared" si="261"/>
        <v>1.5314611524125388E-2</v>
      </c>
      <c r="W111" s="89">
        <f t="shared" si="262"/>
        <v>5.2755379693770532E-2</v>
      </c>
      <c r="X111" s="89">
        <f t="shared" si="263"/>
        <v>7.855330127856841E-2</v>
      </c>
      <c r="Y111" s="89">
        <f t="shared" si="264"/>
        <v>7.4293024385294393E-2</v>
      </c>
      <c r="Z111" s="89">
        <f t="shared" si="265"/>
        <v>5.5840216105373708E-2</v>
      </c>
      <c r="AA111" s="89">
        <f t="shared" si="266"/>
        <v>7.3171331847186272E-2</v>
      </c>
    </row>
    <row r="112" spans="1:27" x14ac:dyDescent="0.25">
      <c r="A112" s="88" t="s">
        <v>11</v>
      </c>
      <c r="B112" s="44"/>
      <c r="C112" s="44"/>
      <c r="D112" s="89"/>
      <c r="E112" s="89">
        <f t="shared" ref="E112:E113" si="267">IF(D47=0,"",E47/D47-1)</f>
        <v>0.33704292550941894</v>
      </c>
      <c r="F112" s="89">
        <f t="shared" ref="F112:F113" si="268">IF(E47=0,"",F47/E47-1)</f>
        <v>0.33229119768823345</v>
      </c>
      <c r="G112" s="89">
        <f t="shared" ref="G112:G113" si="269">IF(F47=0,"",G47/F47-1)</f>
        <v>-0.22863688179429253</v>
      </c>
      <c r="H112" s="89">
        <f t="shared" ref="H112:H113" si="270">IF(G47=0,"",H47/G47-1)</f>
        <v>-0.12884999945097841</v>
      </c>
      <c r="I112" s="89">
        <f t="shared" ref="I112:I113" si="271">IF(H47=0,"",I47/H47-1)</f>
        <v>-3.8190986432977247E-2</v>
      </c>
      <c r="J112" s="89">
        <f t="shared" ref="J112:J113" si="272">IF(I47=0,"",J47/I47-1)</f>
        <v>-6.9281989753590567E-2</v>
      </c>
      <c r="K112" s="89">
        <f t="shared" ref="K112:K113" si="273">IF(J47=0,"",K47/J47-1)</f>
        <v>5.726248349989782E-2</v>
      </c>
      <c r="L112" s="89">
        <f t="shared" ref="L112:L113" si="274">IF(K47=0,"",L47/K47-1)</f>
        <v>-1.5207979422314111E-2</v>
      </c>
      <c r="M112" s="89">
        <f t="shared" ref="M112:M113" si="275">IF(L47=0,"",M47/L47-1)</f>
        <v>0.27294096146771918</v>
      </c>
      <c r="N112" s="89">
        <f t="shared" ref="N112:N113" si="276">IF(M47=0,"",N47/M47-1)</f>
        <v>2.105019143420428E-3</v>
      </c>
      <c r="O112" s="89">
        <f t="shared" ref="O112:O113" si="277">IF(N47=0,"",O47/N47-1)</f>
        <v>5.8631018205681951E-2</v>
      </c>
      <c r="P112" s="89">
        <f t="shared" ref="P112:P113" si="278">IF(O47=0,"",P47/O47-1)</f>
        <v>-0.13586841982430364</v>
      </c>
      <c r="Q112" s="89">
        <f t="shared" ref="Q112:Q113" si="279">IF(P47=0,"",Q47/P47-1)</f>
        <v>-0.15522853084758814</v>
      </c>
      <c r="R112" s="89">
        <f t="shared" ref="R112:R113" si="280">IF(Q47=0,"",R47/Q47-1)</f>
        <v>0.13421466404370941</v>
      </c>
      <c r="S112" s="89">
        <f t="shared" ref="S112:S113" si="281">IF(R47=0,"",S47/R47-1)</f>
        <v>3.1466596277217116</v>
      </c>
      <c r="T112" s="89">
        <f t="shared" ref="T112:T113" si="282">IF(S47=0,"",T47/S47-1)</f>
        <v>-5.9614086168026215E-2</v>
      </c>
      <c r="U112" s="89">
        <f t="shared" ref="U112:U113" si="283">IF(T47=0,"",U47/T47-1)</f>
        <v>5.7595757414736104E-2</v>
      </c>
      <c r="V112" s="89">
        <f t="shared" ref="V112:V113" si="284">IF(U47=0,"",V47/U47-1)</f>
        <v>0.1523183659406997</v>
      </c>
      <c r="W112" s="89">
        <f t="shared" ref="W112:W113" si="285">IF(V47=0,"",W47/V47-1)</f>
        <v>2.0295623205126567E-3</v>
      </c>
      <c r="X112" s="89">
        <f t="shared" ref="X112:X113" si="286">IF(W47=0,"",X47/W47-1)</f>
        <v>0.16086710431714546</v>
      </c>
      <c r="Y112" s="89">
        <f t="shared" ref="Y112:Y113" si="287">IF(X47=0,"",Y47/X47-1)</f>
        <v>0.21234099652360716</v>
      </c>
      <c r="Z112" s="89">
        <f t="shared" ref="Z112:Z113" si="288">IF(Y47=0,"",Z47/Y47-1)</f>
        <v>0.18695683640162097</v>
      </c>
      <c r="AA112" s="89">
        <f t="shared" ref="AA112:AA113" si="289">IF(Z47=0,"",AA47/Z47-1)</f>
        <v>-0.29020091340096676</v>
      </c>
    </row>
    <row r="113" spans="1:27" x14ac:dyDescent="0.25">
      <c r="A113" s="68" t="s">
        <v>4</v>
      </c>
      <c r="B113" s="44"/>
      <c r="C113" s="44"/>
      <c r="D113" s="89"/>
      <c r="E113" s="89">
        <f t="shared" si="267"/>
        <v>-6.5379085831062778E-2</v>
      </c>
      <c r="F113" s="89">
        <f t="shared" si="268"/>
        <v>-6.9503021591855285E-2</v>
      </c>
      <c r="G113" s="89">
        <f t="shared" si="269"/>
        <v>1.1274568629329851E-2</v>
      </c>
      <c r="H113" s="89">
        <f t="shared" si="270"/>
        <v>5.3743049011437671E-2</v>
      </c>
      <c r="I113" s="89">
        <f t="shared" si="271"/>
        <v>0.10329653922173576</v>
      </c>
      <c r="J113" s="89">
        <f t="shared" si="272"/>
        <v>4.0307174585629157E-2</v>
      </c>
      <c r="K113" s="89">
        <f t="shared" si="273"/>
        <v>8.5305726530989556E-2</v>
      </c>
      <c r="L113" s="89">
        <f t="shared" si="274"/>
        <v>-0.26021340955878913</v>
      </c>
      <c r="M113" s="89">
        <f t="shared" si="275"/>
        <v>-0.35891529462268412</v>
      </c>
      <c r="N113" s="89">
        <f t="shared" si="276"/>
        <v>-0.27972165492063639</v>
      </c>
      <c r="O113" s="89">
        <f t="shared" si="277"/>
        <v>0.13094055263353521</v>
      </c>
      <c r="P113" s="89">
        <f t="shared" si="278"/>
        <v>-0.16630272433910931</v>
      </c>
      <c r="Q113" s="89">
        <f t="shared" si="279"/>
        <v>0.30193008928625265</v>
      </c>
      <c r="R113" s="89">
        <f t="shared" si="280"/>
        <v>0.29975078894335727</v>
      </c>
      <c r="S113" s="89">
        <f t="shared" si="281"/>
        <v>-0.20503712109899952</v>
      </c>
      <c r="T113" s="89">
        <f t="shared" si="282"/>
        <v>0.37562786895185019</v>
      </c>
      <c r="U113" s="89">
        <f t="shared" si="283"/>
        <v>2.7959475838024161E-2</v>
      </c>
      <c r="V113" s="89">
        <f t="shared" si="284"/>
        <v>1.0497143675947784E-2</v>
      </c>
      <c r="W113" s="89">
        <f t="shared" si="285"/>
        <v>0.10618787941108998</v>
      </c>
      <c r="X113" s="89">
        <f t="shared" si="286"/>
        <v>5.0639184492391909E-2</v>
      </c>
      <c r="Y113" s="89">
        <f t="shared" si="287"/>
        <v>2.8725798375452749E-2</v>
      </c>
      <c r="Z113" s="89">
        <f t="shared" si="288"/>
        <v>0.10529789741694917</v>
      </c>
      <c r="AA113" s="89">
        <f t="shared" si="289"/>
        <v>0.10828750137932319</v>
      </c>
    </row>
    <row r="114" spans="1:27" x14ac:dyDescent="0.25">
      <c r="A114" s="68" t="s">
        <v>3</v>
      </c>
      <c r="B114" s="44"/>
      <c r="C114" s="44"/>
      <c r="D114" s="89"/>
      <c r="E114" s="89">
        <f t="shared" ref="E114:E115" si="290">IF(D52=0,"",E52/D52-1)</f>
        <v>0.29657217488651444</v>
      </c>
      <c r="F114" s="89">
        <f t="shared" ref="F114:F115" si="291">IF(E52=0,"",F52/E52-1)</f>
        <v>-5.3751610382588799E-2</v>
      </c>
      <c r="G114" s="89">
        <f t="shared" ref="G114:G115" si="292">IF(F52=0,"",G52/F52-1)</f>
        <v>3.0443867072995623E-3</v>
      </c>
      <c r="H114" s="89">
        <f t="shared" ref="H114:H115" si="293">IF(G52=0,"",H52/G52-1)</f>
        <v>-1.9099832356721747E-2</v>
      </c>
      <c r="I114" s="89">
        <f t="shared" ref="I114:I115" si="294">IF(H52=0,"",I52/H52-1)</f>
        <v>7.5999310792596475E-2</v>
      </c>
      <c r="J114" s="89">
        <f t="shared" ref="J114:J115" si="295">IF(I52=0,"",J52/I52-1)</f>
        <v>-3.6198642347395782E-2</v>
      </c>
      <c r="K114" s="89">
        <f t="shared" ref="K114:K115" si="296">IF(J52=0,"",K52/J52-1)</f>
        <v>-0.32343658510040618</v>
      </c>
      <c r="L114" s="89">
        <f t="shared" ref="L114:L115" si="297">IF(K52=0,"",L52/K52-1)</f>
        <v>-8.8896023939856739E-2</v>
      </c>
      <c r="M114" s="89">
        <f t="shared" ref="M114:M115" si="298">IF(L52=0,"",M52/L52-1)</f>
        <v>-3.0607681238943307E-3</v>
      </c>
      <c r="N114" s="89">
        <f t="shared" ref="N114:N115" si="299">IF(M52=0,"",N52/M52-1)</f>
        <v>-6.9003473262997828E-2</v>
      </c>
      <c r="O114" s="89">
        <f t="shared" ref="O114:O115" si="300">IF(N52=0,"",O52/N52-1)</f>
        <v>-0.11026758368172174</v>
      </c>
      <c r="P114" s="89">
        <f t="shared" ref="P114:P115" si="301">IF(O52=0,"",P52/O52-1)</f>
        <v>-0.13103341174355543</v>
      </c>
      <c r="Q114" s="89">
        <f t="shared" ref="Q114:Q115" si="302">IF(P52=0,"",Q52/P52-1)</f>
        <v>6.3775837031100124E-2</v>
      </c>
      <c r="R114" s="89">
        <f t="shared" ref="R114:R115" si="303">IF(Q52=0,"",R52/Q52-1)</f>
        <v>0.13823494489660804</v>
      </c>
      <c r="S114" s="89">
        <f t="shared" ref="S114:S115" si="304">IF(R52=0,"",S52/R52-1)</f>
        <v>-0.10493274014155718</v>
      </c>
      <c r="T114" s="89">
        <f t="shared" ref="T114:T115" si="305">IF(S52=0,"",T52/S52-1)</f>
        <v>-0.11094187465490812</v>
      </c>
      <c r="U114" s="89">
        <f t="shared" ref="U114:U115" si="306">IF(T52=0,"",U52/T52-1)</f>
        <v>-4.9575071693900408E-2</v>
      </c>
      <c r="V114" s="89">
        <f t="shared" ref="V114:V115" si="307">IF(U52=0,"",V52/U52-1)</f>
        <v>2.2491044077207034E-2</v>
      </c>
      <c r="W114" s="89">
        <f t="shared" ref="W114:W115" si="308">IF(V52=0,"",W52/V52-1)</f>
        <v>-3.0027590076027511E-2</v>
      </c>
      <c r="X114" s="89">
        <f t="shared" ref="X114:X115" si="309">IF(W52=0,"",X52/W52-1)</f>
        <v>-1.0783691440950482E-2</v>
      </c>
      <c r="Y114" s="89">
        <f t="shared" ref="Y114:Y115" si="310">IF(X52=0,"",Y52/X52-1)</f>
        <v>-6.9863470501797087E-2</v>
      </c>
      <c r="Z114" s="89">
        <f t="shared" ref="Z114:Z115" si="311">IF(Y52=0,"",Z52/Y52-1)</f>
        <v>-0.1686947331138815</v>
      </c>
      <c r="AA114" s="89">
        <f t="shared" ref="AA114:AA115" si="312">IF(Z52=0,"",AA52/Z52-1)</f>
        <v>0.28517438722284405</v>
      </c>
    </row>
    <row r="115" spans="1:27" x14ac:dyDescent="0.25">
      <c r="A115" s="88" t="s">
        <v>21</v>
      </c>
      <c r="B115" s="44"/>
      <c r="C115" s="44"/>
      <c r="D115" s="89"/>
      <c r="E115" s="89">
        <f t="shared" si="290"/>
        <v>-7.1498979961625797E-2</v>
      </c>
      <c r="F115" s="89">
        <f t="shared" si="291"/>
        <v>7.0568664625831001E-2</v>
      </c>
      <c r="G115" s="89">
        <f t="shared" si="292"/>
        <v>2.2322476345122411E-3</v>
      </c>
      <c r="H115" s="89">
        <f t="shared" si="293"/>
        <v>-0.17059088820223012</v>
      </c>
      <c r="I115" s="89">
        <f t="shared" si="294"/>
        <v>-0.13243448006717529</v>
      </c>
      <c r="J115" s="89">
        <f t="shared" si="295"/>
        <v>-8.3794093874625108E-2</v>
      </c>
      <c r="K115" s="89">
        <f t="shared" si="296"/>
        <v>2.1490814243780854E-3</v>
      </c>
      <c r="L115" s="89">
        <f t="shared" si="297"/>
        <v>-9.9634460189306662E-2</v>
      </c>
      <c r="M115" s="89">
        <f t="shared" si="298"/>
        <v>-0.14423542899062047</v>
      </c>
      <c r="N115" s="89">
        <f t="shared" si="299"/>
        <v>0.12349069161472848</v>
      </c>
      <c r="O115" s="89">
        <f t="shared" si="300"/>
        <v>-0.16455775561747643</v>
      </c>
      <c r="P115" s="89">
        <f t="shared" si="301"/>
        <v>-1.2375535552987538E-3</v>
      </c>
      <c r="Q115" s="89">
        <f t="shared" si="302"/>
        <v>4.6926869656891412E-2</v>
      </c>
      <c r="R115" s="89">
        <f t="shared" si="303"/>
        <v>0.12876757303898745</v>
      </c>
      <c r="S115" s="89">
        <f t="shared" si="304"/>
        <v>-0.13045624385447396</v>
      </c>
      <c r="T115" s="89">
        <f t="shared" si="305"/>
        <v>-3.6595931770528556E-2</v>
      </c>
      <c r="U115" s="89">
        <f t="shared" si="306"/>
        <v>0.10799760232046629</v>
      </c>
      <c r="V115" s="89">
        <f t="shared" si="307"/>
        <v>5.023803730009746E-2</v>
      </c>
      <c r="W115" s="89">
        <f t="shared" si="308"/>
        <v>-4.7385990466875416E-2</v>
      </c>
      <c r="X115" s="89">
        <f t="shared" si="309"/>
        <v>0.11449469202224472</v>
      </c>
      <c r="Y115" s="89">
        <f t="shared" si="310"/>
        <v>1.8659988215222967E-2</v>
      </c>
      <c r="Z115" s="89">
        <f t="shared" si="311"/>
        <v>-3.6486648865892701E-2</v>
      </c>
      <c r="AA115" s="89">
        <f t="shared" si="312"/>
        <v>5.1653399351443419E-2</v>
      </c>
    </row>
    <row r="116" spans="1:27" x14ac:dyDescent="0.25">
      <c r="A116" s="88" t="s">
        <v>16</v>
      </c>
      <c r="B116" s="44"/>
      <c r="C116" s="44"/>
      <c r="D116" s="89"/>
      <c r="E116" s="89">
        <f t="shared" ref="E116:E122" si="313">IF(D56=0,"",E56/D56-1)</f>
        <v>0.55135462652401301</v>
      </c>
      <c r="F116" s="89">
        <f t="shared" ref="F116:F122" si="314">IF(E56=0,"",F56/E56-1)</f>
        <v>-0.10525680002871807</v>
      </c>
      <c r="G116" s="89">
        <f t="shared" ref="G116:G122" si="315">IF(F56=0,"",G56/F56-1)</f>
        <v>3.4469698213008826E-3</v>
      </c>
      <c r="H116" s="89">
        <f t="shared" ref="H116:H122" si="316">IF(G56=0,"",H56/G56-1)</f>
        <v>5.5904454925809866E-2</v>
      </c>
      <c r="I116" s="89">
        <f t="shared" ref="I116:I122" si="317">IF(H56=0,"",I56/H56-1)</f>
        <v>0.15706020743808935</v>
      </c>
      <c r="J116" s="89">
        <f t="shared" ref="J116:J122" si="318">IF(I56=0,"",J56/I56-1)</f>
        <v>-2.2319742155096245E-2</v>
      </c>
      <c r="K116" s="89">
        <f t="shared" ref="K116:K122" si="319">IF(J56=0,"",K56/J56-1)</f>
        <v>-0.41240812764215218</v>
      </c>
      <c r="L116" s="89">
        <f t="shared" ref="L116:L122" si="320">IF(K56=0,"",L56/K56-1)</f>
        <v>-8.3891261833295094E-2</v>
      </c>
      <c r="M116" s="89">
        <f t="shared" ref="M116:M122" si="321">IF(L56=0,"",M56/L56-1)</f>
        <v>6.1604485872569503E-2</v>
      </c>
      <c r="N116" s="89">
        <f t="shared" ref="N116:N122" si="322">IF(M56=0,"",N56/M56-1)</f>
        <v>-0.14007953588990585</v>
      </c>
      <c r="O116" s="89">
        <f t="shared" ref="O116:O122" si="323">IF(N56=0,"",O56/N56-1)</f>
        <v>-8.4077420551824433E-2</v>
      </c>
      <c r="P116" s="89">
        <f t="shared" ref="P116:P122" si="324">IF(O56=0,"",P56/O56-1)</f>
        <v>-0.18814647931818218</v>
      </c>
      <c r="Q116" s="89">
        <f t="shared" ref="Q116:Q122" si="325">IF(P56=0,"",Q56/P56-1)</f>
        <v>7.2896627275812254E-2</v>
      </c>
      <c r="R116" s="89">
        <f t="shared" ref="R116:R122" si="326">IF(Q56=0,"",R56/Q56-1)</f>
        <v>0.14323583234843507</v>
      </c>
      <c r="S116" s="89">
        <f t="shared" ref="S116:S122" si="327">IF(R56=0,"",S56/R56-1)</f>
        <v>-9.1621251282051452E-2</v>
      </c>
      <c r="T116" s="89">
        <f t="shared" ref="T116:T122" si="328">IF(S56=0,"",T56/S56-1)</f>
        <v>-0.14805846646397014</v>
      </c>
      <c r="U116" s="89">
        <f t="shared" ref="U116:U122" si="329">IF(T56=0,"",U56/T56-1)</f>
        <v>-0.13853417705909077</v>
      </c>
      <c r="V116" s="89">
        <f t="shared" ref="V116:V122" si="330">IF(U56=0,"",V56/U56-1)</f>
        <v>2.3433105622829853E-3</v>
      </c>
      <c r="W116" s="89">
        <f t="shared" ref="W116:W122" si="331">IF(V56=0,"",W56/V56-1)</f>
        <v>-1.6820984162541408E-2</v>
      </c>
      <c r="X116" s="89">
        <f t="shared" ref="X116:X122" si="332">IF(W56=0,"",X56/W56-1)</f>
        <v>-0.10313478048513158</v>
      </c>
      <c r="Y116" s="89">
        <f t="shared" ref="Y116:Y122" si="333">IF(X56=0,"",Y56/X56-1)</f>
        <v>-0.15095492242354513</v>
      </c>
      <c r="Z116" s="89">
        <f t="shared" ref="Z116:Z122" si="334">IF(Y56=0,"",Z56/Y56-1)</f>
        <v>-0.3139972757495948</v>
      </c>
      <c r="AA116" s="89">
        <f t="shared" ref="AA116:AA122" si="335">IF(Z56=0,"",AA56/Z56-1)</f>
        <v>0.64564761688959371</v>
      </c>
    </row>
    <row r="117" spans="1:27" x14ac:dyDescent="0.25">
      <c r="A117" s="68" t="s">
        <v>2</v>
      </c>
      <c r="B117" s="44"/>
      <c r="C117" s="44"/>
      <c r="D117" s="89"/>
      <c r="E117" s="89">
        <f t="shared" si="313"/>
        <v>0.16369282998282553</v>
      </c>
      <c r="F117" s="89">
        <f t="shared" si="314"/>
        <v>5.92567969421125E-2</v>
      </c>
      <c r="G117" s="89">
        <f t="shared" si="315"/>
        <v>0.11498182966885562</v>
      </c>
      <c r="H117" s="89">
        <f t="shared" si="316"/>
        <v>-3.1272708068104893E-2</v>
      </c>
      <c r="I117" s="89">
        <f t="shared" si="317"/>
        <v>-3.7345817393464542E-2</v>
      </c>
      <c r="J117" s="89">
        <f t="shared" si="318"/>
        <v>2.846886215281863E-2</v>
      </c>
      <c r="K117" s="89">
        <f t="shared" si="319"/>
        <v>3.6551941464071591E-2</v>
      </c>
      <c r="L117" s="89">
        <f t="shared" si="320"/>
        <v>-9.8086817665683501E-3</v>
      </c>
      <c r="M117" s="89">
        <f t="shared" si="321"/>
        <v>-6.4026792708569147E-3</v>
      </c>
      <c r="N117" s="89">
        <f t="shared" si="322"/>
        <v>0.11485185469184711</v>
      </c>
      <c r="O117" s="89">
        <f t="shared" si="323"/>
        <v>-2.4386648961598256E-2</v>
      </c>
      <c r="P117" s="89">
        <f t="shared" si="324"/>
        <v>-1.2076463400327531E-2</v>
      </c>
      <c r="Q117" s="89">
        <f t="shared" si="325"/>
        <v>0.11063812099139536</v>
      </c>
      <c r="R117" s="89">
        <f t="shared" si="326"/>
        <v>0.10373996909299632</v>
      </c>
      <c r="S117" s="89">
        <f t="shared" si="327"/>
        <v>-6.1417941623199912E-2</v>
      </c>
      <c r="T117" s="89">
        <f t="shared" si="328"/>
        <v>1.0685695120119298E-2</v>
      </c>
      <c r="U117" s="89">
        <f t="shared" si="329"/>
        <v>-7.1750023474526414E-2</v>
      </c>
      <c r="V117" s="89">
        <f t="shared" si="330"/>
        <v>4.2247475323996531E-2</v>
      </c>
      <c r="W117" s="89">
        <f t="shared" si="331"/>
        <v>-0.17344610650020242</v>
      </c>
      <c r="X117" s="89">
        <f t="shared" si="332"/>
        <v>3.3170803294302553E-2</v>
      </c>
      <c r="Y117" s="89">
        <f t="shared" si="333"/>
        <v>5.8433080294356232E-2</v>
      </c>
      <c r="Z117" s="89">
        <f t="shared" si="334"/>
        <v>0.10321580066134284</v>
      </c>
      <c r="AA117" s="89">
        <f t="shared" si="335"/>
        <v>0.10399005642674242</v>
      </c>
    </row>
    <row r="118" spans="1:27" x14ac:dyDescent="0.25">
      <c r="A118" s="68" t="s">
        <v>269</v>
      </c>
      <c r="B118" s="44"/>
      <c r="C118" s="44"/>
      <c r="D118" s="89"/>
      <c r="E118" s="89">
        <f t="shared" si="313"/>
        <v>-5.0097969640013007E-2</v>
      </c>
      <c r="F118" s="89">
        <f t="shared" si="314"/>
        <v>-7.3089034255776286E-2</v>
      </c>
      <c r="G118" s="89">
        <f t="shared" si="315"/>
        <v>0.56181234677972203</v>
      </c>
      <c r="H118" s="89">
        <f t="shared" si="316"/>
        <v>-0.29528056309329676</v>
      </c>
      <c r="I118" s="89">
        <f t="shared" si="317"/>
        <v>0.11482441853820236</v>
      </c>
      <c r="J118" s="89">
        <f t="shared" si="318"/>
        <v>-0.1225481603168006</v>
      </c>
      <c r="K118" s="89">
        <f t="shared" si="319"/>
        <v>6.257361784401172E-2</v>
      </c>
      <c r="L118" s="89">
        <f t="shared" si="320"/>
        <v>-3.4248364878478266E-2</v>
      </c>
      <c r="M118" s="89">
        <f t="shared" si="321"/>
        <v>-0.41900166307732589</v>
      </c>
      <c r="N118" s="89">
        <f t="shared" si="322"/>
        <v>-0.12100660219145609</v>
      </c>
      <c r="O118" s="89">
        <f t="shared" si="323"/>
        <v>4.95832812398036E-2</v>
      </c>
      <c r="P118" s="89">
        <f t="shared" si="324"/>
        <v>-4.3625079872830042E-2</v>
      </c>
      <c r="Q118" s="89">
        <f t="shared" si="325"/>
        <v>9.611200385700247E-2</v>
      </c>
      <c r="R118" s="89">
        <f t="shared" si="326"/>
        <v>0.10336051149586511</v>
      </c>
      <c r="S118" s="89">
        <f t="shared" si="327"/>
        <v>7.3731349234603227E-2</v>
      </c>
      <c r="T118" s="89">
        <f t="shared" si="328"/>
        <v>5.3250591519314217E-2</v>
      </c>
      <c r="U118" s="89">
        <f t="shared" si="329"/>
        <v>-6.9467890608182481E-3</v>
      </c>
      <c r="V118" s="89">
        <f t="shared" si="330"/>
        <v>0.10831925121350316</v>
      </c>
      <c r="W118" s="89">
        <f t="shared" si="331"/>
        <v>-8.3586817541746905E-2</v>
      </c>
      <c r="X118" s="89">
        <f t="shared" si="332"/>
        <v>-0.12087938003713661</v>
      </c>
      <c r="Y118" s="89">
        <f t="shared" si="333"/>
        <v>0.18374785452896791</v>
      </c>
      <c r="Z118" s="89">
        <f t="shared" si="334"/>
        <v>0.13629267902173492</v>
      </c>
      <c r="AA118" s="89">
        <f t="shared" si="335"/>
        <v>4.9348659549542928E-2</v>
      </c>
    </row>
    <row r="119" spans="1:27" x14ac:dyDescent="0.25">
      <c r="A119" s="68" t="s">
        <v>270</v>
      </c>
      <c r="B119" s="44"/>
      <c r="C119" s="44"/>
      <c r="D119" s="89"/>
      <c r="E119" s="89">
        <f t="shared" si="313"/>
        <v>0.12425955876211114</v>
      </c>
      <c r="F119" s="89">
        <f t="shared" si="314"/>
        <v>-2.932836142716122E-2</v>
      </c>
      <c r="G119" s="89">
        <f t="shared" si="315"/>
        <v>-0.13005890410623855</v>
      </c>
      <c r="H119" s="89">
        <f t="shared" si="316"/>
        <v>6.9436220745069832E-2</v>
      </c>
      <c r="I119" s="89">
        <f t="shared" si="317"/>
        <v>3.9666235407183947E-2</v>
      </c>
      <c r="J119" s="89">
        <f t="shared" si="318"/>
        <v>4.446683760058745E-3</v>
      </c>
      <c r="K119" s="89">
        <f t="shared" si="319"/>
        <v>-8.291510662078172E-2</v>
      </c>
      <c r="L119" s="89">
        <f t="shared" si="320"/>
        <v>-0.10899426231345788</v>
      </c>
      <c r="M119" s="89">
        <f t="shared" si="321"/>
        <v>-5.2330769168391078E-2</v>
      </c>
      <c r="N119" s="89">
        <f t="shared" si="322"/>
        <v>-0.15421011595272893</v>
      </c>
      <c r="O119" s="89">
        <f t="shared" si="323"/>
        <v>-2.6339116872243773E-2</v>
      </c>
      <c r="P119" s="89">
        <f t="shared" si="324"/>
        <v>-1.5989028830106777E-3</v>
      </c>
      <c r="Q119" s="89">
        <f t="shared" si="325"/>
        <v>-2.3673377638225523E-2</v>
      </c>
      <c r="R119" s="89">
        <f t="shared" si="326"/>
        <v>3.4772489219854652E-2</v>
      </c>
      <c r="S119" s="89">
        <f t="shared" si="327"/>
        <v>3.8316063093851715E-2</v>
      </c>
      <c r="T119" s="89">
        <f t="shared" si="328"/>
        <v>9.3056363232109529E-2</v>
      </c>
      <c r="U119" s="89">
        <f t="shared" si="329"/>
        <v>4.0405780094668664E-2</v>
      </c>
      <c r="V119" s="89">
        <f t="shared" si="330"/>
        <v>8.4389336375874757E-2</v>
      </c>
      <c r="W119" s="89">
        <f t="shared" si="331"/>
        <v>1.862684436997708E-2</v>
      </c>
      <c r="X119" s="89">
        <f t="shared" si="332"/>
        <v>0.35309695313806655</v>
      </c>
      <c r="Y119" s="89">
        <f t="shared" si="333"/>
        <v>9.8873119708526636E-2</v>
      </c>
      <c r="Z119" s="89">
        <f t="shared" si="334"/>
        <v>0.14745881048918674</v>
      </c>
      <c r="AA119" s="89">
        <f t="shared" si="335"/>
        <v>5.4670130253905214E-2</v>
      </c>
    </row>
    <row r="120" spans="1:27" x14ac:dyDescent="0.25">
      <c r="A120" s="68" t="s">
        <v>1</v>
      </c>
      <c r="B120" s="44"/>
      <c r="C120" s="44"/>
      <c r="D120" s="89"/>
      <c r="E120" s="89">
        <f t="shared" si="313"/>
        <v>6.7141052020727177E-3</v>
      </c>
      <c r="F120" s="89">
        <f t="shared" si="314"/>
        <v>-0.17621399544137273</v>
      </c>
      <c r="G120" s="89">
        <f t="shared" si="315"/>
        <v>-0.11094046136709312</v>
      </c>
      <c r="H120" s="89">
        <f t="shared" si="316"/>
        <v>-0.12893170006754329</v>
      </c>
      <c r="I120" s="89">
        <f t="shared" si="317"/>
        <v>-4.6764952378277158E-2</v>
      </c>
      <c r="J120" s="89">
        <f t="shared" si="318"/>
        <v>-0.11168047923566826</v>
      </c>
      <c r="K120" s="89">
        <f t="shared" si="319"/>
        <v>8.8384210901064186E-2</v>
      </c>
      <c r="L120" s="89">
        <f t="shared" si="320"/>
        <v>-0.16709162838173564</v>
      </c>
      <c r="M120" s="89">
        <f t="shared" si="321"/>
        <v>-0.10294533876385548</v>
      </c>
      <c r="N120" s="89">
        <f t="shared" si="322"/>
        <v>-0.1681761996955432</v>
      </c>
      <c r="O120" s="89">
        <f t="shared" si="323"/>
        <v>-0.12319546015576233</v>
      </c>
      <c r="P120" s="89">
        <f t="shared" si="324"/>
        <v>-7.5881560652937718E-2</v>
      </c>
      <c r="Q120" s="89">
        <f t="shared" si="325"/>
        <v>4.3249192029576555E-2</v>
      </c>
      <c r="R120" s="89">
        <f t="shared" si="326"/>
        <v>6.6057868443758494E-2</v>
      </c>
      <c r="S120" s="89">
        <f t="shared" si="327"/>
        <v>-3.3097971014492855E-2</v>
      </c>
      <c r="T120" s="89">
        <f t="shared" si="328"/>
        <v>-2.7696418476726992E-2</v>
      </c>
      <c r="U120" s="89">
        <f t="shared" si="329"/>
        <v>-5.9041373642536366E-2</v>
      </c>
      <c r="V120" s="89">
        <f t="shared" si="330"/>
        <v>9.8047120540276644E-3</v>
      </c>
      <c r="W120" s="89">
        <f t="shared" si="331"/>
        <v>-1.3466755433736766E-2</v>
      </c>
      <c r="X120" s="89">
        <f t="shared" si="332"/>
        <v>-3.2118755176323899E-2</v>
      </c>
      <c r="Y120" s="89">
        <f t="shared" si="333"/>
        <v>0.17306284997369925</v>
      </c>
      <c r="Z120" s="89">
        <f t="shared" si="334"/>
        <v>5.1377514835089233E-3</v>
      </c>
      <c r="AA120" s="89">
        <f t="shared" si="335"/>
        <v>3.7790618505115336E-2</v>
      </c>
    </row>
    <row r="121" spans="1:27" x14ac:dyDescent="0.25">
      <c r="A121" s="68" t="s">
        <v>0</v>
      </c>
      <c r="B121" s="44"/>
      <c r="C121" s="44"/>
      <c r="D121" s="89"/>
      <c r="E121" s="89">
        <f t="shared" si="313"/>
        <v>-0.21225996637289934</v>
      </c>
      <c r="F121" s="89">
        <f t="shared" si="314"/>
        <v>3.7282075893767308E-2</v>
      </c>
      <c r="G121" s="89">
        <f t="shared" si="315"/>
        <v>6.2414814761595272E-2</v>
      </c>
      <c r="H121" s="89">
        <f t="shared" si="316"/>
        <v>0.1555706927370144</v>
      </c>
      <c r="I121" s="89">
        <f t="shared" si="317"/>
        <v>-4.4851407914916486E-3</v>
      </c>
      <c r="J121" s="89">
        <f t="shared" si="318"/>
        <v>7.7487941642409242E-2</v>
      </c>
      <c r="K121" s="89">
        <f t="shared" si="319"/>
        <v>6.413747915452972E-2</v>
      </c>
      <c r="L121" s="89">
        <f t="shared" si="320"/>
        <v>-0.41497998640356026</v>
      </c>
      <c r="M121" s="89">
        <f t="shared" si="321"/>
        <v>-0.34163118267132109</v>
      </c>
      <c r="N121" s="89">
        <f t="shared" si="322"/>
        <v>-0.17184267657300822</v>
      </c>
      <c r="O121" s="89">
        <f t="shared" si="323"/>
        <v>-0.19432320850879048</v>
      </c>
      <c r="P121" s="89">
        <f t="shared" si="324"/>
        <v>-1.7976070340445238E-2</v>
      </c>
      <c r="Q121" s="89">
        <f t="shared" si="325"/>
        <v>0.20744718182470767</v>
      </c>
      <c r="R121" s="89">
        <f t="shared" si="326"/>
        <v>9.089695466336889E-2</v>
      </c>
      <c r="S121" s="89">
        <f t="shared" si="327"/>
        <v>1.4607620052770276E-2</v>
      </c>
      <c r="T121" s="89">
        <f t="shared" si="328"/>
        <v>7.1203517513646508E-2</v>
      </c>
      <c r="U121" s="89">
        <f t="shared" si="329"/>
        <v>0.16494517044797896</v>
      </c>
      <c r="V121" s="89">
        <f t="shared" si="330"/>
        <v>0.15187065548771317</v>
      </c>
      <c r="W121" s="89">
        <f t="shared" si="331"/>
        <v>6.749312577565969E-2</v>
      </c>
      <c r="X121" s="89">
        <f t="shared" si="332"/>
        <v>-3.0107731683358452E-2</v>
      </c>
      <c r="Y121" s="89">
        <f t="shared" si="333"/>
        <v>0.43929864190353718</v>
      </c>
      <c r="Z121" s="89">
        <f t="shared" si="334"/>
        <v>4.9064856178760774E-2</v>
      </c>
      <c r="AA121" s="89">
        <f t="shared" si="335"/>
        <v>0.10066409060014525</v>
      </c>
    </row>
    <row r="122" spans="1:27" x14ac:dyDescent="0.25">
      <c r="A122" s="90" t="s">
        <v>272</v>
      </c>
      <c r="B122" s="47"/>
      <c r="C122" s="47"/>
      <c r="D122" s="91"/>
      <c r="E122" s="91">
        <f t="shared" si="313"/>
        <v>0.13374783513629729</v>
      </c>
      <c r="F122" s="91">
        <f t="shared" si="314"/>
        <v>-1.8141258070364374E-3</v>
      </c>
      <c r="G122" s="91">
        <f t="shared" si="315"/>
        <v>3.094028180149877E-2</v>
      </c>
      <c r="H122" s="91">
        <f t="shared" si="316"/>
        <v>2.4379046329443765E-2</v>
      </c>
      <c r="I122" s="91">
        <f t="shared" si="317"/>
        <v>-2.0580404226671956E-2</v>
      </c>
      <c r="J122" s="91">
        <f t="shared" si="318"/>
        <v>8.862140478372238E-2</v>
      </c>
      <c r="K122" s="91">
        <f t="shared" si="319"/>
        <v>-1.1712462304750426E-2</v>
      </c>
      <c r="L122" s="91">
        <f t="shared" si="320"/>
        <v>2.1803859914477641E-2</v>
      </c>
      <c r="M122" s="91">
        <f t="shared" si="321"/>
        <v>3.9762347097383799E-2</v>
      </c>
      <c r="N122" s="91">
        <f t="shared" si="322"/>
        <v>-0.21397820700436299</v>
      </c>
      <c r="O122" s="91">
        <f t="shared" si="323"/>
        <v>0.35949374384211796</v>
      </c>
      <c r="P122" s="91">
        <f t="shared" si="324"/>
        <v>-0.17760778733157367</v>
      </c>
      <c r="Q122" s="91">
        <f t="shared" si="325"/>
        <v>9.6258878714754248E-2</v>
      </c>
      <c r="R122" s="91">
        <f t="shared" si="326"/>
        <v>0.19662725051152741</v>
      </c>
      <c r="S122" s="91">
        <f t="shared" si="327"/>
        <v>0.27066576281287236</v>
      </c>
      <c r="T122" s="91">
        <f t="shared" si="328"/>
        <v>-0.31970473757058804</v>
      </c>
      <c r="U122" s="91">
        <f t="shared" si="329"/>
        <v>0.45068192025349241</v>
      </c>
      <c r="V122" s="91">
        <f t="shared" si="330"/>
        <v>-0.18149312212063606</v>
      </c>
      <c r="W122" s="91">
        <f t="shared" si="331"/>
        <v>0.52700871704275221</v>
      </c>
      <c r="X122" s="91">
        <f t="shared" si="332"/>
        <v>-3.9378852463495817E-2</v>
      </c>
      <c r="Y122" s="91">
        <f t="shared" si="333"/>
        <v>0.22427656977393573</v>
      </c>
      <c r="Z122" s="91">
        <f t="shared" si="334"/>
        <v>5.6546721292730862E-2</v>
      </c>
      <c r="AA122" s="91">
        <f t="shared" si="335"/>
        <v>-9.3658806345089052E-2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265</v>
      </c>
      <c r="B56" s="106" t="s">
        <v>186</v>
      </c>
      <c r="C56" s="67"/>
      <c r="D56" s="39"/>
    </row>
    <row r="57" spans="1:4" x14ac:dyDescent="0.25">
      <c r="A57" s="128" t="s">
        <v>266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269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270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272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Macro_euro2023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2025-11-06T10:25:41Z</dcterms:created>
  <dcterms:modified xsi:type="dcterms:W3CDTF">2025-11-06T10:25:41Z</dcterms:modified>
</cp:coreProperties>
</file>