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IE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Y67" i="6"/>
  <c r="X67" i="6"/>
  <c r="Y119" i="6"/>
  <c r="Y173" i="6" s="1"/>
  <c r="X119" i="6"/>
  <c r="X173" i="6" s="1"/>
  <c r="X26" i="12"/>
  <c r="X24" i="12"/>
  <c r="Y16" i="7"/>
  <c r="X16" i="7"/>
  <c r="Y14" i="13"/>
  <c r="X13" i="12"/>
  <c r="X21" i="12"/>
  <c r="X20" i="12"/>
  <c r="X16" i="8"/>
  <c r="Y14" i="12"/>
  <c r="Y6" i="12"/>
  <c r="Y33" i="10"/>
  <c r="Y22" i="13"/>
  <c r="X22" i="13"/>
  <c r="Y21" i="13"/>
  <c r="X21" i="13"/>
  <c r="Y20" i="13"/>
  <c r="Y18" i="13"/>
  <c r="X18" i="10"/>
  <c r="Y17" i="13"/>
  <c r="X17" i="10"/>
  <c r="Y6" i="13"/>
  <c r="X5" i="10"/>
  <c r="Y17" i="10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3" i="12"/>
  <c r="Y22" i="12"/>
  <c r="X17" i="12"/>
  <c r="X14" i="12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6" i="23"/>
  <c r="Y24" i="25"/>
  <c r="Y14" i="24"/>
  <c r="X13" i="23"/>
  <c r="Y10" i="24"/>
  <c r="X9" i="23"/>
  <c r="Y7" i="25"/>
  <c r="X24" i="23"/>
  <c r="Y23" i="23"/>
  <c r="X23" i="23"/>
  <c r="Y22" i="23"/>
  <c r="Y20" i="23"/>
  <c r="Y20" i="26" s="1"/>
  <c r="Y33" i="24"/>
  <c r="X33" i="21"/>
  <c r="Y22" i="24"/>
  <c r="Y20" i="21"/>
  <c r="X20" i="21"/>
  <c r="X18" i="24"/>
  <c r="Y17" i="24"/>
  <c r="X15" i="21"/>
  <c r="Y18" i="21"/>
  <c r="X5" i="21"/>
  <c r="Y33" i="25"/>
  <c r="Y33" i="28" s="1"/>
  <c r="X33" i="25"/>
  <c r="X33" i="28" s="1"/>
  <c r="Y26" i="25"/>
  <c r="Y26" i="28" s="1"/>
  <c r="X25" i="25"/>
  <c r="X25" i="28" s="1"/>
  <c r="X24" i="25"/>
  <c r="Y23" i="25"/>
  <c r="X23" i="25"/>
  <c r="Y22" i="25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8" i="23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Y15" i="25"/>
  <c r="Y15" i="28" s="1"/>
  <c r="X15" i="25"/>
  <c r="X15" i="28" s="1"/>
  <c r="X11" i="25"/>
  <c r="X11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2" i="29"/>
  <c r="X5" i="30" s="1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Y10" i="30"/>
  <c r="X8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14" i="36"/>
  <c r="Y9" i="36"/>
  <c r="Y27" i="6" l="1"/>
  <c r="Y24" i="28" s="1"/>
  <c r="Y33" i="13"/>
  <c r="Y18" i="10"/>
  <c r="X7" i="12"/>
  <c r="X8" i="12"/>
  <c r="Y24" i="23"/>
  <c r="Y24" i="26" s="1"/>
  <c r="Y5" i="10"/>
  <c r="X25" i="23"/>
  <c r="Y24" i="12"/>
  <c r="X25" i="12"/>
  <c r="X7" i="21"/>
  <c r="X23" i="21"/>
  <c r="Y7" i="24"/>
  <c r="Y23" i="10"/>
  <c r="Y10" i="12"/>
  <c r="X8" i="13"/>
  <c r="X11" i="12"/>
  <c r="Y8" i="13"/>
  <c r="X9" i="21"/>
  <c r="X25" i="24"/>
  <c r="X17" i="24"/>
  <c r="X17" i="27" s="1"/>
  <c r="X25" i="13"/>
  <c r="X12" i="12"/>
  <c r="X14" i="30"/>
  <c r="X7" i="14"/>
  <c r="Y25" i="13"/>
  <c r="X31" i="23"/>
  <c r="X31" i="26" s="1"/>
  <c r="X26" i="13"/>
  <c r="Y26" i="24"/>
  <c r="Y31" i="23"/>
  <c r="Y10" i="13"/>
  <c r="Y10" i="16" s="1"/>
  <c r="Y26" i="13"/>
  <c r="X27" i="21"/>
  <c r="X32" i="23"/>
  <c r="X11" i="13"/>
  <c r="Y8" i="25"/>
  <c r="Y8" i="28" s="1"/>
  <c r="X21" i="21"/>
  <c r="X13" i="29"/>
  <c r="X12" i="24"/>
  <c r="X12" i="13"/>
  <c r="X30" i="13"/>
  <c r="Y11" i="24"/>
  <c r="Y11" i="27" s="1"/>
  <c r="Y13" i="29"/>
  <c r="Y5" i="31" s="1"/>
  <c r="Y9" i="25"/>
  <c r="Y12" i="24"/>
  <c r="Y12" i="27" s="1"/>
  <c r="Y21" i="25"/>
  <c r="Y21" i="28" s="1"/>
  <c r="X10" i="14"/>
  <c r="X30" i="14"/>
  <c r="Y12" i="13"/>
  <c r="Y8" i="24"/>
  <c r="Y8" i="27" s="1"/>
  <c r="Y52" i="38"/>
  <c r="X14" i="29"/>
  <c r="X6" i="29" s="1"/>
  <c r="X10" i="25"/>
  <c r="X10" i="28" s="1"/>
  <c r="X13" i="21"/>
  <c r="X31" i="24"/>
  <c r="X17" i="23"/>
  <c r="X22" i="24"/>
  <c r="Y10" i="14"/>
  <c r="X31" i="13"/>
  <c r="Y33" i="12"/>
  <c r="Y17" i="23"/>
  <c r="X31" i="14"/>
  <c r="Y31" i="13"/>
  <c r="X8" i="24"/>
  <c r="X8" i="27" s="1"/>
  <c r="X8" i="25"/>
  <c r="X9" i="36"/>
  <c r="Y53" i="38"/>
  <c r="Y31" i="14"/>
  <c r="X32" i="10"/>
  <c r="Y19" i="22"/>
  <c r="Y14" i="21"/>
  <c r="Y32" i="21"/>
  <c r="X17" i="13"/>
  <c r="Y45" i="37"/>
  <c r="X33" i="10"/>
  <c r="Y33" i="21"/>
  <c r="Y12" i="23"/>
  <c r="Y12" i="26" s="1"/>
  <c r="X6" i="14"/>
  <c r="X10" i="12"/>
  <c r="X14" i="13"/>
  <c r="X13" i="24"/>
  <c r="X32" i="25"/>
  <c r="X11" i="24"/>
  <c r="X29" i="19"/>
  <c r="X71" i="6"/>
  <c r="X7" i="25"/>
  <c r="X17" i="25"/>
  <c r="Y31" i="21"/>
  <c r="Y6" i="23"/>
  <c r="Y6" i="26" s="1"/>
  <c r="Y10" i="23"/>
  <c r="Y14" i="23"/>
  <c r="Y19" i="19"/>
  <c r="Y5" i="23"/>
  <c r="X14" i="36"/>
  <c r="X22" i="25"/>
  <c r="X22" i="28" s="1"/>
  <c r="X17" i="21"/>
  <c r="X32" i="21"/>
  <c r="X7" i="23"/>
  <c r="X11" i="23"/>
  <c r="X11" i="26" s="1"/>
  <c r="Y26" i="12"/>
  <c r="Y29" i="7"/>
  <c r="Y37" i="6"/>
  <c r="X33" i="24"/>
  <c r="Y30" i="14"/>
  <c r="Y24" i="13"/>
  <c r="Y30" i="13"/>
  <c r="X18" i="12"/>
  <c r="X23" i="14"/>
  <c r="X28" i="12"/>
  <c r="X33" i="12"/>
  <c r="X27" i="6"/>
  <c r="X28" i="26" s="1"/>
  <c r="Y8" i="14"/>
  <c r="Y12" i="12"/>
  <c r="Y18" i="12"/>
  <c r="Y28" i="12"/>
  <c r="X82" i="6"/>
  <c r="X81" i="6" s="1"/>
  <c r="X92" i="6" s="1"/>
  <c r="X107" i="6"/>
  <c r="X24" i="28"/>
  <c r="X9" i="25"/>
  <c r="X9" i="28" s="1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24" i="15" s="1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X21" i="27"/>
  <c r="X29" i="8"/>
  <c r="X30" i="12"/>
  <c r="X30" i="10"/>
  <c r="X4" i="7"/>
  <c r="X4" i="12" s="1"/>
  <c r="X5" i="12"/>
  <c r="X32" i="14"/>
  <c r="X29" i="11"/>
  <c r="Y20" i="12"/>
  <c r="Y20" i="10"/>
  <c r="X33" i="6"/>
  <c r="X5" i="24"/>
  <c r="X5" i="23"/>
  <c r="X30" i="23"/>
  <c r="X18" i="13"/>
  <c r="X20" i="10"/>
  <c r="X10" i="13"/>
  <c r="X14" i="10"/>
  <c r="X19" i="9"/>
  <c r="X24" i="13"/>
  <c r="X29" i="9"/>
  <c r="Y8" i="12"/>
  <c r="X22" i="12"/>
  <c r="Y31" i="10"/>
  <c r="Y24" i="14"/>
  <c r="Y101" i="6"/>
  <c r="Y122" i="6" s="1"/>
  <c r="X117" i="6"/>
  <c r="X9" i="13"/>
  <c r="X23" i="13"/>
  <c r="X52" i="37"/>
  <c r="Y31" i="24"/>
  <c r="X21" i="25"/>
  <c r="Y12" i="21"/>
  <c r="X9" i="24"/>
  <c r="X12" i="21"/>
  <c r="X17" i="14"/>
  <c r="X5" i="13"/>
  <c r="X6" i="12"/>
  <c r="Y14" i="10"/>
  <c r="X4" i="8"/>
  <c r="X9" i="12"/>
  <c r="Y117" i="6"/>
  <c r="X17" i="28"/>
  <c r="Y29" i="22"/>
  <c r="Y29" i="25" s="1"/>
  <c r="Y5" i="21"/>
  <c r="Y23" i="24"/>
  <c r="Y28" i="24"/>
  <c r="Y16" i="18"/>
  <c r="Y32" i="25"/>
  <c r="Y32" i="28" s="1"/>
  <c r="Y5" i="13"/>
  <c r="X5" i="14"/>
  <c r="X19" i="11"/>
  <c r="X4" i="9"/>
  <c r="X15" i="10"/>
  <c r="Y13" i="12"/>
  <c r="X27" i="10"/>
  <c r="Y11" i="12"/>
  <c r="Y21" i="27"/>
  <c r="X5" i="25"/>
  <c r="X5" i="28" s="1"/>
  <c r="X28" i="13"/>
  <c r="Y9" i="13"/>
  <c r="Y16" i="9"/>
  <c r="Y16" i="13" s="1"/>
  <c r="Y9" i="39"/>
  <c r="Y17" i="38"/>
  <c r="Y46" i="37"/>
  <c r="X6" i="25"/>
  <c r="X6" i="28" s="1"/>
  <c r="Y15" i="21"/>
  <c r="X51" i="39"/>
  <c r="Y32" i="24"/>
  <c r="Y32" i="27" s="1"/>
  <c r="Y16" i="22"/>
  <c r="X6" i="24"/>
  <c r="X6" i="27" s="1"/>
  <c r="X24" i="24"/>
  <c r="X30" i="24"/>
  <c r="X6" i="13"/>
  <c r="Y11" i="10"/>
  <c r="Y15" i="10"/>
  <c r="X8" i="14"/>
  <c r="X13" i="13"/>
  <c r="X9" i="39"/>
  <c r="X46" i="37"/>
  <c r="X25" i="26"/>
  <c r="X21" i="23"/>
  <c r="X21" i="26" s="1"/>
  <c r="Y13" i="13"/>
  <c r="X19" i="7"/>
  <c r="X27" i="12" s="1"/>
  <c r="X29" i="7"/>
  <c r="Y19" i="18"/>
  <c r="Y27" i="24" s="1"/>
  <c r="Y31" i="25"/>
  <c r="Y9" i="38"/>
  <c r="Y52" i="37"/>
  <c r="X32" i="24"/>
  <c r="Y51" i="39"/>
  <c r="Y6" i="24"/>
  <c r="Y6" i="27" s="1"/>
  <c r="Y24" i="24"/>
  <c r="Y24" i="27" s="1"/>
  <c r="Y18" i="23"/>
  <c r="X16" i="9"/>
  <c r="X16" i="13" s="1"/>
  <c r="X19" i="8"/>
  <c r="X3" i="8" s="1"/>
  <c r="Y33" i="6"/>
  <c r="X91" i="6"/>
  <c r="X103" i="6"/>
  <c r="X124" i="6" s="1"/>
  <c r="X17" i="37"/>
  <c r="X50" i="37" s="1"/>
  <c r="Y11" i="23"/>
  <c r="Y11" i="26" s="1"/>
  <c r="Y71" i="6"/>
  <c r="Y104" i="6"/>
  <c r="Y10" i="21"/>
  <c r="X21" i="10"/>
  <c r="X105" i="6"/>
  <c r="X8" i="33"/>
  <c r="Y9" i="21"/>
  <c r="Y25" i="21"/>
  <c r="Y13" i="23"/>
  <c r="Y21" i="10"/>
  <c r="Y9" i="12"/>
  <c r="Y105" i="6"/>
  <c r="X72" i="29"/>
  <c r="X6" i="34" s="1"/>
  <c r="X10" i="21"/>
  <c r="X26" i="21"/>
  <c r="X14" i="23"/>
  <c r="X14" i="26" s="1"/>
  <c r="X22" i="10"/>
  <c r="Y72" i="29"/>
  <c r="Y6" i="34" s="1"/>
  <c r="Y22" i="10"/>
  <c r="Y25" i="12"/>
  <c r="X29" i="18"/>
  <c r="X29" i="23" s="1"/>
  <c r="X29" i="26" s="1"/>
  <c r="X17" i="29"/>
  <c r="X5" i="35" s="1"/>
  <c r="X11" i="21"/>
  <c r="X23" i="10"/>
  <c r="X24" i="10"/>
  <c r="X104" i="6"/>
  <c r="Y8" i="30"/>
  <c r="Y24" i="10"/>
  <c r="Y16" i="11"/>
  <c r="Y16" i="14" s="1"/>
  <c r="Y6" i="10"/>
  <c r="X25" i="10"/>
  <c r="X8" i="28"/>
  <c r="X16" i="19"/>
  <c r="X7" i="10"/>
  <c r="Y25" i="10"/>
  <c r="Y19" i="9"/>
  <c r="X12" i="23"/>
  <c r="X12" i="26" s="1"/>
  <c r="Y22" i="21"/>
  <c r="Y13" i="21"/>
  <c r="Y16" i="19"/>
  <c r="X8" i="10"/>
  <c r="X26" i="10"/>
  <c r="X114" i="6"/>
  <c r="X30" i="25"/>
  <c r="Y23" i="21"/>
  <c r="X14" i="21"/>
  <c r="X33" i="23"/>
  <c r="X4" i="11"/>
  <c r="Y8" i="10"/>
  <c r="Y26" i="10"/>
  <c r="X15" i="7"/>
  <c r="X15" i="13" s="1"/>
  <c r="Y19" i="7"/>
  <c r="Y27" i="12" s="1"/>
  <c r="Y17" i="37"/>
  <c r="X31" i="25"/>
  <c r="Y24" i="21"/>
  <c r="X7" i="13"/>
  <c r="X9" i="10"/>
  <c r="X115" i="6"/>
  <c r="X23" i="24"/>
  <c r="X23" i="27" s="1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9" i="37"/>
  <c r="X48" i="37" s="1"/>
  <c r="X12" i="10"/>
  <c r="Y23" i="6"/>
  <c r="Y70" i="29"/>
  <c r="Y6" i="32" s="1"/>
  <c r="X4" i="29"/>
  <c r="Y25" i="24"/>
  <c r="Y25" i="27" s="1"/>
  <c r="X29" i="22"/>
  <c r="Y12" i="10"/>
  <c r="X24" i="6"/>
  <c r="X17" i="38"/>
  <c r="X53" i="37"/>
  <c r="X17" i="39"/>
  <c r="X47" i="38"/>
  <c r="Y14" i="29"/>
  <c r="X7" i="24"/>
  <c r="X7" i="27" s="1"/>
  <c r="X26" i="24"/>
  <c r="X26" i="27" s="1"/>
  <c r="Y21" i="23"/>
  <c r="Y21" i="26" s="1"/>
  <c r="X13" i="10"/>
  <c r="Y24" i="6"/>
  <c r="Y17" i="39"/>
  <c r="Y47" i="38"/>
  <c r="X15" i="29"/>
  <c r="X7" i="29" s="1"/>
  <c r="Y17" i="25"/>
  <c r="Y25" i="23"/>
  <c r="Y25" i="26" s="1"/>
  <c r="X25" i="6"/>
  <c r="X51" i="38"/>
  <c r="Y15" i="29"/>
  <c r="Y5" i="33" s="1"/>
  <c r="X28" i="24"/>
  <c r="X23" i="26"/>
  <c r="X4" i="19"/>
  <c r="X26" i="23"/>
  <c r="X26" i="26" s="1"/>
  <c r="Y9" i="14"/>
  <c r="Y25" i="6"/>
  <c r="Y49" i="37"/>
  <c r="X16" i="29"/>
  <c r="Y9" i="23"/>
  <c r="X26" i="6"/>
  <c r="X33" i="39"/>
  <c r="Y51" i="38"/>
  <c r="X9" i="38"/>
  <c r="X52" i="38"/>
  <c r="X68" i="29"/>
  <c r="X6" i="30" s="1"/>
  <c r="X10" i="23"/>
  <c r="X10" i="26" s="1"/>
  <c r="X5" i="31"/>
  <c r="X5" i="29"/>
  <c r="Y12" i="29"/>
  <c r="Y16" i="29"/>
  <c r="X8" i="23"/>
  <c r="X8" i="26" s="1"/>
  <c r="Y30" i="23"/>
  <c r="X24" i="21"/>
  <c r="X29" i="20"/>
  <c r="X31" i="21"/>
  <c r="X4" i="18"/>
  <c r="X3" i="18" s="1"/>
  <c r="X15" i="18"/>
  <c r="X6" i="23"/>
  <c r="Y32" i="14"/>
  <c r="Y29" i="11"/>
  <c r="Y29" i="8"/>
  <c r="Y30" i="12"/>
  <c r="X69" i="29"/>
  <c r="X6" i="31" s="1"/>
  <c r="Y8" i="26"/>
  <c r="Y13" i="24"/>
  <c r="X4" i="22"/>
  <c r="Y48" i="6"/>
  <c r="Y102" i="6"/>
  <c r="X8" i="35"/>
  <c r="Y4" i="18"/>
  <c r="Y3" i="18" s="1"/>
  <c r="Y15" i="18"/>
  <c r="Y15" i="24" s="1"/>
  <c r="X16" i="14"/>
  <c r="X16" i="12"/>
  <c r="Y8" i="35"/>
  <c r="X8" i="34"/>
  <c r="Y5" i="25"/>
  <c r="X20" i="23"/>
  <c r="X20" i="26" s="1"/>
  <c r="Y30" i="25"/>
  <c r="Y11" i="21"/>
  <c r="Y19" i="20"/>
  <c r="Y21" i="21"/>
  <c r="Y19" i="8"/>
  <c r="Y21" i="12"/>
  <c r="Y82" i="6"/>
  <c r="Y116" i="6"/>
  <c r="X73" i="29"/>
  <c r="X6" i="35" s="1"/>
  <c r="Y4" i="19"/>
  <c r="Y7" i="23"/>
  <c r="Y21" i="6"/>
  <c r="Y20" i="6"/>
  <c r="Y69" i="29"/>
  <c r="Y6" i="31" s="1"/>
  <c r="Y5" i="24"/>
  <c r="Y32" i="12"/>
  <c r="Y7" i="10"/>
  <c r="Y4" i="9"/>
  <c r="Y23" i="12"/>
  <c r="Y23" i="14"/>
  <c r="X70" i="29"/>
  <c r="X6" i="32" s="1"/>
  <c r="Y29" i="20"/>
  <c r="Y30" i="21"/>
  <c r="Y30" i="24"/>
  <c r="X8" i="31"/>
  <c r="Y8" i="34"/>
  <c r="Y8" i="31"/>
  <c r="Y17" i="29"/>
  <c r="Y6" i="25"/>
  <c r="Y6" i="28" s="1"/>
  <c r="Y4" i="22"/>
  <c r="X22" i="21"/>
  <c r="X19" i="20"/>
  <c r="X19" i="18"/>
  <c r="X22" i="23"/>
  <c r="Y22" i="14"/>
  <c r="Y13" i="10"/>
  <c r="Y16" i="8"/>
  <c r="Y16" i="12" s="1"/>
  <c r="Y17" i="12"/>
  <c r="Y107" i="6"/>
  <c r="Y32" i="10"/>
  <c r="Y29" i="9"/>
  <c r="Y32" i="13"/>
  <c r="Y9" i="24"/>
  <c r="X4" i="20"/>
  <c r="X6" i="21"/>
  <c r="Y27" i="10"/>
  <c r="Y28" i="13"/>
  <c r="Y28" i="16" s="1"/>
  <c r="Y7" i="12"/>
  <c r="Y4" i="7"/>
  <c r="Y3" i="7" s="1"/>
  <c r="Y7" i="14"/>
  <c r="Y15" i="7"/>
  <c r="Y15" i="12" s="1"/>
  <c r="X10" i="24"/>
  <c r="X10" i="27" s="1"/>
  <c r="X19" i="22"/>
  <c r="Y4" i="20"/>
  <c r="Y16" i="20"/>
  <c r="Y17" i="21"/>
  <c r="Y32" i="23"/>
  <c r="Y32" i="26" s="1"/>
  <c r="Y29" i="19"/>
  <c r="Y29" i="23" s="1"/>
  <c r="Y4" i="11"/>
  <c r="Y5" i="14"/>
  <c r="Y4" i="8"/>
  <c r="Y5" i="12"/>
  <c r="Y139" i="6"/>
  <c r="Y149" i="6"/>
  <c r="X14" i="24"/>
  <c r="X14" i="27" s="1"/>
  <c r="X16" i="22"/>
  <c r="Y7" i="21"/>
  <c r="X16" i="20"/>
  <c r="X18" i="21"/>
  <c r="Y28" i="23"/>
  <c r="X16" i="18"/>
  <c r="X18" i="23"/>
  <c r="Y7" i="13"/>
  <c r="Y11" i="13"/>
  <c r="Y23" i="13"/>
  <c r="X93" i="6"/>
  <c r="X89" i="6"/>
  <c r="X113" i="6"/>
  <c r="X149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X7" i="28" l="1"/>
  <c r="X28" i="27"/>
  <c r="X31" i="28"/>
  <c r="X22" i="26"/>
  <c r="Y31" i="26"/>
  <c r="Y31" i="27"/>
  <c r="Y26" i="27"/>
  <c r="Y23" i="26"/>
  <c r="X3" i="7"/>
  <c r="X3" i="12" s="1"/>
  <c r="Y18" i="26"/>
  <c r="Y29" i="12"/>
  <c r="X19" i="10"/>
  <c r="X90" i="6"/>
  <c r="Y23" i="27"/>
  <c r="X94" i="6"/>
  <c r="X12" i="36"/>
  <c r="Y30" i="28"/>
  <c r="Y17" i="28"/>
  <c r="X31" i="6"/>
  <c r="Y30" i="27"/>
  <c r="Y29" i="26"/>
  <c r="Y30" i="26"/>
  <c r="X4" i="14"/>
  <c r="X4" i="17" s="1"/>
  <c r="Y5" i="28"/>
  <c r="Y28" i="26"/>
  <c r="Y5" i="29"/>
  <c r="X4" i="13"/>
  <c r="X4" i="16" s="1"/>
  <c r="Y26" i="26"/>
  <c r="Y13" i="26"/>
  <c r="X163" i="6"/>
  <c r="X16" i="10"/>
  <c r="Y18" i="27"/>
  <c r="Y5" i="39"/>
  <c r="Y37" i="39" s="1"/>
  <c r="X5" i="39"/>
  <c r="Y5" i="37"/>
  <c r="Y32" i="37" s="1"/>
  <c r="X5" i="32"/>
  <c r="Y23" i="28"/>
  <c r="Y17" i="26"/>
  <c r="Y5" i="26"/>
  <c r="Y31" i="28"/>
  <c r="Y28" i="27"/>
  <c r="Y33" i="26"/>
  <c r="Y15" i="27"/>
  <c r="Y27" i="27"/>
  <c r="Y14" i="26"/>
  <c r="Y9" i="28"/>
  <c r="Y22" i="27"/>
  <c r="Y17" i="27"/>
  <c r="Y29" i="28"/>
  <c r="Y10" i="26"/>
  <c r="Y13" i="27"/>
  <c r="Y22" i="28"/>
  <c r="Y9" i="27"/>
  <c r="Y10" i="27"/>
  <c r="X30" i="26"/>
  <c r="Y5" i="27"/>
  <c r="Y7" i="27"/>
  <c r="Y7" i="26"/>
  <c r="X5" i="26"/>
  <c r="X5" i="27"/>
  <c r="Y14" i="27"/>
  <c r="Y9" i="26"/>
  <c r="Y22" i="26"/>
  <c r="Y16" i="25"/>
  <c r="Y16" i="28" s="1"/>
  <c r="X29" i="10"/>
  <c r="X15" i="12"/>
  <c r="X15" i="15" s="1"/>
  <c r="Y29" i="14"/>
  <c r="Y29" i="17" s="1"/>
  <c r="Y16" i="23"/>
  <c r="Y16" i="26" s="1"/>
  <c r="Y31" i="6"/>
  <c r="X4" i="23"/>
  <c r="X4" i="26" s="1"/>
  <c r="X29" i="13"/>
  <c r="X29" i="16" s="1"/>
  <c r="X3" i="19"/>
  <c r="X9" i="29"/>
  <c r="X3" i="35" s="1"/>
  <c r="X25" i="27"/>
  <c r="X13" i="26"/>
  <c r="X17" i="26"/>
  <c r="X11" i="27"/>
  <c r="X27" i="13"/>
  <c r="X27" i="16" s="1"/>
  <c r="X33" i="27"/>
  <c r="X9" i="27"/>
  <c r="X13" i="27"/>
  <c r="X21" i="28"/>
  <c r="X30" i="27"/>
  <c r="X24" i="27"/>
  <c r="Y30" i="15"/>
  <c r="Y15" i="13"/>
  <c r="Y15" i="16" s="1"/>
  <c r="X33" i="26"/>
  <c r="X32" i="26"/>
  <c r="Y10" i="17"/>
  <c r="X22" i="15"/>
  <c r="Y33" i="27"/>
  <c r="X18" i="26"/>
  <c r="X6" i="26"/>
  <c r="X23" i="28"/>
  <c r="X22" i="27"/>
  <c r="X7" i="26"/>
  <c r="Y7" i="28"/>
  <c r="X32" i="27"/>
  <c r="X30" i="28"/>
  <c r="X18" i="27"/>
  <c r="Y19" i="23"/>
  <c r="Y19" i="26" s="1"/>
  <c r="X57" i="6"/>
  <c r="X56" i="6"/>
  <c r="X19" i="13"/>
  <c r="X19" i="16" s="1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29" i="6" s="1"/>
  <c r="X12" i="27"/>
  <c r="X24" i="26"/>
  <c r="X58" i="6"/>
  <c r="Y50" i="39"/>
  <c r="Y48" i="38"/>
  <c r="X19" i="14"/>
  <c r="X19" i="17" s="1"/>
  <c r="X31" i="27"/>
  <c r="X16" i="23"/>
  <c r="X16" i="26" s="1"/>
  <c r="X5" i="37"/>
  <c r="X35" i="37" s="1"/>
  <c r="X48" i="39"/>
  <c r="Y27" i="23"/>
  <c r="Y27" i="26" s="1"/>
  <c r="X55" i="6"/>
  <c r="X32" i="28"/>
  <c r="X161" i="6"/>
  <c r="Y5" i="16"/>
  <c r="X4" i="15"/>
  <c r="X169" i="6"/>
  <c r="X159" i="6"/>
  <c r="X155" i="6"/>
  <c r="X171" i="6"/>
  <c r="X131" i="6"/>
  <c r="X165" i="6"/>
  <c r="Y14" i="15"/>
  <c r="Y9" i="17"/>
  <c r="Y23" i="16"/>
  <c r="X156" i="6"/>
  <c r="X11" i="29"/>
  <c r="Y147" i="6"/>
  <c r="X168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9" i="16"/>
  <c r="Y18" i="15"/>
  <c r="Y14" i="16"/>
  <c r="Y5" i="15"/>
  <c r="Y32" i="15"/>
  <c r="Y29" i="15"/>
  <c r="Y20" i="15"/>
  <c r="Y25" i="15"/>
  <c r="Y11" i="16"/>
  <c r="Y17" i="16"/>
  <c r="Y22" i="15"/>
  <c r="Y18" i="16"/>
  <c r="Y17" i="15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8" i="16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9" i="15"/>
  <c r="X50" i="38"/>
  <c r="X21" i="17"/>
  <c r="X7" i="15"/>
  <c r="X132" i="6"/>
  <c r="Y19" i="12"/>
  <c r="Y19" i="15" s="1"/>
  <c r="X23" i="17"/>
  <c r="X28" i="16"/>
  <c r="Y50" i="37"/>
  <c r="Y44" i="37" s="1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144" i="6"/>
  <c r="X29" i="25"/>
  <c r="X29" i="28" s="1"/>
  <c r="X140" i="6"/>
  <c r="X16" i="15"/>
  <c r="X20" i="17"/>
  <c r="X32" i="16"/>
  <c r="X8" i="15"/>
  <c r="X23" i="15"/>
  <c r="Y31" i="36"/>
  <c r="Y34" i="36"/>
  <c r="Y32" i="36"/>
  <c r="X8" i="36"/>
  <c r="X3" i="11"/>
  <c r="Y159" i="6"/>
  <c r="Y135" i="6"/>
  <c r="X5" i="38"/>
  <c r="X38" i="38" s="1"/>
  <c r="X44" i="37"/>
  <c r="X3" i="31"/>
  <c r="Y163" i="6"/>
  <c r="Y165" i="6"/>
  <c r="X158" i="6"/>
  <c r="X125" i="6"/>
  <c r="Y164" i="6"/>
  <c r="X3" i="32"/>
  <c r="X3" i="30"/>
  <c r="X3" i="33"/>
  <c r="Y171" i="6"/>
  <c r="Y162" i="6"/>
  <c r="Y157" i="6"/>
  <c r="Y124" i="6"/>
  <c r="Y134" i="6"/>
  <c r="Y125" i="6"/>
  <c r="X12" i="15"/>
  <c r="X13" i="16"/>
  <c r="X16" i="16"/>
  <c r="Y169" i="6"/>
  <c r="X16" i="25"/>
  <c r="X16" i="28" s="1"/>
  <c r="X30" i="16"/>
  <c r="X9" i="17"/>
  <c r="X31" i="17"/>
  <c r="X147" i="6"/>
  <c r="X26" i="15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X143" i="6"/>
  <c r="X167" i="6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Y123" i="6"/>
  <c r="Y132" i="6"/>
  <c r="Y156" i="6"/>
  <c r="Y16" i="10"/>
  <c r="X3" i="29" l="1"/>
  <c r="Y3" i="31"/>
  <c r="X34" i="36"/>
  <c r="X32" i="36"/>
  <c r="X31" i="36"/>
  <c r="X3" i="23"/>
  <c r="X38" i="39"/>
  <c r="Y40" i="37"/>
  <c r="Y39" i="37"/>
  <c r="Y35" i="39"/>
  <c r="X36" i="37"/>
  <c r="X36" i="39"/>
  <c r="Y35" i="37"/>
  <c r="Y38" i="37"/>
  <c r="X44" i="39"/>
  <c r="Y36" i="37"/>
  <c r="X32" i="37"/>
  <c r="Y36" i="39"/>
  <c r="X37" i="37"/>
  <c r="X33" i="37"/>
  <c r="X35" i="39"/>
  <c r="X38" i="37"/>
  <c r="Y38" i="39"/>
  <c r="Y34" i="37"/>
  <c r="Y33" i="37"/>
  <c r="Y44" i="39"/>
  <c r="X39" i="37"/>
  <c r="X40" i="37"/>
  <c r="X34" i="37"/>
  <c r="X37" i="39"/>
  <c r="Y37" i="37"/>
  <c r="Y39" i="38"/>
  <c r="Y44" i="38"/>
  <c r="X153" i="6"/>
  <c r="X3" i="10"/>
  <c r="X3" i="14"/>
  <c r="X3" i="13"/>
  <c r="X154" i="6"/>
  <c r="X121" i="6"/>
  <c r="Y33" i="38"/>
  <c r="Y34" i="38"/>
  <c r="Y35" i="38"/>
  <c r="Y32" i="38"/>
  <c r="Y36" i="38"/>
  <c r="Y40" i="38"/>
  <c r="Y38" i="38"/>
  <c r="Y37" i="38"/>
  <c r="Y3" i="32"/>
  <c r="Y3" i="12"/>
  <c r="Y3" i="33"/>
  <c r="X36" i="38"/>
  <c r="X35" i="38"/>
  <c r="X44" i="38"/>
  <c r="X33" i="38"/>
  <c r="Y121" i="6"/>
  <c r="X3" i="26"/>
  <c r="X39" i="38"/>
  <c r="X37" i="38"/>
  <c r="Y3" i="35"/>
  <c r="X32" i="38"/>
  <c r="Y3" i="14"/>
  <c r="Y3" i="34"/>
  <c r="Y3" i="25"/>
  <c r="X3" i="1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Y31" i="39" l="1"/>
  <c r="Y31" i="37"/>
  <c r="X31" i="37"/>
  <c r="X31" i="39"/>
  <c r="X3" i="16"/>
  <c r="X3" i="17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K5" i="29" s="1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V4" i="29" l="1"/>
  <c r="T7" i="29"/>
  <c r="R7" i="29"/>
  <c r="V8" i="29"/>
  <c r="W8" i="29"/>
  <c r="W3" i="34" s="1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S8" i="32"/>
  <c r="W3" i="31"/>
  <c r="W8" i="30"/>
  <c r="W8" i="35"/>
  <c r="S8" i="33"/>
  <c r="U8" i="32"/>
  <c r="W8" i="31"/>
  <c r="B69" i="29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R3" i="35" l="1"/>
  <c r="N3" i="29"/>
  <c r="T3" i="35"/>
  <c r="U3" i="32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V3" i="23" s="1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F31" i="21"/>
  <c r="F29" i="19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F29" i="23" l="1"/>
  <c r="J19" i="24"/>
  <c r="E4" i="24"/>
  <c r="P29" i="25"/>
  <c r="P29" i="28" s="1"/>
  <c r="E19" i="14"/>
  <c r="C16" i="13"/>
  <c r="K29" i="13"/>
  <c r="C4" i="24"/>
  <c r="K29" i="12"/>
  <c r="J29" i="23"/>
  <c r="N19" i="24"/>
  <c r="K16" i="24"/>
  <c r="G16" i="12"/>
  <c r="O4" i="23"/>
  <c r="O4" i="24"/>
  <c r="N19" i="23"/>
  <c r="C4" i="13"/>
  <c r="O4" i="12"/>
  <c r="E4" i="23"/>
  <c r="H4" i="12"/>
  <c r="J29" i="13"/>
  <c r="C4" i="12"/>
  <c r="F4" i="24"/>
  <c r="G19" i="24"/>
  <c r="P29" i="12"/>
  <c r="P29" i="15" s="1"/>
  <c r="H29" i="23"/>
  <c r="H29" i="26" s="1"/>
  <c r="O29" i="13"/>
  <c r="O29" i="16" s="1"/>
  <c r="P19" i="24"/>
  <c r="J19" i="23"/>
  <c r="J19" i="26" s="1"/>
  <c r="P29" i="13"/>
  <c r="P29" i="16" s="1"/>
  <c r="H29" i="24"/>
  <c r="G19" i="23"/>
  <c r="G19" i="26" s="1"/>
  <c r="O29" i="23"/>
  <c r="O29" i="26" s="1"/>
  <c r="O29" i="12"/>
  <c r="O29" i="15" s="1"/>
  <c r="C17" i="16"/>
  <c r="E4" i="13"/>
  <c r="P4" i="12"/>
  <c r="O4" i="13"/>
  <c r="O4" i="16" s="1"/>
  <c r="K4" i="24"/>
  <c r="D16" i="13"/>
  <c r="O16" i="24"/>
  <c r="B16" i="13"/>
  <c r="M29" i="24"/>
  <c r="M29" i="27" s="1"/>
  <c r="L19" i="24"/>
  <c r="L19" i="27" s="1"/>
  <c r="N29" i="13"/>
  <c r="K19" i="12"/>
  <c r="K19" i="15" s="1"/>
  <c r="H29" i="12"/>
  <c r="D16" i="25"/>
  <c r="O29" i="24"/>
  <c r="J4" i="12"/>
  <c r="J4" i="15" s="1"/>
  <c r="H4" i="23"/>
  <c r="Q16" i="13"/>
  <c r="O16" i="12"/>
  <c r="O16" i="15" s="1"/>
  <c r="N4" i="12"/>
  <c r="N4" i="15" s="1"/>
  <c r="L4" i="23"/>
  <c r="L4" i="26" s="1"/>
  <c r="N29" i="24"/>
  <c r="D16" i="14"/>
  <c r="D16" i="17" s="1"/>
  <c r="K16" i="12"/>
  <c r="K16" i="15" s="1"/>
  <c r="I29" i="23"/>
  <c r="C19" i="23"/>
  <c r="C19" i="26" s="1"/>
  <c r="F4" i="12"/>
  <c r="F4" i="15" s="1"/>
  <c r="E19" i="24"/>
  <c r="E19" i="27" s="1"/>
  <c r="P16" i="25"/>
  <c r="G29" i="12"/>
  <c r="G29" i="13"/>
  <c r="I4" i="23"/>
  <c r="I4" i="26" s="1"/>
  <c r="G16" i="13"/>
  <c r="G16" i="16" s="1"/>
  <c r="N29" i="23"/>
  <c r="C19" i="13"/>
  <c r="K19" i="24"/>
  <c r="K19" i="27" s="1"/>
  <c r="O19" i="23"/>
  <c r="O19" i="26" s="1"/>
  <c r="Q29" i="24"/>
  <c r="Q29" i="27" s="1"/>
  <c r="G29" i="24"/>
  <c r="G29" i="27" s="1"/>
  <c r="C19" i="12"/>
  <c r="C19" i="15" s="1"/>
  <c r="P16" i="23"/>
  <c r="P16" i="26" s="1"/>
  <c r="M4" i="14"/>
  <c r="M4" i="17" s="1"/>
  <c r="O16" i="13"/>
  <c r="O16" i="23"/>
  <c r="O16" i="26" s="1"/>
  <c r="F19" i="12"/>
  <c r="F19" i="15" s="1"/>
  <c r="M16" i="24"/>
  <c r="M16" i="27" s="1"/>
  <c r="J4" i="23"/>
  <c r="J4" i="26" s="1"/>
  <c r="P19" i="12"/>
  <c r="P19" i="15" s="1"/>
  <c r="H4" i="24"/>
  <c r="H4" i="27" s="1"/>
  <c r="M4" i="12"/>
  <c r="M4" i="15" s="1"/>
  <c r="O19" i="24"/>
  <c r="O19" i="27" s="1"/>
  <c r="P16" i="24"/>
  <c r="P16" i="27" s="1"/>
  <c r="L19" i="13"/>
  <c r="L19" i="16" s="1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19" i="27" s="1"/>
  <c r="D4" i="24"/>
  <c r="D4" i="27" s="1"/>
  <c r="P19" i="23"/>
  <c r="P19" i="26" s="1"/>
  <c r="N16" i="14"/>
  <c r="N16" i="17" s="1"/>
  <c r="D4" i="13"/>
  <c r="D4" i="16" s="1"/>
  <c r="N16" i="12"/>
  <c r="N16" i="15" s="1"/>
  <c r="E16" i="12"/>
  <c r="E16" i="15" s="1"/>
  <c r="I16" i="14"/>
  <c r="I16" i="17" s="1"/>
  <c r="Q4" i="23"/>
  <c r="J29" i="24"/>
  <c r="J29" i="27" s="1"/>
  <c r="P16" i="13"/>
  <c r="P16" i="16" s="1"/>
  <c r="C29" i="12"/>
  <c r="G16" i="24"/>
  <c r="I4" i="12"/>
  <c r="L16" i="13"/>
  <c r="L16" i="16" s="1"/>
  <c r="B29" i="13"/>
  <c r="B29" i="16" s="1"/>
  <c r="L4" i="24"/>
  <c r="Q29" i="23"/>
  <c r="Q29" i="26" s="1"/>
  <c r="G16" i="25"/>
  <c r="G16" i="28" s="1"/>
  <c r="Q4" i="24"/>
  <c r="D4" i="23"/>
  <c r="D4" i="26" s="1"/>
  <c r="C29" i="13"/>
  <c r="B29" i="12"/>
  <c r="H19" i="24"/>
  <c r="H19" i="27" s="1"/>
  <c r="Q4" i="12"/>
  <c r="B4" i="14"/>
  <c r="B4" i="17" s="1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M19" i="26" s="1"/>
  <c r="F4" i="23"/>
  <c r="F4" i="26" s="1"/>
  <c r="N16" i="23"/>
  <c r="N16" i="26" s="1"/>
  <c r="J4" i="24"/>
  <c r="J4" i="27" s="1"/>
  <c r="H4" i="13"/>
  <c r="H4" i="16" s="1"/>
  <c r="H19" i="13"/>
  <c r="H19" i="16" s="1"/>
  <c r="I19" i="24"/>
  <c r="I19" i="27" s="1"/>
  <c r="K16" i="23"/>
  <c r="E29" i="13"/>
  <c r="E29" i="16" s="1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E4" i="15" s="1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2"/>
  <c r="I27" i="15" s="1"/>
  <c r="E27" i="12"/>
  <c r="E27" i="13"/>
  <c r="E27" i="16" s="1"/>
  <c r="E19" i="23"/>
  <c r="E19" i="26" s="1"/>
  <c r="D15" i="23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B16" i="15" s="1"/>
  <c r="Q27" i="13"/>
  <c r="Q27" i="16" s="1"/>
  <c r="Q27" i="12"/>
  <c r="Q27" i="15" s="1"/>
  <c r="F29" i="12"/>
  <c r="L29" i="23"/>
  <c r="L29" i="26" s="1"/>
  <c r="I15" i="24"/>
  <c r="I15" i="27" s="1"/>
  <c r="I15" i="23"/>
  <c r="I15" i="26" s="1"/>
  <c r="M4" i="24"/>
  <c r="I19" i="23"/>
  <c r="I19" i="26" s="1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Q19" i="27" s="1"/>
  <c r="K15" i="23"/>
  <c r="K15" i="26" s="1"/>
  <c r="K15" i="24"/>
  <c r="K15" i="27" s="1"/>
  <c r="P27" i="23"/>
  <c r="P27" i="26" s="1"/>
  <c r="P27" i="24"/>
  <c r="P27" i="27" s="1"/>
  <c r="P16" i="12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D19" i="26" s="1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J27" i="26" s="1"/>
  <c r="N4" i="13"/>
  <c r="N4" i="16" s="1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D27" i="27" s="1"/>
  <c r="L29" i="24"/>
  <c r="L29" i="27" s="1"/>
  <c r="L19" i="23"/>
  <c r="L19" i="26" s="1"/>
  <c r="C15" i="24"/>
  <c r="C15" i="27" s="1"/>
  <c r="C15" i="23"/>
  <c r="F27" i="13"/>
  <c r="F27" i="16" s="1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H19" i="10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L27" i="26"/>
  <c r="O8" i="17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6"/>
  <c r="G29" i="10"/>
  <c r="F3" i="8"/>
  <c r="F16" i="15"/>
  <c r="F29" i="15"/>
  <c r="G16" i="21"/>
  <c r="G16" i="27"/>
  <c r="O3" i="19"/>
  <c r="O4" i="26"/>
  <c r="I3" i="19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3" i="8"/>
  <c r="J16" i="15"/>
  <c r="J19" i="15"/>
  <c r="J29" i="15"/>
  <c r="D19" i="21"/>
  <c r="G19" i="27"/>
  <c r="G19" i="21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1"/>
  <c r="H19" i="21"/>
  <c r="D3" i="19"/>
  <c r="L3" i="19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H16" i="10"/>
  <c r="F17" i="16"/>
  <c r="B18" i="16"/>
  <c r="B19" i="16"/>
  <c r="L19" i="10"/>
  <c r="N29" i="16"/>
  <c r="N29" i="10"/>
  <c r="N31" i="16"/>
  <c r="F33" i="16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3" i="8"/>
  <c r="N19" i="15"/>
  <c r="N29" i="15"/>
  <c r="G3" i="22"/>
  <c r="G3" i="25" s="1"/>
  <c r="G3" i="28" s="1"/>
  <c r="G4" i="25"/>
  <c r="G4" i="28" s="1"/>
  <c r="L19" i="21"/>
  <c r="P19" i="27"/>
  <c r="P19" i="21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F31" i="16"/>
  <c r="C16" i="15"/>
  <c r="E16" i="21"/>
  <c r="E19" i="10"/>
  <c r="J29" i="10"/>
  <c r="J29" i="16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B154" i="6" l="1"/>
  <c r="G3" i="13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25" i="4"/>
  <c r="B38" i="4"/>
  <c r="B12" i="4"/>
  <c r="B21" i="4"/>
  <c r="B17" i="4"/>
  <c r="B26" i="4"/>
  <c r="B30" i="4"/>
  <c r="B20" i="4"/>
  <c r="B33" i="4"/>
  <c r="B35" i="4"/>
  <c r="B15" i="4"/>
  <c r="B4" i="4"/>
  <c r="B10" i="4"/>
  <c r="B28" i="4"/>
  <c r="B39" i="4"/>
  <c r="B42" i="4"/>
  <c r="B7" i="4"/>
  <c r="B11" i="4"/>
  <c r="B16" i="4"/>
  <c r="B44" i="4"/>
  <c r="B23" i="4"/>
  <c r="B34" i="4"/>
  <c r="B22" i="4"/>
  <c r="B8" i="4"/>
  <c r="B45" i="4"/>
  <c r="B9" i="4"/>
  <c r="B14" i="4"/>
  <c r="B37" i="4"/>
  <c r="B43" i="4"/>
  <c r="B13" i="4"/>
  <c r="B27" i="4"/>
  <c r="B24" i="4"/>
  <c r="B29" i="4"/>
  <c r="B36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<sst xmlns="http://schemas.openxmlformats.org/spreadsheetml/2006/main" count="2101" uniqueCount="1057">
  <si>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</si>
  <si>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</si>
  <si>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</si>
  <si>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</si>
  <si>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</si>
  <si>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</si>
  <si>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</si>
  <si>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</si>
  <si>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</si>
  <si>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</si>
  <si>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</si>
  <si>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</si>
  <si>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</si>
  <si>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</si>
  <si>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</si>
  <si>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</si>
  <si>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</si>
  <si>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</si>
  <si>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</si>
  <si>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</si>
  <si>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</si>
  <si>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</si>
  <si>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</si>
  <si>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</si>
  <si>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</si>
  <si>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</si>
  <si>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</si>
  <si>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</si>
  <si>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</si>
  <si>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</si>
  <si>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</si>
  <si>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</si>
  <si>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</si>
  <si>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</si>
  <si>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</si>
  <si>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</si>
  <si>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</si>
  <si>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</si>
  <si>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</si>
  <si>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</si>
  <si>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</si>
  <si>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</si>
  <si>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</si>
  <si>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</si>
  <si>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</si>
  <si>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</si>
  <si>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</si>
  <si>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</si>
  <si>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</si>
  <si>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</si>
  <si>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</si>
  <si>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</si>
  <si>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</si>
  <si>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</si>
  <si>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</si>
  <si>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</si>
  <si>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</si>
  <si>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</si>
  <si>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</si>
  <si>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</si>
  <si>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</si>
  <si>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</si>
  <si>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</si>
  <si>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</si>
  <si>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</si>
  <si>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</si>
  <si>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</si>
  <si>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</si>
  <si>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</si>
  <si>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</si>
  <si>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</si>
  <si>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</si>
  <si>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</si>
  <si>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</si>
  <si>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</si>
  <si>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</si>
  <si>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</si>
  <si>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</si>
  <si>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</si>
  <si>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</si>
  <si>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</si>
  <si>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</si>
  <si>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</si>
  <si>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</si>
  <si>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</si>
  <si>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</si>
  <si>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</si>
  <si>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</si>
  <si>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</si>
  <si>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</si>
  <si>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</si>
  <si>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</si>
  <si>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</si>
  <si>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</si>
  <si>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</si>
  <si>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</si>
  <si>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</si>
  <si>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</si>
  <si>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</si>
  <si>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</si>
  <si>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</si>
  <si>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</si>
  <si>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</si>
  <si>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</si>
  <si>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</si>
  <si>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</si>
  <si>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</si>
  <si>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</si>
  <si>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</si>
  <si>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</si>
  <si>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</si>
  <si>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</si>
  <si>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</si>
  <si>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</si>
  <si>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</si>
  <si>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</si>
  <si>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</si>
  <si>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</si>
  <si>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</si>
  <si>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</si>
  <si>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</si>
  <si>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</si>
  <si>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</si>
  <si>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</si>
  <si>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</si>
  <si>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</si>
  <si>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</si>
  <si>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</si>
  <si>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</si>
  <si>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</si>
  <si>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</si>
  <si>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</si>
  <si>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</si>
  <si>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</si>
  <si>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</si>
  <si>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</si>
  <si>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</si>
  <si>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</si>
  <si>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</si>
  <si>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</si>
  <si>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</si>
  <si>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</si>
  <si>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</si>
  <si>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</si>
  <si>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</si>
  <si>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</si>
  <si>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</si>
  <si>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</si>
  <si>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</si>
  <si>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</si>
  <si>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</si>
  <si>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</si>
  <si>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</si>
  <si>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</si>
  <si>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</si>
  <si>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</si>
  <si>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</si>
  <si>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</si>
  <si>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</si>
  <si>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</si>
  <si>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</si>
  <si>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</si>
  <si>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</si>
  <si>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</si>
  <si>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</si>
  <si>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</si>
  <si>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</si>
  <si>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</si>
  <si>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</si>
  <si>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</si>
  <si>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</si>
  <si>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</si>
  <si>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</si>
  <si>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</si>
  <si>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</si>
  <si>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</si>
  <si>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</si>
  <si>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</si>
  <si>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</si>
  <si>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</si>
  <si>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</si>
  <si>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</si>
  <si>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</si>
  <si>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</si>
  <si>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</si>
  <si>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IE</t>
  </si>
  <si>
    <t>Ireland</t>
  </si>
  <si>
    <t>IE - Services sector summary</t>
  </si>
  <si>
    <t>Macro.number.IE.Population</t>
  </si>
  <si>
    <t>Macro.Meuro2015.IE.GDP</t>
  </si>
  <si>
    <t>Macro.Meuro2015.IE.VA</t>
  </si>
  <si>
    <t>Macro.number.IE.Employees</t>
  </si>
  <si>
    <t>NUM.number.IE.Ser.Bld</t>
  </si>
  <si>
    <t>SurfaceArea.ksqm.IE.Ser.Bld</t>
  </si>
  <si>
    <t>NUM.number.IE.Ser.BldNew</t>
  </si>
  <si>
    <t>SurfaceArea.ksqm.IE.Ser.BldNew</t>
  </si>
  <si>
    <t>HDD.Celsius.IE.Actual</t>
  </si>
  <si>
    <t>HDD.Celsius.IE.Mean</t>
  </si>
  <si>
    <t>HDD.ratio.IE.Relative</t>
  </si>
  <si>
    <t>FEC.ktoe.IE.ES.Ser</t>
  </si>
  <si>
    <t>FEC.ktoe.IE.ES.Ser.Solids</t>
  </si>
  <si>
    <t>FEC.ktoe.IE.ES.Ser.LPG</t>
  </si>
  <si>
    <t>FEC.ktoe.IE.ES.Ser.Oil</t>
  </si>
  <si>
    <t>FEC.ktoe.IE.ES.Ser.NG</t>
  </si>
  <si>
    <t>FEC.ktoe.IE.ES.Ser.Biomass_Waste</t>
  </si>
  <si>
    <t>FEC.ktoe.IE.ES.Ser.Biogas</t>
  </si>
  <si>
    <t>FEC.ktoe.IE.ES.Ser.LiqBio</t>
  </si>
  <si>
    <t>FEC.ktoe.IE.ES.Ser.Solar</t>
  </si>
  <si>
    <t>FEC.ktoe.IE.ES.Ser.Geo</t>
  </si>
  <si>
    <t>FEC.ktoe.IE.ES.Ser.Ambient</t>
  </si>
  <si>
    <t>FEC.ktoe.IE.ES.Ser.Steam_Distr</t>
  </si>
  <si>
    <t>FEC.ktoe.IE.ES.Ser.Elec</t>
  </si>
  <si>
    <t>FEC.ktoe.IE.Ser</t>
  </si>
  <si>
    <t>FEC.ktoe.IE.Ser.Bld.Thermal</t>
  </si>
  <si>
    <t>FEC.ktoe.IE.Ser.Bld.Thermal.SH</t>
  </si>
  <si>
    <t>FEC.ktoe.IE.Ser.Bld.Thermal.SC</t>
  </si>
  <si>
    <t>FEC.ktoe.IE.Ser.Bld.Thermal.HW</t>
  </si>
  <si>
    <t>FEC.ktoe.IE.Ser.Bld.Thermal.CA</t>
  </si>
  <si>
    <t>FEC.ktoe.IE.Ser.SEU</t>
  </si>
  <si>
    <t>EMI.ktCO2.IE.ES.Ser</t>
  </si>
  <si>
    <t>EMI.ktCO2.IE.ES.Ser.Solids</t>
  </si>
  <si>
    <t>EMI.ktCO2.IE.ES.Ser.LPG</t>
  </si>
  <si>
    <t>EMI.ktCO2.IE.ES.Ser.Oil</t>
  </si>
  <si>
    <t>EMI.ktCO2.IE.ES.Ser.NG</t>
  </si>
  <si>
    <t>EMI.ktCO2.IE.ES.Ser.Biomass_Waste</t>
  </si>
  <si>
    <t>EMI.ktCO2.IE.ES.Ser.Biogas</t>
  </si>
  <si>
    <t>EMI.ktCO2.IE.ES.Ser.LiqBio</t>
  </si>
  <si>
    <t>EMI.ktCO2.IE.ES.Ser.Solar</t>
  </si>
  <si>
    <t>EMI.ktCO2.IE.ES.Ser.Geo</t>
  </si>
  <si>
    <t>EMI.ktCO2.IE.ES.Ser.Ambient</t>
  </si>
  <si>
    <t>EMI.ktCO2.IE.ES.Ser.Steam_Distr</t>
  </si>
  <si>
    <t>EMI.ktCO2.IE.ES.Ser.Elec</t>
  </si>
  <si>
    <t>EMI.ktCO2.IE.Ser</t>
  </si>
  <si>
    <t>EMI.ktCO2.IE.Ser.Bld.Thermal</t>
  </si>
  <si>
    <t>EMI.ktCO2.IE.Ser.Bld.Thermal.SH</t>
  </si>
  <si>
    <t>EMI.ktCO2.IE.Ser.Bld.Thermal.SC</t>
  </si>
  <si>
    <t>EMI.ktCO2.IE.Ser.Bld.Thermal.HW</t>
  </si>
  <si>
    <t>EMI.ktCO2.IE.Ser.Bld.Thermal.CA</t>
  </si>
  <si>
    <t>EMI.ktCO2.IE.Ser.SEU</t>
  </si>
  <si>
    <t>Eff.ratio.IE.Ser.Bld.Thermal</t>
  </si>
  <si>
    <t>Eff.ratio.IE.Ser.Bld.Thermal.SH</t>
  </si>
  <si>
    <t>Eff.ratio.IE.Ser.Bld.Thermal.SC</t>
  </si>
  <si>
    <t>Eff.ratio.IE.Ser.Bld.Thermal.HW</t>
  </si>
  <si>
    <t>Eff.ratio.IE.Ser.Bld.Thermal.CA</t>
  </si>
  <si>
    <t>IE - Number of buildings</t>
  </si>
  <si>
    <t>NUM.number.IE.Ser.Bld.Thermal</t>
  </si>
  <si>
    <t>NUM.number.IE.Ser.Bld.Thermal.SH</t>
  </si>
  <si>
    <t>NUM.number.IE.Ser.Bld.Thermal.SH.Solids</t>
  </si>
  <si>
    <t>NUM.number.IE.Ser.Bld.Thermal.SH.LPG</t>
  </si>
  <si>
    <t>NUM.number.IE.Ser.Bld.Thermal.SH.Oil</t>
  </si>
  <si>
    <t>NUM.number.IE.Ser.Bld.Thermal.SH.GasHP</t>
  </si>
  <si>
    <t>NUM.number.IE.Ser.Bld.Thermal.SH.GasTH</t>
  </si>
  <si>
    <t>NUM.number.IE.Ser.Bld.Thermal.SH.Biomass</t>
  </si>
  <si>
    <t>NUM.number.IE.Ser.Bld.Thermal.SH.Geo</t>
  </si>
  <si>
    <t>NUM.number.IE.Ser.Bld.Thermal.SH.DistrHeat</t>
  </si>
  <si>
    <t>NUM.number.IE.Ser.Bld.Thermal.SH.AdvElc</t>
  </si>
  <si>
    <t>NUM.number.IE.Ser.Bld.Thermal.SH.ConvElc</t>
  </si>
  <si>
    <t>NUM.number.IE.Ser.Bld.Thermal.SC</t>
  </si>
  <si>
    <t>NUM.number.IE.Ser.Bld.Thermal.SC.GasHP</t>
  </si>
  <si>
    <t>NUM.number.IE.Ser.Bld.Thermal.SC.AC</t>
  </si>
  <si>
    <t>NUM.number.IE.Ser.Bld.Thermal.HW</t>
  </si>
  <si>
    <t>NUM.number.IE.Ser.Bld.Thermal.HW.Solids</t>
  </si>
  <si>
    <t>NUM.number.IE.Ser.Bld.Thermal.HW.LPG</t>
  </si>
  <si>
    <t>NUM.number.IE.Ser.Bld.Thermal.HW.Oil</t>
  </si>
  <si>
    <t>NUM.number.IE.Ser.Bld.Thermal.HW.Gas</t>
  </si>
  <si>
    <t>NUM.number.IE.Ser.Bld.Thermal.HW.Biomass</t>
  </si>
  <si>
    <t>NUM.number.IE.Ser.Bld.Thermal.HW.DistrHeat</t>
  </si>
  <si>
    <t>NUM.number.IE.Ser.Bld.Thermal.HW.Elc</t>
  </si>
  <si>
    <t>NUM.number.IE.Ser.Bld.Thermal.HW.Solar</t>
  </si>
  <si>
    <t>NUM.number.IE.Ser.Bld.Thermal.CA</t>
  </si>
  <si>
    <t>NUM.number.IE.Ser.Bld.Thermal.CA.LPG</t>
  </si>
  <si>
    <t>NUM.number.IE.Ser.Bld.Thermal.CA.Gas</t>
  </si>
  <si>
    <t>NUM.number.IE.Ser.Bld.Thermal.CA.Biomass</t>
  </si>
  <si>
    <t>NUM.number.IE.Ser.Bld.Thermal.CA.Elc</t>
  </si>
  <si>
    <t>IE - Final energy consumption</t>
  </si>
  <si>
    <t>FEC.ktoe.IE.Ser.Bld.Thermal.SH.Solids.Solids</t>
  </si>
  <si>
    <t>FEC.ktoe.IE.Ser.Bld.Thermal.SH.LPG.LPG</t>
  </si>
  <si>
    <t>FEC.ktoe.IE.Ser.Bld.Thermal.SH.Oil.Oil_LiqBio</t>
  </si>
  <si>
    <t>FEC.ktoe.IE.Ser.Bld.Thermal.SH.GasHP.NG_Biogas</t>
  </si>
  <si>
    <t>FEC.ktoe.IE.Ser.Bld.Thermal.SH.GasTH.NG_Biogas</t>
  </si>
  <si>
    <t>FEC.ktoe.IE.Ser.Bld.Thermal.SH.Biomass.Biomass_Waste</t>
  </si>
  <si>
    <t>FEC.ktoe.IE.Ser.Bld.Thermal.SH.Geo.Geo</t>
  </si>
  <si>
    <t>FEC.ktoe.IE.Ser.Bld.Thermal.SH.DistrHeat.Steam_Distr</t>
  </si>
  <si>
    <t>FEC.ktoe.IE.Ser.Bld.Thermal.SH.AdvElc.Elec</t>
  </si>
  <si>
    <t>FEC.ktoe.IE.Ser.Bld.Thermal.SH.ConvElc.Elec</t>
  </si>
  <si>
    <t>FEC.ktoe.IE.Ser.Bld.Thermal.SH.TotalCirculation.Elec</t>
  </si>
  <si>
    <t>FEC.ktoe.IE.Ser.Bld.Thermal.SC.GasHP.NG_Biogas</t>
  </si>
  <si>
    <t>FEC.ktoe.IE.Ser.Bld.Thermal.SC.AC.Elec</t>
  </si>
  <si>
    <t>FEC.ktoe.IE.Ser.Bld.Thermal.HW.Solids.Solids</t>
  </si>
  <si>
    <t>FEC.ktoe.IE.Ser.Bld.Thermal.HW.LPG.LPG</t>
  </si>
  <si>
    <t>FEC.ktoe.IE.Ser.Bld.Thermal.HW.Oil.Oil_LiqBio</t>
  </si>
  <si>
    <t>FEC.ktoe.IE.Ser.Bld.Thermal.HW.Gas.NG_Biogas</t>
  </si>
  <si>
    <t>FEC.ktoe.IE.Ser.Bld.Thermal.HW.Biomass.Biomass_Waste</t>
  </si>
  <si>
    <t>FEC.ktoe.IE.Ser.Bld.Thermal.HW.DistrHeat.Steam_Distr</t>
  </si>
  <si>
    <t>FEC.ktoe.IE.Ser.Bld.Thermal.HW.Elc.Elec</t>
  </si>
  <si>
    <t>FEC.ktoe.IE.Ser.Bld.Thermal.HW.TotalSolar.Solar</t>
  </si>
  <si>
    <t>FEC.ktoe.IE.Ser.Bld.Thermal.CA.LPG</t>
  </si>
  <si>
    <t>FEC.ktoe.IE.Ser.Bld.Thermal.CA.Gas.NG_Biogas</t>
  </si>
  <si>
    <t>FEC.ktoe.IE.Ser.Bld.Thermal.CA.Biomass.Biomass_Waste</t>
  </si>
  <si>
    <t>FEC.ktoe.IE.Ser.Bld.Thermal.CA.Elc.Elec</t>
  </si>
  <si>
    <t>IE - Thermal energy service</t>
  </si>
  <si>
    <t>TES.ktoe.IE.Ser.Bld.Thermal</t>
  </si>
  <si>
    <t>TES.ktoe.IE.Ser.Bld.Thermal.SH</t>
  </si>
  <si>
    <t>TES.ktoe.IE.Ser.Bld.Thermal.SH.Solids.Solids</t>
  </si>
  <si>
    <t>TES.ktoe.IE.Ser.Bld.Thermal.SH.LPG.LPG</t>
  </si>
  <si>
    <t>TES.ktoe.IE.Ser.Bld.Thermal.SH.Oil.Oil_LiqBio</t>
  </si>
  <si>
    <t>TES.ktoe.IE.Ser.Bld.Thermal.SH.GasHP.NG_Biogas</t>
  </si>
  <si>
    <t>TES.ktoe.IE.Ser.Bld.Thermal.SH.GasTH.NG_Biogas</t>
  </si>
  <si>
    <t>TES.ktoe.IE.Ser.Bld.Thermal.SH.Biomass.Biomass_Waste</t>
  </si>
  <si>
    <t>TES.ktoe.IE.Ser.Bld.Thermal.SH.Geo.Geo</t>
  </si>
  <si>
    <t>TES.ktoe.IE.Ser.Bld.Thermal.SH.DistrHeat.Steam_Distr</t>
  </si>
  <si>
    <t>TES.ktoe.IE.Ser.Bld.Thermal.SH.AdvElc.Elec</t>
  </si>
  <si>
    <t>TES.ktoe.IE.Ser.Bld.Thermal.SH.ConvElc.Elec</t>
  </si>
  <si>
    <t>TES.ktoe.IE.Ser.Bld.Thermal.SH.TotalCirculation.Elec</t>
  </si>
  <si>
    <t>TES.ktoe.IE.Ser.Bld.Thermal.SC</t>
  </si>
  <si>
    <t>TES.ktoe.IE.Ser.Bld.Thermal.SC.GasHP.NG_Biogas</t>
  </si>
  <si>
    <t>TES.ktoe.IE.Ser.Bld.Thermal.SC.AC.Elec</t>
  </si>
  <si>
    <t>TES.ktoe.IE.Ser.Bld.Thermal.HW</t>
  </si>
  <si>
    <t>TES.ktoe.IE.Ser.Bld.Thermal.HW.Solids.Solids</t>
  </si>
  <si>
    <t>TES.ktoe.IE.Ser.Bld.Thermal.HW.LPG.LPG</t>
  </si>
  <si>
    <t>TES.ktoe.IE.Ser.Bld.Thermal.HW.Oil.Oil_LiqBio</t>
  </si>
  <si>
    <t>TES.ktoe.IE.Ser.Bld.Thermal.HW.Gas.NG_Biogas</t>
  </si>
  <si>
    <t>TES.ktoe.IE.Ser.Bld.Thermal.HW.Biomass.Biomass_Waste</t>
  </si>
  <si>
    <t>TES.ktoe.IE.Ser.Bld.Thermal.HW.DistrHeat.Steam_Distr</t>
  </si>
  <si>
    <t>TES.ktoe.IE.Ser.Bld.Thermal.HW.Elc.Elec</t>
  </si>
  <si>
    <t>TES.ktoe.IE.Ser.Bld.Thermal.HW.TotalSolar.Solar</t>
  </si>
  <si>
    <t>TES.ktoe.IE.Ser.Bld.Thermal.CA</t>
  </si>
  <si>
    <t>TES.ktoe.IE.Ser.Bld.Thermal.CA.LPG</t>
  </si>
  <si>
    <t>TES.ktoe.IE.Ser.Bld.Thermal.CA.Gas.NG_Biogas</t>
  </si>
  <si>
    <t>TES.ktoe.IE.Ser.Bld.Thermal.CA.Biomass.Biomass_Waste</t>
  </si>
  <si>
    <t>TES.ktoe.IE.Ser.Bld.Thermal.CA.Elc.Elec</t>
  </si>
  <si>
    <t>IE - System efficiency indicator of total stock</t>
  </si>
  <si>
    <t>Eff.ratio.IE.Ser.Bld.Thermal.SH.Solids.Solids</t>
  </si>
  <si>
    <t>Eff.ratio.IE.Ser.Bld.Thermal.SH.LPG.LPG</t>
  </si>
  <si>
    <t>Eff.ratio.IE.Ser.Bld.Thermal.SH.Oil.Oil_LiqBio</t>
  </si>
  <si>
    <t>Eff.ratio.IE.Ser.Bld.Thermal.SH.GasHP.NG_Biogas</t>
  </si>
  <si>
    <t>Eff.ratio.IE.Ser.Bld.Thermal.SH.GasTH.NG_Biogas</t>
  </si>
  <si>
    <t>Eff.ratio.IE.Ser.Bld.Thermal.SH.Biomass.Biomass_Waste</t>
  </si>
  <si>
    <t>Eff.ratio.IE.Ser.Bld.Thermal.SH.Geo.Geo</t>
  </si>
  <si>
    <t>Eff.ratio.IE.Ser.Bld.Thermal.SH.DistrHeat.Steam_Distr</t>
  </si>
  <si>
    <t>Eff.ratio.IE.Ser.Bld.Thermal.SH.AdvElc.Elec</t>
  </si>
  <si>
    <t>Eff.ratio.IE.Ser.Bld.Thermal.SH.ConvElc.Elec</t>
  </si>
  <si>
    <t>Eff.ratio.IE.Ser.Bld.Thermal.SH.TotalCirculation.Elec</t>
  </si>
  <si>
    <t>Eff.ratio.IE.Ser.Bld.Thermal.SC.GasHP.NG_Biogas</t>
  </si>
  <si>
    <t>Eff.ratio.IE.Ser.Bld.Thermal.SC.AC.Elec</t>
  </si>
  <si>
    <t>Eff.ratio.IE.Ser.Bld.Thermal.HW.Solids.Solids</t>
  </si>
  <si>
    <t>Eff.ratio.IE.Ser.Bld.Thermal.HW.LPG.LPG</t>
  </si>
  <si>
    <t>Eff.ratio.IE.Ser.Bld.Thermal.HW.Oil.Oil_LiqBio</t>
  </si>
  <si>
    <t>Eff.ratio.IE.Ser.Bld.Thermal.HW.Gas.NG_Biogas</t>
  </si>
  <si>
    <t>Eff.ratio.IE.Ser.Bld.Thermal.HW.Biomass.Biomass_Waste</t>
  </si>
  <si>
    <t>Eff.ratio.IE.Ser.Bld.Thermal.HW.DistrHeat.Steam_Distr</t>
  </si>
  <si>
    <t>Eff.ratio.IE.Ser.Bld.Thermal.HW.Elc.Elec</t>
  </si>
  <si>
    <t>Eff.ratio.IE.Ser.Bld.Thermal.HW.TotalSolar.Solar</t>
  </si>
  <si>
    <t>Eff.ratio.IE.Ser.Bld.Thermal.CA.LPG</t>
  </si>
  <si>
    <t>Eff.ratio.IE.Ser.Bld.Thermal.CA.Gas.NG_Biogas</t>
  </si>
  <si>
    <t>Eff.ratio.IE.Ser.Bld.Thermal.CA.Biomass.Biomass_Waste</t>
  </si>
  <si>
    <t>Eff.ratio.IE.Ser.Bld.Thermal.CA.Elc.Elec</t>
  </si>
  <si>
    <t>IE - CO2 emissions</t>
  </si>
  <si>
    <t>EMI.ktCO2.IE.Ser.Bld.Thermal.SH.Solids.Solids</t>
  </si>
  <si>
    <t>EMI.ktCO2.IE.Ser.Bld.Thermal.SH.LPG.LPG</t>
  </si>
  <si>
    <t>EMI.ktCO2.IE.Ser.Bld.Thermal.SH.Oil.Oil_LiqBio</t>
  </si>
  <si>
    <t>EMI.ktCO2.IE.Ser.Bld.Thermal.SH.GasHP.NG_Biogas</t>
  </si>
  <si>
    <t>EMI.ktCO2.IE.Ser.Bld.Thermal.SH.GasTH.NG_Biogas</t>
  </si>
  <si>
    <t>EMI.ktCO2.IE.Ser.Bld.Thermal.SH.Biomass.Biomass_Waste</t>
  </si>
  <si>
    <t>EMI.ktCO2.IE.Ser.Bld.Thermal.SH.Geo.Geo</t>
  </si>
  <si>
    <t>EMI.ktCO2.IE.Ser.Bld.Thermal.SH.DistrHeat.Steam_Distr</t>
  </si>
  <si>
    <t>EMI.ktCO2.IE.Ser.Bld.Thermal.SH.AdvElc.Elec</t>
  </si>
  <si>
    <t>EMI.ktCO2.IE.Ser.Bld.Thermal.SH.ConvElc.Elec</t>
  </si>
  <si>
    <t>EMI.ktCO2.IE.Ser.Bld.Thermal.SH.TotalCirculation.Elec</t>
  </si>
  <si>
    <t>EMI.ktCO2.IE.Ser.Bld.Thermal.SC.GasHP.NG_Biogas</t>
  </si>
  <si>
    <t>EMI.ktCO2.IE.Ser.Bld.Thermal.SC.AC.Elec</t>
  </si>
  <si>
    <t>EMI.ktCO2.IE.Ser.Bld.Thermal.HW.Solids.Solids</t>
  </si>
  <si>
    <t>EMI.ktCO2.IE.Ser.Bld.Thermal.HW.LPG.LPG</t>
  </si>
  <si>
    <t>EMI.ktCO2.IE.Ser.Bld.Thermal.HW.Oil.Oil_LiqBio</t>
  </si>
  <si>
    <t>EMI.ktCO2.IE.Ser.Bld.Thermal.HW.Gas.NG_Biogas</t>
  </si>
  <si>
    <t>EMI.ktCO2.IE.Ser.Bld.Thermal.HW.Biomass.Biomass_Waste</t>
  </si>
  <si>
    <t>EMI.ktCO2.IE.Ser.Bld.Thermal.HW.DistrHeat.Steam_Distr</t>
  </si>
  <si>
    <t>EMI.ktCO2.IE.Ser.Bld.Thermal.HW.Elc.Elec</t>
  </si>
  <si>
    <t>EMI.ktCO2.IE.Ser.Bld.Thermal.HW.TotalSolar.Solar</t>
  </si>
  <si>
    <t>EMI.ktCO2.IE.Ser.Bld.Thermal.CA.LPG</t>
  </si>
  <si>
    <t>EMI.ktCO2.IE.Ser.Bld.Thermal.CA.Gas.NG_Biogas</t>
  </si>
  <si>
    <t>EMI.ktCO2.IE.Ser.Bld.Thermal.CA.Biomass.Biomass_Waste</t>
  </si>
  <si>
    <t>EMI.ktCO2.IE.Ser.Bld.Thermal.CA.Elc.Elec</t>
  </si>
  <si>
    <t>IE - Final energy consumption per building</t>
  </si>
  <si>
    <t>FEC_per_building.kWh.IE.Ser.Bld.Thermal</t>
  </si>
  <si>
    <t>FEC_per_building.kWh.IE.Ser.Bld.Thermal.SH</t>
  </si>
  <si>
    <t>FEC_per_building.kWh.IE.Ser.Bld.Thermal.SH.Solids.Solids</t>
  </si>
  <si>
    <t>FEC_per_building.kWh.IE.Ser.Bld.Thermal.SH.LPG.LPG</t>
  </si>
  <si>
    <t>FEC_per_building.kWh.IE.Ser.Bld.Thermal.SH.Oil.Oil_LiqBio</t>
  </si>
  <si>
    <t>FEC_per_building.kWh.IE.Ser.Bld.Thermal.SH.GasHP.NG_Biogas</t>
  </si>
  <si>
    <t>FEC_per_building.kWh.IE.Ser.Bld.Thermal.SH.GasTH.NG_Biogas</t>
  </si>
  <si>
    <t>FEC_per_building.kWh.IE.Ser.Bld.Thermal.SH.Biomass.Biomass_Waste</t>
  </si>
  <si>
    <t>FEC_per_building.kWh.IE.Ser.Bld.Thermal.SH.Geo.Geo</t>
  </si>
  <si>
    <t>FEC_per_building.kWh.IE.Ser.Bld.Thermal.SH.DistrHeat.Steam_Distr</t>
  </si>
  <si>
    <t>FEC_per_building.kWh.IE.Ser.Bld.Thermal.SH.AdvElc.Elec</t>
  </si>
  <si>
    <t>FEC_per_building.kWh.IE.Ser.Bld.Thermal.SH.ConvElc.Elec</t>
  </si>
  <si>
    <t>FEC_per_building.kWh.IE.Ser.Bld.Thermal.SH.TotalCirculation.Elec</t>
  </si>
  <si>
    <t>FEC_per_building.kWh.IE.Ser.Bld.Thermal.SC</t>
  </si>
  <si>
    <t>FEC_per_building.kWh.IE.Ser.Bld.Thermal.SC.GasHP.NG_Biogas</t>
  </si>
  <si>
    <t>FEC_per_building.kWh.IE.Ser.Bld.Thermal.SC.AC.Elec</t>
  </si>
  <si>
    <t>FEC_per_building.kWh.IE.Ser.Bld.Thermal.HW</t>
  </si>
  <si>
    <t>FEC_per_building.kWh.IE.Ser.Bld.Thermal.HW.Solids.Solids</t>
  </si>
  <si>
    <t>FEC_per_building.kWh.IE.Ser.Bld.Thermal.HW.LPG.LPG</t>
  </si>
  <si>
    <t>FEC_per_building.kWh.IE.Ser.Bld.Thermal.HW.Oil.Oil_LiqBio</t>
  </si>
  <si>
    <t>FEC_per_building.kWh.IE.Ser.Bld.Thermal.HW.Gas.NG_Biogas</t>
  </si>
  <si>
    <t>FEC_per_building.kWh.IE.Ser.Bld.Thermal.HW.Biomass.Biomass_Waste</t>
  </si>
  <si>
    <t>FEC_per_building.kWh.IE.Ser.Bld.Thermal.HW.DistrHeat.Steam_Distr</t>
  </si>
  <si>
    <t>FEC_per_building.kWh.IE.Ser.Bld.Thermal.HW.Elc.Elec</t>
  </si>
  <si>
    <t>FEC_per_building.kWh.IE.Ser.Bld.Thermal.HW.TotalSolar.Solar</t>
  </si>
  <si>
    <t>FEC_per_building.kWh.IE.Ser.Bld.Thermal.CA</t>
  </si>
  <si>
    <t>FEC_per_building.kWh.IE.Ser.Bld.Thermal.CA.LPG</t>
  </si>
  <si>
    <t>FEC_per_building.kWh.IE.Ser.Bld.Thermal.CA.Gas.NG_Biogas</t>
  </si>
  <si>
    <t>FEC_per_building.kWh.IE.Ser.Bld.Thermal.CA.Biomass.Biomass_Waste</t>
  </si>
  <si>
    <t>FEC_per_building.kWh.IE.Ser.Bld.Thermal.CA.Elc.Elec</t>
  </si>
  <si>
    <t>IE - Thermal energy service per building</t>
  </si>
  <si>
    <t>TES_per_building.kWh.IE.Ser.Bld.Thermal</t>
  </si>
  <si>
    <t>TES_per_building.kWh.IE.Ser.Bld.Thermal.SH</t>
  </si>
  <si>
    <t>TES_per_building.kWh.IE.Ser.Bld.Thermal.SH.Solids.Solids</t>
  </si>
  <si>
    <t>TES_per_building.kWh.IE.Ser.Bld.Thermal.SH.LPG.LPG</t>
  </si>
  <si>
    <t>TES_per_building.kWh.IE.Ser.Bld.Thermal.SH.Oil.Oil_LiqBio</t>
  </si>
  <si>
    <t>TES_per_building.kWh.IE.Ser.Bld.Thermal.SH.GasHP.NG_Biogas</t>
  </si>
  <si>
    <t>TES_per_building.kWh.IE.Ser.Bld.Thermal.SH.GasTH.NG_Biogas</t>
  </si>
  <si>
    <t>TES_per_building.kWh.IE.Ser.Bld.Thermal.SH.Biomass.Biomass_Waste</t>
  </si>
  <si>
    <t>TES_per_building.kWh.IE.Ser.Bld.Thermal.SH.Geo.Geo</t>
  </si>
  <si>
    <t>TES_per_building.kWh.IE.Ser.Bld.Thermal.SH.DistrHeat.Steam_Distr</t>
  </si>
  <si>
    <t>TES_per_building.kWh.IE.Ser.Bld.Thermal.SH.AdvElc.Elec</t>
  </si>
  <si>
    <t>TES_per_building.kWh.IE.Ser.Bld.Thermal.SH.ConvElc.Elec</t>
  </si>
  <si>
    <t>TES_per_building.kWh.IE.Ser.Bld.Thermal.SH.TotalCirculation.Elec</t>
  </si>
  <si>
    <t>TES_per_building.kWh.IE.Ser.Bld.Thermal.SC</t>
  </si>
  <si>
    <t>TES_per_building.kWh.IE.Ser.Bld.Thermal.SC.GasHP.NG_Biogas</t>
  </si>
  <si>
    <t>TES_per_building.kWh.IE.Ser.Bld.Thermal.SC.AC.Elec</t>
  </si>
  <si>
    <t>TES_per_building.kWh.IE.Ser.Bld.Thermal.HW</t>
  </si>
  <si>
    <t>TES_per_building.kWh.IE.Ser.Bld.Thermal.HW.Solids.Solids</t>
  </si>
  <si>
    <t>TES_per_building.kWh.IE.Ser.Bld.Thermal.HW.LPG.LPG</t>
  </si>
  <si>
    <t>TES_per_building.kWh.IE.Ser.Bld.Thermal.HW.Oil.Oil_LiqBio</t>
  </si>
  <si>
    <t>TES_per_building.kWh.IE.Ser.Bld.Thermal.HW.Gas.NG_Biogas</t>
  </si>
  <si>
    <t>TES_per_building.kWh.IE.Ser.Bld.Thermal.HW.Biomass.Biomass_Waste</t>
  </si>
  <si>
    <t>TES_per_building.kWh.IE.Ser.Bld.Thermal.HW.DistrHeat.Steam_Distr</t>
  </si>
  <si>
    <t>TES_per_building.kWh.IE.Ser.Bld.Thermal.HW.Elc.Elec</t>
  </si>
  <si>
    <t>TES_per_building.kWh.IE.Ser.Bld.Thermal.HW.TotalSolar.Solar</t>
  </si>
  <si>
    <t>TES_per_building.kWh.IE.Ser.Bld.Thermal.CA</t>
  </si>
  <si>
    <t>TES_per_building.kWh.IE.Ser.Bld.Thermal.CA.LPG</t>
  </si>
  <si>
    <t>TES_per_building.kWh.IE.Ser.Bld.Thermal.CA.Gas.NG_Biogas</t>
  </si>
  <si>
    <t>TES_per_building.kWh.IE.Ser.Bld.Thermal.CA.Biomass.Biomass_Waste</t>
  </si>
  <si>
    <t>TES_per_building.kWh.IE.Ser.Bld.Thermal.CA.Elc.Elec</t>
  </si>
  <si>
    <t>IE - CO2 emissions per building</t>
  </si>
  <si>
    <t>EMI_per_building.kgCO2.IE.Ser.Bld.Thermal</t>
  </si>
  <si>
    <t>EMI_per_building.kgCO2.IE.Ser.Bld.Thermal.SH</t>
  </si>
  <si>
    <t>EMI_per_building.kgCO2.IE.Ser.Bld.Thermal.SH.Solids.Solids</t>
  </si>
  <si>
    <t>EMI_per_building.kgCO2.IE.Ser.Bld.Thermal.SH.LPG.LPG</t>
  </si>
  <si>
    <t>EMI_per_building.kgCO2.IE.Ser.Bld.Thermal.SH.Oil.Oil_LiqBio</t>
  </si>
  <si>
    <t>EMI_per_building.kgCO2.IE.Ser.Bld.Thermal.SH.GasHP.NG_Biogas</t>
  </si>
  <si>
    <t>EMI_per_building.kgCO2.IE.Ser.Bld.Thermal.SH.GasTH.NG_Biogas</t>
  </si>
  <si>
    <t>EMI_per_building.kgCO2.IE.Ser.Bld.Thermal.SH.Biomass.Biomass_Waste</t>
  </si>
  <si>
    <t>EMI_per_building.kgCO2.IE.Ser.Bld.Thermal.SH.Geo.Geo</t>
  </si>
  <si>
    <t>EMI_per_building.kgCO2.IE.Ser.Bld.Thermal.SH.DistrHeat.Steam_Distr</t>
  </si>
  <si>
    <t>EMI_per_building.kgCO2.IE.Ser.Bld.Thermal.SH.AdvElc.Elec</t>
  </si>
  <si>
    <t>EMI_per_building.kgCO2.IE.Ser.Bld.Thermal.SH.ConvElc.Elec</t>
  </si>
  <si>
    <t>EMI_per_building.kgCO2.IE.Ser.Bld.Thermal.SH.TotalCirculation.Elec</t>
  </si>
  <si>
    <t>EMI_per_building.kgCO2.IE.Ser.Bld.Thermal.SC</t>
  </si>
  <si>
    <t>EMI_per_building.kgCO2.IE.Ser.Bld.Thermal.SC.GasHP.NG_Biogas</t>
  </si>
  <si>
    <t>EMI_per_building.kgCO2.IE.Ser.Bld.Thermal.SC.AC.Elec</t>
  </si>
  <si>
    <t>EMI_per_building.kgCO2.IE.Ser.Bld.Thermal.HW</t>
  </si>
  <si>
    <t>EMI_per_building.kgCO2.IE.Ser.Bld.Thermal.HW.Solids.Solids</t>
  </si>
  <si>
    <t>EMI_per_building.kgCO2.IE.Ser.Bld.Thermal.HW.LPG.LPG</t>
  </si>
  <si>
    <t>EMI_per_building.kgCO2.IE.Ser.Bld.Thermal.HW.Oil.Oil_LiqBio</t>
  </si>
  <si>
    <t>EMI_per_building.kgCO2.IE.Ser.Bld.Thermal.HW.Gas.NG_Biogas</t>
  </si>
  <si>
    <t>EMI_per_building.kgCO2.IE.Ser.Bld.Thermal.HW.Biomass.Biomass_Waste</t>
  </si>
  <si>
    <t>EMI_per_building.kgCO2.IE.Ser.Bld.Thermal.HW.DistrHeat.Steam_Distr</t>
  </si>
  <si>
    <t>EMI_per_building.kgCO2.IE.Ser.Bld.Thermal.HW.Elc.Elec</t>
  </si>
  <si>
    <t>EMI_per_building.kgCO2.IE.Ser.Bld.Thermal.HW.TotalSolar.Solar</t>
  </si>
  <si>
    <t>EMI_per_building.kgCO2.IE.Ser.Bld.Thermal.CA</t>
  </si>
  <si>
    <t>EMI_per_building.kgCO2.IE.Ser.Bld.Thermal.CA.LPG</t>
  </si>
  <si>
    <t>EMI_per_building.kgCO2.IE.Ser.Bld.Thermal.CA.Gas.NG_Biogas</t>
  </si>
  <si>
    <t>EMI_per_building.kgCO2.IE.Ser.Bld.Thermal.CA.Biomass.Biomass_Waste</t>
  </si>
  <si>
    <t>EMI_per_building.kgCO2.IE.Ser.Bld.Thermal.CA.Elc.Elec</t>
  </si>
  <si>
    <t>IE - Final energy consumption per useful surface area</t>
  </si>
  <si>
    <t>FEC_per_sqm.kWh.IE.Ser.Bld.Thermal</t>
  </si>
  <si>
    <t>FEC_per_sqm.kWh.IE.Ser.Bld.Thermal.SH</t>
  </si>
  <si>
    <t>FEC_per_sqm.kWh.IE.Ser.Bld.Thermal.SH.Solids.Solids</t>
  </si>
  <si>
    <t>FEC_per_sqm.kWh.IE.Ser.Bld.Thermal.SH.LPG.LPG</t>
  </si>
  <si>
    <t>FEC_per_sqm.kWh.IE.Ser.Bld.Thermal.SH.Oil.Oil_LiqBio</t>
  </si>
  <si>
    <t>FEC_per_sqm.kWh.IE.Ser.Bld.Thermal.SH.GasHP.NG_Biogas</t>
  </si>
  <si>
    <t>FEC_per_sqm.kWh.IE.Ser.Bld.Thermal.SH.GasTH.NG_Biogas</t>
  </si>
  <si>
    <t>FEC_per_sqm.kWh.IE.Ser.Bld.Thermal.SH.Biomass.Biomass_Waste</t>
  </si>
  <si>
    <t>FEC_per_sqm.kWh.IE.Ser.Bld.Thermal.SH.Geo.Geo</t>
  </si>
  <si>
    <t>FEC_per_sqm.kWh.IE.Ser.Bld.Thermal.SH.DistrHeat.Steam_Distr</t>
  </si>
  <si>
    <t>FEC_per_sqm.kWh.IE.Ser.Bld.Thermal.SH.AdvElc.Elec</t>
  </si>
  <si>
    <t>FEC_per_sqm.kWh.IE.Ser.Bld.Thermal.SH.ConvElc.Elec</t>
  </si>
  <si>
    <t>FEC_per_sqm.kWh.IE.Ser.Bld.Thermal.SH.TotalCirculation.Elec</t>
  </si>
  <si>
    <t>FEC_per_sqm.kWh.IE.Ser.Bld.Thermal.SC</t>
  </si>
  <si>
    <t>FEC_per_sqm.kWh.IE.Ser.Bld.Thermal.SC.GasHP.NG_Biogas</t>
  </si>
  <si>
    <t>FEC_per_sqm.kWh.IE.Ser.Bld.Thermal.SC.AC.Elec</t>
  </si>
  <si>
    <t>FEC_per_sqm.kWh.IE.Ser.Bld.Thermal.HW</t>
  </si>
  <si>
    <t>FEC_per_sqm.kWh.IE.Ser.Bld.Thermal.HW.Solids.Solids</t>
  </si>
  <si>
    <t>FEC_per_sqm.kWh.IE.Ser.Bld.Thermal.HW.LPG.LPG</t>
  </si>
  <si>
    <t>FEC_per_sqm.kWh.IE.Ser.Bld.Thermal.HW.Oil.Oil_LiqBio</t>
  </si>
  <si>
    <t>FEC_per_sqm.kWh.IE.Ser.Bld.Thermal.HW.Gas.NG_Biogas</t>
  </si>
  <si>
    <t>FEC_per_sqm.kWh.IE.Ser.Bld.Thermal.HW.Biomass.Biomass_Waste</t>
  </si>
  <si>
    <t>FEC_per_sqm.kWh.IE.Ser.Bld.Thermal.HW.DistrHeat.Steam_Distr</t>
  </si>
  <si>
    <t>FEC_per_sqm.kWh.IE.Ser.Bld.Thermal.HW.Elc.Elec</t>
  </si>
  <si>
    <t>FEC_per_sqm.kWh.IE.Ser.Bld.Thermal.HW.TotalSolar.Solar</t>
  </si>
  <si>
    <t>FEC_per_sqm.kWh.IE.Ser.Bld.Thermal.CA</t>
  </si>
  <si>
    <t>FEC_per_sqm.kWh.IE.Ser.Bld.Thermal.CA.LPG</t>
  </si>
  <si>
    <t>FEC_per_sqm.kWh.IE.Ser.Bld.Thermal.CA.Gas.NG_Biogas</t>
  </si>
  <si>
    <t>FEC_per_sqm.kWh.IE.Ser.Bld.Thermal.CA.Biomass.Biomass_Waste</t>
  </si>
  <si>
    <t>FEC_per_sqm.kWh.IE.Ser.Bld.Thermal.CA.Elc.Elec</t>
  </si>
  <si>
    <t>IE - Thermal energy service per useful surface area</t>
  </si>
  <si>
    <t>TES_per_sqm.kWh.IE.Ser.Bld.Thermal</t>
  </si>
  <si>
    <t>TES_per_sqm.kWh.IE.Ser.Bld.Thermal.SH</t>
  </si>
  <si>
    <t>TES_per_sqm.kWh.IE.Ser.Bld.Thermal.SH.Solids.Solids</t>
  </si>
  <si>
    <t>TES_per_sqm.kWh.IE.Ser.Bld.Thermal.SH.LPG.LPG</t>
  </si>
  <si>
    <t>TES_per_sqm.kWh.IE.Ser.Bld.Thermal.SH.Oil.Oil_LiqBio</t>
  </si>
  <si>
    <t>TES_per_sqm.kWh.IE.Ser.Bld.Thermal.SH.GasHP.NG_Biogas</t>
  </si>
  <si>
    <t>TES_per_sqm.kWh.IE.Ser.Bld.Thermal.SH.GasTH.NG_Biogas</t>
  </si>
  <si>
    <t>TES_per_sqm.kWh.IE.Ser.Bld.Thermal.SH.Biomass.Biomass_Waste</t>
  </si>
  <si>
    <t>TES_per_sqm.kWh.IE.Ser.Bld.Thermal.SH.Geo.Geo</t>
  </si>
  <si>
    <t>TES_per_sqm.kWh.IE.Ser.Bld.Thermal.SH.DistrHeat.Steam_Distr</t>
  </si>
  <si>
    <t>TES_per_sqm.kWh.IE.Ser.Bld.Thermal.SH.AdvElc.Elec</t>
  </si>
  <si>
    <t>TES_per_sqm.kWh.IE.Ser.Bld.Thermal.SH.ConvElc.Elec</t>
  </si>
  <si>
    <t>TES_per_sqm.kWh.IE.Ser.Bld.Thermal.SH.TotalCirculation.Elec</t>
  </si>
  <si>
    <t>TES_per_sqm.kWh.IE.Ser.Bld.Thermal.SC</t>
  </si>
  <si>
    <t>TES_per_sqm.kWh.IE.Ser.Bld.Thermal.SC.GasHP.NG_Biogas</t>
  </si>
  <si>
    <t>TES_per_sqm.kWh.IE.Ser.Bld.Thermal.SC.AC.Elec</t>
  </si>
  <si>
    <t>TES_per_sqm.kWh.IE.Ser.Bld.Thermal.HW</t>
  </si>
  <si>
    <t>TES_per_sqm.kWh.IE.Ser.Bld.Thermal.HW.Solids.Solids</t>
  </si>
  <si>
    <t>TES_per_sqm.kWh.IE.Ser.Bld.Thermal.HW.LPG.LPG</t>
  </si>
  <si>
    <t>TES_per_sqm.kWh.IE.Ser.Bld.Thermal.HW.Oil.Oil_LiqBio</t>
  </si>
  <si>
    <t>TES_per_sqm.kWh.IE.Ser.Bld.Thermal.HW.Gas.NG_Biogas</t>
  </si>
  <si>
    <t>TES_per_sqm.kWh.IE.Ser.Bld.Thermal.HW.Biomass.Biomass_Waste</t>
  </si>
  <si>
    <t>TES_per_sqm.kWh.IE.Ser.Bld.Thermal.HW.DistrHeat.Steam_Distr</t>
  </si>
  <si>
    <t>TES_per_sqm.kWh.IE.Ser.Bld.Thermal.HW.Elc.Elec</t>
  </si>
  <si>
    <t>TES_per_sqm.kWh.IE.Ser.Bld.Thermal.HW.TotalSolar.Solar</t>
  </si>
  <si>
    <t>TES_per_sqm.kWh.IE.Ser.Bld.Thermal.CA</t>
  </si>
  <si>
    <t>TES_per_sqm.kWh.IE.Ser.Bld.Thermal.CA.LPG</t>
  </si>
  <si>
    <t>TES_per_sqm.kWh.IE.Ser.Bld.Thermal.CA.Gas.NG_Biogas</t>
  </si>
  <si>
    <t>TES_per_sqm.kWh.IE.Ser.Bld.Thermal.CA.Biomass.Biomass_Waste</t>
  </si>
  <si>
    <t>TES_per_sqm.kWh.IE.Ser.Bld.Thermal.CA.Elc.Elec</t>
  </si>
  <si>
    <t>IE - CO2 emissions per useful surface area</t>
  </si>
  <si>
    <t>EMI_per_sqm.kgCO2.IE.Ser.Bld.Thermal</t>
  </si>
  <si>
    <t>EMI_per_sqm.kgCO2.IE.Ser.Bld.Thermal.SH</t>
  </si>
  <si>
    <t>EMI_per_sqm.kgCO2.IE.Ser.Bld.Thermal.SH.Solids.Solids</t>
  </si>
  <si>
    <t>EMI_per_sqm.kgCO2.IE.Ser.Bld.Thermal.SH.LPG.LPG</t>
  </si>
  <si>
    <t>EMI_per_sqm.kgCO2.IE.Ser.Bld.Thermal.SH.Oil.Oil_LiqBio</t>
  </si>
  <si>
    <t>EMI_per_sqm.kgCO2.IE.Ser.Bld.Thermal.SH.GasHP.NG_Biogas</t>
  </si>
  <si>
    <t>EMI_per_sqm.kgCO2.IE.Ser.Bld.Thermal.SH.GasTH.NG_Biogas</t>
  </si>
  <si>
    <t>EMI_per_sqm.kgCO2.IE.Ser.Bld.Thermal.SH.Biomass.Biomass_Waste</t>
  </si>
  <si>
    <t>EMI_per_sqm.kgCO2.IE.Ser.Bld.Thermal.SH.Geo.Geo</t>
  </si>
  <si>
    <t>EMI_per_sqm.kgCO2.IE.Ser.Bld.Thermal.SH.DistrHeat.Steam_Distr</t>
  </si>
  <si>
    <t>EMI_per_sqm.kgCO2.IE.Ser.Bld.Thermal.SH.AdvElc.Elec</t>
  </si>
  <si>
    <t>EMI_per_sqm.kgCO2.IE.Ser.Bld.Thermal.SH.ConvElc.Elec</t>
  </si>
  <si>
    <t>EMI_per_sqm.kgCO2.IE.Ser.Bld.Thermal.SH.TotalCirculation.Elec</t>
  </si>
  <si>
    <t>EMI_per_sqm.kgCO2.IE.Ser.Bld.Thermal.SC</t>
  </si>
  <si>
    <t>EMI_per_sqm.kgCO2.IE.Ser.Bld.Thermal.SC.GasHP.NG_Biogas</t>
  </si>
  <si>
    <t>EMI_per_sqm.kgCO2.IE.Ser.Bld.Thermal.SC.AC.Elec</t>
  </si>
  <si>
    <t>EMI_per_sqm.kgCO2.IE.Ser.Bld.Thermal.HW</t>
  </si>
  <si>
    <t>EMI_per_sqm.kgCO2.IE.Ser.Bld.Thermal.HW.Solids.Solids</t>
  </si>
  <si>
    <t>EMI_per_sqm.kgCO2.IE.Ser.Bld.Thermal.HW.LPG.LPG</t>
  </si>
  <si>
    <t>EMI_per_sqm.kgCO2.IE.Ser.Bld.Thermal.HW.Oil.Oil_LiqBio</t>
  </si>
  <si>
    <t>EMI_per_sqm.kgCO2.IE.Ser.Bld.Thermal.HW.Gas.NG_Biogas</t>
  </si>
  <si>
    <t>EMI_per_sqm.kgCO2.IE.Ser.Bld.Thermal.HW.Biomass.Biomass_Waste</t>
  </si>
  <si>
    <t>EMI_per_sqm.kgCO2.IE.Ser.Bld.Thermal.HW.DistrHeat.Steam_Distr</t>
  </si>
  <si>
    <t>EMI_per_sqm.kgCO2.IE.Ser.Bld.Thermal.HW.Elc.Elec</t>
  </si>
  <si>
    <t>EMI_per_sqm.kgCO2.IE.Ser.Bld.Thermal.HW.TotalSolar.Solar</t>
  </si>
  <si>
    <t>EMI_per_sqm.kgCO2.IE.Ser.Bld.Thermal.CA</t>
  </si>
  <si>
    <t>EMI_per_sqm.kgCO2.IE.Ser.Bld.Thermal.CA.LPG</t>
  </si>
  <si>
    <t>EMI_per_sqm.kgCO2.IE.Ser.Bld.Thermal.CA.Gas.NG_Biogas</t>
  </si>
  <si>
    <t>EMI_per_sqm.kgCO2.IE.Ser.Bld.Thermal.CA.Biomass.Biomass_Waste</t>
  </si>
  <si>
    <t>EMI_per_sqm.kgCO2.IE.Ser.Bld.Thermal.CA.Elc.Elec</t>
  </si>
  <si>
    <t>IE - Number of new and renovated buildings</t>
  </si>
  <si>
    <t>NUM.number.IE.Ser.BldNew.Thermal</t>
  </si>
  <si>
    <t>NUM.number.IE.Ser.BldNew.Thermal.SH</t>
  </si>
  <si>
    <t>NUM.number.IE.Ser.BldNew.Thermal.SH.Solids</t>
  </si>
  <si>
    <t>NUM.number.IE.Ser.BldNew.Thermal.SH.LPG</t>
  </si>
  <si>
    <t>NUM.number.IE.Ser.BldNew.Thermal.SH.Oil</t>
  </si>
  <si>
    <t>NUM.number.IE.Ser.BldNew.Thermal.SH.GasHP</t>
  </si>
  <si>
    <t>NUM.number.IE.Ser.BldNew.Thermal.SH.GasTH</t>
  </si>
  <si>
    <t>NUM.number.IE.Ser.BldNew.Thermal.SH.Biomass</t>
  </si>
  <si>
    <t>NUM.number.IE.Ser.BldNew.Thermal.SH.Geo</t>
  </si>
  <si>
    <t>NUM.number.IE.Ser.BldNew.Thermal.SH.DistrHeat</t>
  </si>
  <si>
    <t>NUM.number.IE.Ser.BldNew.Thermal.SH.AdvElc</t>
  </si>
  <si>
    <t>NUM.number.IE.Ser.BldNew.Thermal.SH.ConvElc</t>
  </si>
  <si>
    <t>NUM.number.IE.Ser.BldNew.Thermal.SC</t>
  </si>
  <si>
    <t>NUM.number.IE.Ser.BldNew.Thermal.SC.GasHP</t>
  </si>
  <si>
    <t>NUM.number.IE.Ser.BldNew.Thermal.SC.AC</t>
  </si>
  <si>
    <t>NUM.number.IE.Ser.BldNew.Thermal.HW</t>
  </si>
  <si>
    <t>NUM.number.IE.Ser.BldNew.Thermal.HW.Solids</t>
  </si>
  <si>
    <t>NUM.number.IE.Ser.BldNew.Thermal.HW.LPG</t>
  </si>
  <si>
    <t>NUM.number.IE.Ser.BldNew.Thermal.HW.Oil</t>
  </si>
  <si>
    <t>NUM.number.IE.Ser.BldNew.Thermal.HW.Gas</t>
  </si>
  <si>
    <t>NUM.number.IE.Ser.BldNew.Thermal.HW.Biomass</t>
  </si>
  <si>
    <t>NUM.number.IE.Ser.BldNew.Thermal.HW.DistrHeat</t>
  </si>
  <si>
    <t>NUM.number.IE.Ser.BldNew.Thermal.HW.Elc</t>
  </si>
  <si>
    <t>NUM.number.IE.Ser.BldNew.Thermal.HW.Solar</t>
  </si>
  <si>
    <t>NUM.number.IE.Ser.BldNew.Thermal.CA</t>
  </si>
  <si>
    <t>NUM.number.IE.Ser.BldNew.Thermal.CA.LPG</t>
  </si>
  <si>
    <t>NUM.number.IE.Ser.BldNew.Thermal.CA.Gas</t>
  </si>
  <si>
    <t>NUM.number.IE.Ser.BldNew.Thermal.CA.Biomass</t>
  </si>
  <si>
    <t>NUM.number.IE.Ser.BldNew.Thermal.CA.Elc</t>
  </si>
  <si>
    <t>IE - Final energy consumption in new and renovated buildings</t>
  </si>
  <si>
    <t>FEC.ktoe.IE.Ser.BldNew.Thermal</t>
  </si>
  <si>
    <t>FEC.ktoe.IE.Ser.BldNew.Thermal.SH</t>
  </si>
  <si>
    <t>FEC.ktoe.IE.Ser.BldNew.Thermal.SH.Solids.Solids</t>
  </si>
  <si>
    <t>FEC.ktoe.IE.Ser.BldNew.Thermal.SH.LPG.LPG</t>
  </si>
  <si>
    <t>FEC.ktoe.IE.Ser.BldNew.Thermal.SH.Oil.Oil_LiqBio</t>
  </si>
  <si>
    <t>FEC.ktoe.IE.Ser.BldNew.Thermal.SH.GasHP.NG_Biogas</t>
  </si>
  <si>
    <t>FEC.ktoe.IE.Ser.BldNew.Thermal.SH.GasTH.NG_Biogas</t>
  </si>
  <si>
    <t>FEC.ktoe.IE.Ser.BldNew.Thermal.SH.Biomass.Biomass_Waste</t>
  </si>
  <si>
    <t>FEC.ktoe.IE.Ser.BldNew.Thermal.SH.Geo.Geo</t>
  </si>
  <si>
    <t>FEC.ktoe.IE.Ser.BldNew.Thermal.SH.DistrHeat.Steam_Distr</t>
  </si>
  <si>
    <t>FEC.ktoe.IE.Ser.BldNew.Thermal.SH.AdvElc.Elec</t>
  </si>
  <si>
    <t>FEC.ktoe.IE.Ser.BldNew.Thermal.SH.ConvElc.Elec</t>
  </si>
  <si>
    <t>FEC.ktoe.IE.Ser.BldNew.Thermal.SH.TotalCirculation.Elec</t>
  </si>
  <si>
    <t>FEC.ktoe.IE.Ser.BldNew.Thermal.SC</t>
  </si>
  <si>
    <t>FEC.ktoe.IE.Ser.BldNew.Thermal.SC.GasHP.NG_Biogas</t>
  </si>
  <si>
    <t>FEC.ktoe.IE.Ser.BldNew.Thermal.SC.AC.Elec</t>
  </si>
  <si>
    <t>FEC.ktoe.IE.Ser.BldNew.Thermal.HW</t>
  </si>
  <si>
    <t>FEC.ktoe.IE.Ser.BldNew.Thermal.HW.Solids.Solids</t>
  </si>
  <si>
    <t>FEC.ktoe.IE.Ser.BldNew.Thermal.HW.LPG.LPG</t>
  </si>
  <si>
    <t>FEC.ktoe.IE.Ser.BldNew.Thermal.HW.Oil.Oil_LiqBio</t>
  </si>
  <si>
    <t>FEC.ktoe.IE.Ser.BldNew.Thermal.HW.Gas.NG_Biogas</t>
  </si>
  <si>
    <t>FEC.ktoe.IE.Ser.BldNew.Thermal.HW.Biomass.Biomass_Waste</t>
  </si>
  <si>
    <t>FEC.ktoe.IE.Ser.BldNew.Thermal.HW.DistrHeat.Steam_Distr</t>
  </si>
  <si>
    <t>FEC.ktoe.IE.Ser.BldNew.Thermal.HW.Elc.Elec</t>
  </si>
  <si>
    <t>FEC.ktoe.IE.Ser.BldNew.Thermal.HW.TotalSolar.Solar</t>
  </si>
  <si>
    <t>FEC.ktoe.IE.Ser.BldNew.Thermal.CA</t>
  </si>
  <si>
    <t>FEC.ktoe.IE.Ser.BldNew.Thermal.CA.LPG</t>
  </si>
  <si>
    <t>FEC.ktoe.IE.Ser.BldNew.Thermal.CA.Gas.NG_Biogas</t>
  </si>
  <si>
    <t>FEC.ktoe.IE.Ser.BldNew.Thermal.CA.Biomass.Biomass_Waste</t>
  </si>
  <si>
    <t>FEC.ktoe.IE.Ser.BldNew.Thermal.CA.Elc.Elec</t>
  </si>
  <si>
    <t>IE - Thermal energy service in new and renovated buildings</t>
  </si>
  <si>
    <t>TES.ktoe.IE.Ser.BldNew.Thermal</t>
  </si>
  <si>
    <t>TES.ktoe.IE.Ser.BldNew.Thermal.SH</t>
  </si>
  <si>
    <t>TES.ktoe.IE.Ser.BldNew.Thermal.SH.Solids.Solids</t>
  </si>
  <si>
    <t>TES.ktoe.IE.Ser.BldNew.Thermal.SH.LPG.LPG</t>
  </si>
  <si>
    <t>TES.ktoe.IE.Ser.BldNew.Thermal.SH.Oil.Oil_LiqBio</t>
  </si>
  <si>
    <t>TES.ktoe.IE.Ser.BldNew.Thermal.SH.GasHP.NG_Biogas</t>
  </si>
  <si>
    <t>TES.ktoe.IE.Ser.BldNew.Thermal.SH.GasTH.NG_Biogas</t>
  </si>
  <si>
    <t>TES.ktoe.IE.Ser.BldNew.Thermal.SH.Biomass.Biomass_Waste</t>
  </si>
  <si>
    <t>TES.ktoe.IE.Ser.BldNew.Thermal.SH.Geo.Geo</t>
  </si>
  <si>
    <t>TES.ktoe.IE.Ser.BldNew.Thermal.SH.DistrHeat.Steam_Distr</t>
  </si>
  <si>
    <t>TES.ktoe.IE.Ser.BldNew.Thermal.SH.AdvElc.Elec</t>
  </si>
  <si>
    <t>TES.ktoe.IE.Ser.BldNew.Thermal.SH.ConvElc.Elec</t>
  </si>
  <si>
    <t>TES.ktoe.IE.Ser.BldNew.Thermal.SH.TotalCirculation.Elec</t>
  </si>
  <si>
    <t>TES.ktoe.IE.Ser.BldNew.Thermal.SC</t>
  </si>
  <si>
    <t>TES.ktoe.IE.Ser.BldNew.Thermal.SC.GasHP.NG_Biogas</t>
  </si>
  <si>
    <t>TES.ktoe.IE.Ser.BldNew.Thermal.SC.AC.Elec</t>
  </si>
  <si>
    <t>TES.ktoe.IE.Ser.BldNew.Thermal.HW</t>
  </si>
  <si>
    <t>TES.ktoe.IE.Ser.BldNew.Thermal.HW.Solids.Solids</t>
  </si>
  <si>
    <t>TES.ktoe.IE.Ser.BldNew.Thermal.HW.LPG.LPG</t>
  </si>
  <si>
    <t>TES.ktoe.IE.Ser.BldNew.Thermal.HW.Oil.Oil_LiqBio</t>
  </si>
  <si>
    <t>TES.ktoe.IE.Ser.BldNew.Thermal.HW.Gas.NG_Biogas</t>
  </si>
  <si>
    <t>TES.ktoe.IE.Ser.BldNew.Thermal.HW.Biomass.Biomass_Waste</t>
  </si>
  <si>
    <t>TES.ktoe.IE.Ser.BldNew.Thermal.HW.DistrHeat.Steam_Distr</t>
  </si>
  <si>
    <t>TES.ktoe.IE.Ser.BldNew.Thermal.HW.Elc.Elec</t>
  </si>
  <si>
    <t>TES.ktoe.IE.Ser.BldNew.Thermal.HW.TotalSolar.Solar</t>
  </si>
  <si>
    <t>TES.ktoe.IE.Ser.BldNew.Thermal.CA</t>
  </si>
  <si>
    <t>TES.ktoe.IE.Ser.BldNew.Thermal.CA.LPG</t>
  </si>
  <si>
    <t>TES.ktoe.IE.Ser.BldNew.Thermal.CA.Gas.NG_Biogas</t>
  </si>
  <si>
    <t>TES.ktoe.IE.Ser.BldNew.Thermal.CA.Biomass.Biomass_Waste</t>
  </si>
  <si>
    <t>TES.ktoe.IE.Ser.BldNew.Thermal.CA.Elc.Elec</t>
  </si>
  <si>
    <t>IE - System efficiency indicator of new and renovated buildings</t>
  </si>
  <si>
    <t>Eff.ratio.IE.Ser.BldNew.Thermal</t>
  </si>
  <si>
    <t>Eff.ratio.IE.Ser.BldNew.Thermal.SH</t>
  </si>
  <si>
    <t>Eff.ratio.IE.Ser.BldNew.Thermal.SH.Solids.Solids</t>
  </si>
  <si>
    <t>Eff.ratio.IE.Ser.BldNew.Thermal.SH.LPG.LPG</t>
  </si>
  <si>
    <t>Eff.ratio.IE.Ser.BldNew.Thermal.SH.Oil.Oil_LiqBio</t>
  </si>
  <si>
    <t>Eff.ratio.IE.Ser.BldNew.Thermal.SH.GasHP.NG_Biogas</t>
  </si>
  <si>
    <t>Eff.ratio.IE.Ser.BldNew.Thermal.SH.GasTH.NG_Biogas</t>
  </si>
  <si>
    <t>Eff.ratio.IE.Ser.BldNew.Thermal.SH.Biomass.Biomass_Waste</t>
  </si>
  <si>
    <t>Eff.ratio.IE.Ser.BldNew.Thermal.SH.Geo.Geo</t>
  </si>
  <si>
    <t>Eff.ratio.IE.Ser.BldNew.Thermal.SH.DistrHeat.Steam_Distr</t>
  </si>
  <si>
    <t>Eff.ratio.IE.Ser.BldNew.Thermal.SH.AdvElc.Elec</t>
  </si>
  <si>
    <t>Eff.ratio.IE.Ser.BldNew.Thermal.SH.ConvElc.Elec</t>
  </si>
  <si>
    <t>Eff.ratio.IE.Ser.BldNew.Thermal.SH.TotalCirculation.Elec</t>
  </si>
  <si>
    <t>Eff.ratio.IE.Ser.BldNew.Thermal.SC</t>
  </si>
  <si>
    <t>Eff.ratio.IE.Ser.BldNew.Thermal.SC.GasHP.NG_Biogas</t>
  </si>
  <si>
    <t>Eff.ratio.IE.Ser.BldNew.Thermal.SC.AC.Elec</t>
  </si>
  <si>
    <t>Eff.ratio.IE.Ser.BldNew.Thermal.HW</t>
  </si>
  <si>
    <t>Eff.ratio.IE.Ser.BldNew.Thermal.HW.Solids.Solids</t>
  </si>
  <si>
    <t>Eff.ratio.IE.Ser.BldNew.Thermal.HW.LPG.LPG</t>
  </si>
  <si>
    <t>Eff.ratio.IE.Ser.BldNew.Thermal.HW.Oil.Oil_LiqBio</t>
  </si>
  <si>
    <t>Eff.ratio.IE.Ser.BldNew.Thermal.HW.Gas.NG_Biogas</t>
  </si>
  <si>
    <t>Eff.ratio.IE.Ser.BldNew.Thermal.HW.Biomass.Biomass_Waste</t>
  </si>
  <si>
    <t>Eff.ratio.IE.Ser.BldNew.Thermal.HW.DistrHeat.Steam_Distr</t>
  </si>
  <si>
    <t>Eff.ratio.IE.Ser.BldNew.Thermal.HW.Elc.Elec</t>
  </si>
  <si>
    <t>Eff.ratio.IE.Ser.BldNew.Thermal.HW.TotalSolar.Solar</t>
  </si>
  <si>
    <t>Eff.ratio.IE.Ser.BldNew.Thermal.CA</t>
  </si>
  <si>
    <t>Eff.ratio.IE.Ser.BldNew.Thermal.CA.LPG</t>
  </si>
  <si>
    <t>Eff.ratio.IE.Ser.BldNew.Thermal.CA.Gas.NG_Biogas</t>
  </si>
  <si>
    <t>Eff.ratio.IE.Ser.BldNew.Thermal.CA.Biomass.Biomass_Waste</t>
  </si>
  <si>
    <t>Eff.ratio.IE.Ser.BldNew.Thermal.CA.Elc.Elec</t>
  </si>
  <si>
    <t>IE - CO2 emissions in new and renovated buildings</t>
  </si>
  <si>
    <t>EMI.ktCO2.IE.Ser.BldNew.Thermal</t>
  </si>
  <si>
    <t>EMI.ktCO2.IE.Ser.BldNew.Thermal.SH</t>
  </si>
  <si>
    <t>EMI.ktCO2.IE.Ser.BldNew.Thermal.SH.Solids.Solids</t>
  </si>
  <si>
    <t>EMI.ktCO2.IE.Ser.BldNew.Thermal.SH.LPG.LPG</t>
  </si>
  <si>
    <t>EMI.ktCO2.IE.Ser.BldNew.Thermal.SH.Oil.Oil_LiqBio</t>
  </si>
  <si>
    <t>EMI.ktCO2.IE.Ser.BldNew.Thermal.SH.GasHP.NG_Biogas</t>
  </si>
  <si>
    <t>EMI.ktCO2.IE.Ser.BldNew.Thermal.SH.GasTH.NG_Biogas</t>
  </si>
  <si>
    <t>EMI.ktCO2.IE.Ser.BldNew.Thermal.SH.Biomass.Biomass_Waste</t>
  </si>
  <si>
    <t>EMI.ktCO2.IE.Ser.BldNew.Thermal.SH.Geo.Geo</t>
  </si>
  <si>
    <t>EMI.ktCO2.IE.Ser.BldNew.Thermal.SH.DistrHeat.Steam_Distr</t>
  </si>
  <si>
    <t>EMI.ktCO2.IE.Ser.BldNew.Thermal.SH.AdvElc.Elec</t>
  </si>
  <si>
    <t>EMI.ktCO2.IE.Ser.BldNew.Thermal.SH.ConvElc.Elec</t>
  </si>
  <si>
    <t>EMI.ktCO2.IE.Ser.BldNew.Thermal.SH.TotalCirculation.Elec</t>
  </si>
  <si>
    <t>EMI.ktCO2.IE.Ser.BldNew.Thermal.SC</t>
  </si>
  <si>
    <t>EMI.ktCO2.IE.Ser.BldNew.Thermal.SC.GasHP.NG_Biogas</t>
  </si>
  <si>
    <t>EMI.ktCO2.IE.Ser.BldNew.Thermal.SC.AC.Elec</t>
  </si>
  <si>
    <t>EMI.ktCO2.IE.Ser.BldNew.Thermal.HW</t>
  </si>
  <si>
    <t>EMI.ktCO2.IE.Ser.BldNew.Thermal.HW.Solids.Solids</t>
  </si>
  <si>
    <t>EMI.ktCO2.IE.Ser.BldNew.Thermal.HW.LPG.LPG</t>
  </si>
  <si>
    <t>EMI.ktCO2.IE.Ser.BldNew.Thermal.HW.Oil.Oil_LiqBio</t>
  </si>
  <si>
    <t>EMI.ktCO2.IE.Ser.BldNew.Thermal.HW.Gas.NG_Biogas</t>
  </si>
  <si>
    <t>EMI.ktCO2.IE.Ser.BldNew.Thermal.HW.Biomass.Biomass_Waste</t>
  </si>
  <si>
    <t>EMI.ktCO2.IE.Ser.BldNew.Thermal.HW.DistrHeat.Steam_Distr</t>
  </si>
  <si>
    <t>EMI.ktCO2.IE.Ser.BldNew.Thermal.HW.Elc.Elec</t>
  </si>
  <si>
    <t>EMI.ktCO2.IE.Ser.BldNew.Thermal.HW.TotalSolar.Solar</t>
  </si>
  <si>
    <t>EMI.ktCO2.IE.Ser.BldNew.Thermal.CA</t>
  </si>
  <si>
    <t>EMI.ktCO2.IE.Ser.BldNew.Thermal.CA.LPG</t>
  </si>
  <si>
    <t>EMI.ktCO2.IE.Ser.BldNew.Thermal.CA.Gas.NG_Biogas</t>
  </si>
  <si>
    <t>EMI.ktCO2.IE.Ser.BldNew.Thermal.CA.Biomass.Biomass_Waste</t>
  </si>
  <si>
    <t>EMI.ktCO2.IE.Ser.BldNew.Thermal.CA.Elc.Elec</t>
  </si>
  <si>
    <t>IE - Final energy consumption of new and renovated buildings (per building)</t>
  </si>
  <si>
    <t>FEC_per_building.kWh.IE.Ser.BldNew.Thermal</t>
  </si>
  <si>
    <t>FEC_per_building.kWh.IE.Ser.BldNew.Thermal.SH</t>
  </si>
  <si>
    <t>FEC_per_building.kWh.IE.Ser.BldNew.Thermal.SH.Solids.Solids</t>
  </si>
  <si>
    <t>FEC_per_building.kWh.IE.Ser.BldNew.Thermal.SH.LPG.LPG</t>
  </si>
  <si>
    <t>FEC_per_building.kWh.IE.Ser.BldNew.Thermal.SH.Oil.Oil_LiqBio</t>
  </si>
  <si>
    <t>FEC_per_building.kWh.IE.Ser.BldNew.Thermal.SH.GasHP.NG_Biogas</t>
  </si>
  <si>
    <t>FEC_per_building.kWh.IE.Ser.BldNew.Thermal.SH.GasTH.NG_Biogas</t>
  </si>
  <si>
    <t>FEC_per_building.kWh.IE.Ser.BldNew.Thermal.SH.Biomass.Biomass_Waste</t>
  </si>
  <si>
    <t>FEC_per_building.kWh.IE.Ser.BldNew.Thermal.SH.Geo.Geo</t>
  </si>
  <si>
    <t>FEC_per_building.kWh.IE.Ser.BldNew.Thermal.SH.DistrHeat.Steam_Distr</t>
  </si>
  <si>
    <t>FEC_per_building.kWh.IE.Ser.BldNew.Thermal.SH.AdvElc.Elec</t>
  </si>
  <si>
    <t>FEC_per_building.kWh.IE.Ser.BldNew.Thermal.SH.ConvElc.Elec</t>
  </si>
  <si>
    <t>FEC_per_building.kWh.IE.Ser.BldNew.Thermal.SH.TotalCirculation.Elec</t>
  </si>
  <si>
    <t>FEC_per_building.kWh.IE.Ser.BldNew.Thermal.SC</t>
  </si>
  <si>
    <t>FEC_per_building.kWh.IE.Ser.BldNew.Thermal.SC.GasHP.NG_Biogas</t>
  </si>
  <si>
    <t>FEC_per_building.kWh.IE.Ser.BldNew.Thermal.SC.AC.Elec</t>
  </si>
  <si>
    <t>FEC_per_building.kWh.IE.Ser.BldNew.Thermal.HW</t>
  </si>
  <si>
    <t>FEC_per_building.kWh.IE.Ser.BldNew.Thermal.HW.Solids.Solids</t>
  </si>
  <si>
    <t>FEC_per_building.kWh.IE.Ser.BldNew.Thermal.HW.LPG.LPG</t>
  </si>
  <si>
    <t>FEC_per_building.kWh.IE.Ser.BldNew.Thermal.HW.Oil.Oil_LiqBio</t>
  </si>
  <si>
    <t>FEC_per_building.kWh.IE.Ser.BldNew.Thermal.HW.Gas.NG_Biogas</t>
  </si>
  <si>
    <t>FEC_per_building.kWh.IE.Ser.BldNew.Thermal.HW.Biomass.Biomass_Waste</t>
  </si>
  <si>
    <t>FEC_per_building.kWh.IE.Ser.BldNew.Thermal.HW.DistrHeat.Steam_Distr</t>
  </si>
  <si>
    <t>FEC_per_building.kWh.IE.Ser.BldNew.Thermal.HW.Elc.Elec</t>
  </si>
  <si>
    <t>FEC_per_building.kWh.IE.Ser.BldNew.Thermal.HW.TotalSolar.Solar</t>
  </si>
  <si>
    <t>FEC_per_building.kWh.IE.Ser.BldNew.Thermal.CA</t>
  </si>
  <si>
    <t>FEC_per_building.kWh.IE.Ser.BldNew.Thermal.CA.LPG</t>
  </si>
  <si>
    <t>FEC_per_building.kWh.IE.Ser.BldNew.Thermal.CA.Gas.NG_Biogas</t>
  </si>
  <si>
    <t>FEC_per_building.kWh.IE.Ser.BldNew.Thermal.CA.Biomass.Biomass_Waste</t>
  </si>
  <si>
    <t>FEC_per_building.kWh.IE.Ser.BldNew.Thermal.CA.Elc.Elec</t>
  </si>
  <si>
    <t>IE - Thermal energy service of new and renovated buildings (per building)</t>
  </si>
  <si>
    <t>TES_per_building.kWh.IE.Ser.BldNew.Thermal</t>
  </si>
  <si>
    <t>TES_per_building.kWh.IE.Ser.BldNew.Thermal.SH</t>
  </si>
  <si>
    <t>TES_per_building.kWh.IE.Ser.BldNew.Thermal.SH.Solids.Solids</t>
  </si>
  <si>
    <t>TES_per_building.kWh.IE.Ser.BldNew.Thermal.SH.LPG.LPG</t>
  </si>
  <si>
    <t>TES_per_building.kWh.IE.Ser.BldNew.Thermal.SH.Oil.Oil_LiqBio</t>
  </si>
  <si>
    <t>TES_per_building.kWh.IE.Ser.BldNew.Thermal.SH.GasHP.NG_Biogas</t>
  </si>
  <si>
    <t>TES_per_building.kWh.IE.Ser.BldNew.Thermal.SH.GasTH.NG_Biogas</t>
  </si>
  <si>
    <t>TES_per_building.kWh.IE.Ser.BldNew.Thermal.SH.Biomass.Biomass_Waste</t>
  </si>
  <si>
    <t>TES_per_building.kWh.IE.Ser.BldNew.Thermal.SH.Geo.Geo</t>
  </si>
  <si>
    <t>TES_per_building.kWh.IE.Ser.BldNew.Thermal.SH.DistrHeat.Steam_Distr</t>
  </si>
  <si>
    <t>TES_per_building.kWh.IE.Ser.BldNew.Thermal.SH.AdvElc.Elec</t>
  </si>
  <si>
    <t>TES_per_building.kWh.IE.Ser.BldNew.Thermal.SH.ConvElc.Elec</t>
  </si>
  <si>
    <t>TES_per_building.kWh.IE.Ser.BldNew.Thermal.SH.TotalCirculation.Elec</t>
  </si>
  <si>
    <t>TES_per_building.kWh.IE.Ser.BldNew.Thermal.SC</t>
  </si>
  <si>
    <t>TES_per_building.kWh.IE.Ser.BldNew.Thermal.SC.GasHP.NG_Biogas</t>
  </si>
  <si>
    <t>TES_per_building.kWh.IE.Ser.BldNew.Thermal.SC.AC.Elec</t>
  </si>
  <si>
    <t>TES_per_building.kWh.IE.Ser.BldNew.Thermal.HW</t>
  </si>
  <si>
    <t>TES_per_building.kWh.IE.Ser.BldNew.Thermal.HW.Solids.Solids</t>
  </si>
  <si>
    <t>TES_per_building.kWh.IE.Ser.BldNew.Thermal.HW.LPG.LPG</t>
  </si>
  <si>
    <t>TES_per_building.kWh.IE.Ser.BldNew.Thermal.HW.Oil.Oil_LiqBio</t>
  </si>
  <si>
    <t>TES_per_building.kWh.IE.Ser.BldNew.Thermal.HW.Gas.NG_Biogas</t>
  </si>
  <si>
    <t>TES_per_building.kWh.IE.Ser.BldNew.Thermal.HW.Biomass.Biomass_Waste</t>
  </si>
  <si>
    <t>TES_per_building.kWh.IE.Ser.BldNew.Thermal.HW.DistrHeat.Steam_Distr</t>
  </si>
  <si>
    <t>TES_per_building.kWh.IE.Ser.BldNew.Thermal.HW.Elc.Elec</t>
  </si>
  <si>
    <t>TES_per_building.kWh.IE.Ser.BldNew.Thermal.HW.TotalSolar.Solar</t>
  </si>
  <si>
    <t>TES_per_building.kWh.IE.Ser.BldNew.Thermal.CA</t>
  </si>
  <si>
    <t>TES_per_building.kWh.IE.Ser.BldNew.Thermal.CA.LPG</t>
  </si>
  <si>
    <t>TES_per_building.kWh.IE.Ser.BldNew.Thermal.CA.Gas.NG_Biogas</t>
  </si>
  <si>
    <t>TES_per_building.kWh.IE.Ser.BldNew.Thermal.CA.Biomass.Biomass_Waste</t>
  </si>
  <si>
    <t>TES_per_building.kWh.IE.Ser.BldNew.Thermal.CA.Elc.Elec</t>
  </si>
  <si>
    <t>IE - CO2 emissions in new and renovated buildings (per building)</t>
  </si>
  <si>
    <t>EMI_per_building.kgCO2.IE.Ser.BldNew.Thermal</t>
  </si>
  <si>
    <t>EMI_per_building.kgCO2.IE.Ser.BldNew.Thermal.SH</t>
  </si>
  <si>
    <t>EMI_per_building.kgCO2.IE.Ser.BldNew.Thermal.SH.Solids.Solids</t>
  </si>
  <si>
    <t>EMI_per_building.kgCO2.IE.Ser.BldNew.Thermal.SH.LPG.LPG</t>
  </si>
  <si>
    <t>EMI_per_building.kgCO2.IE.Ser.BldNew.Thermal.SH.Oil.Oil_LiqBio</t>
  </si>
  <si>
    <t>EMI_per_building.kgCO2.IE.Ser.BldNew.Thermal.SH.GasHP.NG_Biogas</t>
  </si>
  <si>
    <t>EMI_per_building.kgCO2.IE.Ser.BldNew.Thermal.SH.GasTH.NG_Biogas</t>
  </si>
  <si>
    <t>EMI_per_building.kgCO2.IE.Ser.BldNew.Thermal.SH.Biomass.Biomass_Waste</t>
  </si>
  <si>
    <t>EMI_per_building.kgCO2.IE.Ser.BldNew.Thermal.SH.Geo.Geo</t>
  </si>
  <si>
    <t>EMI_per_building.kgCO2.IE.Ser.BldNew.Thermal.SH.DistrHeat.Steam_Distr</t>
  </si>
  <si>
    <t>EMI_per_building.kgCO2.IE.Ser.BldNew.Thermal.SH.AdvElc.Elec</t>
  </si>
  <si>
    <t>EMI_per_building.kgCO2.IE.Ser.BldNew.Thermal.SH.ConvElc.Elec</t>
  </si>
  <si>
    <t>EMI_per_building.kgCO2.IE.Ser.BldNew.Thermal.SH.TotalCirculation.Elec</t>
  </si>
  <si>
    <t>EMI_per_building.kgCO2.IE.Ser.BldNew.Thermal.SC</t>
  </si>
  <si>
    <t>EMI_per_building.kgCO2.IE.Ser.BldNew.Thermal.SC.GasHP.NG_Biogas</t>
  </si>
  <si>
    <t>EMI_per_building.kgCO2.IE.Ser.BldNew.Thermal.SC.AC.Elec</t>
  </si>
  <si>
    <t>EMI_per_building.kgCO2.IE.Ser.BldNew.Thermal.HW</t>
  </si>
  <si>
    <t>EMI_per_building.kgCO2.IE.Ser.BldNew.Thermal.HW.Solids.Solids</t>
  </si>
  <si>
    <t>EMI_per_building.kgCO2.IE.Ser.BldNew.Thermal.HW.LPG.LPG</t>
  </si>
  <si>
    <t>EMI_per_building.kgCO2.IE.Ser.BldNew.Thermal.HW.Oil.Oil_LiqBio</t>
  </si>
  <si>
    <t>EMI_per_building.kgCO2.IE.Ser.BldNew.Thermal.HW.Gas.NG_Biogas</t>
  </si>
  <si>
    <t>EMI_per_building.kgCO2.IE.Ser.BldNew.Thermal.HW.Biomass.Biomass_Waste</t>
  </si>
  <si>
    <t>EMI_per_building.kgCO2.IE.Ser.BldNew.Thermal.HW.DistrHeat.Steam_Distr</t>
  </si>
  <si>
    <t>EMI_per_building.kgCO2.IE.Ser.BldNew.Thermal.HW.Elc.Elec</t>
  </si>
  <si>
    <t>EMI_per_building.kgCO2.IE.Ser.BldNew.Thermal.HW.TotalSolar.Solar</t>
  </si>
  <si>
    <t>EMI_per_building.kgCO2.IE.Ser.BldNew.Thermal.CA</t>
  </si>
  <si>
    <t>EMI_per_building.kgCO2.IE.Ser.BldNew.Thermal.CA.LPG</t>
  </si>
  <si>
    <t>EMI_per_building.kgCO2.IE.Ser.BldNew.Thermal.CA.Gas.NG_Biogas</t>
  </si>
  <si>
    <t>EMI_per_building.kgCO2.IE.Ser.BldNew.Thermal.CA.Biomass.Biomass_Waste</t>
  </si>
  <si>
    <t>EMI_per_building.kgCO2.IE.Ser.BldNew.Thermal.CA.Elc.Elec</t>
  </si>
  <si>
    <t>IE - Final energy consumption in new and renovated buildings per surface area</t>
  </si>
  <si>
    <t>FEC_per_sqm.kWh.IE.Ser.BldNew.Thermal</t>
  </si>
  <si>
    <t>FEC_per_sqm.kWh.IE.Ser.BldNew.Thermal.SH</t>
  </si>
  <si>
    <t>FEC_per_sqm.kWh.IE.Ser.BldNew.Thermal.SH.Solids.Solids</t>
  </si>
  <si>
    <t>FEC_per_sqm.kWh.IE.Ser.BldNew.Thermal.SH.LPG.LPG</t>
  </si>
  <si>
    <t>FEC_per_sqm.kWh.IE.Ser.BldNew.Thermal.SH.Oil.Oil_LiqBio</t>
  </si>
  <si>
    <t>FEC_per_sqm.kWh.IE.Ser.BldNew.Thermal.SH.GasHP.NG_Biogas</t>
  </si>
  <si>
    <t>FEC_per_sqm.kWh.IE.Ser.BldNew.Thermal.SH.GasTH.NG_Biogas</t>
  </si>
  <si>
    <t>FEC_per_sqm.kWh.IE.Ser.BldNew.Thermal.SH.Biomass.Biomass_Waste</t>
  </si>
  <si>
    <t>FEC_per_sqm.kWh.IE.Ser.BldNew.Thermal.SH.Geo.Geo</t>
  </si>
  <si>
    <t>FEC_per_sqm.kWh.IE.Ser.BldNew.Thermal.SH.DistrHeat.Steam_Distr</t>
  </si>
  <si>
    <t>FEC_per_sqm.kWh.IE.Ser.BldNew.Thermal.SH.AdvElc.Elec</t>
  </si>
  <si>
    <t>FEC_per_sqm.kWh.IE.Ser.BldNew.Thermal.SH.ConvElc.Elec</t>
  </si>
  <si>
    <t>FEC_per_sqm.kWh.IE.Ser.BldNew.Thermal.SH.TotalCirculation.Elec</t>
  </si>
  <si>
    <t>FEC_per_sqm.kWh.IE.Ser.BldNew.Thermal.SC</t>
  </si>
  <si>
    <t>FEC_per_sqm.kWh.IE.Ser.BldNew.Thermal.SC.GasHP.NG_Biogas</t>
  </si>
  <si>
    <t>FEC_per_sqm.kWh.IE.Ser.BldNew.Thermal.SC.AC.Elec</t>
  </si>
  <si>
    <t>FEC_per_sqm.kWh.IE.Ser.BldNew.Thermal.HW</t>
  </si>
  <si>
    <t>FEC_per_sqm.kWh.IE.Ser.BldNew.Thermal.HW.Solids.Solids</t>
  </si>
  <si>
    <t>FEC_per_sqm.kWh.IE.Ser.BldNew.Thermal.HW.LPG.LPG</t>
  </si>
  <si>
    <t>FEC_per_sqm.kWh.IE.Ser.BldNew.Thermal.HW.Oil.Oil_LiqBio</t>
  </si>
  <si>
    <t>FEC_per_sqm.kWh.IE.Ser.BldNew.Thermal.HW.Gas.NG_Biogas</t>
  </si>
  <si>
    <t>FEC_per_sqm.kWh.IE.Ser.BldNew.Thermal.HW.Biomass.Biomass_Waste</t>
  </si>
  <si>
    <t>FEC_per_sqm.kWh.IE.Ser.BldNew.Thermal.HW.DistrHeat.Steam_Distr</t>
  </si>
  <si>
    <t>FEC_per_sqm.kWh.IE.Ser.BldNew.Thermal.HW.Elc.Elec</t>
  </si>
  <si>
    <t>FEC_per_sqm.kWh.IE.Ser.BldNew.Thermal.HW.TotalSolar.Solar</t>
  </si>
  <si>
    <t>FEC_per_sqm.kWh.IE.Ser.BldNew.Thermal.CA</t>
  </si>
  <si>
    <t>FEC_per_sqm.kWh.IE.Ser.BldNew.Thermal.CA.LPG</t>
  </si>
  <si>
    <t>FEC_per_sqm.kWh.IE.Ser.BldNew.Thermal.CA.Gas.NG_Biogas</t>
  </si>
  <si>
    <t>FEC_per_sqm.kWh.IE.Ser.BldNew.Thermal.CA.Biomass.Biomass_Waste</t>
  </si>
  <si>
    <t>FEC_per_sqm.kWh.IE.Ser.BldNew.Thermal.CA.Elc.Elec</t>
  </si>
  <si>
    <t>IE - Thermal energy service in new and renovated buildings per surface area</t>
  </si>
  <si>
    <t>TES_per_sqm.kWh.IE.Ser.BldNew.Thermal</t>
  </si>
  <si>
    <t>TES_per_sqm.kWh.IE.Ser.BldNew.Thermal.SH</t>
  </si>
  <si>
    <t>TES_per_sqm.kWh.IE.Ser.BldNew.Thermal.SH.Solids.Solids</t>
  </si>
  <si>
    <t>TES_per_sqm.kWh.IE.Ser.BldNew.Thermal.SH.LPG.LPG</t>
  </si>
  <si>
    <t>TES_per_sqm.kWh.IE.Ser.BldNew.Thermal.SH.Oil.Oil_LiqBio</t>
  </si>
  <si>
    <t>TES_per_sqm.kWh.IE.Ser.BldNew.Thermal.SH.GasHP.NG_Biogas</t>
  </si>
  <si>
    <t>TES_per_sqm.kWh.IE.Ser.BldNew.Thermal.SH.GasTH.NG_Biogas</t>
  </si>
  <si>
    <t>TES_per_sqm.kWh.IE.Ser.BldNew.Thermal.SH.Biomass.Biomass_Waste</t>
  </si>
  <si>
    <t>TES_per_sqm.kWh.IE.Ser.BldNew.Thermal.SH.Geo.Geo</t>
  </si>
  <si>
    <t>TES_per_sqm.kWh.IE.Ser.BldNew.Thermal.SH.DistrHeat.Steam_Distr</t>
  </si>
  <si>
    <t>TES_per_sqm.kWh.IE.Ser.BldNew.Thermal.SH.AdvElc.Elec</t>
  </si>
  <si>
    <t>TES_per_sqm.kWh.IE.Ser.BldNew.Thermal.SH.ConvElc.Elec</t>
  </si>
  <si>
    <t>TES_per_sqm.kWh.IE.Ser.BldNew.Thermal.SH.TotalCirculation.Elec</t>
  </si>
  <si>
    <t>TES_per_sqm.kWh.IE.Ser.BldNew.Thermal.SC</t>
  </si>
  <si>
    <t>TES_per_sqm.kWh.IE.Ser.BldNew.Thermal.SC.GasHP.NG_Biogas</t>
  </si>
  <si>
    <t>TES_per_sqm.kWh.IE.Ser.BldNew.Thermal.SC.AC.Elec</t>
  </si>
  <si>
    <t>TES_per_sqm.kWh.IE.Ser.BldNew.Thermal.HW</t>
  </si>
  <si>
    <t>TES_per_sqm.kWh.IE.Ser.BldNew.Thermal.HW.Solids.Solids</t>
  </si>
  <si>
    <t>TES_per_sqm.kWh.IE.Ser.BldNew.Thermal.HW.LPG.LPG</t>
  </si>
  <si>
    <t>TES_per_sqm.kWh.IE.Ser.BldNew.Thermal.HW.Oil.Oil_LiqBio</t>
  </si>
  <si>
    <t>TES_per_sqm.kWh.IE.Ser.BldNew.Thermal.HW.Gas.NG_Biogas</t>
  </si>
  <si>
    <t>TES_per_sqm.kWh.IE.Ser.BldNew.Thermal.HW.Biomass.Biomass_Waste</t>
  </si>
  <si>
    <t>TES_per_sqm.kWh.IE.Ser.BldNew.Thermal.HW.DistrHeat.Steam_Distr</t>
  </si>
  <si>
    <t>TES_per_sqm.kWh.IE.Ser.BldNew.Thermal.HW.Elc.Elec</t>
  </si>
  <si>
    <t>TES_per_sqm.kWh.IE.Ser.BldNew.Thermal.HW.TotalSolar.Solar</t>
  </si>
  <si>
    <t>TES_per_sqm.kWh.IE.Ser.BldNew.Thermal.CA</t>
  </si>
  <si>
    <t>TES_per_sqm.kWh.IE.Ser.BldNew.Thermal.CA.LPG</t>
  </si>
  <si>
    <t>TES_per_sqm.kWh.IE.Ser.BldNew.Thermal.CA.Gas.NG_Biogas</t>
  </si>
  <si>
    <t>TES_per_sqm.kWh.IE.Ser.BldNew.Thermal.CA.Biomass.Biomass_Waste</t>
  </si>
  <si>
    <t>TES_per_sqm.kWh.IE.Ser.BldNew.Thermal.CA.Elc.Elec</t>
  </si>
  <si>
    <t>IE - CO2 emissions in new and renovated buildings per surface area</t>
  </si>
  <si>
    <t>EMI_per_sqm.kgCO2.IE.Ser.BldNew.Thermal</t>
  </si>
  <si>
    <t>EMI_per_sqm.kgCO2.IE.Ser.BldNew.Thermal.SH</t>
  </si>
  <si>
    <t>EMI_per_sqm.kgCO2.IE.Ser.BldNew.Thermal.SH.Solids.Solids</t>
  </si>
  <si>
    <t>EMI_per_sqm.kgCO2.IE.Ser.BldNew.Thermal.SH.LPG.LPG</t>
  </si>
  <si>
    <t>EMI_per_sqm.kgCO2.IE.Ser.BldNew.Thermal.SH.Oil.Oil_LiqBio</t>
  </si>
  <si>
    <t>EMI_per_sqm.kgCO2.IE.Ser.BldNew.Thermal.SH.GasHP.NG_Biogas</t>
  </si>
  <si>
    <t>EMI_per_sqm.kgCO2.IE.Ser.BldNew.Thermal.SH.GasTH.NG_Biogas</t>
  </si>
  <si>
    <t>EMI_per_sqm.kgCO2.IE.Ser.BldNew.Thermal.SH.Biomass.Biomass_Waste</t>
  </si>
  <si>
    <t>EMI_per_sqm.kgCO2.IE.Ser.BldNew.Thermal.SH.Geo.Geo</t>
  </si>
  <si>
    <t>EMI_per_sqm.kgCO2.IE.Ser.BldNew.Thermal.SH.DistrHeat.Steam_Distr</t>
  </si>
  <si>
    <t>EMI_per_sqm.kgCO2.IE.Ser.BldNew.Thermal.SH.AdvElc.Elec</t>
  </si>
  <si>
    <t>EMI_per_sqm.kgCO2.IE.Ser.BldNew.Thermal.SH.ConvElc.Elec</t>
  </si>
  <si>
    <t>EMI_per_sqm.kgCO2.IE.Ser.BldNew.Thermal.SH.TotalCirculation.Elec</t>
  </si>
  <si>
    <t>EMI_per_sqm.kgCO2.IE.Ser.BldNew.Thermal.SC</t>
  </si>
  <si>
    <t>EMI_per_sqm.kgCO2.IE.Ser.BldNew.Thermal.SC.GasHP.NG_Biogas</t>
  </si>
  <si>
    <t>EMI_per_sqm.kgCO2.IE.Ser.BldNew.Thermal.SC.AC.Elec</t>
  </si>
  <si>
    <t>EMI_per_sqm.kgCO2.IE.Ser.BldNew.Thermal.HW</t>
  </si>
  <si>
    <t>EMI_per_sqm.kgCO2.IE.Ser.BldNew.Thermal.HW.Solids.Solids</t>
  </si>
  <si>
    <t>EMI_per_sqm.kgCO2.IE.Ser.BldNew.Thermal.HW.LPG.LPG</t>
  </si>
  <si>
    <t>EMI_per_sqm.kgCO2.IE.Ser.BldNew.Thermal.HW.Oil.Oil_LiqBio</t>
  </si>
  <si>
    <t>EMI_per_sqm.kgCO2.IE.Ser.BldNew.Thermal.HW.Gas.NG_Biogas</t>
  </si>
  <si>
    <t>EMI_per_sqm.kgCO2.IE.Ser.BldNew.Thermal.HW.Biomass.Biomass_Waste</t>
  </si>
  <si>
    <t>EMI_per_sqm.kgCO2.IE.Ser.BldNew.Thermal.HW.DistrHeat.Steam_Distr</t>
  </si>
  <si>
    <t>EMI_per_sqm.kgCO2.IE.Ser.BldNew.Thermal.HW.Elc.Elec</t>
  </si>
  <si>
    <t>EMI_per_sqm.kgCO2.IE.Ser.BldNew.Thermal.HW.TotalSolar.Solar</t>
  </si>
  <si>
    <t>EMI_per_sqm.kgCO2.IE.Ser.BldNew.Thermal.CA</t>
  </si>
  <si>
    <t>EMI_per_sqm.kgCO2.IE.Ser.BldNew.Thermal.CA.LPG</t>
  </si>
  <si>
    <t>EMI_per_sqm.kgCO2.IE.Ser.BldNew.Thermal.CA.Gas.NG_Biogas</t>
  </si>
  <si>
    <t>EMI_per_sqm.kgCO2.IE.Ser.BldNew.Thermal.CA.Biomass.Biomass_Waste</t>
  </si>
  <si>
    <t>EMI_per_sqm.kgCO2.IE.Ser.BldNew.Thermal.CA.Elc.Elec</t>
  </si>
  <si>
    <t>FEC.ktoe.IE.Ser.SEU.VE</t>
  </si>
  <si>
    <t>FEC.ktoe.IE.Ser.SEU.SL</t>
  </si>
  <si>
    <t>FEC.ktoe.IE.Ser.SEU.BL</t>
  </si>
  <si>
    <t>FEC.ktoe.IE.Ser.SEU.CR</t>
  </si>
  <si>
    <t>FEC.ktoe.IE.Ser.SEU.BT</t>
  </si>
  <si>
    <t>FEC.ktoe.IE.Ser.SEU.IT</t>
  </si>
  <si>
    <t>Size.MW.IE.Ser.SEU</t>
  </si>
  <si>
    <t>Size.MW.IE.Ser.SEU.VE</t>
  </si>
  <si>
    <t>Size.MW.IE.Ser.SEU.SL</t>
  </si>
  <si>
    <t>Size.MW.IE.Ser.SEU.BL</t>
  </si>
  <si>
    <t>Size.MW.IE.Ser.SEU.CR</t>
  </si>
  <si>
    <t>Size.MW.IE.Ser.SEU.BT</t>
  </si>
  <si>
    <t>Size.MW.IE.Ser.SEU.IT</t>
  </si>
  <si>
    <t>NUM.Msqm.IE.Ser.SEU.VE</t>
  </si>
  <si>
    <t>NUM.k.IE.Ser.SEU.SL</t>
  </si>
  <si>
    <t>NUM.M.IE.Ser.SEU.BL</t>
  </si>
  <si>
    <t>NUM.k.IE.Ser.SEU.CR</t>
  </si>
  <si>
    <t>NUM.Msqm.IE.Ser.SEU.BT</t>
  </si>
  <si>
    <t>NUM.k.IE.Ser.SEU.IT</t>
  </si>
  <si>
    <t>NUM.Msqm.IE.Ser.SEUnew.VE</t>
  </si>
  <si>
    <t>NUM.k.IE.Ser.SEUnew.SL</t>
  </si>
  <si>
    <t>NUM.M.IE.Ser.SEUnew.BL</t>
  </si>
  <si>
    <t>NUM.k.IE.Ser.SEUnew.CR</t>
  </si>
  <si>
    <t>NUM.Msqm.IE.Ser.SEUnew.BT</t>
  </si>
  <si>
    <t>NUM.k.IE.Ser.SEUnew.IT</t>
  </si>
  <si>
    <t>NUM.Msqm.IE.Ser.SEUrepl.VE</t>
  </si>
  <si>
    <t>NUM.k.IE.Ser.SEUrepl.SL</t>
  </si>
  <si>
    <t>NUM.M.IE.Ser.SEUrepl.BL</t>
  </si>
  <si>
    <t>NUM.k.IE.Ser.SEUrepl.CR</t>
  </si>
  <si>
    <t>NUM.Msqm.IE.Ser.SEUrepl.BT</t>
  </si>
  <si>
    <t>NUM.k.IE.Ser.SEUrepl.IT</t>
  </si>
  <si>
    <t>Op.hours.IE.Ser.SEU.VE</t>
  </si>
  <si>
    <t>Op.hours.IE.Ser.SEU.SL</t>
  </si>
  <si>
    <t>Op.hours.IE.Ser.SEU.BL</t>
  </si>
  <si>
    <t>Op.hours.IE.Ser.SEU.CR</t>
  </si>
  <si>
    <t>Op.hours.IE.Ser.SEU.BT</t>
  </si>
  <si>
    <t>Op.hours.IE.Ser.SEU.IT</t>
  </si>
  <si>
    <t>Size_per_appl.W.IE.Ser.SEU.VE</t>
  </si>
  <si>
    <t>Size_per_appl.W.IE.Ser.SEU.SL</t>
  </si>
  <si>
    <t>Size_per_appl.W.IE.Ser.SEU.BL</t>
  </si>
  <si>
    <t>Size_per_appl.W.IE.Ser.SEU.CR</t>
  </si>
  <si>
    <t>Size_per_appl.W.IE.Ser.SEU.BT</t>
  </si>
  <si>
    <t>Size_per_appl.W.IE.Ser.SEU.IT</t>
  </si>
  <si>
    <t>Size_per_appl.W.IE.Ser.SEUnew.VE</t>
  </si>
  <si>
    <t>Size_per_appl.W.IE.Ser.SEUnew.SL</t>
  </si>
  <si>
    <t>Size_per_appl.W.IE.Ser.SEUnew.BL</t>
  </si>
  <si>
    <t>Size_per_appl.W.IE.Ser.SEUnew.CR</t>
  </si>
  <si>
    <t>Size_per_appl.W.IE.Ser.SEUnew.BT</t>
  </si>
  <si>
    <t>Size_per_appl.W.IE.Ser.SEUnew.IT</t>
  </si>
  <si>
    <t>NUM.sqm_per_building.IE.Ser.SEU.VE</t>
  </si>
  <si>
    <t>NUM.number_per_capita.IE.Ser.SEU.SL</t>
  </si>
  <si>
    <t>NUM.number_per_building.IE.Ser.SEU.BL</t>
  </si>
  <si>
    <t>NUM.number_per_capita.IE.Ser.SEU.CR</t>
  </si>
  <si>
    <t>NUM.sqm_per_building.IE.Ser.SEU.BT</t>
  </si>
  <si>
    <t>NUM.number_per_capita.IE.Ser.SEU.IT</t>
  </si>
  <si>
    <t>Lumens_per_sqm.lumen.IE.Ser.SEU.BL</t>
  </si>
  <si>
    <t>FEC.ktoe.IE.Ser.SEU.IT.DataCenters</t>
  </si>
  <si>
    <t>IE - Services / specific electric uses</t>
  </si>
  <si>
    <t>IE - Ventilation and others</t>
  </si>
  <si>
    <t>IE - Street lighting</t>
  </si>
  <si>
    <t>IE - Building lighting</t>
  </si>
  <si>
    <t>IE - Commercial refrigeration</t>
  </si>
  <si>
    <t>IE - Miscellaneous building technologies</t>
  </si>
  <si>
    <t>IE - ICT and multimedia</t>
  </si>
  <si>
    <t>IE - Agriculture, forestry and fishing</t>
  </si>
  <si>
    <t>VA.Meuro2015.Meuro2023.IE.AGR.AGR</t>
  </si>
  <si>
    <t>OUTPUT.index.index.IE.AGR.AGR</t>
  </si>
  <si>
    <t>CAP.index.index.IE.AGR.AGR</t>
  </si>
  <si>
    <t>NEWCAP.index.index.IE.AGR.AGR</t>
  </si>
  <si>
    <t>CAPOUT.index.IE.AGR.AGR</t>
  </si>
  <si>
    <t>CAPIDLE.index.IE.AGR.AGR</t>
  </si>
  <si>
    <t>FEC.ktoe.IE.ES.AGR</t>
  </si>
  <si>
    <t>FEC.ktoe.IE.ES.AGR.Solids</t>
  </si>
  <si>
    <t>FEC.ktoe.IE.ES.AGR.LPG</t>
  </si>
  <si>
    <t>FEC.ktoe.IE.ES.AGR.Diesel</t>
  </si>
  <si>
    <t>FEC.ktoe.IE.ES.AGR.RFO</t>
  </si>
  <si>
    <t>FEC.ktoe.IE.ES.AGR.NG</t>
  </si>
  <si>
    <t>FEC.ktoe.IE.ES.AGR.Biomass_Waste</t>
  </si>
  <si>
    <t>FEC.ktoe.IE.ES.AGR.Biogas</t>
  </si>
  <si>
    <t>FEC.ktoe.IE.ES.AGR.LiqBio</t>
  </si>
  <si>
    <t>FEC.ktoe.IE.ES.AGR.Solar</t>
  </si>
  <si>
    <t>FEC.ktoe.IE.ES.AGR.Geo</t>
  </si>
  <si>
    <t>FEC.ktoe.IE.ES.AGR.Ambient</t>
  </si>
  <si>
    <t>FEC.ktoe.IE.ES.AGR.Steam_Distr</t>
  </si>
  <si>
    <t>FEC.ktoe.IE.ES.AGR.Elec</t>
  </si>
  <si>
    <t>IE - Agriculture, forestry and fishing / final energy consumption</t>
  </si>
  <si>
    <t>FEC.ktoe.ktoe.IE.AGR.AGR.LIGHT.GENERIC.ELEC</t>
  </si>
  <si>
    <t>FEC.ktoe.ktoe.IE.AGR.AGR.FANS.GENERIC.ELEC</t>
  </si>
  <si>
    <t>FEC.ktoe.ktoe.IE.AGR.AGR.MOTOR.GENERIC.ELEC</t>
  </si>
  <si>
    <t>FEC.ktoe.ktoe.IE.AGR.AGR.LOW_ENTH.THERM.DIESEL_LIQBIO</t>
  </si>
  <si>
    <t>FEC.ktoe.ktoe.IE.AGR.AGR.LOW_ENTH.THERM.NG_BIOGAS</t>
  </si>
  <si>
    <t>FEC.ktoe.ktoe.IE.AGR.AGR.LOW_ENTH.THERM.SOLAR_GEO</t>
  </si>
  <si>
    <t>FEC.ktoe.ktoe.IE.AGR.AGR.LOW_ENTH.HP.AMBIENT</t>
  </si>
  <si>
    <t>FEC.ktoe.ktoe.IE.AGR.AGR.LOW_ENTH.THERM.STEAM_DISTR</t>
  </si>
  <si>
    <t>FEC.ktoe.ktoe.IE.AGR.AGR.LOW_ENTH.THERM.ELEC</t>
  </si>
  <si>
    <t>FEC.ktoe.ktoe.IE.AGR.AGR.FARM_DRIVES.MECH.DIESEL_LIQBIO</t>
  </si>
  <si>
    <t>FEC.ktoe.ktoe.IE.AGR.AGR.HEAT_USE.THERM.SOLIDS</t>
  </si>
  <si>
    <t>FEC.ktoe.ktoe.IE.AGR.AGR.HEAT_USE.THERM.LPG</t>
  </si>
  <si>
    <t>FEC.ktoe.ktoe.IE.AGR.AGR.HEAT_USE.THERM.DIESEL_LIQBIO</t>
  </si>
  <si>
    <t>FEC.ktoe.ktoe.IE.AGR.AGR.HEAT_USE.THERM.RFO</t>
  </si>
  <si>
    <t>FEC.ktoe.ktoe.IE.AGR.AGR.HEAT_USE.THERM.NG_BIOGAS</t>
  </si>
  <si>
    <t>FEC.ktoe.ktoe.IE.AGR.AGR.HEAT_USE.THERM.BIOMASS_WASTE</t>
  </si>
  <si>
    <t>FEC.ktoe.ktoe.IE.AGR.AGR.HEAT_USE.THERM.SOLAR_GEO</t>
  </si>
  <si>
    <t>FEC.ktoe.ktoe.IE.AGR.AGR.FARM_PUMP.MECH.DIESEL_LIQBIO</t>
  </si>
  <si>
    <t>FEC.ktoe.ktoe.IE.AGR.AGR.FARM_PUMP_ELEC.MECH.ELEC</t>
  </si>
  <si>
    <t>FEC.ktoe.ktoe.IE.AGR.AGR.GENERIC.MECH.ELEC</t>
  </si>
  <si>
    <t>IE - Agriculture, forestry and fishing / useful energy demand</t>
  </si>
  <si>
    <t>UED.ktoe.ktoe.IE.AGR.AGR.LIGHT.GENERIC.ELEC</t>
  </si>
  <si>
    <t>UED.ktoe.ktoe.IE.AGR.AGR.FANS.GENERIC.ELEC</t>
  </si>
  <si>
    <t>UED.ktoe.ktoe.IE.AGR.AGR.MOTOR.GENERIC.ELEC</t>
  </si>
  <si>
    <t>UED.ktoe.ktoe.IE.AGR.AGR.LOW_ENTH.THERM.DIESEL_LIQBIO</t>
  </si>
  <si>
    <t>UED.ktoe.ktoe.IE.AGR.AGR.LOW_ENTH.THERM.NG_BIOGAS</t>
  </si>
  <si>
    <t>UED.ktoe.ktoe.IE.AGR.AGR.LOW_ENTH.THERM.SOLAR_GEO</t>
  </si>
  <si>
    <t>UED.ktoe.ktoe.IE.AGR.AGR.LOW_ENTH.HP.AMBIENT</t>
  </si>
  <si>
    <t>UED.ktoe.ktoe.IE.AGR.AGR.LOW_ENTH.THERM.STEAM_DISTR</t>
  </si>
  <si>
    <t>UED.ktoe.ktoe.IE.AGR.AGR.LOW_ENTH.THERM.ELEC</t>
  </si>
  <si>
    <t>UED.ktoe.ktoe.IE.AGR.AGR.FARM_DRIVES.MECH.DIESEL_LIQBIO</t>
  </si>
  <si>
    <t>UED.ktoe.ktoe.IE.AGR.AGR.HEAT_USE.THERM.SOLIDS</t>
  </si>
  <si>
    <t>UED.ktoe.ktoe.IE.AGR.AGR.HEAT_USE.THERM.LPG</t>
  </si>
  <si>
    <t>UED.ktoe.ktoe.IE.AGR.AGR.HEAT_USE.THERM.DIESEL_LIQBIO</t>
  </si>
  <si>
    <t>UED.ktoe.ktoe.IE.AGR.AGR.HEAT_USE.THERM.RFO</t>
  </si>
  <si>
    <t>UED.ktoe.ktoe.IE.AGR.AGR.HEAT_USE.THERM.NG_BIOGAS</t>
  </si>
  <si>
    <t>UED.ktoe.ktoe.IE.AGR.AGR.HEAT_USE.THERM.BIOMASS_WASTE</t>
  </si>
  <si>
    <t>UED.ktoe.ktoe.IE.AGR.AGR.HEAT_USE.THERM.SOLAR_GEO</t>
  </si>
  <si>
    <t>UED.ktoe.ktoe.IE.AGR.AGR.FARM_PUMP.MECH.DIESEL_LIQBIO</t>
  </si>
  <si>
    <t>UED.ktoe.ktoe.IE.AGR.AGR.FARM_PUMP_ELEC.MECH.ELEC</t>
  </si>
  <si>
    <t>UED.ktoe.ktoe.IE.AGR.AGR.GENERIC.MECH.ELEC</t>
  </si>
  <si>
    <t>IE - Agriculture, forestry and fishing / CO2 emissions</t>
  </si>
  <si>
    <t>FUEL_EMI.ktCO2.ktCO2.IE.AGR.AGR.LIGHT.GENERIC.ELEC</t>
  </si>
  <si>
    <t>FUEL_EMI.ktCO2.ktCO2.IE.AGR.AGR.FANS.GENERIC.ELEC</t>
  </si>
  <si>
    <t>FUEL_EMI.ktCO2.ktCO2.IE.AGR.AGR.MOTOR.GENERIC.ELEC</t>
  </si>
  <si>
    <t>FUEL_EMI.ktCO2.ktCO2.IE.AGR.AGR.LOW_ENTH.THERM.DIESEL_LIQBIO</t>
  </si>
  <si>
    <t>FUEL_EMI.ktCO2.ktCO2.IE.AGR.AGR.LOW_ENTH.THERM.NG_BIOGAS</t>
  </si>
  <si>
    <t>FUEL_EMI.ktCO2.ktCO2.IE.AGR.AGR.LOW_ENTH.THERM.SOLAR_GEO</t>
  </si>
  <si>
    <t>FUEL_EMI.ktCO2.ktCO2.IE.AGR.AGR.LOW_ENTH.HP.AMBIENT</t>
  </si>
  <si>
    <t>FUEL_EMI.ktCO2.ktCO2.IE.AGR.AGR.LOW_ENTH.THERM.STEAM_DISTR</t>
  </si>
  <si>
    <t>FUEL_EMI.ktCO2.ktCO2.IE.AGR.AGR.LOW_ENTH.THERM.ELEC</t>
  </si>
  <si>
    <t>FUEL_EMI.ktCO2.ktCO2.IE.AGR.AGR.FARM_DRIVES.MECH.DIESEL_LIQBIO</t>
  </si>
  <si>
    <t>FUEL_EMI.ktCO2.ktCO2.IE.AGR.AGR.HEAT_USE.THERM.SOLIDS</t>
  </si>
  <si>
    <t>FUEL_EMI.ktCO2.ktCO2.IE.AGR.AGR.HEAT_USE.THERM.LPG</t>
  </si>
  <si>
    <t>FUEL_EMI.ktCO2.ktCO2.IE.AGR.AGR.HEAT_USE.THERM.DIESEL_LIQBIO</t>
  </si>
  <si>
    <t>FUEL_EMI.ktCO2.ktCO2.IE.AGR.AGR.HEAT_USE.THERM.RFO</t>
  </si>
  <si>
    <t>FUEL_EMI.ktCO2.ktCO2.IE.AGR.AGR.HEAT_USE.THERM.NG_BIOGAS</t>
  </si>
  <si>
    <t>FUEL_EMI.ktCO2.ktCO2.IE.AGR.AGR.HEAT_USE.THERM.BIOMASS_WASTE</t>
  </si>
  <si>
    <t>FUEL_EMI.ktCO2.ktCO2.IE.AGR.AGR.HEAT_USE.THERM.SOLAR_GEO</t>
  </si>
  <si>
    <t>FUEL_EMI.ktCO2.ktCO2.IE.AGR.AGR.FARM_PUMP.MECH.DIESEL_LIQBIO</t>
  </si>
  <si>
    <t>FUEL_EMI.ktCO2.ktCO2.IE.AGR.AGR.FARM_PUMP_ELEC.MECH.ELEC</t>
  </si>
  <si>
    <t>FUEL_EMI.ktCO2.ktCO2.IE.AGR.AGR.GENERIC.MECH.ELEC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</si>
</sst>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45967.476354166669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3777565</v>
      </c>
      <c r="C3" s="34">
        <v>3832783</v>
      </c>
      <c r="D3" s="34">
        <v>3899702</v>
      </c>
      <c r="E3" s="34">
        <v>3964191</v>
      </c>
      <c r="F3" s="34">
        <v>4028851</v>
      </c>
      <c r="G3" s="34">
        <v>4111672</v>
      </c>
      <c r="H3" s="34">
        <v>4208156</v>
      </c>
      <c r="I3" s="34">
        <v>4340118</v>
      </c>
      <c r="J3" s="34">
        <v>4457765</v>
      </c>
      <c r="K3" s="34">
        <v>4521322</v>
      </c>
      <c r="L3" s="34">
        <v>4549428</v>
      </c>
      <c r="M3" s="34">
        <v>4570881</v>
      </c>
      <c r="N3" s="34">
        <v>4589287</v>
      </c>
      <c r="O3" s="34">
        <v>4609779</v>
      </c>
      <c r="P3" s="34">
        <v>4637852</v>
      </c>
      <c r="Q3" s="34">
        <v>4677627</v>
      </c>
      <c r="R3" s="34">
        <v>4726286</v>
      </c>
      <c r="S3" s="34">
        <v>4799157</v>
      </c>
      <c r="T3" s="34">
        <v>4855733</v>
      </c>
      <c r="U3" s="34">
        <v>4940311</v>
      </c>
      <c r="V3" s="34">
        <v>5012600</v>
      </c>
      <c r="W3" s="34">
        <v>5066893</v>
      </c>
      <c r="X3" s="34">
        <v>5154277</v>
      </c>
      <c r="Y3" s="34">
        <v>5271395</v>
      </c>
      <c r="DA3" s="88" t="s">
        <v>188</v>
      </c>
    </row>
    <row r="4" spans="1:105" ht="12" customHeight="1" x14ac:dyDescent="0.25">
      <c r="A4" s="35" t="s">
        <v>178</v>
      </c>
      <c r="B4" s="36">
        <v>171191.79759230831</v>
      </c>
      <c r="C4" s="36">
        <v>180275.26714048089</v>
      </c>
      <c r="D4" s="36">
        <v>190910.60391987732</v>
      </c>
      <c r="E4" s="36">
        <v>196664.84700185619</v>
      </c>
      <c r="F4" s="36">
        <v>210014.70178014314</v>
      </c>
      <c r="G4" s="36">
        <v>222069.92418236646</v>
      </c>
      <c r="H4" s="36">
        <v>233144.39514079431</v>
      </c>
      <c r="I4" s="36">
        <v>245526.89010526316</v>
      </c>
      <c r="J4" s="36">
        <v>234516.03838591091</v>
      </c>
      <c r="K4" s="36">
        <v>222566.78432233774</v>
      </c>
      <c r="L4" s="36">
        <v>226310.73797157011</v>
      </c>
      <c r="M4" s="36">
        <v>229953.2510020858</v>
      </c>
      <c r="N4" s="36">
        <v>229019.97138778534</v>
      </c>
      <c r="O4" s="36">
        <v>234043.11344362545</v>
      </c>
      <c r="P4" s="36">
        <v>256011.28395416721</v>
      </c>
      <c r="Q4" s="36">
        <v>319050.21090399998</v>
      </c>
      <c r="R4" s="36">
        <v>322952.74407287547</v>
      </c>
      <c r="S4" s="36">
        <v>355598.6932252096</v>
      </c>
      <c r="T4" s="36">
        <v>382937.87297779595</v>
      </c>
      <c r="U4" s="36">
        <v>401983.12450580962</v>
      </c>
      <c r="V4" s="36">
        <v>430736.89525827207</v>
      </c>
      <c r="W4" s="36">
        <v>500767.1851333708</v>
      </c>
      <c r="X4" s="36">
        <v>538380.15069353767</v>
      </c>
      <c r="Y4" s="36">
        <v>524728.80000000005</v>
      </c>
      <c r="DA4" s="89" t="s">
        <v>189</v>
      </c>
    </row>
    <row r="5" spans="1:105" ht="12" customHeight="1" x14ac:dyDescent="0.25">
      <c r="A5" s="35" t="s">
        <v>179</v>
      </c>
      <c r="B5" s="36">
        <v>105575.32704402512</v>
      </c>
      <c r="C5" s="36">
        <v>105547.45804305175</v>
      </c>
      <c r="D5" s="36">
        <v>109888.87782184462</v>
      </c>
      <c r="E5" s="36">
        <v>117785.00478002909</v>
      </c>
      <c r="F5" s="36">
        <v>126561.68883280529</v>
      </c>
      <c r="G5" s="36">
        <v>137113.95209451046</v>
      </c>
      <c r="H5" s="36">
        <v>143844.57795184886</v>
      </c>
      <c r="I5" s="36">
        <v>159813.76226830762</v>
      </c>
      <c r="J5" s="36">
        <v>164040.2677172994</v>
      </c>
      <c r="K5" s="36">
        <v>155429.25997147232</v>
      </c>
      <c r="L5" s="36">
        <v>163213.06992317765</v>
      </c>
      <c r="M5" s="36">
        <v>164238.80748930783</v>
      </c>
      <c r="N5" s="36">
        <v>160848.65711490231</v>
      </c>
      <c r="O5" s="36">
        <v>165413.45178981681</v>
      </c>
      <c r="P5" s="36">
        <v>177998.88350132757</v>
      </c>
      <c r="Q5" s="36">
        <v>174687.62207371512</v>
      </c>
      <c r="R5" s="36">
        <v>182009.7440994565</v>
      </c>
      <c r="S5" s="36">
        <v>196007.40071690516</v>
      </c>
      <c r="T5" s="36">
        <v>214367.66246508816</v>
      </c>
      <c r="U5" s="36">
        <v>229817.74861839376</v>
      </c>
      <c r="V5" s="36">
        <v>240894.6795893441</v>
      </c>
      <c r="W5" s="36">
        <v>277041.31052904698</v>
      </c>
      <c r="X5" s="36">
        <v>288722.60988131136</v>
      </c>
      <c r="Y5" s="36">
        <v>319864.83743098262</v>
      </c>
      <c r="DA5" s="89" t="s">
        <v>190</v>
      </c>
    </row>
    <row r="6" spans="1:105" ht="12" customHeight="1" x14ac:dyDescent="0.25">
      <c r="A6" s="37" t="s">
        <v>70</v>
      </c>
      <c r="B6" s="38">
        <v>1175340.0000000002</v>
      </c>
      <c r="C6" s="38">
        <v>1218850.0000000002</v>
      </c>
      <c r="D6" s="38">
        <v>1259320</v>
      </c>
      <c r="E6" s="38">
        <v>1300590</v>
      </c>
      <c r="F6" s="38">
        <v>1350250</v>
      </c>
      <c r="G6" s="38">
        <v>1424770</v>
      </c>
      <c r="H6" s="38">
        <v>1492020</v>
      </c>
      <c r="I6" s="38">
        <v>1572970</v>
      </c>
      <c r="J6" s="38">
        <v>1587850</v>
      </c>
      <c r="K6" s="38">
        <v>1518360</v>
      </c>
      <c r="L6" s="38">
        <v>1480990</v>
      </c>
      <c r="M6" s="38">
        <v>1464300.0000000002</v>
      </c>
      <c r="N6" s="38">
        <v>1464350</v>
      </c>
      <c r="O6" s="38">
        <v>1503550.0000000002</v>
      </c>
      <c r="P6" s="38">
        <v>1548220.0000000002</v>
      </c>
      <c r="Q6" s="38">
        <v>1588270</v>
      </c>
      <c r="R6" s="38">
        <v>1639460.0000000002</v>
      </c>
      <c r="S6" s="38">
        <v>1688629.9999999998</v>
      </c>
      <c r="T6" s="38">
        <v>1746149.9999999998</v>
      </c>
      <c r="U6" s="38">
        <v>1812100.0000000002</v>
      </c>
      <c r="V6" s="38">
        <v>1759860.0000000002</v>
      </c>
      <c r="W6" s="38">
        <v>1879589.9999999998</v>
      </c>
      <c r="X6" s="38">
        <v>2015180</v>
      </c>
      <c r="Y6" s="38">
        <v>2103720.0000000005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38283.750083238032</v>
      </c>
      <c r="C8" s="34">
        <v>39254.582638946464</v>
      </c>
      <c r="D8" s="34">
        <v>40237.908706857408</v>
      </c>
      <c r="E8" s="34">
        <v>41027.879188671861</v>
      </c>
      <c r="F8" s="34">
        <v>41942.866182603771</v>
      </c>
      <c r="G8" s="34">
        <v>43315.722153451941</v>
      </c>
      <c r="H8" s="34">
        <v>44569.446154301586</v>
      </c>
      <c r="I8" s="34">
        <v>46944.200478403844</v>
      </c>
      <c r="J8" s="34">
        <v>47612.113527688663</v>
      </c>
      <c r="K8" s="34">
        <v>46345.793785309826</v>
      </c>
      <c r="L8" s="34">
        <v>45768.888209650904</v>
      </c>
      <c r="M8" s="34">
        <v>46089.396116691125</v>
      </c>
      <c r="N8" s="34">
        <v>45988.656948038806</v>
      </c>
      <c r="O8" s="34">
        <v>46223.737454862268</v>
      </c>
      <c r="P8" s="34">
        <v>46936.820756884976</v>
      </c>
      <c r="Q8" s="34">
        <v>47121.272763210021</v>
      </c>
      <c r="R8" s="34">
        <v>48462.716366278168</v>
      </c>
      <c r="S8" s="34">
        <v>49266.137486738218</v>
      </c>
      <c r="T8" s="34">
        <v>50357.748526551535</v>
      </c>
      <c r="U8" s="34">
        <v>51220.894197185778</v>
      </c>
      <c r="V8" s="34">
        <v>51963.546666666676</v>
      </c>
      <c r="W8" s="34">
        <v>52634.605419705811</v>
      </c>
      <c r="X8" s="34">
        <v>53243.585036150398</v>
      </c>
      <c r="Y8" s="34">
        <v>53804.350948082887</v>
      </c>
      <c r="DA8" s="88" t="s">
        <v>192</v>
      </c>
    </row>
    <row r="9" spans="1:105" ht="12" customHeight="1" x14ac:dyDescent="0.25">
      <c r="A9" s="39" t="s">
        <v>68</v>
      </c>
      <c r="B9" s="40">
        <v>34455.375074914227</v>
      </c>
      <c r="C9" s="40">
        <v>35329.124375051819</v>
      </c>
      <c r="D9" s="40">
        <v>36214.117836171667</v>
      </c>
      <c r="E9" s="40">
        <v>36925.091269804674</v>
      </c>
      <c r="F9" s="40">
        <v>37748.579564343396</v>
      </c>
      <c r="G9" s="40">
        <v>38984.149938106748</v>
      </c>
      <c r="H9" s="40">
        <v>40112.501538871431</v>
      </c>
      <c r="I9" s="40">
        <v>42249.780430563456</v>
      </c>
      <c r="J9" s="40">
        <v>42850.9021749198</v>
      </c>
      <c r="K9" s="40">
        <v>41711.214406778839</v>
      </c>
      <c r="L9" s="40">
        <v>41191.999388685814</v>
      </c>
      <c r="M9" s="40">
        <v>41480.456505022012</v>
      </c>
      <c r="N9" s="40">
        <v>41389.791253234929</v>
      </c>
      <c r="O9" s="40">
        <v>41601.363709376041</v>
      </c>
      <c r="P9" s="40">
        <v>42243.138681196477</v>
      </c>
      <c r="Q9" s="40">
        <v>42409.145486889021</v>
      </c>
      <c r="R9" s="40">
        <v>43616.444729650349</v>
      </c>
      <c r="S9" s="40">
        <v>44339.523738064396</v>
      </c>
      <c r="T9" s="40">
        <v>45321.973673896377</v>
      </c>
      <c r="U9" s="40">
        <v>46098.804777467201</v>
      </c>
      <c r="V9" s="40">
        <v>46767.192000000003</v>
      </c>
      <c r="W9" s="40">
        <v>47371.144877735234</v>
      </c>
      <c r="X9" s="40">
        <v>47919.226532535358</v>
      </c>
      <c r="Y9" s="40">
        <v>48423.915853274593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1124.0454790146205</v>
      </c>
      <c r="D10" s="41">
        <v>1140.4362992821511</v>
      </c>
      <c r="E10" s="41">
        <v>950.97802125069177</v>
      </c>
      <c r="F10" s="41">
        <v>1079.1610961709705</v>
      </c>
      <c r="G10" s="41">
        <v>1540.6837993981881</v>
      </c>
      <c r="H10" s="41">
        <v>1426.9106279890798</v>
      </c>
      <c r="I10" s="41">
        <v>2553.0561680770224</v>
      </c>
      <c r="J10" s="41">
        <v>855.71458166808713</v>
      </c>
      <c r="K10" s="41">
        <v>190.48093167796324</v>
      </c>
      <c r="L10" s="41">
        <v>185.36571484262149</v>
      </c>
      <c r="M10" s="41">
        <v>503.68138609626624</v>
      </c>
      <c r="N10" s="41">
        <v>184.39138782636593</v>
      </c>
      <c r="O10" s="41">
        <v>418.98473114169667</v>
      </c>
      <c r="P10" s="41">
        <v>897.96185335719633</v>
      </c>
      <c r="Q10" s="41">
        <v>372.25353870831748</v>
      </c>
      <c r="R10" s="41">
        <v>1580.6378810539916</v>
      </c>
      <c r="S10" s="41">
        <v>1049.424756837102</v>
      </c>
      <c r="T10" s="41">
        <v>1341.6929559896496</v>
      </c>
      <c r="U10" s="41">
        <v>1118.7687596014987</v>
      </c>
      <c r="V10" s="41">
        <v>1002.6570085529056</v>
      </c>
      <c r="W10" s="41">
        <v>934.83310160089809</v>
      </c>
      <c r="X10" s="41">
        <v>876.16035461570573</v>
      </c>
      <c r="Y10" s="41">
        <v>831.03791719212813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1011.6409311131583</v>
      </c>
      <c r="D11" s="42">
        <v>1026.3926693539358</v>
      </c>
      <c r="E11" s="42">
        <v>855.8802191256226</v>
      </c>
      <c r="F11" s="42">
        <v>971.24498655387345</v>
      </c>
      <c r="G11" s="42">
        <v>1386.6154194583694</v>
      </c>
      <c r="H11" s="42">
        <v>1284.2195651901718</v>
      </c>
      <c r="I11" s="42">
        <v>2297.7505512693201</v>
      </c>
      <c r="J11" s="42">
        <v>770.14312350127852</v>
      </c>
      <c r="K11" s="42">
        <v>171.4328385101669</v>
      </c>
      <c r="L11" s="42">
        <v>166.82914335835935</v>
      </c>
      <c r="M11" s="42">
        <v>453.31324748663963</v>
      </c>
      <c r="N11" s="42">
        <v>165.95224904372935</v>
      </c>
      <c r="O11" s="42">
        <v>377.08625802752698</v>
      </c>
      <c r="P11" s="42">
        <v>808.16566802147668</v>
      </c>
      <c r="Q11" s="42">
        <v>335.0281848374857</v>
      </c>
      <c r="R11" s="42">
        <v>1422.5740929485924</v>
      </c>
      <c r="S11" s="42">
        <v>944.4822811533918</v>
      </c>
      <c r="T11" s="42">
        <v>1207.5236603906847</v>
      </c>
      <c r="U11" s="42">
        <v>1006.8918836413487</v>
      </c>
      <c r="V11" s="42">
        <v>902.39130769761493</v>
      </c>
      <c r="W11" s="42">
        <v>841.3497914408083</v>
      </c>
      <c r="X11" s="42">
        <v>788.54431915413511</v>
      </c>
      <c r="Y11" s="42">
        <v>747.9341254729153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2792.71</v>
      </c>
      <c r="C13" s="43">
        <v>2800.86</v>
      </c>
      <c r="D13" s="43">
        <v>2699.57</v>
      </c>
      <c r="E13" s="43">
        <v>2630.34</v>
      </c>
      <c r="F13" s="43">
        <v>2700.72</v>
      </c>
      <c r="G13" s="43">
        <v>2608.3000000000002</v>
      </c>
      <c r="H13" s="43">
        <v>2601.42</v>
      </c>
      <c r="I13" s="43">
        <v>2523.35</v>
      </c>
      <c r="J13" s="43">
        <v>2803.54</v>
      </c>
      <c r="K13" s="43">
        <v>2817.65</v>
      </c>
      <c r="L13" s="43">
        <v>3166.33</v>
      </c>
      <c r="M13" s="43">
        <v>2766.1</v>
      </c>
      <c r="N13" s="43">
        <v>2861.13</v>
      </c>
      <c r="O13" s="43">
        <v>2835.61</v>
      </c>
      <c r="P13" s="43">
        <v>2629.47</v>
      </c>
      <c r="Q13" s="43">
        <v>2912.09</v>
      </c>
      <c r="R13" s="43">
        <v>2744.05</v>
      </c>
      <c r="S13" s="43">
        <v>2668.92</v>
      </c>
      <c r="T13" s="43">
        <v>2754.34</v>
      </c>
      <c r="U13" s="43">
        <v>2706.58</v>
      </c>
      <c r="V13" s="43">
        <v>2744.01</v>
      </c>
      <c r="W13" s="43">
        <v>2643.76</v>
      </c>
      <c r="X13" s="43">
        <v>2548.89</v>
      </c>
      <c r="Y13" s="43">
        <v>2396.75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2750.8138095238096</v>
      </c>
      <c r="C14" s="44">
        <f t="shared" ref="C14:Y14" si="0">AVERAGE($B$13:$V$13)</f>
        <v>2750.8138095238096</v>
      </c>
      <c r="D14" s="44">
        <f t="shared" si="0"/>
        <v>2750.8138095238096</v>
      </c>
      <c r="E14" s="44">
        <f t="shared" si="0"/>
        <v>2750.8138095238096</v>
      </c>
      <c r="F14" s="44">
        <f t="shared" si="0"/>
        <v>2750.8138095238096</v>
      </c>
      <c r="G14" s="44">
        <f t="shared" si="0"/>
        <v>2750.8138095238096</v>
      </c>
      <c r="H14" s="44">
        <f t="shared" si="0"/>
        <v>2750.8138095238096</v>
      </c>
      <c r="I14" s="44">
        <f t="shared" si="0"/>
        <v>2750.8138095238096</v>
      </c>
      <c r="J14" s="44">
        <f t="shared" si="0"/>
        <v>2750.8138095238096</v>
      </c>
      <c r="K14" s="44">
        <f t="shared" si="0"/>
        <v>2750.8138095238096</v>
      </c>
      <c r="L14" s="44">
        <f t="shared" si="0"/>
        <v>2750.8138095238096</v>
      </c>
      <c r="M14" s="44">
        <f t="shared" si="0"/>
        <v>2750.8138095238096</v>
      </c>
      <c r="N14" s="44">
        <f t="shared" si="0"/>
        <v>2750.8138095238096</v>
      </c>
      <c r="O14" s="44">
        <f t="shared" si="0"/>
        <v>2750.8138095238096</v>
      </c>
      <c r="P14" s="44">
        <f t="shared" si="0"/>
        <v>2750.8138095238096</v>
      </c>
      <c r="Q14" s="44">
        <f t="shared" si="0"/>
        <v>2750.8138095238096</v>
      </c>
      <c r="R14" s="44">
        <f t="shared" si="0"/>
        <v>2750.8138095238096</v>
      </c>
      <c r="S14" s="44">
        <f t="shared" si="0"/>
        <v>2750.8138095238096</v>
      </c>
      <c r="T14" s="44">
        <f t="shared" si="0"/>
        <v>2750.8138095238096</v>
      </c>
      <c r="U14" s="44">
        <f t="shared" si="0"/>
        <v>2750.8138095238096</v>
      </c>
      <c r="V14" s="44">
        <f t="shared" si="0"/>
        <v>2750.8138095238096</v>
      </c>
      <c r="W14" s="44">
        <f t="shared" si="0"/>
        <v>2750.8138095238096</v>
      </c>
      <c r="X14" s="44">
        <f t="shared" si="0"/>
        <v>2750.8138095238096</v>
      </c>
      <c r="Y14" s="44">
        <f t="shared" si="0"/>
        <v>2750.8138095238096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1.0152304711904303</v>
      </c>
      <c r="C15" s="46">
        <f t="shared" ref="C15:W15" si="1">C13/C14</f>
        <v>1.0181932307824404</v>
      </c>
      <c r="D15" s="46">
        <f t="shared" si="1"/>
        <v>0.98137140022112945</v>
      </c>
      <c r="E15" s="46">
        <f t="shared" si="1"/>
        <v>0.95620430248433841</v>
      </c>
      <c r="F15" s="46">
        <f t="shared" si="1"/>
        <v>0.9817894583230693</v>
      </c>
      <c r="G15" s="46">
        <f t="shared" si="1"/>
        <v>0.94819212807846132</v>
      </c>
      <c r="H15" s="46">
        <f t="shared" si="1"/>
        <v>0.94569105004250686</v>
      </c>
      <c r="I15" s="46">
        <f t="shared" si="1"/>
        <v>0.91731035785254189</v>
      </c>
      <c r="J15" s="46">
        <f t="shared" si="1"/>
        <v>1.0191674879243526</v>
      </c>
      <c r="K15" s="46">
        <f t="shared" si="1"/>
        <v>1.0242968790707649</v>
      </c>
      <c r="L15" s="46">
        <f t="shared" si="1"/>
        <v>1.1510520955789878</v>
      </c>
      <c r="M15" s="46">
        <f t="shared" si="1"/>
        <v>1.005556970240322</v>
      </c>
      <c r="N15" s="46">
        <f t="shared" si="1"/>
        <v>1.0401031106119418</v>
      </c>
      <c r="O15" s="46">
        <f t="shared" si="1"/>
        <v>1.0308258560367158</v>
      </c>
      <c r="P15" s="46">
        <f t="shared" si="1"/>
        <v>0.95588803244200105</v>
      </c>
      <c r="Q15" s="46">
        <f t="shared" si="1"/>
        <v>1.0586285374596505</v>
      </c>
      <c r="R15" s="46">
        <f t="shared" si="1"/>
        <v>0.99754116054660191</v>
      </c>
      <c r="S15" s="46">
        <f t="shared" si="1"/>
        <v>0.97022924298246627</v>
      </c>
      <c r="T15" s="46">
        <f t="shared" si="1"/>
        <v>1.0012818717370047</v>
      </c>
      <c r="U15" s="46">
        <f t="shared" si="1"/>
        <v>0.98391973699904212</v>
      </c>
      <c r="V15" s="46">
        <f t="shared" si="1"/>
        <v>0.99752661939523013</v>
      </c>
      <c r="W15" s="46">
        <f t="shared" si="1"/>
        <v>0.96108285876958666</v>
      </c>
      <c r="X15" s="46">
        <f t="shared" ref="X15:Y15" si="2">X13/X14</f>
        <v>0.92659488300345394</v>
      </c>
      <c r="Y15" s="46">
        <f t="shared" si="2"/>
        <v>0.87128761376070696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45318.028304558182</v>
      </c>
      <c r="C19" s="34">
        <f t="shared" si="3"/>
        <v>47035.083160325252</v>
      </c>
      <c r="D19" s="34">
        <f t="shared" ref="D19:W19" si="4">D4*1000000/D3</f>
        <v>48955.177580204159</v>
      </c>
      <c r="E19" s="34">
        <f t="shared" si="4"/>
        <v>49610.335879844388</v>
      </c>
      <c r="F19" s="34">
        <f t="shared" si="4"/>
        <v>52127.691438611932</v>
      </c>
      <c r="G19" s="34">
        <f t="shared" si="4"/>
        <v>54009.639918351088</v>
      </c>
      <c r="H19" s="34">
        <f t="shared" si="4"/>
        <v>55402.982955193278</v>
      </c>
      <c r="I19" s="34">
        <f t="shared" si="4"/>
        <v>56571.478034759231</v>
      </c>
      <c r="J19" s="34">
        <f t="shared" si="4"/>
        <v>52608.434582332382</v>
      </c>
      <c r="K19" s="34">
        <f t="shared" si="4"/>
        <v>49226.04148130519</v>
      </c>
      <c r="L19" s="34">
        <f t="shared" si="4"/>
        <v>49744.877371742143</v>
      </c>
      <c r="M19" s="34">
        <f t="shared" si="4"/>
        <v>50308.299647723448</v>
      </c>
      <c r="N19" s="34">
        <f t="shared" si="4"/>
        <v>49903.170446255666</v>
      </c>
      <c r="O19" s="34">
        <f t="shared" si="4"/>
        <v>50771.005170448618</v>
      </c>
      <c r="P19" s="34">
        <f t="shared" si="4"/>
        <v>55200.399657894908</v>
      </c>
      <c r="Q19" s="34">
        <f t="shared" si="4"/>
        <v>68207.706793209465</v>
      </c>
      <c r="R19" s="34">
        <f t="shared" si="4"/>
        <v>68331.189452537466</v>
      </c>
      <c r="S19" s="34">
        <f t="shared" si="4"/>
        <v>74096.074211618747</v>
      </c>
      <c r="T19" s="34">
        <f t="shared" si="4"/>
        <v>78863.04147649715</v>
      </c>
      <c r="U19" s="34">
        <f t="shared" si="4"/>
        <v>81367.97956764455</v>
      </c>
      <c r="V19" s="34">
        <f t="shared" si="4"/>
        <v>85930.833351608366</v>
      </c>
      <c r="W19" s="34">
        <f t="shared" si="4"/>
        <v>98831.213750393144</v>
      </c>
      <c r="X19" s="34">
        <f t="shared" ref="X19:Y19" si="5">X4*1000000/X3</f>
        <v>104453.08831743766</v>
      </c>
      <c r="Y19" s="34">
        <f t="shared" si="5"/>
        <v>99542.682724402184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89825.35014891444</v>
      </c>
      <c r="C20" s="36">
        <f t="shared" si="6"/>
        <v>86595.937189196164</v>
      </c>
      <c r="D20" s="36">
        <f t="shared" ref="D20:W20" si="7">D5*1000000/D6</f>
        <v>87260.48805851143</v>
      </c>
      <c r="E20" s="36">
        <f t="shared" si="7"/>
        <v>90562.748275804901</v>
      </c>
      <c r="F20" s="36">
        <f t="shared" si="7"/>
        <v>93732.041349976134</v>
      </c>
      <c r="G20" s="36">
        <f t="shared" si="7"/>
        <v>96235.850063175429</v>
      </c>
      <c r="H20" s="36">
        <f t="shared" si="7"/>
        <v>96409.282685117389</v>
      </c>
      <c r="I20" s="36">
        <f t="shared" si="7"/>
        <v>101600.00652797423</v>
      </c>
      <c r="J20" s="36">
        <f t="shared" si="7"/>
        <v>103309.67516912769</v>
      </c>
      <c r="K20" s="36">
        <f t="shared" si="7"/>
        <v>102366.54019565342</v>
      </c>
      <c r="L20" s="36">
        <f t="shared" si="7"/>
        <v>110205.38283390006</v>
      </c>
      <c r="M20" s="36">
        <f t="shared" si="7"/>
        <v>112161.99377812457</v>
      </c>
      <c r="N20" s="36">
        <f t="shared" si="7"/>
        <v>109843.04101813248</v>
      </c>
      <c r="O20" s="36">
        <f t="shared" si="7"/>
        <v>110015.26506588858</v>
      </c>
      <c r="P20" s="36">
        <f t="shared" si="7"/>
        <v>114970.01944253888</v>
      </c>
      <c r="Q20" s="36">
        <f t="shared" si="7"/>
        <v>109986.09938720439</v>
      </c>
      <c r="R20" s="36">
        <f t="shared" si="7"/>
        <v>111018.10602238326</v>
      </c>
      <c r="S20" s="36">
        <f t="shared" si="7"/>
        <v>116074.80662839413</v>
      </c>
      <c r="T20" s="36">
        <f t="shared" si="7"/>
        <v>122765.89208549562</v>
      </c>
      <c r="U20" s="36">
        <f t="shared" si="7"/>
        <v>126823.98797990935</v>
      </c>
      <c r="V20" s="36">
        <f t="shared" si="7"/>
        <v>136882.86544915169</v>
      </c>
      <c r="W20" s="36">
        <f t="shared" si="7"/>
        <v>147394.54377233706</v>
      </c>
      <c r="X20" s="36">
        <f t="shared" ref="X20:Y20" si="8">X5*1000000/X6</f>
        <v>143273.85637080128</v>
      </c>
      <c r="Y20" s="36">
        <f t="shared" si="8"/>
        <v>152047.24841280328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27947.984229000722</v>
      </c>
      <c r="C21" s="36">
        <f t="shared" si="9"/>
        <v>27538.07299892839</v>
      </c>
      <c r="D21" s="36">
        <f t="shared" ref="D21:W21" si="10">D5*1000000/D3</f>
        <v>28178.78848738817</v>
      </c>
      <c r="E21" s="36">
        <f t="shared" si="10"/>
        <v>29712.242618993158</v>
      </c>
      <c r="F21" s="36">
        <f t="shared" si="10"/>
        <v>31413.842019177497</v>
      </c>
      <c r="G21" s="36">
        <f t="shared" si="10"/>
        <v>33347.49272181985</v>
      </c>
      <c r="H21" s="36">
        <f t="shared" si="10"/>
        <v>34182.33020635377</v>
      </c>
      <c r="I21" s="36">
        <f t="shared" si="10"/>
        <v>36822.446363971583</v>
      </c>
      <c r="J21" s="36">
        <f t="shared" si="10"/>
        <v>36798.769723684272</v>
      </c>
      <c r="K21" s="36">
        <f t="shared" si="10"/>
        <v>34376.949921167376</v>
      </c>
      <c r="L21" s="36">
        <f t="shared" si="10"/>
        <v>35875.514443393244</v>
      </c>
      <c r="M21" s="36">
        <f t="shared" si="10"/>
        <v>35931.543063428653</v>
      </c>
      <c r="N21" s="36">
        <f t="shared" si="10"/>
        <v>35048.724805160869</v>
      </c>
      <c r="O21" s="36">
        <f t="shared" si="10"/>
        <v>35883.163116890595</v>
      </c>
      <c r="P21" s="36">
        <f t="shared" si="10"/>
        <v>38379.595446626496</v>
      </c>
      <c r="Q21" s="36">
        <f t="shared" si="10"/>
        <v>37345.350981109681</v>
      </c>
      <c r="R21" s="36">
        <f t="shared" si="10"/>
        <v>38510.09949449874</v>
      </c>
      <c r="S21" s="36">
        <f t="shared" si="10"/>
        <v>40842.048034041218</v>
      </c>
      <c r="T21" s="36">
        <f t="shared" si="10"/>
        <v>44147.333155486136</v>
      </c>
      <c r="U21" s="36">
        <f t="shared" si="10"/>
        <v>46518.882843285326</v>
      </c>
      <c r="V21" s="36">
        <f t="shared" si="10"/>
        <v>48057.830185800609</v>
      </c>
      <c r="W21" s="36">
        <f t="shared" si="10"/>
        <v>54676.763556887228</v>
      </c>
      <c r="X21" s="36">
        <f t="shared" ref="X21:Y21" si="11">X5*1000000/X3</f>
        <v>56016.122121746921</v>
      </c>
      <c r="Y21" s="36">
        <f t="shared" si="11"/>
        <v>60679.35289064519</v>
      </c>
      <c r="DA21" s="89"/>
    </row>
    <row r="22" spans="1:105" ht="12" customHeight="1" x14ac:dyDescent="0.25">
      <c r="A22" s="51" t="s">
        <v>148</v>
      </c>
      <c r="B22" s="52">
        <v>1.5248939687131304</v>
      </c>
      <c r="C22" s="52">
        <v>1.4650576151942067</v>
      </c>
      <c r="D22" s="52">
        <v>1.4694936315944116</v>
      </c>
      <c r="E22" s="52">
        <v>1.5325291939961776</v>
      </c>
      <c r="F22" s="52">
        <v>1.5835579004649678</v>
      </c>
      <c r="G22" s="52">
        <v>1.6455274648133935</v>
      </c>
      <c r="H22" s="52">
        <v>1.6365955854704906</v>
      </c>
      <c r="I22" s="52">
        <v>1.7105881406457588</v>
      </c>
      <c r="J22" s="52">
        <v>1.6867714082411731</v>
      </c>
      <c r="K22" s="52">
        <v>1.6122259957522964</v>
      </c>
      <c r="L22" s="52">
        <v>1.6575712360655748</v>
      </c>
      <c r="M22" s="52">
        <v>1.6274584616443954</v>
      </c>
      <c r="N22" s="52">
        <v>1.5925206515667831</v>
      </c>
      <c r="O22" s="52">
        <v>1.6210529064194852</v>
      </c>
      <c r="P22" s="52">
        <v>1.7056371294980488</v>
      </c>
      <c r="Q22" s="52">
        <v>1.6325419867306008</v>
      </c>
      <c r="R22" s="52">
        <v>1.6555949848778753</v>
      </c>
      <c r="S22" s="52">
        <v>1.7098894226563477</v>
      </c>
      <c r="T22" s="52">
        <v>1.809248858430784</v>
      </c>
      <c r="U22" s="52">
        <v>1.8709778592283217</v>
      </c>
      <c r="V22" s="52">
        <v>2.0422233027349193</v>
      </c>
      <c r="W22" s="52">
        <v>2.1893659372295589</v>
      </c>
      <c r="X22" s="52">
        <v>2.1752908908209867</v>
      </c>
      <c r="Y22" s="52">
        <v>2.3508964987765153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30.700754169707249</v>
      </c>
      <c r="C23" s="53">
        <f t="shared" si="12"/>
        <v>31.049877952102268</v>
      </c>
      <c r="D23" s="53">
        <f t="shared" ref="D23:W23" si="13">D6/D8</f>
        <v>31.296855141613875</v>
      </c>
      <c r="E23" s="53">
        <f t="shared" si="13"/>
        <v>31.700151841119386</v>
      </c>
      <c r="F23" s="53">
        <f t="shared" si="13"/>
        <v>32.192602053505581</v>
      </c>
      <c r="G23" s="53">
        <f t="shared" si="13"/>
        <v>32.892675665259716</v>
      </c>
      <c r="H23" s="53">
        <f t="shared" si="13"/>
        <v>33.476296627841286</v>
      </c>
      <c r="I23" s="53">
        <f t="shared" si="13"/>
        <v>33.507227388474263</v>
      </c>
      <c r="J23" s="53">
        <f t="shared" si="13"/>
        <v>33.349706248108291</v>
      </c>
      <c r="K23" s="53">
        <f t="shared" si="13"/>
        <v>32.761549128569953</v>
      </c>
      <c r="L23" s="53">
        <f t="shared" si="13"/>
        <v>32.358006889223844</v>
      </c>
      <c r="M23" s="53">
        <f t="shared" si="13"/>
        <v>31.770865391523511</v>
      </c>
      <c r="N23" s="53">
        <f t="shared" si="13"/>
        <v>31.841547398405758</v>
      </c>
      <c r="O23" s="53">
        <f t="shared" si="13"/>
        <v>32.527659656864074</v>
      </c>
      <c r="P23" s="53">
        <f t="shared" si="13"/>
        <v>32.985191051162069</v>
      </c>
      <c r="Q23" s="53">
        <f t="shared" si="13"/>
        <v>33.706008069460367</v>
      </c>
      <c r="R23" s="53">
        <f t="shared" si="13"/>
        <v>33.829304730033385</v>
      </c>
      <c r="S23" s="53">
        <f t="shared" si="13"/>
        <v>34.275672625128287</v>
      </c>
      <c r="T23" s="53">
        <f t="shared" si="13"/>
        <v>34.674902097327241</v>
      </c>
      <c r="U23" s="53">
        <f t="shared" si="13"/>
        <v>35.378140667047596</v>
      </c>
      <c r="V23" s="53">
        <f t="shared" si="13"/>
        <v>33.867203316376148</v>
      </c>
      <c r="W23" s="53">
        <f t="shared" si="13"/>
        <v>35.710156559781147</v>
      </c>
      <c r="X23" s="53">
        <f t="shared" ref="X23:Y23" si="14">X6/X8</f>
        <v>37.848315409861456</v>
      </c>
      <c r="Y23" s="53">
        <f t="shared" si="14"/>
        <v>39.099440155498399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9.1210541909706979</v>
      </c>
      <c r="C24" s="54">
        <f t="shared" si="15"/>
        <v>9.2176166443682881</v>
      </c>
      <c r="D24" s="54">
        <f t="shared" ref="D24:W24" si="16">D9*1000/D3</f>
        <v>9.2863808147831968</v>
      </c>
      <c r="E24" s="54">
        <f t="shared" si="16"/>
        <v>9.3146599822775116</v>
      </c>
      <c r="F24" s="54">
        <f t="shared" si="16"/>
        <v>9.3695645642748744</v>
      </c>
      <c r="G24" s="54">
        <f t="shared" si="16"/>
        <v>9.4813375040875698</v>
      </c>
      <c r="H24" s="54">
        <f t="shared" si="16"/>
        <v>9.5320852028469076</v>
      </c>
      <c r="I24" s="54">
        <f t="shared" si="16"/>
        <v>9.7347077730521292</v>
      </c>
      <c r="J24" s="54">
        <f t="shared" si="16"/>
        <v>9.6126426976118751</v>
      </c>
      <c r="K24" s="54">
        <f t="shared" si="16"/>
        <v>9.2254465412502888</v>
      </c>
      <c r="L24" s="54">
        <f t="shared" si="16"/>
        <v>9.0543249368241057</v>
      </c>
      <c r="M24" s="54">
        <f t="shared" si="16"/>
        <v>9.0749368677552553</v>
      </c>
      <c r="N24" s="54">
        <f t="shared" si="16"/>
        <v>9.018784672485058</v>
      </c>
      <c r="O24" s="54">
        <f t="shared" si="16"/>
        <v>9.0245896190199222</v>
      </c>
      <c r="P24" s="54">
        <f t="shared" si="16"/>
        <v>9.1083412496122076</v>
      </c>
      <c r="Q24" s="54">
        <f t="shared" si="16"/>
        <v>9.0663803434709571</v>
      </c>
      <c r="R24" s="54">
        <f t="shared" si="16"/>
        <v>9.2284818840100549</v>
      </c>
      <c r="S24" s="54">
        <f t="shared" si="16"/>
        <v>9.2390233822449215</v>
      </c>
      <c r="T24" s="54">
        <f t="shared" si="16"/>
        <v>9.3337038247153163</v>
      </c>
      <c r="U24" s="54">
        <f t="shared" si="16"/>
        <v>9.331154410616497</v>
      </c>
      <c r="V24" s="54">
        <f t="shared" si="16"/>
        <v>9.3299269840003198</v>
      </c>
      <c r="W24" s="54">
        <f t="shared" si="16"/>
        <v>9.3491504315830696</v>
      </c>
      <c r="X24" s="54">
        <f t="shared" ref="X24:Y24" si="17">X9*1000/X3</f>
        <v>9.2969831719434861</v>
      </c>
      <c r="Y24" s="54">
        <f t="shared" si="17"/>
        <v>9.1861672011440216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29.315240760047491</v>
      </c>
      <c r="C25" s="54">
        <f t="shared" si="18"/>
        <v>28.98562117984314</v>
      </c>
      <c r="D25" s="54">
        <f t="shared" ref="D25:W25" si="19">D9*1000/D6</f>
        <v>28.756882949664632</v>
      </c>
      <c r="E25" s="54">
        <f t="shared" si="19"/>
        <v>28.391031201073876</v>
      </c>
      <c r="F25" s="54">
        <f t="shared" si="19"/>
        <v>27.956733615510753</v>
      </c>
      <c r="G25" s="54">
        <f t="shared" si="19"/>
        <v>27.361714478903082</v>
      </c>
      <c r="H25" s="54">
        <f t="shared" si="19"/>
        <v>26.88469426607648</v>
      </c>
      <c r="I25" s="54">
        <f t="shared" si="19"/>
        <v>26.859876813011983</v>
      </c>
      <c r="J25" s="54">
        <f t="shared" si="19"/>
        <v>26.986744449992003</v>
      </c>
      <c r="K25" s="54">
        <f t="shared" si="19"/>
        <v>27.471228435139786</v>
      </c>
      <c r="L25" s="54">
        <f t="shared" si="19"/>
        <v>27.813826824411922</v>
      </c>
      <c r="M25" s="54">
        <f t="shared" si="19"/>
        <v>28.327840268402653</v>
      </c>
      <c r="N25" s="54">
        <f t="shared" si="19"/>
        <v>28.264958004052946</v>
      </c>
      <c r="O25" s="54">
        <f t="shared" si="19"/>
        <v>27.668759741529069</v>
      </c>
      <c r="P25" s="54">
        <f t="shared" si="19"/>
        <v>27.284971568121112</v>
      </c>
      <c r="Q25" s="54">
        <f t="shared" si="19"/>
        <v>26.701471089228544</v>
      </c>
      <c r="R25" s="54">
        <f t="shared" si="19"/>
        <v>26.604153031882657</v>
      </c>
      <c r="S25" s="54">
        <f t="shared" si="19"/>
        <v>26.257690398763732</v>
      </c>
      <c r="T25" s="54">
        <f t="shared" si="19"/>
        <v>25.955372490276542</v>
      </c>
      <c r="U25" s="54">
        <f t="shared" si="19"/>
        <v>25.439437546198992</v>
      </c>
      <c r="V25" s="54">
        <f t="shared" si="19"/>
        <v>26.574382053117859</v>
      </c>
      <c r="W25" s="54">
        <f t="shared" si="19"/>
        <v>25.202913868309174</v>
      </c>
      <c r="X25" s="54">
        <f t="shared" ref="X25:Y25" si="20">X9*1000/X6</f>
        <v>23.779129672056769</v>
      </c>
      <c r="Y25" s="54">
        <f t="shared" si="20"/>
        <v>23.018232394650706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899.99999999999989</v>
      </c>
      <c r="C26" s="55">
        <f t="shared" si="21"/>
        <v>900</v>
      </c>
      <c r="D26" s="55">
        <f t="shared" ref="D26:W26" si="22">D9*1000/D8</f>
        <v>899.99999999999989</v>
      </c>
      <c r="E26" s="55">
        <f t="shared" si="22"/>
        <v>899.99999999999989</v>
      </c>
      <c r="F26" s="55">
        <f t="shared" si="22"/>
        <v>900</v>
      </c>
      <c r="G26" s="55">
        <f t="shared" si="22"/>
        <v>900</v>
      </c>
      <c r="H26" s="55">
        <f t="shared" si="22"/>
        <v>900</v>
      </c>
      <c r="I26" s="55">
        <f t="shared" si="22"/>
        <v>900</v>
      </c>
      <c r="J26" s="55">
        <f t="shared" si="22"/>
        <v>900</v>
      </c>
      <c r="K26" s="55">
        <f t="shared" si="22"/>
        <v>900</v>
      </c>
      <c r="L26" s="55">
        <f t="shared" si="22"/>
        <v>900</v>
      </c>
      <c r="M26" s="55">
        <f t="shared" si="22"/>
        <v>900</v>
      </c>
      <c r="N26" s="55">
        <f t="shared" si="22"/>
        <v>900.00000000000011</v>
      </c>
      <c r="O26" s="55">
        <f t="shared" si="22"/>
        <v>899.99999999999989</v>
      </c>
      <c r="P26" s="55">
        <f t="shared" si="22"/>
        <v>899.99999999999989</v>
      </c>
      <c r="Q26" s="55">
        <f t="shared" si="22"/>
        <v>900</v>
      </c>
      <c r="R26" s="55">
        <f t="shared" si="22"/>
        <v>900</v>
      </c>
      <c r="S26" s="55">
        <f t="shared" si="22"/>
        <v>899.99999999999989</v>
      </c>
      <c r="T26" s="55">
        <f t="shared" si="22"/>
        <v>900</v>
      </c>
      <c r="U26" s="55">
        <f t="shared" si="22"/>
        <v>900</v>
      </c>
      <c r="V26" s="55">
        <f t="shared" si="22"/>
        <v>899.99999999999989</v>
      </c>
      <c r="W26" s="55">
        <f t="shared" si="22"/>
        <v>900.00000000000011</v>
      </c>
      <c r="X26" s="55">
        <f t="shared" ref="X26:Y26" si="23">X9*1000/X8</f>
        <v>900</v>
      </c>
      <c r="Y26" s="55">
        <f t="shared" si="23"/>
        <v>899.99999999999989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899.99999999999989</v>
      </c>
      <c r="D27" s="57">
        <f t="shared" ref="D27:W27" si="25">IF(SUM(D11)=0,"",D11*1000/D10)</f>
        <v>899.99999999999989</v>
      </c>
      <c r="E27" s="57">
        <f t="shared" si="25"/>
        <v>900.00000000000011</v>
      </c>
      <c r="F27" s="57">
        <f t="shared" si="25"/>
        <v>900</v>
      </c>
      <c r="G27" s="57">
        <f t="shared" si="25"/>
        <v>900.00000000000011</v>
      </c>
      <c r="H27" s="57">
        <f t="shared" si="25"/>
        <v>900</v>
      </c>
      <c r="I27" s="57">
        <f t="shared" si="25"/>
        <v>900</v>
      </c>
      <c r="J27" s="57">
        <f t="shared" si="25"/>
        <v>900.00000000000023</v>
      </c>
      <c r="K27" s="57">
        <f t="shared" si="25"/>
        <v>900</v>
      </c>
      <c r="L27" s="57">
        <f t="shared" si="25"/>
        <v>900</v>
      </c>
      <c r="M27" s="57">
        <f t="shared" si="25"/>
        <v>900.00000000000011</v>
      </c>
      <c r="N27" s="57">
        <f t="shared" si="25"/>
        <v>900.00000000000011</v>
      </c>
      <c r="O27" s="57">
        <f t="shared" si="25"/>
        <v>899.99999999999989</v>
      </c>
      <c r="P27" s="57">
        <f t="shared" si="25"/>
        <v>900</v>
      </c>
      <c r="Q27" s="57">
        <f t="shared" si="25"/>
        <v>900</v>
      </c>
      <c r="R27" s="57">
        <f t="shared" si="25"/>
        <v>899.99999999999989</v>
      </c>
      <c r="S27" s="57">
        <f t="shared" si="25"/>
        <v>900</v>
      </c>
      <c r="T27" s="57">
        <f t="shared" si="25"/>
        <v>900</v>
      </c>
      <c r="U27" s="57">
        <f t="shared" si="25"/>
        <v>899.99999999999989</v>
      </c>
      <c r="V27" s="57">
        <f t="shared" si="25"/>
        <v>899.99999999999989</v>
      </c>
      <c r="W27" s="57">
        <f t="shared" si="25"/>
        <v>900</v>
      </c>
      <c r="X27" s="57">
        <f t="shared" ref="X27:Y27" si="26">IF(SUM(X11)=0,"",X11*1000/X10)</f>
        <v>899.99999999999989</v>
      </c>
      <c r="Y27" s="57">
        <f t="shared" si="26"/>
        <v>899.99999999999989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1156.4925193465174</v>
      </c>
      <c r="C31" s="80">
        <f t="shared" ref="C31:W31" si="27">SUM(C32:C33,C36:C37,C44:C45)</f>
        <v>1180.4369733447979</v>
      </c>
      <c r="D31" s="80">
        <f t="shared" si="27"/>
        <v>1210.9333619948407</v>
      </c>
      <c r="E31" s="80">
        <f t="shared" si="27"/>
        <v>1289.5582115219258</v>
      </c>
      <c r="F31" s="80">
        <f t="shared" si="27"/>
        <v>1275.4426483233019</v>
      </c>
      <c r="G31" s="80">
        <f t="shared" si="27"/>
        <v>1366.997506448839</v>
      </c>
      <c r="H31" s="80">
        <f t="shared" si="27"/>
        <v>1447.975064488392</v>
      </c>
      <c r="I31" s="80">
        <f t="shared" si="27"/>
        <v>1470.7935511607911</v>
      </c>
      <c r="J31" s="80">
        <f t="shared" si="27"/>
        <v>1546.6769007577136</v>
      </c>
      <c r="K31" s="80">
        <f t="shared" si="27"/>
        <v>1420.0451885870007</v>
      </c>
      <c r="L31" s="80">
        <f t="shared" si="27"/>
        <v>1437.7840811481474</v>
      </c>
      <c r="M31" s="80">
        <f t="shared" si="27"/>
        <v>1407.5879630283316</v>
      </c>
      <c r="N31" s="80">
        <f t="shared" si="27"/>
        <v>1434.8370888793102</v>
      </c>
      <c r="O31" s="80">
        <f t="shared" si="27"/>
        <v>1477.3873830785465</v>
      </c>
      <c r="P31" s="80">
        <f t="shared" si="27"/>
        <v>1420.5348693961241</v>
      </c>
      <c r="Q31" s="80">
        <f t="shared" si="27"/>
        <v>1547.222249201146</v>
      </c>
      <c r="R31" s="80">
        <f t="shared" si="27"/>
        <v>1554.6732490947243</v>
      </c>
      <c r="S31" s="80">
        <f t="shared" si="27"/>
        <v>1544.9523914513252</v>
      </c>
      <c r="T31" s="80">
        <f t="shared" si="27"/>
        <v>1701.0175091012861</v>
      </c>
      <c r="U31" s="80">
        <f t="shared" si="27"/>
        <v>1754.3987719902038</v>
      </c>
      <c r="V31" s="80">
        <f t="shared" si="27"/>
        <v>1609.4227128136808</v>
      </c>
      <c r="W31" s="80">
        <f t="shared" si="27"/>
        <v>1741.5718878350108</v>
      </c>
      <c r="X31" s="80">
        <f t="shared" ref="X31:Y31" si="28">SUM(X32:X33,X36:X37,X44:X45)</f>
        <v>1829.9317135317397</v>
      </c>
      <c r="Y31" s="80">
        <f t="shared" si="28"/>
        <v>1912.2010907925221</v>
      </c>
      <c r="DA31" s="103" t="s">
        <v>199</v>
      </c>
    </row>
    <row r="32" spans="1:105" ht="12" customHeight="1" x14ac:dyDescent="0.25">
      <c r="A32" s="58" t="s">
        <v>29</v>
      </c>
      <c r="B32" s="59">
        <v>3.987016337059329</v>
      </c>
      <c r="C32" s="59">
        <v>4.4300085984522788</v>
      </c>
      <c r="D32" s="59">
        <v>3.1010318142734299</v>
      </c>
      <c r="E32" s="59">
        <v>27.816852966466033</v>
      </c>
      <c r="F32" s="59">
        <v>26.829492691315565</v>
      </c>
      <c r="G32" s="59">
        <v>27.074032674118655</v>
      </c>
      <c r="H32" s="59">
        <v>26.995270851246772</v>
      </c>
      <c r="I32" s="59">
        <v>26.619776440240756</v>
      </c>
      <c r="J32" s="59">
        <v>26.615993121238176</v>
      </c>
      <c r="K32" s="59">
        <v>0.64299226139294918</v>
      </c>
      <c r="L32" s="59">
        <v>0.98804815133276003</v>
      </c>
      <c r="M32" s="59">
        <v>1.253998280309544</v>
      </c>
      <c r="N32" s="59">
        <v>0.54522785898538262</v>
      </c>
      <c r="O32" s="59">
        <v>0.47274290627687021</v>
      </c>
      <c r="P32" s="59">
        <v>0.27996560619088562</v>
      </c>
      <c r="Q32" s="59">
        <v>0.27927773000859851</v>
      </c>
      <c r="R32" s="59">
        <v>0.60773860705073079</v>
      </c>
      <c r="S32" s="59">
        <v>0.53525365434221839</v>
      </c>
      <c r="T32" s="59">
        <v>0.55915735167669811</v>
      </c>
      <c r="U32" s="59">
        <v>0.45408426483233011</v>
      </c>
      <c r="V32" s="59">
        <v>0.18082545141874459</v>
      </c>
      <c r="W32" s="59">
        <v>0.19681857265692179</v>
      </c>
      <c r="X32" s="59">
        <v>0.21212381771281169</v>
      </c>
      <c r="Y32" s="59">
        <v>0.21212381771281169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379.16070507308677</v>
      </c>
      <c r="C33" s="55">
        <f t="shared" ref="C33:W33" si="29">SUM(C34:C35)</f>
        <v>369.93594153052447</v>
      </c>
      <c r="D33" s="55">
        <f t="shared" si="29"/>
        <v>354.1073086844367</v>
      </c>
      <c r="E33" s="55">
        <f t="shared" si="29"/>
        <v>337.14780739466892</v>
      </c>
      <c r="F33" s="55">
        <f t="shared" si="29"/>
        <v>309.60550300945829</v>
      </c>
      <c r="G33" s="55">
        <f t="shared" si="29"/>
        <v>321.57764402407565</v>
      </c>
      <c r="H33" s="55">
        <f t="shared" si="29"/>
        <v>296.86517626827174</v>
      </c>
      <c r="I33" s="55">
        <f t="shared" si="29"/>
        <v>275.16766981943249</v>
      </c>
      <c r="J33" s="55">
        <f t="shared" si="29"/>
        <v>287.03018056749784</v>
      </c>
      <c r="K33" s="55">
        <f t="shared" si="29"/>
        <v>223.7905417024935</v>
      </c>
      <c r="L33" s="55">
        <f t="shared" si="29"/>
        <v>237.44290627687019</v>
      </c>
      <c r="M33" s="55">
        <f t="shared" si="29"/>
        <v>217.98005159071366</v>
      </c>
      <c r="N33" s="55">
        <f t="shared" si="29"/>
        <v>208.78211521926053</v>
      </c>
      <c r="O33" s="55">
        <f t="shared" si="29"/>
        <v>253.90507308684442</v>
      </c>
      <c r="P33" s="55">
        <f t="shared" si="29"/>
        <v>229.70679277730005</v>
      </c>
      <c r="Q33" s="55">
        <f t="shared" si="29"/>
        <v>245.68271711092007</v>
      </c>
      <c r="R33" s="55">
        <f t="shared" si="29"/>
        <v>227.00791057609624</v>
      </c>
      <c r="S33" s="55">
        <f t="shared" si="29"/>
        <v>216.30627687016332</v>
      </c>
      <c r="T33" s="55">
        <f t="shared" si="29"/>
        <v>234.63413585554602</v>
      </c>
      <c r="U33" s="55">
        <f t="shared" si="29"/>
        <v>220.17635425623382</v>
      </c>
      <c r="V33" s="55">
        <f t="shared" si="29"/>
        <v>190.80240756663795</v>
      </c>
      <c r="W33" s="55">
        <f t="shared" si="29"/>
        <v>193.27730008598451</v>
      </c>
      <c r="X33" s="55">
        <f t="shared" ref="X33:Y33" si="30">SUM(X34:X35)</f>
        <v>193.73800515907132</v>
      </c>
      <c r="Y33" s="55">
        <f t="shared" si="30"/>
        <v>194.5950128976784</v>
      </c>
      <c r="DA33" s="101"/>
    </row>
    <row r="34" spans="1:105" ht="12" customHeight="1" x14ac:dyDescent="0.25">
      <c r="A34" s="61" t="s">
        <v>52</v>
      </c>
      <c r="B34" s="55">
        <v>40.052450558899388</v>
      </c>
      <c r="C34" s="55">
        <v>44.884264832330182</v>
      </c>
      <c r="D34" s="55">
        <v>46.157007738607049</v>
      </c>
      <c r="E34" s="55">
        <v>49.044797936371452</v>
      </c>
      <c r="F34" s="55">
        <v>53.55227858985382</v>
      </c>
      <c r="G34" s="55">
        <v>63.945743766122092</v>
      </c>
      <c r="H34" s="55">
        <v>66.815563198624247</v>
      </c>
      <c r="I34" s="55">
        <v>70.708082545141878</v>
      </c>
      <c r="J34" s="55">
        <v>80.593637145313835</v>
      </c>
      <c r="K34" s="55">
        <v>58.158813413585548</v>
      </c>
      <c r="L34" s="55">
        <v>75.010576096302671</v>
      </c>
      <c r="M34" s="55">
        <v>74.448581255374023</v>
      </c>
      <c r="N34" s="55">
        <v>70.039036973344793</v>
      </c>
      <c r="O34" s="55">
        <v>81.75374032674118</v>
      </c>
      <c r="P34" s="55">
        <v>64.211607910576092</v>
      </c>
      <c r="Q34" s="55">
        <v>69.122269991401552</v>
      </c>
      <c r="R34" s="55">
        <v>58.672398968185718</v>
      </c>
      <c r="S34" s="55">
        <v>60.771797076526219</v>
      </c>
      <c r="T34" s="55">
        <v>66.500171969045567</v>
      </c>
      <c r="U34" s="55">
        <v>66.273774720550293</v>
      </c>
      <c r="V34" s="55">
        <v>53.480137575236448</v>
      </c>
      <c r="W34" s="55">
        <v>60.584780739466893</v>
      </c>
      <c r="X34" s="55">
        <v>63.834135855545988</v>
      </c>
      <c r="Y34" s="55">
        <v>69.509630266552023</v>
      </c>
      <c r="DA34" s="101" t="s">
        <v>201</v>
      </c>
    </row>
    <row r="35" spans="1:105" ht="12" customHeight="1" x14ac:dyDescent="0.25">
      <c r="A35" s="61" t="s">
        <v>163</v>
      </c>
      <c r="B35" s="55">
        <v>339.10825451418737</v>
      </c>
      <c r="C35" s="55">
        <v>325.05167669819429</v>
      </c>
      <c r="D35" s="55">
        <v>307.95030094582967</v>
      </c>
      <c r="E35" s="55">
        <v>288.10300945829749</v>
      </c>
      <c r="F35" s="55">
        <v>256.05322441960448</v>
      </c>
      <c r="G35" s="55">
        <v>257.63190025795359</v>
      </c>
      <c r="H35" s="55">
        <v>230.04961306964748</v>
      </c>
      <c r="I35" s="55">
        <v>204.45958727429061</v>
      </c>
      <c r="J35" s="55">
        <v>206.436543422184</v>
      </c>
      <c r="K35" s="55">
        <v>165.63172828890794</v>
      </c>
      <c r="L35" s="55">
        <v>162.43233018056753</v>
      </c>
      <c r="M35" s="55">
        <v>143.53147033533963</v>
      </c>
      <c r="N35" s="55">
        <v>138.74307824591574</v>
      </c>
      <c r="O35" s="55">
        <v>172.15133276010323</v>
      </c>
      <c r="P35" s="55">
        <v>165.49518486672395</v>
      </c>
      <c r="Q35" s="55">
        <v>176.56044711951853</v>
      </c>
      <c r="R35" s="55">
        <v>168.33551160791052</v>
      </c>
      <c r="S35" s="55">
        <v>155.5344797936371</v>
      </c>
      <c r="T35" s="55">
        <v>168.13396388650045</v>
      </c>
      <c r="U35" s="55">
        <v>153.90257953568351</v>
      </c>
      <c r="V35" s="55">
        <v>137.3222699914015</v>
      </c>
      <c r="W35" s="55">
        <v>132.6925193465176</v>
      </c>
      <c r="X35" s="55">
        <v>129.90386930352534</v>
      </c>
      <c r="Y35" s="55">
        <v>125.08538263112638</v>
      </c>
      <c r="DA35" s="101" t="s">
        <v>202</v>
      </c>
    </row>
    <row r="36" spans="1:105" ht="12" customHeight="1" x14ac:dyDescent="0.25">
      <c r="A36" s="60" t="s">
        <v>149</v>
      </c>
      <c r="B36" s="55">
        <v>292.6913155631986</v>
      </c>
      <c r="C36" s="55">
        <v>287.47394668959589</v>
      </c>
      <c r="D36" s="55">
        <v>274.07661220980219</v>
      </c>
      <c r="E36" s="55">
        <v>278.92055030094582</v>
      </c>
      <c r="F36" s="55">
        <v>281.47188306104903</v>
      </c>
      <c r="G36" s="55">
        <v>282.83783319002578</v>
      </c>
      <c r="H36" s="55">
        <v>309.15735167669823</v>
      </c>
      <c r="I36" s="55">
        <v>315.56904557179712</v>
      </c>
      <c r="J36" s="55">
        <v>324.56852966466028</v>
      </c>
      <c r="K36" s="55">
        <v>303.5908856405847</v>
      </c>
      <c r="L36" s="55">
        <v>337.01092003439379</v>
      </c>
      <c r="M36" s="55">
        <v>306.73009458297508</v>
      </c>
      <c r="N36" s="55">
        <v>345.08495270851239</v>
      </c>
      <c r="O36" s="55">
        <v>331.32519346517631</v>
      </c>
      <c r="P36" s="55">
        <v>313.07205503009448</v>
      </c>
      <c r="Q36" s="55">
        <v>352.20945829750639</v>
      </c>
      <c r="R36" s="55">
        <v>337.1040412725709</v>
      </c>
      <c r="S36" s="55">
        <v>325.59604471195178</v>
      </c>
      <c r="T36" s="55">
        <v>354.93817712811688</v>
      </c>
      <c r="U36" s="55">
        <v>369.98228718830609</v>
      </c>
      <c r="V36" s="55">
        <v>321.44522382876289</v>
      </c>
      <c r="W36" s="55">
        <v>349.04646499394966</v>
      </c>
      <c r="X36" s="55">
        <v>344.71726069418099</v>
      </c>
      <c r="Y36" s="55">
        <v>325.4345147355034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0</v>
      </c>
      <c r="C37" s="55">
        <f t="shared" ref="C37:W37" si="31">SUM(C38:C42)</f>
        <v>0</v>
      </c>
      <c r="D37" s="55">
        <f t="shared" si="31"/>
        <v>0</v>
      </c>
      <c r="E37" s="55">
        <f t="shared" si="31"/>
        <v>2.4361994840928629</v>
      </c>
      <c r="F37" s="55">
        <f t="shared" si="31"/>
        <v>2.412381771281169</v>
      </c>
      <c r="G37" s="55">
        <f t="shared" si="31"/>
        <v>3.1435941530524496</v>
      </c>
      <c r="H37" s="55">
        <f t="shared" si="31"/>
        <v>6.0080825451418738</v>
      </c>
      <c r="I37" s="55">
        <f t="shared" si="31"/>
        <v>9.5934651762682694</v>
      </c>
      <c r="J37" s="55">
        <f t="shared" si="31"/>
        <v>15.074376612209798</v>
      </c>
      <c r="K37" s="55">
        <f t="shared" si="31"/>
        <v>18.344539982803088</v>
      </c>
      <c r="L37" s="55">
        <f t="shared" si="31"/>
        <v>15.992175408426487</v>
      </c>
      <c r="M37" s="55">
        <f t="shared" si="31"/>
        <v>20.148925193465175</v>
      </c>
      <c r="N37" s="55">
        <f t="shared" si="31"/>
        <v>23.195614789337913</v>
      </c>
      <c r="O37" s="55">
        <f t="shared" si="31"/>
        <v>29.629750644883917</v>
      </c>
      <c r="P37" s="55">
        <f t="shared" si="31"/>
        <v>32.573946689595878</v>
      </c>
      <c r="Q37" s="55">
        <f t="shared" si="31"/>
        <v>21.725967325881332</v>
      </c>
      <c r="R37" s="55">
        <f t="shared" si="31"/>
        <v>30.133705932932074</v>
      </c>
      <c r="S37" s="55">
        <f t="shared" si="31"/>
        <v>27.112467755803959</v>
      </c>
      <c r="T37" s="55">
        <f t="shared" si="31"/>
        <v>23.785898538263101</v>
      </c>
      <c r="U37" s="55">
        <f t="shared" si="31"/>
        <v>20.487790197764394</v>
      </c>
      <c r="V37" s="55">
        <f t="shared" si="31"/>
        <v>22.079797667367849</v>
      </c>
      <c r="W37" s="55">
        <f t="shared" si="31"/>
        <v>23.985693217572301</v>
      </c>
      <c r="X37" s="55">
        <f t="shared" ref="X37:Y37" si="32">SUM(X38:X42)</f>
        <v>25.949807233591926</v>
      </c>
      <c r="Y37" s="55">
        <f t="shared" si="32"/>
        <v>24.583284060713193</v>
      </c>
      <c r="DA37" s="101"/>
    </row>
    <row r="38" spans="1:105" ht="12" customHeight="1" x14ac:dyDescent="0.25">
      <c r="A38" s="61" t="s">
        <v>164</v>
      </c>
      <c r="B38" s="55">
        <v>0</v>
      </c>
      <c r="C38" s="55">
        <v>0</v>
      </c>
      <c r="D38" s="55">
        <v>0</v>
      </c>
      <c r="E38" s="55">
        <v>0</v>
      </c>
      <c r="F38" s="55">
        <v>0</v>
      </c>
      <c r="G38" s="55">
        <v>0.17231298366294057</v>
      </c>
      <c r="H38" s="55">
        <v>1.382717110920034</v>
      </c>
      <c r="I38" s="55">
        <v>5.8154772141014597</v>
      </c>
      <c r="J38" s="55">
        <v>11.26345657781599</v>
      </c>
      <c r="K38" s="55">
        <v>14.503009458297498</v>
      </c>
      <c r="L38" s="55">
        <v>12.007566638005162</v>
      </c>
      <c r="M38" s="55">
        <v>15.760963026655201</v>
      </c>
      <c r="N38" s="55">
        <v>19.117024935511601</v>
      </c>
      <c r="O38" s="55">
        <v>25.090197764402401</v>
      </c>
      <c r="P38" s="55">
        <v>27.830266552020646</v>
      </c>
      <c r="Q38" s="55">
        <v>16.694239036973336</v>
      </c>
      <c r="R38" s="55">
        <v>24.733533963886501</v>
      </c>
      <c r="S38" s="55">
        <v>21.056921754084268</v>
      </c>
      <c r="T38" s="55">
        <v>17.996560619088555</v>
      </c>
      <c r="U38" s="55">
        <v>14.009716251074799</v>
      </c>
      <c r="V38" s="55">
        <v>15.690713671539122</v>
      </c>
      <c r="W38" s="55">
        <v>17.640670679277726</v>
      </c>
      <c r="X38" s="55">
        <v>18.755631986242467</v>
      </c>
      <c r="Y38" s="55">
        <v>17.410318142734305</v>
      </c>
      <c r="DA38" s="101" t="s">
        <v>204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2.4361994840928629</v>
      </c>
      <c r="F39" s="55">
        <v>2.412381771281169</v>
      </c>
      <c r="G39" s="55">
        <v>2.9712811693895089</v>
      </c>
      <c r="H39" s="55">
        <v>4.5924333619948401</v>
      </c>
      <c r="I39" s="55">
        <v>3.7403267411865859</v>
      </c>
      <c r="J39" s="55">
        <v>3.716251074806534</v>
      </c>
      <c r="K39" s="55">
        <v>3.7406706792777298</v>
      </c>
      <c r="L39" s="55">
        <v>3.8312983662940669</v>
      </c>
      <c r="M39" s="55">
        <v>4.2234737747205502</v>
      </c>
      <c r="N39" s="55">
        <v>3.912381771281169</v>
      </c>
      <c r="O39" s="55">
        <v>4.3733447979363724</v>
      </c>
      <c r="P39" s="55">
        <v>4.5774720550300936</v>
      </c>
      <c r="Q39" s="55">
        <v>4.865520206362854</v>
      </c>
      <c r="R39" s="55">
        <v>5.2339638865004297</v>
      </c>
      <c r="S39" s="55">
        <v>5.8893379191745474</v>
      </c>
      <c r="T39" s="55">
        <v>5.6227858985382628</v>
      </c>
      <c r="U39" s="55">
        <v>6.3115219260533104</v>
      </c>
      <c r="V39" s="55">
        <v>6.2225319751924424</v>
      </c>
      <c r="W39" s="55">
        <v>6.1784705176582921</v>
      </c>
      <c r="X39" s="55">
        <v>7.0276232267131755</v>
      </c>
      <c r="Y39" s="55">
        <v>7.0064138973426022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X40" s="55">
        <v>0</v>
      </c>
      <c r="Y40" s="55">
        <v>0</v>
      </c>
      <c r="DA40" s="101" t="s">
        <v>206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3.2932072226999141E-2</v>
      </c>
      <c r="I41" s="55">
        <v>3.7661220980223557E-2</v>
      </c>
      <c r="J41" s="55">
        <v>9.4668959587274282E-2</v>
      </c>
      <c r="K41" s="55">
        <v>0.100859845227859</v>
      </c>
      <c r="L41" s="55">
        <v>0.1533104041272571</v>
      </c>
      <c r="M41" s="55">
        <v>0.1644883920894239</v>
      </c>
      <c r="N41" s="55">
        <v>0.16620808254514191</v>
      </c>
      <c r="O41" s="55">
        <v>0.16620808254514191</v>
      </c>
      <c r="P41" s="55">
        <v>0.16620808254514191</v>
      </c>
      <c r="Q41" s="55">
        <v>0.16620808254514191</v>
      </c>
      <c r="R41" s="55">
        <v>0.16620808254514191</v>
      </c>
      <c r="S41" s="55">
        <v>0.16620808254514191</v>
      </c>
      <c r="T41" s="55">
        <v>0.16655202063628549</v>
      </c>
      <c r="U41" s="55">
        <v>0.16655202063628549</v>
      </c>
      <c r="V41" s="55">
        <v>0.16655202063628549</v>
      </c>
      <c r="W41" s="55">
        <v>0.16655202063628549</v>
      </c>
      <c r="X41" s="55">
        <v>0.16655202063628549</v>
      </c>
      <c r="Y41" s="55">
        <v>0.16655202063628549</v>
      </c>
      <c r="DA41" s="101" t="s">
        <v>207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X42" s="55">
        <v>0</v>
      </c>
      <c r="Y42" s="55">
        <v>0</v>
      </c>
      <c r="DA42" s="101" t="s">
        <v>208</v>
      </c>
    </row>
    <row r="43" spans="1:105" ht="12" customHeight="1" x14ac:dyDescent="0.25">
      <c r="A43" s="61" t="s">
        <v>151</v>
      </c>
      <c r="B43" s="309">
        <v>3.9523243543080114E-4</v>
      </c>
      <c r="C43" s="309">
        <v>1.1252757576085048E-3</v>
      </c>
      <c r="D43" s="55">
        <v>6.5348237317282877E-3</v>
      </c>
      <c r="E43" s="55">
        <v>0.11951848667239889</v>
      </c>
      <c r="F43" s="55">
        <v>0.23903697334479784</v>
      </c>
      <c r="G43" s="55">
        <v>0.83654342218400668</v>
      </c>
      <c r="H43" s="55">
        <v>1.7925193465176263</v>
      </c>
      <c r="I43" s="55">
        <v>2.9876182287188309</v>
      </c>
      <c r="J43" s="55">
        <v>4.5411006018916602</v>
      </c>
      <c r="K43" s="55">
        <v>5.0191745485812529</v>
      </c>
      <c r="L43" s="55">
        <v>5.3340498710232147</v>
      </c>
      <c r="M43" s="55">
        <v>6.1902837489251858</v>
      </c>
      <c r="N43" s="55">
        <v>6.7926053310404066</v>
      </c>
      <c r="O43" s="55">
        <v>7.4429922613929405</v>
      </c>
      <c r="P43" s="55">
        <v>8.4414445399828058</v>
      </c>
      <c r="Q43" s="55">
        <v>10.11659501289768</v>
      </c>
      <c r="R43" s="55">
        <v>12.249269131556314</v>
      </c>
      <c r="S43" s="55">
        <v>14.919862424763549</v>
      </c>
      <c r="T43" s="55">
        <v>15.605331040412754</v>
      </c>
      <c r="U43" s="55">
        <v>17.978589853826314</v>
      </c>
      <c r="V43" s="55">
        <v>20.553224419604447</v>
      </c>
      <c r="W43" s="55">
        <v>21.876956147893338</v>
      </c>
      <c r="X43" s="55">
        <v>23.080739466895963</v>
      </c>
      <c r="Y43" s="55">
        <v>24.284522785898535</v>
      </c>
      <c r="DA43" s="101" t="s">
        <v>209</v>
      </c>
    </row>
    <row r="44" spans="1:105" ht="12" customHeight="1" x14ac:dyDescent="0.25">
      <c r="A44" s="60" t="s">
        <v>162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55">
        <v>0</v>
      </c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>
        <v>0</v>
      </c>
      <c r="U44" s="55">
        <v>0</v>
      </c>
      <c r="V44" s="55">
        <v>0</v>
      </c>
      <c r="W44" s="55">
        <v>0</v>
      </c>
      <c r="X44" s="55">
        <v>0</v>
      </c>
      <c r="Y44" s="55">
        <v>0</v>
      </c>
      <c r="DA44" s="101" t="s">
        <v>210</v>
      </c>
    </row>
    <row r="45" spans="1:105" ht="12" customHeight="1" x14ac:dyDescent="0.25">
      <c r="A45" s="62" t="s">
        <v>24</v>
      </c>
      <c r="B45" s="63">
        <v>480.65348237317278</v>
      </c>
      <c r="C45" s="63">
        <v>518.59707652622524</v>
      </c>
      <c r="D45" s="63">
        <v>579.64840928632839</v>
      </c>
      <c r="E45" s="63">
        <v>643.23680137575229</v>
      </c>
      <c r="F45" s="63">
        <v>655.12338779019774</v>
      </c>
      <c r="G45" s="63">
        <v>732.36440240756656</v>
      </c>
      <c r="H45" s="63">
        <v>808.94918314703341</v>
      </c>
      <c r="I45" s="63">
        <v>843.84359415305244</v>
      </c>
      <c r="J45" s="63">
        <v>893.38782079210762</v>
      </c>
      <c r="K45" s="63">
        <v>873.67622899972628</v>
      </c>
      <c r="L45" s="63">
        <v>846.35003127712423</v>
      </c>
      <c r="M45" s="63">
        <v>861.47489338086825</v>
      </c>
      <c r="N45" s="63">
        <v>857.22917830321398</v>
      </c>
      <c r="O45" s="63">
        <v>862.05462297536508</v>
      </c>
      <c r="P45" s="63">
        <v>844.9021092929429</v>
      </c>
      <c r="Q45" s="63">
        <v>927.32482873682966</v>
      </c>
      <c r="R45" s="63">
        <v>959.81985270607436</v>
      </c>
      <c r="S45" s="63">
        <v>975.40234845906377</v>
      </c>
      <c r="T45" s="63">
        <v>1087.1001402276834</v>
      </c>
      <c r="U45" s="63">
        <v>1143.2982560830674</v>
      </c>
      <c r="V45" s="63">
        <v>1074.9144582994934</v>
      </c>
      <c r="W45" s="63">
        <v>1175.0656109648473</v>
      </c>
      <c r="X45" s="63">
        <v>1265.3145166271825</v>
      </c>
      <c r="Y45" s="63">
        <v>1367.3761552809144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1156.4925193465174</v>
      </c>
      <c r="C47" s="82">
        <f t="shared" ref="C47:W47" si="34">SUM(C48,C53)</f>
        <v>1180.4369733447979</v>
      </c>
      <c r="D47" s="82">
        <f t="shared" si="34"/>
        <v>1210.9333619948407</v>
      </c>
      <c r="E47" s="82">
        <f t="shared" si="34"/>
        <v>1289.5582115219258</v>
      </c>
      <c r="F47" s="82">
        <f t="shared" si="34"/>
        <v>1275.4426483233019</v>
      </c>
      <c r="G47" s="82">
        <f t="shared" si="34"/>
        <v>1366.997506448839</v>
      </c>
      <c r="H47" s="82">
        <f t="shared" si="34"/>
        <v>1447.975064488392</v>
      </c>
      <c r="I47" s="82">
        <f t="shared" si="34"/>
        <v>1470.7935511607911</v>
      </c>
      <c r="J47" s="82">
        <f t="shared" si="34"/>
        <v>1546.6769007577138</v>
      </c>
      <c r="K47" s="82">
        <f t="shared" si="34"/>
        <v>1420.0451885870004</v>
      </c>
      <c r="L47" s="82">
        <f t="shared" si="34"/>
        <v>1437.7840811481478</v>
      </c>
      <c r="M47" s="82">
        <f t="shared" si="34"/>
        <v>1407.5879630283316</v>
      </c>
      <c r="N47" s="82">
        <f t="shared" si="34"/>
        <v>1434.8370888793097</v>
      </c>
      <c r="O47" s="82">
        <f t="shared" si="34"/>
        <v>1477.3873830785465</v>
      </c>
      <c r="P47" s="82">
        <f t="shared" si="34"/>
        <v>1420.5348693961248</v>
      </c>
      <c r="Q47" s="82">
        <f t="shared" si="34"/>
        <v>1547.222249201146</v>
      </c>
      <c r="R47" s="82">
        <f t="shared" si="34"/>
        <v>1554.673249094724</v>
      </c>
      <c r="S47" s="82">
        <f t="shared" si="34"/>
        <v>1544.9523914513245</v>
      </c>
      <c r="T47" s="82">
        <f t="shared" si="34"/>
        <v>1701.0175091012861</v>
      </c>
      <c r="U47" s="82">
        <f t="shared" si="34"/>
        <v>1754.3987719902043</v>
      </c>
      <c r="V47" s="82">
        <f t="shared" si="34"/>
        <v>1609.4227128136811</v>
      </c>
      <c r="W47" s="82">
        <f t="shared" si="34"/>
        <v>1741.5718878350106</v>
      </c>
      <c r="X47" s="82">
        <f t="shared" ref="X47:Y47" si="35">SUM(X48,X53)</f>
        <v>1829.9317135317401</v>
      </c>
      <c r="Y47" s="82">
        <f t="shared" si="35"/>
        <v>1912.2010907925223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927.90776005579357</v>
      </c>
      <c r="C48" s="64">
        <f t="shared" ref="C48:W48" si="37">SUM(C49:C52)</f>
        <v>940.39868393486427</v>
      </c>
      <c r="D48" s="64">
        <f t="shared" si="37"/>
        <v>953.47859034090015</v>
      </c>
      <c r="E48" s="64">
        <f t="shared" si="37"/>
        <v>1017.4230400264396</v>
      </c>
      <c r="F48" s="64">
        <f t="shared" si="37"/>
        <v>988.21967297255878</v>
      </c>
      <c r="G48" s="64">
        <f t="shared" si="37"/>
        <v>1064.3735661880146</v>
      </c>
      <c r="H48" s="64">
        <f t="shared" si="37"/>
        <v>1132.8011739219264</v>
      </c>
      <c r="I48" s="64">
        <f t="shared" si="37"/>
        <v>1140.0159786296883</v>
      </c>
      <c r="J48" s="64">
        <f t="shared" si="37"/>
        <v>1204.3246068910253</v>
      </c>
      <c r="K48" s="64">
        <f t="shared" si="37"/>
        <v>1072.5762934196739</v>
      </c>
      <c r="L48" s="64">
        <f t="shared" si="37"/>
        <v>1085.0445938381304</v>
      </c>
      <c r="M48" s="64">
        <f t="shared" si="37"/>
        <v>1051.4045783586189</v>
      </c>
      <c r="N48" s="64">
        <f t="shared" si="37"/>
        <v>1071.4299616071612</v>
      </c>
      <c r="O48" s="64">
        <f t="shared" si="37"/>
        <v>1107.2486111256785</v>
      </c>
      <c r="P48" s="64">
        <f t="shared" si="37"/>
        <v>1040.9473629922531</v>
      </c>
      <c r="Q48" s="64">
        <f t="shared" si="37"/>
        <v>1157.9419787998213</v>
      </c>
      <c r="R48" s="64">
        <f t="shared" si="37"/>
        <v>1138.8440704031054</v>
      </c>
      <c r="S48" s="64">
        <f t="shared" si="37"/>
        <v>1102.1387383517117</v>
      </c>
      <c r="T48" s="64">
        <f t="shared" si="37"/>
        <v>1223.9790717410801</v>
      </c>
      <c r="U48" s="64">
        <f t="shared" si="37"/>
        <v>1253.0379757246958</v>
      </c>
      <c r="V48" s="64">
        <f t="shared" si="37"/>
        <v>1072.1455983116075</v>
      </c>
      <c r="W48" s="64">
        <f t="shared" si="37"/>
        <v>1109.1291866462559</v>
      </c>
      <c r="X48" s="64">
        <f t="shared" ref="X48:Y48" si="38">SUM(X49:X52)</f>
        <v>1096.6153059511312</v>
      </c>
      <c r="Y48" s="64">
        <f t="shared" si="38"/>
        <v>1076.4168917523225</v>
      </c>
      <c r="DA48" s="108" t="s">
        <v>213</v>
      </c>
    </row>
    <row r="49" spans="1:105" ht="12" customHeight="1" x14ac:dyDescent="0.25">
      <c r="A49" s="61" t="s">
        <v>32</v>
      </c>
      <c r="B49" s="65">
        <v>685.38635726281234</v>
      </c>
      <c r="C49" s="65">
        <v>692.20501260453045</v>
      </c>
      <c r="D49" s="65">
        <v>702.56054205853775</v>
      </c>
      <c r="E49" s="65">
        <v>764.15551253694957</v>
      </c>
      <c r="F49" s="65">
        <v>732.1453785804373</v>
      </c>
      <c r="G49" s="65">
        <v>798.26254187872655</v>
      </c>
      <c r="H49" s="65">
        <v>861.71386255928064</v>
      </c>
      <c r="I49" s="65">
        <v>860.10362953822823</v>
      </c>
      <c r="J49" s="65">
        <v>916.6108757240346</v>
      </c>
      <c r="K49" s="65">
        <v>796.79992766493967</v>
      </c>
      <c r="L49" s="65">
        <v>799.39199186398719</v>
      </c>
      <c r="M49" s="65">
        <v>760.30549214842426</v>
      </c>
      <c r="N49" s="65">
        <v>775.42209036482745</v>
      </c>
      <c r="O49" s="65">
        <v>803.71695429798774</v>
      </c>
      <c r="P49" s="65">
        <v>736.80051497740556</v>
      </c>
      <c r="Q49" s="65">
        <v>842.35923475599316</v>
      </c>
      <c r="R49" s="65">
        <v>824.27736297165427</v>
      </c>
      <c r="S49" s="65">
        <v>785.16113502560142</v>
      </c>
      <c r="T49" s="65">
        <v>903.0890237990443</v>
      </c>
      <c r="U49" s="65">
        <v>925.78404740683504</v>
      </c>
      <c r="V49" s="65">
        <v>771.98098186110496</v>
      </c>
      <c r="W49" s="65">
        <v>773.42604817136885</v>
      </c>
      <c r="X49" s="65">
        <v>766.8170880221287</v>
      </c>
      <c r="Y49" s="65">
        <v>751.57368135531817</v>
      </c>
      <c r="DA49" s="109" t="s">
        <v>214</v>
      </c>
    </row>
    <row r="50" spans="1:105" ht="12" customHeight="1" x14ac:dyDescent="0.25">
      <c r="A50" s="61" t="s">
        <v>31</v>
      </c>
      <c r="B50" s="65">
        <v>4.820119145816907</v>
      </c>
      <c r="C50" s="65">
        <v>5.1291792367559896</v>
      </c>
      <c r="D50" s="65">
        <v>5.5811702735098141</v>
      </c>
      <c r="E50" s="65">
        <v>5.8174311641952334</v>
      </c>
      <c r="F50" s="65">
        <v>6.1241227732364782</v>
      </c>
      <c r="G50" s="65">
        <v>6.5093002327538789</v>
      </c>
      <c r="H50" s="65">
        <v>7.1106739454340619</v>
      </c>
      <c r="I50" s="65">
        <v>7.5638168892031548</v>
      </c>
      <c r="J50" s="65">
        <v>7.6181175461227877</v>
      </c>
      <c r="K50" s="65">
        <v>7.7427650022432761</v>
      </c>
      <c r="L50" s="65">
        <v>7.9016273425900145</v>
      </c>
      <c r="M50" s="65">
        <v>7.8267301110213552</v>
      </c>
      <c r="N50" s="65">
        <v>7.8859848071513907</v>
      </c>
      <c r="O50" s="65">
        <v>7.7905984422037431</v>
      </c>
      <c r="P50" s="65">
        <v>7.9961767493952705</v>
      </c>
      <c r="Q50" s="65">
        <v>7.7837877579679065</v>
      </c>
      <c r="R50" s="65">
        <v>7.9396261814732965</v>
      </c>
      <c r="S50" s="65">
        <v>7.9885703610725871</v>
      </c>
      <c r="T50" s="65">
        <v>8.1621639829783206</v>
      </c>
      <c r="U50" s="65">
        <v>8.4899904325786402</v>
      </c>
      <c r="V50" s="65">
        <v>8.127227648363279</v>
      </c>
      <c r="W50" s="65">
        <v>8.1691413772315258</v>
      </c>
      <c r="X50" s="65">
        <v>8.5304953184655385</v>
      </c>
      <c r="Y50" s="65">
        <v>8.6164168838488013</v>
      </c>
      <c r="DA50" s="109" t="s">
        <v>215</v>
      </c>
    </row>
    <row r="51" spans="1:105" ht="12" customHeight="1" x14ac:dyDescent="0.25">
      <c r="A51" s="61" t="s">
        <v>35</v>
      </c>
      <c r="B51" s="65">
        <v>121.72373692437986</v>
      </c>
      <c r="C51" s="65">
        <v>124.35902931101768</v>
      </c>
      <c r="D51" s="65">
        <v>125.2404525843842</v>
      </c>
      <c r="E51" s="65">
        <v>125.04690880877835</v>
      </c>
      <c r="F51" s="65">
        <v>125.26160837188795</v>
      </c>
      <c r="G51" s="65">
        <v>128.76388718869646</v>
      </c>
      <c r="H51" s="65">
        <v>129.81418981405403</v>
      </c>
      <c r="I51" s="65">
        <v>133.06166721437722</v>
      </c>
      <c r="J51" s="65">
        <v>134.38700629702805</v>
      </c>
      <c r="K51" s="65">
        <v>136.23777246582875</v>
      </c>
      <c r="L51" s="65">
        <v>138.51809100269372</v>
      </c>
      <c r="M51" s="65">
        <v>138.04060946676114</v>
      </c>
      <c r="N51" s="65">
        <v>139.39698725314582</v>
      </c>
      <c r="O51" s="65">
        <v>140.34942842626393</v>
      </c>
      <c r="P51" s="65">
        <v>143.00615005000643</v>
      </c>
      <c r="Q51" s="65">
        <v>148.87018333873743</v>
      </c>
      <c r="R51" s="65">
        <v>147.66525546450424</v>
      </c>
      <c r="S51" s="65">
        <v>146.95129889264135</v>
      </c>
      <c r="T51" s="65">
        <v>146.90543455611569</v>
      </c>
      <c r="U51" s="65">
        <v>148.71130639109992</v>
      </c>
      <c r="V51" s="65">
        <v>137.51073105799549</v>
      </c>
      <c r="W51" s="65">
        <v>149.67816000311666</v>
      </c>
      <c r="X51" s="65">
        <v>145.03631286775621</v>
      </c>
      <c r="Y51" s="65">
        <v>140.27081909770246</v>
      </c>
      <c r="DA51" s="109" t="s">
        <v>216</v>
      </c>
    </row>
    <row r="52" spans="1:105" ht="12" customHeight="1" x14ac:dyDescent="0.25">
      <c r="A52" s="66" t="s">
        <v>34</v>
      </c>
      <c r="B52" s="67">
        <v>115.97754672278452</v>
      </c>
      <c r="C52" s="67">
        <v>118.70546278256001</v>
      </c>
      <c r="D52" s="67">
        <v>120.09642542446841</v>
      </c>
      <c r="E52" s="67">
        <v>122.40318751651651</v>
      </c>
      <c r="F52" s="67">
        <v>124.68856324699709</v>
      </c>
      <c r="G52" s="67">
        <v>130.83783688783762</v>
      </c>
      <c r="H52" s="67">
        <v>134.16244760315763</v>
      </c>
      <c r="I52" s="67">
        <v>139.28686498787962</v>
      </c>
      <c r="J52" s="67">
        <v>145.70860732383966</v>
      </c>
      <c r="K52" s="67">
        <v>131.79582828666224</v>
      </c>
      <c r="L52" s="67">
        <v>139.23288362885944</v>
      </c>
      <c r="M52" s="67">
        <v>145.23174663241207</v>
      </c>
      <c r="N52" s="67">
        <v>148.72489918203644</v>
      </c>
      <c r="O52" s="67">
        <v>155.391629959223</v>
      </c>
      <c r="P52" s="67">
        <v>153.14452121544571</v>
      </c>
      <c r="Q52" s="67">
        <v>158.92877294712281</v>
      </c>
      <c r="R52" s="67">
        <v>158.96182578547359</v>
      </c>
      <c r="S52" s="67">
        <v>162.03773407239638</v>
      </c>
      <c r="T52" s="67">
        <v>165.8224494029418</v>
      </c>
      <c r="U52" s="67">
        <v>170.05263149418207</v>
      </c>
      <c r="V52" s="67">
        <v>154.52665774414385</v>
      </c>
      <c r="W52" s="67">
        <v>177.85583709453891</v>
      </c>
      <c r="X52" s="67">
        <v>176.23140974278073</v>
      </c>
      <c r="Y52" s="67">
        <v>175.95597441545297</v>
      </c>
      <c r="DA52" s="110" t="s">
        <v>217</v>
      </c>
    </row>
    <row r="53" spans="1:105" ht="12" customHeight="1" x14ac:dyDescent="0.25">
      <c r="A53" s="78" t="s">
        <v>33</v>
      </c>
      <c r="B53" s="68">
        <v>228.58475929072387</v>
      </c>
      <c r="C53" s="68">
        <v>240.0382894099337</v>
      </c>
      <c r="D53" s="68">
        <v>257.45477165394055</v>
      </c>
      <c r="E53" s="68">
        <v>272.1351714954863</v>
      </c>
      <c r="F53" s="68">
        <v>287.22297535074301</v>
      </c>
      <c r="G53" s="68">
        <v>302.6239402608245</v>
      </c>
      <c r="H53" s="68">
        <v>315.17389056646573</v>
      </c>
      <c r="I53" s="68">
        <v>330.77757253110275</v>
      </c>
      <c r="J53" s="68">
        <v>342.35229386668857</v>
      </c>
      <c r="K53" s="68">
        <v>347.46889516732654</v>
      </c>
      <c r="L53" s="68">
        <v>352.73948731001747</v>
      </c>
      <c r="M53" s="68">
        <v>356.18338466971261</v>
      </c>
      <c r="N53" s="68">
        <v>363.40712727214861</v>
      </c>
      <c r="O53" s="68">
        <v>370.13877195286807</v>
      </c>
      <c r="P53" s="68">
        <v>379.58750640387166</v>
      </c>
      <c r="Q53" s="68">
        <v>389.2802704013248</v>
      </c>
      <c r="R53" s="68">
        <v>415.82917869161855</v>
      </c>
      <c r="S53" s="68">
        <v>442.81365309961285</v>
      </c>
      <c r="T53" s="68">
        <v>477.0384373602061</v>
      </c>
      <c r="U53" s="68">
        <v>501.3607962655085</v>
      </c>
      <c r="V53" s="68">
        <v>537.27711450207357</v>
      </c>
      <c r="W53" s="68">
        <v>632.44270118875465</v>
      </c>
      <c r="X53" s="68">
        <v>733.31640758060905</v>
      </c>
      <c r="Y53" s="68">
        <v>835.78419904019972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0.80234653016183199</v>
      </c>
      <c r="C56" s="70">
        <f t="shared" ref="C56:W56" si="43">IF(C48=0,0,C48/C$47)</f>
        <v>0.796653023558065</v>
      </c>
      <c r="D56" s="70">
        <f t="shared" si="43"/>
        <v>0.78739146204559074</v>
      </c>
      <c r="E56" s="70">
        <f t="shared" si="43"/>
        <v>0.78897023099537744</v>
      </c>
      <c r="F56" s="70">
        <f t="shared" si="43"/>
        <v>0.77480526017510332</v>
      </c>
      <c r="G56" s="70">
        <f t="shared" si="43"/>
        <v>0.77862143944433715</v>
      </c>
      <c r="H56" s="70">
        <f t="shared" si="43"/>
        <v>0.78233472502661849</v>
      </c>
      <c r="I56" s="70">
        <f t="shared" si="43"/>
        <v>0.77510264967503839</v>
      </c>
      <c r="J56" s="70">
        <f t="shared" si="43"/>
        <v>0.77865299876207439</v>
      </c>
      <c r="K56" s="70">
        <f t="shared" si="43"/>
        <v>0.75531138166590917</v>
      </c>
      <c r="L56" s="70">
        <f t="shared" si="43"/>
        <v>0.75466449244010547</v>
      </c>
      <c r="M56" s="70">
        <f t="shared" si="43"/>
        <v>0.74695479499312578</v>
      </c>
      <c r="N56" s="70">
        <f t="shared" si="43"/>
        <v>0.74672586171020272</v>
      </c>
      <c r="O56" s="70">
        <f t="shared" si="43"/>
        <v>0.74946396849445052</v>
      </c>
      <c r="P56" s="70">
        <f t="shared" si="43"/>
        <v>0.73278550595154635</v>
      </c>
      <c r="Q56" s="70">
        <f t="shared" si="43"/>
        <v>0.74840054775432818</v>
      </c>
      <c r="R56" s="70">
        <f t="shared" si="43"/>
        <v>0.73252953382085062</v>
      </c>
      <c r="S56" s="70">
        <f t="shared" si="43"/>
        <v>0.71338038922763525</v>
      </c>
      <c r="T56" s="70">
        <f t="shared" si="43"/>
        <v>0.71955700937361666</v>
      </c>
      <c r="U56" s="70">
        <f t="shared" si="43"/>
        <v>0.71422643228553984</v>
      </c>
      <c r="V56" s="70">
        <f t="shared" si="43"/>
        <v>0.66616780649082785</v>
      </c>
      <c r="W56" s="70">
        <f t="shared" si="43"/>
        <v>0.63685524232079838</v>
      </c>
      <c r="X56" s="70">
        <f t="shared" ref="X56:Y56" si="44">IF(X48=0,0,X48/X$47)</f>
        <v>0.59926569819082509</v>
      </c>
      <c r="Y56" s="70">
        <f t="shared" si="44"/>
        <v>0.56292034186958628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0.59264227463407526</v>
      </c>
      <c r="C57" s="71">
        <f t="shared" ref="C57:W57" si="46">IF(C49=0,0,C49/C$47)</f>
        <v>0.58639726494092281</v>
      </c>
      <c r="D57" s="71">
        <f t="shared" si="46"/>
        <v>0.58018101087013496</v>
      </c>
      <c r="E57" s="71">
        <f t="shared" si="46"/>
        <v>0.59257155335011946</v>
      </c>
      <c r="F57" s="71">
        <f t="shared" si="46"/>
        <v>0.57403237969415266</v>
      </c>
      <c r="G57" s="71">
        <f t="shared" si="46"/>
        <v>0.58395318068460733</v>
      </c>
      <c r="H57" s="71">
        <f t="shared" si="46"/>
        <v>0.59511650697088969</v>
      </c>
      <c r="I57" s="71">
        <f t="shared" si="46"/>
        <v>0.58478882291767631</v>
      </c>
      <c r="J57" s="71">
        <f t="shared" si="46"/>
        <v>0.59263242069173516</v>
      </c>
      <c r="K57" s="71">
        <f t="shared" si="46"/>
        <v>0.56110885348499806</v>
      </c>
      <c r="L57" s="71">
        <f t="shared" si="46"/>
        <v>0.55598890149460389</v>
      </c>
      <c r="M57" s="71">
        <f t="shared" si="46"/>
        <v>0.5401477649131623</v>
      </c>
      <c r="N57" s="71">
        <f t="shared" si="46"/>
        <v>0.5404251788406701</v>
      </c>
      <c r="O57" s="71">
        <f t="shared" si="46"/>
        <v>0.54401233116206837</v>
      </c>
      <c r="P57" s="71">
        <f t="shared" si="46"/>
        <v>0.5186782322989526</v>
      </c>
      <c r="Q57" s="71">
        <f t="shared" si="46"/>
        <v>0.54443324815870231</v>
      </c>
      <c r="R57" s="71">
        <f t="shared" si="46"/>
        <v>0.5301933145447929</v>
      </c>
      <c r="S57" s="71">
        <f t="shared" si="46"/>
        <v>0.50821056970436673</v>
      </c>
      <c r="T57" s="71">
        <f t="shared" si="46"/>
        <v>0.53091106879680594</v>
      </c>
      <c r="U57" s="71">
        <f t="shared" si="46"/>
        <v>0.52769305484443429</v>
      </c>
      <c r="V57" s="71">
        <f t="shared" si="46"/>
        <v>0.47966328281243492</v>
      </c>
      <c r="W57" s="71">
        <f t="shared" si="46"/>
        <v>0.44409653920908954</v>
      </c>
      <c r="X57" s="71">
        <f t="shared" ref="X57:Y57" si="47">IF(X49=0,0,X49/X$47)</f>
        <v>0.41904136769244982</v>
      </c>
      <c r="Y57" s="71">
        <f t="shared" si="47"/>
        <v>0.39304113200972202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4.1678774961212391E-3</v>
      </c>
      <c r="C58" s="72">
        <f t="shared" ref="C58:W58" si="49">IF(C50=0,0,C50/C$47)</f>
        <v>4.3451529836636095E-3</v>
      </c>
      <c r="D58" s="72">
        <f t="shared" si="49"/>
        <v>4.6089821691885913E-3</v>
      </c>
      <c r="E58" s="72">
        <f t="shared" si="49"/>
        <v>4.5111815133413403E-3</v>
      </c>
      <c r="F58" s="72">
        <f t="shared" si="49"/>
        <v>4.8015665630181453E-3</v>
      </c>
      <c r="G58" s="72">
        <f t="shared" si="49"/>
        <v>4.7617498949677085E-3</v>
      </c>
      <c r="H58" s="72">
        <f t="shared" si="49"/>
        <v>4.910770993108539E-3</v>
      </c>
      <c r="I58" s="72">
        <f t="shared" si="49"/>
        <v>5.1426774908236309E-3</v>
      </c>
      <c r="J58" s="72">
        <f t="shared" si="49"/>
        <v>4.9254744429109189E-3</v>
      </c>
      <c r="K58" s="72">
        <f t="shared" si="49"/>
        <v>5.4524778961066904E-3</v>
      </c>
      <c r="L58" s="72">
        <f t="shared" si="49"/>
        <v>5.4956981692829291E-3</v>
      </c>
      <c r="M58" s="72">
        <f t="shared" si="49"/>
        <v>5.5603843714197923E-3</v>
      </c>
      <c r="N58" s="72">
        <f t="shared" si="49"/>
        <v>5.4960837493480174E-3</v>
      </c>
      <c r="O58" s="72">
        <f t="shared" si="49"/>
        <v>5.2732265967845686E-3</v>
      </c>
      <c r="P58" s="72">
        <f t="shared" si="49"/>
        <v>5.6289901231319148E-3</v>
      </c>
      <c r="Q58" s="72">
        <f t="shared" si="49"/>
        <v>5.0308142621312436E-3</v>
      </c>
      <c r="R58" s="72">
        <f t="shared" si="49"/>
        <v>5.1069420446363811E-3</v>
      </c>
      <c r="S58" s="72">
        <f t="shared" si="49"/>
        <v>5.1707550376799269E-3</v>
      </c>
      <c r="T58" s="72">
        <f t="shared" si="49"/>
        <v>4.7984009213936371E-3</v>
      </c>
      <c r="U58" s="72">
        <f t="shared" si="49"/>
        <v>4.83925921981097E-3</v>
      </c>
      <c r="V58" s="72">
        <f t="shared" si="49"/>
        <v>5.0497781494302472E-3</v>
      </c>
      <c r="W58" s="72">
        <f t="shared" si="49"/>
        <v>4.6906713609087825E-3</v>
      </c>
      <c r="X58" s="72">
        <f t="shared" ref="X58:Y58" si="50">IF(X50=0,0,X50/X$47)</f>
        <v>4.6616468010174071E-3</v>
      </c>
      <c r="Y58" s="72">
        <f t="shared" si="50"/>
        <v>4.5060202744041317E-3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0.1052525069450173</v>
      </c>
      <c r="C59" s="72">
        <f t="shared" ref="C59:W59" si="52">IF(C51=0,0,C51/C$47)</f>
        <v>0.10534999506042515</v>
      </c>
      <c r="D59" s="72">
        <f t="shared" si="52"/>
        <v>0.1034247271691882</v>
      </c>
      <c r="E59" s="72">
        <f t="shared" si="52"/>
        <v>9.6968797291592621E-2</v>
      </c>
      <c r="F59" s="72">
        <f t="shared" si="52"/>
        <v>9.8210302545988226E-2</v>
      </c>
      <c r="G59" s="72">
        <f t="shared" si="52"/>
        <v>9.4194675982399501E-2</v>
      </c>
      <c r="H59" s="72">
        <f t="shared" si="52"/>
        <v>8.9652227443516669E-2</v>
      </c>
      <c r="I59" s="72">
        <f t="shared" si="52"/>
        <v>9.046930285311712E-2</v>
      </c>
      <c r="J59" s="72">
        <f t="shared" si="52"/>
        <v>8.6887575699353972E-2</v>
      </c>
      <c r="K59" s="72">
        <f t="shared" si="52"/>
        <v>9.5939040222649943E-2</v>
      </c>
      <c r="L59" s="72">
        <f t="shared" si="52"/>
        <v>9.6341371989652008E-2</v>
      </c>
      <c r="M59" s="72">
        <f t="shared" si="52"/>
        <v>9.8068904461058315E-2</v>
      </c>
      <c r="N59" s="72">
        <f t="shared" si="52"/>
        <v>9.7151787010205382E-2</v>
      </c>
      <c r="O59" s="72">
        <f t="shared" si="52"/>
        <v>9.4998393809081372E-2</v>
      </c>
      <c r="P59" s="72">
        <f t="shared" si="52"/>
        <v>0.10067063690650475</v>
      </c>
      <c r="Q59" s="72">
        <f t="shared" si="52"/>
        <v>9.6217711072602102E-2</v>
      </c>
      <c r="R59" s="72">
        <f t="shared" si="52"/>
        <v>9.4981537471290983E-2</v>
      </c>
      <c r="S59" s="72">
        <f t="shared" si="52"/>
        <v>9.5117040308663275E-2</v>
      </c>
      <c r="T59" s="72">
        <f t="shared" si="52"/>
        <v>8.6363270083993179E-2</v>
      </c>
      <c r="U59" s="72">
        <f t="shared" si="52"/>
        <v>8.4764825856780898E-2</v>
      </c>
      <c r="V59" s="72">
        <f t="shared" si="52"/>
        <v>8.5441027992945173E-2</v>
      </c>
      <c r="W59" s="72">
        <f t="shared" si="52"/>
        <v>8.5944290355527697E-2</v>
      </c>
      <c r="X59" s="72">
        <f t="shared" ref="X59:Y59" si="53">IF(X51=0,0,X51/X$47)</f>
        <v>7.9257773279330923E-2</v>
      </c>
      <c r="Y59" s="72">
        <f t="shared" si="53"/>
        <v>7.3355684071682248E-2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0.10028387108661826</v>
      </c>
      <c r="C60" s="73">
        <f t="shared" ref="C60:W60" si="55">IF(C52=0,0,C52/C$47)</f>
        <v>0.10056061057305336</v>
      </c>
      <c r="D60" s="73">
        <f t="shared" si="55"/>
        <v>9.9176741837078974E-2</v>
      </c>
      <c r="E60" s="73">
        <f t="shared" si="55"/>
        <v>9.4918698840324001E-2</v>
      </c>
      <c r="F60" s="73">
        <f t="shared" si="55"/>
        <v>9.7761011371944317E-2</v>
      </c>
      <c r="G60" s="73">
        <f t="shared" si="55"/>
        <v>9.5711832882362569E-2</v>
      </c>
      <c r="H60" s="73">
        <f t="shared" si="55"/>
        <v>9.2655219619103585E-2</v>
      </c>
      <c r="I60" s="73">
        <f t="shared" si="55"/>
        <v>9.470184641342122E-2</v>
      </c>
      <c r="J60" s="73">
        <f t="shared" si="55"/>
        <v>9.4207527928074256E-2</v>
      </c>
      <c r="K60" s="73">
        <f t="shared" si="55"/>
        <v>9.2811010062154545E-2</v>
      </c>
      <c r="L60" s="73">
        <f t="shared" si="55"/>
        <v>9.6838520786566573E-2</v>
      </c>
      <c r="M60" s="73">
        <f t="shared" si="55"/>
        <v>0.10317774124748527</v>
      </c>
      <c r="N60" s="73">
        <f t="shared" si="55"/>
        <v>0.10365281210997908</v>
      </c>
      <c r="O60" s="73">
        <f t="shared" si="55"/>
        <v>0.1051800169265162</v>
      </c>
      <c r="P60" s="73">
        <f t="shared" si="55"/>
        <v>0.10780764662295694</v>
      </c>
      <c r="Q60" s="73">
        <f t="shared" si="55"/>
        <v>0.10271877426089246</v>
      </c>
      <c r="R60" s="73">
        <f t="shared" si="55"/>
        <v>0.10224773976013031</v>
      </c>
      <c r="S60" s="73">
        <f t="shared" si="55"/>
        <v>0.1048820241769253</v>
      </c>
      <c r="T60" s="73">
        <f t="shared" si="55"/>
        <v>9.7484269571423907E-2</v>
      </c>
      <c r="U60" s="73">
        <f t="shared" si="55"/>
        <v>9.6929292364513558E-2</v>
      </c>
      <c r="V60" s="73">
        <f t="shared" si="55"/>
        <v>9.6013717536017534E-2</v>
      </c>
      <c r="W60" s="73">
        <f t="shared" si="55"/>
        <v>0.10212374139527237</v>
      </c>
      <c r="X60" s="73">
        <f t="shared" ref="X60:Y60" si="56">IF(X52=0,0,X52/X$47)</f>
        <v>9.6304910418026912E-2</v>
      </c>
      <c r="Y60" s="73">
        <f t="shared" si="56"/>
        <v>9.2017505513777867E-2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0.19765346983816806</v>
      </c>
      <c r="C61" s="70">
        <f t="shared" ref="C61:W61" si="58">IF(C53=0,0,C53/C$47)</f>
        <v>0.203346976441935</v>
      </c>
      <c r="D61" s="70">
        <f t="shared" si="58"/>
        <v>0.21260853795440932</v>
      </c>
      <c r="E61" s="70">
        <f t="shared" si="58"/>
        <v>0.21102976900462264</v>
      </c>
      <c r="F61" s="70">
        <f t="shared" si="58"/>
        <v>0.22519473982489657</v>
      </c>
      <c r="G61" s="70">
        <f t="shared" si="58"/>
        <v>0.22137856055566291</v>
      </c>
      <c r="H61" s="70">
        <f t="shared" si="58"/>
        <v>0.21766527497338153</v>
      </c>
      <c r="I61" s="70">
        <f t="shared" si="58"/>
        <v>0.22489735032496158</v>
      </c>
      <c r="J61" s="70">
        <f t="shared" si="58"/>
        <v>0.22134700123792558</v>
      </c>
      <c r="K61" s="70">
        <f t="shared" si="58"/>
        <v>0.24468861833409081</v>
      </c>
      <c r="L61" s="70">
        <f t="shared" si="58"/>
        <v>0.24533550755989456</v>
      </c>
      <c r="M61" s="70">
        <f t="shared" si="58"/>
        <v>0.25304520500687416</v>
      </c>
      <c r="N61" s="70">
        <f t="shared" si="58"/>
        <v>0.25327413828979739</v>
      </c>
      <c r="O61" s="70">
        <f t="shared" si="58"/>
        <v>0.25053603150554954</v>
      </c>
      <c r="P61" s="70">
        <f t="shared" si="58"/>
        <v>0.26721449404845365</v>
      </c>
      <c r="Q61" s="70">
        <f t="shared" si="58"/>
        <v>0.25159945224567187</v>
      </c>
      <c r="R61" s="70">
        <f t="shared" si="58"/>
        <v>0.26747046617914932</v>
      </c>
      <c r="S61" s="70">
        <f t="shared" si="58"/>
        <v>0.28661961077236481</v>
      </c>
      <c r="T61" s="70">
        <f t="shared" si="58"/>
        <v>0.28044299062638345</v>
      </c>
      <c r="U61" s="70">
        <f t="shared" si="58"/>
        <v>0.28577356771446022</v>
      </c>
      <c r="V61" s="70">
        <f t="shared" si="58"/>
        <v>0.33383219350917215</v>
      </c>
      <c r="W61" s="70">
        <f t="shared" si="58"/>
        <v>0.36314475767920162</v>
      </c>
      <c r="X61" s="70">
        <f t="shared" ref="X61:Y61" si="59">IF(X53=0,0,X53/X$47)</f>
        <v>0.40073430180917496</v>
      </c>
      <c r="Y61" s="70">
        <f t="shared" si="59"/>
        <v>0.43707965813041366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1864.3820967243792</v>
      </c>
      <c r="C65" s="80">
        <v>1822.8735736654689</v>
      </c>
      <c r="D65" s="80">
        <v>1735.2738067628525</v>
      </c>
      <c r="E65" s="80">
        <v>1789.2883010018904</v>
      </c>
      <c r="F65" s="80">
        <v>1703.1218823226966</v>
      </c>
      <c r="G65" s="80">
        <v>1739.2919951295423</v>
      </c>
      <c r="H65" s="80">
        <v>1722.9790002099262</v>
      </c>
      <c r="I65" s="80">
        <v>1666.5940538892003</v>
      </c>
      <c r="J65" s="80">
        <v>1719.4618939019999</v>
      </c>
      <c r="K65" s="80">
        <v>1380.4065536400001</v>
      </c>
      <c r="L65" s="80">
        <v>1495.0498172400003</v>
      </c>
      <c r="M65" s="80">
        <v>1364.3561664000001</v>
      </c>
      <c r="N65" s="80">
        <v>1424.8408067999999</v>
      </c>
      <c r="O65" s="80">
        <v>1525.2398514000001</v>
      </c>
      <c r="P65" s="80">
        <v>1414.7352187199999</v>
      </c>
      <c r="Q65" s="80">
        <v>1553.5215612000002</v>
      </c>
      <c r="R65" s="80">
        <v>1466.0859790799998</v>
      </c>
      <c r="S65" s="80">
        <v>1404.6573812399999</v>
      </c>
      <c r="T65" s="80">
        <v>1527.6146572799998</v>
      </c>
      <c r="U65" s="80">
        <v>1517.7580578000002</v>
      </c>
      <c r="V65" s="80">
        <v>1318.3302303738346</v>
      </c>
      <c r="W65" s="80">
        <v>1388.0882824561711</v>
      </c>
      <c r="X65" s="80">
        <v>1378.6197855087369</v>
      </c>
      <c r="Y65" s="80">
        <v>1332.7062317912741</v>
      </c>
      <c r="DA65" s="103" t="s">
        <v>219</v>
      </c>
    </row>
    <row r="66" spans="1:105" ht="12" customHeight="1" x14ac:dyDescent="0.25">
      <c r="A66" s="58" t="s">
        <v>29</v>
      </c>
      <c r="B66" s="59">
        <v>17.93267660437904</v>
      </c>
      <c r="C66" s="59">
        <v>19.953540225468405</v>
      </c>
      <c r="D66" s="59">
        <v>13.969332642852613</v>
      </c>
      <c r="E66" s="59">
        <v>110.98098128189049</v>
      </c>
      <c r="F66" s="59">
        <v>106.93170020269659</v>
      </c>
      <c r="G66" s="59">
        <v>107.90321728954237</v>
      </c>
      <c r="H66" s="59">
        <v>107.51075004992589</v>
      </c>
      <c r="I66" s="59">
        <v>105.73964764920001</v>
      </c>
      <c r="J66" s="59">
        <v>105.724076982</v>
      </c>
      <c r="K66" s="59">
        <v>2.5467076799999999</v>
      </c>
      <c r="L66" s="59">
        <v>3.9133749600000001</v>
      </c>
      <c r="M66" s="59">
        <v>4.9667270399999994</v>
      </c>
      <c r="N66" s="59">
        <v>2.1594909600000003</v>
      </c>
      <c r="O66" s="59">
        <v>1.8723988800000004</v>
      </c>
      <c r="P66" s="59">
        <v>1.10886336</v>
      </c>
      <c r="Q66" s="59">
        <v>1.1061388800000003</v>
      </c>
      <c r="R66" s="59">
        <v>2.4070780799999998</v>
      </c>
      <c r="S66" s="59">
        <v>2.1199860000000004</v>
      </c>
      <c r="T66" s="59">
        <v>2.2146616799999999</v>
      </c>
      <c r="U66" s="59">
        <v>1.7984973599999998</v>
      </c>
      <c r="V66" s="59">
        <v>0.71619767999999995</v>
      </c>
      <c r="W66" s="59">
        <v>0.77954184000000026</v>
      </c>
      <c r="X66" s="59">
        <v>0.84016152000000011</v>
      </c>
      <c r="Y66" s="59">
        <v>0.84016152000000011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1158.9775801199999</v>
      </c>
      <c r="C67" s="55">
        <f t="shared" ref="C67:W67" si="60">SUM(C68:C69)</f>
        <v>1127.7027223200002</v>
      </c>
      <c r="D67" s="55">
        <f t="shared" si="60"/>
        <v>1077.5547525599998</v>
      </c>
      <c r="E67" s="55">
        <f t="shared" si="60"/>
        <v>1023.1801815599999</v>
      </c>
      <c r="F67" s="55">
        <f t="shared" si="60"/>
        <v>935.07048683999983</v>
      </c>
      <c r="G67" s="55">
        <f t="shared" si="60"/>
        <v>967.06074599999999</v>
      </c>
      <c r="H67" s="55">
        <f t="shared" si="60"/>
        <v>889.32107016000009</v>
      </c>
      <c r="I67" s="55">
        <f t="shared" si="60"/>
        <v>819.64747295999996</v>
      </c>
      <c r="J67" s="55">
        <f t="shared" si="60"/>
        <v>851.39294219999999</v>
      </c>
      <c r="K67" s="55">
        <f t="shared" si="60"/>
        <v>664.78715243999989</v>
      </c>
      <c r="L67" s="55">
        <f t="shared" si="60"/>
        <v>699.56694576000007</v>
      </c>
      <c r="M67" s="55">
        <f t="shared" si="60"/>
        <v>638.94338819999996</v>
      </c>
      <c r="N67" s="55">
        <f t="shared" si="60"/>
        <v>612.14757336000014</v>
      </c>
      <c r="O67" s="55">
        <f t="shared" si="60"/>
        <v>745.15256100000011</v>
      </c>
      <c r="P67" s="55">
        <f t="shared" si="60"/>
        <v>678.28434048000008</v>
      </c>
      <c r="Q67" s="55">
        <f t="shared" si="60"/>
        <v>725.14767816000017</v>
      </c>
      <c r="R67" s="55">
        <f t="shared" si="60"/>
        <v>671.89068179999981</v>
      </c>
      <c r="S67" s="55">
        <f t="shared" si="60"/>
        <v>637.77909851999993</v>
      </c>
      <c r="T67" s="55">
        <f t="shared" si="60"/>
        <v>691.72305084000004</v>
      </c>
      <c r="U67" s="55">
        <f t="shared" si="60"/>
        <v>646.94708820000005</v>
      </c>
      <c r="V67" s="55">
        <f t="shared" si="60"/>
        <v>562.60516247999999</v>
      </c>
      <c r="W67" s="55">
        <f t="shared" si="60"/>
        <v>567.47021868000002</v>
      </c>
      <c r="X67" s="55">
        <f t="shared" ref="X67:Y67" si="61">SUM(X68:X69)</f>
        <v>568.10951460000001</v>
      </c>
      <c r="Y67" s="55">
        <f t="shared" si="61"/>
        <v>567.48717432000012</v>
      </c>
      <c r="DA67" s="101"/>
    </row>
    <row r="68" spans="1:105" ht="12" customHeight="1" x14ac:dyDescent="0.25">
      <c r="A68" s="61" t="s">
        <v>52</v>
      </c>
      <c r="B68" s="55">
        <v>105.81339959999998</v>
      </c>
      <c r="C68" s="55">
        <v>118.57842864000003</v>
      </c>
      <c r="D68" s="55">
        <v>121.94085096000002</v>
      </c>
      <c r="E68" s="55">
        <v>129.57001956000002</v>
      </c>
      <c r="F68" s="55">
        <v>141.47820108000002</v>
      </c>
      <c r="G68" s="55">
        <v>168.93639324</v>
      </c>
      <c r="H68" s="55">
        <v>176.51808540000002</v>
      </c>
      <c r="I68" s="55">
        <v>186.80161860000004</v>
      </c>
      <c r="J68" s="55">
        <v>212.91797664000001</v>
      </c>
      <c r="K68" s="55">
        <v>153.64807092000001</v>
      </c>
      <c r="L68" s="55">
        <v>198.16825068000006</v>
      </c>
      <c r="M68" s="55">
        <v>196.68353292</v>
      </c>
      <c r="N68" s="55">
        <v>185.03408664000003</v>
      </c>
      <c r="O68" s="55">
        <v>215.98281936000001</v>
      </c>
      <c r="P68" s="55">
        <v>169.63877196000001</v>
      </c>
      <c r="Q68" s="55">
        <v>182.61210672000004</v>
      </c>
      <c r="R68" s="55">
        <v>155.00489759999999</v>
      </c>
      <c r="S68" s="55">
        <v>160.55123616</v>
      </c>
      <c r="T68" s="55">
        <v>175.68486252000002</v>
      </c>
      <c r="U68" s="55">
        <v>175.08675024000001</v>
      </c>
      <c r="V68" s="55">
        <v>141.28761384000001</v>
      </c>
      <c r="W68" s="55">
        <v>160.05716316000002</v>
      </c>
      <c r="X68" s="55">
        <v>168.64153955999998</v>
      </c>
      <c r="Y68" s="55">
        <v>183.63546252000003</v>
      </c>
      <c r="DA68" s="101" t="s">
        <v>221</v>
      </c>
    </row>
    <row r="69" spans="1:105" ht="12" customHeight="1" x14ac:dyDescent="0.25">
      <c r="A69" s="61" t="s">
        <v>163</v>
      </c>
      <c r="B69" s="55">
        <v>1053.1641805199999</v>
      </c>
      <c r="C69" s="55">
        <v>1009.1242936800002</v>
      </c>
      <c r="D69" s="55">
        <v>955.61390159999974</v>
      </c>
      <c r="E69" s="55">
        <v>893.61016199999995</v>
      </c>
      <c r="F69" s="55">
        <v>793.59228575999987</v>
      </c>
      <c r="G69" s="55">
        <v>798.12435275999997</v>
      </c>
      <c r="H69" s="55">
        <v>712.80298476000007</v>
      </c>
      <c r="I69" s="55">
        <v>632.84585435999998</v>
      </c>
      <c r="J69" s="55">
        <v>638.47496555999999</v>
      </c>
      <c r="K69" s="55">
        <v>511.13908151999988</v>
      </c>
      <c r="L69" s="55">
        <v>501.39869508000004</v>
      </c>
      <c r="M69" s="55">
        <v>442.25985527999995</v>
      </c>
      <c r="N69" s="55">
        <v>427.11348672000008</v>
      </c>
      <c r="O69" s="55">
        <v>529.1697416400001</v>
      </c>
      <c r="P69" s="55">
        <v>508.6455685200001</v>
      </c>
      <c r="Q69" s="55">
        <v>542.53557144000013</v>
      </c>
      <c r="R69" s="55">
        <v>516.88578419999976</v>
      </c>
      <c r="S69" s="55">
        <v>477.2278623599999</v>
      </c>
      <c r="T69" s="55">
        <v>516.03818832000002</v>
      </c>
      <c r="U69" s="55">
        <v>471.86033796000004</v>
      </c>
      <c r="V69" s="55">
        <v>421.31754863999998</v>
      </c>
      <c r="W69" s="55">
        <v>407.41305552</v>
      </c>
      <c r="X69" s="55">
        <v>399.46797504000006</v>
      </c>
      <c r="Y69" s="55">
        <v>383.85171180000009</v>
      </c>
      <c r="DA69" s="101" t="s">
        <v>222</v>
      </c>
    </row>
    <row r="70" spans="1:105" ht="12" customHeight="1" x14ac:dyDescent="0.25">
      <c r="A70" s="60" t="s">
        <v>149</v>
      </c>
      <c r="B70" s="55">
        <v>687.47184000000004</v>
      </c>
      <c r="C70" s="55">
        <v>675.21731112000009</v>
      </c>
      <c r="D70" s="55">
        <v>643.74972156000001</v>
      </c>
      <c r="E70" s="55">
        <v>655.12713816000007</v>
      </c>
      <c r="F70" s="55">
        <v>661.11969528000009</v>
      </c>
      <c r="G70" s="55">
        <v>664.32803183999999</v>
      </c>
      <c r="H70" s="55">
        <v>726.14718000000016</v>
      </c>
      <c r="I70" s="55">
        <v>741.20693328000016</v>
      </c>
      <c r="J70" s="55">
        <v>762.34487471999989</v>
      </c>
      <c r="K70" s="55">
        <v>713.07269352000014</v>
      </c>
      <c r="L70" s="55">
        <v>791.56949652000003</v>
      </c>
      <c r="M70" s="55">
        <v>720.44605116000014</v>
      </c>
      <c r="N70" s="55">
        <v>810.53374247999989</v>
      </c>
      <c r="O70" s="55">
        <v>778.21489152000015</v>
      </c>
      <c r="P70" s="55">
        <v>735.34201487999985</v>
      </c>
      <c r="Q70" s="55">
        <v>827.26774416000001</v>
      </c>
      <c r="R70" s="55">
        <v>791.78821919999996</v>
      </c>
      <c r="S70" s="55">
        <v>764.75829671999998</v>
      </c>
      <c r="T70" s="55">
        <v>833.67694475999997</v>
      </c>
      <c r="U70" s="55">
        <v>869.01247224000008</v>
      </c>
      <c r="V70" s="55">
        <v>755.00887021383448</v>
      </c>
      <c r="W70" s="55">
        <v>819.83852193617111</v>
      </c>
      <c r="X70" s="55">
        <v>809.67010938873682</v>
      </c>
      <c r="Y70" s="55">
        <v>764.37889595127388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62">SUM(C72:C76)</f>
        <v>0</v>
      </c>
      <c r="D71" s="55">
        <f t="shared" si="62"/>
        <v>0</v>
      </c>
      <c r="E71" s="55">
        <f t="shared" si="62"/>
        <v>0</v>
      </c>
      <c r="F71" s="55">
        <f t="shared" si="62"/>
        <v>0</v>
      </c>
      <c r="G71" s="55">
        <f t="shared" si="62"/>
        <v>0</v>
      </c>
      <c r="H71" s="55">
        <f t="shared" si="62"/>
        <v>0</v>
      </c>
      <c r="I71" s="55">
        <f t="shared" si="62"/>
        <v>0</v>
      </c>
      <c r="J71" s="55">
        <f t="shared" si="62"/>
        <v>0</v>
      </c>
      <c r="K71" s="55">
        <f t="shared" si="62"/>
        <v>0</v>
      </c>
      <c r="L71" s="55">
        <f t="shared" si="62"/>
        <v>0</v>
      </c>
      <c r="M71" s="55">
        <f t="shared" si="62"/>
        <v>0</v>
      </c>
      <c r="N71" s="55">
        <f t="shared" si="62"/>
        <v>0</v>
      </c>
      <c r="O71" s="55">
        <f t="shared" si="62"/>
        <v>0</v>
      </c>
      <c r="P71" s="55">
        <f t="shared" si="62"/>
        <v>0</v>
      </c>
      <c r="Q71" s="55">
        <f t="shared" si="62"/>
        <v>0</v>
      </c>
      <c r="R71" s="55">
        <f t="shared" si="62"/>
        <v>0</v>
      </c>
      <c r="S71" s="55">
        <f t="shared" si="62"/>
        <v>0</v>
      </c>
      <c r="T71" s="55">
        <f t="shared" si="62"/>
        <v>0</v>
      </c>
      <c r="U71" s="55">
        <f t="shared" si="62"/>
        <v>0</v>
      </c>
      <c r="V71" s="55">
        <f t="shared" si="62"/>
        <v>0</v>
      </c>
      <c r="W71" s="55">
        <f t="shared" si="62"/>
        <v>0</v>
      </c>
      <c r="X71" s="55">
        <f t="shared" ref="X71:Y71" si="63">SUM(X72:X76)</f>
        <v>0</v>
      </c>
      <c r="Y71" s="55">
        <f t="shared" si="63"/>
        <v>0</v>
      </c>
      <c r="DA71" s="101"/>
    </row>
    <row r="72" spans="1:105" ht="12" customHeight="1" x14ac:dyDescent="0.25">
      <c r="A72" s="61" t="s">
        <v>164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1864.3820967243792</v>
      </c>
      <c r="C81" s="82">
        <f t="shared" ref="C81:W81" si="65">C82+C87</f>
        <v>1822.8735736654687</v>
      </c>
      <c r="D81" s="82">
        <f t="shared" si="65"/>
        <v>1735.273806762852</v>
      </c>
      <c r="E81" s="82">
        <f t="shared" si="65"/>
        <v>1789.2883010018907</v>
      </c>
      <c r="F81" s="82">
        <f t="shared" si="65"/>
        <v>1703.1218823226966</v>
      </c>
      <c r="G81" s="82">
        <f t="shared" si="65"/>
        <v>1739.2919951295426</v>
      </c>
      <c r="H81" s="82">
        <f t="shared" si="65"/>
        <v>1722.9790002099264</v>
      </c>
      <c r="I81" s="82">
        <f t="shared" si="65"/>
        <v>1666.5940538892005</v>
      </c>
      <c r="J81" s="82">
        <f t="shared" si="65"/>
        <v>1719.4618939019995</v>
      </c>
      <c r="K81" s="82">
        <f t="shared" si="65"/>
        <v>1380.4065536400001</v>
      </c>
      <c r="L81" s="82">
        <f t="shared" si="65"/>
        <v>1495.0498172400007</v>
      </c>
      <c r="M81" s="82">
        <f t="shared" si="65"/>
        <v>1364.3561664000001</v>
      </c>
      <c r="N81" s="82">
        <f t="shared" si="65"/>
        <v>1424.8408067999999</v>
      </c>
      <c r="O81" s="82">
        <f t="shared" si="65"/>
        <v>1525.2398514000001</v>
      </c>
      <c r="P81" s="82">
        <f t="shared" si="65"/>
        <v>1414.7352187200001</v>
      </c>
      <c r="Q81" s="82">
        <f t="shared" si="65"/>
        <v>1553.5215612000004</v>
      </c>
      <c r="R81" s="82">
        <f t="shared" si="65"/>
        <v>1466.0859790799998</v>
      </c>
      <c r="S81" s="82">
        <f t="shared" si="65"/>
        <v>1404.657381239999</v>
      </c>
      <c r="T81" s="82">
        <f t="shared" si="65"/>
        <v>1527.6146572800008</v>
      </c>
      <c r="U81" s="82">
        <f t="shared" si="65"/>
        <v>1517.7580578000002</v>
      </c>
      <c r="V81" s="82">
        <f t="shared" si="65"/>
        <v>1318.3302303738342</v>
      </c>
      <c r="W81" s="82">
        <f t="shared" si="65"/>
        <v>1388.08828245617</v>
      </c>
      <c r="X81" s="82">
        <f t="shared" ref="X81:Y81" si="66">X82+X87</f>
        <v>1378.6197855087382</v>
      </c>
      <c r="Y81" s="82">
        <f t="shared" si="66"/>
        <v>1332.7062317912741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1864.3820967243792</v>
      </c>
      <c r="C82" s="64">
        <f t="shared" ref="C82:W82" si="68">SUM(C83:C86)</f>
        <v>1822.8735736654687</v>
      </c>
      <c r="D82" s="64">
        <f t="shared" si="68"/>
        <v>1735.273806762852</v>
      </c>
      <c r="E82" s="64">
        <f t="shared" si="68"/>
        <v>1789.2883010018907</v>
      </c>
      <c r="F82" s="64">
        <f t="shared" si="68"/>
        <v>1703.1218823226966</v>
      </c>
      <c r="G82" s="64">
        <f t="shared" si="68"/>
        <v>1739.2919951295426</v>
      </c>
      <c r="H82" s="64">
        <f t="shared" si="68"/>
        <v>1722.9790002099264</v>
      </c>
      <c r="I82" s="64">
        <f t="shared" si="68"/>
        <v>1666.5940538892005</v>
      </c>
      <c r="J82" s="64">
        <f t="shared" si="68"/>
        <v>1719.4618939019995</v>
      </c>
      <c r="K82" s="64">
        <f t="shared" si="68"/>
        <v>1380.4065536400001</v>
      </c>
      <c r="L82" s="64">
        <f t="shared" si="68"/>
        <v>1495.0498172400007</v>
      </c>
      <c r="M82" s="64">
        <f t="shared" si="68"/>
        <v>1364.3561664000001</v>
      </c>
      <c r="N82" s="64">
        <f t="shared" si="68"/>
        <v>1424.8408067999999</v>
      </c>
      <c r="O82" s="64">
        <f t="shared" si="68"/>
        <v>1525.2398514000001</v>
      </c>
      <c r="P82" s="64">
        <f t="shared" si="68"/>
        <v>1414.7352187200001</v>
      </c>
      <c r="Q82" s="64">
        <f t="shared" si="68"/>
        <v>1553.5215612000004</v>
      </c>
      <c r="R82" s="64">
        <f t="shared" si="68"/>
        <v>1466.0859790799998</v>
      </c>
      <c r="S82" s="64">
        <f t="shared" si="68"/>
        <v>1404.657381239999</v>
      </c>
      <c r="T82" s="64">
        <f t="shared" si="68"/>
        <v>1527.6146572800008</v>
      </c>
      <c r="U82" s="64">
        <f t="shared" si="68"/>
        <v>1517.7580578000002</v>
      </c>
      <c r="V82" s="64">
        <f t="shared" si="68"/>
        <v>1318.3302303738342</v>
      </c>
      <c r="W82" s="64">
        <f t="shared" si="68"/>
        <v>1388.08828245617</v>
      </c>
      <c r="X82" s="64">
        <f t="shared" ref="X82:Y82" si="69">SUM(X83:X86)</f>
        <v>1378.6197855087382</v>
      </c>
      <c r="Y82" s="64">
        <f t="shared" si="69"/>
        <v>1332.7062317912741</v>
      </c>
      <c r="DA82" s="108" t="s">
        <v>233</v>
      </c>
    </row>
    <row r="83" spans="1:105" ht="12" customHeight="1" x14ac:dyDescent="0.25">
      <c r="A83" s="61" t="s">
        <v>32</v>
      </c>
      <c r="B83" s="65">
        <v>1526.8106965970192</v>
      </c>
      <c r="C83" s="65">
        <v>1471.9915825902954</v>
      </c>
      <c r="D83" s="65">
        <v>1385.6505730863573</v>
      </c>
      <c r="E83" s="65">
        <v>1441.7730466227242</v>
      </c>
      <c r="F83" s="65">
        <v>1343.8321134125122</v>
      </c>
      <c r="G83" s="65">
        <v>1358.5200434516178</v>
      </c>
      <c r="H83" s="65">
        <v>1340.5784586774851</v>
      </c>
      <c r="I83" s="65">
        <v>1275.8757289582491</v>
      </c>
      <c r="J83" s="65">
        <v>1303.5750933547497</v>
      </c>
      <c r="K83" s="65">
        <v>1021.8481843433761</v>
      </c>
      <c r="L83" s="65">
        <v>1084.9788217631221</v>
      </c>
      <c r="M83" s="65">
        <v>965.93526262819705</v>
      </c>
      <c r="N83" s="65">
        <v>1032.0325044911865</v>
      </c>
      <c r="O83" s="65">
        <v>1100.8276435009216</v>
      </c>
      <c r="P83" s="65">
        <v>1032.7997951130005</v>
      </c>
      <c r="Q83" s="65">
        <v>1153.2356293629939</v>
      </c>
      <c r="R83" s="65">
        <v>1101.1801004888316</v>
      </c>
      <c r="S83" s="65">
        <v>1037.2024908789717</v>
      </c>
      <c r="T83" s="65">
        <v>1155.9092524116502</v>
      </c>
      <c r="U83" s="65">
        <v>1147.0670583596818</v>
      </c>
      <c r="V83" s="65">
        <v>1021.7487618721286</v>
      </c>
      <c r="W83" s="65">
        <v>1028.7003382761686</v>
      </c>
      <c r="X83" s="65">
        <v>1011.3331783683009</v>
      </c>
      <c r="Y83" s="65">
        <v>954.29834262183329</v>
      </c>
      <c r="DA83" s="109" t="s">
        <v>234</v>
      </c>
    </row>
    <row r="84" spans="1:105" ht="12" customHeight="1" x14ac:dyDescent="0.25">
      <c r="A84" s="61" t="s">
        <v>31</v>
      </c>
      <c r="B84" s="65">
        <v>5.4121199057509582E-2</v>
      </c>
      <c r="C84" s="65">
        <v>6.1478722448033478E-2</v>
      </c>
      <c r="D84" s="65">
        <v>7.230782424379556E-2</v>
      </c>
      <c r="E84" s="65">
        <v>7.1560478235954211E-2</v>
      </c>
      <c r="F84" s="65">
        <v>8.8281848027470508E-2</v>
      </c>
      <c r="G84" s="65">
        <v>0.10180600848020423</v>
      </c>
      <c r="H84" s="65">
        <v>0.13036026298074932</v>
      </c>
      <c r="I84" s="65">
        <v>0.14267900651816162</v>
      </c>
      <c r="J84" s="65">
        <v>0.14712430160607276</v>
      </c>
      <c r="K84" s="65">
        <v>0.1634959289194948</v>
      </c>
      <c r="L84" s="65">
        <v>0.17683449858067427</v>
      </c>
      <c r="M84" s="65">
        <v>0.19100147959873859</v>
      </c>
      <c r="N84" s="65">
        <v>0.21972411984487478</v>
      </c>
      <c r="O84" s="65">
        <v>0.26954294494188658</v>
      </c>
      <c r="P84" s="65">
        <v>0.35809183228681496</v>
      </c>
      <c r="Q84" s="65">
        <v>0.49059243113740519</v>
      </c>
      <c r="R84" s="65">
        <v>0.61023903426732229</v>
      </c>
      <c r="S84" s="65">
        <v>0.70603631048699145</v>
      </c>
      <c r="T84" s="65">
        <v>0.77694616166036434</v>
      </c>
      <c r="U84" s="65">
        <v>0.84932822788783091</v>
      </c>
      <c r="V84" s="65">
        <v>0.82937040096220382</v>
      </c>
      <c r="W84" s="65">
        <v>0.82320494761675767</v>
      </c>
      <c r="X84" s="65">
        <v>0.92838110206638835</v>
      </c>
      <c r="Y84" s="65">
        <v>0.96188648324257164</v>
      </c>
      <c r="DA84" s="109" t="s">
        <v>235</v>
      </c>
    </row>
    <row r="85" spans="1:105" ht="12" customHeight="1" x14ac:dyDescent="0.25">
      <c r="A85" s="61" t="s">
        <v>35</v>
      </c>
      <c r="B85" s="65">
        <v>175.93173280277222</v>
      </c>
      <c r="C85" s="65">
        <v>178.08793379089116</v>
      </c>
      <c r="D85" s="65">
        <v>175.74533930304213</v>
      </c>
      <c r="E85" s="65">
        <v>168.06333351712999</v>
      </c>
      <c r="F85" s="65">
        <v>167.63204752167709</v>
      </c>
      <c r="G85" s="65">
        <v>161.88871542247711</v>
      </c>
      <c r="H85" s="65">
        <v>155.77239677418791</v>
      </c>
      <c r="I85" s="65">
        <v>154.42894063092214</v>
      </c>
      <c r="J85" s="65">
        <v>153.40689221982484</v>
      </c>
      <c r="K85" s="65">
        <v>153.27874078096912</v>
      </c>
      <c r="L85" s="65">
        <v>158.12238414691166</v>
      </c>
      <c r="M85" s="65">
        <v>152.02502398149602</v>
      </c>
      <c r="N85" s="65">
        <v>154.85196291904859</v>
      </c>
      <c r="O85" s="65">
        <v>155.13000415042384</v>
      </c>
      <c r="P85" s="65">
        <v>158.86848890261109</v>
      </c>
      <c r="Q85" s="65">
        <v>159.63410683330417</v>
      </c>
      <c r="R85" s="65">
        <v>154.1854660809361</v>
      </c>
      <c r="S85" s="65">
        <v>153.71208479126301</v>
      </c>
      <c r="T85" s="65">
        <v>142.03043709293442</v>
      </c>
      <c r="U85" s="65">
        <v>139.889541158127</v>
      </c>
      <c r="V85" s="65">
        <v>111.63888538087198</v>
      </c>
      <c r="W85" s="65">
        <v>136.04979180550734</v>
      </c>
      <c r="X85" s="65">
        <v>136.71061541520709</v>
      </c>
      <c r="Y85" s="65">
        <v>134.14704488041781</v>
      </c>
      <c r="DA85" s="109" t="s">
        <v>236</v>
      </c>
    </row>
    <row r="86" spans="1:105" ht="12" customHeight="1" x14ac:dyDescent="0.25">
      <c r="A86" s="66" t="s">
        <v>34</v>
      </c>
      <c r="B86" s="67">
        <v>161.58554612553002</v>
      </c>
      <c r="C86" s="67">
        <v>172.73257856183412</v>
      </c>
      <c r="D86" s="67">
        <v>173.80558654920884</v>
      </c>
      <c r="E86" s="67">
        <v>179.38036038380025</v>
      </c>
      <c r="F86" s="67">
        <v>191.56943954047992</v>
      </c>
      <c r="G86" s="67">
        <v>218.78143024696737</v>
      </c>
      <c r="H86" s="67">
        <v>226.49778449527267</v>
      </c>
      <c r="I86" s="67">
        <v>236.14670529351099</v>
      </c>
      <c r="J86" s="67">
        <v>262.33278402581897</v>
      </c>
      <c r="K86" s="67">
        <v>205.1161325867354</v>
      </c>
      <c r="L86" s="67">
        <v>251.77177683138615</v>
      </c>
      <c r="M86" s="67">
        <v>246.2048783107081</v>
      </c>
      <c r="N86" s="67">
        <v>237.73661526991998</v>
      </c>
      <c r="O86" s="67">
        <v>269.01266080371272</v>
      </c>
      <c r="P86" s="67">
        <v>222.7088428721018</v>
      </c>
      <c r="Q86" s="67">
        <v>240.16123257256476</v>
      </c>
      <c r="R86" s="67">
        <v>210.11017347596473</v>
      </c>
      <c r="S86" s="67">
        <v>213.03676925927749</v>
      </c>
      <c r="T86" s="67">
        <v>228.89802161375593</v>
      </c>
      <c r="U86" s="67">
        <v>229.95213005430344</v>
      </c>
      <c r="V86" s="67">
        <v>184.11321271987146</v>
      </c>
      <c r="W86" s="67">
        <v>222.51494742687748</v>
      </c>
      <c r="X86" s="67">
        <v>229.64761062316398</v>
      </c>
      <c r="Y86" s="67">
        <v>243.29895780578042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0.81893657919132823</v>
      </c>
      <c r="C91" s="71">
        <f t="shared" ref="C91:W91" si="77">IF(C83=0,0,C83/C$81)</f>
        <v>0.80751161454954157</v>
      </c>
      <c r="D91" s="71">
        <f t="shared" si="77"/>
        <v>0.79851984608197613</v>
      </c>
      <c r="E91" s="71">
        <f t="shared" si="77"/>
        <v>0.80578017852987727</v>
      </c>
      <c r="F91" s="71">
        <f t="shared" si="77"/>
        <v>0.78904048345606981</v>
      </c>
      <c r="G91" s="71">
        <f t="shared" si="77"/>
        <v>0.78107646516848084</v>
      </c>
      <c r="H91" s="71">
        <f t="shared" si="77"/>
        <v>0.77805850130161192</v>
      </c>
      <c r="I91" s="71">
        <f t="shared" si="77"/>
        <v>0.76555879098502566</v>
      </c>
      <c r="J91" s="71">
        <f t="shared" si="77"/>
        <v>0.75812967881278726</v>
      </c>
      <c r="K91" s="71">
        <f t="shared" si="77"/>
        <v>0.74025161764761271</v>
      </c>
      <c r="L91" s="71">
        <f t="shared" si="77"/>
        <v>0.72571415965662778</v>
      </c>
      <c r="M91" s="71">
        <f t="shared" si="77"/>
        <v>0.70797881551480846</v>
      </c>
      <c r="N91" s="71">
        <f t="shared" si="77"/>
        <v>0.72431425290871065</v>
      </c>
      <c r="O91" s="71">
        <f t="shared" si="77"/>
        <v>0.72174067736984748</v>
      </c>
      <c r="P91" s="71">
        <f t="shared" si="77"/>
        <v>0.73003045477827255</v>
      </c>
      <c r="Q91" s="71">
        <f t="shared" si="77"/>
        <v>0.74233641692889663</v>
      </c>
      <c r="R91" s="71">
        <f t="shared" si="77"/>
        <v>0.75110199279024936</v>
      </c>
      <c r="S91" s="71">
        <f t="shared" si="77"/>
        <v>0.73840247787923441</v>
      </c>
      <c r="T91" s="71">
        <f t="shared" si="77"/>
        <v>0.75667593715669645</v>
      </c>
      <c r="U91" s="71">
        <f t="shared" si="77"/>
        <v>0.75576410381399173</v>
      </c>
      <c r="V91" s="71">
        <f t="shared" si="77"/>
        <v>0.77503249059410173</v>
      </c>
      <c r="W91" s="71">
        <f t="shared" si="77"/>
        <v>0.74109143580977577</v>
      </c>
      <c r="X91" s="71">
        <f t="shared" ref="X91:Y91" si="78">IF(X83=0,0,X83/X$81)</f>
        <v>0.73358382709928882</v>
      </c>
      <c r="Y91" s="71">
        <f t="shared" si="78"/>
        <v>0.71606053896752064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2.9029027447001163E-5</v>
      </c>
      <c r="C92" s="72">
        <f t="shared" ref="C92:W92" si="80">IF(C84=0,0,C84/C$81)</f>
        <v>3.372626787518286E-5</v>
      </c>
      <c r="D92" s="72">
        <f t="shared" si="80"/>
        <v>4.1669403388670737E-5</v>
      </c>
      <c r="E92" s="72">
        <f t="shared" si="80"/>
        <v>3.9993822234172534E-5</v>
      </c>
      <c r="F92" s="72">
        <f t="shared" si="80"/>
        <v>5.183530840850498E-5</v>
      </c>
      <c r="G92" s="72">
        <f t="shared" si="80"/>
        <v>5.8533017322730629E-5</v>
      </c>
      <c r="H92" s="72">
        <f t="shared" si="80"/>
        <v>7.5659809530392606E-5</v>
      </c>
      <c r="I92" s="72">
        <f t="shared" si="80"/>
        <v>8.5611133788220808E-5</v>
      </c>
      <c r="J92" s="72">
        <f t="shared" si="80"/>
        <v>8.5564153604010082E-5</v>
      </c>
      <c r="K92" s="72">
        <f t="shared" si="80"/>
        <v>1.1844041778008926E-4</v>
      </c>
      <c r="L92" s="72">
        <f t="shared" si="80"/>
        <v>1.1828000414536486E-4</v>
      </c>
      <c r="M92" s="72">
        <f t="shared" si="80"/>
        <v>1.3999385519890782E-4</v>
      </c>
      <c r="N92" s="72">
        <f t="shared" si="80"/>
        <v>1.5420959225497302E-4</v>
      </c>
      <c r="O92" s="72">
        <f t="shared" si="80"/>
        <v>1.7672167737715233E-4</v>
      </c>
      <c r="P92" s="72">
        <f t="shared" si="80"/>
        <v>2.5311579689859078E-4</v>
      </c>
      <c r="Q92" s="72">
        <f t="shared" si="80"/>
        <v>3.1579377035388716E-4</v>
      </c>
      <c r="R92" s="72">
        <f t="shared" si="80"/>
        <v>4.1623686671518427E-4</v>
      </c>
      <c r="S92" s="72">
        <f t="shared" si="80"/>
        <v>5.0263951901475005E-4</v>
      </c>
      <c r="T92" s="72">
        <f t="shared" si="80"/>
        <v>5.0860088174576592E-4</v>
      </c>
      <c r="U92" s="72">
        <f t="shared" si="80"/>
        <v>5.5959395077693575E-4</v>
      </c>
      <c r="V92" s="72">
        <f t="shared" si="80"/>
        <v>6.2910671533870704E-4</v>
      </c>
      <c r="W92" s="72">
        <f t="shared" si="80"/>
        <v>5.9304941769274758E-4</v>
      </c>
      <c r="X92" s="72">
        <f t="shared" ref="X92:Y92" si="81">IF(X84=0,0,X84/X$81)</f>
        <v>6.7341344714837181E-4</v>
      </c>
      <c r="Y92" s="72">
        <f t="shared" si="81"/>
        <v>7.2175432236833755E-4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9.4364633254028232E-2</v>
      </c>
      <c r="C93" s="72">
        <f t="shared" ref="C93:W93" si="83">IF(C85=0,0,C85/C$81)</f>
        <v>9.7696261750500099E-2</v>
      </c>
      <c r="D93" s="72">
        <f t="shared" si="83"/>
        <v>0.10127816060964726</v>
      </c>
      <c r="E93" s="72">
        <f t="shared" si="83"/>
        <v>9.3927475758392276E-2</v>
      </c>
      <c r="F93" s="72">
        <f t="shared" si="83"/>
        <v>9.8426336518595239E-2</v>
      </c>
      <c r="G93" s="72">
        <f t="shared" si="83"/>
        <v>9.3077364741404225E-2</v>
      </c>
      <c r="H93" s="72">
        <f t="shared" si="83"/>
        <v>9.0408761079043165E-2</v>
      </c>
      <c r="I93" s="72">
        <f t="shared" si="83"/>
        <v>9.266140141958587E-2</v>
      </c>
      <c r="J93" s="72">
        <f t="shared" si="83"/>
        <v>8.9217965669303886E-2</v>
      </c>
      <c r="K93" s="72">
        <f t="shared" si="83"/>
        <v>0.11103883879483746</v>
      </c>
      <c r="L93" s="72">
        <f t="shared" si="83"/>
        <v>0.10576395670802469</v>
      </c>
      <c r="M93" s="72">
        <f t="shared" si="83"/>
        <v>0.11142620066916276</v>
      </c>
      <c r="N93" s="72">
        <f t="shared" si="83"/>
        <v>0.10868018530914005</v>
      </c>
      <c r="O93" s="72">
        <f t="shared" si="83"/>
        <v>0.10170859619753037</v>
      </c>
      <c r="P93" s="72">
        <f t="shared" si="83"/>
        <v>0.11229556372135091</v>
      </c>
      <c r="Q93" s="72">
        <f t="shared" si="83"/>
        <v>0.10275628663305876</v>
      </c>
      <c r="R93" s="72">
        <f t="shared" si="83"/>
        <v>0.10516809265012599</v>
      </c>
      <c r="S93" s="72">
        <f t="shared" si="83"/>
        <v>0.10943030438893898</v>
      </c>
      <c r="T93" s="72">
        <f t="shared" si="83"/>
        <v>9.2975303959067251E-2</v>
      </c>
      <c r="U93" s="72">
        <f t="shared" si="83"/>
        <v>9.2168537955843746E-2</v>
      </c>
      <c r="V93" s="72">
        <f t="shared" si="83"/>
        <v>8.4682033991752545E-2</v>
      </c>
      <c r="W93" s="72">
        <f t="shared" si="83"/>
        <v>9.8012348007701894E-2</v>
      </c>
      <c r="X93" s="72">
        <f t="shared" ref="X93:Y93" si="84">IF(X85=0,0,X85/X$81)</f>
        <v>9.9164843600991939E-2</v>
      </c>
      <c r="Y93" s="72">
        <f t="shared" si="84"/>
        <v>0.10065762557447669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8.6669758527196369E-2</v>
      </c>
      <c r="C94" s="73">
        <f t="shared" ref="C94:W94" si="86">IF(C86=0,0,C86/C$81)</f>
        <v>9.4758397432083113E-2</v>
      </c>
      <c r="D94" s="73">
        <f t="shared" si="86"/>
        <v>0.10016032390498801</v>
      </c>
      <c r="E94" s="73">
        <f t="shared" si="86"/>
        <v>0.10025235188949615</v>
      </c>
      <c r="F94" s="73">
        <f t="shared" si="86"/>
        <v>0.11248134471692647</v>
      </c>
      <c r="G94" s="73">
        <f t="shared" si="86"/>
        <v>0.12578763707279209</v>
      </c>
      <c r="H94" s="73">
        <f t="shared" si="86"/>
        <v>0.1314570778098145</v>
      </c>
      <c r="I94" s="73">
        <f t="shared" si="86"/>
        <v>0.14169419646160014</v>
      </c>
      <c r="J94" s="73">
        <f t="shared" si="86"/>
        <v>0.15256679136430493</v>
      </c>
      <c r="K94" s="73">
        <f t="shared" si="86"/>
        <v>0.14859110313976978</v>
      </c>
      <c r="L94" s="73">
        <f t="shared" si="86"/>
        <v>0.16840360363120205</v>
      </c>
      <c r="M94" s="73">
        <f t="shared" si="86"/>
        <v>0.18045498996082968</v>
      </c>
      <c r="N94" s="73">
        <f t="shared" si="86"/>
        <v>0.16685135218989433</v>
      </c>
      <c r="O94" s="73">
        <f t="shared" si="86"/>
        <v>0.17637400475524495</v>
      </c>
      <c r="P94" s="73">
        <f t="shared" si="86"/>
        <v>0.15742086570347805</v>
      </c>
      <c r="Q94" s="73">
        <f t="shared" si="86"/>
        <v>0.15459150266769062</v>
      </c>
      <c r="R94" s="73">
        <f t="shared" si="86"/>
        <v>0.14331367769290948</v>
      </c>
      <c r="S94" s="73">
        <f t="shared" si="86"/>
        <v>0.15166457821281198</v>
      </c>
      <c r="T94" s="73">
        <f t="shared" si="86"/>
        <v>0.14984015800249065</v>
      </c>
      <c r="U94" s="73">
        <f t="shared" si="86"/>
        <v>0.1515077642793875</v>
      </c>
      <c r="V94" s="73">
        <f t="shared" si="86"/>
        <v>0.13965636869880707</v>
      </c>
      <c r="W94" s="73">
        <f t="shared" si="86"/>
        <v>0.16030316676482972</v>
      </c>
      <c r="X94" s="73">
        <f t="shared" ref="X94:Y94" si="87">IF(X86=0,0,X86/X$81)</f>
        <v>0.16657791585257092</v>
      </c>
      <c r="Y94" s="73">
        <f t="shared" si="87"/>
        <v>0.18256008113563427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351324.20336974465</v>
      </c>
      <c r="C99" s="82">
        <f t="shared" ref="C99:W99" si="92">C47*11630*1000/C$8</f>
        <v>349729.40933472762</v>
      </c>
      <c r="D99" s="82">
        <f t="shared" si="92"/>
        <v>349997.19052496192</v>
      </c>
      <c r="E99" s="82">
        <f t="shared" si="92"/>
        <v>365545.63132624584</v>
      </c>
      <c r="F99" s="82">
        <f t="shared" si="92"/>
        <v>353657.233042226</v>
      </c>
      <c r="G99" s="82">
        <f t="shared" si="92"/>
        <v>367030.26544676989</v>
      </c>
      <c r="H99" s="82">
        <f t="shared" si="92"/>
        <v>377836.19616226049</v>
      </c>
      <c r="I99" s="82">
        <f t="shared" si="92"/>
        <v>364375.76581731573</v>
      </c>
      <c r="J99" s="82">
        <f t="shared" si="92"/>
        <v>377799.91315343382</v>
      </c>
      <c r="K99" s="82">
        <f t="shared" si="92"/>
        <v>356345.72621133085</v>
      </c>
      <c r="L99" s="82">
        <f t="shared" si="92"/>
        <v>365344.87766357959</v>
      </c>
      <c r="M99" s="82">
        <f t="shared" si="92"/>
        <v>355184.69299473125</v>
      </c>
      <c r="N99" s="82">
        <f t="shared" si="92"/>
        <v>362853.72200629133</v>
      </c>
      <c r="O99" s="82">
        <f t="shared" si="92"/>
        <v>371714.10645843658</v>
      </c>
      <c r="P99" s="82">
        <f t="shared" si="92"/>
        <v>351979.9650821804</v>
      </c>
      <c r="Q99" s="82">
        <f t="shared" si="92"/>
        <v>381869.87963233271</v>
      </c>
      <c r="R99" s="82">
        <f t="shared" si="92"/>
        <v>373087.83416756324</v>
      </c>
      <c r="S99" s="82">
        <f t="shared" si="92"/>
        <v>364708.84930680017</v>
      </c>
      <c r="T99" s="82">
        <f t="shared" si="92"/>
        <v>392845.87197970727</v>
      </c>
      <c r="U99" s="82">
        <f t="shared" si="92"/>
        <v>398346.37871993869</v>
      </c>
      <c r="V99" s="82">
        <f t="shared" si="92"/>
        <v>360206.0935157449</v>
      </c>
      <c r="W99" s="82">
        <f t="shared" si="92"/>
        <v>384813.01216211112</v>
      </c>
      <c r="X99" s="82">
        <f t="shared" ref="X99:Y99" si="93">X47*11630*1000/X$8</f>
        <v>399712.11205865245</v>
      </c>
      <c r="Y99" s="82">
        <f t="shared" si="93"/>
        <v>413329.00209828536</v>
      </c>
      <c r="DA99" s="107"/>
    </row>
    <row r="100" spans="1:105" ht="12" customHeight="1" x14ac:dyDescent="0.25">
      <c r="A100" s="77" t="s">
        <v>36</v>
      </c>
      <c r="B100" s="64">
        <f t="shared" si="91"/>
        <v>281883.75553558441</v>
      </c>
      <c r="C100" s="64">
        <f t="shared" ref="C100:W100" si="94">C48*11630*1000/C$8</f>
        <v>278612.99137368693</v>
      </c>
      <c r="D100" s="64">
        <f t="shared" si="94"/>
        <v>275584.79955929896</v>
      </c>
      <c r="E100" s="64">
        <f t="shared" si="94"/>
        <v>288404.62118681922</v>
      </c>
      <c r="F100" s="64">
        <f t="shared" si="94"/>
        <v>274015.48446008906</v>
      </c>
      <c r="G100" s="64">
        <f t="shared" si="94"/>
        <v>285777.63360180112</v>
      </c>
      <c r="H100" s="64">
        <f t="shared" si="94"/>
        <v>295594.37662970554</v>
      </c>
      <c r="I100" s="64">
        <f t="shared" si="94"/>
        <v>282428.62156237272</v>
      </c>
      <c r="J100" s="64">
        <f t="shared" si="94"/>
        <v>294175.03530897258</v>
      </c>
      <c r="K100" s="64">
        <f t="shared" si="94"/>
        <v>269151.98281542212</v>
      </c>
      <c r="L100" s="64">
        <f t="shared" si="94"/>
        <v>275712.80666757771</v>
      </c>
      <c r="M100" s="64">
        <f t="shared" si="94"/>
        <v>265306.90954057581</v>
      </c>
      <c r="N100" s="64">
        <f t="shared" si="94"/>
        <v>270952.25823990226</v>
      </c>
      <c r="O100" s="64">
        <f t="shared" si="94"/>
        <v>278586.32937170856</v>
      </c>
      <c r="P100" s="64">
        <f t="shared" si="94"/>
        <v>257925.81679755315</v>
      </c>
      <c r="Q100" s="64">
        <f t="shared" si="94"/>
        <v>285791.62708771712</v>
      </c>
      <c r="R100" s="64">
        <f t="shared" si="94"/>
        <v>273297.85723699594</v>
      </c>
      <c r="S100" s="64">
        <f t="shared" si="94"/>
        <v>260176.14087324799</v>
      </c>
      <c r="T100" s="64">
        <f t="shared" si="94"/>
        <v>282675.00078648882</v>
      </c>
      <c r="U100" s="64">
        <f t="shared" si="94"/>
        <v>284509.51288700628</v>
      </c>
      <c r="V100" s="64">
        <f t="shared" si="94"/>
        <v>239957.70320201377</v>
      </c>
      <c r="W100" s="64">
        <f t="shared" si="94"/>
        <v>245070.18410869763</v>
      </c>
      <c r="X100" s="64">
        <f t="shared" ref="X100:Y100" si="95">X48*11630*1000/X$8</f>
        <v>239533.75790815766</v>
      </c>
      <c r="Y100" s="64">
        <f t="shared" si="95"/>
        <v>232671.30316578175</v>
      </c>
      <c r="DA100" s="108"/>
    </row>
    <row r="101" spans="1:105" ht="12" customHeight="1" x14ac:dyDescent="0.25">
      <c r="A101" s="61" t="s">
        <v>32</v>
      </c>
      <c r="B101" s="65">
        <f t="shared" si="91"/>
        <v>208209.57501904992</v>
      </c>
      <c r="C101" s="65">
        <f t="shared" ref="C101:W101" si="96">C49*11630*1000/C$8</f>
        <v>205080.36910328871</v>
      </c>
      <c r="D101" s="65">
        <f t="shared" si="96"/>
        <v>203061.72380047964</v>
      </c>
      <c r="E101" s="65">
        <f t="shared" si="96"/>
        <v>216611.94257534359</v>
      </c>
      <c r="F101" s="65">
        <f t="shared" si="96"/>
        <v>203010.70307927852</v>
      </c>
      <c r="G101" s="65">
        <f t="shared" si="96"/>
        <v>214328.49091515699</v>
      </c>
      <c r="H101" s="65">
        <f t="shared" si="96"/>
        <v>224856.55726725233</v>
      </c>
      <c r="I101" s="65">
        <f t="shared" si="96"/>
        <v>213082.87519203496</v>
      </c>
      <c r="J101" s="65">
        <f t="shared" si="96"/>
        <v>223896.47706924682</v>
      </c>
      <c r="K101" s="65">
        <f t="shared" si="96"/>
        <v>199948.74187871892</v>
      </c>
      <c r="L101" s="65">
        <f t="shared" si="96"/>
        <v>203127.69719885409</v>
      </c>
      <c r="M101" s="65">
        <f t="shared" si="96"/>
        <v>191852.21805247184</v>
      </c>
      <c r="N101" s="65">
        <f t="shared" si="96"/>
        <v>196095.28760825281</v>
      </c>
      <c r="O101" s="65">
        <f t="shared" si="96"/>
        <v>202217.05758027927</v>
      </c>
      <c r="P101" s="65">
        <f t="shared" si="96"/>
        <v>182564.34609347236</v>
      </c>
      <c r="Q101" s="65">
        <f t="shared" si="96"/>
        <v>207902.65894220359</v>
      </c>
      <c r="R101" s="65">
        <f t="shared" si="96"/>
        <v>197808.67541363838</v>
      </c>
      <c r="S101" s="65">
        <f t="shared" si="96"/>
        <v>185348.8920824329</v>
      </c>
      <c r="T101" s="65">
        <f t="shared" si="96"/>
        <v>208566.22176515957</v>
      </c>
      <c r="U101" s="65">
        <f t="shared" si="96"/>
        <v>210204.61747294239</v>
      </c>
      <c r="V101" s="65">
        <f t="shared" si="96"/>
        <v>172777.63730480513</v>
      </c>
      <c r="W101" s="65">
        <f t="shared" si="96"/>
        <v>170894.12694381885</v>
      </c>
      <c r="X101" s="65">
        <f t="shared" ref="X101:Y101" si="97">X49*11630*1000/X$8</f>
        <v>167495.91012029551</v>
      </c>
      <c r="Y101" s="65">
        <f t="shared" si="97"/>
        <v>162455.29887715887</v>
      </c>
      <c r="DA101" s="109"/>
    </row>
    <row r="102" spans="1:105" ht="12" customHeight="1" x14ac:dyDescent="0.25">
      <c r="A102" s="61" t="s">
        <v>31</v>
      </c>
      <c r="B102" s="65">
        <f t="shared" si="91"/>
        <v>1464.2762410674807</v>
      </c>
      <c r="C102" s="65">
        <f t="shared" ref="C102:W102" si="98">C50*11630*1000/C$8</f>
        <v>1519.6277864457036</v>
      </c>
      <c r="D102" s="65">
        <f t="shared" si="98"/>
        <v>1613.1308103956515</v>
      </c>
      <c r="E102" s="65">
        <f t="shared" si="98"/>
        <v>1649.0426943216492</v>
      </c>
      <c r="F102" s="65">
        <f t="shared" si="98"/>
        <v>1698.1087449450683</v>
      </c>
      <c r="G102" s="65">
        <f t="shared" si="98"/>
        <v>1747.7063279411268</v>
      </c>
      <c r="H102" s="65">
        <f t="shared" si="98"/>
        <v>1855.4670322600964</v>
      </c>
      <c r="I102" s="65">
        <f t="shared" si="98"/>
        <v>1873.8670490703323</v>
      </c>
      <c r="J102" s="65">
        <f t="shared" si="98"/>
        <v>1860.8438167712034</v>
      </c>
      <c r="K102" s="65">
        <f t="shared" si="98"/>
        <v>1942.9671955393678</v>
      </c>
      <c r="L102" s="65">
        <f t="shared" si="98"/>
        <v>2007.8251753326299</v>
      </c>
      <c r="M102" s="65">
        <f t="shared" si="98"/>
        <v>1974.9634158954407</v>
      </c>
      <c r="N102" s="65">
        <f t="shared" si="98"/>
        <v>1994.2744449092208</v>
      </c>
      <c r="O102" s="65">
        <f t="shared" si="98"/>
        <v>1960.1327125766384</v>
      </c>
      <c r="P102" s="65">
        <f t="shared" si="98"/>
        <v>1981.2917469879094</v>
      </c>
      <c r="Q102" s="65">
        <f t="shared" si="98"/>
        <v>1921.1164367326808</v>
      </c>
      <c r="R102" s="65">
        <f t="shared" si="98"/>
        <v>1905.3379466526546</v>
      </c>
      <c r="S102" s="65">
        <f t="shared" si="98"/>
        <v>1885.8201198395857</v>
      </c>
      <c r="T102" s="65">
        <f t="shared" si="98"/>
        <v>1885.0319940731142</v>
      </c>
      <c r="U102" s="65">
        <f t="shared" si="98"/>
        <v>1927.7013858987757</v>
      </c>
      <c r="V102" s="65">
        <f t="shared" si="98"/>
        <v>1818.9608603274371</v>
      </c>
      <c r="W102" s="65">
        <f t="shared" si="98"/>
        <v>1805.0313754538577</v>
      </c>
      <c r="X102" s="65">
        <f t="shared" ref="X102:Y102" si="99">X50*11630*1000/X$8</f>
        <v>1863.3166885061287</v>
      </c>
      <c r="Y102" s="65">
        <f t="shared" si="99"/>
        <v>1862.4688634541017</v>
      </c>
      <c r="DA102" s="109"/>
    </row>
    <row r="103" spans="1:105" ht="12" customHeight="1" x14ac:dyDescent="0.25">
      <c r="A103" s="61" t="s">
        <v>35</v>
      </c>
      <c r="B103" s="65">
        <f t="shared" si="91"/>
        <v>36977.753155126717</v>
      </c>
      <c r="C103" s="65">
        <f t="shared" ref="C103:W103" si="100">C51*11630*1000/C$8</f>
        <v>36843.991545898956</v>
      </c>
      <c r="D103" s="65">
        <f t="shared" si="100"/>
        <v>36198.363940026567</v>
      </c>
      <c r="E103" s="65">
        <f t="shared" si="100"/>
        <v>35446.520224901979</v>
      </c>
      <c r="F103" s="65">
        <f t="shared" si="100"/>
        <v>34732.783854654081</v>
      </c>
      <c r="G103" s="65">
        <f t="shared" si="100"/>
        <v>34572.296929492572</v>
      </c>
      <c r="H103" s="65">
        <f t="shared" si="100"/>
        <v>33873.856594732155</v>
      </c>
      <c r="I103" s="65">
        <f t="shared" si="100"/>
        <v>32964.821510063215</v>
      </c>
      <c r="J103" s="65">
        <f t="shared" si="100"/>
        <v>32826.118553328342</v>
      </c>
      <c r="K103" s="65">
        <f t="shared" si="100"/>
        <v>34187.466960158279</v>
      </c>
      <c r="L103" s="65">
        <f t="shared" si="100"/>
        <v>35197.826763500831</v>
      </c>
      <c r="M103" s="65">
        <f t="shared" si="100"/>
        <v>34832.573723330628</v>
      </c>
      <c r="N103" s="65">
        <f t="shared" si="100"/>
        <v>35251.887516215495</v>
      </c>
      <c r="O103" s="65">
        <f t="shared" si="100"/>
        <v>35312.24306972936</v>
      </c>
      <c r="P103" s="65">
        <f t="shared" si="100"/>
        <v>35434.047263152395</v>
      </c>
      <c r="Q103" s="65">
        <f t="shared" si="100"/>
        <v>36742.645745793125</v>
      </c>
      <c r="R103" s="65">
        <f t="shared" si="100"/>
        <v>35436.456101069205</v>
      </c>
      <c r="S103" s="65">
        <f t="shared" si="100"/>
        <v>34690.026320441102</v>
      </c>
      <c r="T103" s="65">
        <f t="shared" si="100"/>
        <v>33927.454143165269</v>
      </c>
      <c r="U103" s="65">
        <f t="shared" si="100"/>
        <v>33765.761422874893</v>
      </c>
      <c r="V103" s="65">
        <f t="shared" si="100"/>
        <v>30776.378919308187</v>
      </c>
      <c r="W103" s="65">
        <f t="shared" si="100"/>
        <v>33072.481249845689</v>
      </c>
      <c r="X103" s="65">
        <f t="shared" ref="X103:Y103" si="101">X51*11630*1000/X$8</f>
        <v>31680.291954547192</v>
      </c>
      <c r="Y103" s="65">
        <f t="shared" si="101"/>
        <v>30320.031695585512</v>
      </c>
      <c r="DA103" s="109"/>
    </row>
    <row r="104" spans="1:105" ht="12" customHeight="1" x14ac:dyDescent="0.25">
      <c r="A104" s="66" t="s">
        <v>34</v>
      </c>
      <c r="B104" s="67">
        <f t="shared" si="91"/>
        <v>35232.151120340335</v>
      </c>
      <c r="C104" s="67">
        <f t="shared" ref="C104:W104" si="102">C52*11630*1000/C$8</f>
        <v>35169.00293805352</v>
      </c>
      <c r="D104" s="67">
        <f t="shared" si="102"/>
        <v>34711.581008397094</v>
      </c>
      <c r="E104" s="67">
        <f t="shared" si="102"/>
        <v>34697.115692252039</v>
      </c>
      <c r="F104" s="67">
        <f t="shared" si="102"/>
        <v>34573.888781211412</v>
      </c>
      <c r="G104" s="67">
        <f t="shared" si="102"/>
        <v>35129.139429210416</v>
      </c>
      <c r="H104" s="67">
        <f t="shared" si="102"/>
        <v>35008.495735460943</v>
      </c>
      <c r="I104" s="67">
        <f t="shared" si="102"/>
        <v>34507.057811204177</v>
      </c>
      <c r="J104" s="67">
        <f t="shared" si="102"/>
        <v>35591.595869626151</v>
      </c>
      <c r="K104" s="67">
        <f t="shared" si="102"/>
        <v>33072.806781005602</v>
      </c>
      <c r="L104" s="67">
        <f t="shared" si="102"/>
        <v>35379.457529890176</v>
      </c>
      <c r="M104" s="67">
        <f t="shared" si="102"/>
        <v>36647.154348877877</v>
      </c>
      <c r="N104" s="67">
        <f t="shared" si="102"/>
        <v>37610.808670524697</v>
      </c>
      <c r="O104" s="67">
        <f t="shared" si="102"/>
        <v>39096.8960091232</v>
      </c>
      <c r="P104" s="67">
        <f t="shared" si="102"/>
        <v>37946.131693940421</v>
      </c>
      <c r="Q104" s="67">
        <f t="shared" si="102"/>
        <v>39225.205962987755</v>
      </c>
      <c r="R104" s="67">
        <f t="shared" si="102"/>
        <v>38147.387775635652</v>
      </c>
      <c r="S104" s="67">
        <f t="shared" si="102"/>
        <v>38251.402350534416</v>
      </c>
      <c r="T104" s="67">
        <f t="shared" si="102"/>
        <v>38296.292884090872</v>
      </c>
      <c r="U104" s="67">
        <f t="shared" si="102"/>
        <v>38611.432605290182</v>
      </c>
      <c r="V104" s="67">
        <f t="shared" si="102"/>
        <v>34584.726117573053</v>
      </c>
      <c r="W104" s="67">
        <f t="shared" si="102"/>
        <v>39298.544539579241</v>
      </c>
      <c r="X104" s="67">
        <f t="shared" ref="X104:Y104" si="103">X52*11630*1000/X$8</f>
        <v>38494.23914480886</v>
      </c>
      <c r="Y104" s="67">
        <f t="shared" si="103"/>
        <v>38033.503729583281</v>
      </c>
      <c r="DA104" s="110"/>
    </row>
    <row r="105" spans="1:105" ht="12" customHeight="1" x14ac:dyDescent="0.25">
      <c r="A105" s="78" t="s">
        <v>33</v>
      </c>
      <c r="B105" s="68">
        <f t="shared" si="91"/>
        <v>69440.447834160237</v>
      </c>
      <c r="C105" s="68">
        <f t="shared" ref="C105:W105" si="104">C53*11630*1000/C$8</f>
        <v>71116.417961040701</v>
      </c>
      <c r="D105" s="68">
        <f t="shared" si="104"/>
        <v>74412.390965662998</v>
      </c>
      <c r="E105" s="68">
        <f t="shared" si="104"/>
        <v>77141.010139426595</v>
      </c>
      <c r="F105" s="68">
        <f t="shared" si="104"/>
        <v>79641.74858213689</v>
      </c>
      <c r="G105" s="68">
        <f t="shared" si="104"/>
        <v>81252.631844968782</v>
      </c>
      <c r="H105" s="68">
        <f t="shared" si="104"/>
        <v>82241.819532554946</v>
      </c>
      <c r="I105" s="68">
        <f t="shared" si="104"/>
        <v>81947.144254943021</v>
      </c>
      <c r="J105" s="68">
        <f t="shared" si="104"/>
        <v>83624.877844461298</v>
      </c>
      <c r="K105" s="68">
        <f t="shared" si="104"/>
        <v>87193.74339590875</v>
      </c>
      <c r="L105" s="68">
        <f t="shared" si="104"/>
        <v>89632.070996001872</v>
      </c>
      <c r="M105" s="68">
        <f t="shared" si="104"/>
        <v>89877.783454155448</v>
      </c>
      <c r="N105" s="68">
        <f t="shared" si="104"/>
        <v>91901.463766389134</v>
      </c>
      <c r="O105" s="68">
        <f t="shared" si="104"/>
        <v>93127.777086728049</v>
      </c>
      <c r="P105" s="68">
        <f t="shared" si="104"/>
        <v>94054.148284627197</v>
      </c>
      <c r="Q105" s="68">
        <f t="shared" si="104"/>
        <v>96078.252544615563</v>
      </c>
      <c r="R105" s="68">
        <f t="shared" si="104"/>
        <v>99789.976930567282</v>
      </c>
      <c r="S105" s="68">
        <f t="shared" si="104"/>
        <v>104532.70843355209</v>
      </c>
      <c r="T105" s="68">
        <f t="shared" si="104"/>
        <v>110170.87119321848</v>
      </c>
      <c r="U105" s="68">
        <f t="shared" si="104"/>
        <v>113836.86583293242</v>
      </c>
      <c r="V105" s="68">
        <f t="shared" si="104"/>
        <v>120248.39031373111</v>
      </c>
      <c r="W105" s="68">
        <f t="shared" si="104"/>
        <v>139742.82805341354</v>
      </c>
      <c r="X105" s="68">
        <f t="shared" ref="X105:Y105" si="105">X53*11630*1000/X$8</f>
        <v>160178.35415049476</v>
      </c>
      <c r="Y105" s="68">
        <f t="shared" si="105"/>
        <v>180657.69893250358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160343.77821991305</v>
      </c>
      <c r="C107" s="85">
        <f t="shared" ref="C107:W107" si="107">SUM(C108:C111)</f>
        <v>161348.12780126621</v>
      </c>
      <c r="D107" s="85">
        <f t="shared" si="107"/>
        <v>163422.2085771219</v>
      </c>
      <c r="E107" s="85">
        <f t="shared" si="107"/>
        <v>174591.31684294145</v>
      </c>
      <c r="F107" s="85">
        <f t="shared" si="107"/>
        <v>168212.78551376527</v>
      </c>
      <c r="G107" s="85">
        <f t="shared" si="107"/>
        <v>178906.41111295909</v>
      </c>
      <c r="H107" s="85">
        <f t="shared" si="107"/>
        <v>189390.98925027804</v>
      </c>
      <c r="I107" s="85">
        <f t="shared" si="107"/>
        <v>184322.38050621236</v>
      </c>
      <c r="J107" s="85">
        <f t="shared" si="107"/>
        <v>194360.28483226176</v>
      </c>
      <c r="K107" s="85">
        <f t="shared" si="107"/>
        <v>181823.00739367073</v>
      </c>
      <c r="L107" s="85">
        <f t="shared" si="107"/>
        <v>186516.71539615985</v>
      </c>
      <c r="M107" s="85">
        <f t="shared" si="107"/>
        <v>183473.62062457207</v>
      </c>
      <c r="N107" s="85">
        <f t="shared" si="107"/>
        <v>189301.25496584942</v>
      </c>
      <c r="O107" s="85">
        <f t="shared" si="107"/>
        <v>196254.77515354709</v>
      </c>
      <c r="P107" s="85">
        <f t="shared" si="107"/>
        <v>184123.94657222298</v>
      </c>
      <c r="Q107" s="85">
        <f t="shared" si="107"/>
        <v>205916.87468125109</v>
      </c>
      <c r="R107" s="85">
        <f t="shared" si="107"/>
        <v>200335.08838198875</v>
      </c>
      <c r="S107" s="85">
        <f t="shared" si="107"/>
        <v>194650.32977069746</v>
      </c>
      <c r="T107" s="85">
        <f t="shared" si="107"/>
        <v>214346.23595742154</v>
      </c>
      <c r="U107" s="85">
        <f t="shared" si="107"/>
        <v>220733.21388021443</v>
      </c>
      <c r="V107" s="85">
        <f t="shared" si="107"/>
        <v>190662.92407380158</v>
      </c>
      <c r="W107" s="85">
        <f t="shared" si="107"/>
        <v>197279.49148860967</v>
      </c>
      <c r="X107" s="85">
        <f t="shared" ref="X107:Y107" si="108">SUM(X108:X111)</f>
        <v>196361.02485682812</v>
      </c>
      <c r="Y107" s="85">
        <f t="shared" si="108"/>
        <v>194341.97720172911</v>
      </c>
      <c r="DA107" s="117"/>
    </row>
    <row r="108" spans="1:105" ht="12" customHeight="1" x14ac:dyDescent="0.25">
      <c r="A108" s="61" t="s">
        <v>32</v>
      </c>
      <c r="B108" s="65">
        <v>111201.66085603672</v>
      </c>
      <c r="C108" s="65">
        <v>111983.27893417442</v>
      </c>
      <c r="D108" s="65">
        <v>114066.46491884073</v>
      </c>
      <c r="E108" s="65">
        <v>125192.25555874285</v>
      </c>
      <c r="F108" s="65">
        <v>118944.25937452891</v>
      </c>
      <c r="G108" s="65">
        <v>128946.11387452026</v>
      </c>
      <c r="H108" s="65">
        <v>139043.35882922012</v>
      </c>
      <c r="I108" s="65">
        <v>134217.65158521009</v>
      </c>
      <c r="J108" s="65">
        <v>143356.78146056694</v>
      </c>
      <c r="K108" s="65">
        <v>130345.34773114935</v>
      </c>
      <c r="L108" s="65">
        <v>132868.98609507532</v>
      </c>
      <c r="M108" s="65">
        <v>128466.31145563879</v>
      </c>
      <c r="N108" s="65">
        <v>132420.85393036509</v>
      </c>
      <c r="O108" s="65">
        <v>138156.04320493355</v>
      </c>
      <c r="P108" s="65">
        <v>125153.77583153246</v>
      </c>
      <c r="Q108" s="65">
        <v>144865.7541659401</v>
      </c>
      <c r="R108" s="65">
        <v>139549.19135946687</v>
      </c>
      <c r="S108" s="65">
        <v>133481.34040456163</v>
      </c>
      <c r="T108" s="65">
        <v>152848.60443378915</v>
      </c>
      <c r="U108" s="65">
        <v>157845.01509127091</v>
      </c>
      <c r="V108" s="65">
        <v>131921.36453943851</v>
      </c>
      <c r="W108" s="65">
        <v>132840.77122476953</v>
      </c>
      <c r="X108" s="65">
        <v>132684.61388084872</v>
      </c>
      <c r="Y108" s="65">
        <v>131606.44220127279</v>
      </c>
      <c r="DA108" s="109"/>
    </row>
    <row r="109" spans="1:105" ht="12" customHeight="1" x14ac:dyDescent="0.25">
      <c r="A109" s="61" t="s">
        <v>31</v>
      </c>
      <c r="B109" s="65">
        <v>3356.1844510943429</v>
      </c>
      <c r="C109" s="65">
        <v>3689.7327578876088</v>
      </c>
      <c r="D109" s="65">
        <v>4155.9013215300765</v>
      </c>
      <c r="E109" s="65">
        <v>4482.3755952324473</v>
      </c>
      <c r="F109" s="65">
        <v>4888.7597537945467</v>
      </c>
      <c r="G109" s="65">
        <v>5355.4982684887327</v>
      </c>
      <c r="H109" s="65">
        <v>6041.8238553383999</v>
      </c>
      <c r="I109" s="65">
        <v>6458.4325119494233</v>
      </c>
      <c r="J109" s="65">
        <v>6798.694964380833</v>
      </c>
      <c r="K109" s="65">
        <v>7247.7208772527456</v>
      </c>
      <c r="L109" s="65">
        <v>7714.1753455141625</v>
      </c>
      <c r="M109" s="65">
        <v>7899.3102574546456</v>
      </c>
      <c r="N109" s="65">
        <v>8306.0232521826838</v>
      </c>
      <c r="O109" s="65">
        <v>8520.0436171251731</v>
      </c>
      <c r="P109" s="65">
        <v>9014.7720170705506</v>
      </c>
      <c r="Q109" s="65">
        <v>9136.4760792852503</v>
      </c>
      <c r="R109" s="65">
        <v>9393.0617622932878</v>
      </c>
      <c r="S109" s="65">
        <v>9632.1919839723014</v>
      </c>
      <c r="T109" s="65">
        <v>9937.125286945884</v>
      </c>
      <c r="U109" s="65">
        <v>10423.047945221972</v>
      </c>
      <c r="V109" s="65">
        <v>10059.348555121402</v>
      </c>
      <c r="W109" s="65">
        <v>10200.479799700901</v>
      </c>
      <c r="X109" s="65">
        <v>10669.789197894166</v>
      </c>
      <c r="Y109" s="65">
        <v>10803.012749306803</v>
      </c>
      <c r="DA109" s="109"/>
    </row>
    <row r="110" spans="1:105" ht="12" customHeight="1" x14ac:dyDescent="0.25">
      <c r="A110" s="61" t="s">
        <v>35</v>
      </c>
      <c r="B110" s="65">
        <v>22314.190133680557</v>
      </c>
      <c r="C110" s="65">
        <v>22355.115966956389</v>
      </c>
      <c r="D110" s="65">
        <v>22118.126514776963</v>
      </c>
      <c r="E110" s="65">
        <v>21855.504490881525</v>
      </c>
      <c r="F110" s="65">
        <v>21535.543221424228</v>
      </c>
      <c r="G110" s="65">
        <v>21690.884111569128</v>
      </c>
      <c r="H110" s="65">
        <v>21469.669992204479</v>
      </c>
      <c r="I110" s="65">
        <v>21098.396869649921</v>
      </c>
      <c r="J110" s="65">
        <v>21168.997880790484</v>
      </c>
      <c r="K110" s="65">
        <v>22193.550081388716</v>
      </c>
      <c r="L110" s="65">
        <v>22987.31424884051</v>
      </c>
      <c r="M110" s="65">
        <v>23003.942180348819</v>
      </c>
      <c r="N110" s="65">
        <v>23536.115688182046</v>
      </c>
      <c r="O110" s="65">
        <v>23903.930348822523</v>
      </c>
      <c r="P110" s="65">
        <v>24169.149791398271</v>
      </c>
      <c r="Q110" s="65">
        <v>25373.147694107469</v>
      </c>
      <c r="R110" s="65">
        <v>24893.981773969455</v>
      </c>
      <c r="S110" s="65">
        <v>24814.418036091727</v>
      </c>
      <c r="T110" s="65">
        <v>24846.019315184196</v>
      </c>
      <c r="U110" s="65">
        <v>25251.051401669254</v>
      </c>
      <c r="V110" s="65">
        <v>23629.504972659441</v>
      </c>
      <c r="W110" s="65">
        <v>25812.73067806755</v>
      </c>
      <c r="X110" s="65">
        <v>25169.259639075484</v>
      </c>
      <c r="Y110" s="65">
        <v>24529.616199716555</v>
      </c>
      <c r="DA110" s="109"/>
    </row>
    <row r="111" spans="1:105" ht="12" customHeight="1" x14ac:dyDescent="0.25">
      <c r="A111" s="74" t="s">
        <v>34</v>
      </c>
      <c r="B111" s="68">
        <v>23471.74277910142</v>
      </c>
      <c r="C111" s="68">
        <v>23320.00014224778</v>
      </c>
      <c r="D111" s="68">
        <v>23081.71582197411</v>
      </c>
      <c r="E111" s="68">
        <v>23061.181198084647</v>
      </c>
      <c r="F111" s="68">
        <v>22844.223164017614</v>
      </c>
      <c r="G111" s="68">
        <v>22913.914858380987</v>
      </c>
      <c r="H111" s="68">
        <v>22836.136573515076</v>
      </c>
      <c r="I111" s="68">
        <v>22547.899539402923</v>
      </c>
      <c r="J111" s="68">
        <v>23035.810526523466</v>
      </c>
      <c r="K111" s="68">
        <v>22036.388703879933</v>
      </c>
      <c r="L111" s="68">
        <v>22946.239706729866</v>
      </c>
      <c r="M111" s="68">
        <v>24104.056731129825</v>
      </c>
      <c r="N111" s="68">
        <v>25038.262095119626</v>
      </c>
      <c r="O111" s="68">
        <v>25674.757982665837</v>
      </c>
      <c r="P111" s="68">
        <v>25786.248932221697</v>
      </c>
      <c r="Q111" s="68">
        <v>26541.496741918254</v>
      </c>
      <c r="R111" s="68">
        <v>26498.853486259159</v>
      </c>
      <c r="S111" s="68">
        <v>26722.379346071797</v>
      </c>
      <c r="T111" s="68">
        <v>26714.48692150227</v>
      </c>
      <c r="U111" s="68">
        <v>27214.099442052295</v>
      </c>
      <c r="V111" s="68">
        <v>25052.706006582255</v>
      </c>
      <c r="W111" s="68">
        <v>28425.5097860717</v>
      </c>
      <c r="X111" s="68">
        <v>27837.362139009747</v>
      </c>
      <c r="Y111" s="68">
        <v>27402.906051432976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48699.045748411962</v>
      </c>
      <c r="C113" s="82">
        <f t="shared" ref="C113:W113" si="110">C81*1000000/C$8</f>
        <v>46437.217036079332</v>
      </c>
      <c r="D113" s="82">
        <f t="shared" si="110"/>
        <v>43125.347776017094</v>
      </c>
      <c r="E113" s="82">
        <f t="shared" si="110"/>
        <v>43611.523100514736</v>
      </c>
      <c r="F113" s="82">
        <f t="shared" si="110"/>
        <v>40605.758197542629</v>
      </c>
      <c r="G113" s="82">
        <f t="shared" si="110"/>
        <v>40153.826570589314</v>
      </c>
      <c r="H113" s="82">
        <f t="shared" si="110"/>
        <v>38658.299549985197</v>
      </c>
      <c r="I113" s="82">
        <f t="shared" si="110"/>
        <v>35501.596297414813</v>
      </c>
      <c r="J113" s="82">
        <f t="shared" si="110"/>
        <v>36113.958539186715</v>
      </c>
      <c r="K113" s="82">
        <f t="shared" si="110"/>
        <v>29784.937119310835</v>
      </c>
      <c r="L113" s="82">
        <f t="shared" si="110"/>
        <v>32665.198472633034</v>
      </c>
      <c r="M113" s="82">
        <f t="shared" si="110"/>
        <v>29602.387563197059</v>
      </c>
      <c r="N113" s="82">
        <f t="shared" si="110"/>
        <v>30982.440048420733</v>
      </c>
      <c r="O113" s="82">
        <f t="shared" si="110"/>
        <v>32996.895867397245</v>
      </c>
      <c r="P113" s="82">
        <f t="shared" si="110"/>
        <v>30141.26640676826</v>
      </c>
      <c r="Q113" s="82">
        <f t="shared" si="110"/>
        <v>32968.582342981914</v>
      </c>
      <c r="R113" s="82">
        <f t="shared" si="110"/>
        <v>30251.832522127195</v>
      </c>
      <c r="S113" s="82">
        <f t="shared" si="110"/>
        <v>28511.619804132482</v>
      </c>
      <c r="T113" s="82">
        <f t="shared" si="110"/>
        <v>30335.245359004748</v>
      </c>
      <c r="U113" s="82">
        <f t="shared" si="110"/>
        <v>29631.619704979497</v>
      </c>
      <c r="V113" s="82">
        <f t="shared" si="110"/>
        <v>25370.289653833621</v>
      </c>
      <c r="W113" s="82">
        <f t="shared" si="110"/>
        <v>26372.160888974486</v>
      </c>
      <c r="X113" s="82">
        <f t="shared" ref="X113:Y113" si="111">X81*1000000/X$8</f>
        <v>25892.692698523344</v>
      </c>
      <c r="Y113" s="82">
        <f t="shared" si="111"/>
        <v>24769.488123316169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48699.045748411962</v>
      </c>
      <c r="C114" s="64">
        <f t="shared" ref="C114:W114" si="113">C82*1000000/C$8</f>
        <v>46437.217036079332</v>
      </c>
      <c r="D114" s="64">
        <f t="shared" si="113"/>
        <v>43125.347776017094</v>
      </c>
      <c r="E114" s="64">
        <f t="shared" si="113"/>
        <v>43611.523100514736</v>
      </c>
      <c r="F114" s="64">
        <f t="shared" si="113"/>
        <v>40605.758197542629</v>
      </c>
      <c r="G114" s="64">
        <f t="shared" si="113"/>
        <v>40153.826570589314</v>
      </c>
      <c r="H114" s="64">
        <f t="shared" si="113"/>
        <v>38658.299549985197</v>
      </c>
      <c r="I114" s="64">
        <f t="shared" si="113"/>
        <v>35501.596297414813</v>
      </c>
      <c r="J114" s="64">
        <f t="shared" si="113"/>
        <v>36113.958539186715</v>
      </c>
      <c r="K114" s="64">
        <f t="shared" si="113"/>
        <v>29784.937119310835</v>
      </c>
      <c r="L114" s="64">
        <f t="shared" si="113"/>
        <v>32665.198472633034</v>
      </c>
      <c r="M114" s="64">
        <f t="shared" si="113"/>
        <v>29602.387563197059</v>
      </c>
      <c r="N114" s="64">
        <f t="shared" si="113"/>
        <v>30982.440048420733</v>
      </c>
      <c r="O114" s="64">
        <f t="shared" si="113"/>
        <v>32996.895867397245</v>
      </c>
      <c r="P114" s="64">
        <f t="shared" si="113"/>
        <v>30141.26640676826</v>
      </c>
      <c r="Q114" s="64">
        <f t="shared" si="113"/>
        <v>32968.582342981914</v>
      </c>
      <c r="R114" s="64">
        <f t="shared" si="113"/>
        <v>30251.832522127195</v>
      </c>
      <c r="S114" s="64">
        <f t="shared" si="113"/>
        <v>28511.619804132482</v>
      </c>
      <c r="T114" s="64">
        <f t="shared" si="113"/>
        <v>30335.245359004748</v>
      </c>
      <c r="U114" s="64">
        <f t="shared" si="113"/>
        <v>29631.619704979497</v>
      </c>
      <c r="V114" s="64">
        <f t="shared" si="113"/>
        <v>25370.289653833621</v>
      </c>
      <c r="W114" s="64">
        <f t="shared" si="113"/>
        <v>26372.160888974486</v>
      </c>
      <c r="X114" s="64">
        <f t="shared" ref="X114:Y114" si="114">X82*1000000/X$8</f>
        <v>25892.692698523344</v>
      </c>
      <c r="Y114" s="64">
        <f t="shared" si="114"/>
        <v>24769.488123316169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39881.429935086489</v>
      </c>
      <c r="C115" s="65">
        <f t="shared" ref="C115:W115" si="116">C83*1000000/C$8</f>
        <v>37498.592103991898</v>
      </c>
      <c r="D115" s="65">
        <f t="shared" si="116"/>
        <v>34436.44606833686</v>
      </c>
      <c r="E115" s="65">
        <f t="shared" si="116"/>
        <v>35141.300869892635</v>
      </c>
      <c r="F115" s="65">
        <f t="shared" si="116"/>
        <v>32039.587079289304</v>
      </c>
      <c r="G115" s="65">
        <f t="shared" si="116"/>
        <v>31363.20892074412</v>
      </c>
      <c r="H115" s="65">
        <f t="shared" si="116"/>
        <v>30078.418610730259</v>
      </c>
      <c r="I115" s="65">
        <f t="shared" si="116"/>
        <v>27178.559139487348</v>
      </c>
      <c r="J115" s="65">
        <f t="shared" si="116"/>
        <v>27379.06378797194</v>
      </c>
      <c r="K115" s="65">
        <f t="shared" si="116"/>
        <v>22048.347884102273</v>
      </c>
      <c r="L115" s="65">
        <f t="shared" si="116"/>
        <v>23705.597059583844</v>
      </c>
      <c r="M115" s="65">
        <f t="shared" si="116"/>
        <v>20957.863283402552</v>
      </c>
      <c r="N115" s="65">
        <f t="shared" si="116"/>
        <v>22441.022916960781</v>
      </c>
      <c r="O115" s="65">
        <f t="shared" si="116"/>
        <v>23815.201974437608</v>
      </c>
      <c r="P115" s="65">
        <f t="shared" si="116"/>
        <v>22004.042422526098</v>
      </c>
      <c r="Q115" s="65">
        <f t="shared" si="116"/>
        <v>24473.779287714482</v>
      </c>
      <c r="R115" s="65">
        <f t="shared" si="116"/>
        <v>22722.211692926609</v>
      </c>
      <c r="S115" s="65">
        <f t="shared" si="116"/>
        <v>21053.050711722077</v>
      </c>
      <c r="T115" s="65">
        <f t="shared" si="116"/>
        <v>22953.950210903244</v>
      </c>
      <c r="U115" s="65">
        <f t="shared" si="116"/>
        <v>22394.514510890851</v>
      </c>
      <c r="V115" s="65">
        <f t="shared" si="116"/>
        <v>19662.798777504442</v>
      </c>
      <c r="W115" s="65">
        <f t="shared" si="116"/>
        <v>19544.182578616514</v>
      </c>
      <c r="X115" s="65">
        <f t="shared" ref="X115:Y115" si="117">X83*1000000/X$8</f>
        <v>18994.460603688567</v>
      </c>
      <c r="Y115" s="65">
        <f t="shared" si="117"/>
        <v>17736.453015531381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1.4136859356734162</v>
      </c>
      <c r="C116" s="65">
        <f t="shared" ref="C116:W116" si="119">C84*1000000/C$8</f>
        <v>1.5661540211368168</v>
      </c>
      <c r="D116" s="65">
        <f t="shared" si="119"/>
        <v>1.7970075127555709</v>
      </c>
      <c r="E116" s="65">
        <f t="shared" si="119"/>
        <v>1.7441915022434955</v>
      </c>
      <c r="F116" s="65">
        <f t="shared" si="119"/>
        <v>2.1048119993308014</v>
      </c>
      <c r="G116" s="65">
        <f t="shared" si="119"/>
        <v>2.3503246262302255</v>
      </c>
      <c r="H116" s="65">
        <f t="shared" si="119"/>
        <v>2.9248795807207424</v>
      </c>
      <c r="I116" s="65">
        <f t="shared" si="119"/>
        <v>3.039331910313384</v>
      </c>
      <c r="J116" s="65">
        <f t="shared" si="119"/>
        <v>3.0900602956958236</v>
      </c>
      <c r="K116" s="65">
        <f t="shared" si="119"/>
        <v>3.5277403959648632</v>
      </c>
      <c r="L116" s="65">
        <f t="shared" si="119"/>
        <v>3.863639810752201</v>
      </c>
      <c r="M116" s="65">
        <f t="shared" si="119"/>
        <v>4.1441523580641588</v>
      </c>
      <c r="N116" s="65">
        <f t="shared" si="119"/>
        <v>4.7777894469311075</v>
      </c>
      <c r="O116" s="65">
        <f t="shared" si="119"/>
        <v>5.8312667859256671</v>
      </c>
      <c r="P116" s="65">
        <f t="shared" si="119"/>
        <v>7.6292306660818721</v>
      </c>
      <c r="Q116" s="65">
        <f t="shared" si="119"/>
        <v>10.41127292131285</v>
      </c>
      <c r="R116" s="65">
        <f t="shared" si="119"/>
        <v>12.591927981402733</v>
      </c>
      <c r="S116" s="65">
        <f t="shared" si="119"/>
        <v>14.331066864680571</v>
      </c>
      <c r="T116" s="65">
        <f t="shared" si="119"/>
        <v>15.428532537563969</v>
      </c>
      <c r="U116" s="65">
        <f t="shared" si="119"/>
        <v>16.581675138629176</v>
      </c>
      <c r="V116" s="65">
        <f t="shared" si="119"/>
        <v>15.960619591314854</v>
      </c>
      <c r="W116" s="65">
        <f t="shared" si="119"/>
        <v>15.639994658505769</v>
      </c>
      <c r="X116" s="65">
        <f t="shared" ref="X116:Y116" si="120">X84*1000000/X$8</f>
        <v>17.436487446066081</v>
      </c>
      <c r="Y116" s="65">
        <f t="shared" si="120"/>
        <v>17.877485115854647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4595.4675918700377</v>
      </c>
      <c r="C117" s="65">
        <f t="shared" ref="C117:W117" si="122">C85*1000000/C$8</f>
        <v>4536.7425105215889</v>
      </c>
      <c r="D117" s="65">
        <f t="shared" si="122"/>
        <v>4367.655898406354</v>
      </c>
      <c r="E117" s="65">
        <f t="shared" si="122"/>
        <v>4096.3202788101626</v>
      </c>
      <c r="F117" s="65">
        <f t="shared" si="122"/>
        <v>3996.6760209440381</v>
      </c>
      <c r="G117" s="65">
        <f t="shared" si="122"/>
        <v>3737.4123614738296</v>
      </c>
      <c r="H117" s="65">
        <f t="shared" si="122"/>
        <v>3495.0489677366941</v>
      </c>
      <c r="I117" s="65">
        <f t="shared" si="122"/>
        <v>3289.6276655508373</v>
      </c>
      <c r="J117" s="65">
        <f t="shared" si="122"/>
        <v>3222.0139131318251</v>
      </c>
      <c r="K117" s="65">
        <f t="shared" si="122"/>
        <v>3307.284831305526</v>
      </c>
      <c r="L117" s="65">
        <f t="shared" si="122"/>
        <v>3454.8006371185938</v>
      </c>
      <c r="M117" s="65">
        <f t="shared" si="122"/>
        <v>3298.4815769031229</v>
      </c>
      <c r="N117" s="65">
        <f t="shared" si="122"/>
        <v>3367.1773257916866</v>
      </c>
      <c r="O117" s="65">
        <f t="shared" si="122"/>
        <v>3356.0679575490653</v>
      </c>
      <c r="P117" s="65">
        <f t="shared" si="122"/>
        <v>3384.7305024234579</v>
      </c>
      <c r="Q117" s="65">
        <f t="shared" si="122"/>
        <v>3387.7290971210491</v>
      </c>
      <c r="R117" s="65">
        <f t="shared" si="122"/>
        <v>3181.5275255231677</v>
      </c>
      <c r="S117" s="65">
        <f t="shared" si="122"/>
        <v>3120.0352337879185</v>
      </c>
      <c r="T117" s="65">
        <f t="shared" si="122"/>
        <v>2820.4286579263512</v>
      </c>
      <c r="U117" s="65">
        <f t="shared" si="122"/>
        <v>2731.1030654715305</v>
      </c>
      <c r="V117" s="65">
        <f t="shared" si="122"/>
        <v>2148.4077308465467</v>
      </c>
      <c r="W117" s="65">
        <f t="shared" si="122"/>
        <v>2584.7974107652722</v>
      </c>
      <c r="X117" s="65">
        <f t="shared" ref="X117:Y117" si="123">X85*1000000/X$8</f>
        <v>2567.6448218576134</v>
      </c>
      <c r="Y117" s="65">
        <f t="shared" si="123"/>
        <v>2493.2378611882064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4220.734535519754</v>
      </c>
      <c r="C118" s="67">
        <f t="shared" ref="C118:W118" si="125">C86*1000000/C$8</f>
        <v>4400.3162675447065</v>
      </c>
      <c r="D118" s="67">
        <f t="shared" si="125"/>
        <v>4319.4488017611266</v>
      </c>
      <c r="E118" s="67">
        <f t="shared" si="125"/>
        <v>4372.157760309693</v>
      </c>
      <c r="F118" s="67">
        <f t="shared" si="125"/>
        <v>4567.3902853099553</v>
      </c>
      <c r="G118" s="67">
        <f t="shared" si="125"/>
        <v>5050.8549637451242</v>
      </c>
      <c r="H118" s="67">
        <f t="shared" si="125"/>
        <v>5081.9070919375199</v>
      </c>
      <c r="I118" s="67">
        <f t="shared" si="125"/>
        <v>5030.3701604663111</v>
      </c>
      <c r="J118" s="67">
        <f t="shared" si="125"/>
        <v>5509.7907777872588</v>
      </c>
      <c r="K118" s="67">
        <f t="shared" si="125"/>
        <v>4425.7766635070739</v>
      </c>
      <c r="L118" s="67">
        <f t="shared" si="125"/>
        <v>5500.93713611984</v>
      </c>
      <c r="M118" s="67">
        <f t="shared" si="125"/>
        <v>5341.8985505333148</v>
      </c>
      <c r="N118" s="67">
        <f t="shared" si="125"/>
        <v>5169.462016221335</v>
      </c>
      <c r="O118" s="67">
        <f t="shared" si="125"/>
        <v>5819.7946686246441</v>
      </c>
      <c r="P118" s="67">
        <f t="shared" si="125"/>
        <v>4744.8642511526205</v>
      </c>
      <c r="Q118" s="67">
        <f t="shared" si="125"/>
        <v>5096.6626852250656</v>
      </c>
      <c r="R118" s="67">
        <f t="shared" si="125"/>
        <v>4335.5013756960143</v>
      </c>
      <c r="S118" s="67">
        <f t="shared" si="125"/>
        <v>4324.2027917578098</v>
      </c>
      <c r="T118" s="67">
        <f t="shared" si="125"/>
        <v>4545.4379576375932</v>
      </c>
      <c r="U118" s="67">
        <f t="shared" si="125"/>
        <v>4489.4204534784885</v>
      </c>
      <c r="V118" s="67">
        <f t="shared" si="125"/>
        <v>3543.1225258913191</v>
      </c>
      <c r="W118" s="67">
        <f t="shared" si="125"/>
        <v>4227.540904934197</v>
      </c>
      <c r="X118" s="67">
        <f t="shared" ref="X118:Y118" si="126">X86*1000000/X$8</f>
        <v>4313.1507855311002</v>
      </c>
      <c r="Y118" s="67">
        <f t="shared" si="126"/>
        <v>4521.919761480729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0.56882943791938934</v>
      </c>
      <c r="C121" s="86">
        <f t="shared" ref="C121:W121" si="131">IF(C107=0,"",C107/C100)</f>
        <v>0.57911200409481123</v>
      </c>
      <c r="D121" s="86">
        <f t="shared" si="131"/>
        <v>0.59300153288010915</v>
      </c>
      <c r="E121" s="86">
        <f t="shared" si="131"/>
        <v>0.60536934576317636</v>
      </c>
      <c r="F121" s="86">
        <f t="shared" si="131"/>
        <v>0.61388058359258824</v>
      </c>
      <c r="G121" s="86">
        <f t="shared" si="131"/>
        <v>0.62603363621606922</v>
      </c>
      <c r="H121" s="86">
        <f t="shared" si="131"/>
        <v>0.64071242291435837</v>
      </c>
      <c r="I121" s="86">
        <f t="shared" si="131"/>
        <v>0.65263350253439467</v>
      </c>
      <c r="J121" s="86">
        <f t="shared" si="131"/>
        <v>0.66069605338238435</v>
      </c>
      <c r="K121" s="86">
        <f t="shared" si="131"/>
        <v>0.67554028579592718</v>
      </c>
      <c r="L121" s="86">
        <f t="shared" si="131"/>
        <v>0.6764891252260179</v>
      </c>
      <c r="M121" s="86">
        <f t="shared" si="131"/>
        <v>0.69155236455125857</v>
      </c>
      <c r="N121" s="86">
        <f t="shared" si="131"/>
        <v>0.69865169678062367</v>
      </c>
      <c r="O121" s="86">
        <f t="shared" si="131"/>
        <v>0.70446663910665486</v>
      </c>
      <c r="P121" s="86">
        <f t="shared" si="131"/>
        <v>0.71386396623003612</v>
      </c>
      <c r="Q121" s="86">
        <f t="shared" si="131"/>
        <v>0.72051402198025094</v>
      </c>
      <c r="R121" s="86">
        <f t="shared" si="131"/>
        <v>0.73302839036993983</v>
      </c>
      <c r="S121" s="86">
        <f t="shared" si="131"/>
        <v>0.74814827031171449</v>
      </c>
      <c r="T121" s="86">
        <f t="shared" si="131"/>
        <v>0.75827800605304452</v>
      </c>
      <c r="U121" s="86">
        <f t="shared" si="131"/>
        <v>0.77583772732365275</v>
      </c>
      <c r="V121" s="86">
        <f t="shared" si="131"/>
        <v>0.79456888247212354</v>
      </c>
      <c r="W121" s="86">
        <f t="shared" si="131"/>
        <v>0.80499181165632516</v>
      </c>
      <c r="X121" s="86">
        <f t="shared" ref="X121:Y121" si="132">IF(X107=0,"",X107/X100)</f>
        <v>0.81976347121860427</v>
      </c>
      <c r="Y121" s="86">
        <f t="shared" si="132"/>
        <v>0.83526405945840931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0.53408524005614266</v>
      </c>
      <c r="C122" s="75">
        <f t="shared" ref="C122:W122" si="134">IF(C108=0,"",C108/C101)</f>
        <v>0.54604582302938054</v>
      </c>
      <c r="D122" s="75">
        <f t="shared" si="134"/>
        <v>0.56173296859686817</v>
      </c>
      <c r="E122" s="75">
        <f t="shared" si="134"/>
        <v>0.57795638629295587</v>
      </c>
      <c r="F122" s="75">
        <f t="shared" si="134"/>
        <v>0.58590142081365781</v>
      </c>
      <c r="G122" s="75">
        <f t="shared" si="134"/>
        <v>0.60162843177748226</v>
      </c>
      <c r="H122" s="75">
        <f t="shared" si="134"/>
        <v>0.61836470556631673</v>
      </c>
      <c r="I122" s="75">
        <f t="shared" si="134"/>
        <v>0.62988474068716316</v>
      </c>
      <c r="J122" s="75">
        <f t="shared" si="134"/>
        <v>0.64028154143858851</v>
      </c>
      <c r="K122" s="75">
        <f t="shared" si="134"/>
        <v>0.65189381291637094</v>
      </c>
      <c r="L122" s="75">
        <f t="shared" si="134"/>
        <v>0.65411555355251116</v>
      </c>
      <c r="M122" s="75">
        <f t="shared" si="134"/>
        <v>0.66961076999643065</v>
      </c>
      <c r="N122" s="75">
        <f t="shared" si="134"/>
        <v>0.6752883026689932</v>
      </c>
      <c r="O122" s="75">
        <f t="shared" si="134"/>
        <v>0.68320667335437923</v>
      </c>
      <c r="P122" s="75">
        <f t="shared" si="134"/>
        <v>0.6855324082143297</v>
      </c>
      <c r="Q122" s="75">
        <f t="shared" si="134"/>
        <v>0.69679606265263017</v>
      </c>
      <c r="R122" s="75">
        <f t="shared" si="134"/>
        <v>0.70547558678938171</v>
      </c>
      <c r="S122" s="75">
        <f t="shared" si="134"/>
        <v>0.72016260202513938</v>
      </c>
      <c r="T122" s="75">
        <f t="shared" si="134"/>
        <v>0.73285406975388812</v>
      </c>
      <c r="U122" s="75">
        <f t="shared" si="134"/>
        <v>0.75091126440925482</v>
      </c>
      <c r="V122" s="75">
        <f t="shared" si="134"/>
        <v>0.76353263418407469</v>
      </c>
      <c r="W122" s="75">
        <f t="shared" si="134"/>
        <v>0.77732789066789121</v>
      </c>
      <c r="X122" s="75">
        <f t="shared" ref="X122:Y122" si="135">IF(X108=0,"",X108/X101)</f>
        <v>0.79216629101901459</v>
      </c>
      <c r="Y122" s="75">
        <f t="shared" si="135"/>
        <v>0.81010864595304732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2.2920432340332391</v>
      </c>
      <c r="C123" s="76">
        <f t="shared" ref="C123:W123" si="137">IF(C109=0,"",C109/C102)</f>
        <v>2.4280503362718968</v>
      </c>
      <c r="D123" s="76">
        <f t="shared" si="137"/>
        <v>2.5762952977823055</v>
      </c>
      <c r="E123" s="76">
        <f t="shared" si="137"/>
        <v>2.7181683110250332</v>
      </c>
      <c r="F123" s="76">
        <f t="shared" si="137"/>
        <v>2.8789438652544552</v>
      </c>
      <c r="G123" s="76">
        <f t="shared" si="137"/>
        <v>3.0643010114850018</v>
      </c>
      <c r="H123" s="76">
        <f t="shared" si="137"/>
        <v>3.2562280818210012</v>
      </c>
      <c r="I123" s="76">
        <f t="shared" si="137"/>
        <v>3.4465799028557536</v>
      </c>
      <c r="J123" s="76">
        <f t="shared" si="137"/>
        <v>3.6535548567302216</v>
      </c>
      <c r="K123" s="76">
        <f t="shared" si="137"/>
        <v>3.7302332709949733</v>
      </c>
      <c r="L123" s="76">
        <f t="shared" si="137"/>
        <v>3.8420552945981363</v>
      </c>
      <c r="M123" s="76">
        <f t="shared" si="137"/>
        <v>3.9997248525604356</v>
      </c>
      <c r="N123" s="76">
        <f t="shared" si="137"/>
        <v>4.1649349082246161</v>
      </c>
      <c r="O123" s="76">
        <f t="shared" si="137"/>
        <v>4.3466667141764015</v>
      </c>
      <c r="P123" s="76">
        <f t="shared" si="137"/>
        <v>4.5499467863707617</v>
      </c>
      <c r="Q123" s="76">
        <f t="shared" si="137"/>
        <v>4.7558158915260851</v>
      </c>
      <c r="R123" s="76">
        <f t="shared" si="137"/>
        <v>4.9298665251459743</v>
      </c>
      <c r="S123" s="76">
        <f t="shared" si="137"/>
        <v>5.1076939325430724</v>
      </c>
      <c r="T123" s="76">
        <f t="shared" si="137"/>
        <v>5.2715950276653265</v>
      </c>
      <c r="U123" s="76">
        <f t="shared" si="137"/>
        <v>5.4069826485922805</v>
      </c>
      <c r="V123" s="76">
        <f t="shared" si="137"/>
        <v>5.5302721320295944</v>
      </c>
      <c r="W123" s="76">
        <f t="shared" si="137"/>
        <v>5.6511371150742953</v>
      </c>
      <c r="X123" s="76">
        <f t="shared" ref="X123:Y123" si="138">IF(X109=0,"",X109/X102)</f>
        <v>5.7262349785792042</v>
      </c>
      <c r="Y123" s="76">
        <f t="shared" si="138"/>
        <v>5.8003722699942095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0.60344905327453202</v>
      </c>
      <c r="C124" s="76">
        <f t="shared" ref="C124:W124" si="140">IF(C110=0,"",C110/C103)</f>
        <v>0.60675065401388906</v>
      </c>
      <c r="D124" s="76">
        <f t="shared" si="140"/>
        <v>0.61102558533922324</v>
      </c>
      <c r="E124" s="76">
        <f t="shared" si="140"/>
        <v>0.6165768699497769</v>
      </c>
      <c r="F124" s="76">
        <f t="shared" si="140"/>
        <v>0.62003504560831613</v>
      </c>
      <c r="G124" s="76">
        <f t="shared" si="140"/>
        <v>0.62740650862180047</v>
      </c>
      <c r="H124" s="76">
        <f t="shared" si="140"/>
        <v>0.63381238956839958</v>
      </c>
      <c r="I124" s="76">
        <f t="shared" si="140"/>
        <v>0.64002763865137824</v>
      </c>
      <c r="J124" s="76">
        <f t="shared" si="140"/>
        <v>0.64488275841689768</v>
      </c>
      <c r="K124" s="76">
        <f t="shared" si="140"/>
        <v>0.6491721105647531</v>
      </c>
      <c r="L124" s="76">
        <f t="shared" si="140"/>
        <v>0.65308902175397143</v>
      </c>
      <c r="M124" s="76">
        <f t="shared" si="140"/>
        <v>0.66041465563427282</v>
      </c>
      <c r="N124" s="76">
        <f t="shared" si="140"/>
        <v>0.66765547454319096</v>
      </c>
      <c r="O124" s="76">
        <f t="shared" si="140"/>
        <v>0.6769303864843873</v>
      </c>
      <c r="P124" s="76">
        <f t="shared" si="140"/>
        <v>0.68208832064553893</v>
      </c>
      <c r="Q124" s="76">
        <f t="shared" si="140"/>
        <v>0.69056398033101862</v>
      </c>
      <c r="R124" s="76">
        <f t="shared" si="140"/>
        <v>0.70249636992391973</v>
      </c>
      <c r="S124" s="76">
        <f t="shared" si="140"/>
        <v>0.71531851278734337</v>
      </c>
      <c r="T124" s="76">
        <f t="shared" si="140"/>
        <v>0.7323278431190352</v>
      </c>
      <c r="U124" s="76">
        <f t="shared" si="140"/>
        <v>0.74783006032148058</v>
      </c>
      <c r="V124" s="76">
        <f t="shared" si="140"/>
        <v>0.76778054476821478</v>
      </c>
      <c r="W124" s="76">
        <f t="shared" si="140"/>
        <v>0.7804896912047683</v>
      </c>
      <c r="X124" s="76">
        <f t="shared" ref="X124:Y124" si="141">IF(X110=0,"",X110/X103)</f>
        <v>0.79447688408890582</v>
      </c>
      <c r="Y124" s="76">
        <f t="shared" si="141"/>
        <v>0.80902343526533904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0.6662023757485146</v>
      </c>
      <c r="C125" s="56">
        <f t="shared" ref="C125:W125" si="143">IF(C111=0,"",C111/C104)</f>
        <v>0.66308391464277494</v>
      </c>
      <c r="D125" s="56">
        <f t="shared" si="143"/>
        <v>0.66495720308419259</v>
      </c>
      <c r="E125" s="56">
        <f t="shared" si="143"/>
        <v>0.66464260034254874</v>
      </c>
      <c r="F125" s="56">
        <f t="shared" si="143"/>
        <v>0.66073629462335504</v>
      </c>
      <c r="G125" s="56">
        <f t="shared" si="143"/>
        <v>0.65227657809709161</v>
      </c>
      <c r="H125" s="56">
        <f t="shared" si="143"/>
        <v>0.65230270806476853</v>
      </c>
      <c r="I125" s="56">
        <f t="shared" si="143"/>
        <v>0.65342863082583047</v>
      </c>
      <c r="J125" s="56">
        <f t="shared" si="143"/>
        <v>0.64722612076471164</v>
      </c>
      <c r="K125" s="56">
        <f t="shared" si="143"/>
        <v>0.66629932106445489</v>
      </c>
      <c r="L125" s="56">
        <f t="shared" si="143"/>
        <v>0.64857522723020378</v>
      </c>
      <c r="M125" s="56">
        <f t="shared" si="143"/>
        <v>0.65773338092396483</v>
      </c>
      <c r="N125" s="56">
        <f t="shared" si="143"/>
        <v>0.66571985501449538</v>
      </c>
      <c r="O125" s="56">
        <f t="shared" si="143"/>
        <v>0.65669555907135624</v>
      </c>
      <c r="P125" s="56">
        <f t="shared" si="143"/>
        <v>0.67954881778738663</v>
      </c>
      <c r="Q125" s="56">
        <f t="shared" si="143"/>
        <v>0.67664391021840309</v>
      </c>
      <c r="R125" s="56">
        <f t="shared" si="143"/>
        <v>0.69464398564096974</v>
      </c>
      <c r="S125" s="56">
        <f t="shared" si="143"/>
        <v>0.69859868407408743</v>
      </c>
      <c r="T125" s="56">
        <f t="shared" si="143"/>
        <v>0.6975737051718669</v>
      </c>
      <c r="U125" s="56">
        <f t="shared" si="143"/>
        <v>0.70481972840147011</v>
      </c>
      <c r="V125" s="56">
        <f t="shared" si="143"/>
        <v>0.72438642195441805</v>
      </c>
      <c r="W125" s="56">
        <f t="shared" si="143"/>
        <v>0.72332220236408895</v>
      </c>
      <c r="X125" s="56">
        <f t="shared" ref="X125:Y125" si="144">IF(X111=0,"",X111/X104)</f>
        <v>0.72315657504724973</v>
      </c>
      <c r="Y125" s="56">
        <f t="shared" si="144"/>
        <v>0.72049386368046875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390.36022596638298</v>
      </c>
      <c r="C129" s="82">
        <f t="shared" ref="C129:W129" si="146">IF(C99=0,0,C99/C$26)</f>
        <v>388.5882325941418</v>
      </c>
      <c r="D129" s="82">
        <f t="shared" si="146"/>
        <v>388.88576724995772</v>
      </c>
      <c r="E129" s="82">
        <f t="shared" si="146"/>
        <v>406.16181258471767</v>
      </c>
      <c r="F129" s="82">
        <f t="shared" si="146"/>
        <v>392.95248115802889</v>
      </c>
      <c r="G129" s="82">
        <f t="shared" si="146"/>
        <v>407.81140605196651</v>
      </c>
      <c r="H129" s="82">
        <f t="shared" si="146"/>
        <v>419.81799573584499</v>
      </c>
      <c r="I129" s="82">
        <f t="shared" si="146"/>
        <v>404.86196201923968</v>
      </c>
      <c r="J129" s="82">
        <f t="shared" si="146"/>
        <v>419.77768128159312</v>
      </c>
      <c r="K129" s="82">
        <f t="shared" si="146"/>
        <v>395.93969579036764</v>
      </c>
      <c r="L129" s="82">
        <f t="shared" si="146"/>
        <v>405.93875295953291</v>
      </c>
      <c r="M129" s="82">
        <f t="shared" si="146"/>
        <v>394.6496588830347</v>
      </c>
      <c r="N129" s="82">
        <f t="shared" si="146"/>
        <v>403.17080222921254</v>
      </c>
      <c r="O129" s="82">
        <f t="shared" si="146"/>
        <v>413.01567384270737</v>
      </c>
      <c r="P129" s="82">
        <f t="shared" si="146"/>
        <v>391.0888500913116</v>
      </c>
      <c r="Q129" s="82">
        <f t="shared" si="146"/>
        <v>424.29986625814746</v>
      </c>
      <c r="R129" s="82">
        <f t="shared" si="146"/>
        <v>414.54203796395916</v>
      </c>
      <c r="S129" s="82">
        <f t="shared" si="146"/>
        <v>405.23205478533356</v>
      </c>
      <c r="T129" s="82">
        <f t="shared" si="146"/>
        <v>436.49541331078586</v>
      </c>
      <c r="U129" s="82">
        <f t="shared" si="146"/>
        <v>442.60708746659856</v>
      </c>
      <c r="V129" s="82">
        <f t="shared" si="146"/>
        <v>400.22899279527218</v>
      </c>
      <c r="W129" s="82">
        <f t="shared" si="146"/>
        <v>427.57001351345673</v>
      </c>
      <c r="X129" s="82">
        <f t="shared" ref="X129:Y129" si="147">IF(X99=0,0,X99/X$26)</f>
        <v>444.1245689540583</v>
      </c>
      <c r="Y129" s="82">
        <f t="shared" si="147"/>
        <v>459.25444677587268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313.20417281731608</v>
      </c>
      <c r="C130" s="64">
        <f t="shared" ref="C130:W130" si="149">IF(C100=0,0,C100/C$26)</f>
        <v>309.56999041520771</v>
      </c>
      <c r="D130" s="64">
        <f t="shared" si="149"/>
        <v>306.20533284366553</v>
      </c>
      <c r="E130" s="64">
        <f t="shared" si="149"/>
        <v>320.44957909646581</v>
      </c>
      <c r="F130" s="64">
        <f t="shared" si="149"/>
        <v>304.46164940009896</v>
      </c>
      <c r="G130" s="64">
        <f t="shared" si="149"/>
        <v>317.53070400200124</v>
      </c>
      <c r="H130" s="64">
        <f t="shared" si="149"/>
        <v>328.43819625522838</v>
      </c>
      <c r="I130" s="64">
        <f t="shared" si="149"/>
        <v>313.80957951374745</v>
      </c>
      <c r="J130" s="64">
        <f t="shared" si="149"/>
        <v>326.86115034330288</v>
      </c>
      <c r="K130" s="64">
        <f t="shared" si="149"/>
        <v>299.05775868380238</v>
      </c>
      <c r="L130" s="64">
        <f t="shared" si="149"/>
        <v>306.34756296397524</v>
      </c>
      <c r="M130" s="64">
        <f t="shared" si="149"/>
        <v>294.78545504508423</v>
      </c>
      <c r="N130" s="64">
        <f t="shared" si="149"/>
        <v>301.05806471100249</v>
      </c>
      <c r="O130" s="64">
        <f t="shared" si="149"/>
        <v>309.54036596856508</v>
      </c>
      <c r="P130" s="64">
        <f t="shared" si="149"/>
        <v>286.58424088617022</v>
      </c>
      <c r="Q130" s="64">
        <f t="shared" si="149"/>
        <v>317.54625231968566</v>
      </c>
      <c r="R130" s="64">
        <f t="shared" si="149"/>
        <v>303.66428581888437</v>
      </c>
      <c r="S130" s="64">
        <f t="shared" si="149"/>
        <v>289.08460097027557</v>
      </c>
      <c r="T130" s="64">
        <f t="shared" si="149"/>
        <v>314.08333420720982</v>
      </c>
      <c r="U130" s="64">
        <f t="shared" si="149"/>
        <v>316.12168098556253</v>
      </c>
      <c r="V130" s="64">
        <f t="shared" si="149"/>
        <v>266.61967022445975</v>
      </c>
      <c r="W130" s="64">
        <f t="shared" si="149"/>
        <v>272.30020456521959</v>
      </c>
      <c r="X130" s="64">
        <f t="shared" ref="X130:Y130" si="150">IF(X100=0,0,X100/X$26)</f>
        <v>266.14861989795293</v>
      </c>
      <c r="Y130" s="64">
        <f t="shared" si="150"/>
        <v>258.52367018420199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231.34397224338883</v>
      </c>
      <c r="C131" s="65">
        <f t="shared" ref="C131:W131" si="152">IF(C101=0,0,C101/C$26)</f>
        <v>227.8670767814319</v>
      </c>
      <c r="D131" s="65">
        <f t="shared" si="152"/>
        <v>225.62413755608853</v>
      </c>
      <c r="E131" s="65">
        <f t="shared" si="152"/>
        <v>240.67993619482624</v>
      </c>
      <c r="F131" s="65">
        <f t="shared" si="152"/>
        <v>225.56744786586503</v>
      </c>
      <c r="G131" s="65">
        <f t="shared" si="152"/>
        <v>238.14276768350777</v>
      </c>
      <c r="H131" s="65">
        <f t="shared" si="152"/>
        <v>249.84061918583592</v>
      </c>
      <c r="I131" s="65">
        <f t="shared" si="152"/>
        <v>236.75875021337217</v>
      </c>
      <c r="J131" s="65">
        <f t="shared" si="152"/>
        <v>248.77386341027423</v>
      </c>
      <c r="K131" s="65">
        <f t="shared" si="152"/>
        <v>222.16526875413214</v>
      </c>
      <c r="L131" s="65">
        <f t="shared" si="152"/>
        <v>225.69744133206009</v>
      </c>
      <c r="M131" s="65">
        <f t="shared" si="152"/>
        <v>213.16913116941316</v>
      </c>
      <c r="N131" s="65">
        <f t="shared" si="152"/>
        <v>217.88365289805864</v>
      </c>
      <c r="O131" s="65">
        <f t="shared" si="152"/>
        <v>224.68561953364366</v>
      </c>
      <c r="P131" s="65">
        <f t="shared" si="152"/>
        <v>202.84927343719153</v>
      </c>
      <c r="Q131" s="65">
        <f t="shared" si="152"/>
        <v>231.00295438022621</v>
      </c>
      <c r="R131" s="65">
        <f t="shared" si="152"/>
        <v>219.78741712626487</v>
      </c>
      <c r="S131" s="65">
        <f t="shared" si="152"/>
        <v>205.94321342492546</v>
      </c>
      <c r="T131" s="65">
        <f t="shared" si="152"/>
        <v>231.74024640573285</v>
      </c>
      <c r="U131" s="65">
        <f t="shared" si="152"/>
        <v>233.56068608104709</v>
      </c>
      <c r="V131" s="65">
        <f t="shared" si="152"/>
        <v>191.97515256089463</v>
      </c>
      <c r="W131" s="65">
        <f t="shared" si="152"/>
        <v>189.88236327090979</v>
      </c>
      <c r="X131" s="65">
        <f t="shared" ref="X131:Y131" si="153">IF(X101=0,0,X101/X$26)</f>
        <v>186.10656680032835</v>
      </c>
      <c r="Y131" s="65">
        <f t="shared" si="153"/>
        <v>180.50588764128767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1.6269736011860898</v>
      </c>
      <c r="C132" s="65">
        <f t="shared" ref="C132:W132" si="155">IF(C102=0,0,C102/C$26)</f>
        <v>1.6884753182730039</v>
      </c>
      <c r="D132" s="65">
        <f t="shared" si="155"/>
        <v>1.7923675671062795</v>
      </c>
      <c r="E132" s="65">
        <f t="shared" si="155"/>
        <v>1.8322696603573883</v>
      </c>
      <c r="F132" s="65">
        <f t="shared" si="155"/>
        <v>1.8867874943834093</v>
      </c>
      <c r="G132" s="65">
        <f t="shared" si="155"/>
        <v>1.9418959199345853</v>
      </c>
      <c r="H132" s="65">
        <f t="shared" si="155"/>
        <v>2.0616300358445514</v>
      </c>
      <c r="I132" s="65">
        <f t="shared" si="155"/>
        <v>2.0820744989670361</v>
      </c>
      <c r="J132" s="65">
        <f t="shared" si="155"/>
        <v>2.0676042408568924</v>
      </c>
      <c r="K132" s="65">
        <f t="shared" si="155"/>
        <v>2.1588524394881863</v>
      </c>
      <c r="L132" s="65">
        <f t="shared" si="155"/>
        <v>2.2309168614806998</v>
      </c>
      <c r="M132" s="65">
        <f t="shared" si="155"/>
        <v>2.1944037954393787</v>
      </c>
      <c r="N132" s="65">
        <f t="shared" si="155"/>
        <v>2.2158604943435782</v>
      </c>
      <c r="O132" s="65">
        <f t="shared" si="155"/>
        <v>2.1779252361962653</v>
      </c>
      <c r="P132" s="65">
        <f t="shared" si="155"/>
        <v>2.2014352744310108</v>
      </c>
      <c r="Q132" s="65">
        <f t="shared" si="155"/>
        <v>2.1345738185918677</v>
      </c>
      <c r="R132" s="65">
        <f t="shared" si="155"/>
        <v>2.1170421629473939</v>
      </c>
      <c r="S132" s="65">
        <f t="shared" si="155"/>
        <v>2.0953556887106508</v>
      </c>
      <c r="T132" s="65">
        <f t="shared" si="155"/>
        <v>2.0944799934145713</v>
      </c>
      <c r="U132" s="65">
        <f t="shared" si="155"/>
        <v>2.1418904287764176</v>
      </c>
      <c r="V132" s="65">
        <f t="shared" si="155"/>
        <v>2.0210676225860413</v>
      </c>
      <c r="W132" s="65">
        <f t="shared" si="155"/>
        <v>2.0055904171709527</v>
      </c>
      <c r="X132" s="65">
        <f t="shared" ref="X132:Y132" si="156">IF(X102=0,0,X102/X$26)</f>
        <v>2.0703518761179209</v>
      </c>
      <c r="Y132" s="65">
        <f t="shared" si="156"/>
        <v>2.0694098482823353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41.086392394585246</v>
      </c>
      <c r="C133" s="65">
        <f t="shared" ref="C133:W133" si="158">IF(C103=0,0,C103/C$26)</f>
        <v>40.937768384332173</v>
      </c>
      <c r="D133" s="65">
        <f t="shared" si="158"/>
        <v>40.220404377807306</v>
      </c>
      <c r="E133" s="65">
        <f t="shared" si="158"/>
        <v>39.385022472113313</v>
      </c>
      <c r="F133" s="65">
        <f t="shared" si="158"/>
        <v>38.591982060726757</v>
      </c>
      <c r="G133" s="65">
        <f t="shared" si="158"/>
        <v>38.413663254991746</v>
      </c>
      <c r="H133" s="65">
        <f t="shared" si="158"/>
        <v>37.637618438591282</v>
      </c>
      <c r="I133" s="65">
        <f t="shared" si="158"/>
        <v>36.627579455625792</v>
      </c>
      <c r="J133" s="65">
        <f t="shared" si="158"/>
        <v>36.473465059253712</v>
      </c>
      <c r="K133" s="65">
        <f t="shared" si="158"/>
        <v>37.986074400175866</v>
      </c>
      <c r="L133" s="65">
        <f t="shared" si="158"/>
        <v>39.108696403889809</v>
      </c>
      <c r="M133" s="65">
        <f t="shared" si="158"/>
        <v>38.702859692589584</v>
      </c>
      <c r="N133" s="65">
        <f t="shared" si="158"/>
        <v>39.168763906906101</v>
      </c>
      <c r="O133" s="65">
        <f t="shared" si="158"/>
        <v>39.235825633032626</v>
      </c>
      <c r="P133" s="65">
        <f t="shared" si="158"/>
        <v>39.37116362572489</v>
      </c>
      <c r="Q133" s="65">
        <f t="shared" si="158"/>
        <v>40.82516193977014</v>
      </c>
      <c r="R133" s="65">
        <f t="shared" si="158"/>
        <v>39.373840112299114</v>
      </c>
      <c r="S133" s="65">
        <f t="shared" si="158"/>
        <v>38.544473689379011</v>
      </c>
      <c r="T133" s="65">
        <f t="shared" si="158"/>
        <v>37.697171270183631</v>
      </c>
      <c r="U133" s="65">
        <f t="shared" si="158"/>
        <v>37.517512692083216</v>
      </c>
      <c r="V133" s="65">
        <f t="shared" si="158"/>
        <v>34.195976577009098</v>
      </c>
      <c r="W133" s="65">
        <f t="shared" si="158"/>
        <v>36.747201388717428</v>
      </c>
      <c r="X133" s="65">
        <f t="shared" ref="X133:Y133" si="159">IF(X103=0,0,X103/X$26)</f>
        <v>35.200324393941322</v>
      </c>
      <c r="Y133" s="65">
        <f t="shared" si="159"/>
        <v>33.68892410620613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39.146834578155932</v>
      </c>
      <c r="C134" s="67">
        <f t="shared" ref="C134:W134" si="161">IF(C104=0,0,C104/C$26)</f>
        <v>39.076669931170578</v>
      </c>
      <c r="D134" s="67">
        <f t="shared" si="161"/>
        <v>38.568423342663444</v>
      </c>
      <c r="E134" s="67">
        <f t="shared" si="161"/>
        <v>38.552350769168939</v>
      </c>
      <c r="F134" s="67">
        <f t="shared" si="161"/>
        <v>38.415431979123788</v>
      </c>
      <c r="G134" s="67">
        <f t="shared" si="161"/>
        <v>39.032377143567132</v>
      </c>
      <c r="H134" s="67">
        <f t="shared" si="161"/>
        <v>38.898328594956602</v>
      </c>
      <c r="I134" s="67">
        <f t="shared" si="161"/>
        <v>38.341175345782418</v>
      </c>
      <c r="J134" s="67">
        <f t="shared" si="161"/>
        <v>39.546217632917944</v>
      </c>
      <c r="K134" s="67">
        <f t="shared" si="161"/>
        <v>36.747563090006224</v>
      </c>
      <c r="L134" s="67">
        <f t="shared" si="161"/>
        <v>39.310508366544639</v>
      </c>
      <c r="M134" s="67">
        <f t="shared" si="161"/>
        <v>40.719060387642088</v>
      </c>
      <c r="N134" s="67">
        <f t="shared" si="161"/>
        <v>41.7897874116941</v>
      </c>
      <c r="O134" s="67">
        <f t="shared" si="161"/>
        <v>43.440995565692447</v>
      </c>
      <c r="P134" s="67">
        <f t="shared" si="161"/>
        <v>42.162368548822698</v>
      </c>
      <c r="Q134" s="67">
        <f t="shared" si="161"/>
        <v>43.583562181097506</v>
      </c>
      <c r="R134" s="67">
        <f t="shared" si="161"/>
        <v>42.385986417372948</v>
      </c>
      <c r="S134" s="67">
        <f t="shared" si="161"/>
        <v>42.50155816726047</v>
      </c>
      <c r="T134" s="67">
        <f t="shared" si="161"/>
        <v>42.551436537878743</v>
      </c>
      <c r="U134" s="67">
        <f t="shared" si="161"/>
        <v>42.901591783655761</v>
      </c>
      <c r="V134" s="67">
        <f t="shared" si="161"/>
        <v>38.427473463970067</v>
      </c>
      <c r="W134" s="67">
        <f t="shared" si="161"/>
        <v>43.665049488421374</v>
      </c>
      <c r="X134" s="67">
        <f t="shared" ref="X134:Y134" si="162">IF(X104=0,0,X104/X$26)</f>
        <v>42.771376827565398</v>
      </c>
      <c r="Y134" s="67">
        <f t="shared" si="162"/>
        <v>42.259448588425876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77.156053149066935</v>
      </c>
      <c r="C135" s="68">
        <f t="shared" ref="C135:W135" si="164">IF(C105=0,0,C105/C$26)</f>
        <v>79.018242178934116</v>
      </c>
      <c r="D135" s="68">
        <f t="shared" si="164"/>
        <v>82.680434406292235</v>
      </c>
      <c r="E135" s="68">
        <f t="shared" si="164"/>
        <v>85.712233488251783</v>
      </c>
      <c r="F135" s="68">
        <f t="shared" si="164"/>
        <v>88.490831757929882</v>
      </c>
      <c r="G135" s="68">
        <f t="shared" si="164"/>
        <v>90.280702049965313</v>
      </c>
      <c r="H135" s="68">
        <f t="shared" si="164"/>
        <v>91.379799480616612</v>
      </c>
      <c r="I135" s="68">
        <f t="shared" si="164"/>
        <v>91.052382505492247</v>
      </c>
      <c r="J135" s="68">
        <f t="shared" si="164"/>
        <v>92.916530938290336</v>
      </c>
      <c r="K135" s="68">
        <f t="shared" si="164"/>
        <v>96.881937106565275</v>
      </c>
      <c r="L135" s="68">
        <f t="shared" si="164"/>
        <v>99.591189995557642</v>
      </c>
      <c r="M135" s="68">
        <f t="shared" si="164"/>
        <v>99.864203837950498</v>
      </c>
      <c r="N135" s="68">
        <f t="shared" si="164"/>
        <v>102.11273751821014</v>
      </c>
      <c r="O135" s="68">
        <f t="shared" si="164"/>
        <v>103.47530787414229</v>
      </c>
      <c r="P135" s="68">
        <f t="shared" si="164"/>
        <v>104.50460920514135</v>
      </c>
      <c r="Q135" s="68">
        <f t="shared" si="164"/>
        <v>106.75361393846174</v>
      </c>
      <c r="R135" s="68">
        <f t="shared" si="164"/>
        <v>110.87775214507475</v>
      </c>
      <c r="S135" s="68">
        <f t="shared" si="164"/>
        <v>116.1474538150579</v>
      </c>
      <c r="T135" s="68">
        <f t="shared" si="164"/>
        <v>122.41207910357609</v>
      </c>
      <c r="U135" s="68">
        <f t="shared" si="164"/>
        <v>126.48540648103602</v>
      </c>
      <c r="V135" s="68">
        <f t="shared" si="164"/>
        <v>133.60932257081237</v>
      </c>
      <c r="W135" s="68">
        <f t="shared" si="164"/>
        <v>155.26980894823726</v>
      </c>
      <c r="X135" s="68">
        <f t="shared" ref="X135:Y135" si="165">IF(X105=0,0,X105/X$26)</f>
        <v>177.97594905610529</v>
      </c>
      <c r="Y135" s="68">
        <f t="shared" si="165"/>
        <v>200.73077659167066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178.15975357768119</v>
      </c>
      <c r="C137" s="85">
        <f t="shared" ref="C137:W137" si="167">IF(C107=0,0,C107/C$26)</f>
        <v>179.27569755696246</v>
      </c>
      <c r="D137" s="85">
        <f t="shared" si="167"/>
        <v>181.58023175235769</v>
      </c>
      <c r="E137" s="85">
        <f t="shared" si="167"/>
        <v>193.99035204771275</v>
      </c>
      <c r="F137" s="85">
        <f t="shared" si="167"/>
        <v>186.90309501529475</v>
      </c>
      <c r="G137" s="85">
        <f t="shared" si="167"/>
        <v>198.78490123662121</v>
      </c>
      <c r="H137" s="85">
        <f t="shared" si="167"/>
        <v>210.43443250030893</v>
      </c>
      <c r="I137" s="85">
        <f t="shared" si="167"/>
        <v>204.80264500690262</v>
      </c>
      <c r="J137" s="85">
        <f t="shared" si="167"/>
        <v>215.9558720358464</v>
      </c>
      <c r="K137" s="85">
        <f t="shared" si="167"/>
        <v>202.02556377074526</v>
      </c>
      <c r="L137" s="85">
        <f t="shared" si="167"/>
        <v>207.24079488462206</v>
      </c>
      <c r="M137" s="85">
        <f t="shared" si="167"/>
        <v>203.85957847174674</v>
      </c>
      <c r="N137" s="85">
        <f t="shared" si="167"/>
        <v>210.33472773983266</v>
      </c>
      <c r="O137" s="85">
        <f t="shared" si="167"/>
        <v>218.06086128171901</v>
      </c>
      <c r="P137" s="85">
        <f t="shared" si="167"/>
        <v>204.58216285802555</v>
      </c>
      <c r="Q137" s="85">
        <f t="shared" si="167"/>
        <v>228.79652742361233</v>
      </c>
      <c r="R137" s="85">
        <f t="shared" si="167"/>
        <v>222.59454264665416</v>
      </c>
      <c r="S137" s="85">
        <f t="shared" si="167"/>
        <v>216.27814418966386</v>
      </c>
      <c r="T137" s="85">
        <f t="shared" si="167"/>
        <v>238.16248439713505</v>
      </c>
      <c r="U137" s="85">
        <f t="shared" si="167"/>
        <v>245.25912653357159</v>
      </c>
      <c r="V137" s="85">
        <f t="shared" si="167"/>
        <v>211.84769341533513</v>
      </c>
      <c r="W137" s="85">
        <f t="shared" si="167"/>
        <v>219.19943498734403</v>
      </c>
      <c r="X137" s="85">
        <f t="shared" ref="X137:Y137" si="168">IF(X107=0,0,X107/X$26)</f>
        <v>218.17891650758679</v>
      </c>
      <c r="Y137" s="85">
        <f t="shared" si="168"/>
        <v>215.93553022414349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123.55740095115192</v>
      </c>
      <c r="C138" s="65">
        <f t="shared" ref="C138:W138" si="170">IF(C108=0,0,C108/C$26)</f>
        <v>124.42586548241603</v>
      </c>
      <c r="D138" s="65">
        <f t="shared" si="170"/>
        <v>126.74051657648972</v>
      </c>
      <c r="E138" s="65">
        <f t="shared" si="170"/>
        <v>139.10250617638096</v>
      </c>
      <c r="F138" s="65">
        <f t="shared" si="170"/>
        <v>132.16028819392102</v>
      </c>
      <c r="G138" s="65">
        <f t="shared" si="170"/>
        <v>143.27345986057807</v>
      </c>
      <c r="H138" s="65">
        <f t="shared" si="170"/>
        <v>154.49262092135569</v>
      </c>
      <c r="I138" s="65">
        <f t="shared" si="170"/>
        <v>149.13072398356675</v>
      </c>
      <c r="J138" s="65">
        <f t="shared" si="170"/>
        <v>159.28531273396328</v>
      </c>
      <c r="K138" s="65">
        <f t="shared" si="170"/>
        <v>144.8281641457215</v>
      </c>
      <c r="L138" s="65">
        <f t="shared" si="170"/>
        <v>147.63220677230592</v>
      </c>
      <c r="M138" s="65">
        <f t="shared" si="170"/>
        <v>142.74034606182087</v>
      </c>
      <c r="N138" s="65">
        <f t="shared" si="170"/>
        <v>147.13428214485009</v>
      </c>
      <c r="O138" s="65">
        <f t="shared" si="170"/>
        <v>153.50671467214841</v>
      </c>
      <c r="P138" s="65">
        <f t="shared" si="170"/>
        <v>139.05975092392498</v>
      </c>
      <c r="Q138" s="65">
        <f t="shared" si="170"/>
        <v>160.96194907326679</v>
      </c>
      <c r="R138" s="65">
        <f t="shared" si="170"/>
        <v>155.0546570660743</v>
      </c>
      <c r="S138" s="65">
        <f t="shared" si="170"/>
        <v>148.31260044951296</v>
      </c>
      <c r="T138" s="65">
        <f t="shared" si="170"/>
        <v>169.83178270421016</v>
      </c>
      <c r="U138" s="65">
        <f t="shared" si="170"/>
        <v>175.38335010141211</v>
      </c>
      <c r="V138" s="65">
        <f t="shared" si="170"/>
        <v>146.57929393270948</v>
      </c>
      <c r="W138" s="65">
        <f t="shared" si="170"/>
        <v>147.60085691641058</v>
      </c>
      <c r="X138" s="65">
        <f t="shared" ref="X138:Y138" si="171">IF(X108=0,0,X108/X$26)</f>
        <v>147.42734875649856</v>
      </c>
      <c r="Y138" s="65">
        <f t="shared" si="171"/>
        <v>146.22938022363644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3.7290938345492703</v>
      </c>
      <c r="C139" s="65">
        <f t="shared" ref="C139:W139" si="173">IF(C109=0,0,C109/C$26)</f>
        <v>4.0997030643195655</v>
      </c>
      <c r="D139" s="65">
        <f t="shared" si="173"/>
        <v>4.6176681350334192</v>
      </c>
      <c r="E139" s="65">
        <f t="shared" si="173"/>
        <v>4.9804173280360535</v>
      </c>
      <c r="F139" s="65">
        <f t="shared" si="173"/>
        <v>5.4319552819939405</v>
      </c>
      <c r="G139" s="65">
        <f t="shared" si="173"/>
        <v>5.9505536316541479</v>
      </c>
      <c r="H139" s="65">
        <f t="shared" si="173"/>
        <v>6.7131376170426664</v>
      </c>
      <c r="I139" s="65">
        <f t="shared" si="173"/>
        <v>7.176036124388248</v>
      </c>
      <c r="J139" s="65">
        <f t="shared" si="173"/>
        <v>7.5541055159787032</v>
      </c>
      <c r="K139" s="65">
        <f t="shared" si="173"/>
        <v>8.0530231969474944</v>
      </c>
      <c r="L139" s="65">
        <f t="shared" si="173"/>
        <v>8.5713059394601814</v>
      </c>
      <c r="M139" s="65">
        <f t="shared" si="173"/>
        <v>8.7770113971718278</v>
      </c>
      <c r="N139" s="65">
        <f t="shared" si="173"/>
        <v>9.2289147246474261</v>
      </c>
      <c r="O139" s="65">
        <f t="shared" si="173"/>
        <v>9.4667151301390824</v>
      </c>
      <c r="P139" s="65">
        <f t="shared" si="173"/>
        <v>10.016413352300614</v>
      </c>
      <c r="Q139" s="65">
        <f t="shared" si="173"/>
        <v>10.151640088094723</v>
      </c>
      <c r="R139" s="65">
        <f t="shared" si="173"/>
        <v>10.436735291436987</v>
      </c>
      <c r="S139" s="65">
        <f t="shared" si="173"/>
        <v>10.702435537747004</v>
      </c>
      <c r="T139" s="65">
        <f t="shared" si="173"/>
        <v>11.041250318828761</v>
      </c>
      <c r="U139" s="65">
        <f t="shared" si="173"/>
        <v>11.581164383579969</v>
      </c>
      <c r="V139" s="65">
        <f t="shared" si="173"/>
        <v>11.177053950134892</v>
      </c>
      <c r="W139" s="65">
        <f t="shared" si="173"/>
        <v>11.333866444112111</v>
      </c>
      <c r="X139" s="65">
        <f t="shared" ref="X139:Y139" si="174">IF(X109=0,0,X109/X$26)</f>
        <v>11.855321330993519</v>
      </c>
      <c r="Y139" s="65">
        <f t="shared" si="174"/>
        <v>12.003347499229783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24.7935445929784</v>
      </c>
      <c r="C140" s="65">
        <f t="shared" ref="C140:W140" si="176">IF(C110=0,0,C110/C$26)</f>
        <v>24.839017741062655</v>
      </c>
      <c r="D140" s="65">
        <f t="shared" si="176"/>
        <v>24.575696127529962</v>
      </c>
      <c r="E140" s="65">
        <f t="shared" si="176"/>
        <v>24.283893878757254</v>
      </c>
      <c r="F140" s="65">
        <f t="shared" si="176"/>
        <v>23.928381357138033</v>
      </c>
      <c r="G140" s="65">
        <f t="shared" si="176"/>
        <v>24.100982346187919</v>
      </c>
      <c r="H140" s="65">
        <f t="shared" si="176"/>
        <v>23.8551888802272</v>
      </c>
      <c r="I140" s="65">
        <f t="shared" si="176"/>
        <v>23.442663188499914</v>
      </c>
      <c r="J140" s="65">
        <f t="shared" si="176"/>
        <v>23.521108756433872</v>
      </c>
      <c r="K140" s="65">
        <f t="shared" si="176"/>
        <v>24.659500090431905</v>
      </c>
      <c r="L140" s="65">
        <f t="shared" si="176"/>
        <v>25.541460276489456</v>
      </c>
      <c r="M140" s="65">
        <f t="shared" si="176"/>
        <v>25.559935755943133</v>
      </c>
      <c r="N140" s="65">
        <f t="shared" si="176"/>
        <v>26.151239653535605</v>
      </c>
      <c r="O140" s="65">
        <f t="shared" si="176"/>
        <v>26.559922609802808</v>
      </c>
      <c r="P140" s="65">
        <f t="shared" si="176"/>
        <v>26.854610879331418</v>
      </c>
      <c r="Q140" s="65">
        <f t="shared" si="176"/>
        <v>28.192386326786078</v>
      </c>
      <c r="R140" s="65">
        <f t="shared" si="176"/>
        <v>27.659979748854951</v>
      </c>
      <c r="S140" s="65">
        <f t="shared" si="176"/>
        <v>27.571575595657478</v>
      </c>
      <c r="T140" s="65">
        <f t="shared" si="176"/>
        <v>27.606688127982441</v>
      </c>
      <c r="U140" s="65">
        <f t="shared" si="176"/>
        <v>28.056723779632506</v>
      </c>
      <c r="V140" s="65">
        <f t="shared" si="176"/>
        <v>26.255005525177161</v>
      </c>
      <c r="W140" s="65">
        <f t="shared" si="176"/>
        <v>28.680811864519494</v>
      </c>
      <c r="X140" s="65">
        <f t="shared" ref="X140:Y140" si="177">IF(X110=0,0,X110/X$26)</f>
        <v>27.965844043417206</v>
      </c>
      <c r="Y140" s="65">
        <f t="shared" si="177"/>
        <v>27.255129110796176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26.079714199001582</v>
      </c>
      <c r="C141" s="68">
        <f t="shared" ref="C141:W141" si="179">IF(C111=0,0,C111/C$26)</f>
        <v>25.911111269164198</v>
      </c>
      <c r="D141" s="68">
        <f t="shared" si="179"/>
        <v>25.64635091330457</v>
      </c>
      <c r="E141" s="68">
        <f t="shared" si="179"/>
        <v>25.6235346645385</v>
      </c>
      <c r="F141" s="68">
        <f t="shared" si="179"/>
        <v>25.382470182241793</v>
      </c>
      <c r="G141" s="68">
        <f t="shared" si="179"/>
        <v>25.459905398201098</v>
      </c>
      <c r="H141" s="68">
        <f t="shared" si="179"/>
        <v>25.373485081683416</v>
      </c>
      <c r="I141" s="68">
        <f t="shared" si="179"/>
        <v>25.053221710447691</v>
      </c>
      <c r="J141" s="68">
        <f t="shared" si="179"/>
        <v>25.595345029470518</v>
      </c>
      <c r="K141" s="68">
        <f t="shared" si="179"/>
        <v>24.484876337644369</v>
      </c>
      <c r="L141" s="68">
        <f t="shared" si="179"/>
        <v>25.495821896366518</v>
      </c>
      <c r="M141" s="68">
        <f t="shared" si="179"/>
        <v>26.782285256810916</v>
      </c>
      <c r="N141" s="68">
        <f t="shared" si="179"/>
        <v>27.820291216799582</v>
      </c>
      <c r="O141" s="68">
        <f t="shared" si="179"/>
        <v>28.527508869628711</v>
      </c>
      <c r="P141" s="68">
        <f t="shared" si="179"/>
        <v>28.651387702468554</v>
      </c>
      <c r="Q141" s="68">
        <f t="shared" si="179"/>
        <v>29.490551935464726</v>
      </c>
      <c r="R141" s="68">
        <f t="shared" si="179"/>
        <v>29.443170540287955</v>
      </c>
      <c r="S141" s="68">
        <f t="shared" si="179"/>
        <v>29.691532606746446</v>
      </c>
      <c r="T141" s="68">
        <f t="shared" si="179"/>
        <v>29.682763246113634</v>
      </c>
      <c r="U141" s="68">
        <f t="shared" si="179"/>
        <v>30.237888268946993</v>
      </c>
      <c r="V141" s="68">
        <f t="shared" si="179"/>
        <v>27.83634000731362</v>
      </c>
      <c r="W141" s="68">
        <f t="shared" si="179"/>
        <v>31.583899762301886</v>
      </c>
      <c r="X141" s="68">
        <f t="shared" ref="X141:Y141" si="180">IF(X111=0,0,X111/X$26)</f>
        <v>30.930402376677495</v>
      </c>
      <c r="Y141" s="68">
        <f t="shared" si="180"/>
        <v>30.447673390481089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54.110050831568856</v>
      </c>
      <c r="C143" s="82">
        <f t="shared" ref="C143:W143" si="182">IF(C113=0,0,C113/C$26)</f>
        <v>51.596907817865926</v>
      </c>
      <c r="D143" s="82">
        <f t="shared" si="182"/>
        <v>47.91705308446344</v>
      </c>
      <c r="E143" s="82">
        <f t="shared" si="182"/>
        <v>48.457247889460824</v>
      </c>
      <c r="F143" s="82">
        <f t="shared" si="182"/>
        <v>45.117509108380702</v>
      </c>
      <c r="G143" s="82">
        <f t="shared" si="182"/>
        <v>44.615362856210346</v>
      </c>
      <c r="H143" s="82">
        <f t="shared" si="182"/>
        <v>42.953666166650216</v>
      </c>
      <c r="I143" s="82">
        <f t="shared" si="182"/>
        <v>39.446218108238682</v>
      </c>
      <c r="J143" s="82">
        <f t="shared" si="182"/>
        <v>40.126620599096348</v>
      </c>
      <c r="K143" s="82">
        <f t="shared" si="182"/>
        <v>33.09437457701204</v>
      </c>
      <c r="L143" s="82">
        <f t="shared" si="182"/>
        <v>36.294664969592262</v>
      </c>
      <c r="M143" s="82">
        <f t="shared" si="182"/>
        <v>32.891541736885621</v>
      </c>
      <c r="N143" s="82">
        <f t="shared" si="182"/>
        <v>34.424933387134146</v>
      </c>
      <c r="O143" s="82">
        <f t="shared" si="182"/>
        <v>36.663217630441387</v>
      </c>
      <c r="P143" s="82">
        <f t="shared" si="182"/>
        <v>33.490296007520293</v>
      </c>
      <c r="Q143" s="82">
        <f t="shared" si="182"/>
        <v>36.631758158868791</v>
      </c>
      <c r="R143" s="82">
        <f t="shared" si="182"/>
        <v>33.613147246807998</v>
      </c>
      <c r="S143" s="82">
        <f t="shared" si="182"/>
        <v>31.679577560147205</v>
      </c>
      <c r="T143" s="82">
        <f t="shared" si="182"/>
        <v>33.705828176671943</v>
      </c>
      <c r="U143" s="82">
        <f t="shared" si="182"/>
        <v>32.924021894421664</v>
      </c>
      <c r="V143" s="82">
        <f t="shared" si="182"/>
        <v>28.189210726481804</v>
      </c>
      <c r="W143" s="82">
        <f t="shared" si="182"/>
        <v>29.302400987749426</v>
      </c>
      <c r="X143" s="82">
        <f t="shared" ref="X143:Y143" si="183">IF(X113=0,0,X113/X$26)</f>
        <v>28.769658553914827</v>
      </c>
      <c r="Y143" s="82">
        <f t="shared" si="183"/>
        <v>27.521653470351303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54.110050831568856</v>
      </c>
      <c r="C144" s="64">
        <f t="shared" ref="C144:W144" si="185">IF(C114=0,0,C114/C$26)</f>
        <v>51.596907817865926</v>
      </c>
      <c r="D144" s="64">
        <f t="shared" si="185"/>
        <v>47.91705308446344</v>
      </c>
      <c r="E144" s="64">
        <f t="shared" si="185"/>
        <v>48.457247889460824</v>
      </c>
      <c r="F144" s="64">
        <f t="shared" si="185"/>
        <v>45.117509108380702</v>
      </c>
      <c r="G144" s="64">
        <f t="shared" si="185"/>
        <v>44.615362856210346</v>
      </c>
      <c r="H144" s="64">
        <f t="shared" si="185"/>
        <v>42.953666166650216</v>
      </c>
      <c r="I144" s="64">
        <f t="shared" si="185"/>
        <v>39.446218108238682</v>
      </c>
      <c r="J144" s="64">
        <f t="shared" si="185"/>
        <v>40.126620599096348</v>
      </c>
      <c r="K144" s="64">
        <f t="shared" si="185"/>
        <v>33.09437457701204</v>
      </c>
      <c r="L144" s="64">
        <f t="shared" si="185"/>
        <v>36.294664969592262</v>
      </c>
      <c r="M144" s="64">
        <f t="shared" si="185"/>
        <v>32.891541736885621</v>
      </c>
      <c r="N144" s="64">
        <f t="shared" si="185"/>
        <v>34.424933387134146</v>
      </c>
      <c r="O144" s="64">
        <f t="shared" si="185"/>
        <v>36.663217630441387</v>
      </c>
      <c r="P144" s="64">
        <f t="shared" si="185"/>
        <v>33.490296007520293</v>
      </c>
      <c r="Q144" s="64">
        <f t="shared" si="185"/>
        <v>36.631758158868791</v>
      </c>
      <c r="R144" s="64">
        <f t="shared" si="185"/>
        <v>33.613147246807998</v>
      </c>
      <c r="S144" s="64">
        <f t="shared" si="185"/>
        <v>31.679577560147205</v>
      </c>
      <c r="T144" s="64">
        <f t="shared" si="185"/>
        <v>33.705828176671943</v>
      </c>
      <c r="U144" s="64">
        <f t="shared" si="185"/>
        <v>32.924021894421664</v>
      </c>
      <c r="V144" s="64">
        <f t="shared" si="185"/>
        <v>28.189210726481804</v>
      </c>
      <c r="W144" s="64">
        <f t="shared" si="185"/>
        <v>29.302400987749426</v>
      </c>
      <c r="X144" s="64">
        <f t="shared" ref="X144:Y144" si="186">IF(X114=0,0,X114/X$26)</f>
        <v>28.769658553914827</v>
      </c>
      <c r="Y144" s="64">
        <f t="shared" si="186"/>
        <v>27.521653470351303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44.312699927873879</v>
      </c>
      <c r="C145" s="65">
        <f t="shared" ref="C145:W145" si="188">IF(C115=0,0,C115/C$26)</f>
        <v>41.665102337768772</v>
      </c>
      <c r="D145" s="65">
        <f t="shared" si="188"/>
        <v>38.262717853707628</v>
      </c>
      <c r="E145" s="65">
        <f t="shared" si="188"/>
        <v>39.045889855436265</v>
      </c>
      <c r="F145" s="65">
        <f t="shared" si="188"/>
        <v>35.599541199210336</v>
      </c>
      <c r="G145" s="65">
        <f t="shared" si="188"/>
        <v>34.848009911937915</v>
      </c>
      <c r="H145" s="65">
        <f t="shared" si="188"/>
        <v>33.420465123033622</v>
      </c>
      <c r="I145" s="65">
        <f t="shared" si="188"/>
        <v>30.198399043874833</v>
      </c>
      <c r="J145" s="65">
        <f t="shared" si="188"/>
        <v>30.421181986635489</v>
      </c>
      <c r="K145" s="65">
        <f t="shared" si="188"/>
        <v>24.498164315669193</v>
      </c>
      <c r="L145" s="65">
        <f t="shared" si="188"/>
        <v>26.339552288426493</v>
      </c>
      <c r="M145" s="65">
        <f t="shared" si="188"/>
        <v>23.286514759336168</v>
      </c>
      <c r="N145" s="65">
        <f t="shared" si="188"/>
        <v>24.934469907734197</v>
      </c>
      <c r="O145" s="65">
        <f t="shared" si="188"/>
        <v>26.461335527152901</v>
      </c>
      <c r="P145" s="65">
        <f t="shared" si="188"/>
        <v>24.448936025028999</v>
      </c>
      <c r="Q145" s="65">
        <f t="shared" si="188"/>
        <v>27.193088097460535</v>
      </c>
      <c r="R145" s="65">
        <f t="shared" si="188"/>
        <v>25.246901881029565</v>
      </c>
      <c r="S145" s="65">
        <f t="shared" si="188"/>
        <v>23.392278568580089</v>
      </c>
      <c r="T145" s="65">
        <f t="shared" si="188"/>
        <v>25.504389123225828</v>
      </c>
      <c r="U145" s="65">
        <f t="shared" si="188"/>
        <v>24.882793900989835</v>
      </c>
      <c r="V145" s="65">
        <f t="shared" si="188"/>
        <v>21.847554197227161</v>
      </c>
      <c r="W145" s="65">
        <f t="shared" si="188"/>
        <v>21.715758420685013</v>
      </c>
      <c r="X145" s="65">
        <f t="shared" ref="X145:Y145" si="189">IF(X115=0,0,X115/X$26)</f>
        <v>21.104956226320631</v>
      </c>
      <c r="Y145" s="65">
        <f t="shared" si="189"/>
        <v>19.707170017257091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1.5707621507482403E-3</v>
      </c>
      <c r="C146" s="65">
        <f t="shared" ref="C146:W146" si="191">IF(C116=0,0,C116/C$26)</f>
        <v>1.7401711345964631E-3</v>
      </c>
      <c r="D146" s="65">
        <f t="shared" si="191"/>
        <v>1.9966750141728567E-3</v>
      </c>
      <c r="E146" s="65">
        <f t="shared" si="191"/>
        <v>1.9379905580483286E-3</v>
      </c>
      <c r="F146" s="65">
        <f t="shared" si="191"/>
        <v>2.338679999256446E-3</v>
      </c>
      <c r="G146" s="65">
        <f t="shared" si="191"/>
        <v>2.6114718069224726E-3</v>
      </c>
      <c r="H146" s="65">
        <f t="shared" si="191"/>
        <v>3.2498662008008249E-3</v>
      </c>
      <c r="I146" s="65">
        <f t="shared" si="191"/>
        <v>3.3770354559037601E-3</v>
      </c>
      <c r="J146" s="65">
        <f t="shared" si="191"/>
        <v>3.4334003285509153E-3</v>
      </c>
      <c r="K146" s="65">
        <f t="shared" si="191"/>
        <v>3.9197115510720701E-3</v>
      </c>
      <c r="L146" s="65">
        <f t="shared" si="191"/>
        <v>4.2929331230580009E-3</v>
      </c>
      <c r="M146" s="65">
        <f t="shared" si="191"/>
        <v>4.6046137311823989E-3</v>
      </c>
      <c r="N146" s="65">
        <f t="shared" si="191"/>
        <v>5.3086549410345631E-3</v>
      </c>
      <c r="O146" s="65">
        <f t="shared" si="191"/>
        <v>6.4791853176951863E-3</v>
      </c>
      <c r="P146" s="65">
        <f t="shared" si="191"/>
        <v>8.4769229623131923E-3</v>
      </c>
      <c r="Q146" s="65">
        <f t="shared" si="191"/>
        <v>1.1568081023680945E-2</v>
      </c>
      <c r="R146" s="65">
        <f t="shared" si="191"/>
        <v>1.3991031090447482E-2</v>
      </c>
      <c r="S146" s="65">
        <f t="shared" si="191"/>
        <v>1.5923407627422857E-2</v>
      </c>
      <c r="T146" s="65">
        <f t="shared" si="191"/>
        <v>1.7142813930626631E-2</v>
      </c>
      <c r="U146" s="65">
        <f t="shared" si="191"/>
        <v>1.8424083487365753E-2</v>
      </c>
      <c r="V146" s="65">
        <f t="shared" si="191"/>
        <v>1.773402176812762E-2</v>
      </c>
      <c r="W146" s="65">
        <f t="shared" si="191"/>
        <v>1.7377771842784186E-2</v>
      </c>
      <c r="X146" s="65">
        <f t="shared" ref="X146:Y146" si="192">IF(X116=0,0,X116/X$26)</f>
        <v>1.9373874940073425E-2</v>
      </c>
      <c r="Y146" s="65">
        <f t="shared" si="192"/>
        <v>1.9863872350949611E-2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5.1060751020778206</v>
      </c>
      <c r="C147" s="65">
        <f t="shared" ref="C147:W147" si="194">IF(C117=0,0,C117/C$26)</f>
        <v>5.0408250116906546</v>
      </c>
      <c r="D147" s="65">
        <f t="shared" si="194"/>
        <v>4.8529509982292831</v>
      </c>
      <c r="E147" s="65">
        <f t="shared" si="194"/>
        <v>4.5514669764557372</v>
      </c>
      <c r="F147" s="65">
        <f t="shared" si="194"/>
        <v>4.440751134382265</v>
      </c>
      <c r="G147" s="65">
        <f t="shared" si="194"/>
        <v>4.1526804016375882</v>
      </c>
      <c r="H147" s="65">
        <f t="shared" si="194"/>
        <v>3.8833877419296599</v>
      </c>
      <c r="I147" s="65">
        <f t="shared" si="194"/>
        <v>3.6551418506120412</v>
      </c>
      <c r="J147" s="65">
        <f t="shared" si="194"/>
        <v>3.5800154590353612</v>
      </c>
      <c r="K147" s="65">
        <f t="shared" si="194"/>
        <v>3.6747609236728067</v>
      </c>
      <c r="L147" s="65">
        <f t="shared" si="194"/>
        <v>3.8386673745762154</v>
      </c>
      <c r="M147" s="65">
        <f t="shared" si="194"/>
        <v>3.6649795298923586</v>
      </c>
      <c r="N147" s="65">
        <f t="shared" si="194"/>
        <v>3.7413081397685404</v>
      </c>
      <c r="O147" s="65">
        <f t="shared" si="194"/>
        <v>3.7289643972767399</v>
      </c>
      <c r="P147" s="65">
        <f t="shared" si="194"/>
        <v>3.760811669359398</v>
      </c>
      <c r="Q147" s="65">
        <f t="shared" si="194"/>
        <v>3.7641434412456101</v>
      </c>
      <c r="R147" s="65">
        <f t="shared" si="194"/>
        <v>3.5350305839146308</v>
      </c>
      <c r="S147" s="65">
        <f t="shared" si="194"/>
        <v>3.46670581531991</v>
      </c>
      <c r="T147" s="65">
        <f t="shared" si="194"/>
        <v>3.1338096199181682</v>
      </c>
      <c r="U147" s="65">
        <f t="shared" si="194"/>
        <v>3.0345589616350339</v>
      </c>
      <c r="V147" s="65">
        <f t="shared" si="194"/>
        <v>2.3871197009406075</v>
      </c>
      <c r="W147" s="65">
        <f t="shared" si="194"/>
        <v>2.8719971230725241</v>
      </c>
      <c r="X147" s="65">
        <f t="shared" ref="X147:Y147" si="195">IF(X117=0,0,X117/X$26)</f>
        <v>2.8529386909529038</v>
      </c>
      <c r="Y147" s="65">
        <f t="shared" si="195"/>
        <v>2.7702642902091186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4.6897050394663937</v>
      </c>
      <c r="C148" s="67">
        <f t="shared" ref="C148:W148" si="197">IF(C118=0,0,C118/C$26)</f>
        <v>4.889240297271896</v>
      </c>
      <c r="D148" s="67">
        <f t="shared" si="197"/>
        <v>4.7993875575123637</v>
      </c>
      <c r="E148" s="67">
        <f t="shared" si="197"/>
        <v>4.8579530670107705</v>
      </c>
      <c r="F148" s="67">
        <f t="shared" si="197"/>
        <v>5.074878094788839</v>
      </c>
      <c r="G148" s="67">
        <f t="shared" si="197"/>
        <v>5.6120610708279157</v>
      </c>
      <c r="H148" s="67">
        <f t="shared" si="197"/>
        <v>5.6465634354861329</v>
      </c>
      <c r="I148" s="67">
        <f t="shared" si="197"/>
        <v>5.5893001782959013</v>
      </c>
      <c r="J148" s="67">
        <f t="shared" si="197"/>
        <v>6.1219897530969538</v>
      </c>
      <c r="K148" s="67">
        <f t="shared" si="197"/>
        <v>4.9175296261189709</v>
      </c>
      <c r="L148" s="67">
        <f t="shared" si="197"/>
        <v>6.1121523734664889</v>
      </c>
      <c r="M148" s="67">
        <f t="shared" si="197"/>
        <v>5.9354428339259053</v>
      </c>
      <c r="N148" s="67">
        <f t="shared" si="197"/>
        <v>5.7438466846903715</v>
      </c>
      <c r="O148" s="67">
        <f t="shared" si="197"/>
        <v>6.4664385206940498</v>
      </c>
      <c r="P148" s="67">
        <f t="shared" si="197"/>
        <v>5.2720713901695788</v>
      </c>
      <c r="Q148" s="67">
        <f t="shared" si="197"/>
        <v>5.6629585391389616</v>
      </c>
      <c r="R148" s="67">
        <f t="shared" si="197"/>
        <v>4.8172237507733495</v>
      </c>
      <c r="S148" s="67">
        <f t="shared" si="197"/>
        <v>4.8046697686197897</v>
      </c>
      <c r="T148" s="67">
        <f t="shared" si="197"/>
        <v>5.0504866195973257</v>
      </c>
      <c r="U148" s="67">
        <f t="shared" si="197"/>
        <v>4.9882449483094318</v>
      </c>
      <c r="V148" s="67">
        <f t="shared" si="197"/>
        <v>3.9368028065459106</v>
      </c>
      <c r="W148" s="67">
        <f t="shared" si="197"/>
        <v>4.6972676721491071</v>
      </c>
      <c r="X148" s="67">
        <f t="shared" ref="X148:Y148" si="198">IF(X118=0,0,X118/X$26)</f>
        <v>4.7923897617012221</v>
      </c>
      <c r="Y148" s="67">
        <f t="shared" si="198"/>
        <v>5.0243552905341442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11443.504007351059</v>
      </c>
      <c r="C153" s="82">
        <f t="shared" ref="C153:W153" si="203">IF(C99=0,0,C99/C$23)</f>
        <v>11263.471304918568</v>
      </c>
      <c r="D153" s="82">
        <f t="shared" si="203"/>
        <v>11183.142489597558</v>
      </c>
      <c r="E153" s="82">
        <f t="shared" si="203"/>
        <v>11531.352693777439</v>
      </c>
      <c r="F153" s="82">
        <f t="shared" si="203"/>
        <v>10985.667839289023</v>
      </c>
      <c r="G153" s="82">
        <f t="shared" si="203"/>
        <v>11158.41925363392</v>
      </c>
      <c r="H153" s="82">
        <f t="shared" si="203"/>
        <v>11286.678462755192</v>
      </c>
      <c r="I153" s="82">
        <f t="shared" si="203"/>
        <v>10874.542426111115</v>
      </c>
      <c r="J153" s="82">
        <f t="shared" si="203"/>
        <v>11328.433010556546</v>
      </c>
      <c r="K153" s="82">
        <f t="shared" si="203"/>
        <v>10876.949829596944</v>
      </c>
      <c r="L153" s="82">
        <f t="shared" si="203"/>
        <v>11290.710176134182</v>
      </c>
      <c r="M153" s="82">
        <f t="shared" si="203"/>
        <v>11179.572498818203</v>
      </c>
      <c r="N153" s="82">
        <f t="shared" si="203"/>
        <v>11395.605793469029</v>
      </c>
      <c r="O153" s="82">
        <f t="shared" si="203"/>
        <v>11427.631449039602</v>
      </c>
      <c r="P153" s="82">
        <f t="shared" si="203"/>
        <v>10670.848155350615</v>
      </c>
      <c r="Q153" s="82">
        <f t="shared" si="203"/>
        <v>11329.430612055463</v>
      </c>
      <c r="R153" s="82">
        <f t="shared" si="203"/>
        <v>11028.53981614168</v>
      </c>
      <c r="S153" s="82">
        <f t="shared" si="203"/>
        <v>10640.457834208151</v>
      </c>
      <c r="T153" s="82">
        <f t="shared" si="203"/>
        <v>11329.401042778662</v>
      </c>
      <c r="U153" s="82">
        <f t="shared" si="203"/>
        <v>11259.675359111567</v>
      </c>
      <c r="V153" s="82">
        <f t="shared" si="203"/>
        <v>10635.838163276117</v>
      </c>
      <c r="W153" s="82">
        <f t="shared" si="203"/>
        <v>10776.01022325144</v>
      </c>
      <c r="X153" s="82">
        <f t="shared" ref="X153:Y153" si="204">IF(X99=0,0,X99/X$23)</f>
        <v>10560.89571570487</v>
      </c>
      <c r="Y153" s="82">
        <f t="shared" si="204"/>
        <v>10571.225584163782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9181.6557331911408</v>
      </c>
      <c r="C154" s="64">
        <f t="shared" ref="C154:W154" si="206">IF(C100=0,0,C100/C$23)</f>
        <v>8973.0784708228821</v>
      </c>
      <c r="D154" s="64">
        <f t="shared" si="206"/>
        <v>8805.5109151483884</v>
      </c>
      <c r="E154" s="64">
        <f t="shared" si="206"/>
        <v>9097.8939984987519</v>
      </c>
      <c r="F154" s="64">
        <f t="shared" si="206"/>
        <v>8511.7532284175959</v>
      </c>
      <c r="G154" s="64">
        <f t="shared" si="206"/>
        <v>8688.1844611878478</v>
      </c>
      <c r="H154" s="64">
        <f t="shared" si="206"/>
        <v>8829.9604916234402</v>
      </c>
      <c r="I154" s="64">
        <f t="shared" si="206"/>
        <v>8428.8866484823466</v>
      </c>
      <c r="J154" s="64">
        <f t="shared" si="206"/>
        <v>8820.9183349451305</v>
      </c>
      <c r="K154" s="64">
        <f t="shared" si="206"/>
        <v>8215.4840041036441</v>
      </c>
      <c r="L154" s="64">
        <f t="shared" si="206"/>
        <v>8520.6980643606348</v>
      </c>
      <c r="M154" s="64">
        <f t="shared" si="206"/>
        <v>8350.6352839655374</v>
      </c>
      <c r="N154" s="64">
        <f t="shared" si="206"/>
        <v>8509.3935558379399</v>
      </c>
      <c r="O154" s="64">
        <f t="shared" si="206"/>
        <v>8564.5980162892083</v>
      </c>
      <c r="P154" s="64">
        <f t="shared" si="206"/>
        <v>7819.4428644507252</v>
      </c>
      <c r="Q154" s="64">
        <f t="shared" si="206"/>
        <v>8478.9520758069593</v>
      </c>
      <c r="R154" s="64">
        <f t="shared" si="206"/>
        <v>8078.7311302429544</v>
      </c>
      <c r="S154" s="64">
        <f t="shared" si="206"/>
        <v>7590.6939513276493</v>
      </c>
      <c r="T154" s="64">
        <f t="shared" si="206"/>
        <v>8152.1499323361477</v>
      </c>
      <c r="U154" s="64">
        <f t="shared" si="206"/>
        <v>8041.9577604316592</v>
      </c>
      <c r="V154" s="64">
        <f t="shared" si="206"/>
        <v>7085.252979421085</v>
      </c>
      <c r="W154" s="64">
        <f t="shared" si="206"/>
        <v>6862.7586019801975</v>
      </c>
      <c r="X154" s="64">
        <f t="shared" ref="X154:Y154" si="207">IF(X100=0,0,X100/X$23)</f>
        <v>6328.7825445923718</v>
      </c>
      <c r="Y154" s="64">
        <f t="shared" si="207"/>
        <v>5950.7579198179928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6781.9042447006877</v>
      </c>
      <c r="C155" s="65">
        <f t="shared" ref="C155:W155" si="209">IF(C101=0,0,C101/C$23)</f>
        <v>6604.8687669448154</v>
      </c>
      <c r="D155" s="65">
        <f t="shared" si="209"/>
        <v>6488.2469143194694</v>
      </c>
      <c r="E155" s="65">
        <f t="shared" si="209"/>
        <v>6833.151577979781</v>
      </c>
      <c r="F155" s="65">
        <f t="shared" si="209"/>
        <v>6306.1290523165981</v>
      </c>
      <c r="G155" s="65">
        <f t="shared" si="209"/>
        <v>6515.9944145718882</v>
      </c>
      <c r="H155" s="65">
        <f t="shared" si="209"/>
        <v>6716.8886620584399</v>
      </c>
      <c r="I155" s="65">
        <f t="shared" si="209"/>
        <v>6359.3108651338516</v>
      </c>
      <c r="J155" s="65">
        <f t="shared" si="209"/>
        <v>6713.5966776902869</v>
      </c>
      <c r="K155" s="65">
        <f t="shared" si="209"/>
        <v>6103.1528482989879</v>
      </c>
      <c r="L155" s="65">
        <f t="shared" si="209"/>
        <v>6277.5095479227894</v>
      </c>
      <c r="M155" s="65">
        <f t="shared" si="209"/>
        <v>6038.6210979213092</v>
      </c>
      <c r="N155" s="65">
        <f t="shared" si="209"/>
        <v>6158.4722989332768</v>
      </c>
      <c r="O155" s="65">
        <f t="shared" si="209"/>
        <v>6216.7724242529966</v>
      </c>
      <c r="P155" s="65">
        <f t="shared" si="209"/>
        <v>5534.7366583477951</v>
      </c>
      <c r="Q155" s="65">
        <f t="shared" si="209"/>
        <v>6168.11870790999</v>
      </c>
      <c r="R155" s="65">
        <f t="shared" si="209"/>
        <v>5847.2580797093779</v>
      </c>
      <c r="S155" s="65">
        <f t="shared" si="209"/>
        <v>5407.5931378382156</v>
      </c>
      <c r="T155" s="65">
        <f t="shared" si="209"/>
        <v>6014.904416449267</v>
      </c>
      <c r="U155" s="65">
        <f t="shared" si="209"/>
        <v>5941.6524868061861</v>
      </c>
      <c r="V155" s="65">
        <f t="shared" si="209"/>
        <v>5101.6210488588003</v>
      </c>
      <c r="W155" s="65">
        <f t="shared" si="209"/>
        <v>4785.5888466277338</v>
      </c>
      <c r="X155" s="65">
        <f t="shared" ref="X155:Y155" si="210">IF(X101=0,0,X101/X$23)</f>
        <v>4425.4521847663027</v>
      </c>
      <c r="Y155" s="65">
        <f t="shared" si="210"/>
        <v>4154.9264703298677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47.695122829011709</v>
      </c>
      <c r="C156" s="65">
        <f t="shared" ref="C156:W156" si="212">IF(C102=0,0,C102/C$23)</f>
        <v>48.94150594697637</v>
      </c>
      <c r="D156" s="65">
        <f t="shared" si="212"/>
        <v>51.542904330050447</v>
      </c>
      <c r="E156" s="65">
        <f t="shared" si="212"/>
        <v>52.020025095987634</v>
      </c>
      <c r="F156" s="65">
        <f t="shared" si="212"/>
        <v>52.748415369553967</v>
      </c>
      <c r="G156" s="65">
        <f t="shared" si="212"/>
        <v>53.13360170899697</v>
      </c>
      <c r="H156" s="65">
        <f t="shared" si="212"/>
        <v>55.426293203441062</v>
      </c>
      <c r="I156" s="65">
        <f t="shared" si="212"/>
        <v>55.924264557768232</v>
      </c>
      <c r="J156" s="65">
        <f t="shared" si="212"/>
        <v>55.797907271724675</v>
      </c>
      <c r="K156" s="65">
        <f t="shared" si="212"/>
        <v>59.306328522938763</v>
      </c>
      <c r="L156" s="65">
        <f t="shared" si="212"/>
        <v>62.050335244884749</v>
      </c>
      <c r="M156" s="65">
        <f t="shared" si="212"/>
        <v>62.162720201583248</v>
      </c>
      <c r="N156" s="65">
        <f t="shared" si="212"/>
        <v>62.631203815461248</v>
      </c>
      <c r="O156" s="65">
        <f t="shared" si="212"/>
        <v>60.260490095327405</v>
      </c>
      <c r="P156" s="65">
        <f t="shared" si="212"/>
        <v>60.06609887190902</v>
      </c>
      <c r="Q156" s="65">
        <f t="shared" si="212"/>
        <v>56.996261104954925</v>
      </c>
      <c r="R156" s="65">
        <f t="shared" si="212"/>
        <v>56.322113678000328</v>
      </c>
      <c r="S156" s="65">
        <f t="shared" si="212"/>
        <v>55.019200949452625</v>
      </c>
      <c r="T156" s="65">
        <f t="shared" si="212"/>
        <v>54.36300840250717</v>
      </c>
      <c r="U156" s="65">
        <f t="shared" si="212"/>
        <v>54.488487793659047</v>
      </c>
      <c r="V156" s="65">
        <f t="shared" si="212"/>
        <v>53.708623157788075</v>
      </c>
      <c r="W156" s="65">
        <f t="shared" si="212"/>
        <v>50.546722539065783</v>
      </c>
      <c r="X156" s="65">
        <f t="shared" ref="X156:Y156" si="213">IF(X102=0,0,X102/X$23)</f>
        <v>49.23116572899405</v>
      </c>
      <c r="Y156" s="65">
        <f t="shared" si="213"/>
        <v>47.634156807541657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1204.4574850090505</v>
      </c>
      <c r="C157" s="65">
        <f t="shared" ref="C157:W157" si="215">IF(C103=0,0,C103/C$23)</f>
        <v>1186.6066463364116</v>
      </c>
      <c r="D157" s="65">
        <f t="shared" si="215"/>
        <v>1156.6134608807836</v>
      </c>
      <c r="E157" s="65">
        <f t="shared" si="215"/>
        <v>1118.1814018607647</v>
      </c>
      <c r="F157" s="65">
        <f t="shared" si="215"/>
        <v>1078.9057621663076</v>
      </c>
      <c r="G157" s="65">
        <f t="shared" si="215"/>
        <v>1051.063686071815</v>
      </c>
      <c r="H157" s="65">
        <f t="shared" si="215"/>
        <v>1011.8758646247694</v>
      </c>
      <c r="I157" s="65">
        <f t="shared" si="215"/>
        <v>983.8122721369175</v>
      </c>
      <c r="J157" s="65">
        <f t="shared" si="215"/>
        <v>984.30008075979231</v>
      </c>
      <c r="K157" s="65">
        <f t="shared" si="215"/>
        <v>1043.5241272014468</v>
      </c>
      <c r="L157" s="65">
        <f t="shared" si="215"/>
        <v>1087.7625091062926</v>
      </c>
      <c r="M157" s="65">
        <f t="shared" si="215"/>
        <v>1096.3684273020774</v>
      </c>
      <c r="N157" s="65">
        <f t="shared" si="215"/>
        <v>1107.1034668993657</v>
      </c>
      <c r="O157" s="65">
        <f t="shared" si="215"/>
        <v>1085.6066327009073</v>
      </c>
      <c r="P157" s="65">
        <f t="shared" si="215"/>
        <v>1074.2410801317476</v>
      </c>
      <c r="Q157" s="65">
        <f t="shared" si="215"/>
        <v>1090.0918812478458</v>
      </c>
      <c r="R157" s="65">
        <f t="shared" si="215"/>
        <v>1047.5076678004855</v>
      </c>
      <c r="S157" s="65">
        <f t="shared" si="215"/>
        <v>1012.0888567190084</v>
      </c>
      <c r="T157" s="65">
        <f t="shared" si="215"/>
        <v>978.44412214736758</v>
      </c>
      <c r="U157" s="65">
        <f t="shared" si="215"/>
        <v>954.42442101897893</v>
      </c>
      <c r="V157" s="65">
        <f t="shared" si="215"/>
        <v>908.73694623690926</v>
      </c>
      <c r="W157" s="65">
        <f t="shared" si="215"/>
        <v>926.13655150125658</v>
      </c>
      <c r="X157" s="65">
        <f t="shared" ref="X157:Y157" si="216">IF(X103=0,0,X103/X$23)</f>
        <v>837.03307826199386</v>
      </c>
      <c r="Y157" s="65">
        <f t="shared" si="216"/>
        <v>775.45948420240302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1147.5988806523933</v>
      </c>
      <c r="C158" s="67">
        <f t="shared" ref="C158:W158" si="218">IF(C104=0,0,C104/C$23)</f>
        <v>1132.6615515946773</v>
      </c>
      <c r="D158" s="67">
        <f t="shared" si="218"/>
        <v>1109.1076356180856</v>
      </c>
      <c r="E158" s="67">
        <f t="shared" si="218"/>
        <v>1094.5409935622197</v>
      </c>
      <c r="F158" s="67">
        <f t="shared" si="218"/>
        <v>1073.9699985651368</v>
      </c>
      <c r="G158" s="67">
        <f t="shared" si="218"/>
        <v>1067.9927588351466</v>
      </c>
      <c r="H158" s="67">
        <f t="shared" si="218"/>
        <v>1045.7696717367885</v>
      </c>
      <c r="I158" s="67">
        <f t="shared" si="218"/>
        <v>1029.839246653808</v>
      </c>
      <c r="J158" s="67">
        <f t="shared" si="218"/>
        <v>1067.2236692233241</v>
      </c>
      <c r="K158" s="67">
        <f t="shared" si="218"/>
        <v>1009.5007000802723</v>
      </c>
      <c r="L158" s="67">
        <f t="shared" si="218"/>
        <v>1093.3756720866686</v>
      </c>
      <c r="M158" s="67">
        <f t="shared" si="218"/>
        <v>1153.4830385405669</v>
      </c>
      <c r="N158" s="67">
        <f t="shared" si="218"/>
        <v>1181.1865861898343</v>
      </c>
      <c r="O158" s="67">
        <f t="shared" si="218"/>
        <v>1201.958469239974</v>
      </c>
      <c r="P158" s="67">
        <f t="shared" si="218"/>
        <v>1150.3990270992708</v>
      </c>
      <c r="Q158" s="67">
        <f t="shared" si="218"/>
        <v>1163.7452255441697</v>
      </c>
      <c r="R158" s="67">
        <f t="shared" si="218"/>
        <v>1127.6432690550896</v>
      </c>
      <c r="S158" s="67">
        <f t="shared" si="218"/>
        <v>1115.9927558209733</v>
      </c>
      <c r="T158" s="67">
        <f t="shared" si="218"/>
        <v>1104.4383853370064</v>
      </c>
      <c r="U158" s="67">
        <f t="shared" si="218"/>
        <v>1091.3923648128343</v>
      </c>
      <c r="V158" s="67">
        <f t="shared" si="218"/>
        <v>1021.1863611675888</v>
      </c>
      <c r="W158" s="67">
        <f t="shared" si="218"/>
        <v>1100.4864813121414</v>
      </c>
      <c r="X158" s="67">
        <f t="shared" ref="X158:Y158" si="219">IF(X104=0,0,X104/X$23)</f>
        <v>1017.0661158350817</v>
      </c>
      <c r="Y158" s="67">
        <f t="shared" si="219"/>
        <v>972.73780847818045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2261.8482741599178</v>
      </c>
      <c r="C159" s="68">
        <f t="shared" ref="C159:W159" si="221">IF(C105=0,0,C105/C$23)</f>
        <v>2290.3928340956872</v>
      </c>
      <c r="D159" s="68">
        <f t="shared" si="221"/>
        <v>2377.6315744491699</v>
      </c>
      <c r="E159" s="68">
        <f t="shared" si="221"/>
        <v>2433.4586952786854</v>
      </c>
      <c r="F159" s="68">
        <f t="shared" si="221"/>
        <v>2473.9146108714249</v>
      </c>
      <c r="G159" s="68">
        <f t="shared" si="221"/>
        <v>2470.2347924460714</v>
      </c>
      <c r="H159" s="68">
        <f t="shared" si="221"/>
        <v>2456.7179711317517</v>
      </c>
      <c r="I159" s="68">
        <f t="shared" si="221"/>
        <v>2445.6557776287696</v>
      </c>
      <c r="J159" s="68">
        <f t="shared" si="221"/>
        <v>2507.5146756114168</v>
      </c>
      <c r="K159" s="68">
        <f t="shared" si="221"/>
        <v>2661.4658254933006</v>
      </c>
      <c r="L159" s="68">
        <f t="shared" si="221"/>
        <v>2770.0121117735453</v>
      </c>
      <c r="M159" s="68">
        <f t="shared" si="221"/>
        <v>2828.937214852665</v>
      </c>
      <c r="N159" s="68">
        <f t="shared" si="221"/>
        <v>2886.2122376310913</v>
      </c>
      <c r="O159" s="68">
        <f t="shared" si="221"/>
        <v>2863.0334327503938</v>
      </c>
      <c r="P159" s="68">
        <f t="shared" si="221"/>
        <v>2851.4052908998892</v>
      </c>
      <c r="Q159" s="68">
        <f t="shared" si="221"/>
        <v>2850.4785362485013</v>
      </c>
      <c r="R159" s="68">
        <f t="shared" si="221"/>
        <v>2949.8086858987244</v>
      </c>
      <c r="S159" s="68">
        <f t="shared" si="221"/>
        <v>3049.7638828804998</v>
      </c>
      <c r="T159" s="68">
        <f t="shared" si="221"/>
        <v>3177.2511104425153</v>
      </c>
      <c r="U159" s="68">
        <f t="shared" si="221"/>
        <v>3217.7175986799089</v>
      </c>
      <c r="V159" s="68">
        <f t="shared" si="221"/>
        <v>3550.5851838550307</v>
      </c>
      <c r="W159" s="68">
        <f t="shared" si="221"/>
        <v>3913.2516212712444</v>
      </c>
      <c r="X159" s="68">
        <f t="shared" ref="X159:Y159" si="222">IF(X105=0,0,X105/X$23)</f>
        <v>4232.1131711124972</v>
      </c>
      <c r="Y159" s="68">
        <f t="shared" si="222"/>
        <v>4620.4676643457879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5222.7960698804563</v>
      </c>
      <c r="C161" s="85">
        <f t="shared" ref="C161:W161" si="224">IF(C107=0,0,C107/C$23)</f>
        <v>5196.4174561382433</v>
      </c>
      <c r="D161" s="85">
        <f t="shared" si="224"/>
        <v>5221.681470475527</v>
      </c>
      <c r="E161" s="85">
        <f t="shared" si="224"/>
        <v>5507.5861376939174</v>
      </c>
      <c r="F161" s="85">
        <f t="shared" si="224"/>
        <v>5225.2000392570908</v>
      </c>
      <c r="G161" s="85">
        <f t="shared" si="224"/>
        <v>5439.0957103533783</v>
      </c>
      <c r="H161" s="85">
        <f t="shared" si="224"/>
        <v>5657.4653808261137</v>
      </c>
      <c r="I161" s="85">
        <f t="shared" si="224"/>
        <v>5500.9738158644286</v>
      </c>
      <c r="J161" s="85">
        <f t="shared" si="224"/>
        <v>5827.9459311065611</v>
      </c>
      <c r="K161" s="85">
        <f t="shared" si="224"/>
        <v>5549.8904120840434</v>
      </c>
      <c r="L161" s="85">
        <f t="shared" si="224"/>
        <v>5764.1595798743501</v>
      </c>
      <c r="M161" s="85">
        <f t="shared" si="224"/>
        <v>5774.9015761315386</v>
      </c>
      <c r="N161" s="85">
        <f t="shared" si="224"/>
        <v>5945.1022463602803</v>
      </c>
      <c r="O161" s="85">
        <f t="shared" si="224"/>
        <v>6033.473579834782</v>
      </c>
      <c r="P161" s="85">
        <f t="shared" si="224"/>
        <v>5582.0184969259499</v>
      </c>
      <c r="Q161" s="85">
        <f t="shared" si="224"/>
        <v>6109.2038623174703</v>
      </c>
      <c r="R161" s="85">
        <f t="shared" si="224"/>
        <v>5921.9392766335177</v>
      </c>
      <c r="S161" s="85">
        <f t="shared" si="224"/>
        <v>5678.9645501513751</v>
      </c>
      <c r="T161" s="85">
        <f t="shared" si="224"/>
        <v>6181.5959957373161</v>
      </c>
      <c r="U161" s="85">
        <f t="shared" si="224"/>
        <v>6239.2542320861103</v>
      </c>
      <c r="V161" s="85">
        <f t="shared" si="224"/>
        <v>5629.7215418908954</v>
      </c>
      <c r="W161" s="85">
        <f t="shared" si="224"/>
        <v>5524.4644799680682</v>
      </c>
      <c r="X161" s="85">
        <f t="shared" ref="X161:Y161" si="225">IF(X107=0,0,X107/X$23)</f>
        <v>5188.1047473427534</v>
      </c>
      <c r="Y161" s="85">
        <f t="shared" si="225"/>
        <v>4970.454216961456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3622.1149565687392</v>
      </c>
      <c r="C162" s="65">
        <f t="shared" ref="C162:W162" si="227">IF(C108=0,0,C108/C$23)</f>
        <v>3606.5610018474313</v>
      </c>
      <c r="D162" s="65">
        <f t="shared" si="227"/>
        <v>3644.6622001701448</v>
      </c>
      <c r="E162" s="65">
        <f t="shared" si="227"/>
        <v>3949.2635930012029</v>
      </c>
      <c r="F162" s="65">
        <f t="shared" si="227"/>
        <v>3694.7699715865801</v>
      </c>
      <c r="G162" s="65">
        <f t="shared" si="227"/>
        <v>3920.207501109719</v>
      </c>
      <c r="H162" s="65">
        <f t="shared" si="227"/>
        <v>4153.4868798354983</v>
      </c>
      <c r="I162" s="65">
        <f t="shared" si="227"/>
        <v>4005.6328752338954</v>
      </c>
      <c r="J162" s="65">
        <f t="shared" si="227"/>
        <v>4298.5920293885238</v>
      </c>
      <c r="K162" s="65">
        <f t="shared" si="227"/>
        <v>3978.607581089037</v>
      </c>
      <c r="L162" s="65">
        <f t="shared" si="227"/>
        <v>4106.2166328706899</v>
      </c>
      <c r="M162" s="65">
        <f t="shared" si="227"/>
        <v>4043.5257230957795</v>
      </c>
      <c r="N162" s="65">
        <f t="shared" si="227"/>
        <v>4158.7443057806649</v>
      </c>
      <c r="O162" s="65">
        <f t="shared" si="227"/>
        <v>4247.3404069751296</v>
      </c>
      <c r="P162" s="65">
        <f t="shared" si="227"/>
        <v>3794.2413502292961</v>
      </c>
      <c r="Q162" s="65">
        <f t="shared" si="227"/>
        <v>4297.92082964571</v>
      </c>
      <c r="R162" s="65">
        <f t="shared" si="227"/>
        <v>4125.0978248919264</v>
      </c>
      <c r="S162" s="65">
        <f t="shared" si="227"/>
        <v>3894.3463448388575</v>
      </c>
      <c r="T162" s="65">
        <f t="shared" si="227"/>
        <v>4408.0471807754811</v>
      </c>
      <c r="U162" s="65">
        <f t="shared" si="227"/>
        <v>4461.653781548026</v>
      </c>
      <c r="V162" s="65">
        <f t="shared" si="227"/>
        <v>3895.254158044082</v>
      </c>
      <c r="W162" s="65">
        <f t="shared" si="227"/>
        <v>3719.9716837529222</v>
      </c>
      <c r="X162" s="65">
        <f t="shared" ref="X162:Y162" si="228">IF(X108=0,0,X108/X$23)</f>
        <v>3505.6940432883166</v>
      </c>
      <c r="Y162" s="65">
        <f t="shared" si="228"/>
        <v>3365.9418569134036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109.31928357662056</v>
      </c>
      <c r="C163" s="65">
        <f t="shared" ref="C163:W163" si="230">IF(C109=0,0,C109/C$23)</f>
        <v>118.83243997220902</v>
      </c>
      <c r="D163" s="65">
        <f t="shared" si="230"/>
        <v>132.7897420595522</v>
      </c>
      <c r="E163" s="65">
        <f t="shared" si="230"/>
        <v>141.39918375464055</v>
      </c>
      <c r="F163" s="65">
        <f t="shared" si="230"/>
        <v>151.8597268300712</v>
      </c>
      <c r="G163" s="65">
        <f t="shared" si="230"/>
        <v>162.81734946072064</v>
      </c>
      <c r="H163" s="65">
        <f t="shared" si="230"/>
        <v>180.4806524002893</v>
      </c>
      <c r="I163" s="65">
        <f t="shared" si="230"/>
        <v>192.74744630679231</v>
      </c>
      <c r="J163" s="65">
        <f t="shared" si="230"/>
        <v>203.86071510799223</v>
      </c>
      <c r="K163" s="65">
        <f t="shared" si="230"/>
        <v>221.22643983682434</v>
      </c>
      <c r="L163" s="65">
        <f t="shared" si="230"/>
        <v>238.40081905919882</v>
      </c>
      <c r="M163" s="65">
        <f t="shared" si="230"/>
        <v>248.63377689303317</v>
      </c>
      <c r="N163" s="65">
        <f t="shared" si="230"/>
        <v>260.85488711514535</v>
      </c>
      <c r="O163" s="65">
        <f t="shared" si="230"/>
        <v>261.93226647731638</v>
      </c>
      <c r="P163" s="65">
        <f t="shared" si="230"/>
        <v>273.29755353207088</v>
      </c>
      <c r="Q163" s="65">
        <f t="shared" si="230"/>
        <v>271.06372432051472</v>
      </c>
      <c r="R163" s="65">
        <f t="shared" si="230"/>
        <v>277.66050284664004</v>
      </c>
      <c r="S163" s="65">
        <f t="shared" si="230"/>
        <v>281.02123886288723</v>
      </c>
      <c r="T163" s="65">
        <f t="shared" si="230"/>
        <v>286.57976478358518</v>
      </c>
      <c r="U163" s="65">
        <f t="shared" si="230"/>
        <v>294.61830804834671</v>
      </c>
      <c r="V163" s="65">
        <f t="shared" si="230"/>
        <v>297.02330189919473</v>
      </c>
      <c r="W163" s="65">
        <f t="shared" si="230"/>
        <v>285.64645978587708</v>
      </c>
      <c r="X163" s="65">
        <f t="shared" ref="X163:Y163" si="231">IF(X109=0,0,X109/X$23)</f>
        <v>281.90922323359553</v>
      </c>
      <c r="Y163" s="65">
        <f t="shared" si="231"/>
        <v>276.29584225102053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726.82872903813541</v>
      </c>
      <c r="C164" s="65">
        <f t="shared" ref="C164:W164" si="233">IF(C110=0,0,C110/C$23)</f>
        <v>719.97435872184519</v>
      </c>
      <c r="D164" s="65">
        <f t="shared" si="233"/>
        <v>706.72041694590541</v>
      </c>
      <c r="E164" s="65">
        <f t="shared" si="233"/>
        <v>689.44478879536405</v>
      </c>
      <c r="F164" s="65">
        <f t="shared" si="233"/>
        <v>668.95938345186164</v>
      </c>
      <c r="G164" s="65">
        <f t="shared" si="233"/>
        <v>659.4441976174777</v>
      </c>
      <c r="H164" s="65">
        <f t="shared" si="233"/>
        <v>641.33945970441562</v>
      </c>
      <c r="I164" s="65">
        <f t="shared" si="233"/>
        <v>629.66704541203842</v>
      </c>
      <c r="J164" s="65">
        <f t="shared" si="233"/>
        <v>634.75815119035008</v>
      </c>
      <c r="K164" s="65">
        <f t="shared" si="233"/>
        <v>677.42676008060516</v>
      </c>
      <c r="L164" s="65">
        <f t="shared" si="233"/>
        <v>710.40575297287398</v>
      </c>
      <c r="M164" s="65">
        <f t="shared" si="233"/>
        <v>724.05777736499067</v>
      </c>
      <c r="N164" s="65">
        <f t="shared" si="233"/>
        <v>739.16369056110796</v>
      </c>
      <c r="O164" s="65">
        <f t="shared" si="233"/>
        <v>734.88011744423954</v>
      </c>
      <c r="P164" s="65">
        <f t="shared" si="233"/>
        <v>732.72729431551352</v>
      </c>
      <c r="Q164" s="65">
        <f t="shared" si="233"/>
        <v>752.77818844104058</v>
      </c>
      <c r="R164" s="65">
        <f t="shared" si="233"/>
        <v>735.87033409731237</v>
      </c>
      <c r="S164" s="65">
        <f t="shared" si="233"/>
        <v>723.96589579688373</v>
      </c>
      <c r="T164" s="65">
        <f t="shared" si="233"/>
        <v>716.54187358467959</v>
      </c>
      <c r="U164" s="65">
        <f t="shared" si="233"/>
        <v>713.7472723429172</v>
      </c>
      <c r="V164" s="65">
        <f t="shared" si="233"/>
        <v>697.71054763277812</v>
      </c>
      <c r="W164" s="65">
        <f t="shared" si="233"/>
        <v>722.84003109466471</v>
      </c>
      <c r="X164" s="65">
        <f t="shared" ref="X164:Y164" si="234">IF(X110=0,0,X110/X$23)</f>
        <v>665.0034318969341</v>
      </c>
      <c r="Y164" s="65">
        <f t="shared" si="234"/>
        <v>627.36489581851595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764.53310069696045</v>
      </c>
      <c r="C165" s="68">
        <f t="shared" ref="C165:W165" si="236">IF(C111=0,0,C111/C$23)</f>
        <v>751.04965559675804</v>
      </c>
      <c r="D165" s="68">
        <f t="shared" si="236"/>
        <v>737.50911129992414</v>
      </c>
      <c r="E165" s="68">
        <f t="shared" si="236"/>
        <v>727.4785721427105</v>
      </c>
      <c r="F165" s="68">
        <f t="shared" si="236"/>
        <v>709.61095738857853</v>
      </c>
      <c r="G165" s="68">
        <f t="shared" si="236"/>
        <v>696.62666216546177</v>
      </c>
      <c r="H165" s="68">
        <f t="shared" si="236"/>
        <v>682.15838888591122</v>
      </c>
      <c r="I165" s="68">
        <f t="shared" si="236"/>
        <v>672.92644891170244</v>
      </c>
      <c r="J165" s="68">
        <f t="shared" si="236"/>
        <v>690.73503541969387</v>
      </c>
      <c r="K165" s="68">
        <f t="shared" si="236"/>
        <v>672.6296310775773</v>
      </c>
      <c r="L165" s="68">
        <f t="shared" si="236"/>
        <v>709.136374971588</v>
      </c>
      <c r="M165" s="68">
        <f t="shared" si="236"/>
        <v>758.68429877773508</v>
      </c>
      <c r="N165" s="68">
        <f t="shared" si="236"/>
        <v>786.33936290336317</v>
      </c>
      <c r="O165" s="68">
        <f t="shared" si="236"/>
        <v>789.32078893809626</v>
      </c>
      <c r="P165" s="68">
        <f t="shared" si="236"/>
        <v>781.75229884906935</v>
      </c>
      <c r="Q165" s="68">
        <f t="shared" si="236"/>
        <v>787.44111991020429</v>
      </c>
      <c r="R165" s="68">
        <f t="shared" si="236"/>
        <v>783.31061479763991</v>
      </c>
      <c r="S165" s="68">
        <f t="shared" si="236"/>
        <v>779.63107065274642</v>
      </c>
      <c r="T165" s="68">
        <f t="shared" si="236"/>
        <v>770.42717659356958</v>
      </c>
      <c r="U165" s="68">
        <f t="shared" si="236"/>
        <v>769.23487014682019</v>
      </c>
      <c r="V165" s="68">
        <f t="shared" si="236"/>
        <v>739.73353431484168</v>
      </c>
      <c r="W165" s="68">
        <f t="shared" si="236"/>
        <v>796.00630533460503</v>
      </c>
      <c r="X165" s="68">
        <f t="shared" ref="X165:Y165" si="237">IF(X111=0,0,X111/X$23)</f>
        <v>735.49804892390705</v>
      </c>
      <c r="Y165" s="68">
        <f t="shared" si="237"/>
        <v>700.85162197851605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1586.2491676658487</v>
      </c>
      <c r="C167" s="82">
        <f t="shared" ref="C167:W167" si="239">IF(C113=0,0,C113/C$23)</f>
        <v>1495.5684240599485</v>
      </c>
      <c r="D167" s="82">
        <f t="shared" si="239"/>
        <v>1377.9450868427818</v>
      </c>
      <c r="E167" s="82">
        <f t="shared" si="239"/>
        <v>1375.7512367478535</v>
      </c>
      <c r="F167" s="82">
        <f t="shared" si="239"/>
        <v>1261.3381835383793</v>
      </c>
      <c r="G167" s="82">
        <f t="shared" si="239"/>
        <v>1220.7528198442856</v>
      </c>
      <c r="H167" s="82">
        <f t="shared" si="239"/>
        <v>1154.7961824975043</v>
      </c>
      <c r="I167" s="82">
        <f t="shared" si="239"/>
        <v>1059.5205591264937</v>
      </c>
      <c r="J167" s="82">
        <f t="shared" si="239"/>
        <v>1082.8868557495982</v>
      </c>
      <c r="K167" s="82">
        <f t="shared" si="239"/>
        <v>909.14312392318038</v>
      </c>
      <c r="L167" s="82">
        <f t="shared" si="239"/>
        <v>1009.493526114289</v>
      </c>
      <c r="M167" s="82">
        <f t="shared" si="239"/>
        <v>931.74634050399504</v>
      </c>
      <c r="N167" s="82">
        <f t="shared" si="239"/>
        <v>973.01929647966665</v>
      </c>
      <c r="O167" s="82">
        <f t="shared" si="239"/>
        <v>1014.4257599680753</v>
      </c>
      <c r="P167" s="82">
        <f t="shared" si="239"/>
        <v>913.78177437315105</v>
      </c>
      <c r="Q167" s="82">
        <f t="shared" si="239"/>
        <v>978.12183142664696</v>
      </c>
      <c r="R167" s="82">
        <f t="shared" si="239"/>
        <v>894.24931323728515</v>
      </c>
      <c r="S167" s="82">
        <f t="shared" si="239"/>
        <v>831.83253953796827</v>
      </c>
      <c r="T167" s="82">
        <f t="shared" si="239"/>
        <v>874.84732541877906</v>
      </c>
      <c r="U167" s="82">
        <f t="shared" si="239"/>
        <v>837.56859875282805</v>
      </c>
      <c r="V167" s="82">
        <f t="shared" si="239"/>
        <v>749.11085562137544</v>
      </c>
      <c r="W167" s="82">
        <f t="shared" si="239"/>
        <v>738.50588822890643</v>
      </c>
      <c r="X167" s="82">
        <f t="shared" ref="X167:Y167" si="240">IF(X113=0,0,X113/X$23)</f>
        <v>684.11744137433789</v>
      </c>
      <c r="Y167" s="82">
        <f t="shared" si="240"/>
        <v>633.49981546559138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1586.2491676658487</v>
      </c>
      <c r="C168" s="64">
        <f t="shared" ref="C168:W168" si="242">IF(C114=0,0,C114/C$23)</f>
        <v>1495.5684240599485</v>
      </c>
      <c r="D168" s="64">
        <f t="shared" si="242"/>
        <v>1377.9450868427818</v>
      </c>
      <c r="E168" s="64">
        <f t="shared" si="242"/>
        <v>1375.7512367478535</v>
      </c>
      <c r="F168" s="64">
        <f t="shared" si="242"/>
        <v>1261.3381835383793</v>
      </c>
      <c r="G168" s="64">
        <f t="shared" si="242"/>
        <v>1220.7528198442856</v>
      </c>
      <c r="H168" s="64">
        <f t="shared" si="242"/>
        <v>1154.7961824975043</v>
      </c>
      <c r="I168" s="64">
        <f t="shared" si="242"/>
        <v>1059.5205591264937</v>
      </c>
      <c r="J168" s="64">
        <f t="shared" si="242"/>
        <v>1082.8868557495982</v>
      </c>
      <c r="K168" s="64">
        <f t="shared" si="242"/>
        <v>909.14312392318038</v>
      </c>
      <c r="L168" s="64">
        <f t="shared" si="242"/>
        <v>1009.493526114289</v>
      </c>
      <c r="M168" s="64">
        <f t="shared" si="242"/>
        <v>931.74634050399504</v>
      </c>
      <c r="N168" s="64">
        <f t="shared" si="242"/>
        <v>973.01929647966665</v>
      </c>
      <c r="O168" s="64">
        <f t="shared" si="242"/>
        <v>1014.4257599680753</v>
      </c>
      <c r="P168" s="64">
        <f t="shared" si="242"/>
        <v>913.78177437315105</v>
      </c>
      <c r="Q168" s="64">
        <f t="shared" si="242"/>
        <v>978.12183142664696</v>
      </c>
      <c r="R168" s="64">
        <f t="shared" si="242"/>
        <v>894.24931323728515</v>
      </c>
      <c r="S168" s="64">
        <f t="shared" si="242"/>
        <v>831.83253953796827</v>
      </c>
      <c r="T168" s="64">
        <f t="shared" si="242"/>
        <v>874.84732541877906</v>
      </c>
      <c r="U168" s="64">
        <f t="shared" si="242"/>
        <v>837.56859875282805</v>
      </c>
      <c r="V168" s="64">
        <f t="shared" si="242"/>
        <v>749.11085562137544</v>
      </c>
      <c r="W168" s="64">
        <f t="shared" si="242"/>
        <v>738.50588822890643</v>
      </c>
      <c r="X168" s="64">
        <f t="shared" ref="X168:Y168" si="243">IF(X114=0,0,X114/X$23)</f>
        <v>684.11744137433789</v>
      </c>
      <c r="Y168" s="64">
        <f t="shared" si="243"/>
        <v>633.49981546559138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1299.037467113362</v>
      </c>
      <c r="C169" s="65">
        <f t="shared" ref="C169:W169" si="245">IF(C115=0,0,C115/C$23)</f>
        <v>1207.6888727819626</v>
      </c>
      <c r="D169" s="65">
        <f t="shared" si="245"/>
        <v>1100.3164986551133</v>
      </c>
      <c r="E169" s="65">
        <f t="shared" si="245"/>
        <v>1108.5530771593849</v>
      </c>
      <c r="F169" s="65">
        <f t="shared" si="245"/>
        <v>995.24689014072362</v>
      </c>
      <c r="G169" s="65">
        <f t="shared" si="245"/>
        <v>953.50129736842985</v>
      </c>
      <c r="H169" s="65">
        <f t="shared" si="245"/>
        <v>898.49898706283091</v>
      </c>
      <c r="I169" s="65">
        <f t="shared" si="245"/>
        <v>811.12527826865687</v>
      </c>
      <c r="J169" s="65">
        <f t="shared" si="245"/>
        <v>820.96866414003193</v>
      </c>
      <c r="K169" s="65">
        <f t="shared" si="245"/>
        <v>672.99466815733831</v>
      </c>
      <c r="L169" s="65">
        <f t="shared" si="245"/>
        <v>732.60374598283727</v>
      </c>
      <c r="M169" s="65">
        <f t="shared" si="245"/>
        <v>659.65667051027583</v>
      </c>
      <c r="N169" s="65">
        <f t="shared" si="245"/>
        <v>704.77174479542907</v>
      </c>
      <c r="O169" s="65">
        <f t="shared" si="245"/>
        <v>732.15233514078102</v>
      </c>
      <c r="P169" s="65">
        <f t="shared" si="245"/>
        <v>667.08852431372816</v>
      </c>
      <c r="Q169" s="65">
        <f t="shared" si="245"/>
        <v>726.09545566118732</v>
      </c>
      <c r="R169" s="65">
        <f t="shared" si="245"/>
        <v>671.6724412238367</v>
      </c>
      <c r="S169" s="65">
        <f t="shared" si="245"/>
        <v>614.22720837541203</v>
      </c>
      <c r="T169" s="65">
        <f t="shared" si="245"/>
        <v>661.97591983028394</v>
      </c>
      <c r="U169" s="65">
        <f t="shared" si="245"/>
        <v>633.004281419172</v>
      </c>
      <c r="V169" s="65">
        <f t="shared" si="245"/>
        <v>580.58525216331316</v>
      </c>
      <c r="W169" s="65">
        <f t="shared" si="245"/>
        <v>547.30038906153402</v>
      </c>
      <c r="X169" s="65">
        <f t="shared" ref="X169:Y169" si="246">IF(X115=0,0,X115/X$23)</f>
        <v>501.85749082876015</v>
      </c>
      <c r="Y169" s="65">
        <f t="shared" si="246"/>
        <v>453.62421929811632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4.6047270625954678E-2</v>
      </c>
      <c r="C170" s="65">
        <f t="shared" ref="C170:W170" si="248">IF(C116=0,0,C116/C$23)</f>
        <v>5.0439941295510909E-2</v>
      </c>
      <c r="D170" s="65">
        <f t="shared" si="248"/>
        <v>5.7418149671088811E-2</v>
      </c>
      <c r="E170" s="65">
        <f t="shared" si="248"/>
        <v>5.5021550400936668E-2</v>
      </c>
      <c r="F170" s="65">
        <f t="shared" si="248"/>
        <v>6.5381853751135352E-2</v>
      </c>
      <c r="G170" s="65">
        <f t="shared" si="248"/>
        <v>7.1454345950717826E-2</v>
      </c>
      <c r="H170" s="65">
        <f t="shared" si="248"/>
        <v>8.7371659214185687E-2</v>
      </c>
      <c r="I170" s="65">
        <f t="shared" si="248"/>
        <v>9.0706756338748765E-2</v>
      </c>
      <c r="J170" s="65">
        <f t="shared" si="248"/>
        <v>9.2656297261122122E-2</v>
      </c>
      <c r="K170" s="65">
        <f t="shared" si="248"/>
        <v>0.10767929141935693</v>
      </c>
      <c r="L170" s="65">
        <f t="shared" si="248"/>
        <v>0.11940289845351709</v>
      </c>
      <c r="M170" s="65">
        <f t="shared" si="248"/>
        <v>0.13043876227462856</v>
      </c>
      <c r="N170" s="65">
        <f t="shared" si="248"/>
        <v>0.15004890896635009</v>
      </c>
      <c r="O170" s="65">
        <f t="shared" si="248"/>
        <v>0.17927102187615079</v>
      </c>
      <c r="P170" s="65">
        <f t="shared" si="248"/>
        <v>0.23129260201186841</v>
      </c>
      <c r="Q170" s="65">
        <f t="shared" si="248"/>
        <v>0.30888478101167011</v>
      </c>
      <c r="R170" s="65">
        <f t="shared" si="248"/>
        <v>0.37221953220409287</v>
      </c>
      <c r="S170" s="65">
        <f t="shared" si="248"/>
        <v>0.41811190757418237</v>
      </c>
      <c r="T170" s="65">
        <f t="shared" si="248"/>
        <v>0.44494812110091603</v>
      </c>
      <c r="U170" s="65">
        <f t="shared" si="248"/>
        <v>0.46869832122279714</v>
      </c>
      <c r="V170" s="65">
        <f t="shared" si="248"/>
        <v>0.47127066980453197</v>
      </c>
      <c r="W170" s="65">
        <f t="shared" si="248"/>
        <v>0.43797048697681823</v>
      </c>
      <c r="X170" s="65">
        <f t="shared" ref="X170:Y170" si="249">IF(X116=0,0,X116/X$23)</f>
        <v>0.46069388445021703</v>
      </c>
      <c r="Y170" s="65">
        <f t="shared" si="249"/>
        <v>0.4572312300318348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149.68582095629537</v>
      </c>
      <c r="C171" s="65">
        <f t="shared" ref="C171:W171" si="251">IF(C117=0,0,C117/C$23)</f>
        <v>146.11144422274367</v>
      </c>
      <c r="D171" s="65">
        <f t="shared" si="251"/>
        <v>139.55574381653761</v>
      </c>
      <c r="E171" s="65">
        <f t="shared" si="251"/>
        <v>129.2208409392122</v>
      </c>
      <c r="F171" s="65">
        <f t="shared" si="251"/>
        <v>124.14889651670217</v>
      </c>
      <c r="G171" s="65">
        <f t="shared" si="251"/>
        <v>113.62445547174428</v>
      </c>
      <c r="H171" s="65">
        <f t="shared" si="251"/>
        <v>104.40369215840802</v>
      </c>
      <c r="I171" s="65">
        <f t="shared" si="251"/>
        <v>98.176659841524085</v>
      </c>
      <c r="J171" s="65">
        <f t="shared" si="251"/>
        <v>96.612962320008108</v>
      </c>
      <c r="K171" s="65">
        <f t="shared" si="251"/>
        <v>100.95019677874096</v>
      </c>
      <c r="L171" s="65">
        <f t="shared" si="251"/>
        <v>106.76802959298283</v>
      </c>
      <c r="M171" s="65">
        <f t="shared" si="251"/>
        <v>103.82095470975619</v>
      </c>
      <c r="N171" s="65">
        <f t="shared" si="251"/>
        <v>105.74791745077924</v>
      </c>
      <c r="O171" s="65">
        <f t="shared" si="251"/>
        <v>103.17581999296586</v>
      </c>
      <c r="P171" s="65">
        <f t="shared" si="251"/>
        <v>102.61363947152927</v>
      </c>
      <c r="Q171" s="65">
        <f t="shared" si="251"/>
        <v>100.5081672721289</v>
      </c>
      <c r="R171" s="65">
        <f t="shared" si="251"/>
        <v>94.046494626850347</v>
      </c>
      <c r="S171" s="65">
        <f t="shared" si="251"/>
        <v>91.027688002263986</v>
      </c>
      <c r="T171" s="65">
        <f t="shared" si="251"/>
        <v>81.339195998588025</v>
      </c>
      <c r="U171" s="65">
        <f t="shared" si="251"/>
        <v>77.197473184772903</v>
      </c>
      <c r="V171" s="65">
        <f t="shared" si="251"/>
        <v>63.436230939320154</v>
      </c>
      <c r="W171" s="65">
        <f t="shared" si="251"/>
        <v>72.382696122828577</v>
      </c>
      <c r="X171" s="65">
        <f t="shared" ref="X171:Y171" si="252">IF(X117=0,0,X117/X$23)</f>
        <v>67.840399078596988</v>
      </c>
      <c r="Y171" s="65">
        <f t="shared" si="252"/>
        <v>63.766587226635579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137.47983232556535</v>
      </c>
      <c r="C172" s="67">
        <f t="shared" ref="C172:W172" si="254">IF(C118=0,0,C118/C$23)</f>
        <v>141.71766711394685</v>
      </c>
      <c r="D172" s="67">
        <f t="shared" si="254"/>
        <v>138.01542622145988</v>
      </c>
      <c r="E172" s="67">
        <f t="shared" si="254"/>
        <v>137.9222970988553</v>
      </c>
      <c r="F172" s="67">
        <f t="shared" si="254"/>
        <v>141.8770150272023</v>
      </c>
      <c r="G172" s="67">
        <f t="shared" si="254"/>
        <v>153.55561265816056</v>
      </c>
      <c r="H172" s="67">
        <f t="shared" si="254"/>
        <v>151.80613161705116</v>
      </c>
      <c r="I172" s="67">
        <f t="shared" si="254"/>
        <v>150.12791425997383</v>
      </c>
      <c r="J172" s="67">
        <f t="shared" si="254"/>
        <v>165.21257299229714</v>
      </c>
      <c r="K172" s="67">
        <f t="shared" si="254"/>
        <v>135.09057969568181</v>
      </c>
      <c r="L172" s="67">
        <f t="shared" si="254"/>
        <v>170.00234764001524</v>
      </c>
      <c r="M172" s="67">
        <f t="shared" si="254"/>
        <v>168.13827652168823</v>
      </c>
      <c r="N172" s="67">
        <f t="shared" si="254"/>
        <v>162.3495853244921</v>
      </c>
      <c r="O172" s="67">
        <f t="shared" si="254"/>
        <v>178.91833381245229</v>
      </c>
      <c r="P172" s="67">
        <f t="shared" si="254"/>
        <v>143.84831798588169</v>
      </c>
      <c r="Q172" s="67">
        <f t="shared" si="254"/>
        <v>151.20932371231891</v>
      </c>
      <c r="R172" s="67">
        <f t="shared" si="254"/>
        <v>128.15815785439395</v>
      </c>
      <c r="S172" s="67">
        <f t="shared" si="254"/>
        <v>126.1595312527182</v>
      </c>
      <c r="T172" s="67">
        <f t="shared" si="254"/>
        <v>131.08726146880622</v>
      </c>
      <c r="U172" s="67">
        <f t="shared" si="254"/>
        <v>126.8981458276604</v>
      </c>
      <c r="V172" s="67">
        <f t="shared" si="254"/>
        <v>104.61810184893766</v>
      </c>
      <c r="W172" s="67">
        <f t="shared" si="254"/>
        <v>118.38483255756708</v>
      </c>
      <c r="X172" s="67">
        <f t="shared" ref="X172:Y172" si="255">IF(X118=0,0,X118/X$23)</f>
        <v>113.9588575825306</v>
      </c>
      <c r="Y172" s="67">
        <f t="shared" si="255"/>
        <v>115.65177771080769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38283.750083238032</v>
      </c>
      <c r="C3" s="124">
        <f t="shared" si="0"/>
        <v>39254.582638946471</v>
      </c>
      <c r="D3" s="124">
        <f t="shared" si="0"/>
        <v>40237.90870685743</v>
      </c>
      <c r="E3" s="124">
        <f t="shared" si="0"/>
        <v>41027.879188671854</v>
      </c>
      <c r="F3" s="124">
        <f t="shared" si="0"/>
        <v>41942.866182603779</v>
      </c>
      <c r="G3" s="124">
        <f t="shared" si="0"/>
        <v>43315.722153451949</v>
      </c>
      <c r="H3" s="124">
        <f t="shared" si="0"/>
        <v>44569.446154301608</v>
      </c>
      <c r="I3" s="124">
        <f t="shared" si="0"/>
        <v>46944.200478403844</v>
      </c>
      <c r="J3" s="124">
        <f t="shared" si="0"/>
        <v>47612.113527688663</v>
      </c>
      <c r="K3" s="124">
        <f t="shared" si="0"/>
        <v>46345.793785309826</v>
      </c>
      <c r="L3" s="124">
        <f t="shared" si="0"/>
        <v>45768.888209650897</v>
      </c>
      <c r="M3" s="124">
        <f t="shared" si="0"/>
        <v>46089.396116691139</v>
      </c>
      <c r="N3" s="124">
        <f t="shared" si="0"/>
        <v>45988.656948038813</v>
      </c>
      <c r="O3" s="124">
        <f t="shared" si="0"/>
        <v>46223.737454862261</v>
      </c>
      <c r="P3" s="124">
        <f t="shared" si="0"/>
        <v>46936.820756884968</v>
      </c>
      <c r="Q3" s="124">
        <f t="shared" si="0"/>
        <v>47121.272763210043</v>
      </c>
      <c r="R3" s="124">
        <f t="shared" si="0"/>
        <v>48462.71636627816</v>
      </c>
      <c r="S3" s="124">
        <f t="shared" si="0"/>
        <v>49266.137486738211</v>
      </c>
      <c r="T3" s="124">
        <f t="shared" si="0"/>
        <v>50357.748526551513</v>
      </c>
      <c r="U3" s="124">
        <f t="shared" si="0"/>
        <v>51220.894197185786</v>
      </c>
      <c r="V3" s="124">
        <f t="shared" si="0"/>
        <v>51963.546666666669</v>
      </c>
      <c r="W3" s="124">
        <f t="shared" si="0"/>
        <v>52634.605419705826</v>
      </c>
      <c r="X3" s="124">
        <f t="shared" si="0"/>
        <v>53243.585036150384</v>
      </c>
      <c r="Y3" s="124">
        <f t="shared" si="0"/>
        <v>53804.35094808288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38283.750083238032</v>
      </c>
      <c r="C4" s="139">
        <f t="shared" si="1"/>
        <v>39254.582638946471</v>
      </c>
      <c r="D4" s="139">
        <f t="shared" si="1"/>
        <v>40237.90870685743</v>
      </c>
      <c r="E4" s="139">
        <f t="shared" si="1"/>
        <v>41027.879188671854</v>
      </c>
      <c r="F4" s="139">
        <f t="shared" si="1"/>
        <v>41942.866182603779</v>
      </c>
      <c r="G4" s="139">
        <f t="shared" si="1"/>
        <v>43315.722153451949</v>
      </c>
      <c r="H4" s="139">
        <f t="shared" si="1"/>
        <v>44569.446154301608</v>
      </c>
      <c r="I4" s="139">
        <f t="shared" si="1"/>
        <v>46944.200478403844</v>
      </c>
      <c r="J4" s="139">
        <f t="shared" si="1"/>
        <v>47612.113527688663</v>
      </c>
      <c r="K4" s="139">
        <f t="shared" si="1"/>
        <v>46345.793785309826</v>
      </c>
      <c r="L4" s="139">
        <f t="shared" si="1"/>
        <v>45768.888209650897</v>
      </c>
      <c r="M4" s="139">
        <f t="shared" si="1"/>
        <v>46089.396116691139</v>
      </c>
      <c r="N4" s="139">
        <f t="shared" si="1"/>
        <v>45988.656948038813</v>
      </c>
      <c r="O4" s="139">
        <f t="shared" si="1"/>
        <v>46223.737454862261</v>
      </c>
      <c r="P4" s="139">
        <f t="shared" si="1"/>
        <v>46936.820756884968</v>
      </c>
      <c r="Q4" s="139">
        <f t="shared" si="1"/>
        <v>47121.272763210043</v>
      </c>
      <c r="R4" s="139">
        <f t="shared" ref="R4:W4" si="2">SUM(R5:R14)</f>
        <v>48462.71636627816</v>
      </c>
      <c r="S4" s="139">
        <f t="shared" si="2"/>
        <v>49266.137486738211</v>
      </c>
      <c r="T4" s="139">
        <f t="shared" si="2"/>
        <v>50357.748526551513</v>
      </c>
      <c r="U4" s="139">
        <f t="shared" si="2"/>
        <v>51220.894197185786</v>
      </c>
      <c r="V4" s="139">
        <f t="shared" si="2"/>
        <v>51963.546666666669</v>
      </c>
      <c r="W4" s="139">
        <f t="shared" si="2"/>
        <v>52634.605419705826</v>
      </c>
      <c r="X4" s="139">
        <f t="shared" ref="X4:Y4" si="3">SUM(X5:X14)</f>
        <v>53243.585036150384</v>
      </c>
      <c r="Y4" s="139">
        <f t="shared" si="3"/>
        <v>53804.35094808288</v>
      </c>
      <c r="DA4" s="169" t="s">
        <v>246</v>
      </c>
    </row>
    <row r="5" spans="1:105" ht="12" customHeight="1" x14ac:dyDescent="0.25">
      <c r="A5" s="131" t="s">
        <v>29</v>
      </c>
      <c r="B5" s="140">
        <v>439.06975288077791</v>
      </c>
      <c r="C5" s="140">
        <v>431.64404143953959</v>
      </c>
      <c r="D5" s="140">
        <v>619.91421297705119</v>
      </c>
      <c r="E5" s="140">
        <v>1056.3990792536658</v>
      </c>
      <c r="F5" s="140">
        <v>1209.1689011373089</v>
      </c>
      <c r="G5" s="140">
        <v>1243.6189197719195</v>
      </c>
      <c r="H5" s="140">
        <v>1234.2334147644533</v>
      </c>
      <c r="I5" s="140">
        <v>1168.5915074848106</v>
      </c>
      <c r="J5" s="140">
        <v>971.36778696380429</v>
      </c>
      <c r="K5" s="140">
        <v>441.9345655837696</v>
      </c>
      <c r="L5" s="140">
        <v>179.36473234254913</v>
      </c>
      <c r="M5" s="140">
        <v>50.894724975178001</v>
      </c>
      <c r="N5" s="140">
        <v>37.994671127799208</v>
      </c>
      <c r="O5" s="140">
        <v>27.75097121416507</v>
      </c>
      <c r="P5" s="140">
        <v>20.653722591188178</v>
      </c>
      <c r="Q5" s="140">
        <v>20.940708743212038</v>
      </c>
      <c r="R5" s="140">
        <v>26.154919124008149</v>
      </c>
      <c r="S5" s="140">
        <v>27.569998718339466</v>
      </c>
      <c r="T5" s="140">
        <v>25.725154253366462</v>
      </c>
      <c r="U5" s="140">
        <v>20.658802296857477</v>
      </c>
      <c r="V5" s="140">
        <v>15.037506259489714</v>
      </c>
      <c r="W5" s="140">
        <v>12.778615488986301</v>
      </c>
      <c r="X5" s="140">
        <v>12.354119523331727</v>
      </c>
      <c r="Y5" s="140">
        <v>12.639248014438706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14661.257400172502</v>
      </c>
      <c r="C7" s="140">
        <v>14415.904745009182</v>
      </c>
      <c r="D7" s="140">
        <v>13152.41947070795</v>
      </c>
      <c r="E7" s="140">
        <v>11835.722023840059</v>
      </c>
      <c r="F7" s="140">
        <v>10676.78086958797</v>
      </c>
      <c r="G7" s="140">
        <v>9618.2620399713487</v>
      </c>
      <c r="H7" s="140">
        <v>8525.923769213925</v>
      </c>
      <c r="I7" s="140">
        <v>7673.6622101252451</v>
      </c>
      <c r="J7" s="140">
        <v>7037.62683086987</v>
      </c>
      <c r="K7" s="140">
        <v>6466.0878203167158</v>
      </c>
      <c r="L7" s="140">
        <v>6106.1934170776967</v>
      </c>
      <c r="M7" s="140">
        <v>5972.3974059588909</v>
      </c>
      <c r="N7" s="140">
        <v>6239.9072215004762</v>
      </c>
      <c r="O7" s="140">
        <v>6943.4914726385687</v>
      </c>
      <c r="P7" s="140">
        <v>7388.9873613451637</v>
      </c>
      <c r="Q7" s="140">
        <v>7444.8605718050803</v>
      </c>
      <c r="R7" s="140">
        <v>7297.0241263909602</v>
      </c>
      <c r="S7" s="140">
        <v>6988.8141949019218</v>
      </c>
      <c r="T7" s="140">
        <v>6719.0885609502529</v>
      </c>
      <c r="U7" s="140">
        <v>6391.4003248285799</v>
      </c>
      <c r="V7" s="140">
        <v>6342.5658298410144</v>
      </c>
      <c r="W7" s="140">
        <v>6226.9202300460665</v>
      </c>
      <c r="X7" s="140">
        <v>6142.5919185456569</v>
      </c>
      <c r="Y7" s="140">
        <v>6084.4234754246272</v>
      </c>
      <c r="DA7" s="170" t="s">
        <v>249</v>
      </c>
    </row>
    <row r="8" spans="1:105" ht="12" customHeight="1" x14ac:dyDescent="0.25">
      <c r="A8" s="131" t="s">
        <v>73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250</v>
      </c>
    </row>
    <row r="9" spans="1:105" ht="12" customHeight="1" x14ac:dyDescent="0.25">
      <c r="A9" s="131" t="s">
        <v>78</v>
      </c>
      <c r="B9" s="140">
        <v>12733.374194305699</v>
      </c>
      <c r="C9" s="140">
        <v>12387.71135071742</v>
      </c>
      <c r="D9" s="140">
        <v>12063.994886766106</v>
      </c>
      <c r="E9" s="140">
        <v>11813.259574868363</v>
      </c>
      <c r="F9" s="140">
        <v>11942.591413444346</v>
      </c>
      <c r="G9" s="140">
        <v>12002.166403670339</v>
      </c>
      <c r="H9" s="140">
        <v>12261.460255278833</v>
      </c>
      <c r="I9" s="140">
        <v>12528.570880512987</v>
      </c>
      <c r="J9" s="140">
        <v>12786.382785784055</v>
      </c>
      <c r="K9" s="140">
        <v>13204.976150520368</v>
      </c>
      <c r="L9" s="140">
        <v>13926.411086315649</v>
      </c>
      <c r="M9" s="140">
        <v>14268.497391396531</v>
      </c>
      <c r="N9" s="140">
        <v>14840.427950519204</v>
      </c>
      <c r="O9" s="140">
        <v>14829.099252059812</v>
      </c>
      <c r="P9" s="140">
        <v>15025.310089448216</v>
      </c>
      <c r="Q9" s="140">
        <v>14942.194475668019</v>
      </c>
      <c r="R9" s="140">
        <v>15119.867128141512</v>
      </c>
      <c r="S9" s="140">
        <v>15375.534361198241</v>
      </c>
      <c r="T9" s="140">
        <v>15759.569937399679</v>
      </c>
      <c r="U9" s="140">
        <v>16984.778065750896</v>
      </c>
      <c r="V9" s="140">
        <v>17492.855467982848</v>
      </c>
      <c r="W9" s="140">
        <v>18286.554023029366</v>
      </c>
      <c r="X9" s="140">
        <v>18754.921528584673</v>
      </c>
      <c r="Y9" s="140">
        <v>18441.974866559944</v>
      </c>
      <c r="DA9" s="170" t="s">
        <v>251</v>
      </c>
    </row>
    <row r="10" spans="1:105" ht="12" customHeight="1" x14ac:dyDescent="0.25">
      <c r="A10" s="131" t="s">
        <v>128</v>
      </c>
      <c r="B10" s="140">
        <v>0</v>
      </c>
      <c r="C10" s="140">
        <v>0</v>
      </c>
      <c r="D10" s="140">
        <v>0</v>
      </c>
      <c r="E10" s="140">
        <v>0</v>
      </c>
      <c r="F10" s="140">
        <v>0</v>
      </c>
      <c r="G10" s="140">
        <v>38.235012402883356</v>
      </c>
      <c r="H10" s="140">
        <v>116.65227904249339</v>
      </c>
      <c r="I10" s="140">
        <v>261.78030228657872</v>
      </c>
      <c r="J10" s="140">
        <v>411.72205680847071</v>
      </c>
      <c r="K10" s="140">
        <v>543.39568678117655</v>
      </c>
      <c r="L10" s="140">
        <v>607.15543505558719</v>
      </c>
      <c r="M10" s="140">
        <v>729.46751449236217</v>
      </c>
      <c r="N10" s="140">
        <v>879.68426614896873</v>
      </c>
      <c r="O10" s="140">
        <v>951.26427245163347</v>
      </c>
      <c r="P10" s="140">
        <v>967.61586328690487</v>
      </c>
      <c r="Q10" s="140">
        <v>948.08955253240947</v>
      </c>
      <c r="R10" s="140">
        <v>937.26156319147447</v>
      </c>
      <c r="S10" s="140">
        <v>847.5190357085097</v>
      </c>
      <c r="T10" s="140">
        <v>750.79920510887234</v>
      </c>
      <c r="U10" s="140">
        <v>670.1849934872979</v>
      </c>
      <c r="V10" s="140">
        <v>664.44174053413599</v>
      </c>
      <c r="W10" s="140">
        <v>688.51879054836854</v>
      </c>
      <c r="X10" s="140">
        <v>770.31416537420012</v>
      </c>
      <c r="Y10" s="140">
        <v>879.21775729406374</v>
      </c>
      <c r="DA10" s="170" t="s">
        <v>252</v>
      </c>
    </row>
    <row r="11" spans="1:105" ht="12" customHeight="1" x14ac:dyDescent="0.25">
      <c r="A11" s="131" t="s">
        <v>25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253</v>
      </c>
    </row>
    <row r="12" spans="1:105" ht="12" customHeight="1" x14ac:dyDescent="0.25">
      <c r="A12" s="131" t="s">
        <v>162</v>
      </c>
      <c r="B12" s="140">
        <v>0</v>
      </c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0">
        <v>0</v>
      </c>
      <c r="L12" s="140">
        <v>0</v>
      </c>
      <c r="M12" s="140">
        <v>0</v>
      </c>
      <c r="N12" s="140">
        <v>0</v>
      </c>
      <c r="O12" s="140">
        <v>0</v>
      </c>
      <c r="P12" s="140">
        <v>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  <c r="Y12" s="140">
        <v>0</v>
      </c>
      <c r="DA12" s="170" t="s">
        <v>254</v>
      </c>
    </row>
    <row r="13" spans="1:105" ht="12" customHeight="1" x14ac:dyDescent="0.25">
      <c r="A13" s="131" t="s">
        <v>77</v>
      </c>
      <c r="B13" s="140">
        <v>0.17077801904630918</v>
      </c>
      <c r="C13" s="140">
        <v>0.5358135977282158</v>
      </c>
      <c r="D13" s="140">
        <v>9.9895250368669632</v>
      </c>
      <c r="E13" s="140">
        <v>33.558322350346053</v>
      </c>
      <c r="F13" s="140">
        <v>80.710401578574107</v>
      </c>
      <c r="G13" s="140">
        <v>173.11986427692685</v>
      </c>
      <c r="H13" s="140">
        <v>305.79124290450943</v>
      </c>
      <c r="I13" s="140">
        <v>468.86562690240237</v>
      </c>
      <c r="J13" s="140">
        <v>622.70960181672308</v>
      </c>
      <c r="K13" s="140">
        <v>749.85227766281355</v>
      </c>
      <c r="L13" s="140">
        <v>837.96996712935629</v>
      </c>
      <c r="M13" s="140">
        <v>927.77786702768515</v>
      </c>
      <c r="N13" s="140">
        <v>1008.5221853941848</v>
      </c>
      <c r="O13" s="140">
        <v>1093.5491784815051</v>
      </c>
      <c r="P13" s="140">
        <v>1228.647253044127</v>
      </c>
      <c r="Q13" s="140">
        <v>1378.8271289408276</v>
      </c>
      <c r="R13" s="140">
        <v>1575.7654162473279</v>
      </c>
      <c r="S13" s="140">
        <v>1763.3346841031682</v>
      </c>
      <c r="T13" s="140">
        <v>1885.3190093441531</v>
      </c>
      <c r="U13" s="140">
        <v>2087.5876171999016</v>
      </c>
      <c r="V13" s="140">
        <v>2390.2060489411856</v>
      </c>
      <c r="W13" s="140">
        <v>2612.4983607926633</v>
      </c>
      <c r="X13" s="140">
        <v>2779.1419769329509</v>
      </c>
      <c r="Y13" s="140">
        <v>2865.6833557932837</v>
      </c>
      <c r="DA13" s="170" t="s">
        <v>255</v>
      </c>
    </row>
    <row r="14" spans="1:105" ht="12" customHeight="1" x14ac:dyDescent="0.25">
      <c r="A14" s="60" t="s">
        <v>76</v>
      </c>
      <c r="B14" s="141">
        <v>10449.877957860008</v>
      </c>
      <c r="C14" s="141">
        <v>12018.786688182598</v>
      </c>
      <c r="D14" s="141">
        <v>14391.590611369451</v>
      </c>
      <c r="E14" s="141">
        <v>16288.940188359426</v>
      </c>
      <c r="F14" s="141">
        <v>18033.614596855579</v>
      </c>
      <c r="G14" s="141">
        <v>20240.319913358529</v>
      </c>
      <c r="H14" s="141">
        <v>22125.385193097387</v>
      </c>
      <c r="I14" s="141">
        <v>24842.729951091824</v>
      </c>
      <c r="J14" s="141">
        <v>25782.304465445741</v>
      </c>
      <c r="K14" s="141">
        <v>24939.547284444983</v>
      </c>
      <c r="L14" s="141">
        <v>24111.793571730057</v>
      </c>
      <c r="M14" s="141">
        <v>24140.361212840489</v>
      </c>
      <c r="N14" s="141">
        <v>22982.120653348178</v>
      </c>
      <c r="O14" s="141">
        <v>22378.582308016579</v>
      </c>
      <c r="P14" s="141">
        <v>22305.606467169368</v>
      </c>
      <c r="Q14" s="141">
        <v>22386.360325520494</v>
      </c>
      <c r="R14" s="141">
        <v>23506.643213182881</v>
      </c>
      <c r="S14" s="141">
        <v>24263.365212108034</v>
      </c>
      <c r="T14" s="141">
        <v>25217.246659495195</v>
      </c>
      <c r="U14" s="141">
        <v>25066.284393622256</v>
      </c>
      <c r="V14" s="141">
        <v>25058.440073107995</v>
      </c>
      <c r="W14" s="141">
        <v>24807.335399800373</v>
      </c>
      <c r="X14" s="141">
        <v>24784.261327189572</v>
      </c>
      <c r="Y14" s="141">
        <v>25520.412244996522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27833.70134735898</v>
      </c>
      <c r="C15" s="143">
        <f t="shared" si="4"/>
        <v>27235.260137166144</v>
      </c>
      <c r="D15" s="143">
        <f t="shared" si="4"/>
        <v>25836.328570451107</v>
      </c>
      <c r="E15" s="143">
        <f t="shared" si="4"/>
        <v>24705.380677962086</v>
      </c>
      <c r="F15" s="143">
        <f t="shared" si="4"/>
        <v>23828.541184169626</v>
      </c>
      <c r="G15" s="143">
        <f t="shared" si="4"/>
        <v>22902.282375816489</v>
      </c>
      <c r="H15" s="143">
        <f t="shared" si="4"/>
        <v>22138.269718299707</v>
      </c>
      <c r="I15" s="143">
        <f t="shared" si="4"/>
        <v>21632.60490040962</v>
      </c>
      <c r="J15" s="143">
        <f t="shared" si="4"/>
        <v>21207.099460426198</v>
      </c>
      <c r="K15" s="143">
        <f t="shared" si="4"/>
        <v>20656.394223202031</v>
      </c>
      <c r="L15" s="143">
        <f t="shared" si="4"/>
        <v>20819.124670791483</v>
      </c>
      <c r="M15" s="143">
        <f t="shared" si="4"/>
        <v>21021.257036822964</v>
      </c>
      <c r="N15" s="143">
        <f t="shared" si="4"/>
        <v>21998.014109296448</v>
      </c>
      <c r="O15" s="143">
        <f t="shared" si="4"/>
        <v>22751.60596836418</v>
      </c>
      <c r="P15" s="143">
        <f t="shared" si="4"/>
        <v>23402.567036671473</v>
      </c>
      <c r="Q15" s="143">
        <f t="shared" si="4"/>
        <v>23356.085308748719</v>
      </c>
      <c r="R15" s="143">
        <f t="shared" ref="R15:W15" si="5">SUM(R5:R12)</f>
        <v>23380.307736847953</v>
      </c>
      <c r="S15" s="143">
        <f t="shared" si="5"/>
        <v>23239.43759052701</v>
      </c>
      <c r="T15" s="143">
        <f t="shared" si="5"/>
        <v>23255.182857712171</v>
      </c>
      <c r="U15" s="143">
        <f t="shared" si="5"/>
        <v>24067.022186363632</v>
      </c>
      <c r="V15" s="143">
        <f t="shared" si="5"/>
        <v>24514.900544617489</v>
      </c>
      <c r="W15" s="143">
        <f t="shared" si="5"/>
        <v>25214.77165911279</v>
      </c>
      <c r="X15" s="143">
        <f t="shared" ref="X15:Y15" si="6">SUM(X5:X12)</f>
        <v>25680.181732027861</v>
      </c>
      <c r="Y15" s="143">
        <f t="shared" si="6"/>
        <v>25418.255347293074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5172.4450768705556</v>
      </c>
      <c r="C16" s="139">
        <f t="shared" si="7"/>
        <v>5855.8852836708866</v>
      </c>
      <c r="D16" s="139">
        <f t="shared" si="7"/>
        <v>6652.5948466165428</v>
      </c>
      <c r="E16" s="139">
        <f t="shared" si="7"/>
        <v>7309.2513061313284</v>
      </c>
      <c r="F16" s="139">
        <f t="shared" si="7"/>
        <v>8169.9482379095716</v>
      </c>
      <c r="G16" s="139">
        <f t="shared" si="7"/>
        <v>9381.0261145947061</v>
      </c>
      <c r="H16" s="139">
        <f t="shared" si="7"/>
        <v>10720.838397021584</v>
      </c>
      <c r="I16" s="139">
        <f t="shared" si="7"/>
        <v>11892.980852829247</v>
      </c>
      <c r="J16" s="139">
        <f t="shared" si="7"/>
        <v>12926.097557839576</v>
      </c>
      <c r="K16" s="139">
        <f t="shared" si="7"/>
        <v>13445.666031512403</v>
      </c>
      <c r="L16" s="139">
        <f t="shared" si="7"/>
        <v>13974.659740755411</v>
      </c>
      <c r="M16" s="139">
        <f t="shared" si="7"/>
        <v>14466.481586758933</v>
      </c>
      <c r="N16" s="139">
        <f t="shared" si="7"/>
        <v>14878.112075051651</v>
      </c>
      <c r="O16" s="139">
        <f t="shared" si="7"/>
        <v>15515.206122305448</v>
      </c>
      <c r="P16" s="139">
        <f t="shared" si="7"/>
        <v>16360.13068956041</v>
      </c>
      <c r="Q16" s="139">
        <f t="shared" si="7"/>
        <v>17167.17121495539</v>
      </c>
      <c r="R16" s="139">
        <f t="shared" ref="R16:W16" si="8">SUM(R17:R18)</f>
        <v>17568.232983139198</v>
      </c>
      <c r="S16" s="139">
        <f t="shared" si="8"/>
        <v>18354.840571877226</v>
      </c>
      <c r="T16" s="139">
        <f t="shared" si="8"/>
        <v>19370.381773026736</v>
      </c>
      <c r="U16" s="139">
        <f t="shared" si="8"/>
        <v>20484.306154983478</v>
      </c>
      <c r="V16" s="139">
        <f t="shared" si="8"/>
        <v>21093.371002315489</v>
      </c>
      <c r="W16" s="139">
        <f t="shared" si="8"/>
        <v>21836.145065810324</v>
      </c>
      <c r="X16" s="139">
        <f t="shared" ref="X16:Y16" si="9">SUM(X17:X18)</f>
        <v>21953.790071503769</v>
      </c>
      <c r="Y16" s="139">
        <f t="shared" si="9"/>
        <v>22556.27771887165</v>
      </c>
      <c r="DA16" s="169" t="s">
        <v>257</v>
      </c>
    </row>
    <row r="17" spans="1:105" ht="12.95" customHeight="1" x14ac:dyDescent="0.25">
      <c r="A17" s="131" t="s">
        <v>73</v>
      </c>
      <c r="B17" s="140">
        <v>13.251592142039401</v>
      </c>
      <c r="C17" s="140">
        <v>15.473744195370708</v>
      </c>
      <c r="D17" s="140">
        <v>18.345294547140057</v>
      </c>
      <c r="E17" s="140">
        <v>18.531637787315322</v>
      </c>
      <c r="F17" s="140">
        <v>23.612147277063578</v>
      </c>
      <c r="G17" s="140">
        <v>28.344803402425566</v>
      </c>
      <c r="H17" s="140">
        <v>36.832575115698262</v>
      </c>
      <c r="I17" s="140">
        <v>40.936440322605577</v>
      </c>
      <c r="J17" s="140">
        <v>42.887795241910673</v>
      </c>
      <c r="K17" s="140">
        <v>48.398231761196463</v>
      </c>
      <c r="L17" s="140">
        <v>52.357419546423003</v>
      </c>
      <c r="M17" s="140">
        <v>57.886326317711919</v>
      </c>
      <c r="N17" s="140">
        <v>66.40453801089707</v>
      </c>
      <c r="O17" s="140">
        <v>84.587260330625355</v>
      </c>
      <c r="P17" s="140">
        <v>113.3640331193459</v>
      </c>
      <c r="Q17" s="140">
        <v>159.12428378671095</v>
      </c>
      <c r="R17" s="140">
        <v>200.66907630477061</v>
      </c>
      <c r="S17" s="140">
        <v>236.25840095417382</v>
      </c>
      <c r="T17" s="140">
        <v>262.49661218319682</v>
      </c>
      <c r="U17" s="140">
        <v>288.35930979427161</v>
      </c>
      <c r="V17" s="140">
        <v>316.18178311956888</v>
      </c>
      <c r="W17" s="140">
        <v>329.71626324751441</v>
      </c>
      <c r="X17" s="140">
        <v>345.93024634523397</v>
      </c>
      <c r="Y17" s="140">
        <v>349.32224767747351</v>
      </c>
      <c r="DA17" s="170" t="s">
        <v>258</v>
      </c>
    </row>
    <row r="18" spans="1:105" ht="12" customHeight="1" x14ac:dyDescent="0.25">
      <c r="A18" s="131" t="s">
        <v>72</v>
      </c>
      <c r="B18" s="140">
        <v>5159.1934847285165</v>
      </c>
      <c r="C18" s="140">
        <v>5840.4115394755163</v>
      </c>
      <c r="D18" s="140">
        <v>6634.2495520694029</v>
      </c>
      <c r="E18" s="140">
        <v>7290.7196683440134</v>
      </c>
      <c r="F18" s="140">
        <v>8146.3360906325079</v>
      </c>
      <c r="G18" s="140">
        <v>9352.6813111922802</v>
      </c>
      <c r="H18" s="140">
        <v>10684.005821905885</v>
      </c>
      <c r="I18" s="140">
        <v>11852.044412506641</v>
      </c>
      <c r="J18" s="140">
        <v>12883.209762597666</v>
      </c>
      <c r="K18" s="140">
        <v>13397.267799751206</v>
      </c>
      <c r="L18" s="140">
        <v>13922.302321208988</v>
      </c>
      <c r="M18" s="140">
        <v>14408.595260441221</v>
      </c>
      <c r="N18" s="140">
        <v>14811.707537040755</v>
      </c>
      <c r="O18" s="140">
        <v>15430.618861974823</v>
      </c>
      <c r="P18" s="140">
        <v>16246.766656441065</v>
      </c>
      <c r="Q18" s="140">
        <v>17008.046931168679</v>
      </c>
      <c r="R18" s="140">
        <v>17367.563906834428</v>
      </c>
      <c r="S18" s="140">
        <v>18118.582170923051</v>
      </c>
      <c r="T18" s="140">
        <v>19107.88516084354</v>
      </c>
      <c r="U18" s="140">
        <v>20195.946845189206</v>
      </c>
      <c r="V18" s="140">
        <v>20777.18921919592</v>
      </c>
      <c r="W18" s="140">
        <v>21506.428802562808</v>
      </c>
      <c r="X18" s="140">
        <v>21607.859825158535</v>
      </c>
      <c r="Y18" s="140">
        <v>22206.955471194178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38283.750083238032</v>
      </c>
      <c r="C19" s="139">
        <f t="shared" si="10"/>
        <v>39254.582638946464</v>
      </c>
      <c r="D19" s="139">
        <f t="shared" si="10"/>
        <v>40237.908706857415</v>
      </c>
      <c r="E19" s="139">
        <f t="shared" si="10"/>
        <v>41027.879188671868</v>
      </c>
      <c r="F19" s="139">
        <f t="shared" si="10"/>
        <v>41942.866182603771</v>
      </c>
      <c r="G19" s="139">
        <f t="shared" si="10"/>
        <v>43315.722153451949</v>
      </c>
      <c r="H19" s="139">
        <f t="shared" si="10"/>
        <v>44569.446154301586</v>
      </c>
      <c r="I19" s="139">
        <f t="shared" si="10"/>
        <v>46944.200478403836</v>
      </c>
      <c r="J19" s="139">
        <f t="shared" si="10"/>
        <v>47612.113527688663</v>
      </c>
      <c r="K19" s="139">
        <f t="shared" si="10"/>
        <v>46345.793785309819</v>
      </c>
      <c r="L19" s="139">
        <f t="shared" si="10"/>
        <v>45768.88820965089</v>
      </c>
      <c r="M19" s="139">
        <f t="shared" si="10"/>
        <v>46089.396116691132</v>
      </c>
      <c r="N19" s="139">
        <f t="shared" si="10"/>
        <v>45988.656948038813</v>
      </c>
      <c r="O19" s="139">
        <f t="shared" si="10"/>
        <v>46223.737454862261</v>
      </c>
      <c r="P19" s="139">
        <f t="shared" si="10"/>
        <v>46936.820756884983</v>
      </c>
      <c r="Q19" s="139">
        <f t="shared" si="10"/>
        <v>47121.27276321</v>
      </c>
      <c r="R19" s="139">
        <f t="shared" ref="R19:W19" si="11">SUM(R20:R26)</f>
        <v>48462.716366278175</v>
      </c>
      <c r="S19" s="139">
        <f t="shared" si="11"/>
        <v>49266.137486738182</v>
      </c>
      <c r="T19" s="139">
        <f t="shared" si="11"/>
        <v>50357.748526551506</v>
      </c>
      <c r="U19" s="139">
        <f t="shared" si="11"/>
        <v>51220.894197185757</v>
      </c>
      <c r="V19" s="139">
        <f t="shared" si="11"/>
        <v>51963.546666666676</v>
      </c>
      <c r="W19" s="139">
        <f t="shared" si="11"/>
        <v>52634.605419705826</v>
      </c>
      <c r="X19" s="139">
        <f t="shared" ref="X19:Y19" si="12">SUM(X20:X26)</f>
        <v>53243.585036150413</v>
      </c>
      <c r="Y19" s="139">
        <f t="shared" si="12"/>
        <v>53804.35094808288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262</v>
      </c>
    </row>
    <row r="22" spans="1:105" ht="12" customHeight="1" x14ac:dyDescent="0.25">
      <c r="A22" s="131" t="s">
        <v>161</v>
      </c>
      <c r="B22" s="140">
        <v>9808.3576003708549</v>
      </c>
      <c r="C22" s="140">
        <v>9787.6439295255313</v>
      </c>
      <c r="D22" s="140">
        <v>9583.2861604581813</v>
      </c>
      <c r="E22" s="140">
        <v>9289.7805732310935</v>
      </c>
      <c r="F22" s="140">
        <v>8996.6229997845585</v>
      </c>
      <c r="G22" s="140">
        <v>8599.4856124306389</v>
      </c>
      <c r="H22" s="140">
        <v>8284.0806667189663</v>
      </c>
      <c r="I22" s="140">
        <v>8043.9603309540144</v>
      </c>
      <c r="J22" s="140">
        <v>7867.537409701562</v>
      </c>
      <c r="K22" s="140">
        <v>7634.7329792090295</v>
      </c>
      <c r="L22" s="140">
        <v>7488.734602507704</v>
      </c>
      <c r="M22" s="140">
        <v>7388.9992162009457</v>
      </c>
      <c r="N22" s="140">
        <v>7301.4030070566496</v>
      </c>
      <c r="O22" s="140">
        <v>7139.9908367785711</v>
      </c>
      <c r="P22" s="140">
        <v>6962.8354495546027</v>
      </c>
      <c r="Q22" s="140">
        <v>6730.8824660737873</v>
      </c>
      <c r="R22" s="140">
        <v>6608.1280882384099</v>
      </c>
      <c r="S22" s="140">
        <v>6523.1488865551055</v>
      </c>
      <c r="T22" s="140">
        <v>6305.5676168566533</v>
      </c>
      <c r="U22" s="140">
        <v>6035.700679308392</v>
      </c>
      <c r="V22" s="140">
        <v>5778.3050152512469</v>
      </c>
      <c r="W22" s="140">
        <v>5709.513055004255</v>
      </c>
      <c r="X22" s="140">
        <v>5859.4641733378294</v>
      </c>
      <c r="Y22" s="140">
        <v>6063.492581647004</v>
      </c>
      <c r="DA22" s="170" t="s">
        <v>263</v>
      </c>
    </row>
    <row r="23" spans="1:105" ht="12" customHeight="1" x14ac:dyDescent="0.25">
      <c r="A23" s="131" t="s">
        <v>149</v>
      </c>
      <c r="B23" s="140">
        <v>8098.1900394398954</v>
      </c>
      <c r="C23" s="140">
        <v>8285.9951233066895</v>
      </c>
      <c r="D23" s="140">
        <v>8540.9688338391898</v>
      </c>
      <c r="E23" s="140">
        <v>8803.0156724767076</v>
      </c>
      <c r="F23" s="140">
        <v>9095.5499184986838</v>
      </c>
      <c r="G23" s="140">
        <v>9342.9976856759004</v>
      </c>
      <c r="H23" s="140">
        <v>9589.8412541670532</v>
      </c>
      <c r="I23" s="140">
        <v>9836.5730575119524</v>
      </c>
      <c r="J23" s="140">
        <v>9973.2890152946657</v>
      </c>
      <c r="K23" s="140">
        <v>10007.768472017229</v>
      </c>
      <c r="L23" s="140">
        <v>10045.484702333375</v>
      </c>
      <c r="M23" s="140">
        <v>10010.999701601966</v>
      </c>
      <c r="N23" s="140">
        <v>10244.129106846947</v>
      </c>
      <c r="O23" s="140">
        <v>10575.895227918783</v>
      </c>
      <c r="P23" s="140">
        <v>10940.631037224935</v>
      </c>
      <c r="Q23" s="140">
        <v>11148.375101115635</v>
      </c>
      <c r="R23" s="140">
        <v>11179.877692426151</v>
      </c>
      <c r="S23" s="140">
        <v>11105.562705025342</v>
      </c>
      <c r="T23" s="140">
        <v>10652.716785744133</v>
      </c>
      <c r="U23" s="140">
        <v>10449.314405725219</v>
      </c>
      <c r="V23" s="140">
        <v>10226.673559622581</v>
      </c>
      <c r="W23" s="140">
        <v>11097.480976972167</v>
      </c>
      <c r="X23" s="140">
        <v>11810.767455565567</v>
      </c>
      <c r="Y23" s="140">
        <v>12303.215762187896</v>
      </c>
      <c r="DA23" s="170" t="s">
        <v>264</v>
      </c>
    </row>
    <row r="24" spans="1:105" ht="12" customHeight="1" x14ac:dyDescent="0.25">
      <c r="A24" s="131" t="s">
        <v>128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265</v>
      </c>
    </row>
    <row r="25" spans="1:105" ht="12" customHeight="1" x14ac:dyDescent="0.25">
      <c r="A25" s="131" t="s">
        <v>162</v>
      </c>
      <c r="B25" s="140">
        <v>0</v>
      </c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0</v>
      </c>
      <c r="L25" s="140">
        <v>0</v>
      </c>
      <c r="M25" s="140">
        <v>0</v>
      </c>
      <c r="N25" s="140">
        <v>0</v>
      </c>
      <c r="O25" s="140">
        <v>0</v>
      </c>
      <c r="P25" s="140">
        <v>0</v>
      </c>
      <c r="Q25" s="140">
        <v>0</v>
      </c>
      <c r="R25" s="140">
        <v>0</v>
      </c>
      <c r="S25" s="140">
        <v>0</v>
      </c>
      <c r="T25" s="140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DA25" s="170" t="s">
        <v>266</v>
      </c>
    </row>
    <row r="26" spans="1:105" ht="12" customHeight="1" x14ac:dyDescent="0.25">
      <c r="A26" s="131" t="s">
        <v>24</v>
      </c>
      <c r="B26" s="141">
        <v>20377.202443427283</v>
      </c>
      <c r="C26" s="141">
        <v>21180.943586114245</v>
      </c>
      <c r="D26" s="141">
        <v>22113.653712560044</v>
      </c>
      <c r="E26" s="141">
        <v>22935.082942964069</v>
      </c>
      <c r="F26" s="141">
        <v>23850.693264320533</v>
      </c>
      <c r="G26" s="141">
        <v>25373.238855345411</v>
      </c>
      <c r="H26" s="141">
        <v>26695.524233415566</v>
      </c>
      <c r="I26" s="141">
        <v>29063.66708993787</v>
      </c>
      <c r="J26" s="141">
        <v>29771.28710269244</v>
      </c>
      <c r="K26" s="141">
        <v>28703.292334083562</v>
      </c>
      <c r="L26" s="141">
        <v>28234.668904809812</v>
      </c>
      <c r="M26" s="141">
        <v>28689.397198888219</v>
      </c>
      <c r="N26" s="141">
        <v>28443.124834135215</v>
      </c>
      <c r="O26" s="141">
        <v>28507.851390164906</v>
      </c>
      <c r="P26" s="141">
        <v>29033.354270105447</v>
      </c>
      <c r="Q26" s="141">
        <v>29242.01519602058</v>
      </c>
      <c r="R26" s="141">
        <v>30674.710585613615</v>
      </c>
      <c r="S26" s="141">
        <v>31637.425895157732</v>
      </c>
      <c r="T26" s="141">
        <v>33399.464123950718</v>
      </c>
      <c r="U26" s="141">
        <v>34735.879112152143</v>
      </c>
      <c r="V26" s="141">
        <v>35958.568091792848</v>
      </c>
      <c r="W26" s="141">
        <v>35827.611387729405</v>
      </c>
      <c r="X26" s="141">
        <v>35573.353407247014</v>
      </c>
      <c r="Y26" s="141">
        <v>35437.64260424798</v>
      </c>
      <c r="DA26" s="171" t="s">
        <v>267</v>
      </c>
    </row>
    <row r="27" spans="1:105" ht="12" customHeight="1" x14ac:dyDescent="0.25">
      <c r="A27" s="144" t="s">
        <v>26</v>
      </c>
      <c r="B27" s="150">
        <v>0</v>
      </c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81.374204713190423</v>
      </c>
      <c r="I27" s="150">
        <v>93.643751374258457</v>
      </c>
      <c r="J27" s="150">
        <v>228.3987688931249</v>
      </c>
      <c r="K27" s="150">
        <v>231.1838800175797</v>
      </c>
      <c r="L27" s="150">
        <v>342.037774008604</v>
      </c>
      <c r="M27" s="150">
        <v>372.11839529874447</v>
      </c>
      <c r="N27" s="150">
        <v>363.48412215086086</v>
      </c>
      <c r="O27" s="150">
        <v>356.61688934504105</v>
      </c>
      <c r="P27" s="150">
        <v>352.00151098294242</v>
      </c>
      <c r="Q27" s="150">
        <v>332.04906643425892</v>
      </c>
      <c r="R27" s="150">
        <v>334.06007841590639</v>
      </c>
      <c r="S27" s="150">
        <v>334.68139058578276</v>
      </c>
      <c r="T27" s="150">
        <v>332.86439940943899</v>
      </c>
      <c r="U27" s="150">
        <v>325.63174751940426</v>
      </c>
      <c r="V27" s="150">
        <v>361.45299164025994</v>
      </c>
      <c r="W27" s="150">
        <v>329.95244927697928</v>
      </c>
      <c r="X27" s="150">
        <v>323.07470233633285</v>
      </c>
      <c r="Y27" s="150">
        <v>316.27668644139487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38283.750083238032</v>
      </c>
      <c r="C29" s="139">
        <f t="shared" si="13"/>
        <v>39254.582638946478</v>
      </c>
      <c r="D29" s="139">
        <f t="shared" si="13"/>
        <v>40237.908706857415</v>
      </c>
      <c r="E29" s="139">
        <f t="shared" si="13"/>
        <v>41027.879188671868</v>
      </c>
      <c r="F29" s="139">
        <f t="shared" si="13"/>
        <v>41942.866182603771</v>
      </c>
      <c r="G29" s="139">
        <f t="shared" si="13"/>
        <v>43315.722153451949</v>
      </c>
      <c r="H29" s="139">
        <f t="shared" si="13"/>
        <v>44569.446154301579</v>
      </c>
      <c r="I29" s="139">
        <f t="shared" si="13"/>
        <v>46944.200478403844</v>
      </c>
      <c r="J29" s="139">
        <f t="shared" si="13"/>
        <v>47612.113527688678</v>
      </c>
      <c r="K29" s="139">
        <f t="shared" si="13"/>
        <v>46345.793785309812</v>
      </c>
      <c r="L29" s="139">
        <f t="shared" si="13"/>
        <v>45768.88820965089</v>
      </c>
      <c r="M29" s="139">
        <f t="shared" si="13"/>
        <v>46089.396116691161</v>
      </c>
      <c r="N29" s="139">
        <f t="shared" si="13"/>
        <v>45988.656948038799</v>
      </c>
      <c r="O29" s="139">
        <f t="shared" si="13"/>
        <v>46223.737454862239</v>
      </c>
      <c r="P29" s="139">
        <f t="shared" si="13"/>
        <v>46936.820756884947</v>
      </c>
      <c r="Q29" s="139">
        <f t="shared" si="13"/>
        <v>47121.272763210043</v>
      </c>
      <c r="R29" s="139">
        <f t="shared" ref="R29:W29" si="14">SUM(R30:R33)</f>
        <v>48462.716366278182</v>
      </c>
      <c r="S29" s="139">
        <f t="shared" si="14"/>
        <v>49266.137486738226</v>
      </c>
      <c r="T29" s="139">
        <f t="shared" si="14"/>
        <v>50357.748526551528</v>
      </c>
      <c r="U29" s="139">
        <f t="shared" si="14"/>
        <v>51220.894197185771</v>
      </c>
      <c r="V29" s="139">
        <f t="shared" si="14"/>
        <v>51963.546666666676</v>
      </c>
      <c r="W29" s="139">
        <f t="shared" si="14"/>
        <v>52634.605419705818</v>
      </c>
      <c r="X29" s="139">
        <f t="shared" ref="X29:Y29" si="15">SUM(X30:X33)</f>
        <v>53243.585036150398</v>
      </c>
      <c r="Y29" s="139">
        <f t="shared" si="15"/>
        <v>53804.350948082836</v>
      </c>
      <c r="DA29" s="169" t="s">
        <v>269</v>
      </c>
    </row>
    <row r="30" spans="1:105" ht="12" customHeight="1" x14ac:dyDescent="0.25">
      <c r="A30" s="131" t="s">
        <v>52</v>
      </c>
      <c r="B30" s="140">
        <v>12015.731202065936</v>
      </c>
      <c r="C30" s="140">
        <v>12771.314643590164</v>
      </c>
      <c r="D30" s="140">
        <v>13650.151333514392</v>
      </c>
      <c r="E30" s="140">
        <v>14867.248727613643</v>
      </c>
      <c r="F30" s="140">
        <v>16406.787683969269</v>
      </c>
      <c r="G30" s="140">
        <v>18358.368506185296</v>
      </c>
      <c r="H30" s="140">
        <v>19777.722020395118</v>
      </c>
      <c r="I30" s="140">
        <v>21803.158837838964</v>
      </c>
      <c r="J30" s="140">
        <v>21563.435649059022</v>
      </c>
      <c r="K30" s="140">
        <v>20563.071518948818</v>
      </c>
      <c r="L30" s="140">
        <v>20715.653420552961</v>
      </c>
      <c r="M30" s="140">
        <v>20805.356082846629</v>
      </c>
      <c r="N30" s="140">
        <v>20070.837287704035</v>
      </c>
      <c r="O30" s="140">
        <v>19886.871930263183</v>
      </c>
      <c r="P30" s="140">
        <v>18214.885079376152</v>
      </c>
      <c r="Q30" s="140">
        <v>17364.9594391459</v>
      </c>
      <c r="R30" s="140">
        <v>16232.916072689581</v>
      </c>
      <c r="S30" s="140">
        <v>16243.925424815076</v>
      </c>
      <c r="T30" s="140">
        <v>16422.987784110432</v>
      </c>
      <c r="U30" s="140">
        <v>16248.265645346333</v>
      </c>
      <c r="V30" s="140">
        <v>15648.434119538864</v>
      </c>
      <c r="W30" s="140">
        <v>15641.465380146799</v>
      </c>
      <c r="X30" s="140">
        <v>16259.391748252785</v>
      </c>
      <c r="Y30" s="140">
        <v>17308.815089094085</v>
      </c>
      <c r="DA30" s="170" t="s">
        <v>270</v>
      </c>
    </row>
    <row r="31" spans="1:105" ht="12" customHeight="1" x14ac:dyDescent="0.25">
      <c r="A31" s="131" t="s">
        <v>149</v>
      </c>
      <c r="B31" s="140">
        <v>6862.328143610971</v>
      </c>
      <c r="C31" s="140">
        <v>6746.6105373591345</v>
      </c>
      <c r="D31" s="140">
        <v>6581.6996317010016</v>
      </c>
      <c r="E31" s="140">
        <v>6465.966413521086</v>
      </c>
      <c r="F31" s="140">
        <v>6450.8025603490796</v>
      </c>
      <c r="G31" s="140">
        <v>6456.4052460002968</v>
      </c>
      <c r="H31" s="140">
        <v>6479.5192786122716</v>
      </c>
      <c r="I31" s="140">
        <v>6524.8241150828135</v>
      </c>
      <c r="J31" s="140">
        <v>6602.3229285725511</v>
      </c>
      <c r="K31" s="140">
        <v>6732.007509650336</v>
      </c>
      <c r="L31" s="140">
        <v>6688.7853519022447</v>
      </c>
      <c r="M31" s="140">
        <v>6436.0081876627455</v>
      </c>
      <c r="N31" s="140">
        <v>6305.6462821068362</v>
      </c>
      <c r="O31" s="140">
        <v>6241.5217172029579</v>
      </c>
      <c r="P31" s="140">
        <v>6273.4497976379744</v>
      </c>
      <c r="Q31" s="140">
        <v>6313.61792462828</v>
      </c>
      <c r="R31" s="140">
        <v>6226.6518444338881</v>
      </c>
      <c r="S31" s="140">
        <v>6113.4188747028047</v>
      </c>
      <c r="T31" s="140">
        <v>5995.2447103046452</v>
      </c>
      <c r="U31" s="140">
        <v>6001.5559095063663</v>
      </c>
      <c r="V31" s="140">
        <v>5985.5122894404931</v>
      </c>
      <c r="W31" s="140">
        <v>6438.042508839173</v>
      </c>
      <c r="X31" s="140">
        <v>6622.1511562763844</v>
      </c>
      <c r="Y31" s="140">
        <v>6825.2695864453181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272</v>
      </c>
    </row>
    <row r="33" spans="1:105" ht="12" customHeight="1" x14ac:dyDescent="0.25">
      <c r="A33" s="62" t="s">
        <v>24</v>
      </c>
      <c r="B33" s="152">
        <v>19405.690737561126</v>
      </c>
      <c r="C33" s="152">
        <v>19736.657457997175</v>
      </c>
      <c r="D33" s="152">
        <v>20006.057741642016</v>
      </c>
      <c r="E33" s="152">
        <v>19694.664047537139</v>
      </c>
      <c r="F33" s="152">
        <v>19085.275938285427</v>
      </c>
      <c r="G33" s="152">
        <v>18500.948401266352</v>
      </c>
      <c r="H33" s="152">
        <v>18312.204855294189</v>
      </c>
      <c r="I33" s="152">
        <v>18616.217525482061</v>
      </c>
      <c r="J33" s="152">
        <v>19446.35495005711</v>
      </c>
      <c r="K33" s="152">
        <v>19050.714756710659</v>
      </c>
      <c r="L33" s="152">
        <v>18364.449437195683</v>
      </c>
      <c r="M33" s="152">
        <v>18848.031846181788</v>
      </c>
      <c r="N33" s="152">
        <v>19612.173378227926</v>
      </c>
      <c r="O33" s="152">
        <v>20095.343807396097</v>
      </c>
      <c r="P33" s="152">
        <v>22448.485879870819</v>
      </c>
      <c r="Q33" s="152">
        <v>23442.695399435859</v>
      </c>
      <c r="R33" s="152">
        <v>26003.148449154713</v>
      </c>
      <c r="S33" s="152">
        <v>26908.793187220341</v>
      </c>
      <c r="T33" s="152">
        <v>27939.516032136453</v>
      </c>
      <c r="U33" s="152">
        <v>28971.072642333074</v>
      </c>
      <c r="V33" s="152">
        <v>30329.600257687318</v>
      </c>
      <c r="W33" s="152">
        <v>30555.097530719846</v>
      </c>
      <c r="X33" s="152">
        <v>30362.042131621234</v>
      </c>
      <c r="Y33" s="152">
        <v>29670.266272543438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927.90776005579357</v>
      </c>
      <c r="C3" s="125">
        <f t="shared" si="0"/>
        <v>940.39868393486427</v>
      </c>
      <c r="D3" s="125">
        <f t="shared" si="0"/>
        <v>953.47859034090015</v>
      </c>
      <c r="E3" s="125">
        <f t="shared" si="0"/>
        <v>1017.4230400264396</v>
      </c>
      <c r="F3" s="125">
        <f t="shared" si="0"/>
        <v>988.21967297255878</v>
      </c>
      <c r="G3" s="125">
        <f t="shared" si="0"/>
        <v>1064.3735661880146</v>
      </c>
      <c r="H3" s="125">
        <f t="shared" si="0"/>
        <v>1132.8011739219264</v>
      </c>
      <c r="I3" s="125">
        <f t="shared" si="0"/>
        <v>1140.0159786296883</v>
      </c>
      <c r="J3" s="125">
        <f t="shared" si="0"/>
        <v>1204.324606891025</v>
      </c>
      <c r="K3" s="125">
        <f t="shared" si="0"/>
        <v>1072.5762934196737</v>
      </c>
      <c r="L3" s="125">
        <f t="shared" si="0"/>
        <v>1085.0445938381304</v>
      </c>
      <c r="M3" s="125">
        <f t="shared" si="0"/>
        <v>1051.4045783586189</v>
      </c>
      <c r="N3" s="125">
        <f t="shared" si="0"/>
        <v>1071.4299616071612</v>
      </c>
      <c r="O3" s="125">
        <f t="shared" si="0"/>
        <v>1107.2486111256785</v>
      </c>
      <c r="P3" s="125">
        <f t="shared" si="0"/>
        <v>1040.9473629922531</v>
      </c>
      <c r="Q3" s="125">
        <f t="shared" si="0"/>
        <v>1157.9419787998213</v>
      </c>
      <c r="R3" s="125">
        <f t="shared" ref="R3:W3" si="1">SUM(R4,R16,R19,R29)</f>
        <v>1138.8440704031054</v>
      </c>
      <c r="S3" s="125">
        <f t="shared" si="1"/>
        <v>1102.1387383517117</v>
      </c>
      <c r="T3" s="125">
        <f t="shared" si="1"/>
        <v>1223.9790717410801</v>
      </c>
      <c r="U3" s="125">
        <f t="shared" si="1"/>
        <v>1253.0379757246956</v>
      </c>
      <c r="V3" s="125">
        <f t="shared" si="1"/>
        <v>1072.1455983116075</v>
      </c>
      <c r="W3" s="125">
        <f t="shared" si="1"/>
        <v>1109.1291866462559</v>
      </c>
      <c r="X3" s="125">
        <f t="shared" ref="X3:Y3" si="2">SUM(X4,X16,X19,X29)</f>
        <v>1096.6153059511309</v>
      </c>
      <c r="Y3" s="125">
        <f t="shared" si="2"/>
        <v>1076.4168917523223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685.38635726281234</v>
      </c>
      <c r="C4" s="130">
        <f t="shared" si="3"/>
        <v>692.20501260453045</v>
      </c>
      <c r="D4" s="130">
        <f t="shared" si="3"/>
        <v>702.56054205853775</v>
      </c>
      <c r="E4" s="130">
        <f t="shared" si="3"/>
        <v>764.15551253694957</v>
      </c>
      <c r="F4" s="130">
        <f t="shared" si="3"/>
        <v>732.1453785804373</v>
      </c>
      <c r="G4" s="130">
        <f t="shared" si="3"/>
        <v>798.26254187872655</v>
      </c>
      <c r="H4" s="130">
        <f t="shared" si="3"/>
        <v>861.71386255928064</v>
      </c>
      <c r="I4" s="130">
        <f t="shared" si="3"/>
        <v>860.10362953822835</v>
      </c>
      <c r="J4" s="130">
        <f t="shared" si="3"/>
        <v>916.6108757240346</v>
      </c>
      <c r="K4" s="130">
        <f t="shared" si="3"/>
        <v>796.79992766493956</v>
      </c>
      <c r="L4" s="130">
        <f t="shared" si="3"/>
        <v>799.39199186398719</v>
      </c>
      <c r="M4" s="130">
        <f t="shared" si="3"/>
        <v>760.30549214842426</v>
      </c>
      <c r="N4" s="130">
        <f t="shared" si="3"/>
        <v>775.42209036482757</v>
      </c>
      <c r="O4" s="130">
        <f t="shared" si="3"/>
        <v>803.71695429798763</v>
      </c>
      <c r="P4" s="130">
        <f t="shared" si="3"/>
        <v>736.80051497740556</v>
      </c>
      <c r="Q4" s="130">
        <f t="shared" si="3"/>
        <v>842.35923475599316</v>
      </c>
      <c r="R4" s="130">
        <f t="shared" ref="R4:W4" si="4">SUM(R5:R15)</f>
        <v>824.27736297165427</v>
      </c>
      <c r="S4" s="130">
        <f t="shared" si="4"/>
        <v>785.16113502560142</v>
      </c>
      <c r="T4" s="130">
        <f t="shared" si="4"/>
        <v>903.08902379904418</v>
      </c>
      <c r="U4" s="130">
        <f t="shared" si="4"/>
        <v>925.78404740683493</v>
      </c>
      <c r="V4" s="130">
        <f t="shared" si="4"/>
        <v>771.98098186110485</v>
      </c>
      <c r="W4" s="130">
        <f t="shared" si="4"/>
        <v>773.42604817136873</v>
      </c>
      <c r="X4" s="130">
        <f t="shared" ref="X4:Y4" si="5">SUM(X5:X15)</f>
        <v>766.81708802212859</v>
      </c>
      <c r="Y4" s="130">
        <f t="shared" si="5"/>
        <v>751.57368135531806</v>
      </c>
      <c r="DA4" s="155" t="s">
        <v>214</v>
      </c>
    </row>
    <row r="5" spans="1:105" ht="12" customHeight="1" x14ac:dyDescent="0.25">
      <c r="A5" s="131" t="s">
        <v>29</v>
      </c>
      <c r="B5" s="132">
        <v>3.987016337059329</v>
      </c>
      <c r="C5" s="132">
        <v>4.4300085984522788</v>
      </c>
      <c r="D5" s="132">
        <v>3.1010318142734299</v>
      </c>
      <c r="E5" s="132">
        <v>27.816852966466033</v>
      </c>
      <c r="F5" s="132">
        <v>26.829492691315565</v>
      </c>
      <c r="G5" s="132">
        <v>27.074032674118648</v>
      </c>
      <c r="H5" s="132">
        <v>26.995270851246758</v>
      </c>
      <c r="I5" s="132">
        <v>26.619776440240763</v>
      </c>
      <c r="J5" s="132">
        <v>26.615993121238173</v>
      </c>
      <c r="K5" s="132">
        <v>0.64299226139294896</v>
      </c>
      <c r="L5" s="132">
        <v>0.98804815133276003</v>
      </c>
      <c r="M5" s="132">
        <v>1.253998280309544</v>
      </c>
      <c r="N5" s="132">
        <v>0.54522785898538273</v>
      </c>
      <c r="O5" s="132">
        <v>0.47274290627687043</v>
      </c>
      <c r="P5" s="132">
        <v>0.27996560619088573</v>
      </c>
      <c r="Q5" s="132">
        <v>0.27927773000859862</v>
      </c>
      <c r="R5" s="132">
        <v>0.60773860705073091</v>
      </c>
      <c r="S5" s="132">
        <v>0.5352536543422185</v>
      </c>
      <c r="T5" s="132">
        <v>0.559157351676698</v>
      </c>
      <c r="U5" s="132">
        <v>0.45408426483233016</v>
      </c>
      <c r="V5" s="132">
        <v>0.18082545141874459</v>
      </c>
      <c r="W5" s="132">
        <v>0.19681857265692188</v>
      </c>
      <c r="X5" s="132">
        <v>0.21212381771281177</v>
      </c>
      <c r="Y5" s="132">
        <v>0.21212381771281172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303.77032949405037</v>
      </c>
      <c r="C7" s="132">
        <v>289.69215434379578</v>
      </c>
      <c r="D7" s="132">
        <v>273.44640573928183</v>
      </c>
      <c r="E7" s="132">
        <v>255.88168515290829</v>
      </c>
      <c r="F7" s="132">
        <v>224.54273238465342</v>
      </c>
      <c r="G7" s="132">
        <v>228.08591466704644</v>
      </c>
      <c r="H7" s="132">
        <v>202.34903489458665</v>
      </c>
      <c r="I7" s="132">
        <v>177.74705250701066</v>
      </c>
      <c r="J7" s="132">
        <v>179.80883554624975</v>
      </c>
      <c r="K7" s="132">
        <v>139.68273499690443</v>
      </c>
      <c r="L7" s="132">
        <v>136.15693030102008</v>
      </c>
      <c r="M7" s="132">
        <v>117.45767394103092</v>
      </c>
      <c r="N7" s="132">
        <v>112.84319872912344</v>
      </c>
      <c r="O7" s="132">
        <v>147.05778191706838</v>
      </c>
      <c r="P7" s="132">
        <v>140.35325166200971</v>
      </c>
      <c r="Q7" s="132">
        <v>152.35294475095469</v>
      </c>
      <c r="R7" s="132">
        <v>144.98595605094263</v>
      </c>
      <c r="S7" s="132">
        <v>132.02048166220419</v>
      </c>
      <c r="T7" s="132">
        <v>146.32676327441177</v>
      </c>
      <c r="U7" s="132">
        <v>132.97264737319529</v>
      </c>
      <c r="V7" s="132">
        <v>119.50439583777622</v>
      </c>
      <c r="W7" s="132">
        <v>114.30896888812551</v>
      </c>
      <c r="X7" s="132">
        <v>111.03809379186754</v>
      </c>
      <c r="Y7" s="132">
        <v>106.71606628137415</v>
      </c>
      <c r="DA7" s="156" t="s">
        <v>277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278</v>
      </c>
    </row>
    <row r="9" spans="1:105" ht="12" customHeight="1" x14ac:dyDescent="0.25">
      <c r="A9" s="131" t="s">
        <v>78</v>
      </c>
      <c r="B9" s="132">
        <v>240.74575712263851</v>
      </c>
      <c r="C9" s="132">
        <v>235.30686211634017</v>
      </c>
      <c r="D9" s="132">
        <v>222.72608436788215</v>
      </c>
      <c r="E9" s="132">
        <v>230.67759749426506</v>
      </c>
      <c r="F9" s="132">
        <v>232.29182421506019</v>
      </c>
      <c r="G9" s="132">
        <v>234.05145043178669</v>
      </c>
      <c r="H9" s="132">
        <v>261.87796830292564</v>
      </c>
      <c r="I9" s="132">
        <v>267.08143796597511</v>
      </c>
      <c r="J9" s="132">
        <v>276.34554020084806</v>
      </c>
      <c r="K9" s="132">
        <v>253.52954798690902</v>
      </c>
      <c r="L9" s="132">
        <v>284.52296600683508</v>
      </c>
      <c r="M9" s="132">
        <v>258.55716350649016</v>
      </c>
      <c r="N9" s="132">
        <v>293.86504453343946</v>
      </c>
      <c r="O9" s="132">
        <v>279.0617172408958</v>
      </c>
      <c r="P9" s="132">
        <v>259.32271705697838</v>
      </c>
      <c r="Q9" s="132">
        <v>295.22693672614713</v>
      </c>
      <c r="R9" s="132">
        <v>282.58380196936713</v>
      </c>
      <c r="S9" s="132">
        <v>273.07547904658833</v>
      </c>
      <c r="T9" s="132">
        <v>304.73033721619828</v>
      </c>
      <c r="U9" s="132">
        <v>319.38126847792029</v>
      </c>
      <c r="V9" s="132">
        <v>283.99647048505454</v>
      </c>
      <c r="W9" s="132">
        <v>293.31403339538218</v>
      </c>
      <c r="X9" s="132">
        <v>290.65064744900667</v>
      </c>
      <c r="Y9" s="132">
        <v>272.24754756684661</v>
      </c>
      <c r="DA9" s="156" t="s">
        <v>279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0.17231298366294057</v>
      </c>
      <c r="H10" s="132">
        <v>1.382717110920034</v>
      </c>
      <c r="I10" s="132">
        <v>5.8154772141014623</v>
      </c>
      <c r="J10" s="132">
        <v>11.263456577815992</v>
      </c>
      <c r="K10" s="132">
        <v>14.503009458297502</v>
      </c>
      <c r="L10" s="132">
        <v>12.007566638005155</v>
      </c>
      <c r="M10" s="132">
        <v>15.760963026655201</v>
      </c>
      <c r="N10" s="132">
        <v>19.117024935511598</v>
      </c>
      <c r="O10" s="132">
        <v>25.090197764402397</v>
      </c>
      <c r="P10" s="132">
        <v>27.830266552020653</v>
      </c>
      <c r="Q10" s="132">
        <v>16.694239036973347</v>
      </c>
      <c r="R10" s="132">
        <v>24.73353396388648</v>
      </c>
      <c r="S10" s="132">
        <v>21.056921754084261</v>
      </c>
      <c r="T10" s="132">
        <v>17.996560619088548</v>
      </c>
      <c r="U10" s="132">
        <v>14.009716251074806</v>
      </c>
      <c r="V10" s="132">
        <v>15.690713671539125</v>
      </c>
      <c r="W10" s="132">
        <v>17.640670679277719</v>
      </c>
      <c r="X10" s="132">
        <v>18.755631986242474</v>
      </c>
      <c r="Y10" s="132">
        <v>17.41031814273429</v>
      </c>
      <c r="DA10" s="156" t="s">
        <v>280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281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282</v>
      </c>
    </row>
    <row r="13" spans="1:105" ht="12" customHeight="1" x14ac:dyDescent="0.25">
      <c r="A13" s="131" t="s">
        <v>77</v>
      </c>
      <c r="B13" s="132">
        <v>6.9016568680914749E-4</v>
      </c>
      <c r="C13" s="132">
        <v>1.6218467531618017E-3</v>
      </c>
      <c r="D13" s="132">
        <v>7.7762963821896326E-3</v>
      </c>
      <c r="E13" s="132">
        <v>0.13049876938228139</v>
      </c>
      <c r="F13" s="132">
        <v>0.24085991196009238</v>
      </c>
      <c r="G13" s="132">
        <v>0.77811547470691877</v>
      </c>
      <c r="H13" s="132">
        <v>1.5579219935018316</v>
      </c>
      <c r="I13" s="132">
        <v>2.4494486483113862</v>
      </c>
      <c r="J13" s="132">
        <v>3.5514476566808439</v>
      </c>
      <c r="K13" s="132">
        <v>3.779010267507021</v>
      </c>
      <c r="L13" s="132">
        <v>3.9028926898970071</v>
      </c>
      <c r="M13" s="132">
        <v>4.3840763848109781</v>
      </c>
      <c r="N13" s="132">
        <v>4.6452109608030598</v>
      </c>
      <c r="O13" s="132">
        <v>4.8818183110384696</v>
      </c>
      <c r="P13" s="132">
        <v>5.2142898821219656</v>
      </c>
      <c r="Q13" s="132">
        <v>5.8419025979163894</v>
      </c>
      <c r="R13" s="132">
        <v>6.5738387215225762</v>
      </c>
      <c r="S13" s="132">
        <v>7.4692635403093224</v>
      </c>
      <c r="T13" s="132">
        <v>7.3947143308230503</v>
      </c>
      <c r="U13" s="132">
        <v>7.9684078291100011</v>
      </c>
      <c r="V13" s="132">
        <v>8.4778832288958075</v>
      </c>
      <c r="W13" s="132">
        <v>8.5269097345186502</v>
      </c>
      <c r="X13" s="132">
        <v>8.5885076750927407</v>
      </c>
      <c r="Y13" s="132">
        <v>8.7164688051117416</v>
      </c>
      <c r="DA13" s="156" t="s">
        <v>283</v>
      </c>
    </row>
    <row r="14" spans="1:105" ht="12" customHeight="1" x14ac:dyDescent="0.25">
      <c r="A14" s="60" t="s">
        <v>76</v>
      </c>
      <c r="B14" s="65">
        <v>131.56100440400917</v>
      </c>
      <c r="C14" s="65">
        <v>157.71627541395139</v>
      </c>
      <c r="D14" s="65">
        <v>198.58457200269166</v>
      </c>
      <c r="E14" s="65">
        <v>244.96523833489749</v>
      </c>
      <c r="F14" s="65">
        <v>243.87803693235699</v>
      </c>
      <c r="G14" s="65">
        <v>303.73592794602246</v>
      </c>
      <c r="H14" s="65">
        <v>363.17122948647648</v>
      </c>
      <c r="I14" s="65">
        <v>376.17376705472088</v>
      </c>
      <c r="J14" s="65">
        <v>414.68263054432026</v>
      </c>
      <c r="K14" s="65">
        <v>380.98611853242181</v>
      </c>
      <c r="L14" s="65">
        <v>357.84221256119895</v>
      </c>
      <c r="M14" s="65">
        <v>359.26801093404754</v>
      </c>
      <c r="N14" s="65">
        <v>340.38579229416194</v>
      </c>
      <c r="O14" s="65">
        <v>342.84282795614115</v>
      </c>
      <c r="P14" s="65">
        <v>299.73766124220543</v>
      </c>
      <c r="Q14" s="65">
        <v>367.46654957054147</v>
      </c>
      <c r="R14" s="65">
        <v>360.43419895329919</v>
      </c>
      <c r="S14" s="65">
        <v>346.84032000805041</v>
      </c>
      <c r="T14" s="65">
        <v>421.41206395904788</v>
      </c>
      <c r="U14" s="65">
        <v>446.22396940637674</v>
      </c>
      <c r="V14" s="65">
        <v>339.78250869745216</v>
      </c>
      <c r="W14" s="65">
        <v>334.94124061411617</v>
      </c>
      <c r="X14" s="65">
        <v>333.03643670769333</v>
      </c>
      <c r="Y14" s="65">
        <v>341.91034193392483</v>
      </c>
      <c r="DA14" s="109" t="s">
        <v>284</v>
      </c>
    </row>
    <row r="15" spans="1:105" ht="12" customHeight="1" x14ac:dyDescent="0.25">
      <c r="A15" s="133" t="s">
        <v>80</v>
      </c>
      <c r="B15" s="134">
        <v>5.3215597393681255</v>
      </c>
      <c r="C15" s="134">
        <v>5.0580902852376486</v>
      </c>
      <c r="D15" s="134">
        <v>4.6946718380265207</v>
      </c>
      <c r="E15" s="134">
        <v>4.6836398190303079</v>
      </c>
      <c r="F15" s="134">
        <v>4.3624324450910255</v>
      </c>
      <c r="G15" s="134">
        <v>4.3647877013824719</v>
      </c>
      <c r="H15" s="134">
        <v>4.3797199196232315</v>
      </c>
      <c r="I15" s="134">
        <v>4.21666970786801</v>
      </c>
      <c r="J15" s="134">
        <v>4.3429720768814875</v>
      </c>
      <c r="K15" s="134">
        <v>3.6765141615068622</v>
      </c>
      <c r="L15" s="134">
        <v>3.9713755156982096</v>
      </c>
      <c r="M15" s="134">
        <v>3.6236060750800472</v>
      </c>
      <c r="N15" s="134">
        <v>4.0205910528026685</v>
      </c>
      <c r="O15" s="134">
        <v>4.3098682021646075</v>
      </c>
      <c r="P15" s="134">
        <v>4.0623629758784636</v>
      </c>
      <c r="Q15" s="134">
        <v>4.497384343451591</v>
      </c>
      <c r="R15" s="134">
        <v>4.3582947055855437</v>
      </c>
      <c r="S15" s="134">
        <v>4.1634153600226851</v>
      </c>
      <c r="T15" s="134">
        <v>4.6694270477980044</v>
      </c>
      <c r="U15" s="134">
        <v>4.7739538043255259</v>
      </c>
      <c r="V15" s="134">
        <v>4.3481844889683225</v>
      </c>
      <c r="W15" s="134">
        <v>4.4974062872916454</v>
      </c>
      <c r="X15" s="134">
        <v>4.5356465945130644</v>
      </c>
      <c r="Y15" s="134">
        <v>4.360814807613731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4.820119145816907</v>
      </c>
      <c r="C16" s="130">
        <f t="shared" si="6"/>
        <v>5.1291792367559896</v>
      </c>
      <c r="D16" s="130">
        <f t="shared" si="6"/>
        <v>5.5811702735098141</v>
      </c>
      <c r="E16" s="130">
        <f t="shared" si="6"/>
        <v>5.8174311641952334</v>
      </c>
      <c r="F16" s="130">
        <f t="shared" si="6"/>
        <v>6.1241227732364782</v>
      </c>
      <c r="G16" s="130">
        <f t="shared" si="6"/>
        <v>6.5093002327538789</v>
      </c>
      <c r="H16" s="130">
        <f t="shared" si="6"/>
        <v>7.1106739454340619</v>
      </c>
      <c r="I16" s="130">
        <f t="shared" si="6"/>
        <v>7.5638168892031548</v>
      </c>
      <c r="J16" s="130">
        <f t="shared" si="6"/>
        <v>7.6181175461227877</v>
      </c>
      <c r="K16" s="130">
        <f t="shared" si="6"/>
        <v>7.7427650022432761</v>
      </c>
      <c r="L16" s="130">
        <f t="shared" si="6"/>
        <v>7.9016273425900145</v>
      </c>
      <c r="M16" s="130">
        <f t="shared" si="6"/>
        <v>7.8267301110213552</v>
      </c>
      <c r="N16" s="130">
        <f t="shared" si="6"/>
        <v>7.8859848071513907</v>
      </c>
      <c r="O16" s="130">
        <f t="shared" si="6"/>
        <v>7.7905984422037431</v>
      </c>
      <c r="P16" s="130">
        <f t="shared" si="6"/>
        <v>7.9961767493952705</v>
      </c>
      <c r="Q16" s="130">
        <f t="shared" si="6"/>
        <v>7.7837877579679065</v>
      </c>
      <c r="R16" s="130">
        <f t="shared" ref="R16:W16" si="7">SUM(R17:R18)</f>
        <v>7.9396261814732965</v>
      </c>
      <c r="S16" s="130">
        <f t="shared" si="7"/>
        <v>7.9885703610725871</v>
      </c>
      <c r="T16" s="130">
        <f t="shared" si="7"/>
        <v>8.1621639829783206</v>
      </c>
      <c r="U16" s="130">
        <f t="shared" si="7"/>
        <v>8.4899904325786402</v>
      </c>
      <c r="V16" s="130">
        <f t="shared" si="7"/>
        <v>8.127227648363279</v>
      </c>
      <c r="W16" s="130">
        <f t="shared" si="7"/>
        <v>8.1691413772315258</v>
      </c>
      <c r="X16" s="130">
        <f t="shared" ref="X16:Y16" si="8">SUM(X17:X18)</f>
        <v>8.5304953184655385</v>
      </c>
      <c r="Y16" s="130">
        <f t="shared" si="8"/>
        <v>8.6164168838488013</v>
      </c>
      <c r="DA16" s="155" t="s">
        <v>215</v>
      </c>
    </row>
    <row r="17" spans="1:105" ht="12.95" customHeight="1" x14ac:dyDescent="0.25">
      <c r="A17" s="131" t="s">
        <v>73</v>
      </c>
      <c r="B17" s="132">
        <v>2.3042114644288882E-2</v>
      </c>
      <c r="C17" s="132">
        <v>2.6174582150826232E-2</v>
      </c>
      <c r="D17" s="132">
        <v>3.078507507075354E-2</v>
      </c>
      <c r="E17" s="132">
        <v>3.0733001881252841E-2</v>
      </c>
      <c r="F17" s="132">
        <v>3.7908154460144589E-2</v>
      </c>
      <c r="G17" s="132">
        <v>4.3799273439664485E-2</v>
      </c>
      <c r="H17" s="132">
        <v>5.6325364353542746E-2</v>
      </c>
      <c r="I17" s="132">
        <v>6.1465620419856384E-2</v>
      </c>
      <c r="J17" s="132">
        <v>6.335540605809975E-2</v>
      </c>
      <c r="K17" s="132">
        <v>7.046610919673453E-2</v>
      </c>
      <c r="L17" s="132">
        <v>7.6143235749973642E-2</v>
      </c>
      <c r="M17" s="132">
        <v>8.2438638600626016E-2</v>
      </c>
      <c r="N17" s="132">
        <v>9.4608192266187094E-2</v>
      </c>
      <c r="O17" s="132">
        <v>0.1162727334083667</v>
      </c>
      <c r="P17" s="132">
        <v>0.15468679726877155</v>
      </c>
      <c r="Q17" s="132">
        <v>0.21175524253084996</v>
      </c>
      <c r="R17" s="132">
        <v>0.2638432962192187</v>
      </c>
      <c r="S17" s="132">
        <v>0.30603226867499828</v>
      </c>
      <c r="T17" s="132">
        <v>0.33602519300659117</v>
      </c>
      <c r="U17" s="132">
        <v>0.36777027288970332</v>
      </c>
      <c r="V17" s="132">
        <v>0.35994005995789735</v>
      </c>
      <c r="W17" s="132">
        <v>0.35668356219636876</v>
      </c>
      <c r="X17" s="132">
        <v>0.40331648555882355</v>
      </c>
      <c r="Y17" s="132">
        <v>0.41834022030473106</v>
      </c>
      <c r="DA17" s="156" t="s">
        <v>286</v>
      </c>
    </row>
    <row r="18" spans="1:105" ht="12" customHeight="1" x14ac:dyDescent="0.25">
      <c r="A18" s="131" t="s">
        <v>72</v>
      </c>
      <c r="B18" s="132">
        <v>4.7970770311726181</v>
      </c>
      <c r="C18" s="132">
        <v>5.1030046546051633</v>
      </c>
      <c r="D18" s="132">
        <v>5.5503851984390602</v>
      </c>
      <c r="E18" s="132">
        <v>5.7866981623139804</v>
      </c>
      <c r="F18" s="132">
        <v>6.0862146187763333</v>
      </c>
      <c r="G18" s="132">
        <v>6.4655009593142143</v>
      </c>
      <c r="H18" s="132">
        <v>7.0543485810805189</v>
      </c>
      <c r="I18" s="132">
        <v>7.5023512687832987</v>
      </c>
      <c r="J18" s="132">
        <v>7.554762140064688</v>
      </c>
      <c r="K18" s="132">
        <v>7.6722988930465412</v>
      </c>
      <c r="L18" s="132">
        <v>7.8254841068400411</v>
      </c>
      <c r="M18" s="132">
        <v>7.7442914724207288</v>
      </c>
      <c r="N18" s="132">
        <v>7.7913766148852037</v>
      </c>
      <c r="O18" s="132">
        <v>7.6743257087953767</v>
      </c>
      <c r="P18" s="132">
        <v>7.8414899521264987</v>
      </c>
      <c r="Q18" s="132">
        <v>7.5720325154370567</v>
      </c>
      <c r="R18" s="132">
        <v>7.6757828852540779</v>
      </c>
      <c r="S18" s="132">
        <v>7.6825380923975892</v>
      </c>
      <c r="T18" s="132">
        <v>7.8261387899717292</v>
      </c>
      <c r="U18" s="132">
        <v>8.1222201596889363</v>
      </c>
      <c r="V18" s="132">
        <v>7.7672875884053809</v>
      </c>
      <c r="W18" s="132">
        <v>7.8124578150351569</v>
      </c>
      <c r="X18" s="132">
        <v>8.1271788329067149</v>
      </c>
      <c r="Y18" s="132">
        <v>8.1980766635440698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121.72373692437986</v>
      </c>
      <c r="C19" s="130">
        <f t="shared" si="9"/>
        <v>124.35902931101768</v>
      </c>
      <c r="D19" s="130">
        <f t="shared" si="9"/>
        <v>125.2404525843842</v>
      </c>
      <c r="E19" s="130">
        <f t="shared" si="9"/>
        <v>125.04690880877835</v>
      </c>
      <c r="F19" s="130">
        <f t="shared" si="9"/>
        <v>125.26160837188795</v>
      </c>
      <c r="G19" s="130">
        <f t="shared" si="9"/>
        <v>128.76388718869646</v>
      </c>
      <c r="H19" s="130">
        <f t="shared" si="9"/>
        <v>129.81418981405403</v>
      </c>
      <c r="I19" s="130">
        <f t="shared" si="9"/>
        <v>133.0616672143772</v>
      </c>
      <c r="J19" s="130">
        <f t="shared" si="9"/>
        <v>134.38700629702802</v>
      </c>
      <c r="K19" s="130">
        <f t="shared" si="9"/>
        <v>136.23777246582873</v>
      </c>
      <c r="L19" s="130">
        <f t="shared" si="9"/>
        <v>138.51809100269372</v>
      </c>
      <c r="M19" s="130">
        <f t="shared" si="9"/>
        <v>138.04060946676114</v>
      </c>
      <c r="N19" s="130">
        <f t="shared" si="9"/>
        <v>139.39698725314585</v>
      </c>
      <c r="O19" s="130">
        <f t="shared" si="9"/>
        <v>140.34942842626396</v>
      </c>
      <c r="P19" s="130">
        <f t="shared" si="9"/>
        <v>143.00615005000648</v>
      </c>
      <c r="Q19" s="130">
        <f t="shared" si="9"/>
        <v>148.87018333873743</v>
      </c>
      <c r="R19" s="130">
        <f t="shared" ref="R19:W19" si="10">SUM(R20:R27)</f>
        <v>147.66525546450424</v>
      </c>
      <c r="S19" s="130">
        <f t="shared" si="10"/>
        <v>146.95129889264138</v>
      </c>
      <c r="T19" s="130">
        <f t="shared" si="10"/>
        <v>146.90543455611572</v>
      </c>
      <c r="U19" s="130">
        <f t="shared" si="10"/>
        <v>148.71130639109992</v>
      </c>
      <c r="V19" s="130">
        <f t="shared" si="10"/>
        <v>137.51073105799549</v>
      </c>
      <c r="W19" s="130">
        <f t="shared" si="10"/>
        <v>149.67816000311666</v>
      </c>
      <c r="X19" s="130">
        <f t="shared" ref="X19:Y19" si="11">SUM(X20:X27)</f>
        <v>145.03631286775618</v>
      </c>
      <c r="Y19" s="130">
        <f t="shared" si="11"/>
        <v>140.27081909770243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289</v>
      </c>
    </row>
    <row r="22" spans="1:105" ht="12" customHeight="1" x14ac:dyDescent="0.25">
      <c r="A22" s="131" t="s">
        <v>161</v>
      </c>
      <c r="B22" s="132">
        <v>35.337925020136986</v>
      </c>
      <c r="C22" s="132">
        <v>35.359522354398479</v>
      </c>
      <c r="D22" s="132">
        <v>34.503895206547824</v>
      </c>
      <c r="E22" s="132">
        <v>32.22132430538921</v>
      </c>
      <c r="F22" s="132">
        <v>31.510492034951081</v>
      </c>
      <c r="G22" s="132">
        <v>29.54598559090719</v>
      </c>
      <c r="H22" s="132">
        <v>27.700578175060848</v>
      </c>
      <c r="I22" s="132">
        <v>26.712534767279962</v>
      </c>
      <c r="J22" s="132">
        <v>26.627707875934334</v>
      </c>
      <c r="K22" s="132">
        <v>25.948993292003525</v>
      </c>
      <c r="L22" s="132">
        <v>26.275399879547471</v>
      </c>
      <c r="M22" s="132">
        <v>26.073796394308793</v>
      </c>
      <c r="N22" s="132">
        <v>25.899879516792296</v>
      </c>
      <c r="O22" s="132">
        <v>25.09355084303478</v>
      </c>
      <c r="P22" s="132">
        <v>25.141933204714348</v>
      </c>
      <c r="Q22" s="132">
        <v>24.207502368563929</v>
      </c>
      <c r="R22" s="132">
        <v>23.349555556967893</v>
      </c>
      <c r="S22" s="132">
        <v>23.513998131432835</v>
      </c>
      <c r="T22" s="132">
        <v>21.807200612088703</v>
      </c>
      <c r="U22" s="132">
        <v>20.92993216248825</v>
      </c>
      <c r="V22" s="132">
        <v>17.817874153625201</v>
      </c>
      <c r="W22" s="132">
        <v>18.38355045839182</v>
      </c>
      <c r="X22" s="132">
        <v>18.865775511657809</v>
      </c>
      <c r="Y22" s="132">
        <v>18.369316349752157</v>
      </c>
      <c r="DA22" s="156" t="s">
        <v>290</v>
      </c>
    </row>
    <row r="23" spans="1:105" ht="12" customHeight="1" x14ac:dyDescent="0.25">
      <c r="A23" s="131" t="s">
        <v>149</v>
      </c>
      <c r="B23" s="132">
        <v>28.177510365612232</v>
      </c>
      <c r="C23" s="132">
        <v>29.084766507717529</v>
      </c>
      <c r="D23" s="132">
        <v>29.238318033956968</v>
      </c>
      <c r="E23" s="132">
        <v>29.256425607740972</v>
      </c>
      <c r="F23" s="132">
        <v>30.045395000384509</v>
      </c>
      <c r="G23" s="132">
        <v>30.269389636755434</v>
      </c>
      <c r="H23" s="132">
        <v>30.220530626072566</v>
      </c>
      <c r="I23" s="132">
        <v>30.908776776636994</v>
      </c>
      <c r="J23" s="132">
        <v>30.596632466377354</v>
      </c>
      <c r="K23" s="132">
        <v>31.549007909166832</v>
      </c>
      <c r="L23" s="132">
        <v>33.161945914875197</v>
      </c>
      <c r="M23" s="132">
        <v>30.939931287545782</v>
      </c>
      <c r="N23" s="132">
        <v>32.345175510103935</v>
      </c>
      <c r="O23" s="132">
        <v>33.645066913467225</v>
      </c>
      <c r="P23" s="132">
        <v>35.247167786363455</v>
      </c>
      <c r="Q23" s="132">
        <v>36.796259806496955</v>
      </c>
      <c r="R23" s="132">
        <v>35.665011448444432</v>
      </c>
      <c r="S23" s="132">
        <v>35.353955301048309</v>
      </c>
      <c r="T23" s="132">
        <v>32.480184770723895</v>
      </c>
      <c r="U23" s="132">
        <v>32.787340616179151</v>
      </c>
      <c r="V23" s="132">
        <v>24.725381001392478</v>
      </c>
      <c r="W23" s="132">
        <v>34.492105961414694</v>
      </c>
      <c r="X23" s="132">
        <v>34.188060197195341</v>
      </c>
      <c r="Y23" s="132">
        <v>33.826407408344387</v>
      </c>
      <c r="DA23" s="156" t="s">
        <v>291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292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293</v>
      </c>
    </row>
    <row r="26" spans="1:105" ht="12" customHeight="1" x14ac:dyDescent="0.25">
      <c r="A26" s="131" t="s">
        <v>24</v>
      </c>
      <c r="B26" s="65">
        <v>58.20830153863065</v>
      </c>
      <c r="C26" s="65">
        <v>59.914740448901675</v>
      </c>
      <c r="D26" s="65">
        <v>61.498239343879412</v>
      </c>
      <c r="E26" s="65">
        <v>63.569158895648172</v>
      </c>
      <c r="F26" s="65">
        <v>63.705721336552365</v>
      </c>
      <c r="G26" s="65">
        <v>68.94851196103383</v>
      </c>
      <c r="H26" s="65">
        <v>71.86014894069362</v>
      </c>
      <c r="I26" s="65">
        <v>75.402694449480009</v>
      </c>
      <c r="J26" s="65">
        <v>77.067996995129079</v>
      </c>
      <c r="K26" s="65">
        <v>78.638911419430528</v>
      </c>
      <c r="L26" s="65">
        <v>78.927434804143786</v>
      </c>
      <c r="M26" s="65">
        <v>80.86239339281714</v>
      </c>
      <c r="N26" s="65">
        <v>80.985724143704459</v>
      </c>
      <c r="O26" s="65">
        <v>81.444602587216806</v>
      </c>
      <c r="P26" s="65">
        <v>82.450840976383532</v>
      </c>
      <c r="Q26" s="65">
        <v>87.700213081131395</v>
      </c>
      <c r="R26" s="65">
        <v>88.48448037654677</v>
      </c>
      <c r="S26" s="65">
        <v>87.917137377615092</v>
      </c>
      <c r="T26" s="65">
        <v>92.451497152666846</v>
      </c>
      <c r="U26" s="65">
        <v>94.827481591796229</v>
      </c>
      <c r="V26" s="65">
        <v>94.800923882341522</v>
      </c>
      <c r="W26" s="65">
        <v>96.635951562673853</v>
      </c>
      <c r="X26" s="65">
        <v>91.815925138266749</v>
      </c>
      <c r="Y26" s="65">
        <v>87.908543318969606</v>
      </c>
      <c r="DA26" s="109" t="s">
        <v>294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3.2932072226999141E-2</v>
      </c>
      <c r="I27" s="145">
        <v>3.766122098022355E-2</v>
      </c>
      <c r="J27" s="145">
        <v>9.4668959587274282E-2</v>
      </c>
      <c r="K27" s="145">
        <v>0.100859845227859</v>
      </c>
      <c r="L27" s="145">
        <v>0.1533104041272571</v>
      </c>
      <c r="M27" s="145">
        <v>0.1644883920894239</v>
      </c>
      <c r="N27" s="145">
        <v>0.16620808254514199</v>
      </c>
      <c r="O27" s="145">
        <v>0.16620808254514194</v>
      </c>
      <c r="P27" s="145">
        <v>0.16620808254514188</v>
      </c>
      <c r="Q27" s="145">
        <v>0.16620808254514191</v>
      </c>
      <c r="R27" s="145">
        <v>0.1662080825451418</v>
      </c>
      <c r="S27" s="145">
        <v>0.16620808254514188</v>
      </c>
      <c r="T27" s="145">
        <v>0.16655202063628549</v>
      </c>
      <c r="U27" s="145">
        <v>0.16655202063628555</v>
      </c>
      <c r="V27" s="145">
        <v>0.16655202063628546</v>
      </c>
      <c r="W27" s="145">
        <v>0.16655202063628555</v>
      </c>
      <c r="X27" s="145">
        <v>0.16655202063628546</v>
      </c>
      <c r="Y27" s="145">
        <v>0.16655202063628552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115.97754672278452</v>
      </c>
      <c r="C29" s="130">
        <f t="shared" si="12"/>
        <v>118.70546278256001</v>
      </c>
      <c r="D29" s="130">
        <f t="shared" si="12"/>
        <v>120.09642542446841</v>
      </c>
      <c r="E29" s="130">
        <f t="shared" si="12"/>
        <v>122.40318751651651</v>
      </c>
      <c r="F29" s="130">
        <f t="shared" si="12"/>
        <v>124.68856324699709</v>
      </c>
      <c r="G29" s="130">
        <f t="shared" si="12"/>
        <v>130.83783688783762</v>
      </c>
      <c r="H29" s="130">
        <f t="shared" si="12"/>
        <v>134.16244760315763</v>
      </c>
      <c r="I29" s="130">
        <f t="shared" si="12"/>
        <v>139.28686498787962</v>
      </c>
      <c r="J29" s="130">
        <f t="shared" si="12"/>
        <v>145.70860732383966</v>
      </c>
      <c r="K29" s="130">
        <f t="shared" si="12"/>
        <v>131.79582828666224</v>
      </c>
      <c r="L29" s="130">
        <f t="shared" si="12"/>
        <v>139.23288362885944</v>
      </c>
      <c r="M29" s="130">
        <f t="shared" si="12"/>
        <v>145.23174663241207</v>
      </c>
      <c r="N29" s="130">
        <f t="shared" si="12"/>
        <v>148.72489918203644</v>
      </c>
      <c r="O29" s="130">
        <f t="shared" si="12"/>
        <v>155.391629959223</v>
      </c>
      <c r="P29" s="130">
        <f t="shared" si="12"/>
        <v>153.14452121544571</v>
      </c>
      <c r="Q29" s="130">
        <f t="shared" si="12"/>
        <v>158.92877294712281</v>
      </c>
      <c r="R29" s="130">
        <f t="shared" ref="R29:W29" si="13">SUM(R30:R33)</f>
        <v>158.96182578547359</v>
      </c>
      <c r="S29" s="130">
        <f t="shared" si="13"/>
        <v>162.03773407239638</v>
      </c>
      <c r="T29" s="130">
        <f t="shared" si="13"/>
        <v>165.8224494029418</v>
      </c>
      <c r="U29" s="130">
        <f t="shared" si="13"/>
        <v>170.05263149418207</v>
      </c>
      <c r="V29" s="130">
        <f t="shared" si="13"/>
        <v>154.52665774414385</v>
      </c>
      <c r="W29" s="130">
        <f t="shared" si="13"/>
        <v>177.85583709453891</v>
      </c>
      <c r="X29" s="130">
        <f t="shared" ref="X29:Y29" si="14">SUM(X30:X33)</f>
        <v>176.23140974278073</v>
      </c>
      <c r="Y29" s="130">
        <f t="shared" si="14"/>
        <v>175.95597441545297</v>
      </c>
      <c r="DA29" s="155" t="s">
        <v>217</v>
      </c>
    </row>
    <row r="30" spans="1:105" ht="12" customHeight="1" x14ac:dyDescent="0.25">
      <c r="A30" s="131" t="s">
        <v>52</v>
      </c>
      <c r="B30" s="132">
        <v>40.052450558899388</v>
      </c>
      <c r="C30" s="132">
        <v>44.884264832330182</v>
      </c>
      <c r="D30" s="132">
        <v>46.157007738607049</v>
      </c>
      <c r="E30" s="132">
        <v>49.044797936371445</v>
      </c>
      <c r="F30" s="132">
        <v>53.55227858985382</v>
      </c>
      <c r="G30" s="132">
        <v>63.945743766122099</v>
      </c>
      <c r="H30" s="132">
        <v>66.815563198624275</v>
      </c>
      <c r="I30" s="132">
        <v>70.708082545141849</v>
      </c>
      <c r="J30" s="132">
        <v>80.593637145313835</v>
      </c>
      <c r="K30" s="132">
        <v>58.158813413585534</v>
      </c>
      <c r="L30" s="132">
        <v>75.010576096302742</v>
      </c>
      <c r="M30" s="132">
        <v>74.448581255374037</v>
      </c>
      <c r="N30" s="132">
        <v>70.039036973344807</v>
      </c>
      <c r="O30" s="132">
        <v>81.753740326741195</v>
      </c>
      <c r="P30" s="132">
        <v>64.211607910576106</v>
      </c>
      <c r="Q30" s="132">
        <v>69.122269991401552</v>
      </c>
      <c r="R30" s="132">
        <v>58.672398968185675</v>
      </c>
      <c r="S30" s="132">
        <v>60.771797076526205</v>
      </c>
      <c r="T30" s="132">
        <v>66.50017196904551</v>
      </c>
      <c r="U30" s="132">
        <v>66.273774720550321</v>
      </c>
      <c r="V30" s="132">
        <v>53.480137575236434</v>
      </c>
      <c r="W30" s="132">
        <v>60.584780739466979</v>
      </c>
      <c r="X30" s="132">
        <v>63.834135855546059</v>
      </c>
      <c r="Y30" s="132">
        <v>69.509630266552065</v>
      </c>
      <c r="DA30" s="156" t="s">
        <v>296</v>
      </c>
    </row>
    <row r="31" spans="1:105" ht="12" customHeight="1" x14ac:dyDescent="0.25">
      <c r="A31" s="131" t="s">
        <v>149</v>
      </c>
      <c r="B31" s="132">
        <v>23.745005960303562</v>
      </c>
      <c r="C31" s="132">
        <v>23.056143483387348</v>
      </c>
      <c r="D31" s="132">
        <v>22.081424732892298</v>
      </c>
      <c r="E31" s="132">
        <v>21.39199368115132</v>
      </c>
      <c r="F31" s="132">
        <v>21.509137462425343</v>
      </c>
      <c r="G31" s="132">
        <v>21.444475017433462</v>
      </c>
      <c r="H31" s="132">
        <v>21.594960745341361</v>
      </c>
      <c r="I31" s="132">
        <v>21.25769194995188</v>
      </c>
      <c r="J31" s="132">
        <v>21.279252666183076</v>
      </c>
      <c r="K31" s="132">
        <v>22.182534314589901</v>
      </c>
      <c r="L31" s="132">
        <v>23.081163243227678</v>
      </c>
      <c r="M31" s="132">
        <v>21.374034925058872</v>
      </c>
      <c r="N31" s="132">
        <v>22.692506243983924</v>
      </c>
      <c r="O31" s="132">
        <v>22.875481375341245</v>
      </c>
      <c r="P31" s="132">
        <v>22.924955444514005</v>
      </c>
      <c r="Q31" s="132">
        <v>24.840026728694269</v>
      </c>
      <c r="R31" s="132">
        <v>23.825348445040493</v>
      </c>
      <c r="S31" s="132">
        <v>22.749916014814591</v>
      </c>
      <c r="T31" s="132">
        <v>23.014415846726777</v>
      </c>
      <c r="U31" s="132">
        <v>23.757429747370207</v>
      </c>
      <c r="V31" s="132">
        <v>18.585964257550462</v>
      </c>
      <c r="W31" s="132">
        <v>27.062112592614593</v>
      </c>
      <c r="X31" s="132">
        <v>26.502859789133865</v>
      </c>
      <c r="Y31" s="132">
        <v>25.948633437350423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298</v>
      </c>
    </row>
    <row r="33" spans="1:105" ht="12" customHeight="1" x14ac:dyDescent="0.25">
      <c r="A33" s="62" t="s">
        <v>24</v>
      </c>
      <c r="B33" s="68">
        <v>52.180090203581564</v>
      </c>
      <c r="C33" s="68">
        <v>50.765054466842471</v>
      </c>
      <c r="D33" s="68">
        <v>51.857992952969049</v>
      </c>
      <c r="E33" s="68">
        <v>51.966395898993738</v>
      </c>
      <c r="F33" s="68">
        <v>49.627147194717928</v>
      </c>
      <c r="G33" s="68">
        <v>45.447618104282085</v>
      </c>
      <c r="H33" s="68">
        <v>45.751923659191981</v>
      </c>
      <c r="I33" s="68">
        <v>47.321090492785906</v>
      </c>
      <c r="J33" s="68">
        <v>43.83571751234274</v>
      </c>
      <c r="K33" s="68">
        <v>51.454480558486793</v>
      </c>
      <c r="L33" s="68">
        <v>41.141144289329006</v>
      </c>
      <c r="M33" s="68">
        <v>49.409130451979173</v>
      </c>
      <c r="N33" s="68">
        <v>55.993355964707689</v>
      </c>
      <c r="O33" s="68">
        <v>50.762408257140542</v>
      </c>
      <c r="P33" s="68">
        <v>66.007957860355603</v>
      </c>
      <c r="Q33" s="68">
        <v>64.966476227026988</v>
      </c>
      <c r="R33" s="68">
        <v>76.464078372247428</v>
      </c>
      <c r="S33" s="68">
        <v>78.516020981055576</v>
      </c>
      <c r="T33" s="68">
        <v>76.307861587169498</v>
      </c>
      <c r="U33" s="68">
        <v>80.021427026261534</v>
      </c>
      <c r="V33" s="68">
        <v>82.460555911356963</v>
      </c>
      <c r="W33" s="68">
        <v>90.208943762457352</v>
      </c>
      <c r="X33" s="68">
        <v>85.89441409810081</v>
      </c>
      <c r="Y33" s="68">
        <v>80.497710711550482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527.82124959357657</v>
      </c>
      <c r="C3" s="125">
        <f t="shared" si="0"/>
        <v>544.59616650164241</v>
      </c>
      <c r="D3" s="125">
        <f t="shared" si="0"/>
        <v>565.41426564051949</v>
      </c>
      <c r="E3" s="125">
        <f t="shared" si="0"/>
        <v>615.91672010518789</v>
      </c>
      <c r="F3" s="125">
        <f t="shared" si="0"/>
        <v>606.64886956207135</v>
      </c>
      <c r="G3" s="125">
        <f t="shared" si="0"/>
        <v>666.33365393294787</v>
      </c>
      <c r="H3" s="125">
        <f t="shared" si="0"/>
        <v>725.79978482374713</v>
      </c>
      <c r="I3" s="125">
        <f t="shared" si="0"/>
        <v>744.01262107826892</v>
      </c>
      <c r="J3" s="125">
        <f t="shared" si="0"/>
        <v>795.69251476419186</v>
      </c>
      <c r="K3" s="125">
        <f t="shared" si="0"/>
        <v>724.56849579466279</v>
      </c>
      <c r="L3" s="125">
        <f t="shared" si="0"/>
        <v>734.02086811677668</v>
      </c>
      <c r="M3" s="125">
        <f t="shared" si="0"/>
        <v>727.10132226392216</v>
      </c>
      <c r="N3" s="125">
        <f t="shared" si="0"/>
        <v>748.55636065844146</v>
      </c>
      <c r="O3" s="125">
        <f t="shared" si="0"/>
        <v>780.01970773521805</v>
      </c>
      <c r="P3" s="125">
        <f t="shared" si="0"/>
        <v>743.0948131823468</v>
      </c>
      <c r="Q3" s="125">
        <f t="shared" si="0"/>
        <v>834.31343236482974</v>
      </c>
      <c r="R3" s="125">
        <f t="shared" ref="R3:W3" si="1">SUM(R4,R16,R19,R29)</f>
        <v>834.80503580993889</v>
      </c>
      <c r="S3" s="125">
        <f t="shared" si="1"/>
        <v>824.56319074136843</v>
      </c>
      <c r="T3" s="125">
        <f t="shared" si="1"/>
        <v>928.11640997048221</v>
      </c>
      <c r="U3" s="125">
        <f t="shared" si="1"/>
        <v>972.15413533647825</v>
      </c>
      <c r="V3" s="125">
        <f t="shared" si="1"/>
        <v>851.89352989786028</v>
      </c>
      <c r="W3" s="125">
        <f t="shared" si="1"/>
        <v>892.83991331927632</v>
      </c>
      <c r="X3" s="125">
        <f t="shared" ref="X3:Y3" si="2">SUM(X4,X16,X19,X29)</f>
        <v>898.96516979795081</v>
      </c>
      <c r="Y3" s="125">
        <f t="shared" si="2"/>
        <v>899.09234267464774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366.05473714991422</v>
      </c>
      <c r="C4" s="130">
        <f t="shared" si="3"/>
        <v>377.97565581270368</v>
      </c>
      <c r="D4" s="130">
        <f t="shared" si="3"/>
        <v>394.65141890956733</v>
      </c>
      <c r="E4" s="130">
        <f t="shared" si="3"/>
        <v>441.648558591697</v>
      </c>
      <c r="F4" s="130">
        <f t="shared" si="3"/>
        <v>428.96501755243173</v>
      </c>
      <c r="G4" s="130">
        <f t="shared" si="3"/>
        <v>480.25744121720498</v>
      </c>
      <c r="H4" s="130">
        <f t="shared" si="3"/>
        <v>532.8534389038831</v>
      </c>
      <c r="I4" s="130">
        <f t="shared" si="3"/>
        <v>541.76615165577459</v>
      </c>
      <c r="J4" s="130">
        <f t="shared" si="3"/>
        <v>586.88902440795925</v>
      </c>
      <c r="K4" s="130">
        <f t="shared" si="3"/>
        <v>519.42894297698626</v>
      </c>
      <c r="L4" s="130">
        <f t="shared" si="3"/>
        <v>522.89473526355653</v>
      </c>
      <c r="M4" s="130">
        <f t="shared" si="3"/>
        <v>509.10874603002162</v>
      </c>
      <c r="N4" s="130">
        <f t="shared" si="3"/>
        <v>523.63346725450685</v>
      </c>
      <c r="O4" s="130">
        <f t="shared" si="3"/>
        <v>549.10478666444169</v>
      </c>
      <c r="P4" s="130">
        <f t="shared" si="3"/>
        <v>505.10063140601898</v>
      </c>
      <c r="Q4" s="130">
        <f t="shared" si="3"/>
        <v>586.95259811705887</v>
      </c>
      <c r="R4" s="130">
        <f t="shared" ref="R4:W4" si="4">SUM(R5:R15)</f>
        <v>581.50755631963182</v>
      </c>
      <c r="S4" s="130">
        <f t="shared" si="4"/>
        <v>565.44368600904897</v>
      </c>
      <c r="T4" s="130">
        <f t="shared" si="4"/>
        <v>661.83246644119538</v>
      </c>
      <c r="U4" s="130">
        <f t="shared" si="4"/>
        <v>695.18166960818405</v>
      </c>
      <c r="V4" s="130">
        <f t="shared" si="4"/>
        <v>589.43267262041775</v>
      </c>
      <c r="W4" s="130">
        <f t="shared" si="4"/>
        <v>601.20563861265305</v>
      </c>
      <c r="X4" s="130">
        <f t="shared" ref="X4:Y4" si="5">SUM(X5:X15)</f>
        <v>607.44664850849085</v>
      </c>
      <c r="Y4" s="130">
        <f t="shared" si="5"/>
        <v>608.85633733670375</v>
      </c>
      <c r="DA4" s="155" t="s">
        <v>302</v>
      </c>
    </row>
    <row r="5" spans="1:105" ht="12" customHeight="1" x14ac:dyDescent="0.25">
      <c r="A5" s="131" t="s">
        <v>29</v>
      </c>
      <c r="B5" s="132">
        <v>2.1823061594485895</v>
      </c>
      <c r="C5" s="132">
        <v>2.4427224538960988</v>
      </c>
      <c r="D5" s="132">
        <v>1.7847150540691026</v>
      </c>
      <c r="E5" s="132">
        <v>16.641341716233718</v>
      </c>
      <c r="F5" s="132">
        <v>16.218330381410553</v>
      </c>
      <c r="G5" s="132">
        <v>16.454125019731112</v>
      </c>
      <c r="H5" s="132">
        <v>16.472498362288292</v>
      </c>
      <c r="I5" s="132">
        <v>16.29463425337503</v>
      </c>
      <c r="J5" s="132">
        <v>16.344518576820249</v>
      </c>
      <c r="K5" s="132">
        <v>0.39537671349263254</v>
      </c>
      <c r="L5" s="132">
        <v>0.60755199448299568</v>
      </c>
      <c r="M5" s="132">
        <v>0.77108504808458866</v>
      </c>
      <c r="N5" s="132">
        <v>0.33526126507846793</v>
      </c>
      <c r="O5" s="132">
        <v>0.29649118021259185</v>
      </c>
      <c r="P5" s="132">
        <v>0.17558662836889755</v>
      </c>
      <c r="Q5" s="132">
        <v>0.17526637743752271</v>
      </c>
      <c r="R5" s="132">
        <v>0.38509185096221366</v>
      </c>
      <c r="S5" s="132">
        <v>0.3404550497757966</v>
      </c>
      <c r="T5" s="132">
        <v>0.35881969281597653</v>
      </c>
      <c r="U5" s="132">
        <v>0.29848175143552969</v>
      </c>
      <c r="V5" s="132">
        <v>0.12022744373769594</v>
      </c>
      <c r="W5" s="132">
        <v>0.13158616355248226</v>
      </c>
      <c r="X5" s="132">
        <v>0.14220189149182119</v>
      </c>
      <c r="Y5" s="132">
        <v>0.14231553880098835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142.72413510301558</v>
      </c>
      <c r="C7" s="132">
        <v>136.97393971415241</v>
      </c>
      <c r="D7" s="132">
        <v>129.36324481153937</v>
      </c>
      <c r="E7" s="132">
        <v>121.12509700104884</v>
      </c>
      <c r="F7" s="132">
        <v>106.35480648664954</v>
      </c>
      <c r="G7" s="132">
        <v>108.11306369545395</v>
      </c>
      <c r="H7" s="132">
        <v>96.011782570180614</v>
      </c>
      <c r="I7" s="132">
        <v>84.753723727236121</v>
      </c>
      <c r="J7" s="132">
        <v>86.828331862090707</v>
      </c>
      <c r="K7" s="132">
        <v>68.675221962845669</v>
      </c>
      <c r="L7" s="132">
        <v>68.793128374282716</v>
      </c>
      <c r="M7" s="132">
        <v>61.670423723299102</v>
      </c>
      <c r="N7" s="132">
        <v>62.526096547818277</v>
      </c>
      <c r="O7" s="132">
        <v>86.16199499852921</v>
      </c>
      <c r="P7" s="132">
        <v>83.086418114214979</v>
      </c>
      <c r="Q7" s="132">
        <v>90.820372386918521</v>
      </c>
      <c r="R7" s="132">
        <v>86.865476393994712</v>
      </c>
      <c r="S7" s="132">
        <v>79.44506748137816</v>
      </c>
      <c r="T7" s="132">
        <v>88.157283655629982</v>
      </c>
      <c r="U7" s="132">
        <v>80.231229881708117</v>
      </c>
      <c r="V7" s="132">
        <v>72.564538951026179</v>
      </c>
      <c r="W7" s="132">
        <v>70.071504046301129</v>
      </c>
      <c r="X7" s="132">
        <v>68.968089661036089</v>
      </c>
      <c r="Y7" s="132">
        <v>67.457053243146049</v>
      </c>
      <c r="DA7" s="156" t="s">
        <v>305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306</v>
      </c>
    </row>
    <row r="9" spans="1:105" ht="12" customHeight="1" x14ac:dyDescent="0.25">
      <c r="A9" s="131" t="s">
        <v>78</v>
      </c>
      <c r="B9" s="132">
        <v>122.2626987856664</v>
      </c>
      <c r="C9" s="132">
        <v>120.07907978834352</v>
      </c>
      <c r="D9" s="132">
        <v>114.30710186228497</v>
      </c>
      <c r="E9" s="132">
        <v>119.22469418072859</v>
      </c>
      <c r="F9" s="132">
        <v>121.36145989943327</v>
      </c>
      <c r="G9" s="132">
        <v>123.62004352844848</v>
      </c>
      <c r="H9" s="132">
        <v>140.13335355009889</v>
      </c>
      <c r="I9" s="132">
        <v>144.86827711292005</v>
      </c>
      <c r="J9" s="132">
        <v>152.074429557553</v>
      </c>
      <c r="K9" s="132">
        <v>141.82181378516557</v>
      </c>
      <c r="L9" s="132">
        <v>162.16867756028518</v>
      </c>
      <c r="M9" s="132">
        <v>150.10642261440913</v>
      </c>
      <c r="N9" s="132">
        <v>174.66691242637836</v>
      </c>
      <c r="O9" s="132">
        <v>169.28986640847847</v>
      </c>
      <c r="P9" s="132">
        <v>158.66039765576818</v>
      </c>
      <c r="Q9" s="132">
        <v>182.3183506462224</v>
      </c>
      <c r="R9" s="132">
        <v>177.15788844566009</v>
      </c>
      <c r="S9" s="132">
        <v>174.72555211011235</v>
      </c>
      <c r="T9" s="132">
        <v>199.50423667925273</v>
      </c>
      <c r="U9" s="132">
        <v>215.91255344212402</v>
      </c>
      <c r="V9" s="132">
        <v>197.02087340384691</v>
      </c>
      <c r="W9" s="132">
        <v>209.10008710710252</v>
      </c>
      <c r="X9" s="132">
        <v>212.31129897320102</v>
      </c>
      <c r="Y9" s="132">
        <v>202.83095662624069</v>
      </c>
      <c r="DA9" s="156" t="s">
        <v>307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8.0218845698981564E-2</v>
      </c>
      <c r="H10" s="132">
        <v>0.65207971129452247</v>
      </c>
      <c r="I10" s="132">
        <v>2.7808577147206646</v>
      </c>
      <c r="J10" s="132">
        <v>5.4456812301617479</v>
      </c>
      <c r="K10" s="132">
        <v>7.0767787157053226</v>
      </c>
      <c r="L10" s="132">
        <v>5.8889010230949062</v>
      </c>
      <c r="M10" s="132">
        <v>7.8060502747237823</v>
      </c>
      <c r="N10" s="132">
        <v>9.573002075721341</v>
      </c>
      <c r="O10" s="132">
        <v>12.634101921433642</v>
      </c>
      <c r="P10" s="132">
        <v>14.050102011636829</v>
      </c>
      <c r="Q10" s="132">
        <v>8.4373698778629809</v>
      </c>
      <c r="R10" s="132">
        <v>12.534582246764598</v>
      </c>
      <c r="S10" s="132">
        <v>10.686494814646645</v>
      </c>
      <c r="T10" s="132">
        <v>9.1443926335327816</v>
      </c>
      <c r="U10" s="132">
        <v>7.127510310548363</v>
      </c>
      <c r="V10" s="132">
        <v>8.0331061859045807</v>
      </c>
      <c r="W10" s="132">
        <v>9.2429650941282251</v>
      </c>
      <c r="X10" s="132">
        <v>10.162241627686203</v>
      </c>
      <c r="Y10" s="132">
        <v>9.7657640061047513</v>
      </c>
      <c r="DA10" s="156" t="s">
        <v>308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309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310</v>
      </c>
    </row>
    <row r="13" spans="1:105" ht="12" customHeight="1" x14ac:dyDescent="0.25">
      <c r="A13" s="131" t="s">
        <v>77</v>
      </c>
      <c r="B13" s="132">
        <v>1.0853981222399486E-3</v>
      </c>
      <c r="C13" s="132">
        <v>2.7471225107703065E-3</v>
      </c>
      <c r="D13" s="132">
        <v>1.431112011391792E-2</v>
      </c>
      <c r="E13" s="132">
        <v>0.25001725605468028</v>
      </c>
      <c r="F13" s="132">
        <v>0.47989688530489022</v>
      </c>
      <c r="G13" s="132">
        <v>1.6146588968909255</v>
      </c>
      <c r="H13" s="132">
        <v>3.3504413400194579</v>
      </c>
      <c r="I13" s="132">
        <v>5.4370668770302171</v>
      </c>
      <c r="J13" s="132">
        <v>8.0925482585725046</v>
      </c>
      <c r="K13" s="132">
        <v>8.7981848160882734</v>
      </c>
      <c r="L13" s="132">
        <v>9.2369425609202214</v>
      </c>
      <c r="M13" s="132">
        <v>10.574360133736164</v>
      </c>
      <c r="N13" s="132">
        <v>11.437816291843466</v>
      </c>
      <c r="O13" s="132">
        <v>12.32481057243141</v>
      </c>
      <c r="P13" s="132">
        <v>13.655734422104771</v>
      </c>
      <c r="Q13" s="132">
        <v>15.958497610814069</v>
      </c>
      <c r="R13" s="132">
        <v>18.823107853078891</v>
      </c>
      <c r="S13" s="132">
        <v>22.389125965072871</v>
      </c>
      <c r="T13" s="132">
        <v>23.000045371235803</v>
      </c>
      <c r="U13" s="132">
        <v>25.946997682936313</v>
      </c>
      <c r="V13" s="132">
        <v>29.031107648500257</v>
      </c>
      <c r="W13" s="132">
        <v>30.403865882411989</v>
      </c>
      <c r="X13" s="132">
        <v>31.669247141988706</v>
      </c>
      <c r="Y13" s="132">
        <v>33.000991591010276</v>
      </c>
      <c r="DA13" s="156" t="s">
        <v>311</v>
      </c>
    </row>
    <row r="14" spans="1:105" ht="12" customHeight="1" x14ac:dyDescent="0.25">
      <c r="A14" s="60" t="s">
        <v>76</v>
      </c>
      <c r="B14" s="65">
        <v>93.562951964293305</v>
      </c>
      <c r="C14" s="65">
        <v>113.41907644856326</v>
      </c>
      <c r="D14" s="65">
        <v>144.48737422353344</v>
      </c>
      <c r="E14" s="65">
        <v>179.72376861860084</v>
      </c>
      <c r="F14" s="65">
        <v>180.18809145454244</v>
      </c>
      <c r="G14" s="65">
        <v>226.01054352959909</v>
      </c>
      <c r="H14" s="65">
        <v>271.85356345037815</v>
      </c>
      <c r="I14" s="65">
        <v>283.41492226262443</v>
      </c>
      <c r="J14" s="65">
        <v>313.76054284587957</v>
      </c>
      <c r="K14" s="65">
        <v>288.98505282218196</v>
      </c>
      <c r="L14" s="65">
        <v>272.2281582347922</v>
      </c>
      <c r="M14" s="65">
        <v>274.5567981606888</v>
      </c>
      <c r="N14" s="65">
        <v>261.07378759486431</v>
      </c>
      <c r="O14" s="65">
        <v>264.08765338119184</v>
      </c>
      <c r="P14" s="65">
        <v>231.41002959804686</v>
      </c>
      <c r="Q14" s="65">
        <v>284.74535687435184</v>
      </c>
      <c r="R14" s="65">
        <v>281.38311482358569</v>
      </c>
      <c r="S14" s="65">
        <v>273.6935752280404</v>
      </c>
      <c r="T14" s="65">
        <v>336.99826136093014</v>
      </c>
      <c r="U14" s="65">
        <v>360.89094273510625</v>
      </c>
      <c r="V14" s="65">
        <v>278.3146344984338</v>
      </c>
      <c r="W14" s="65">
        <v>277.75822403186515</v>
      </c>
      <c r="X14" s="65">
        <v>279.65792261857399</v>
      </c>
      <c r="Y14" s="65">
        <v>291.29844152378735</v>
      </c>
      <c r="DA14" s="109" t="s">
        <v>312</v>
      </c>
    </row>
    <row r="15" spans="1:105" ht="12" customHeight="1" x14ac:dyDescent="0.25">
      <c r="A15" s="133" t="s">
        <v>80</v>
      </c>
      <c r="B15" s="134">
        <v>5.3215597393681255</v>
      </c>
      <c r="C15" s="134">
        <v>5.0580902852376486</v>
      </c>
      <c r="D15" s="134">
        <v>4.6946718380265207</v>
      </c>
      <c r="E15" s="134">
        <v>4.6836398190303079</v>
      </c>
      <c r="F15" s="134">
        <v>4.3624324450910255</v>
      </c>
      <c r="G15" s="134">
        <v>4.3647877013824719</v>
      </c>
      <c r="H15" s="134">
        <v>4.3797199196232315</v>
      </c>
      <c r="I15" s="134">
        <v>4.21666970786801</v>
      </c>
      <c r="J15" s="134">
        <v>4.3429720768814875</v>
      </c>
      <c r="K15" s="134">
        <v>3.6765141615068622</v>
      </c>
      <c r="L15" s="134">
        <v>3.9713755156982096</v>
      </c>
      <c r="M15" s="134">
        <v>3.6236060750800472</v>
      </c>
      <c r="N15" s="134">
        <v>4.0205910528026685</v>
      </c>
      <c r="O15" s="134">
        <v>4.3098682021646075</v>
      </c>
      <c r="P15" s="134">
        <v>4.0623629758784636</v>
      </c>
      <c r="Q15" s="134">
        <v>4.497384343451591</v>
      </c>
      <c r="R15" s="134">
        <v>4.3582947055855437</v>
      </c>
      <c r="S15" s="134">
        <v>4.1634153600226851</v>
      </c>
      <c r="T15" s="134">
        <v>4.6694270477980044</v>
      </c>
      <c r="U15" s="134">
        <v>4.7739538043255259</v>
      </c>
      <c r="V15" s="134">
        <v>4.3481844889683225</v>
      </c>
      <c r="W15" s="134">
        <v>4.4974062872916454</v>
      </c>
      <c r="X15" s="134">
        <v>4.5356465945130644</v>
      </c>
      <c r="Y15" s="134">
        <v>4.360814807613731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11.047921475403719</v>
      </c>
      <c r="C16" s="130">
        <f t="shared" si="6"/>
        <v>12.453905370604215</v>
      </c>
      <c r="D16" s="130">
        <f t="shared" si="6"/>
        <v>14.378742731765721</v>
      </c>
      <c r="E16" s="130">
        <f t="shared" si="6"/>
        <v>15.812757042084948</v>
      </c>
      <c r="F16" s="130">
        <f t="shared" si="6"/>
        <v>17.631005688074261</v>
      </c>
      <c r="G16" s="130">
        <f t="shared" si="6"/>
        <v>19.946455287287268</v>
      </c>
      <c r="H16" s="130">
        <f t="shared" si="6"/>
        <v>23.153976181795333</v>
      </c>
      <c r="I16" s="130">
        <f t="shared" si="6"/>
        <v>26.069299279208515</v>
      </c>
      <c r="J16" s="130">
        <f t="shared" si="6"/>
        <v>27.833210359778626</v>
      </c>
      <c r="K16" s="130">
        <f t="shared" si="6"/>
        <v>28.882319620863338</v>
      </c>
      <c r="L16" s="130">
        <f t="shared" si="6"/>
        <v>30.358489167539364</v>
      </c>
      <c r="M16" s="130">
        <f t="shared" si="6"/>
        <v>31.304766939335217</v>
      </c>
      <c r="N16" s="130">
        <f t="shared" si="6"/>
        <v>32.844613409033798</v>
      </c>
      <c r="O16" s="130">
        <f t="shared" si="6"/>
        <v>33.863134932241536</v>
      </c>
      <c r="P16" s="130">
        <f t="shared" si="6"/>
        <v>36.382178704163607</v>
      </c>
      <c r="Q16" s="130">
        <f t="shared" si="6"/>
        <v>37.018261515609986</v>
      </c>
      <c r="R16" s="130">
        <f t="shared" ref="R16:W16" si="7">SUM(R17:R18)</f>
        <v>39.141297334217754</v>
      </c>
      <c r="S16" s="130">
        <f t="shared" si="7"/>
        <v>40.803172362943862</v>
      </c>
      <c r="T16" s="130">
        <f t="shared" si="7"/>
        <v>43.027623067657515</v>
      </c>
      <c r="U16" s="130">
        <f t="shared" si="7"/>
        <v>45.905230955667179</v>
      </c>
      <c r="V16" s="130">
        <f t="shared" si="7"/>
        <v>44.945780574403862</v>
      </c>
      <c r="W16" s="130">
        <f t="shared" si="7"/>
        <v>46.164938035162237</v>
      </c>
      <c r="X16" s="130">
        <f t="shared" ref="X16:Y16" si="8">SUM(X17:X18)</f>
        <v>48.847620677203508</v>
      </c>
      <c r="Y16" s="130">
        <f t="shared" si="8"/>
        <v>49.978425559786494</v>
      </c>
      <c r="DA16" s="155" t="s">
        <v>314</v>
      </c>
    </row>
    <row r="17" spans="1:105" ht="12.95" customHeight="1" x14ac:dyDescent="0.25">
      <c r="A17" s="131" t="s">
        <v>73</v>
      </c>
      <c r="B17" s="132">
        <v>2.8304321695747248E-2</v>
      </c>
      <c r="C17" s="132">
        <v>3.2908524775136901E-2</v>
      </c>
      <c r="D17" s="132">
        <v>3.9651034927877207E-2</v>
      </c>
      <c r="E17" s="132">
        <v>4.0091149373293736E-2</v>
      </c>
      <c r="F17" s="132">
        <v>5.0955757715657322E-2</v>
      </c>
      <c r="G17" s="132">
        <v>6.0268284812855968E-2</v>
      </c>
      <c r="H17" s="132">
        <v>7.954793602617774E-2</v>
      </c>
      <c r="I17" s="132">
        <v>8.8248243106966648E-2</v>
      </c>
      <c r="J17" s="132">
        <v>9.2348446348259561E-2</v>
      </c>
      <c r="K17" s="132">
        <v>0.10396310569525044</v>
      </c>
      <c r="L17" s="132">
        <v>0.1137410272296392</v>
      </c>
      <c r="M17" s="132">
        <v>0.12526321230583556</v>
      </c>
      <c r="N17" s="132">
        <v>0.14659328875632269</v>
      </c>
      <c r="O17" s="132">
        <v>0.1846182247105882</v>
      </c>
      <c r="P17" s="132">
        <v>0.25210254064418092</v>
      </c>
      <c r="Q17" s="132">
        <v>0.35341956160390836</v>
      </c>
      <c r="R17" s="132">
        <v>0.44708241267059828</v>
      </c>
      <c r="S17" s="132">
        <v>0.52520708221175028</v>
      </c>
      <c r="T17" s="132">
        <v>0.58308635424723498</v>
      </c>
      <c r="U17" s="132">
        <v>0.64621181778150683</v>
      </c>
      <c r="V17" s="132">
        <v>0.64110181827063728</v>
      </c>
      <c r="W17" s="132">
        <v>0.64313522047683203</v>
      </c>
      <c r="X17" s="132">
        <v>0.73682983855519169</v>
      </c>
      <c r="Y17" s="132">
        <v>0.77400075364598053</v>
      </c>
      <c r="DA17" s="156" t="s">
        <v>315</v>
      </c>
    </row>
    <row r="18" spans="1:105" ht="12" customHeight="1" x14ac:dyDescent="0.25">
      <c r="A18" s="131" t="s">
        <v>72</v>
      </c>
      <c r="B18" s="132">
        <v>11.019617153707971</v>
      </c>
      <c r="C18" s="132">
        <v>12.420996845829078</v>
      </c>
      <c r="D18" s="132">
        <v>14.339091696837844</v>
      </c>
      <c r="E18" s="132">
        <v>15.772665892711654</v>
      </c>
      <c r="F18" s="132">
        <v>17.580049930358605</v>
      </c>
      <c r="G18" s="132">
        <v>19.886187002474411</v>
      </c>
      <c r="H18" s="132">
        <v>23.074428245769155</v>
      </c>
      <c r="I18" s="132">
        <v>25.981051036101547</v>
      </c>
      <c r="J18" s="132">
        <v>27.740861913430365</v>
      </c>
      <c r="K18" s="132">
        <v>28.778356515168088</v>
      </c>
      <c r="L18" s="132">
        <v>30.244748140309724</v>
      </c>
      <c r="M18" s="132">
        <v>31.179503727029381</v>
      </c>
      <c r="N18" s="132">
        <v>32.698020120277477</v>
      </c>
      <c r="O18" s="132">
        <v>33.678516707530946</v>
      </c>
      <c r="P18" s="132">
        <v>36.130076163519426</v>
      </c>
      <c r="Q18" s="132">
        <v>36.664841954006079</v>
      </c>
      <c r="R18" s="132">
        <v>38.694214921547157</v>
      </c>
      <c r="S18" s="132">
        <v>40.277965280732111</v>
      </c>
      <c r="T18" s="132">
        <v>42.44453671341028</v>
      </c>
      <c r="U18" s="132">
        <v>45.259019137885673</v>
      </c>
      <c r="V18" s="132">
        <v>44.304678756133228</v>
      </c>
      <c r="W18" s="132">
        <v>45.521802814685408</v>
      </c>
      <c r="X18" s="132">
        <v>48.110790838648313</v>
      </c>
      <c r="Y18" s="132">
        <v>49.204424806140516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73.454073808055227</v>
      </c>
      <c r="C19" s="130">
        <f t="shared" si="9"/>
        <v>75.454922366992363</v>
      </c>
      <c r="D19" s="130">
        <f t="shared" si="9"/>
        <v>76.52512084852259</v>
      </c>
      <c r="E19" s="130">
        <f t="shared" si="9"/>
        <v>77.101031630211764</v>
      </c>
      <c r="F19" s="130">
        <f t="shared" si="9"/>
        <v>77.666587059834583</v>
      </c>
      <c r="G19" s="130">
        <f t="shared" si="9"/>
        <v>80.78730089763144</v>
      </c>
      <c r="H19" s="130">
        <f t="shared" si="9"/>
        <v>82.277841845931391</v>
      </c>
      <c r="I19" s="130">
        <f t="shared" si="9"/>
        <v>85.16314466223335</v>
      </c>
      <c r="J19" s="130">
        <f t="shared" si="9"/>
        <v>86.663863316216492</v>
      </c>
      <c r="K19" s="130">
        <f t="shared" si="9"/>
        <v>88.441762290282654</v>
      </c>
      <c r="L19" s="130">
        <f t="shared" si="9"/>
        <v>90.464644548176821</v>
      </c>
      <c r="M19" s="130">
        <f t="shared" si="9"/>
        <v>91.164041564536234</v>
      </c>
      <c r="N19" s="130">
        <f t="shared" si="9"/>
        <v>93.069161674390259</v>
      </c>
      <c r="O19" s="130">
        <f t="shared" si="9"/>
        <v>95.00679282745368</v>
      </c>
      <c r="P19" s="130">
        <f t="shared" si="9"/>
        <v>97.542824729592851</v>
      </c>
      <c r="Q19" s="130">
        <f t="shared" si="9"/>
        <v>102.80438635900694</v>
      </c>
      <c r="R19" s="130">
        <f t="shared" ref="R19:W19" si="10">SUM(R20:R27)</f>
        <v>103.73430592770252</v>
      </c>
      <c r="S19" s="130">
        <f t="shared" si="10"/>
        <v>105.11698457605252</v>
      </c>
      <c r="T19" s="130">
        <f t="shared" si="10"/>
        <v>107.58294003094471</v>
      </c>
      <c r="U19" s="130">
        <f t="shared" si="10"/>
        <v>111.21078522894237</v>
      </c>
      <c r="V19" s="130">
        <f t="shared" si="10"/>
        <v>105.57806400318327</v>
      </c>
      <c r="W19" s="130">
        <f t="shared" si="10"/>
        <v>116.82226088093046</v>
      </c>
      <c r="X19" s="130">
        <f t="shared" ref="X19:Y19" si="11">SUM(X20:X27)</f>
        <v>115.22799792691868</v>
      </c>
      <c r="Y19" s="130">
        <f t="shared" si="11"/>
        <v>113.48237993390616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319</v>
      </c>
    </row>
    <row r="22" spans="1:105" ht="12" customHeight="1" x14ac:dyDescent="0.25">
      <c r="A22" s="131" t="s">
        <v>161</v>
      </c>
      <c r="B22" s="132">
        <v>18.808496600959007</v>
      </c>
      <c r="C22" s="132">
        <v>18.874712263614345</v>
      </c>
      <c r="D22" s="132">
        <v>18.464739161447408</v>
      </c>
      <c r="E22" s="132">
        <v>17.28732560748573</v>
      </c>
      <c r="F22" s="132">
        <v>16.956277681598227</v>
      </c>
      <c r="G22" s="132">
        <v>15.946212821732892</v>
      </c>
      <c r="H22" s="132">
        <v>15.009580290358025</v>
      </c>
      <c r="I22" s="132">
        <v>14.54826522408611</v>
      </c>
      <c r="J22" s="132">
        <v>14.595097505517325</v>
      </c>
      <c r="K22" s="132">
        <v>14.325717466941931</v>
      </c>
      <c r="L22" s="132">
        <v>14.640216992954995</v>
      </c>
      <c r="M22" s="132">
        <v>14.70596122777148</v>
      </c>
      <c r="N22" s="132">
        <v>14.853793273515212</v>
      </c>
      <c r="O22" s="132">
        <v>14.656974993514</v>
      </c>
      <c r="P22" s="132">
        <v>14.747923179545374</v>
      </c>
      <c r="Q22" s="132">
        <v>14.288187874736591</v>
      </c>
      <c r="R22" s="132">
        <v>13.964289895707511</v>
      </c>
      <c r="S22" s="132">
        <v>14.34600049636536</v>
      </c>
      <c r="T22" s="132">
        <v>13.518640440648996</v>
      </c>
      <c r="U22" s="132">
        <v>13.177398907971865</v>
      </c>
      <c r="V22" s="132">
        <v>11.420057753581633</v>
      </c>
      <c r="W22" s="132">
        <v>12.088698914288889</v>
      </c>
      <c r="X22" s="132">
        <v>12.830794785993787</v>
      </c>
      <c r="Y22" s="132">
        <v>12.927002269369465</v>
      </c>
      <c r="DA22" s="156" t="s">
        <v>320</v>
      </c>
    </row>
    <row r="23" spans="1:105" ht="12" customHeight="1" x14ac:dyDescent="0.25">
      <c r="A23" s="131" t="s">
        <v>149</v>
      </c>
      <c r="B23" s="132">
        <v>15.334340790730602</v>
      </c>
      <c r="C23" s="132">
        <v>15.973946246154791</v>
      </c>
      <c r="D23" s="132">
        <v>16.22495640247832</v>
      </c>
      <c r="E23" s="132">
        <v>16.411071221479695</v>
      </c>
      <c r="F23" s="132">
        <v>17.047212383126404</v>
      </c>
      <c r="G23" s="132">
        <v>17.37070523342506</v>
      </c>
      <c r="H23" s="132">
        <v>17.548803658474267</v>
      </c>
      <c r="I23" s="132">
        <v>18.170793661176457</v>
      </c>
      <c r="J23" s="132">
        <v>18.207141126060883</v>
      </c>
      <c r="K23" s="132">
        <v>19.007601570606393</v>
      </c>
      <c r="L23" s="132">
        <v>20.254785549103577</v>
      </c>
      <c r="M23" s="132">
        <v>19.1865207331197</v>
      </c>
      <c r="N23" s="132">
        <v>20.474390794105119</v>
      </c>
      <c r="O23" s="132">
        <v>21.77486760842875</v>
      </c>
      <c r="P23" s="132">
        <v>23.087372017011823</v>
      </c>
      <c r="Q23" s="132">
        <v>24.437530772957068</v>
      </c>
      <c r="R23" s="132">
        <v>24.043182166296642</v>
      </c>
      <c r="S23" s="132">
        <v>24.266757931071908</v>
      </c>
      <c r="T23" s="132">
        <v>22.610071754826802</v>
      </c>
      <c r="U23" s="132">
        <v>23.239440160958292</v>
      </c>
      <c r="V23" s="132">
        <v>17.846201776944046</v>
      </c>
      <c r="W23" s="132">
        <v>25.633801847725199</v>
      </c>
      <c r="X23" s="132">
        <v>26.017297069710743</v>
      </c>
      <c r="Y23" s="132">
        <v>26.238014980654285</v>
      </c>
      <c r="DA23" s="156" t="s">
        <v>321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322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323</v>
      </c>
    </row>
    <row r="26" spans="1:105" ht="12" customHeight="1" x14ac:dyDescent="0.25">
      <c r="A26" s="131" t="s">
        <v>24</v>
      </c>
      <c r="B26" s="65">
        <v>39.311236416365624</v>
      </c>
      <c r="C26" s="65">
        <v>40.606263857223226</v>
      </c>
      <c r="D26" s="65">
        <v>41.835425284596873</v>
      </c>
      <c r="E26" s="65">
        <v>43.402634801246343</v>
      </c>
      <c r="F26" s="65">
        <v>43.663096995109953</v>
      </c>
      <c r="G26" s="65">
        <v>47.470382842473484</v>
      </c>
      <c r="H26" s="65">
        <v>49.686525824872106</v>
      </c>
      <c r="I26" s="65">
        <v>52.406424555990554</v>
      </c>
      <c r="J26" s="65">
        <v>53.766955725051005</v>
      </c>
      <c r="K26" s="65">
        <v>55.007583407506473</v>
      </c>
      <c r="L26" s="65">
        <v>55.41633160199099</v>
      </c>
      <c r="M26" s="65">
        <v>57.107071211555628</v>
      </c>
      <c r="N26" s="65">
        <v>57.574769524224791</v>
      </c>
      <c r="O26" s="65">
        <v>58.408742142965792</v>
      </c>
      <c r="P26" s="65">
        <v>59.541321450490521</v>
      </c>
      <c r="Q26" s="65">
        <v>63.91245962876814</v>
      </c>
      <c r="R26" s="65">
        <v>65.560625783153228</v>
      </c>
      <c r="S26" s="65">
        <v>66.338018066070106</v>
      </c>
      <c r="T26" s="65">
        <v>71.287675814832625</v>
      </c>
      <c r="U26" s="65">
        <v>74.627394139375923</v>
      </c>
      <c r="V26" s="65">
        <v>76.145252452021296</v>
      </c>
      <c r="W26" s="65">
        <v>78.933208098280076</v>
      </c>
      <c r="X26" s="65">
        <v>76.213354050577848</v>
      </c>
      <c r="Y26" s="65">
        <v>74.150810663246119</v>
      </c>
      <c r="DA26" s="109" t="s">
        <v>324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3.2932072226999141E-2</v>
      </c>
      <c r="I27" s="145">
        <v>3.766122098022355E-2</v>
      </c>
      <c r="J27" s="145">
        <v>9.4668959587274282E-2</v>
      </c>
      <c r="K27" s="145">
        <v>0.100859845227859</v>
      </c>
      <c r="L27" s="145">
        <v>0.1533104041272571</v>
      </c>
      <c r="M27" s="145">
        <v>0.1644883920894239</v>
      </c>
      <c r="N27" s="145">
        <v>0.16620808254514199</v>
      </c>
      <c r="O27" s="145">
        <v>0.16620808254514194</v>
      </c>
      <c r="P27" s="145">
        <v>0.16620808254514188</v>
      </c>
      <c r="Q27" s="145">
        <v>0.16620808254514191</v>
      </c>
      <c r="R27" s="145">
        <v>0.1662080825451418</v>
      </c>
      <c r="S27" s="145">
        <v>0.16620808254514188</v>
      </c>
      <c r="T27" s="145">
        <v>0.16655202063628549</v>
      </c>
      <c r="U27" s="145">
        <v>0.16655202063628555</v>
      </c>
      <c r="V27" s="145">
        <v>0.16655202063628546</v>
      </c>
      <c r="W27" s="145">
        <v>0.16655202063628555</v>
      </c>
      <c r="X27" s="145">
        <v>0.16655202063628546</v>
      </c>
      <c r="Y27" s="145">
        <v>0.16655202063628552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77.264517160203411</v>
      </c>
      <c r="C29" s="130">
        <f t="shared" si="12"/>
        <v>78.711682951342127</v>
      </c>
      <c r="D29" s="130">
        <f t="shared" si="12"/>
        <v>79.858983150663846</v>
      </c>
      <c r="E29" s="130">
        <f t="shared" si="12"/>
        <v>81.354372841194163</v>
      </c>
      <c r="F29" s="130">
        <f t="shared" si="12"/>
        <v>82.386259261730714</v>
      </c>
      <c r="G29" s="130">
        <f t="shared" si="12"/>
        <v>85.342456530824165</v>
      </c>
      <c r="H29" s="130">
        <f t="shared" si="12"/>
        <v>87.514527892137323</v>
      </c>
      <c r="I29" s="130">
        <f t="shared" si="12"/>
        <v>91.014025481052499</v>
      </c>
      <c r="J29" s="130">
        <f t="shared" si="12"/>
        <v>94.306416680237419</v>
      </c>
      <c r="K29" s="130">
        <f t="shared" si="12"/>
        <v>87.815470906530507</v>
      </c>
      <c r="L29" s="130">
        <f t="shared" si="12"/>
        <v>90.302999137503988</v>
      </c>
      <c r="M29" s="130">
        <f t="shared" si="12"/>
        <v>95.523767730029107</v>
      </c>
      <c r="N29" s="130">
        <f t="shared" si="12"/>
        <v>99.009118320510709</v>
      </c>
      <c r="O29" s="130">
        <f t="shared" si="12"/>
        <v>102.04499331108119</v>
      </c>
      <c r="P29" s="130">
        <f t="shared" si="12"/>
        <v>104.0691783425714</v>
      </c>
      <c r="Q29" s="130">
        <f t="shared" si="12"/>
        <v>107.53818637315396</v>
      </c>
      <c r="R29" s="130">
        <f t="shared" ref="R29:W29" si="13">SUM(R30:R33)</f>
        <v>110.42187622838688</v>
      </c>
      <c r="S29" s="130">
        <f t="shared" si="13"/>
        <v>113.19934779332304</v>
      </c>
      <c r="T29" s="130">
        <f t="shared" si="13"/>
        <v>115.67338043068455</v>
      </c>
      <c r="U29" s="130">
        <f t="shared" si="13"/>
        <v>119.85644954368468</v>
      </c>
      <c r="V29" s="130">
        <f t="shared" si="13"/>
        <v>111.93701269985533</v>
      </c>
      <c r="W29" s="130">
        <f t="shared" si="13"/>
        <v>128.64707579053055</v>
      </c>
      <c r="X29" s="130">
        <f t="shared" ref="X29:Y29" si="14">SUM(X30:X33)</f>
        <v>127.44290268533784</v>
      </c>
      <c r="Y29" s="130">
        <f t="shared" si="14"/>
        <v>126.77519984425133</v>
      </c>
      <c r="DA29" s="155" t="s">
        <v>326</v>
      </c>
    </row>
    <row r="30" spans="1:105" ht="12" customHeight="1" x14ac:dyDescent="0.25">
      <c r="A30" s="131" t="s">
        <v>52</v>
      </c>
      <c r="B30" s="132">
        <v>23.244227733149767</v>
      </c>
      <c r="C30" s="132">
        <v>26.092445777854561</v>
      </c>
      <c r="D30" s="132">
        <v>26.877750036017375</v>
      </c>
      <c r="E30" s="132">
        <v>28.609864834215823</v>
      </c>
      <c r="F30" s="132">
        <v>31.293838713175845</v>
      </c>
      <c r="G30" s="132">
        <v>37.430720133472818</v>
      </c>
      <c r="H30" s="132">
        <v>39.164680419870002</v>
      </c>
      <c r="I30" s="132">
        <v>41.505732492891021</v>
      </c>
      <c r="J30" s="132">
        <v>47.354757605188624</v>
      </c>
      <c r="K30" s="132">
        <v>34.205931412271667</v>
      </c>
      <c r="L30" s="132">
        <v>44.158406101431368</v>
      </c>
      <c r="M30" s="132">
        <v>43.845088517676906</v>
      </c>
      <c r="N30" s="132">
        <v>41.264857948416449</v>
      </c>
      <c r="O30" s="132">
        <v>48.199853685003688</v>
      </c>
      <c r="P30" s="132">
        <v>37.876000394982562</v>
      </c>
      <c r="Q30" s="132">
        <v>40.807759615936504</v>
      </c>
      <c r="R30" s="132">
        <v>34.683437793007521</v>
      </c>
      <c r="S30" s="132">
        <v>36.032470611929995</v>
      </c>
      <c r="T30" s="132">
        <v>39.582089726683392</v>
      </c>
      <c r="U30" s="132">
        <v>39.598634049167586</v>
      </c>
      <c r="V30" s="132">
        <v>32.035392763732716</v>
      </c>
      <c r="W30" s="132">
        <v>36.427267861752988</v>
      </c>
      <c r="X30" s="132">
        <v>38.569401265949686</v>
      </c>
      <c r="Y30" s="132">
        <v>42.191489847535323</v>
      </c>
      <c r="DA30" s="156" t="s">
        <v>327</v>
      </c>
    </row>
    <row r="31" spans="1:105" ht="12" customHeight="1" x14ac:dyDescent="0.25">
      <c r="A31" s="131" t="s">
        <v>149</v>
      </c>
      <c r="B31" s="132">
        <v>13.95070902953959</v>
      </c>
      <c r="C31" s="132">
        <v>13.55914085240002</v>
      </c>
      <c r="D31" s="132">
        <v>12.999112448519753</v>
      </c>
      <c r="E31" s="132">
        <v>12.608654576247675</v>
      </c>
      <c r="F31" s="132">
        <v>12.696749644252217</v>
      </c>
      <c r="G31" s="132">
        <v>12.679423420113686</v>
      </c>
      <c r="H31" s="132">
        <v>12.791189896012439</v>
      </c>
      <c r="I31" s="132">
        <v>12.615711442190243</v>
      </c>
      <c r="J31" s="132">
        <v>12.654822992868375</v>
      </c>
      <c r="K31" s="132">
        <v>13.221666608162925</v>
      </c>
      <c r="L31" s="132">
        <v>13.777607673982432</v>
      </c>
      <c r="M31" s="132">
        <v>12.761631204335336</v>
      </c>
      <c r="N31" s="132">
        <v>13.555293498289153</v>
      </c>
      <c r="O31" s="132">
        <v>13.674269420859893</v>
      </c>
      <c r="P31" s="132">
        <v>13.714348615212323</v>
      </c>
      <c r="Q31" s="132">
        <v>14.875422820165182</v>
      </c>
      <c r="R31" s="132">
        <v>14.291186552554235</v>
      </c>
      <c r="S31" s="132">
        <v>13.681338886433609</v>
      </c>
      <c r="T31" s="132">
        <v>13.890909492654636</v>
      </c>
      <c r="U31" s="132">
        <v>14.413474648565376</v>
      </c>
      <c r="V31" s="132">
        <v>11.337255997044911</v>
      </c>
      <c r="W31" s="132">
        <v>16.625298851504549</v>
      </c>
      <c r="X31" s="132">
        <v>16.353964550921397</v>
      </c>
      <c r="Y31" s="132">
        <v>16.073449957860291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329</v>
      </c>
    </row>
    <row r="33" spans="1:105" ht="12" customHeight="1" x14ac:dyDescent="0.25">
      <c r="A33" s="62" t="s">
        <v>24</v>
      </c>
      <c r="B33" s="68">
        <v>40.069580397514059</v>
      </c>
      <c r="C33" s="68">
        <v>39.060096321087542</v>
      </c>
      <c r="D33" s="68">
        <v>39.982120666126725</v>
      </c>
      <c r="E33" s="68">
        <v>40.13585343073067</v>
      </c>
      <c r="F33" s="68">
        <v>38.395670904302655</v>
      </c>
      <c r="G33" s="68">
        <v>35.232312977237662</v>
      </c>
      <c r="H33" s="68">
        <v>35.558657576254888</v>
      </c>
      <c r="I33" s="68">
        <v>36.892581545971233</v>
      </c>
      <c r="J33" s="68">
        <v>34.29683608218042</v>
      </c>
      <c r="K33" s="68">
        <v>40.387872886095913</v>
      </c>
      <c r="L33" s="68">
        <v>32.36698536209019</v>
      </c>
      <c r="M33" s="68">
        <v>38.917048008016863</v>
      </c>
      <c r="N33" s="68">
        <v>44.1889668738051</v>
      </c>
      <c r="O33" s="68">
        <v>40.170870205217611</v>
      </c>
      <c r="P33" s="68">
        <v>52.478829332376527</v>
      </c>
      <c r="Q33" s="68">
        <v>51.855003937052274</v>
      </c>
      <c r="R33" s="68">
        <v>61.447251882825114</v>
      </c>
      <c r="S33" s="68">
        <v>63.48553829495944</v>
      </c>
      <c r="T33" s="68">
        <v>62.200381211346524</v>
      </c>
      <c r="U33" s="68">
        <v>65.84434084595172</v>
      </c>
      <c r="V33" s="68">
        <v>68.564363939077694</v>
      </c>
      <c r="W33" s="68">
        <v>75.594509077273031</v>
      </c>
      <c r="X33" s="68">
        <v>72.519536868466759</v>
      </c>
      <c r="Y33" s="68">
        <v>68.510260038855719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0.56882943791938922</v>
      </c>
      <c r="C3" s="126">
        <f>IF(SER_hh_tes!C3=0,"",SER_hh_tes!C3/SER_hh_fec!C3)</f>
        <v>0.57911200409481145</v>
      </c>
      <c r="D3" s="126">
        <f>IF(SER_hh_tes!D3=0,"",SER_hh_tes!D3/SER_hh_fec!D3)</f>
        <v>0.59300153288010926</v>
      </c>
      <c r="E3" s="126">
        <f>IF(SER_hh_tes!E3=0,"",SER_hh_tes!E3/SER_hh_fec!E3)</f>
        <v>0.60536934576317647</v>
      </c>
      <c r="F3" s="126">
        <f>IF(SER_hh_tes!F3=0,"",SER_hh_tes!F3/SER_hh_fec!F3)</f>
        <v>0.61388058359258846</v>
      </c>
      <c r="G3" s="126">
        <f>IF(SER_hh_tes!G3=0,"",SER_hh_tes!G3/SER_hh_fec!G3)</f>
        <v>0.62603363621606933</v>
      </c>
      <c r="H3" s="126">
        <f>IF(SER_hh_tes!H3=0,"",SER_hh_tes!H3/SER_hh_fec!H3)</f>
        <v>0.64071242291435848</v>
      </c>
      <c r="I3" s="126">
        <f>IF(SER_hh_tes!I3=0,"",SER_hh_tes!I3/SER_hh_fec!I3)</f>
        <v>0.65263350253439445</v>
      </c>
      <c r="J3" s="126">
        <f>IF(SER_hh_tes!J3=0,"",SER_hh_tes!J3/SER_hh_fec!J3)</f>
        <v>0.66069605338238446</v>
      </c>
      <c r="K3" s="126">
        <f>IF(SER_hh_tes!K3=0,"",SER_hh_tes!K3/SER_hh_fec!K3)</f>
        <v>0.6755402857959274</v>
      </c>
      <c r="L3" s="126">
        <f>IF(SER_hh_tes!L3=0,"",SER_hh_tes!L3/SER_hh_fec!L3)</f>
        <v>0.6764891252260179</v>
      </c>
      <c r="M3" s="126">
        <f>IF(SER_hh_tes!M3=0,"",SER_hh_tes!M3/SER_hh_fec!M3)</f>
        <v>0.69155236455125879</v>
      </c>
      <c r="N3" s="126">
        <f>IF(SER_hh_tes!N3=0,"",SER_hh_tes!N3/SER_hh_fec!N3)</f>
        <v>0.69865169678062344</v>
      </c>
      <c r="O3" s="126">
        <f>IF(SER_hh_tes!O3=0,"",SER_hh_tes!O3/SER_hh_fec!O3)</f>
        <v>0.70446663910665475</v>
      </c>
      <c r="P3" s="126">
        <f>IF(SER_hh_tes!P3=0,"",SER_hh_tes!P3/SER_hh_fec!P3)</f>
        <v>0.71386396623003601</v>
      </c>
      <c r="Q3" s="126">
        <f>IF(SER_hh_tes!Q3=0,"",SER_hh_tes!Q3/SER_hh_fec!Q3)</f>
        <v>0.72051402198025094</v>
      </c>
      <c r="R3" s="126">
        <f>IF(SER_hh_tes!R3=0,"",SER_hh_tes!R3/SER_hh_fec!R3)</f>
        <v>0.73302839036993994</v>
      </c>
      <c r="S3" s="126">
        <f>IF(SER_hh_tes!S3=0,"",SER_hh_tes!S3/SER_hh_fec!S3)</f>
        <v>0.74814827031171449</v>
      </c>
      <c r="T3" s="126">
        <f>IF(SER_hh_tes!T3=0,"",SER_hh_tes!T3/SER_hh_fec!T3)</f>
        <v>0.75827800605304418</v>
      </c>
      <c r="U3" s="126">
        <f>IF(SER_hh_tes!U3=0,"",SER_hh_tes!U3/SER_hh_fec!U3)</f>
        <v>0.77583772732365286</v>
      </c>
      <c r="V3" s="126">
        <f>IF(SER_hh_tes!V3=0,"",SER_hh_tes!V3/SER_hh_fec!V3)</f>
        <v>0.79456888247212354</v>
      </c>
      <c r="W3" s="126">
        <f>IF(SER_hh_tes!W3=0,"",SER_hh_tes!W3/SER_hh_fec!W3)</f>
        <v>0.8049918116563255</v>
      </c>
      <c r="X3" s="126">
        <f>IF(SER_hh_tes!X3=0,"",SER_hh_tes!X3/SER_hh_fec!X3)</f>
        <v>0.81976347121860427</v>
      </c>
      <c r="Y3" s="126">
        <f>IF(SER_hh_tes!Y3=0,"",SER_hh_tes!Y3/SER_hh_fec!Y3)</f>
        <v>0.8352640594584092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0.53408524005614255</v>
      </c>
      <c r="C4" s="135">
        <f>IF(SER_hh_tes!C4=0,"",SER_hh_tes!C4/SER_hh_fec!C4)</f>
        <v>0.54604582302938076</v>
      </c>
      <c r="D4" s="135">
        <f>IF(SER_hh_tes!D4=0,"",SER_hh_tes!D4/SER_hh_fec!D4)</f>
        <v>0.56173296859686828</v>
      </c>
      <c r="E4" s="135">
        <f>IF(SER_hh_tes!E4=0,"",SER_hh_tes!E4/SER_hh_fec!E4)</f>
        <v>0.57795638629295598</v>
      </c>
      <c r="F4" s="135">
        <f>IF(SER_hh_tes!F4=0,"",SER_hh_tes!F4/SER_hh_fec!F4)</f>
        <v>0.58590142081365804</v>
      </c>
      <c r="G4" s="135">
        <f>IF(SER_hh_tes!G4=0,"",SER_hh_tes!G4/SER_hh_fec!G4)</f>
        <v>0.60162843177748226</v>
      </c>
      <c r="H4" s="135">
        <f>IF(SER_hh_tes!H4=0,"",SER_hh_tes!H4/SER_hh_fec!H4)</f>
        <v>0.61836470556631673</v>
      </c>
      <c r="I4" s="135">
        <f>IF(SER_hh_tes!I4=0,"",SER_hh_tes!I4/SER_hh_fec!I4)</f>
        <v>0.62988474068716294</v>
      </c>
      <c r="J4" s="135">
        <f>IF(SER_hh_tes!J4=0,"",SER_hh_tes!J4/SER_hh_fec!J4)</f>
        <v>0.6402815414385884</v>
      </c>
      <c r="K4" s="135">
        <f>IF(SER_hh_tes!K4=0,"",SER_hh_tes!K4/SER_hh_fec!K4)</f>
        <v>0.65189381291637127</v>
      </c>
      <c r="L4" s="135">
        <f>IF(SER_hh_tes!L4=0,"",SER_hh_tes!L4/SER_hh_fec!L4)</f>
        <v>0.65411555355251128</v>
      </c>
      <c r="M4" s="135">
        <f>IF(SER_hh_tes!M4=0,"",SER_hh_tes!M4/SER_hh_fec!M4)</f>
        <v>0.66961076999643077</v>
      </c>
      <c r="N4" s="135">
        <f>IF(SER_hh_tes!N4=0,"",SER_hh_tes!N4/SER_hh_fec!N4)</f>
        <v>0.67528830266899287</v>
      </c>
      <c r="O4" s="135">
        <f>IF(SER_hh_tes!O4=0,"",SER_hh_tes!O4/SER_hh_fec!O4)</f>
        <v>0.68320667335437912</v>
      </c>
      <c r="P4" s="135">
        <f>IF(SER_hh_tes!P4=0,"",SER_hh_tes!P4/SER_hh_fec!P4)</f>
        <v>0.68553240821432948</v>
      </c>
      <c r="Q4" s="135">
        <f>IF(SER_hh_tes!Q4=0,"",SER_hh_tes!Q4/SER_hh_fec!Q4)</f>
        <v>0.6967960626526305</v>
      </c>
      <c r="R4" s="135">
        <f>IF(SER_hh_tes!R4=0,"",SER_hh_tes!R4/SER_hh_fec!R4)</f>
        <v>0.70547558678938149</v>
      </c>
      <c r="S4" s="135">
        <f>IF(SER_hh_tes!S4=0,"",SER_hh_tes!S4/SER_hh_fec!S4)</f>
        <v>0.72016260202513949</v>
      </c>
      <c r="T4" s="135">
        <f>IF(SER_hh_tes!T4=0,"",SER_hh_tes!T4/SER_hh_fec!T4)</f>
        <v>0.732854069753888</v>
      </c>
      <c r="U4" s="135">
        <f>IF(SER_hh_tes!U4=0,"",SER_hh_tes!U4/SER_hh_fec!U4)</f>
        <v>0.75091126440925493</v>
      </c>
      <c r="V4" s="135">
        <f>IF(SER_hh_tes!V4=0,"",SER_hh_tes!V4/SER_hh_fec!V4)</f>
        <v>0.76353263418407469</v>
      </c>
      <c r="W4" s="135">
        <f>IF(SER_hh_tes!W4=0,"",SER_hh_tes!W4/SER_hh_fec!W4)</f>
        <v>0.77732789066789143</v>
      </c>
      <c r="X4" s="135">
        <f>IF(SER_hh_tes!X4=0,"",SER_hh_tes!X4/SER_hh_fec!X4)</f>
        <v>0.79216629101901459</v>
      </c>
      <c r="Y4" s="135">
        <f>IF(SER_hh_tes!Y4=0,"",SER_hh_tes!Y4/SER_hh_fec!Y4)</f>
        <v>0.81010864595304732</v>
      </c>
      <c r="DA4" s="162" t="s">
        <v>240</v>
      </c>
    </row>
    <row r="5" spans="1:105" ht="12" customHeight="1" x14ac:dyDescent="0.25">
      <c r="A5" s="131" t="s">
        <v>29</v>
      </c>
      <c r="B5" s="136">
        <f>IF(SER_hh_tes!B5=0,"",SER_hh_tes!B5/SER_hh_fec!B5)</f>
        <v>0.5473532022339731</v>
      </c>
      <c r="C5" s="136">
        <f>IF(SER_hh_tes!C5=0,"",SER_hh_tes!C5/SER_hh_fec!C5)</f>
        <v>0.55140354688013871</v>
      </c>
      <c r="D5" s="136">
        <f>IF(SER_hh_tes!D5=0,"",SER_hh_tes!D5/SER_hh_fec!D5)</f>
        <v>0.57552297459652491</v>
      </c>
      <c r="E5" s="136">
        <f>IF(SER_hh_tes!E5=0,"",SER_hh_tes!E5/SER_hh_fec!E5)</f>
        <v>0.59824674402583589</v>
      </c>
      <c r="F5" s="136">
        <f>IF(SER_hh_tes!F5=0,"",SER_hh_tes!F5/SER_hh_fec!F5)</f>
        <v>0.60449634914864647</v>
      </c>
      <c r="G5" s="136">
        <f>IF(SER_hh_tes!G5=0,"",SER_hh_tes!G5/SER_hh_fec!G5)</f>
        <v>0.60774562909722685</v>
      </c>
      <c r="H5" s="136">
        <f>IF(SER_hh_tes!H5=0,"",SER_hh_tes!H5/SER_hh_fec!H5)</f>
        <v>0.61019941059519023</v>
      </c>
      <c r="I5" s="136">
        <f>IF(SER_hh_tes!I5=0,"",SER_hh_tes!I5/SER_hh_fec!I5)</f>
        <v>0.61212513523376733</v>
      </c>
      <c r="J5" s="136">
        <f>IF(SER_hh_tes!J5=0,"",SER_hh_tes!J5/SER_hh_fec!J5)</f>
        <v>0.61408636913789161</v>
      </c>
      <c r="K5" s="136">
        <f>IF(SER_hh_tes!K5=0,"",SER_hh_tes!K5/SER_hh_fec!K5)</f>
        <v>0.61490120057760345</v>
      </c>
      <c r="L5" s="136">
        <f>IF(SER_hh_tes!L5=0,"",SER_hh_tes!L5/SER_hh_fec!L5)</f>
        <v>0.61490120057760334</v>
      </c>
      <c r="M5" s="136">
        <f>IF(SER_hh_tes!M5=0,"",SER_hh_tes!M5/SER_hh_fec!M5)</f>
        <v>0.61490120057760345</v>
      </c>
      <c r="N5" s="136">
        <f>IF(SER_hh_tes!N5=0,"",SER_hh_tes!N5/SER_hh_fec!N5)</f>
        <v>0.61490120057760311</v>
      </c>
      <c r="O5" s="136">
        <f>IF(SER_hh_tes!O5=0,"",SER_hh_tes!O5/SER_hh_fec!O5)</f>
        <v>0.6271721400277267</v>
      </c>
      <c r="P5" s="136">
        <f>IF(SER_hh_tes!P5=0,"",SER_hh_tes!P5/SER_hh_fec!P5)</f>
        <v>0.62717214002772659</v>
      </c>
      <c r="Q5" s="136">
        <f>IF(SER_hh_tes!Q5=0,"",SER_hh_tes!Q5/SER_hh_fec!Q5)</f>
        <v>0.62757018768423278</v>
      </c>
      <c r="R5" s="136">
        <f>IF(SER_hh_tes!R5=0,"",SER_hh_tes!R5/SER_hh_fec!R5)</f>
        <v>0.6336471741214692</v>
      </c>
      <c r="S5" s="136">
        <f>IF(SER_hh_tes!S5=0,"",SER_hh_tes!S5/SER_hh_fec!S5)</f>
        <v>0.63606300865743193</v>
      </c>
      <c r="T5" s="136">
        <f>IF(SER_hh_tes!T5=0,"",SER_hh_tes!T5/SER_hh_fec!T5)</f>
        <v>0.64171505881128843</v>
      </c>
      <c r="U5" s="136">
        <f>IF(SER_hh_tes!U5=0,"",SER_hh_tes!U5/SER_hh_fec!U5)</f>
        <v>0.65732678833463554</v>
      </c>
      <c r="V5" s="136">
        <f>IF(SER_hh_tes!V5=0,"",SER_hh_tes!V5/SER_hh_fec!V5)</f>
        <v>0.66488120336158063</v>
      </c>
      <c r="W5" s="136">
        <f>IF(SER_hh_tes!W5=0,"",SER_hh_tes!W5/SER_hh_fec!W5)</f>
        <v>0.6685657851093787</v>
      </c>
      <c r="X5" s="136">
        <f>IF(SER_hh_tes!X5=0,"",SER_hh_tes!X5/SER_hh_fec!X5)</f>
        <v>0.67037211108629102</v>
      </c>
      <c r="Y5" s="136">
        <f>IF(SER_hh_tes!Y5=0,"",SER_hh_tes!Y5/SER_hh_fec!Y5)</f>
        <v>0.67090787039136368</v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0.46984225003387292</v>
      </c>
      <c r="C7" s="136">
        <f>IF(SER_hh_tes!C7=0,"",SER_hh_tes!C7/SER_hh_fec!C7)</f>
        <v>0.47282585206500577</v>
      </c>
      <c r="D7" s="136">
        <f>IF(SER_hh_tes!D7=0,"",SER_hh_tes!D7/SER_hh_fec!D7)</f>
        <v>0.47308445858630555</v>
      </c>
      <c r="E7" s="136">
        <f>IF(SER_hh_tes!E7=0,"",SER_hh_tes!E7/SER_hh_fec!E7)</f>
        <v>0.47336368340964929</v>
      </c>
      <c r="F7" s="136">
        <f>IF(SER_hh_tes!F7=0,"",SER_hh_tes!F7/SER_hh_fec!F7)</f>
        <v>0.47365062924618823</v>
      </c>
      <c r="G7" s="136">
        <f>IF(SER_hh_tes!G7=0,"",SER_hh_tes!G7/SER_hh_fec!G7)</f>
        <v>0.47400149129451696</v>
      </c>
      <c r="H7" s="136">
        <f>IF(SER_hh_tes!H7=0,"",SER_hh_tes!H7/SER_hh_fec!H7)</f>
        <v>0.47448599208885661</v>
      </c>
      <c r="I7" s="136">
        <f>IF(SER_hh_tes!I7=0,"",SER_hh_tes!I7/SER_hh_fec!I7)</f>
        <v>0.47682210496229344</v>
      </c>
      <c r="J7" s="136">
        <f>IF(SER_hh_tes!J7=0,"",SER_hh_tes!J7/SER_hh_fec!J7)</f>
        <v>0.48289246520234014</v>
      </c>
      <c r="K7" s="136">
        <f>IF(SER_hh_tes!K7=0,"",SER_hh_tes!K7/SER_hh_fec!K7)</f>
        <v>0.49165146977088908</v>
      </c>
      <c r="L7" s="136">
        <f>IF(SER_hh_tes!L7=0,"",SER_hh_tes!L7/SER_hh_fec!L7)</f>
        <v>0.5052488200357681</v>
      </c>
      <c r="M7" s="136">
        <f>IF(SER_hh_tes!M7=0,"",SER_hh_tes!M7/SER_hh_fec!M7)</f>
        <v>0.52504380219772151</v>
      </c>
      <c r="N7" s="136">
        <f>IF(SER_hh_tes!N7=0,"",SER_hh_tes!N7/SER_hh_fec!N7)</f>
        <v>0.55409716537644604</v>
      </c>
      <c r="O7" s="136">
        <f>IF(SER_hh_tes!O7=0,"",SER_hh_tes!O7/SER_hh_fec!O7)</f>
        <v>0.58590571593905394</v>
      </c>
      <c r="P7" s="136">
        <f>IF(SER_hh_tes!P7=0,"",SER_hh_tes!P7/SER_hh_fec!P7)</f>
        <v>0.59198071387970908</v>
      </c>
      <c r="Q7" s="136">
        <f>IF(SER_hh_tes!Q7=0,"",SER_hh_tes!Q7/SER_hh_fec!Q7)</f>
        <v>0.59611826036824545</v>
      </c>
      <c r="R7" s="136">
        <f>IF(SER_hh_tes!R7=0,"",SER_hh_tes!R7/SER_hh_fec!R7)</f>
        <v>0.59913027964910914</v>
      </c>
      <c r="S7" s="136">
        <f>IF(SER_hh_tes!S7=0,"",SER_hh_tes!S7/SER_hh_fec!S7)</f>
        <v>0.60176319977873771</v>
      </c>
      <c r="T7" s="136">
        <f>IF(SER_hh_tes!T7=0,"",SER_hh_tes!T7/SER_hh_fec!T7)</f>
        <v>0.60246862353064901</v>
      </c>
      <c r="U7" s="136">
        <f>IF(SER_hh_tes!U7=0,"",SER_hh_tes!U7/SER_hh_fec!U7)</f>
        <v>0.60336641758011045</v>
      </c>
      <c r="V7" s="136">
        <f>IF(SER_hh_tes!V7=0,"",SER_hh_tes!V7/SER_hh_fec!V7)</f>
        <v>0.60721229911517616</v>
      </c>
      <c r="W7" s="136">
        <f>IF(SER_hh_tes!W7=0,"",SER_hh_tes!W7/SER_hh_fec!W7)</f>
        <v>0.6130009283425546</v>
      </c>
      <c r="X7" s="136">
        <f>IF(SER_hh_tes!X7=0,"",SER_hh_tes!X7/SER_hh_fec!X7)</f>
        <v>0.62112098024945861</v>
      </c>
      <c r="Y7" s="136">
        <f>IF(SER_hh_tes!Y7=0,"",SER_hh_tes!Y7/SER_hh_fec!Y7)</f>
        <v>0.63211712719324409</v>
      </c>
      <c r="DA7" s="163" t="s">
        <v>334</v>
      </c>
    </row>
    <row r="8" spans="1:105" ht="12" customHeight="1" x14ac:dyDescent="0.25">
      <c r="A8" s="131" t="s">
        <v>73</v>
      </c>
      <c r="B8" s="136" t="str">
        <f>IF(SER_hh_tes!B8=0,"",SER_hh_tes!B8/SER_hh_fec!B8)</f>
        <v/>
      </c>
      <c r="C8" s="136" t="str">
        <f>IF(SER_hh_tes!C8=0,"",SER_hh_tes!C8/SER_hh_fec!C8)</f>
        <v/>
      </c>
      <c r="D8" s="136" t="str">
        <f>IF(SER_hh_tes!D8=0,"",SER_hh_tes!D8/SER_hh_fec!D8)</f>
        <v/>
      </c>
      <c r="E8" s="136" t="str">
        <f>IF(SER_hh_tes!E8=0,"",SER_hh_tes!E8/SER_hh_fec!E8)</f>
        <v/>
      </c>
      <c r="F8" s="136" t="str">
        <f>IF(SER_hh_tes!F8=0,"",SER_hh_tes!F8/SER_hh_fec!F8)</f>
        <v/>
      </c>
      <c r="G8" s="136" t="str">
        <f>IF(SER_hh_tes!G8=0,"",SER_hh_tes!G8/SER_hh_fec!G8)</f>
        <v/>
      </c>
      <c r="H8" s="136" t="str">
        <f>IF(SER_hh_tes!H8=0,"",SER_hh_tes!H8/SER_hh_fec!H8)</f>
        <v/>
      </c>
      <c r="I8" s="136" t="str">
        <f>IF(SER_hh_tes!I8=0,"",SER_hh_tes!I8/SER_hh_fec!I8)</f>
        <v/>
      </c>
      <c r="J8" s="136" t="str">
        <f>IF(SER_hh_tes!J8=0,"",SER_hh_tes!J8/SER_hh_fec!J8)</f>
        <v/>
      </c>
      <c r="K8" s="136" t="str">
        <f>IF(SER_hh_tes!K8=0,"",SER_hh_tes!K8/SER_hh_fec!K8)</f>
        <v/>
      </c>
      <c r="L8" s="136" t="str">
        <f>IF(SER_hh_tes!L8=0,"",SER_hh_tes!L8/SER_hh_fec!L8)</f>
        <v/>
      </c>
      <c r="M8" s="136" t="str">
        <f>IF(SER_hh_tes!M8=0,"",SER_hh_tes!M8/SER_hh_fec!M8)</f>
        <v/>
      </c>
      <c r="N8" s="136" t="str">
        <f>IF(SER_hh_tes!N8=0,"",SER_hh_tes!N8/SER_hh_fec!N8)</f>
        <v/>
      </c>
      <c r="O8" s="136" t="str">
        <f>IF(SER_hh_tes!O8=0,"",SER_hh_tes!O8/SER_hh_fec!O8)</f>
        <v/>
      </c>
      <c r="P8" s="136" t="str">
        <f>IF(SER_hh_tes!P8=0,"",SER_hh_tes!P8/SER_hh_fec!P8)</f>
        <v/>
      </c>
      <c r="Q8" s="136" t="str">
        <f>IF(SER_hh_tes!Q8=0,"",SER_hh_tes!Q8/SER_hh_fec!Q8)</f>
        <v/>
      </c>
      <c r="R8" s="136" t="str">
        <f>IF(SER_hh_tes!R8=0,"",SER_hh_tes!R8/SER_hh_fec!R8)</f>
        <v/>
      </c>
      <c r="S8" s="136" t="str">
        <f>IF(SER_hh_tes!S8=0,"",SER_hh_tes!S8/SER_hh_fec!S8)</f>
        <v/>
      </c>
      <c r="T8" s="136" t="str">
        <f>IF(SER_hh_tes!T8=0,"",SER_hh_tes!T8/SER_hh_fec!T8)</f>
        <v/>
      </c>
      <c r="U8" s="136" t="str">
        <f>IF(SER_hh_tes!U8=0,"",SER_hh_tes!U8/SER_hh_fec!U8)</f>
        <v/>
      </c>
      <c r="V8" s="136" t="str">
        <f>IF(SER_hh_tes!V8=0,"",SER_hh_tes!V8/SER_hh_fec!V8)</f>
        <v/>
      </c>
      <c r="W8" s="136" t="str">
        <f>IF(SER_hh_tes!W8=0,"",SER_hh_tes!W8/SER_hh_fec!W8)</f>
        <v/>
      </c>
      <c r="X8" s="136" t="str">
        <f>IF(SER_hh_tes!X8=0,"",SER_hh_tes!X8/SER_hh_fec!X8)</f>
        <v/>
      </c>
      <c r="Y8" s="136" t="str">
        <f>IF(SER_hh_tes!Y8=0,"",SER_hh_tes!Y8/SER_hh_fec!Y8)</f>
        <v/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0.50784985890066781</v>
      </c>
      <c r="C9" s="136">
        <f>IF(SER_hh_tes!C9=0,"",SER_hh_tes!C9/SER_hh_fec!C9)</f>
        <v>0.51030844875647596</v>
      </c>
      <c r="D9" s="136">
        <f>IF(SER_hh_tes!D9=0,"",SER_hh_tes!D9/SER_hh_fec!D9)</f>
        <v>0.51321829765336835</v>
      </c>
      <c r="E9" s="136">
        <f>IF(SER_hh_tes!E9=0,"",SER_hh_tes!E9/SER_hh_fec!E9)</f>
        <v>0.5168455692091759</v>
      </c>
      <c r="F9" s="136">
        <f>IF(SER_hh_tes!F9=0,"",SER_hh_tes!F9/SER_hh_fec!F9)</f>
        <v>0.52245256719442057</v>
      </c>
      <c r="G9" s="136">
        <f>IF(SER_hh_tes!G9=0,"",SER_hh_tes!G9/SER_hh_fec!G9)</f>
        <v>0.52817465262611996</v>
      </c>
      <c r="H9" s="136">
        <f>IF(SER_hh_tes!H9=0,"",SER_hh_tes!H9/SER_hh_fec!H9)</f>
        <v>0.53510936585547564</v>
      </c>
      <c r="I9" s="136">
        <f>IF(SER_hh_tes!I9=0,"",SER_hh_tes!I9/SER_hh_fec!I9)</f>
        <v>0.54241237510251672</v>
      </c>
      <c r="J9" s="136">
        <f>IF(SER_hh_tes!J9=0,"",SER_hh_tes!J9/SER_hh_fec!J9)</f>
        <v>0.55030535121726676</v>
      </c>
      <c r="K9" s="136">
        <f>IF(SER_hh_tes!K9=0,"",SER_hh_tes!K9/SER_hh_fec!K9)</f>
        <v>0.55938968420552126</v>
      </c>
      <c r="L9" s="136">
        <f>IF(SER_hh_tes!L9=0,"",SER_hh_tes!L9/SER_hh_fec!L9)</f>
        <v>0.56996691633106833</v>
      </c>
      <c r="M9" s="136">
        <f>IF(SER_hh_tes!M9=0,"",SER_hh_tes!M9/SER_hh_fec!M9)</f>
        <v>0.58055410485906433</v>
      </c>
      <c r="N9" s="136">
        <f>IF(SER_hh_tes!N9=0,"",SER_hh_tes!N9/SER_hh_fec!N9)</f>
        <v>0.59437798294006583</v>
      </c>
      <c r="O9" s="136">
        <f>IF(SER_hh_tes!O9=0,"",SER_hh_tes!O9/SER_hh_fec!O9)</f>
        <v>0.60663952075641236</v>
      </c>
      <c r="P9" s="136">
        <f>IF(SER_hh_tes!P9=0,"",SER_hh_tes!P9/SER_hh_fec!P9)</f>
        <v>0.61182606543840634</v>
      </c>
      <c r="Q9" s="136">
        <f>IF(SER_hh_tes!Q9=0,"",SER_hh_tes!Q9/SER_hh_fec!Q9)</f>
        <v>0.61755323774991822</v>
      </c>
      <c r="R9" s="136">
        <f>IF(SER_hh_tes!R9=0,"",SER_hh_tes!R9/SER_hh_fec!R9)</f>
        <v>0.62692159710153694</v>
      </c>
      <c r="S9" s="136">
        <f>IF(SER_hh_tes!S9=0,"",SER_hh_tes!S9/SER_hh_fec!S9)</f>
        <v>0.63984343347175132</v>
      </c>
      <c r="T9" s="136">
        <f>IF(SER_hh_tes!T9=0,"",SER_hh_tes!T9/SER_hh_fec!T9)</f>
        <v>0.65469109016772964</v>
      </c>
      <c r="U9" s="136">
        <f>IF(SER_hh_tes!U9=0,"",SER_hh_tes!U9/SER_hh_fec!U9)</f>
        <v>0.67603386532685983</v>
      </c>
      <c r="V9" s="136">
        <f>IF(SER_hh_tes!V9=0,"",SER_hh_tes!V9/SER_hh_fec!V9)</f>
        <v>0.69374409149290894</v>
      </c>
      <c r="W9" s="136">
        <f>IF(SER_hh_tes!W9=0,"",SER_hh_tes!W9/SER_hh_fec!W9)</f>
        <v>0.71288811069342617</v>
      </c>
      <c r="X9" s="136">
        <f>IF(SER_hh_tes!X9=0,"",SER_hh_tes!X9/SER_hh_fec!X9)</f>
        <v>0.73046903847152123</v>
      </c>
      <c r="Y9" s="136">
        <f>IF(SER_hh_tes!Y9=0,"",SER_hh_tes!Y9/SER_hh_fec!Y9)</f>
        <v>0.74502399907363115</v>
      </c>
      <c r="DA9" s="163" t="s">
        <v>336</v>
      </c>
    </row>
    <row r="10" spans="1:105" ht="12" customHeight="1" x14ac:dyDescent="0.25">
      <c r="A10" s="131" t="s">
        <v>128</v>
      </c>
      <c r="B10" s="136" t="str">
        <f>IF(SER_hh_tes!B10=0,"",SER_hh_tes!B10/SER_hh_fec!B10)</f>
        <v/>
      </c>
      <c r="C10" s="136" t="str">
        <f>IF(SER_hh_tes!C10=0,"",SER_hh_tes!C10/SER_hh_fec!C10)</f>
        <v/>
      </c>
      <c r="D10" s="136" t="str">
        <f>IF(SER_hh_tes!D10=0,"",SER_hh_tes!D10/SER_hh_fec!D10)</f>
        <v/>
      </c>
      <c r="E10" s="136" t="str">
        <f>IF(SER_hh_tes!E10=0,"",SER_hh_tes!E10/SER_hh_fec!E10)</f>
        <v/>
      </c>
      <c r="F10" s="136" t="str">
        <f>IF(SER_hh_tes!F10=0,"",SER_hh_tes!F10/SER_hh_fec!F10)</f>
        <v/>
      </c>
      <c r="G10" s="136">
        <f>IF(SER_hh_tes!G10=0,"",SER_hh_tes!G10/SER_hh_fec!G10)</f>
        <v>0.46554150473011785</v>
      </c>
      <c r="H10" s="136">
        <f>IF(SER_hh_tes!H10=0,"",SER_hh_tes!H10/SER_hh_fec!H10)</f>
        <v>0.47159300058176096</v>
      </c>
      <c r="I10" s="136">
        <f>IF(SER_hh_tes!I10=0,"",SER_hh_tes!I10/SER_hh_fec!I10)</f>
        <v>0.47818220454507088</v>
      </c>
      <c r="J10" s="136">
        <f>IF(SER_hh_tes!J10=0,"",SER_hh_tes!J10/SER_hh_fec!J10)</f>
        <v>0.48348224122311811</v>
      </c>
      <c r="K10" s="136">
        <f>IF(SER_hh_tes!K10=0,"",SER_hh_tes!K10/SER_hh_fec!K10)</f>
        <v>0.48795243056650817</v>
      </c>
      <c r="L10" s="136">
        <f>IF(SER_hh_tes!L10=0,"",SER_hh_tes!L10/SER_hh_fec!L10)</f>
        <v>0.49043250815331246</v>
      </c>
      <c r="M10" s="136">
        <f>IF(SER_hh_tes!M10=0,"",SER_hh_tes!M10/SER_hh_fec!M10)</f>
        <v>0.49527749424461315</v>
      </c>
      <c r="N10" s="136">
        <f>IF(SER_hh_tes!N10=0,"",SER_hh_tes!N10/SER_hh_fec!N10)</f>
        <v>0.5007579426199642</v>
      </c>
      <c r="O10" s="136">
        <f>IF(SER_hh_tes!O10=0,"",SER_hh_tes!O10/SER_hh_fec!O10)</f>
        <v>0.50354732314460748</v>
      </c>
      <c r="P10" s="136">
        <f>IF(SER_hh_tes!P10=0,"",SER_hh_tes!P10/SER_hh_fec!P10)</f>
        <v>0.5048497104896289</v>
      </c>
      <c r="Q10" s="136">
        <f>IF(SER_hh_tes!Q10=0,"",SER_hh_tes!Q10/SER_hh_fec!Q10)</f>
        <v>0.50540607805940885</v>
      </c>
      <c r="R10" s="136">
        <f>IF(SER_hh_tes!R10=0,"",SER_hh_tes!R10/SER_hh_fec!R10)</f>
        <v>0.50678492871525704</v>
      </c>
      <c r="S10" s="136">
        <f>IF(SER_hh_tes!S10=0,"",SER_hh_tes!S10/SER_hh_fec!S10)</f>
        <v>0.50750508262556759</v>
      </c>
      <c r="T10" s="136">
        <f>IF(SER_hh_tes!T10=0,"",SER_hh_tes!T10/SER_hh_fec!T10)</f>
        <v>0.50811890266596438</v>
      </c>
      <c r="U10" s="136">
        <f>IF(SER_hh_tes!U10=0,"",SER_hh_tes!U10/SER_hh_fec!U10)</f>
        <v>0.5087547943736227</v>
      </c>
      <c r="V10" s="136">
        <f>IF(SER_hh_tes!V10=0,"",SER_hh_tes!V10/SER_hh_fec!V10)</f>
        <v>0.51196563483760271</v>
      </c>
      <c r="W10" s="136">
        <f>IF(SER_hh_tes!W10=0,"",SER_hh_tes!W10/SER_hh_fec!W10)</f>
        <v>0.52395769198196207</v>
      </c>
      <c r="X10" s="136">
        <f>IF(SER_hh_tes!X10=0,"",SER_hh_tes!X10/SER_hh_fec!X10)</f>
        <v>0.54182347121869068</v>
      </c>
      <c r="Y10" s="136">
        <f>IF(SER_hh_tes!Y10=0,"",SER_hh_tes!Y10/SER_hh_fec!Y10)</f>
        <v>0.5609181823124938</v>
      </c>
      <c r="DA10" s="163" t="s">
        <v>337</v>
      </c>
    </row>
    <row r="11" spans="1:105" ht="12" customHeight="1" x14ac:dyDescent="0.25">
      <c r="A11" s="131" t="s">
        <v>25</v>
      </c>
      <c r="B11" s="136" t="str">
        <f>IF(SER_hh_tes!B11=0,"",SER_hh_tes!B11/SER_hh_fec!B11)</f>
        <v/>
      </c>
      <c r="C11" s="136" t="str">
        <f>IF(SER_hh_tes!C11=0,"",SER_hh_tes!C11/SER_hh_fec!C11)</f>
        <v/>
      </c>
      <c r="D11" s="136" t="str">
        <f>IF(SER_hh_tes!D11=0,"",SER_hh_tes!D11/SER_hh_fec!D11)</f>
        <v/>
      </c>
      <c r="E11" s="136" t="str">
        <f>IF(SER_hh_tes!E11=0,"",SER_hh_tes!E11/SER_hh_fec!E11)</f>
        <v/>
      </c>
      <c r="F11" s="136" t="str">
        <f>IF(SER_hh_tes!F11=0,"",SER_hh_tes!F11/SER_hh_fec!F11)</f>
        <v/>
      </c>
      <c r="G11" s="136" t="str">
        <f>IF(SER_hh_tes!G11=0,"",SER_hh_tes!G11/SER_hh_fec!G11)</f>
        <v/>
      </c>
      <c r="H11" s="136" t="str">
        <f>IF(SER_hh_tes!H11=0,"",SER_hh_tes!H11/SER_hh_fec!H11)</f>
        <v/>
      </c>
      <c r="I11" s="136" t="str">
        <f>IF(SER_hh_tes!I11=0,"",SER_hh_tes!I11/SER_hh_fec!I11)</f>
        <v/>
      </c>
      <c r="J11" s="136" t="str">
        <f>IF(SER_hh_tes!J11=0,"",SER_hh_tes!J11/SER_hh_fec!J11)</f>
        <v/>
      </c>
      <c r="K11" s="136" t="str">
        <f>IF(SER_hh_tes!K11=0,"",SER_hh_tes!K11/SER_hh_fec!K11)</f>
        <v/>
      </c>
      <c r="L11" s="136" t="str">
        <f>IF(SER_hh_tes!L11=0,"",SER_hh_tes!L11/SER_hh_fec!L11)</f>
        <v/>
      </c>
      <c r="M11" s="136" t="str">
        <f>IF(SER_hh_tes!M11=0,"",SER_hh_tes!M11/SER_hh_fec!M11)</f>
        <v/>
      </c>
      <c r="N11" s="136" t="str">
        <f>IF(SER_hh_tes!N11=0,"",SER_hh_tes!N11/SER_hh_fec!N11)</f>
        <v/>
      </c>
      <c r="O11" s="136" t="str">
        <f>IF(SER_hh_tes!O11=0,"",SER_hh_tes!O11/SER_hh_fec!O11)</f>
        <v/>
      </c>
      <c r="P11" s="136" t="str">
        <f>IF(SER_hh_tes!P11=0,"",SER_hh_tes!P11/SER_hh_fec!P11)</f>
        <v/>
      </c>
      <c r="Q11" s="136" t="str">
        <f>IF(SER_hh_tes!Q11=0,"",SER_hh_tes!Q11/SER_hh_fec!Q11)</f>
        <v/>
      </c>
      <c r="R11" s="136" t="str">
        <f>IF(SER_hh_tes!R11=0,"",SER_hh_tes!R11/SER_hh_fec!R11)</f>
        <v/>
      </c>
      <c r="S11" s="136" t="str">
        <f>IF(SER_hh_tes!S11=0,"",SER_hh_tes!S11/SER_hh_fec!S11)</f>
        <v/>
      </c>
      <c r="T11" s="136" t="str">
        <f>IF(SER_hh_tes!T11=0,"",SER_hh_tes!T11/SER_hh_fec!T11)</f>
        <v/>
      </c>
      <c r="U11" s="136" t="str">
        <f>IF(SER_hh_tes!U11=0,"",SER_hh_tes!U11/SER_hh_fec!U11)</f>
        <v/>
      </c>
      <c r="V11" s="136" t="str">
        <f>IF(SER_hh_tes!V11=0,"",SER_hh_tes!V11/SER_hh_fec!V11)</f>
        <v/>
      </c>
      <c r="W11" s="136" t="str">
        <f>IF(SER_hh_tes!W11=0,"",SER_hh_tes!W11/SER_hh_fec!W11)</f>
        <v/>
      </c>
      <c r="X11" s="136" t="str">
        <f>IF(SER_hh_tes!X11=0,"",SER_hh_tes!X11/SER_hh_fec!X11)</f>
        <v/>
      </c>
      <c r="Y11" s="136" t="str">
        <f>IF(SER_hh_tes!Y11=0,"",SER_hh_tes!Y11/SER_hh_fec!Y11)</f>
        <v/>
      </c>
      <c r="DA11" s="163" t="s">
        <v>338</v>
      </c>
    </row>
    <row r="12" spans="1:105" ht="12" customHeight="1" x14ac:dyDescent="0.25">
      <c r="A12" s="131" t="s">
        <v>162</v>
      </c>
      <c r="B12" s="136" t="str">
        <f>IF(SER_hh_tes!B12=0,"",SER_hh_tes!B12/SER_hh_fec!B12)</f>
        <v/>
      </c>
      <c r="C12" s="136" t="str">
        <f>IF(SER_hh_tes!C12=0,"",SER_hh_tes!C12/SER_hh_fec!C12)</f>
        <v/>
      </c>
      <c r="D12" s="136" t="str">
        <f>IF(SER_hh_tes!D12=0,"",SER_hh_tes!D12/SER_hh_fec!D12)</f>
        <v/>
      </c>
      <c r="E12" s="136" t="str">
        <f>IF(SER_hh_tes!E12=0,"",SER_hh_tes!E12/SER_hh_fec!E12)</f>
        <v/>
      </c>
      <c r="F12" s="136" t="str">
        <f>IF(SER_hh_tes!F12=0,"",SER_hh_tes!F12/SER_hh_fec!F12)</f>
        <v/>
      </c>
      <c r="G12" s="136" t="str">
        <f>IF(SER_hh_tes!G12=0,"",SER_hh_tes!G12/SER_hh_fec!G12)</f>
        <v/>
      </c>
      <c r="H12" s="136" t="str">
        <f>IF(SER_hh_tes!H12=0,"",SER_hh_tes!H12/SER_hh_fec!H12)</f>
        <v/>
      </c>
      <c r="I12" s="136" t="str">
        <f>IF(SER_hh_tes!I12=0,"",SER_hh_tes!I12/SER_hh_fec!I12)</f>
        <v/>
      </c>
      <c r="J12" s="136" t="str">
        <f>IF(SER_hh_tes!J12=0,"",SER_hh_tes!J12/SER_hh_fec!J12)</f>
        <v/>
      </c>
      <c r="K12" s="136" t="str">
        <f>IF(SER_hh_tes!K12=0,"",SER_hh_tes!K12/SER_hh_fec!K12)</f>
        <v/>
      </c>
      <c r="L12" s="136" t="str">
        <f>IF(SER_hh_tes!L12=0,"",SER_hh_tes!L12/SER_hh_fec!L12)</f>
        <v/>
      </c>
      <c r="M12" s="136" t="str">
        <f>IF(SER_hh_tes!M12=0,"",SER_hh_tes!M12/SER_hh_fec!M12)</f>
        <v/>
      </c>
      <c r="N12" s="136" t="str">
        <f>IF(SER_hh_tes!N12=0,"",SER_hh_tes!N12/SER_hh_fec!N12)</f>
        <v/>
      </c>
      <c r="O12" s="136" t="str">
        <f>IF(SER_hh_tes!O12=0,"",SER_hh_tes!O12/SER_hh_fec!O12)</f>
        <v/>
      </c>
      <c r="P12" s="136" t="str">
        <f>IF(SER_hh_tes!P12=0,"",SER_hh_tes!P12/SER_hh_fec!P12)</f>
        <v/>
      </c>
      <c r="Q12" s="136" t="str">
        <f>IF(SER_hh_tes!Q12=0,"",SER_hh_tes!Q12/SER_hh_fec!Q12)</f>
        <v/>
      </c>
      <c r="R12" s="136" t="str">
        <f>IF(SER_hh_tes!R12=0,"",SER_hh_tes!R12/SER_hh_fec!R12)</f>
        <v/>
      </c>
      <c r="S12" s="136" t="str">
        <f>IF(SER_hh_tes!S12=0,"",SER_hh_tes!S12/SER_hh_fec!S12)</f>
        <v/>
      </c>
      <c r="T12" s="136" t="str">
        <f>IF(SER_hh_tes!T12=0,"",SER_hh_tes!T12/SER_hh_fec!T12)</f>
        <v/>
      </c>
      <c r="U12" s="136" t="str">
        <f>IF(SER_hh_tes!U12=0,"",SER_hh_tes!U12/SER_hh_fec!U12)</f>
        <v/>
      </c>
      <c r="V12" s="136" t="str">
        <f>IF(SER_hh_tes!V12=0,"",SER_hh_tes!V12/SER_hh_fec!V12)</f>
        <v/>
      </c>
      <c r="W12" s="136" t="str">
        <f>IF(SER_hh_tes!W12=0,"",SER_hh_tes!W12/SER_hh_fec!W12)</f>
        <v/>
      </c>
      <c r="X12" s="136" t="str">
        <f>IF(SER_hh_tes!X12=0,"",SER_hh_tes!X12/SER_hh_fec!X12)</f>
        <v/>
      </c>
      <c r="Y12" s="136" t="str">
        <f>IF(SER_hh_tes!Y12=0,"",SER_hh_tes!Y12/SER_hh_fec!Y12)</f>
        <v/>
      </c>
      <c r="DA12" s="163" t="s">
        <v>339</v>
      </c>
    </row>
    <row r="13" spans="1:105" ht="12" customHeight="1" x14ac:dyDescent="0.25">
      <c r="A13" s="131" t="s">
        <v>77</v>
      </c>
      <c r="B13" s="136">
        <f>IF(SER_hh_tes!B13=0,"",SER_hh_tes!B13/SER_hh_fec!B13)</f>
        <v>1.5726631198634125</v>
      </c>
      <c r="C13" s="136">
        <f>IF(SER_hh_tes!C13=0,"",SER_hh_tes!C13/SER_hh_fec!C13)</f>
        <v>1.6938237262027203</v>
      </c>
      <c r="D13" s="136">
        <f>IF(SER_hh_tes!D13=0,"",SER_hh_tes!D13/SER_hh_fec!D13)</f>
        <v>1.8403516803571505</v>
      </c>
      <c r="E13" s="136">
        <f>IF(SER_hh_tes!E13=0,"",SER_hh_tes!E13/SER_hh_fec!E13)</f>
        <v>1.915859109155911</v>
      </c>
      <c r="F13" s="136">
        <f>IF(SER_hh_tes!F13=0,"",SER_hh_tes!F13/SER_hh_fec!F13)</f>
        <v>1.9924315399750019</v>
      </c>
      <c r="G13" s="136">
        <f>IF(SER_hh_tes!G13=0,"",SER_hh_tes!G13/SER_hh_fec!G13)</f>
        <v>2.0750890444623211</v>
      </c>
      <c r="H13" s="136">
        <f>IF(SER_hh_tes!H13=0,"",SER_hh_tes!H13/SER_hh_fec!H13)</f>
        <v>2.1505835041769177</v>
      </c>
      <c r="I13" s="136">
        <f>IF(SER_hh_tes!I13=0,"",SER_hh_tes!I13/SER_hh_fec!I13)</f>
        <v>2.2197104972086068</v>
      </c>
      <c r="J13" s="136">
        <f>IF(SER_hh_tes!J13=0,"",SER_hh_tes!J13/SER_hh_fec!J13)</f>
        <v>2.2786618418405014</v>
      </c>
      <c r="K13" s="136">
        <f>IF(SER_hh_tes!K13=0,"",SER_hh_tes!K13/SER_hh_fec!K13)</f>
        <v>2.3281717151544963</v>
      </c>
      <c r="L13" s="136">
        <f>IF(SER_hh_tes!L13=0,"",SER_hh_tes!L13/SER_hh_fec!L13)</f>
        <v>2.366691399133491</v>
      </c>
      <c r="M13" s="136">
        <f>IF(SER_hh_tes!M13=0,"",SER_hh_tes!M13/SER_hh_fec!M13)</f>
        <v>2.4119926765810864</v>
      </c>
      <c r="N13" s="136">
        <f>IF(SER_hh_tes!N13=0,"",SER_hh_tes!N13/SER_hh_fec!N13)</f>
        <v>2.4622813448855951</v>
      </c>
      <c r="O13" s="136">
        <f>IF(SER_hh_tes!O13=0,"",SER_hh_tes!O13/SER_hh_fec!O13)</f>
        <v>2.5246352459622066</v>
      </c>
      <c r="P13" s="136">
        <f>IF(SER_hh_tes!P13=0,"",SER_hh_tes!P13/SER_hh_fec!P13)</f>
        <v>2.6189058780421206</v>
      </c>
      <c r="Q13" s="136">
        <f>IF(SER_hh_tes!Q13=0,"",SER_hh_tes!Q13/SER_hh_fec!Q13)</f>
        <v>2.7317294910918113</v>
      </c>
      <c r="R13" s="136">
        <f>IF(SER_hh_tes!R13=0,"",SER_hh_tes!R13/SER_hh_fec!R13)</f>
        <v>2.8633358149558079</v>
      </c>
      <c r="S13" s="136">
        <f>IF(SER_hh_tes!S13=0,"",SER_hh_tes!S13/SER_hh_fec!S13)</f>
        <v>2.997501138398134</v>
      </c>
      <c r="T13" s="136">
        <f>IF(SER_hh_tes!T13=0,"",SER_hh_tes!T13/SER_hh_fec!T13)</f>
        <v>3.1103358888883323</v>
      </c>
      <c r="U13" s="136">
        <f>IF(SER_hh_tes!U13=0,"",SER_hh_tes!U13/SER_hh_fec!U13)</f>
        <v>3.2562336465946622</v>
      </c>
      <c r="V13" s="136">
        <f>IF(SER_hh_tes!V13=0,"",SER_hh_tes!V13/SER_hh_fec!V13)</f>
        <v>3.4243344552743245</v>
      </c>
      <c r="W13" s="136">
        <f>IF(SER_hh_tes!W13=0,"",SER_hh_tes!W13/SER_hh_fec!W13)</f>
        <v>3.5656371216562794</v>
      </c>
      <c r="X13" s="136">
        <f>IF(SER_hh_tes!X13=0,"",SER_hh_tes!X13/SER_hh_fec!X13)</f>
        <v>3.6873981301584777</v>
      </c>
      <c r="Y13" s="136">
        <f>IF(SER_hh_tes!Y13=0,"",SER_hh_tes!Y13/SER_hh_fec!Y13)</f>
        <v>3.7860505588750533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0.71117541545192153</v>
      </c>
      <c r="C14" s="137">
        <f>IF(SER_hh_tes!C14=0,"",SER_hh_tes!C14/SER_hh_fec!C14)</f>
        <v>0.71913362239170875</v>
      </c>
      <c r="D14" s="137">
        <f>IF(SER_hh_tes!D14=0,"",SER_hh_tes!D14/SER_hh_fec!D14)</f>
        <v>0.72758609979820099</v>
      </c>
      <c r="E14" s="137">
        <f>IF(SER_hh_tes!E14=0,"",SER_hh_tes!E14/SER_hh_fec!E14)</f>
        <v>0.73367049888481084</v>
      </c>
      <c r="F14" s="137">
        <f>IF(SER_hh_tes!F14=0,"",SER_hh_tes!F14/SER_hh_fec!F14)</f>
        <v>0.73884509536428711</v>
      </c>
      <c r="G14" s="137">
        <f>IF(SER_hh_tes!G14=0,"",SER_hh_tes!G14/SER_hh_fec!G14)</f>
        <v>0.7441021055953706</v>
      </c>
      <c r="H14" s="137">
        <f>IF(SER_hh_tes!H14=0,"",SER_hh_tes!H14/SER_hh_fec!H14)</f>
        <v>0.74855479007733805</v>
      </c>
      <c r="I14" s="137">
        <f>IF(SER_hh_tes!I14=0,"",SER_hh_tes!I14/SER_hh_fec!I14)</f>
        <v>0.75341490312214376</v>
      </c>
      <c r="J14" s="137">
        <f>IF(SER_hh_tes!J14=0,"",SER_hh_tes!J14/SER_hh_fec!J14)</f>
        <v>0.75662812892363385</v>
      </c>
      <c r="K14" s="137">
        <f>IF(SER_hh_tes!K14=0,"",SER_hh_tes!K14/SER_hh_fec!K14)</f>
        <v>0.75851858838155917</v>
      </c>
      <c r="L14" s="137">
        <f>IF(SER_hh_tes!L14=0,"",SER_hh_tes!L14/SER_hh_fec!L14)</f>
        <v>0.76074914774968072</v>
      </c>
      <c r="M14" s="137">
        <f>IF(SER_hh_tes!M14=0,"",SER_hh_tes!M14/SER_hh_fec!M14)</f>
        <v>0.76421164647216655</v>
      </c>
      <c r="N14" s="137">
        <f>IF(SER_hh_tes!N14=0,"",SER_hh_tes!N14/SER_hh_fec!N14)</f>
        <v>0.766993786183778</v>
      </c>
      <c r="O14" s="137">
        <f>IF(SER_hh_tes!O14=0,"",SER_hh_tes!O14/SER_hh_fec!O14)</f>
        <v>0.77028781659383516</v>
      </c>
      <c r="P14" s="137">
        <f>IF(SER_hh_tes!P14=0,"",SER_hh_tes!P14/SER_hh_fec!P14)</f>
        <v>0.77204188702551502</v>
      </c>
      <c r="Q14" s="137">
        <f>IF(SER_hh_tes!Q14=0,"",SER_hh_tes!Q14/SER_hh_fec!Q14)</f>
        <v>0.77488782912930176</v>
      </c>
      <c r="R14" s="137">
        <f>IF(SER_hh_tes!R14=0,"",SER_hh_tes!R14/SER_hh_fec!R14)</f>
        <v>0.78067818104031794</v>
      </c>
      <c r="S14" s="137">
        <f>IF(SER_hh_tes!S14=0,"",SER_hh_tes!S14/SER_hh_fec!S14)</f>
        <v>0.78910541664154787</v>
      </c>
      <c r="T14" s="137">
        <f>IF(SER_hh_tes!T14=0,"",SER_hh_tes!T14/SER_hh_fec!T14)</f>
        <v>0.79968821536556456</v>
      </c>
      <c r="U14" s="137">
        <f>IF(SER_hh_tes!U14=0,"",SER_hh_tes!U14/SER_hh_fec!U14)</f>
        <v>0.80876637625542347</v>
      </c>
      <c r="V14" s="137">
        <f>IF(SER_hh_tes!V14=0,"",SER_hh_tes!V14/SER_hh_fec!V14)</f>
        <v>0.81909641424847346</v>
      </c>
      <c r="W14" s="137">
        <f>IF(SER_hh_tes!W14=0,"",SER_hh_tes!W14/SER_hh_fec!W14)</f>
        <v>0.82927448266028481</v>
      </c>
      <c r="X14" s="137">
        <f>IF(SER_hh_tes!X14=0,"",SER_hh_tes!X14/SER_hh_fec!X14)</f>
        <v>0.83972169947287256</v>
      </c>
      <c r="Y14" s="137">
        <f>IF(SER_hh_tes!Y14=0,"",SER_hh_tes!Y14/SER_hh_fec!Y14)</f>
        <v>0.85197318067694372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2.2920432340332395</v>
      </c>
      <c r="C16" s="135">
        <f>IF(SER_hh_tes!C16=0,"",SER_hh_tes!C16/SER_hh_fec!C16)</f>
        <v>2.4280503362718973</v>
      </c>
      <c r="D16" s="135">
        <f>IF(SER_hh_tes!D16=0,"",SER_hh_tes!D16/SER_hh_fec!D16)</f>
        <v>2.5762952977823059</v>
      </c>
      <c r="E16" s="135">
        <f>IF(SER_hh_tes!E16=0,"",SER_hh_tes!E16/SER_hh_fec!E16)</f>
        <v>2.7181683110250328</v>
      </c>
      <c r="F16" s="135">
        <f>IF(SER_hh_tes!F16=0,"",SER_hh_tes!F16/SER_hh_fec!F16)</f>
        <v>2.8789438652544552</v>
      </c>
      <c r="G16" s="135">
        <f>IF(SER_hh_tes!G16=0,"",SER_hh_tes!G16/SER_hh_fec!G16)</f>
        <v>3.0643010114850018</v>
      </c>
      <c r="H16" s="135">
        <f>IF(SER_hh_tes!H16=0,"",SER_hh_tes!H16/SER_hh_fec!H16)</f>
        <v>3.2562280818210021</v>
      </c>
      <c r="I16" s="135">
        <f>IF(SER_hh_tes!I16=0,"",SER_hh_tes!I16/SER_hh_fec!I16)</f>
        <v>3.4465799028557531</v>
      </c>
      <c r="J16" s="135">
        <f>IF(SER_hh_tes!J16=0,"",SER_hh_tes!J16/SER_hh_fec!J16)</f>
        <v>3.6535548567302212</v>
      </c>
      <c r="K16" s="135">
        <f>IF(SER_hh_tes!K16=0,"",SER_hh_tes!K16/SER_hh_fec!K16)</f>
        <v>3.7302332709949733</v>
      </c>
      <c r="L16" s="135">
        <f>IF(SER_hh_tes!L16=0,"",SER_hh_tes!L16/SER_hh_fec!L16)</f>
        <v>3.8420552945981359</v>
      </c>
      <c r="M16" s="135">
        <f>IF(SER_hh_tes!M16=0,"",SER_hh_tes!M16/SER_hh_fec!M16)</f>
        <v>3.9997248525604361</v>
      </c>
      <c r="N16" s="135">
        <f>IF(SER_hh_tes!N16=0,"",SER_hh_tes!N16/SER_hh_fec!N16)</f>
        <v>4.1649349082246161</v>
      </c>
      <c r="O16" s="135">
        <f>IF(SER_hh_tes!O16=0,"",SER_hh_tes!O16/SER_hh_fec!O16)</f>
        <v>4.3466667141764015</v>
      </c>
      <c r="P16" s="135">
        <f>IF(SER_hh_tes!P16=0,"",SER_hh_tes!P16/SER_hh_fec!P16)</f>
        <v>4.5499467863707608</v>
      </c>
      <c r="Q16" s="135">
        <f>IF(SER_hh_tes!Q16=0,"",SER_hh_tes!Q16/SER_hh_fec!Q16)</f>
        <v>4.7558158915260877</v>
      </c>
      <c r="R16" s="135">
        <f>IF(SER_hh_tes!R16=0,"",SER_hh_tes!R16/SER_hh_fec!R16)</f>
        <v>4.9298665251459735</v>
      </c>
      <c r="S16" s="135">
        <f>IF(SER_hh_tes!S16=0,"",SER_hh_tes!S16/SER_hh_fec!S16)</f>
        <v>5.1076939325430706</v>
      </c>
      <c r="T16" s="135">
        <f>IF(SER_hh_tes!T16=0,"",SER_hh_tes!T16/SER_hh_fec!T16)</f>
        <v>5.2715950276653247</v>
      </c>
      <c r="U16" s="135">
        <f>IF(SER_hh_tes!U16=0,"",SER_hh_tes!U16/SER_hh_fec!U16)</f>
        <v>5.4069826485922805</v>
      </c>
      <c r="V16" s="135">
        <f>IF(SER_hh_tes!V16=0,"",SER_hh_tes!V16/SER_hh_fec!V16)</f>
        <v>5.5302721320295953</v>
      </c>
      <c r="W16" s="135">
        <f>IF(SER_hh_tes!W16=0,"",SER_hh_tes!W16/SER_hh_fec!W16)</f>
        <v>5.6511371150742971</v>
      </c>
      <c r="X16" s="135">
        <f>IF(SER_hh_tes!X16=0,"",SER_hh_tes!X16/SER_hh_fec!X16)</f>
        <v>5.7262349785792033</v>
      </c>
      <c r="Y16" s="135">
        <f>IF(SER_hh_tes!Y16=0,"",SER_hh_tes!Y16/SER_hh_fec!Y16)</f>
        <v>5.8003722699942086</v>
      </c>
      <c r="DA16" s="162" t="s">
        <v>241</v>
      </c>
    </row>
    <row r="17" spans="1:105" ht="12.95" customHeight="1" x14ac:dyDescent="0.25">
      <c r="A17" s="131" t="s">
        <v>73</v>
      </c>
      <c r="B17" s="136">
        <f>IF(SER_hh_tes!B17=0,"",SER_hh_tes!B17/SER_hh_fec!B17)</f>
        <v>1.2283734428325412</v>
      </c>
      <c r="C17" s="136">
        <f>IF(SER_hh_tes!C17=0,"",SER_hh_tes!C17/SER_hh_fec!C17)</f>
        <v>1.2572703008402411</v>
      </c>
      <c r="D17" s="136">
        <f>IF(SER_hh_tes!D17=0,"",SER_hh_tes!D17/SER_hh_fec!D17)</f>
        <v>1.2879953950655301</v>
      </c>
      <c r="E17" s="136">
        <f>IF(SER_hh_tes!E17=0,"",SER_hh_tes!E17/SER_hh_fec!E17)</f>
        <v>1.3044983216478236</v>
      </c>
      <c r="F17" s="136">
        <f>IF(SER_hh_tes!F17=0,"",SER_hh_tes!F17/SER_hh_fec!F17)</f>
        <v>1.3441898831880768</v>
      </c>
      <c r="G17" s="136">
        <f>IF(SER_hh_tes!G17=0,"",SER_hh_tes!G17/SER_hh_fec!G17)</f>
        <v>1.3760110631944227</v>
      </c>
      <c r="H17" s="136">
        <f>IF(SER_hh_tes!H17=0,"",SER_hh_tes!H17/SER_hh_fec!H17)</f>
        <v>1.4122933236058923</v>
      </c>
      <c r="I17" s="136">
        <f>IF(SER_hh_tes!I17=0,"",SER_hh_tes!I17/SER_hh_fec!I17)</f>
        <v>1.4357333824040954</v>
      </c>
      <c r="J17" s="136">
        <f>IF(SER_hh_tes!J17=0,"",SER_hh_tes!J17/SER_hh_fec!J17)</f>
        <v>1.4576253566044843</v>
      </c>
      <c r="K17" s="136">
        <f>IF(SER_hh_tes!K17=0,"",SER_hh_tes!K17/SER_hh_fec!K17)</f>
        <v>1.4753632190049766</v>
      </c>
      <c r="L17" s="136">
        <f>IF(SER_hh_tes!L17=0,"",SER_hh_tes!L17/SER_hh_fec!L17)</f>
        <v>1.4937771702153935</v>
      </c>
      <c r="M17" s="136">
        <f>IF(SER_hh_tes!M17=0,"",SER_hh_tes!M17/SER_hh_fec!M17)</f>
        <v>1.5194721120113737</v>
      </c>
      <c r="N17" s="136">
        <f>IF(SER_hh_tes!N17=0,"",SER_hh_tes!N17/SER_hh_fec!N17)</f>
        <v>1.5494777486485707</v>
      </c>
      <c r="O17" s="136">
        <f>IF(SER_hh_tes!O17=0,"",SER_hh_tes!O17/SER_hh_fec!O17)</f>
        <v>1.5878032561785764</v>
      </c>
      <c r="P17" s="136">
        <f>IF(SER_hh_tes!P17=0,"",SER_hh_tes!P17/SER_hh_fec!P17)</f>
        <v>1.6297612019605492</v>
      </c>
      <c r="Q17" s="136">
        <f>IF(SER_hh_tes!Q17=0,"",SER_hh_tes!Q17/SER_hh_fec!Q17)</f>
        <v>1.6690002919404452</v>
      </c>
      <c r="R17" s="136">
        <f>IF(SER_hh_tes!R17=0,"",SER_hh_tes!R17/SER_hh_fec!R17)</f>
        <v>1.694499799984049</v>
      </c>
      <c r="S17" s="136">
        <f>IF(SER_hh_tes!S17=0,"",SER_hh_tes!S17/SER_hh_fec!S17)</f>
        <v>1.7161820368998812</v>
      </c>
      <c r="T17" s="136">
        <f>IF(SER_hh_tes!T17=0,"",SER_hh_tes!T17/SER_hh_fec!T17)</f>
        <v>1.7352459469781412</v>
      </c>
      <c r="U17" s="136">
        <f>IF(SER_hh_tes!U17=0,"",SER_hh_tes!U17/SER_hh_fec!U17)</f>
        <v>1.7571072634663703</v>
      </c>
      <c r="V17" s="136">
        <f>IF(SER_hh_tes!V17=0,"",SER_hh_tes!V17/SER_hh_fec!V17)</f>
        <v>1.7811349432614636</v>
      </c>
      <c r="W17" s="136">
        <f>IF(SER_hh_tes!W17=0,"",SER_hh_tes!W17/SER_hh_fec!W17)</f>
        <v>1.8030974472626804</v>
      </c>
      <c r="X17" s="136">
        <f>IF(SER_hh_tes!X17=0,"",SER_hh_tes!X17/SER_hh_fec!X17)</f>
        <v>1.8269271525914983</v>
      </c>
      <c r="Y17" s="136">
        <f>IF(SER_hh_tes!Y17=0,"",SER_hh_tes!Y17/SER_hh_fec!Y17)</f>
        <v>1.8501705455960609</v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2.2971524288852807</v>
      </c>
      <c r="C18" s="136">
        <f>IF(SER_hh_tes!C18=0,"",SER_hh_tes!C18/SER_hh_fec!C18)</f>
        <v>2.4340555587422119</v>
      </c>
      <c r="D18" s="136">
        <f>IF(SER_hh_tes!D18=0,"",SER_hh_tes!D18/SER_hh_fec!D18)</f>
        <v>2.5834408215254032</v>
      </c>
      <c r="E18" s="136">
        <f>IF(SER_hh_tes!E18=0,"",SER_hh_tes!E18/SER_hh_fec!E18)</f>
        <v>2.7256762751911863</v>
      </c>
      <c r="F18" s="136">
        <f>IF(SER_hh_tes!F18=0,"",SER_hh_tes!F18/SER_hh_fec!F18)</f>
        <v>2.8885031224700994</v>
      </c>
      <c r="G18" s="136">
        <f>IF(SER_hh_tes!G18=0,"",SER_hh_tes!G18/SER_hh_fec!G18)</f>
        <v>3.0757380019913736</v>
      </c>
      <c r="H18" s="136">
        <f>IF(SER_hh_tes!H18=0,"",SER_hh_tes!H18/SER_hh_fec!H18)</f>
        <v>3.2709509574922127</v>
      </c>
      <c r="I18" s="136">
        <f>IF(SER_hh_tes!I18=0,"",SER_hh_tes!I18/SER_hh_fec!I18)</f>
        <v>3.4630544619000556</v>
      </c>
      <c r="J18" s="136">
        <f>IF(SER_hh_tes!J18=0,"",SER_hh_tes!J18/SER_hh_fec!J18)</f>
        <v>3.6719702618185717</v>
      </c>
      <c r="K18" s="136">
        <f>IF(SER_hh_tes!K18=0,"",SER_hh_tes!K18/SER_hh_fec!K18)</f>
        <v>3.7509430897237483</v>
      </c>
      <c r="L18" s="136">
        <f>IF(SER_hh_tes!L18=0,"",SER_hh_tes!L18/SER_hh_fec!L18)</f>
        <v>3.864904423468654</v>
      </c>
      <c r="M18" s="136">
        <f>IF(SER_hh_tes!M18=0,"",SER_hh_tes!M18/SER_hh_fec!M18)</f>
        <v>4.0261273530402413</v>
      </c>
      <c r="N18" s="136">
        <f>IF(SER_hh_tes!N18=0,"",SER_hh_tes!N18/SER_hh_fec!N18)</f>
        <v>4.196693567322729</v>
      </c>
      <c r="O18" s="136">
        <f>IF(SER_hh_tes!O18=0,"",SER_hh_tes!O18/SER_hh_fec!O18)</f>
        <v>4.3884659037774139</v>
      </c>
      <c r="P18" s="136">
        <f>IF(SER_hh_tes!P18=0,"",SER_hh_tes!P18/SER_hh_fec!P18)</f>
        <v>4.6075524401738823</v>
      </c>
      <c r="Q18" s="136">
        <f>IF(SER_hh_tes!Q18=0,"",SER_hh_tes!Q18/SER_hh_fec!Q18)</f>
        <v>4.8421400567493187</v>
      </c>
      <c r="R18" s="136">
        <f>IF(SER_hh_tes!R18=0,"",SER_hh_tes!R18/SER_hh_fec!R18)</f>
        <v>5.0410773076818645</v>
      </c>
      <c r="S18" s="136">
        <f>IF(SER_hh_tes!S18=0,"",SER_hh_tes!S18/SER_hh_fec!S18)</f>
        <v>5.2427940865779741</v>
      </c>
      <c r="T18" s="136">
        <f>IF(SER_hh_tes!T18=0,"",SER_hh_tes!T18/SER_hh_fec!T18)</f>
        <v>5.4234326597680491</v>
      </c>
      <c r="U18" s="136">
        <f>IF(SER_hh_tes!U18=0,"",SER_hh_tes!U18/SER_hh_fec!U18)</f>
        <v>5.5722472732897455</v>
      </c>
      <c r="V18" s="136">
        <f>IF(SER_hh_tes!V18=0,"",SER_hh_tes!V18/SER_hh_fec!V18)</f>
        <v>5.7040090574564335</v>
      </c>
      <c r="W18" s="136">
        <f>IF(SER_hh_tes!W18=0,"",SER_hh_tes!W18/SER_hh_fec!W18)</f>
        <v>5.8268222232289331</v>
      </c>
      <c r="X18" s="136">
        <f>IF(SER_hh_tes!X18=0,"",SER_hh_tes!X18/SER_hh_fec!X18)</f>
        <v>5.919740641592516</v>
      </c>
      <c r="Y18" s="136">
        <f>IF(SER_hh_tes!Y18=0,"",SER_hh_tes!Y18/SER_hh_fec!Y18)</f>
        <v>6.0019473866287552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0.60344905327453202</v>
      </c>
      <c r="C19" s="135">
        <f>IF(SER_hh_tes!C19=0,"",SER_hh_tes!C19/SER_hh_fec!C19)</f>
        <v>0.60675065401388895</v>
      </c>
      <c r="D19" s="135">
        <f>IF(SER_hh_tes!D19=0,"",SER_hh_tes!D19/SER_hh_fec!D19)</f>
        <v>0.61102558533922324</v>
      </c>
      <c r="E19" s="135">
        <f>IF(SER_hh_tes!E19=0,"",SER_hh_tes!E19/SER_hh_fec!E19)</f>
        <v>0.61657686994977712</v>
      </c>
      <c r="F19" s="135">
        <f>IF(SER_hh_tes!F19=0,"",SER_hh_tes!F19/SER_hh_fec!F19)</f>
        <v>0.62003504560831624</v>
      </c>
      <c r="G19" s="135">
        <f>IF(SER_hh_tes!G19=0,"",SER_hh_tes!G19/SER_hh_fec!G19)</f>
        <v>0.62740650862180058</v>
      </c>
      <c r="H19" s="135">
        <f>IF(SER_hh_tes!H19=0,"",SER_hh_tes!H19/SER_hh_fec!H19)</f>
        <v>0.63381238956839969</v>
      </c>
      <c r="I19" s="135">
        <f>IF(SER_hh_tes!I19=0,"",SER_hh_tes!I19/SER_hh_fec!I19)</f>
        <v>0.64002763865137824</v>
      </c>
      <c r="J19" s="135">
        <f>IF(SER_hh_tes!J19=0,"",SER_hh_tes!J19/SER_hh_fec!J19)</f>
        <v>0.64488275841689813</v>
      </c>
      <c r="K19" s="135">
        <f>IF(SER_hh_tes!K19=0,"",SER_hh_tes!K19/SER_hh_fec!K19)</f>
        <v>0.64917211056475321</v>
      </c>
      <c r="L19" s="135">
        <f>IF(SER_hh_tes!L19=0,"",SER_hh_tes!L19/SER_hh_fec!L19)</f>
        <v>0.65308902175397132</v>
      </c>
      <c r="M19" s="135">
        <f>IF(SER_hh_tes!M19=0,"",SER_hh_tes!M19/SER_hh_fec!M19)</f>
        <v>0.66041465563427304</v>
      </c>
      <c r="N19" s="135">
        <f>IF(SER_hh_tes!N19=0,"",SER_hh_tes!N19/SER_hh_fec!N19)</f>
        <v>0.66765547454319107</v>
      </c>
      <c r="O19" s="135">
        <f>IF(SER_hh_tes!O19=0,"",SER_hh_tes!O19/SER_hh_fec!O19)</f>
        <v>0.67693038648438708</v>
      </c>
      <c r="P19" s="135">
        <f>IF(SER_hh_tes!P19=0,"",SER_hh_tes!P19/SER_hh_fec!P19)</f>
        <v>0.68208832064553881</v>
      </c>
      <c r="Q19" s="135">
        <f>IF(SER_hh_tes!Q19=0,"",SER_hh_tes!Q19/SER_hh_fec!Q19)</f>
        <v>0.69056398033101818</v>
      </c>
      <c r="R19" s="135">
        <f>IF(SER_hh_tes!R19=0,"",SER_hh_tes!R19/SER_hh_fec!R19)</f>
        <v>0.70249636992392006</v>
      </c>
      <c r="S19" s="135">
        <f>IF(SER_hh_tes!S19=0,"",SER_hh_tes!S19/SER_hh_fec!S19)</f>
        <v>0.71531851278734271</v>
      </c>
      <c r="T19" s="135">
        <f>IF(SER_hh_tes!T19=0,"",SER_hh_tes!T19/SER_hh_fec!T19)</f>
        <v>0.73232784311903454</v>
      </c>
      <c r="U19" s="135">
        <f>IF(SER_hh_tes!U19=0,"",SER_hh_tes!U19/SER_hh_fec!U19)</f>
        <v>0.74783006032148014</v>
      </c>
      <c r="V19" s="135">
        <f>IF(SER_hh_tes!V19=0,"",SER_hh_tes!V19/SER_hh_fec!V19)</f>
        <v>0.767780544768215</v>
      </c>
      <c r="W19" s="135">
        <f>IF(SER_hh_tes!W19=0,"",SER_hh_tes!W19/SER_hh_fec!W19)</f>
        <v>0.78048969120476852</v>
      </c>
      <c r="X19" s="135">
        <f>IF(SER_hh_tes!X19=0,"",SER_hh_tes!X19/SER_hh_fec!X19)</f>
        <v>0.79447688408890627</v>
      </c>
      <c r="Y19" s="135">
        <f>IF(SER_hh_tes!Y19=0,"",SER_hh_tes!Y19/SER_hh_fec!Y19)</f>
        <v>0.80902343526533915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 t="str">
        <f>IF(SER_hh_tes!B21=0,"",SER_hh_tes!B21/SER_hh_fec!B21)</f>
        <v/>
      </c>
      <c r="C21" s="136" t="str">
        <f>IF(SER_hh_tes!C21=0,"",SER_hh_tes!C21/SER_hh_fec!C21)</f>
        <v/>
      </c>
      <c r="D21" s="136" t="str">
        <f>IF(SER_hh_tes!D21=0,"",SER_hh_tes!D21/SER_hh_fec!D21)</f>
        <v/>
      </c>
      <c r="E21" s="136" t="str">
        <f>IF(SER_hh_tes!E21=0,"",SER_hh_tes!E21/SER_hh_fec!E21)</f>
        <v/>
      </c>
      <c r="F21" s="136" t="str">
        <f>IF(SER_hh_tes!F21=0,"",SER_hh_tes!F21/SER_hh_fec!F21)</f>
        <v/>
      </c>
      <c r="G21" s="136" t="str">
        <f>IF(SER_hh_tes!G21=0,"",SER_hh_tes!G21/SER_hh_fec!G21)</f>
        <v/>
      </c>
      <c r="H21" s="136" t="str">
        <f>IF(SER_hh_tes!H21=0,"",SER_hh_tes!H21/SER_hh_fec!H21)</f>
        <v/>
      </c>
      <c r="I21" s="136" t="str">
        <f>IF(SER_hh_tes!I21=0,"",SER_hh_tes!I21/SER_hh_fec!I21)</f>
        <v/>
      </c>
      <c r="J21" s="136" t="str">
        <f>IF(SER_hh_tes!J21=0,"",SER_hh_tes!J21/SER_hh_fec!J21)</f>
        <v/>
      </c>
      <c r="K21" s="136" t="str">
        <f>IF(SER_hh_tes!K21=0,"",SER_hh_tes!K21/SER_hh_fec!K21)</f>
        <v/>
      </c>
      <c r="L21" s="136" t="str">
        <f>IF(SER_hh_tes!L21=0,"",SER_hh_tes!L21/SER_hh_fec!L21)</f>
        <v/>
      </c>
      <c r="M21" s="136" t="str">
        <f>IF(SER_hh_tes!M21=0,"",SER_hh_tes!M21/SER_hh_fec!M21)</f>
        <v/>
      </c>
      <c r="N21" s="136" t="str">
        <f>IF(SER_hh_tes!N21=0,"",SER_hh_tes!N21/SER_hh_fec!N21)</f>
        <v/>
      </c>
      <c r="O21" s="136" t="str">
        <f>IF(SER_hh_tes!O21=0,"",SER_hh_tes!O21/SER_hh_fec!O21)</f>
        <v/>
      </c>
      <c r="P21" s="136" t="str">
        <f>IF(SER_hh_tes!P21=0,"",SER_hh_tes!P21/SER_hh_fec!P21)</f>
        <v/>
      </c>
      <c r="Q21" s="136" t="str">
        <f>IF(SER_hh_tes!Q21=0,"",SER_hh_tes!Q21/SER_hh_fec!Q21)</f>
        <v/>
      </c>
      <c r="R21" s="136" t="str">
        <f>IF(SER_hh_tes!R21=0,"",SER_hh_tes!R21/SER_hh_fec!R21)</f>
        <v/>
      </c>
      <c r="S21" s="136" t="str">
        <f>IF(SER_hh_tes!S21=0,"",SER_hh_tes!S21/SER_hh_fec!S21)</f>
        <v/>
      </c>
      <c r="T21" s="136" t="str">
        <f>IF(SER_hh_tes!T21=0,"",SER_hh_tes!T21/SER_hh_fec!T21)</f>
        <v/>
      </c>
      <c r="U21" s="136" t="str">
        <f>IF(SER_hh_tes!U21=0,"",SER_hh_tes!U21/SER_hh_fec!U21)</f>
        <v/>
      </c>
      <c r="V21" s="136" t="str">
        <f>IF(SER_hh_tes!V21=0,"",SER_hh_tes!V21/SER_hh_fec!V21)</f>
        <v/>
      </c>
      <c r="W21" s="136" t="str">
        <f>IF(SER_hh_tes!W21=0,"",SER_hh_tes!W21/SER_hh_fec!W21)</f>
        <v/>
      </c>
      <c r="X21" s="136" t="str">
        <f>IF(SER_hh_tes!X21=0,"",SER_hh_tes!X21/SER_hh_fec!X21)</f>
        <v/>
      </c>
      <c r="Y21" s="136" t="str">
        <f>IF(SER_hh_tes!Y21=0,"",SER_hh_tes!Y21/SER_hh_fec!Y21)</f>
        <v/>
      </c>
      <c r="DA21" s="163" t="s">
        <v>346</v>
      </c>
    </row>
    <row r="22" spans="1:105" ht="12" customHeight="1" x14ac:dyDescent="0.25">
      <c r="A22" s="131" t="s">
        <v>161</v>
      </c>
      <c r="B22" s="136">
        <f>IF(SER_hh_tes!B22=0,"",SER_hh_tes!B22/SER_hh_fec!B22)</f>
        <v>0.5322467742585667</v>
      </c>
      <c r="C22" s="136">
        <f>IF(SER_hh_tes!C22=0,"",SER_hh_tes!C22/SER_hh_fec!C22)</f>
        <v>0.53379432206234145</v>
      </c>
      <c r="D22" s="136">
        <f>IF(SER_hh_tes!D22=0,"",SER_hh_tes!D22/SER_hh_fec!D22)</f>
        <v>0.53514940996990235</v>
      </c>
      <c r="E22" s="136">
        <f>IF(SER_hh_tes!E22=0,"",SER_hh_tes!E22/SER_hh_fec!E22)</f>
        <v>0.53651815932948232</v>
      </c>
      <c r="F22" s="136">
        <f>IF(SER_hh_tes!F22=0,"",SER_hh_tes!F22/SER_hh_fec!F22)</f>
        <v>0.53811529387705259</v>
      </c>
      <c r="G22" s="136">
        <f>IF(SER_hh_tes!G22=0,"",SER_hh_tes!G22/SER_hh_fec!G22)</f>
        <v>0.53970827179447201</v>
      </c>
      <c r="H22" s="136">
        <f>IF(SER_hh_tes!H22=0,"",SER_hh_tes!H22/SER_hh_fec!H22)</f>
        <v>0.54185079443111861</v>
      </c>
      <c r="I22" s="136">
        <f>IF(SER_hh_tes!I22=0,"",SER_hh_tes!I22/SER_hh_fec!I22)</f>
        <v>0.54462316477379757</v>
      </c>
      <c r="J22" s="136">
        <f>IF(SER_hh_tes!J22=0,"",SER_hh_tes!J22/SER_hh_fec!J22)</f>
        <v>0.54811693043651433</v>
      </c>
      <c r="K22" s="136">
        <f>IF(SER_hh_tes!K22=0,"",SER_hh_tes!K22/SER_hh_fec!K22)</f>
        <v>0.55207218660604307</v>
      </c>
      <c r="L22" s="136">
        <f>IF(SER_hh_tes!L22=0,"",SER_hh_tes!L22/SER_hh_fec!L22)</f>
        <v>0.5571834133854916</v>
      </c>
      <c r="M22" s="136">
        <f>IF(SER_hh_tes!M22=0,"",SER_hh_tes!M22/SER_hh_fec!M22)</f>
        <v>0.56401304226573601</v>
      </c>
      <c r="N22" s="136">
        <f>IF(SER_hh_tes!N22=0,"",SER_hh_tes!N22/SER_hh_fec!N22)</f>
        <v>0.5735081996765542</v>
      </c>
      <c r="O22" s="136">
        <f>IF(SER_hh_tes!O22=0,"",SER_hh_tes!O22/SER_hh_fec!O22)</f>
        <v>0.584093302904652</v>
      </c>
      <c r="P22" s="136">
        <f>IF(SER_hh_tes!P22=0,"",SER_hh_tes!P22/SER_hh_fec!P22)</f>
        <v>0.58658668207661935</v>
      </c>
      <c r="Q22" s="136">
        <f>IF(SER_hh_tes!Q22=0,"",SER_hh_tes!Q22/SER_hh_fec!Q22)</f>
        <v>0.59023800378891444</v>
      </c>
      <c r="R22" s="136">
        <f>IF(SER_hh_tes!R22=0,"",SER_hh_tes!R22/SER_hh_fec!R22)</f>
        <v>0.59805377715381547</v>
      </c>
      <c r="S22" s="136">
        <f>IF(SER_hh_tes!S22=0,"",SER_hh_tes!S22/SER_hh_fec!S22)</f>
        <v>0.61010468811716201</v>
      </c>
      <c r="T22" s="136">
        <f>IF(SER_hh_tes!T22=0,"",SER_hh_tes!T22/SER_hh_fec!T22)</f>
        <v>0.61991636070679379</v>
      </c>
      <c r="U22" s="136">
        <f>IF(SER_hh_tes!U22=0,"",SER_hh_tes!U22/SER_hh_fec!U22)</f>
        <v>0.62959587282318608</v>
      </c>
      <c r="V22" s="136">
        <f>IF(SER_hh_tes!V22=0,"",SER_hh_tes!V22/SER_hh_fec!V22)</f>
        <v>0.6409326755323459</v>
      </c>
      <c r="W22" s="136">
        <f>IF(SER_hh_tes!W22=0,"",SER_hh_tes!W22/SER_hh_fec!W22)</f>
        <v>0.65758238277473635</v>
      </c>
      <c r="X22" s="136">
        <f>IF(SER_hh_tes!X22=0,"",SER_hh_tes!X22/SER_hh_fec!X22)</f>
        <v>0.68010958669921617</v>
      </c>
      <c r="Y22" s="136">
        <f>IF(SER_hh_tes!Y22=0,"",SER_hh_tes!Y22/SER_hh_fec!Y22)</f>
        <v>0.70372800071810393</v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0.54420495607179675</v>
      </c>
      <c r="C23" s="136">
        <f>IF(SER_hh_tes!C23=0,"",SER_hh_tes!C23/SER_hh_fec!C23)</f>
        <v>0.5492203708053206</v>
      </c>
      <c r="D23" s="136">
        <f>IF(SER_hh_tes!D23=0,"",SER_hh_tes!D23/SER_hh_fec!D23)</f>
        <v>0.55492099044941245</v>
      </c>
      <c r="E23" s="136">
        <f>IF(SER_hh_tes!E23=0,"",SER_hh_tes!E23/SER_hh_fec!E23)</f>
        <v>0.56093903751309526</v>
      </c>
      <c r="F23" s="136">
        <f>IF(SER_hh_tes!F23=0,"",SER_hh_tes!F23/SER_hh_fec!F23)</f>
        <v>0.56738186943151325</v>
      </c>
      <c r="G23" s="136">
        <f>IF(SER_hh_tes!G23=0,"",SER_hh_tes!G23/SER_hh_fec!G23)</f>
        <v>0.57387035027400113</v>
      </c>
      <c r="H23" s="136">
        <f>IF(SER_hh_tes!H23=0,"",SER_hh_tes!H23/SER_hh_fec!H23)</f>
        <v>0.58069144700371844</v>
      </c>
      <c r="I23" s="136">
        <f>IF(SER_hh_tes!I23=0,"",SER_hh_tes!I23/SER_hh_fec!I23)</f>
        <v>0.58788459318491082</v>
      </c>
      <c r="J23" s="136">
        <f>IF(SER_hh_tes!J23=0,"",SER_hh_tes!J23/SER_hh_fec!J23)</f>
        <v>0.59507009949767231</v>
      </c>
      <c r="K23" s="136">
        <f>IF(SER_hh_tes!K23=0,"",SER_hh_tes!K23/SER_hh_fec!K23)</f>
        <v>0.60247858269684518</v>
      </c>
      <c r="L23" s="136">
        <f>IF(SER_hh_tes!L23=0,"",SER_hh_tes!L23/SER_hh_fec!L23)</f>
        <v>0.61078398719714588</v>
      </c>
      <c r="M23" s="136">
        <f>IF(SER_hh_tes!M23=0,"",SER_hh_tes!M23/SER_hh_fec!M23)</f>
        <v>0.62012163358755845</v>
      </c>
      <c r="N23" s="136">
        <f>IF(SER_hh_tes!N23=0,"",SER_hh_tes!N23/SER_hh_fec!N23)</f>
        <v>0.63299674437411413</v>
      </c>
      <c r="O23" s="136">
        <f>IF(SER_hh_tes!O23=0,"",SER_hh_tes!O23/SER_hh_fec!O23)</f>
        <v>0.64719347012839046</v>
      </c>
      <c r="P23" s="136">
        <f>IF(SER_hh_tes!P23=0,"",SER_hh_tes!P23/SER_hh_fec!P23)</f>
        <v>0.65501353632004289</v>
      </c>
      <c r="Q23" s="136">
        <f>IF(SER_hh_tes!Q23=0,"",SER_hh_tes!Q23/SER_hh_fec!Q23)</f>
        <v>0.6641308356193919</v>
      </c>
      <c r="R23" s="136">
        <f>IF(SER_hh_tes!R23=0,"",SER_hh_tes!R23/SER_hh_fec!R23)</f>
        <v>0.67413919664801658</v>
      </c>
      <c r="S23" s="136">
        <f>IF(SER_hh_tes!S23=0,"",SER_hh_tes!S23/SER_hh_fec!S23)</f>
        <v>0.68639442813212914</v>
      </c>
      <c r="T23" s="136">
        <f>IF(SER_hh_tes!T23=0,"",SER_hh_tes!T23/SER_hh_fec!T23)</f>
        <v>0.69611893880623654</v>
      </c>
      <c r="U23" s="136">
        <f>IF(SER_hh_tes!U23=0,"",SER_hh_tes!U23/SER_hh_fec!U23)</f>
        <v>0.70879308062852231</v>
      </c>
      <c r="V23" s="136">
        <f>IF(SER_hh_tes!V23=0,"",SER_hh_tes!V23/SER_hh_fec!V23)</f>
        <v>0.72177661391502879</v>
      </c>
      <c r="W23" s="136">
        <f>IF(SER_hh_tes!W23=0,"",SER_hh_tes!W23/SER_hh_fec!W23)</f>
        <v>0.7431787979661485</v>
      </c>
      <c r="X23" s="136">
        <f>IF(SER_hh_tes!X23=0,"",SER_hh_tes!X23/SER_hh_fec!X23)</f>
        <v>0.76100536034054089</v>
      </c>
      <c r="Y23" s="136">
        <f>IF(SER_hh_tes!Y23=0,"",SER_hh_tes!Y23/SER_hh_fec!Y23)</f>
        <v>0.77566661643712786</v>
      </c>
      <c r="DA23" s="163" t="s">
        <v>348</v>
      </c>
    </row>
    <row r="24" spans="1:105" ht="12" customHeight="1" x14ac:dyDescent="0.25">
      <c r="A24" s="131" t="s">
        <v>128</v>
      </c>
      <c r="B24" s="136" t="str">
        <f>IF(SER_hh_tes!B24=0,"",SER_hh_tes!B24/SER_hh_fec!B24)</f>
        <v/>
      </c>
      <c r="C24" s="136" t="str">
        <f>IF(SER_hh_tes!C24=0,"",SER_hh_tes!C24/SER_hh_fec!C24)</f>
        <v/>
      </c>
      <c r="D24" s="136" t="str">
        <f>IF(SER_hh_tes!D24=0,"",SER_hh_tes!D24/SER_hh_fec!D24)</f>
        <v/>
      </c>
      <c r="E24" s="136" t="str">
        <f>IF(SER_hh_tes!E24=0,"",SER_hh_tes!E24/SER_hh_fec!E24)</f>
        <v/>
      </c>
      <c r="F24" s="136" t="str">
        <f>IF(SER_hh_tes!F24=0,"",SER_hh_tes!F24/SER_hh_fec!F24)</f>
        <v/>
      </c>
      <c r="G24" s="136" t="str">
        <f>IF(SER_hh_tes!G24=0,"",SER_hh_tes!G24/SER_hh_fec!G24)</f>
        <v/>
      </c>
      <c r="H24" s="136" t="str">
        <f>IF(SER_hh_tes!H24=0,"",SER_hh_tes!H24/SER_hh_fec!H24)</f>
        <v/>
      </c>
      <c r="I24" s="136" t="str">
        <f>IF(SER_hh_tes!I24=0,"",SER_hh_tes!I24/SER_hh_fec!I24)</f>
        <v/>
      </c>
      <c r="J24" s="136" t="str">
        <f>IF(SER_hh_tes!J24=0,"",SER_hh_tes!J24/SER_hh_fec!J24)</f>
        <v/>
      </c>
      <c r="K24" s="136" t="str">
        <f>IF(SER_hh_tes!K24=0,"",SER_hh_tes!K24/SER_hh_fec!K24)</f>
        <v/>
      </c>
      <c r="L24" s="136" t="str">
        <f>IF(SER_hh_tes!L24=0,"",SER_hh_tes!L24/SER_hh_fec!L24)</f>
        <v/>
      </c>
      <c r="M24" s="136" t="str">
        <f>IF(SER_hh_tes!M24=0,"",SER_hh_tes!M24/SER_hh_fec!M24)</f>
        <v/>
      </c>
      <c r="N24" s="136" t="str">
        <f>IF(SER_hh_tes!N24=0,"",SER_hh_tes!N24/SER_hh_fec!N24)</f>
        <v/>
      </c>
      <c r="O24" s="136" t="str">
        <f>IF(SER_hh_tes!O24=0,"",SER_hh_tes!O24/SER_hh_fec!O24)</f>
        <v/>
      </c>
      <c r="P24" s="136" t="str">
        <f>IF(SER_hh_tes!P24=0,"",SER_hh_tes!P24/SER_hh_fec!P24)</f>
        <v/>
      </c>
      <c r="Q24" s="136" t="str">
        <f>IF(SER_hh_tes!Q24=0,"",SER_hh_tes!Q24/SER_hh_fec!Q24)</f>
        <v/>
      </c>
      <c r="R24" s="136" t="str">
        <f>IF(SER_hh_tes!R24=0,"",SER_hh_tes!R24/SER_hh_fec!R24)</f>
        <v/>
      </c>
      <c r="S24" s="136" t="str">
        <f>IF(SER_hh_tes!S24=0,"",SER_hh_tes!S24/SER_hh_fec!S24)</f>
        <v/>
      </c>
      <c r="T24" s="136" t="str">
        <f>IF(SER_hh_tes!T24=0,"",SER_hh_tes!T24/SER_hh_fec!T24)</f>
        <v/>
      </c>
      <c r="U24" s="136" t="str">
        <f>IF(SER_hh_tes!U24=0,"",SER_hh_tes!U24/SER_hh_fec!U24)</f>
        <v/>
      </c>
      <c r="V24" s="136" t="str">
        <f>IF(SER_hh_tes!V24=0,"",SER_hh_tes!V24/SER_hh_fec!V24)</f>
        <v/>
      </c>
      <c r="W24" s="136" t="str">
        <f>IF(SER_hh_tes!W24=0,"",SER_hh_tes!W24/SER_hh_fec!W24)</f>
        <v/>
      </c>
      <c r="X24" s="136" t="str">
        <f>IF(SER_hh_tes!X24=0,"",SER_hh_tes!X24/SER_hh_fec!X24)</f>
        <v/>
      </c>
      <c r="Y24" s="136" t="str">
        <f>IF(SER_hh_tes!Y24=0,"",SER_hh_tes!Y24/SER_hh_fec!Y24)</f>
        <v/>
      </c>
      <c r="DA24" s="163" t="s">
        <v>349</v>
      </c>
    </row>
    <row r="25" spans="1:105" ht="12" customHeight="1" x14ac:dyDescent="0.25">
      <c r="A25" s="131" t="s">
        <v>162</v>
      </c>
      <c r="B25" s="136" t="str">
        <f>IF(SER_hh_tes!B25=0,"",SER_hh_tes!B25/SER_hh_fec!B25)</f>
        <v/>
      </c>
      <c r="C25" s="136" t="str">
        <f>IF(SER_hh_tes!C25=0,"",SER_hh_tes!C25/SER_hh_fec!C25)</f>
        <v/>
      </c>
      <c r="D25" s="136" t="str">
        <f>IF(SER_hh_tes!D25=0,"",SER_hh_tes!D25/SER_hh_fec!D25)</f>
        <v/>
      </c>
      <c r="E25" s="136" t="str">
        <f>IF(SER_hh_tes!E25=0,"",SER_hh_tes!E25/SER_hh_fec!E25)</f>
        <v/>
      </c>
      <c r="F25" s="136" t="str">
        <f>IF(SER_hh_tes!F25=0,"",SER_hh_tes!F25/SER_hh_fec!F25)</f>
        <v/>
      </c>
      <c r="G25" s="136" t="str">
        <f>IF(SER_hh_tes!G25=0,"",SER_hh_tes!G25/SER_hh_fec!G25)</f>
        <v/>
      </c>
      <c r="H25" s="136" t="str">
        <f>IF(SER_hh_tes!H25=0,"",SER_hh_tes!H25/SER_hh_fec!H25)</f>
        <v/>
      </c>
      <c r="I25" s="136" t="str">
        <f>IF(SER_hh_tes!I25=0,"",SER_hh_tes!I25/SER_hh_fec!I25)</f>
        <v/>
      </c>
      <c r="J25" s="136" t="str">
        <f>IF(SER_hh_tes!J25=0,"",SER_hh_tes!J25/SER_hh_fec!J25)</f>
        <v/>
      </c>
      <c r="K25" s="136" t="str">
        <f>IF(SER_hh_tes!K25=0,"",SER_hh_tes!K25/SER_hh_fec!K25)</f>
        <v/>
      </c>
      <c r="L25" s="136" t="str">
        <f>IF(SER_hh_tes!L25=0,"",SER_hh_tes!L25/SER_hh_fec!L25)</f>
        <v/>
      </c>
      <c r="M25" s="136" t="str">
        <f>IF(SER_hh_tes!M25=0,"",SER_hh_tes!M25/SER_hh_fec!M25)</f>
        <v/>
      </c>
      <c r="N25" s="136" t="str">
        <f>IF(SER_hh_tes!N25=0,"",SER_hh_tes!N25/SER_hh_fec!N25)</f>
        <v/>
      </c>
      <c r="O25" s="136" t="str">
        <f>IF(SER_hh_tes!O25=0,"",SER_hh_tes!O25/SER_hh_fec!O25)</f>
        <v/>
      </c>
      <c r="P25" s="136" t="str">
        <f>IF(SER_hh_tes!P25=0,"",SER_hh_tes!P25/SER_hh_fec!P25)</f>
        <v/>
      </c>
      <c r="Q25" s="136" t="str">
        <f>IF(SER_hh_tes!Q25=0,"",SER_hh_tes!Q25/SER_hh_fec!Q25)</f>
        <v/>
      </c>
      <c r="R25" s="136" t="str">
        <f>IF(SER_hh_tes!R25=0,"",SER_hh_tes!R25/SER_hh_fec!R25)</f>
        <v/>
      </c>
      <c r="S25" s="136" t="str">
        <f>IF(SER_hh_tes!S25=0,"",SER_hh_tes!S25/SER_hh_fec!S25)</f>
        <v/>
      </c>
      <c r="T25" s="136" t="str">
        <f>IF(SER_hh_tes!T25=0,"",SER_hh_tes!T25/SER_hh_fec!T25)</f>
        <v/>
      </c>
      <c r="U25" s="136" t="str">
        <f>IF(SER_hh_tes!U25=0,"",SER_hh_tes!U25/SER_hh_fec!U25)</f>
        <v/>
      </c>
      <c r="V25" s="136" t="str">
        <f>IF(SER_hh_tes!V25=0,"",SER_hh_tes!V25/SER_hh_fec!V25)</f>
        <v/>
      </c>
      <c r="W25" s="136" t="str">
        <f>IF(SER_hh_tes!W25=0,"",SER_hh_tes!W25/SER_hh_fec!W25)</f>
        <v/>
      </c>
      <c r="X25" s="136" t="str">
        <f>IF(SER_hh_tes!X25=0,"",SER_hh_tes!X25/SER_hh_fec!X25)</f>
        <v/>
      </c>
      <c r="Y25" s="136" t="str">
        <f>IF(SER_hh_tes!Y25=0,"",SER_hh_tes!Y25/SER_hh_fec!Y25)</f>
        <v/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0.67535446624011597</v>
      </c>
      <c r="C26" s="137">
        <f>IF(SER_hh_tes!C26=0,"",SER_hh_tes!C26/SER_hh_fec!C26)</f>
        <v>0.67773411940012163</v>
      </c>
      <c r="D26" s="137">
        <f>IF(SER_hh_tes!D26=0,"",SER_hh_tes!D26/SER_hh_fec!D26)</f>
        <v>0.68027029279108175</v>
      </c>
      <c r="E26" s="137">
        <f>IF(SER_hh_tes!E26=0,"",SER_hh_tes!E26/SER_hh_fec!E26)</f>
        <v>0.68276245203265706</v>
      </c>
      <c r="F26" s="137">
        <f>IF(SER_hh_tes!F26=0,"",SER_hh_tes!F26/SER_hh_fec!F26)</f>
        <v>0.68538737304992137</v>
      </c>
      <c r="G26" s="137">
        <f>IF(SER_hh_tes!G26=0,"",SER_hh_tes!G26/SER_hh_fec!G26)</f>
        <v>0.6884903167932227</v>
      </c>
      <c r="H26" s="137">
        <f>IF(SER_hh_tes!H26=0,"",SER_hh_tes!H26/SER_hh_fec!H26)</f>
        <v>0.6914336604823702</v>
      </c>
      <c r="I26" s="137">
        <f>IF(SER_hh_tes!I26=0,"",SER_hh_tes!I26/SER_hh_fec!I26)</f>
        <v>0.6950205816730195</v>
      </c>
      <c r="J26" s="137">
        <f>IF(SER_hh_tes!J26=0,"",SER_hh_tes!J26/SER_hh_fec!J26)</f>
        <v>0.69765606764697974</v>
      </c>
      <c r="K26" s="137">
        <f>IF(SER_hh_tes!K26=0,"",SER_hh_tes!K26/SER_hh_fec!K26)</f>
        <v>0.69949573836439072</v>
      </c>
      <c r="L26" s="137">
        <f>IF(SER_hh_tes!L26=0,"",SER_hh_tes!L26/SER_hh_fec!L26)</f>
        <v>0.70211747967617422</v>
      </c>
      <c r="M26" s="137">
        <f>IF(SER_hh_tes!M26=0,"",SER_hh_tes!M26/SER_hh_fec!M26)</f>
        <v>0.70622533931364373</v>
      </c>
      <c r="N26" s="137">
        <f>IF(SER_hh_tes!N26=0,"",SER_hh_tes!N26/SER_hh_fec!N26)</f>
        <v>0.71092492081767045</v>
      </c>
      <c r="O26" s="137">
        <f>IF(SER_hh_tes!O26=0,"",SER_hh_tes!O26/SER_hh_fec!O26)</f>
        <v>0.71715915220308746</v>
      </c>
      <c r="P26" s="137">
        <f>IF(SER_hh_tes!P26=0,"",SER_hh_tes!P26/SER_hh_fec!P26)</f>
        <v>0.7221432885996274</v>
      </c>
      <c r="Q26" s="137">
        <f>IF(SER_hh_tes!Q26=0,"",SER_hh_tes!Q26/SER_hh_fec!Q26)</f>
        <v>0.72876059684875316</v>
      </c>
      <c r="R26" s="137">
        <f>IF(SER_hh_tes!R26=0,"",SER_hh_tes!R26/SER_hh_fec!R26)</f>
        <v>0.74092796278126061</v>
      </c>
      <c r="S26" s="137">
        <f>IF(SER_hh_tes!S26=0,"",SER_hh_tes!S26/SER_hh_fec!S26)</f>
        <v>0.75455161581455987</v>
      </c>
      <c r="T26" s="137">
        <f>IF(SER_hh_tes!T26=0,"",SER_hh_tes!T26/SER_hh_fec!T26)</f>
        <v>0.77108189710669572</v>
      </c>
      <c r="U26" s="137">
        <f>IF(SER_hh_tes!U26=0,"",SER_hh_tes!U26/SER_hh_fec!U26)</f>
        <v>0.78698066095042363</v>
      </c>
      <c r="V26" s="137">
        <f>IF(SER_hh_tes!V26=0,"",SER_hh_tes!V26/SER_hh_fec!V26)</f>
        <v>0.80321213479444586</v>
      </c>
      <c r="W26" s="137">
        <f>IF(SER_hh_tes!W26=0,"",SER_hh_tes!W26/SER_hh_fec!W26)</f>
        <v>0.81680996380614568</v>
      </c>
      <c r="X26" s="137">
        <f>IF(SER_hh_tes!X26=0,"",SER_hh_tes!X26/SER_hh_fec!X26)</f>
        <v>0.83006683138907777</v>
      </c>
      <c r="Y26" s="137">
        <f>IF(SER_hh_tes!Y26=0,"",SER_hh_tes!Y26/SER_hh_fec!Y26)</f>
        <v>0.84349948097985683</v>
      </c>
      <c r="DA26" s="164" t="s">
        <v>351</v>
      </c>
    </row>
    <row r="27" spans="1:105" ht="12" customHeight="1" x14ac:dyDescent="0.25">
      <c r="A27" s="144" t="s">
        <v>26</v>
      </c>
      <c r="B27" s="153" t="str">
        <f>IF(SER_hh_tes!B27=0,"",SER_hh_tes!B27/SER_hh_fec!B27)</f>
        <v/>
      </c>
      <c r="C27" s="153" t="str">
        <f>IF(SER_hh_tes!C27=0,"",SER_hh_tes!C27/SER_hh_fec!C27)</f>
        <v/>
      </c>
      <c r="D27" s="153" t="str">
        <f>IF(SER_hh_tes!D27=0,"",SER_hh_tes!D27/SER_hh_fec!D27)</f>
        <v/>
      </c>
      <c r="E27" s="153" t="str">
        <f>IF(SER_hh_tes!E27=0,"",SER_hh_tes!E27/SER_hh_fec!E27)</f>
        <v/>
      </c>
      <c r="F27" s="153" t="str">
        <f>IF(SER_hh_tes!F27=0,"",SER_hh_tes!F27/SER_hh_fec!F27)</f>
        <v/>
      </c>
      <c r="G27" s="153" t="str">
        <f>IF(SER_hh_tes!G27=0,"",SER_hh_tes!G27/SER_hh_fec!G27)</f>
        <v/>
      </c>
      <c r="H27" s="153">
        <f>IF(SER_hh_tes!H27=0,"",SER_hh_tes!H27/SER_hh_fec!H27)</f>
        <v>1</v>
      </c>
      <c r="I27" s="153">
        <f>IF(SER_hh_tes!I27=0,"",SER_hh_tes!I27/SER_hh_fec!I27)</f>
        <v>1</v>
      </c>
      <c r="J27" s="153">
        <f>IF(SER_hh_tes!J27=0,"",SER_hh_tes!J27/SER_hh_fec!J27)</f>
        <v>1</v>
      </c>
      <c r="K27" s="153">
        <f>IF(SER_hh_tes!K27=0,"",SER_hh_tes!K27/SER_hh_fec!K27)</f>
        <v>1</v>
      </c>
      <c r="L27" s="153">
        <f>IF(SER_hh_tes!L27=0,"",SER_hh_tes!L27/SER_hh_fec!L27)</f>
        <v>1</v>
      </c>
      <c r="M27" s="153">
        <f>IF(SER_hh_tes!M27=0,"",SER_hh_tes!M27/SER_hh_fec!M27)</f>
        <v>1</v>
      </c>
      <c r="N27" s="153">
        <f>IF(SER_hh_tes!N27=0,"",SER_hh_tes!N27/SER_hh_fec!N27)</f>
        <v>1</v>
      </c>
      <c r="O27" s="153">
        <f>IF(SER_hh_tes!O27=0,"",SER_hh_tes!O27/SER_hh_fec!O27)</f>
        <v>1</v>
      </c>
      <c r="P27" s="153">
        <f>IF(SER_hh_tes!P27=0,"",SER_hh_tes!P27/SER_hh_fec!P27)</f>
        <v>1</v>
      </c>
      <c r="Q27" s="153">
        <f>IF(SER_hh_tes!Q27=0,"",SER_hh_tes!Q27/SER_hh_fec!Q27)</f>
        <v>1</v>
      </c>
      <c r="R27" s="153">
        <f>IF(SER_hh_tes!R27=0,"",SER_hh_tes!R27/SER_hh_fec!R27)</f>
        <v>1</v>
      </c>
      <c r="S27" s="153">
        <f>IF(SER_hh_tes!S27=0,"",SER_hh_tes!S27/SER_hh_fec!S27)</f>
        <v>1</v>
      </c>
      <c r="T27" s="153">
        <f>IF(SER_hh_tes!T27=0,"",SER_hh_tes!T27/SER_hh_fec!T27)</f>
        <v>1</v>
      </c>
      <c r="U27" s="153">
        <f>IF(SER_hh_tes!U27=0,"",SER_hh_tes!U27/SER_hh_fec!U27)</f>
        <v>1</v>
      </c>
      <c r="V27" s="153">
        <f>IF(SER_hh_tes!V27=0,"",SER_hh_tes!V27/SER_hh_fec!V27)</f>
        <v>1</v>
      </c>
      <c r="W27" s="153">
        <f>IF(SER_hh_tes!W27=0,"",SER_hh_tes!W27/SER_hh_fec!W27)</f>
        <v>1</v>
      </c>
      <c r="X27" s="153">
        <f>IF(SER_hh_tes!X27=0,"",SER_hh_tes!X27/SER_hh_fec!X27)</f>
        <v>1</v>
      </c>
      <c r="Y27" s="153">
        <f>IF(SER_hh_tes!Y27=0,"",SER_hh_tes!Y27/SER_hh_fec!Y27)</f>
        <v>1</v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0.66620237574851471</v>
      </c>
      <c r="C29" s="135">
        <f>IF(SER_hh_tes!C29=0,"",SER_hh_tes!C29/SER_hh_fec!C29)</f>
        <v>0.66308391464277505</v>
      </c>
      <c r="D29" s="135">
        <f>IF(SER_hh_tes!D29=0,"",SER_hh_tes!D29/SER_hh_fec!D29)</f>
        <v>0.66495720308419271</v>
      </c>
      <c r="E29" s="135">
        <f>IF(SER_hh_tes!E29=0,"",SER_hh_tes!E29/SER_hh_fec!E29)</f>
        <v>0.66464260034254896</v>
      </c>
      <c r="F29" s="135">
        <f>IF(SER_hh_tes!F29=0,"",SER_hh_tes!F29/SER_hh_fec!F29)</f>
        <v>0.66073629462335504</v>
      </c>
      <c r="G29" s="135">
        <f>IF(SER_hh_tes!G29=0,"",SER_hh_tes!G29/SER_hh_fec!G29)</f>
        <v>0.65227657809709172</v>
      </c>
      <c r="H29" s="135">
        <f>IF(SER_hh_tes!H29=0,"",SER_hh_tes!H29/SER_hh_fec!H29)</f>
        <v>0.65230270806476842</v>
      </c>
      <c r="I29" s="135">
        <f>IF(SER_hh_tes!I29=0,"",SER_hh_tes!I29/SER_hh_fec!I29)</f>
        <v>0.65342863082583058</v>
      </c>
      <c r="J29" s="135">
        <f>IF(SER_hh_tes!J29=0,"",SER_hh_tes!J29/SER_hh_fec!J29)</f>
        <v>0.64722612076471187</v>
      </c>
      <c r="K29" s="135">
        <f>IF(SER_hh_tes!K29=0,"",SER_hh_tes!K29/SER_hh_fec!K29)</f>
        <v>0.66629932106445466</v>
      </c>
      <c r="L29" s="135">
        <f>IF(SER_hh_tes!L29=0,"",SER_hh_tes!L29/SER_hh_fec!L29)</f>
        <v>0.64857522723020344</v>
      </c>
      <c r="M29" s="135">
        <f>IF(SER_hh_tes!M29=0,"",SER_hh_tes!M29/SER_hh_fec!M29)</f>
        <v>0.65773338092396538</v>
      </c>
      <c r="N29" s="135">
        <f>IF(SER_hh_tes!N29=0,"",SER_hh_tes!N29/SER_hh_fec!N29)</f>
        <v>0.66571985501449515</v>
      </c>
      <c r="O29" s="135">
        <f>IF(SER_hh_tes!O29=0,"",SER_hh_tes!O29/SER_hh_fec!O29)</f>
        <v>0.65669555907135579</v>
      </c>
      <c r="P29" s="135">
        <f>IF(SER_hh_tes!P29=0,"",SER_hh_tes!P29/SER_hh_fec!P29)</f>
        <v>0.67954881778738618</v>
      </c>
      <c r="Q29" s="135">
        <f>IF(SER_hh_tes!Q29=0,"",SER_hh_tes!Q29/SER_hh_fec!Q29)</f>
        <v>0.67664391021840331</v>
      </c>
      <c r="R29" s="135">
        <f>IF(SER_hh_tes!R29=0,"",SER_hh_tes!R29/SER_hh_fec!R29)</f>
        <v>0.69464398564096985</v>
      </c>
      <c r="S29" s="135">
        <f>IF(SER_hh_tes!S29=0,"",SER_hh_tes!S29/SER_hh_fec!S29)</f>
        <v>0.69859868407408754</v>
      </c>
      <c r="T29" s="135">
        <f>IF(SER_hh_tes!T29=0,"",SER_hh_tes!T29/SER_hh_fec!T29)</f>
        <v>0.6975737051718669</v>
      </c>
      <c r="U29" s="135">
        <f>IF(SER_hh_tes!U29=0,"",SER_hh_tes!U29/SER_hh_fec!U29)</f>
        <v>0.70481972840147</v>
      </c>
      <c r="V29" s="135">
        <f>IF(SER_hh_tes!V29=0,"",SER_hh_tes!V29/SER_hh_fec!V29)</f>
        <v>0.72438642195441805</v>
      </c>
      <c r="W29" s="135">
        <f>IF(SER_hh_tes!W29=0,"",SER_hh_tes!W29/SER_hh_fec!W29)</f>
        <v>0.72332220236408917</v>
      </c>
      <c r="X29" s="135">
        <f>IF(SER_hh_tes!X29=0,"",SER_hh_tes!X29/SER_hh_fec!X29)</f>
        <v>0.72315657504724984</v>
      </c>
      <c r="Y29" s="135">
        <f>IF(SER_hh_tes!Y29=0,"",SER_hh_tes!Y29/SER_hh_fec!Y29)</f>
        <v>0.7204938636804683</v>
      </c>
      <c r="DA29" s="162" t="s">
        <v>243</v>
      </c>
    </row>
    <row r="30" spans="1:105" ht="12" customHeight="1" x14ac:dyDescent="0.25">
      <c r="A30" s="131" t="s">
        <v>52</v>
      </c>
      <c r="B30" s="136">
        <f>IF(SER_hh_tes!B30=0,"",SER_hh_tes!B30/SER_hh_fec!B30)</f>
        <v>0.58034470822123152</v>
      </c>
      <c r="C30" s="136">
        <f>IF(SER_hh_tes!C30=0,"",SER_hh_tes!C30/SER_hh_fec!C30)</f>
        <v>0.58132723963120692</v>
      </c>
      <c r="D30" s="136">
        <f>IF(SER_hh_tes!D30=0,"",SER_hh_tes!D30/SER_hh_fec!D30)</f>
        <v>0.5823113618679413</v>
      </c>
      <c r="E30" s="136">
        <f>IF(SER_hh_tes!E30=0,"",SER_hh_tes!E30/SER_hh_fec!E30)</f>
        <v>0.58334147632401301</v>
      </c>
      <c r="F30" s="136">
        <f>IF(SER_hh_tes!F30=0,"",SER_hh_tes!F30/SER_hh_fec!F30)</f>
        <v>0.58436054519452085</v>
      </c>
      <c r="G30" s="136">
        <f>IF(SER_hh_tes!G30=0,"",SER_hh_tes!G30/SER_hh_fec!G30)</f>
        <v>0.58535123573468062</v>
      </c>
      <c r="H30" s="136">
        <f>IF(SER_hh_tes!H30=0,"",SER_hh_tes!H30/SER_hh_fec!H30)</f>
        <v>0.58616104609406927</v>
      </c>
      <c r="I30" s="136">
        <f>IF(SER_hh_tes!I30=0,"",SER_hh_tes!I30/SER_hh_fec!I30)</f>
        <v>0.58700124510366547</v>
      </c>
      <c r="J30" s="136">
        <f>IF(SER_hh_tes!J30=0,"",SER_hh_tes!J30/SER_hh_fec!J30)</f>
        <v>0.58757439523179644</v>
      </c>
      <c r="K30" s="136">
        <f>IF(SER_hh_tes!K30=0,"",SER_hh_tes!K30/SER_hh_fec!K30)</f>
        <v>0.58814699620885624</v>
      </c>
      <c r="L30" s="136">
        <f>IF(SER_hh_tes!L30=0,"",SER_hh_tes!L30/SER_hh_fec!L30)</f>
        <v>0.58869573331550418</v>
      </c>
      <c r="M30" s="136">
        <f>IF(SER_hh_tes!M30=0,"",SER_hh_tes!M30/SER_hh_fec!M30)</f>
        <v>0.58893114923545931</v>
      </c>
      <c r="N30" s="136">
        <f>IF(SER_hh_tes!N30=0,"",SER_hh_tes!N30/SER_hh_fec!N30)</f>
        <v>0.58916940797059891</v>
      </c>
      <c r="O30" s="136">
        <f>IF(SER_hh_tes!O30=0,"",SER_hh_tes!O30/SER_hh_fec!O30)</f>
        <v>0.58957368179566683</v>
      </c>
      <c r="P30" s="136">
        <f>IF(SER_hh_tes!P30=0,"",SER_hh_tes!P30/SER_hh_fec!P30)</f>
        <v>0.58986220135976564</v>
      </c>
      <c r="Q30" s="136">
        <f>IF(SER_hh_tes!Q30=0,"",SER_hh_tes!Q30/SER_hh_fec!Q30)</f>
        <v>0.59037065219375429</v>
      </c>
      <c r="R30" s="136">
        <f>IF(SER_hh_tes!R30=0,"",SER_hh_tes!R30/SER_hh_fec!R30)</f>
        <v>0.59113720255096691</v>
      </c>
      <c r="S30" s="136">
        <f>IF(SER_hh_tes!S30=0,"",SER_hh_tes!S30/SER_hh_fec!S30)</f>
        <v>0.59291435082224919</v>
      </c>
      <c r="T30" s="136">
        <f>IF(SER_hh_tes!T30=0,"",SER_hh_tes!T30/SER_hh_fec!T30)</f>
        <v>0.59521785515243564</v>
      </c>
      <c r="U30" s="136">
        <f>IF(SER_hh_tes!U30=0,"",SER_hh_tes!U30/SER_hh_fec!U30)</f>
        <v>0.59750080957571827</v>
      </c>
      <c r="V30" s="136">
        <f>IF(SER_hh_tes!V30=0,"",SER_hh_tes!V30/SER_hh_fec!V30)</f>
        <v>0.59901477849911999</v>
      </c>
      <c r="W30" s="136">
        <f>IF(SER_hh_tes!W30=0,"",SER_hh_tes!W30/SER_hh_fec!W30)</f>
        <v>0.60126103316939183</v>
      </c>
      <c r="X30" s="136">
        <f>IF(SER_hh_tes!X30=0,"",SER_hh_tes!X30/SER_hh_fec!X30)</f>
        <v>0.60421278911381526</v>
      </c>
      <c r="Y30" s="136">
        <f>IF(SER_hh_tes!Y30=0,"",SER_hh_tes!Y30/SER_hh_fec!Y30)</f>
        <v>0.60698768912654977</v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0.58752181628684841</v>
      </c>
      <c r="C31" s="136">
        <f>IF(SER_hh_tes!C31=0,"",SER_hh_tes!C31/SER_hh_fec!C31)</f>
        <v>0.58809231744111035</v>
      </c>
      <c r="D31" s="136">
        <f>IF(SER_hh_tes!D31=0,"",SER_hh_tes!D31/SER_hh_fec!D31)</f>
        <v>0.58868993308916284</v>
      </c>
      <c r="E31" s="136">
        <f>IF(SER_hh_tes!E31=0,"",SER_hh_tes!E31/SER_hh_fec!E31)</f>
        <v>0.58940998039641701</v>
      </c>
      <c r="F31" s="136">
        <f>IF(SER_hh_tes!F31=0,"",SER_hh_tes!F31/SER_hh_fec!F31)</f>
        <v>0.59029562047443196</v>
      </c>
      <c r="G31" s="136">
        <f>IF(SER_hh_tes!G31=0,"",SER_hh_tes!G31/SER_hh_fec!G31)</f>
        <v>0.59126760668218015</v>
      </c>
      <c r="H31" s="136">
        <f>IF(SER_hh_tes!H31=0,"",SER_hh_tes!H31/SER_hh_fec!H31)</f>
        <v>0.59232290564695089</v>
      </c>
      <c r="I31" s="136">
        <f>IF(SER_hh_tes!I31=0,"",SER_hh_tes!I31/SER_hh_fec!I31)</f>
        <v>0.59346571922728419</v>
      </c>
      <c r="J31" s="136">
        <f>IF(SER_hh_tes!J31=0,"",SER_hh_tes!J31/SER_hh_fec!J31)</f>
        <v>0.59470241701577153</v>
      </c>
      <c r="K31" s="136">
        <f>IF(SER_hh_tes!K31=0,"",SER_hh_tes!K31/SER_hh_fec!K31)</f>
        <v>0.59603949759098396</v>
      </c>
      <c r="L31" s="136">
        <f>IF(SER_hh_tes!L31=0,"",SER_hh_tes!L31/SER_hh_fec!L31)</f>
        <v>0.59691998747181718</v>
      </c>
      <c r="M31" s="136">
        <f>IF(SER_hh_tes!M31=0,"",SER_hh_tes!M31/SER_hh_fec!M31)</f>
        <v>0.59706233516880924</v>
      </c>
      <c r="N31" s="136">
        <f>IF(SER_hh_tes!N31=0,"",SER_hh_tes!N31/SER_hh_fec!N31)</f>
        <v>0.59734669024858533</v>
      </c>
      <c r="O31" s="136">
        <f>IF(SER_hh_tes!O31=0,"",SER_hh_tes!O31/SER_hh_fec!O31)</f>
        <v>0.59776969045994155</v>
      </c>
      <c r="P31" s="136">
        <f>IF(SER_hh_tes!P31=0,"",SER_hh_tes!P31/SER_hh_fec!P31)</f>
        <v>0.59822792887888465</v>
      </c>
      <c r="Q31" s="136">
        <f>IF(SER_hh_tes!Q31=0,"",SER_hh_tes!Q31/SER_hh_fec!Q31)</f>
        <v>0.59884890554411729</v>
      </c>
      <c r="R31" s="136">
        <f>IF(SER_hh_tes!R31=0,"",SER_hh_tes!R31/SER_hh_fec!R31)</f>
        <v>0.59983116660478897</v>
      </c>
      <c r="S31" s="136">
        <f>IF(SER_hh_tes!S31=0,"",SER_hh_tes!S31/SER_hh_fec!S31)</f>
        <v>0.60137975355708628</v>
      </c>
      <c r="T31" s="136">
        <f>IF(SER_hh_tes!T31=0,"",SER_hh_tes!T31/SER_hh_fec!T31)</f>
        <v>0.60357428079714959</v>
      </c>
      <c r="U31" s="136">
        <f>IF(SER_hh_tes!U31=0,"",SER_hh_tes!U31/SER_hh_fec!U31)</f>
        <v>0.60669335032594818</v>
      </c>
      <c r="V31" s="136">
        <f>IF(SER_hh_tes!V31=0,"",SER_hh_tes!V31/SER_hh_fec!V31)</f>
        <v>0.60999019690028744</v>
      </c>
      <c r="W31" s="136">
        <f>IF(SER_hh_tes!W31=0,"",SER_hh_tes!W31/SER_hh_fec!W31)</f>
        <v>0.61433854414018252</v>
      </c>
      <c r="X31" s="136">
        <f>IF(SER_hh_tes!X31=0,"",SER_hh_tes!X31/SER_hh_fec!X31)</f>
        <v>0.61706414632380535</v>
      </c>
      <c r="Y31" s="136">
        <f>IF(SER_hh_tes!Y31=0,"",SER_hh_tes!Y31/SER_hh_fec!Y31)</f>
        <v>0.6194333893022741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 t="str">
        <f>IF(SER_hh_tes!G32=0,"",SER_hh_tes!G32/SER_hh_fec!G32)</f>
        <v/>
      </c>
      <c r="H32" s="136" t="str">
        <f>IF(SER_hh_tes!H32=0,"",SER_hh_tes!H32/SER_hh_fec!H32)</f>
        <v/>
      </c>
      <c r="I32" s="136" t="str">
        <f>IF(SER_hh_tes!I32=0,"",SER_hh_tes!I32/SER_hh_fec!I32)</f>
        <v/>
      </c>
      <c r="J32" s="136" t="str">
        <f>IF(SER_hh_tes!J32=0,"",SER_hh_tes!J32/SER_hh_fec!J32)</f>
        <v/>
      </c>
      <c r="K32" s="136" t="str">
        <f>IF(SER_hh_tes!K32=0,"",SER_hh_tes!K32/SER_hh_fec!K32)</f>
        <v/>
      </c>
      <c r="L32" s="136" t="str">
        <f>IF(SER_hh_tes!L32=0,"",SER_hh_tes!L32/SER_hh_fec!L32)</f>
        <v/>
      </c>
      <c r="M32" s="136" t="str">
        <f>IF(SER_hh_tes!M32=0,"",SER_hh_tes!M32/SER_hh_fec!M32)</f>
        <v/>
      </c>
      <c r="N32" s="136" t="str">
        <f>IF(SER_hh_tes!N32=0,"",SER_hh_tes!N32/SER_hh_fec!N32)</f>
        <v/>
      </c>
      <c r="O32" s="136" t="str">
        <f>IF(SER_hh_tes!O32=0,"",SER_hh_tes!O32/SER_hh_fec!O32)</f>
        <v/>
      </c>
      <c r="P32" s="136" t="str">
        <f>IF(SER_hh_tes!P32=0,"",SER_hh_tes!P32/SER_hh_fec!P32)</f>
        <v/>
      </c>
      <c r="Q32" s="136" t="str">
        <f>IF(SER_hh_tes!Q32=0,"",SER_hh_tes!Q32/SER_hh_fec!Q32)</f>
        <v/>
      </c>
      <c r="R32" s="136" t="str">
        <f>IF(SER_hh_tes!R32=0,"",SER_hh_tes!R32/SER_hh_fec!R32)</f>
        <v/>
      </c>
      <c r="S32" s="136" t="str">
        <f>IF(SER_hh_tes!S32=0,"",SER_hh_tes!S32/SER_hh_fec!S32)</f>
        <v/>
      </c>
      <c r="T32" s="136" t="str">
        <f>IF(SER_hh_tes!T32=0,"",SER_hh_tes!T32/SER_hh_fec!T32)</f>
        <v/>
      </c>
      <c r="U32" s="136" t="str">
        <f>IF(SER_hh_tes!U32=0,"",SER_hh_tes!U32/SER_hh_fec!U32)</f>
        <v/>
      </c>
      <c r="V32" s="136" t="str">
        <f>IF(SER_hh_tes!V32=0,"",SER_hh_tes!V32/SER_hh_fec!V32)</f>
        <v/>
      </c>
      <c r="W32" s="136" t="str">
        <f>IF(SER_hh_tes!W32=0,"",SER_hh_tes!W32/SER_hh_fec!W32)</f>
        <v/>
      </c>
      <c r="X32" s="136" t="str">
        <f>IF(SER_hh_tes!X32=0,"",SER_hh_tes!X32/SER_hh_fec!X32)</f>
        <v/>
      </c>
      <c r="Y32" s="136" t="str">
        <f>IF(SER_hh_tes!Y32=0,"",SER_hh_tes!Y32/SER_hh_fec!Y32)</f>
        <v/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0.76790937388536251</v>
      </c>
      <c r="C33" s="149">
        <f>IF(SER_hh_tes!C33=0,"",SER_hh_tes!C33/SER_hh_fec!C33)</f>
        <v>0.76942882719844019</v>
      </c>
      <c r="D33" s="149">
        <f>IF(SER_hh_tes!D33=0,"",SER_hh_tes!D33/SER_hh_fec!D33)</f>
        <v>0.77099244281180013</v>
      </c>
      <c r="E33" s="149">
        <f>IF(SER_hh_tes!E33=0,"",SER_hh_tes!E33/SER_hh_fec!E33)</f>
        <v>0.77234244816096331</v>
      </c>
      <c r="F33" s="149">
        <f>IF(SER_hh_tes!F33=0,"",SER_hh_tes!F33/SER_hh_fec!F33)</f>
        <v>0.77368281423980989</v>
      </c>
      <c r="G33" s="149">
        <f>IF(SER_hh_tes!G33=0,"",SER_hh_tes!G33/SER_hh_fec!G33)</f>
        <v>0.77522903172604474</v>
      </c>
      <c r="H33" s="149">
        <f>IF(SER_hh_tes!H33=0,"",SER_hh_tes!H33/SER_hh_fec!H33)</f>
        <v>0.77720573764576184</v>
      </c>
      <c r="I33" s="149">
        <f>IF(SER_hh_tes!I33=0,"",SER_hh_tes!I33/SER_hh_fec!I33)</f>
        <v>0.77962238743410828</v>
      </c>
      <c r="J33" s="149">
        <f>IF(SER_hh_tes!J33=0,"",SER_hh_tes!J33/SER_hh_fec!J33)</f>
        <v>0.78239476911775252</v>
      </c>
      <c r="K33" s="149">
        <f>IF(SER_hh_tes!K33=0,"",SER_hh_tes!K33/SER_hh_fec!K33)</f>
        <v>0.7849243146121786</v>
      </c>
      <c r="L33" s="149">
        <f>IF(SER_hh_tes!L33=0,"",SER_hh_tes!L33/SER_hh_fec!L33)</f>
        <v>0.7867303139277384</v>
      </c>
      <c r="M33" s="149">
        <f>IF(SER_hh_tes!M33=0,"",SER_hh_tes!M33/SER_hh_fec!M33)</f>
        <v>0.78764891533236792</v>
      </c>
      <c r="N33" s="149">
        <f>IF(SER_hh_tes!N33=0,"",SER_hh_tes!N33/SER_hh_fec!N33)</f>
        <v>0.78918232551835554</v>
      </c>
      <c r="O33" s="149">
        <f>IF(SER_hh_tes!O33=0,"",SER_hh_tes!O33/SER_hh_fec!O33)</f>
        <v>0.79135075707459046</v>
      </c>
      <c r="P33" s="149">
        <f>IF(SER_hh_tes!P33=0,"",SER_hh_tes!P33/SER_hh_fec!P33)</f>
        <v>0.7950379171462798</v>
      </c>
      <c r="Q33" s="149">
        <f>IF(SER_hh_tes!Q33=0,"",SER_hh_tes!Q33/SER_hh_fec!Q33)</f>
        <v>0.79818095344810847</v>
      </c>
      <c r="R33" s="149">
        <f>IF(SER_hh_tes!R33=0,"",SER_hh_tes!R33/SER_hh_fec!R33)</f>
        <v>0.80360939660690844</v>
      </c>
      <c r="S33" s="149">
        <f>IF(SER_hh_tes!S33=0,"",SER_hh_tes!S33/SER_hh_fec!S33)</f>
        <v>0.80856795214160548</v>
      </c>
      <c r="T33" s="149">
        <f>IF(SER_hh_tes!T33=0,"",SER_hh_tes!T33/SER_hh_fec!T33)</f>
        <v>0.81512415519982251</v>
      </c>
      <c r="U33" s="149">
        <f>IF(SER_hh_tes!U33=0,"",SER_hh_tes!U33/SER_hh_fec!U33)</f>
        <v>0.82283387453641432</v>
      </c>
      <c r="V33" s="149">
        <f>IF(SER_hh_tes!V33=0,"",SER_hh_tes!V33/SER_hh_fec!V33)</f>
        <v>0.83148073865500827</v>
      </c>
      <c r="W33" s="149">
        <f>IF(SER_hh_tes!W33=0,"",SER_hh_tes!W33/SER_hh_fec!W33)</f>
        <v>0.83799350623517144</v>
      </c>
      <c r="X33" s="149">
        <f>IF(SER_hh_tes!X33=0,"",SER_hh_tes!X33/SER_hh_fec!X33)</f>
        <v>0.84428699619094583</v>
      </c>
      <c r="Y33" s="149">
        <f>IF(SER_hh_tes!Y33=0,"",SER_hh_tes!Y33/SER_hh_fec!Y33)</f>
        <v>0.85108333433667815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1864.3820967243792</v>
      </c>
      <c r="C3" s="125">
        <f t="shared" si="0"/>
        <v>1822.8735736654687</v>
      </c>
      <c r="D3" s="125">
        <f t="shared" si="0"/>
        <v>1735.273806762852</v>
      </c>
      <c r="E3" s="125">
        <f t="shared" si="0"/>
        <v>1789.2883010018907</v>
      </c>
      <c r="F3" s="125">
        <f t="shared" si="0"/>
        <v>1703.1218823226966</v>
      </c>
      <c r="G3" s="125">
        <f t="shared" si="0"/>
        <v>1739.2919951295426</v>
      </c>
      <c r="H3" s="125">
        <f t="shared" si="0"/>
        <v>1722.9790002099264</v>
      </c>
      <c r="I3" s="125">
        <f t="shared" si="0"/>
        <v>1666.5940538892005</v>
      </c>
      <c r="J3" s="125">
        <f t="shared" si="0"/>
        <v>1719.4618939019995</v>
      </c>
      <c r="K3" s="125">
        <f t="shared" si="0"/>
        <v>1380.4065536400001</v>
      </c>
      <c r="L3" s="125">
        <f t="shared" si="0"/>
        <v>1495.0498172400007</v>
      </c>
      <c r="M3" s="125">
        <f t="shared" si="0"/>
        <v>1364.3561664000001</v>
      </c>
      <c r="N3" s="125">
        <f t="shared" si="0"/>
        <v>1424.8408067999999</v>
      </c>
      <c r="O3" s="125">
        <f t="shared" si="0"/>
        <v>1525.2398514000001</v>
      </c>
      <c r="P3" s="125">
        <f t="shared" si="0"/>
        <v>1414.7352187200001</v>
      </c>
      <c r="Q3" s="125">
        <f t="shared" si="0"/>
        <v>1553.5215612000004</v>
      </c>
      <c r="R3" s="125">
        <f t="shared" ref="R3:W3" si="1">SUM(R4,R16,R19,R29)</f>
        <v>1466.0859790799998</v>
      </c>
      <c r="S3" s="125">
        <f t="shared" si="1"/>
        <v>1404.657381239999</v>
      </c>
      <c r="T3" s="125">
        <f t="shared" si="1"/>
        <v>1527.614657280001</v>
      </c>
      <c r="U3" s="125">
        <f t="shared" si="1"/>
        <v>1517.7580578000002</v>
      </c>
      <c r="V3" s="125">
        <f t="shared" si="1"/>
        <v>1318.3302303738342</v>
      </c>
      <c r="W3" s="125">
        <f t="shared" si="1"/>
        <v>1388.08828245617</v>
      </c>
      <c r="X3" s="125">
        <f t="shared" ref="X3:Y3" si="2">SUM(X4,X16,X19,X29)</f>
        <v>1378.6197855087382</v>
      </c>
      <c r="Y3" s="125">
        <f t="shared" si="2"/>
        <v>1332.7062317912741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1526.8106965970192</v>
      </c>
      <c r="C4" s="130">
        <f t="shared" si="3"/>
        <v>1471.9915825902954</v>
      </c>
      <c r="D4" s="130">
        <f t="shared" si="3"/>
        <v>1385.6505730863573</v>
      </c>
      <c r="E4" s="130">
        <f t="shared" si="3"/>
        <v>1441.7730466227242</v>
      </c>
      <c r="F4" s="130">
        <f t="shared" si="3"/>
        <v>1343.8321134125122</v>
      </c>
      <c r="G4" s="130">
        <f t="shared" si="3"/>
        <v>1358.5200434516178</v>
      </c>
      <c r="H4" s="130">
        <f t="shared" si="3"/>
        <v>1340.5784586774851</v>
      </c>
      <c r="I4" s="130">
        <f t="shared" si="3"/>
        <v>1275.8757289582491</v>
      </c>
      <c r="J4" s="130">
        <f t="shared" si="3"/>
        <v>1303.5750933547497</v>
      </c>
      <c r="K4" s="130">
        <f t="shared" si="3"/>
        <v>1021.8481843433761</v>
      </c>
      <c r="L4" s="130">
        <f t="shared" si="3"/>
        <v>1084.9788217631221</v>
      </c>
      <c r="M4" s="130">
        <f t="shared" si="3"/>
        <v>965.93526262819705</v>
      </c>
      <c r="N4" s="130">
        <f t="shared" si="3"/>
        <v>1032.0325044911865</v>
      </c>
      <c r="O4" s="130">
        <f t="shared" si="3"/>
        <v>1100.8276435009216</v>
      </c>
      <c r="P4" s="130">
        <f t="shared" si="3"/>
        <v>1032.7997951130005</v>
      </c>
      <c r="Q4" s="130">
        <f t="shared" si="3"/>
        <v>1153.2356293629939</v>
      </c>
      <c r="R4" s="130">
        <f t="shared" ref="R4:W4" si="4">SUM(R5:R15)</f>
        <v>1101.1801004888316</v>
      </c>
      <c r="S4" s="130">
        <f t="shared" si="4"/>
        <v>1037.2024908789717</v>
      </c>
      <c r="T4" s="130">
        <f t="shared" si="4"/>
        <v>1155.9092524116502</v>
      </c>
      <c r="U4" s="130">
        <f t="shared" si="4"/>
        <v>1147.0670583596818</v>
      </c>
      <c r="V4" s="130">
        <f t="shared" si="4"/>
        <v>1021.7487618721286</v>
      </c>
      <c r="W4" s="130">
        <f t="shared" si="4"/>
        <v>1028.7003382761686</v>
      </c>
      <c r="X4" s="130">
        <f t="shared" ref="X4:Y4" si="5">SUM(X5:X15)</f>
        <v>1011.3331783683009</v>
      </c>
      <c r="Y4" s="130">
        <f t="shared" si="5"/>
        <v>954.29834262183329</v>
      </c>
      <c r="DA4" s="155" t="s">
        <v>234</v>
      </c>
    </row>
    <row r="5" spans="1:105" ht="12" customHeight="1" x14ac:dyDescent="0.25">
      <c r="A5" s="131" t="s">
        <v>29</v>
      </c>
      <c r="B5" s="132">
        <v>17.93267660437904</v>
      </c>
      <c r="C5" s="132">
        <v>19.953540225468405</v>
      </c>
      <c r="D5" s="132">
        <v>13.969332642852613</v>
      </c>
      <c r="E5" s="132">
        <v>110.98098128189049</v>
      </c>
      <c r="F5" s="132">
        <v>106.93170020269659</v>
      </c>
      <c r="G5" s="132">
        <v>107.90321728954234</v>
      </c>
      <c r="H5" s="132">
        <v>107.51075004992583</v>
      </c>
      <c r="I5" s="132">
        <v>105.73964764920004</v>
      </c>
      <c r="J5" s="132">
        <v>105.72407698199999</v>
      </c>
      <c r="K5" s="132">
        <v>2.546707679999999</v>
      </c>
      <c r="L5" s="132">
        <v>3.9133749600000001</v>
      </c>
      <c r="M5" s="132">
        <v>4.9667270399999994</v>
      </c>
      <c r="N5" s="132">
        <v>2.1594909600000007</v>
      </c>
      <c r="O5" s="132">
        <v>1.8723988800000013</v>
      </c>
      <c r="P5" s="132">
        <v>1.1088633600000004</v>
      </c>
      <c r="Q5" s="132">
        <v>1.1061388800000007</v>
      </c>
      <c r="R5" s="132">
        <v>2.4070780800000002</v>
      </c>
      <c r="S5" s="132">
        <v>2.1199860000000008</v>
      </c>
      <c r="T5" s="132">
        <v>2.2146616799999994</v>
      </c>
      <c r="U5" s="132">
        <v>1.79849736</v>
      </c>
      <c r="V5" s="132">
        <v>0.71619767999999995</v>
      </c>
      <c r="W5" s="132">
        <v>0.7795418400000006</v>
      </c>
      <c r="X5" s="132">
        <v>0.84016152000000044</v>
      </c>
      <c r="Y5" s="132">
        <v>0.84016152000000022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943.41563754092374</v>
      </c>
      <c r="C7" s="132">
        <v>899.35050822164999</v>
      </c>
      <c r="D7" s="132">
        <v>848.54337165586196</v>
      </c>
      <c r="E7" s="132">
        <v>793.66916212453293</v>
      </c>
      <c r="F7" s="132">
        <v>695.93101452968733</v>
      </c>
      <c r="G7" s="132">
        <v>706.59309982591753</v>
      </c>
      <c r="H7" s="132">
        <v>626.97343460647187</v>
      </c>
      <c r="I7" s="132">
        <v>550.1648849210768</v>
      </c>
      <c r="J7" s="132">
        <v>556.11975563837382</v>
      </c>
      <c r="K7" s="132">
        <v>431.06055589773513</v>
      </c>
      <c r="L7" s="132">
        <v>420.29137366396827</v>
      </c>
      <c r="M7" s="132">
        <v>361.91933209713426</v>
      </c>
      <c r="N7" s="132">
        <v>347.38202922388018</v>
      </c>
      <c r="O7" s="132">
        <v>452.03558529313528</v>
      </c>
      <c r="P7" s="132">
        <v>431.37242659201951</v>
      </c>
      <c r="Q7" s="132">
        <v>468.15067184935981</v>
      </c>
      <c r="R7" s="132">
        <v>445.18936542594918</v>
      </c>
      <c r="S7" s="132">
        <v>405.07964751600213</v>
      </c>
      <c r="T7" s="132">
        <v>449.10734320063045</v>
      </c>
      <c r="U7" s="132">
        <v>407.68984196528061</v>
      </c>
      <c r="V7" s="132">
        <v>366.65064675400964</v>
      </c>
      <c r="W7" s="132">
        <v>350.96904118938977</v>
      </c>
      <c r="X7" s="132">
        <v>341.45374358094801</v>
      </c>
      <c r="Y7" s="132">
        <v>327.48146791433663</v>
      </c>
      <c r="DA7" s="156" t="s">
        <v>360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361</v>
      </c>
    </row>
    <row r="9" spans="1:105" ht="12" customHeight="1" x14ac:dyDescent="0.25">
      <c r="A9" s="131" t="s">
        <v>78</v>
      </c>
      <c r="B9" s="132">
        <v>565.46238245171639</v>
      </c>
      <c r="C9" s="132">
        <v>552.68753414317689</v>
      </c>
      <c r="D9" s="132">
        <v>523.1378687876429</v>
      </c>
      <c r="E9" s="132">
        <v>537.12290321630076</v>
      </c>
      <c r="F9" s="132">
        <v>540.96939868012828</v>
      </c>
      <c r="G9" s="132">
        <v>544.02372633615778</v>
      </c>
      <c r="H9" s="132">
        <v>606.09427402108736</v>
      </c>
      <c r="I9" s="132">
        <v>619.97119638797233</v>
      </c>
      <c r="J9" s="132">
        <v>641.73126073437595</v>
      </c>
      <c r="K9" s="132">
        <v>588.24092076564102</v>
      </c>
      <c r="L9" s="132">
        <v>660.77407313915376</v>
      </c>
      <c r="M9" s="132">
        <v>599.04920349106283</v>
      </c>
      <c r="N9" s="132">
        <v>682.49098430730635</v>
      </c>
      <c r="O9" s="132">
        <v>646.91965932778623</v>
      </c>
      <c r="P9" s="132">
        <v>600.31850516098109</v>
      </c>
      <c r="Q9" s="132">
        <v>683.97881863363409</v>
      </c>
      <c r="R9" s="132">
        <v>653.5836569828823</v>
      </c>
      <c r="S9" s="132">
        <v>630.00285736296973</v>
      </c>
      <c r="T9" s="132">
        <v>704.58724753101967</v>
      </c>
      <c r="U9" s="132">
        <v>737.57871903440127</v>
      </c>
      <c r="V9" s="132">
        <v>654.38191743811899</v>
      </c>
      <c r="W9" s="132">
        <v>676.95175524677893</v>
      </c>
      <c r="X9" s="132">
        <v>669.03927326735288</v>
      </c>
      <c r="Y9" s="132">
        <v>625.97671318749667</v>
      </c>
      <c r="DA9" s="156" t="s">
        <v>362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5.4121199057509582E-2</v>
      </c>
      <c r="C16" s="130">
        <f t="shared" si="6"/>
        <v>6.1478722448033478E-2</v>
      </c>
      <c r="D16" s="130">
        <f t="shared" si="6"/>
        <v>7.230782424379556E-2</v>
      </c>
      <c r="E16" s="130">
        <f t="shared" si="6"/>
        <v>7.1560478235954211E-2</v>
      </c>
      <c r="F16" s="130">
        <f t="shared" si="6"/>
        <v>8.8281848027470508E-2</v>
      </c>
      <c r="G16" s="130">
        <f t="shared" si="6"/>
        <v>0.10180600848020423</v>
      </c>
      <c r="H16" s="130">
        <f t="shared" si="6"/>
        <v>0.13036026298074932</v>
      </c>
      <c r="I16" s="130">
        <f t="shared" si="6"/>
        <v>0.14267900651816162</v>
      </c>
      <c r="J16" s="130">
        <f t="shared" si="6"/>
        <v>0.14712430160607276</v>
      </c>
      <c r="K16" s="130">
        <f t="shared" si="6"/>
        <v>0.1634959289194948</v>
      </c>
      <c r="L16" s="130">
        <f t="shared" si="6"/>
        <v>0.17683449858067427</v>
      </c>
      <c r="M16" s="130">
        <f t="shared" si="6"/>
        <v>0.19100147959873859</v>
      </c>
      <c r="N16" s="130">
        <f t="shared" si="6"/>
        <v>0.21972411984487478</v>
      </c>
      <c r="O16" s="130">
        <f t="shared" si="6"/>
        <v>0.26954294494188658</v>
      </c>
      <c r="P16" s="130">
        <f t="shared" si="6"/>
        <v>0.35809183228681496</v>
      </c>
      <c r="Q16" s="130">
        <f t="shared" si="6"/>
        <v>0.49059243113740519</v>
      </c>
      <c r="R16" s="130">
        <f t="shared" ref="R16:W16" si="7">SUM(R17:R18)</f>
        <v>0.61023903426732229</v>
      </c>
      <c r="S16" s="130">
        <f t="shared" si="7"/>
        <v>0.70603631048699145</v>
      </c>
      <c r="T16" s="130">
        <f t="shared" si="7"/>
        <v>0.77694616166036434</v>
      </c>
      <c r="U16" s="130">
        <f t="shared" si="7"/>
        <v>0.84932822788783091</v>
      </c>
      <c r="V16" s="130">
        <f t="shared" si="7"/>
        <v>0.82937040096220382</v>
      </c>
      <c r="W16" s="130">
        <f t="shared" si="7"/>
        <v>0.82320494761675767</v>
      </c>
      <c r="X16" s="130">
        <f t="shared" ref="X16:Y16" si="8">SUM(X17:X18)</f>
        <v>0.92838110206638835</v>
      </c>
      <c r="Y16" s="130">
        <f t="shared" si="8"/>
        <v>0.96188648324257164</v>
      </c>
      <c r="DA16" s="155" t="s">
        <v>235</v>
      </c>
    </row>
    <row r="17" spans="1:105" ht="12.95" customHeight="1" x14ac:dyDescent="0.25">
      <c r="A17" s="131" t="s">
        <v>73</v>
      </c>
      <c r="B17" s="132">
        <v>5.4121199057509582E-2</v>
      </c>
      <c r="C17" s="132">
        <v>6.1478722448033478E-2</v>
      </c>
      <c r="D17" s="132">
        <v>7.230782424379556E-2</v>
      </c>
      <c r="E17" s="132">
        <v>7.1560478235954211E-2</v>
      </c>
      <c r="F17" s="132">
        <v>8.8281848027470508E-2</v>
      </c>
      <c r="G17" s="132">
        <v>0.10180600848020423</v>
      </c>
      <c r="H17" s="132">
        <v>0.13036026298074932</v>
      </c>
      <c r="I17" s="132">
        <v>0.14267900651816162</v>
      </c>
      <c r="J17" s="132">
        <v>0.14712430160607276</v>
      </c>
      <c r="K17" s="132">
        <v>0.1634959289194948</v>
      </c>
      <c r="L17" s="132">
        <v>0.17683449858067427</v>
      </c>
      <c r="M17" s="132">
        <v>0.19100147959873859</v>
      </c>
      <c r="N17" s="132">
        <v>0.21972411984487478</v>
      </c>
      <c r="O17" s="132">
        <v>0.26954294494188658</v>
      </c>
      <c r="P17" s="132">
        <v>0.35809183228681496</v>
      </c>
      <c r="Q17" s="132">
        <v>0.49059243113740519</v>
      </c>
      <c r="R17" s="132">
        <v>0.61023903426732229</v>
      </c>
      <c r="S17" s="132">
        <v>0.70603631048699145</v>
      </c>
      <c r="T17" s="132">
        <v>0.77694616166036434</v>
      </c>
      <c r="U17" s="132">
        <v>0.84932822788783091</v>
      </c>
      <c r="V17" s="132">
        <v>0.82937040096220382</v>
      </c>
      <c r="W17" s="132">
        <v>0.82320494761675767</v>
      </c>
      <c r="X17" s="132">
        <v>0.92838110206638835</v>
      </c>
      <c r="Y17" s="132">
        <v>0.96188648324257164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175.93173280277222</v>
      </c>
      <c r="C19" s="130">
        <f t="shared" si="9"/>
        <v>178.08793379089116</v>
      </c>
      <c r="D19" s="130">
        <f t="shared" si="9"/>
        <v>175.74533930304213</v>
      </c>
      <c r="E19" s="130">
        <f t="shared" si="9"/>
        <v>168.06333351712999</v>
      </c>
      <c r="F19" s="130">
        <f t="shared" si="9"/>
        <v>167.63204752167709</v>
      </c>
      <c r="G19" s="130">
        <f t="shared" si="9"/>
        <v>161.88871542247711</v>
      </c>
      <c r="H19" s="130">
        <f t="shared" si="9"/>
        <v>155.77239677418791</v>
      </c>
      <c r="I19" s="130">
        <f t="shared" si="9"/>
        <v>154.42894063092217</v>
      </c>
      <c r="J19" s="130">
        <f t="shared" si="9"/>
        <v>153.40689221982484</v>
      </c>
      <c r="K19" s="130">
        <f t="shared" si="9"/>
        <v>153.27874078096914</v>
      </c>
      <c r="L19" s="130">
        <f t="shared" si="9"/>
        <v>158.12238414691166</v>
      </c>
      <c r="M19" s="130">
        <f t="shared" si="9"/>
        <v>152.02502398149602</v>
      </c>
      <c r="N19" s="130">
        <f t="shared" si="9"/>
        <v>154.85196291904859</v>
      </c>
      <c r="O19" s="130">
        <f t="shared" si="9"/>
        <v>155.13000415042387</v>
      </c>
      <c r="P19" s="130">
        <f t="shared" si="9"/>
        <v>158.86848890261109</v>
      </c>
      <c r="Q19" s="130">
        <f t="shared" si="9"/>
        <v>159.6341068333042</v>
      </c>
      <c r="R19" s="130">
        <f t="shared" ref="R19:W19" si="10">SUM(R20:R27)</f>
        <v>154.18546608093607</v>
      </c>
      <c r="S19" s="130">
        <f t="shared" si="10"/>
        <v>153.71208479126301</v>
      </c>
      <c r="T19" s="130">
        <f t="shared" si="10"/>
        <v>142.03043709293445</v>
      </c>
      <c r="U19" s="130">
        <f t="shared" si="10"/>
        <v>139.88954115812697</v>
      </c>
      <c r="V19" s="130">
        <f t="shared" si="10"/>
        <v>111.63888538087198</v>
      </c>
      <c r="W19" s="130">
        <f t="shared" si="10"/>
        <v>136.04979180550734</v>
      </c>
      <c r="X19" s="130">
        <f t="shared" ref="X19:Y19" si="11">SUM(X20:X27)</f>
        <v>136.71061541520709</v>
      </c>
      <c r="Y19" s="130">
        <f t="shared" si="11"/>
        <v>134.14704488041778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372</v>
      </c>
    </row>
    <row r="22" spans="1:105" ht="12" customHeight="1" x14ac:dyDescent="0.25">
      <c r="A22" s="131" t="s">
        <v>161</v>
      </c>
      <c r="B22" s="132">
        <v>109.74854297907611</v>
      </c>
      <c r="C22" s="132">
        <v>109.77378545835005</v>
      </c>
      <c r="D22" s="132">
        <v>107.07052994413777</v>
      </c>
      <c r="E22" s="132">
        <v>99.940999875467028</v>
      </c>
      <c r="F22" s="132">
        <v>97.661271230312607</v>
      </c>
      <c r="G22" s="132">
        <v>91.531252934082573</v>
      </c>
      <c r="H22" s="132">
        <v>85.829550153528302</v>
      </c>
      <c r="I22" s="132">
        <v>82.680969438923299</v>
      </c>
      <c r="J22" s="132">
        <v>82.355209921626425</v>
      </c>
      <c r="K22" s="132">
        <v>80.07852562226482</v>
      </c>
      <c r="L22" s="132">
        <v>81.10732141603178</v>
      </c>
      <c r="M22" s="132">
        <v>80.340523182865965</v>
      </c>
      <c r="N22" s="132">
        <v>79.731457496119916</v>
      </c>
      <c r="O22" s="132">
        <v>77.134156346864629</v>
      </c>
      <c r="P22" s="132">
        <v>77.273141927980916</v>
      </c>
      <c r="Q22" s="132">
        <v>74.384899590640558</v>
      </c>
      <c r="R22" s="132">
        <v>71.696418774050628</v>
      </c>
      <c r="S22" s="132">
        <v>72.148214843997536</v>
      </c>
      <c r="T22" s="132">
        <v>66.93084511936965</v>
      </c>
      <c r="U22" s="132">
        <v>64.170495994719516</v>
      </c>
      <c r="V22" s="132">
        <v>54.666901885990065</v>
      </c>
      <c r="W22" s="132">
        <v>56.444014330609434</v>
      </c>
      <c r="X22" s="132">
        <v>58.014231459052048</v>
      </c>
      <c r="Y22" s="132">
        <v>56.370243885663207</v>
      </c>
      <c r="DA22" s="156" t="s">
        <v>373</v>
      </c>
    </row>
    <row r="23" spans="1:105" ht="12" customHeight="1" x14ac:dyDescent="0.25">
      <c r="A23" s="131" t="s">
        <v>149</v>
      </c>
      <c r="B23" s="132">
        <v>66.183189823696111</v>
      </c>
      <c r="C23" s="132">
        <v>68.314148332541095</v>
      </c>
      <c r="D23" s="132">
        <v>68.674809358904355</v>
      </c>
      <c r="E23" s="132">
        <v>68.122333641662948</v>
      </c>
      <c r="F23" s="132">
        <v>69.970776291364487</v>
      </c>
      <c r="G23" s="132">
        <v>70.357462488394546</v>
      </c>
      <c r="H23" s="132">
        <v>69.942846620659608</v>
      </c>
      <c r="I23" s="132">
        <v>71.747971191998857</v>
      </c>
      <c r="J23" s="132">
        <v>71.051682298198429</v>
      </c>
      <c r="K23" s="132">
        <v>73.20021515870431</v>
      </c>
      <c r="L23" s="132">
        <v>77.015062730879876</v>
      </c>
      <c r="M23" s="132">
        <v>71.684500798630054</v>
      </c>
      <c r="N23" s="132">
        <v>75.120505422928673</v>
      </c>
      <c r="O23" s="132">
        <v>77.995847803559229</v>
      </c>
      <c r="P23" s="132">
        <v>81.595346974630175</v>
      </c>
      <c r="Q23" s="132">
        <v>85.24920724266363</v>
      </c>
      <c r="R23" s="132">
        <v>82.489047306885453</v>
      </c>
      <c r="S23" s="132">
        <v>81.563869947265474</v>
      </c>
      <c r="T23" s="132">
        <v>75.099591973564785</v>
      </c>
      <c r="U23" s="132">
        <v>75.719045163407472</v>
      </c>
      <c r="V23" s="132">
        <v>56.971983494881911</v>
      </c>
      <c r="W23" s="132">
        <v>79.605777474897906</v>
      </c>
      <c r="X23" s="132">
        <v>78.696383956155046</v>
      </c>
      <c r="Y23" s="132">
        <v>77.776800994754581</v>
      </c>
      <c r="DA23" s="156" t="s">
        <v>374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161.58554612553002</v>
      </c>
      <c r="C29" s="130">
        <f t="shared" si="12"/>
        <v>172.73257856183412</v>
      </c>
      <c r="D29" s="130">
        <f t="shared" si="12"/>
        <v>173.80558654920884</v>
      </c>
      <c r="E29" s="130">
        <f t="shared" si="12"/>
        <v>179.38036038380025</v>
      </c>
      <c r="F29" s="130">
        <f t="shared" si="12"/>
        <v>191.56943954047992</v>
      </c>
      <c r="G29" s="130">
        <f t="shared" si="12"/>
        <v>218.78143024696737</v>
      </c>
      <c r="H29" s="130">
        <f t="shared" si="12"/>
        <v>226.49778449527267</v>
      </c>
      <c r="I29" s="130">
        <f t="shared" si="12"/>
        <v>236.14670529351099</v>
      </c>
      <c r="J29" s="130">
        <f t="shared" si="12"/>
        <v>262.33278402581897</v>
      </c>
      <c r="K29" s="130">
        <f t="shared" si="12"/>
        <v>205.1161325867354</v>
      </c>
      <c r="L29" s="130">
        <f t="shared" si="12"/>
        <v>251.77177683138615</v>
      </c>
      <c r="M29" s="130">
        <f t="shared" si="12"/>
        <v>246.2048783107081</v>
      </c>
      <c r="N29" s="130">
        <f t="shared" si="12"/>
        <v>237.73661526991998</v>
      </c>
      <c r="O29" s="130">
        <f t="shared" si="12"/>
        <v>269.01266080371272</v>
      </c>
      <c r="P29" s="130">
        <f t="shared" si="12"/>
        <v>222.7088428721018</v>
      </c>
      <c r="Q29" s="130">
        <f t="shared" si="12"/>
        <v>240.16123257256476</v>
      </c>
      <c r="R29" s="130">
        <f t="shared" ref="R29:W29" si="13">SUM(R30:R33)</f>
        <v>210.11017347596473</v>
      </c>
      <c r="S29" s="130">
        <f t="shared" si="13"/>
        <v>213.03676925927749</v>
      </c>
      <c r="T29" s="130">
        <f t="shared" si="13"/>
        <v>228.89802161375593</v>
      </c>
      <c r="U29" s="130">
        <f t="shared" si="13"/>
        <v>229.95213005430344</v>
      </c>
      <c r="V29" s="130">
        <f t="shared" si="13"/>
        <v>184.11321271987146</v>
      </c>
      <c r="W29" s="130">
        <f t="shared" si="13"/>
        <v>222.51494742687748</v>
      </c>
      <c r="X29" s="130">
        <f t="shared" ref="X29:Y29" si="14">SUM(X30:X33)</f>
        <v>229.64761062316398</v>
      </c>
      <c r="Y29" s="130">
        <f t="shared" si="14"/>
        <v>243.29895780578042</v>
      </c>
      <c r="DA29" s="155" t="s">
        <v>237</v>
      </c>
    </row>
    <row r="30" spans="1:105" ht="12" customHeight="1" x14ac:dyDescent="0.25">
      <c r="A30" s="131" t="s">
        <v>52</v>
      </c>
      <c r="B30" s="132">
        <v>105.81339959999998</v>
      </c>
      <c r="C30" s="132">
        <v>118.57842864000003</v>
      </c>
      <c r="D30" s="132">
        <v>121.94085096000002</v>
      </c>
      <c r="E30" s="132">
        <v>129.57001955999999</v>
      </c>
      <c r="F30" s="132">
        <v>141.47820108000002</v>
      </c>
      <c r="G30" s="132">
        <v>168.93639324000003</v>
      </c>
      <c r="H30" s="132">
        <v>176.5180854000001</v>
      </c>
      <c r="I30" s="132">
        <v>186.80161859999995</v>
      </c>
      <c r="J30" s="132">
        <v>212.91797664000001</v>
      </c>
      <c r="K30" s="132">
        <v>153.64807091999998</v>
      </c>
      <c r="L30" s="132">
        <v>198.16825068000023</v>
      </c>
      <c r="M30" s="132">
        <v>196.68353292000003</v>
      </c>
      <c r="N30" s="132">
        <v>185.03408664000006</v>
      </c>
      <c r="O30" s="132">
        <v>215.98281936000006</v>
      </c>
      <c r="P30" s="132">
        <v>169.63877196000004</v>
      </c>
      <c r="Q30" s="132">
        <v>182.61210672000004</v>
      </c>
      <c r="R30" s="132">
        <v>155.00489759999988</v>
      </c>
      <c r="S30" s="132">
        <v>160.55123615999997</v>
      </c>
      <c r="T30" s="132">
        <v>175.68486251999985</v>
      </c>
      <c r="U30" s="132">
        <v>175.08675024000007</v>
      </c>
      <c r="V30" s="132">
        <v>141.28761383999995</v>
      </c>
      <c r="W30" s="132">
        <v>160.05716316000024</v>
      </c>
      <c r="X30" s="132">
        <v>168.64153956000018</v>
      </c>
      <c r="Y30" s="132">
        <v>183.63546252000015</v>
      </c>
      <c r="DA30" s="156" t="s">
        <v>379</v>
      </c>
    </row>
    <row r="31" spans="1:105" ht="12" customHeight="1" x14ac:dyDescent="0.25">
      <c r="A31" s="131" t="s">
        <v>149</v>
      </c>
      <c r="B31" s="132">
        <v>55.772146525530019</v>
      </c>
      <c r="C31" s="132">
        <v>54.154149921834097</v>
      </c>
      <c r="D31" s="132">
        <v>51.864735589208827</v>
      </c>
      <c r="E31" s="132">
        <v>49.810340823800267</v>
      </c>
      <c r="F31" s="132">
        <v>50.091238460479893</v>
      </c>
      <c r="G31" s="132">
        <v>49.84503700696736</v>
      </c>
      <c r="H31" s="132">
        <v>49.979699095272565</v>
      </c>
      <c r="I31" s="132">
        <v>49.34508669351105</v>
      </c>
      <c r="J31" s="132">
        <v>49.41480738581896</v>
      </c>
      <c r="K31" s="132">
        <v>51.468061666735423</v>
      </c>
      <c r="L31" s="132">
        <v>53.603526151385921</v>
      </c>
      <c r="M31" s="132">
        <v>49.521345390708056</v>
      </c>
      <c r="N31" s="132">
        <v>52.702528629919911</v>
      </c>
      <c r="O31" s="132">
        <v>53.029841443712648</v>
      </c>
      <c r="P31" s="132">
        <v>53.070070912101755</v>
      </c>
      <c r="Q31" s="132">
        <v>57.549125852564714</v>
      </c>
      <c r="R31" s="132">
        <v>55.105275875964843</v>
      </c>
      <c r="S31" s="132">
        <v>52.485533099277525</v>
      </c>
      <c r="T31" s="132">
        <v>53.21315909375609</v>
      </c>
      <c r="U31" s="132">
        <v>54.865379814303381</v>
      </c>
      <c r="V31" s="132">
        <v>42.825598879871514</v>
      </c>
      <c r="W31" s="132">
        <v>62.457784266877248</v>
      </c>
      <c r="X31" s="132">
        <v>61.006071063163802</v>
      </c>
      <c r="Y31" s="132">
        <v>59.663495285780272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281883.75553558441</v>
      </c>
      <c r="C3" s="125">
        <f>IF(SER_hh_fec!C3=0,0,11630*1000*SER_hh_fec!C3/SER_hh_num!C3)</f>
        <v>278612.99137368688</v>
      </c>
      <c r="D3" s="125">
        <f>IF(SER_hh_fec!D3=0,0,11630*1000*SER_hh_fec!D3/SER_hh_num!D3)</f>
        <v>275584.79955929879</v>
      </c>
      <c r="E3" s="125">
        <f>IF(SER_hh_fec!E3=0,0,11630*1000*SER_hh_fec!E3/SER_hh_num!E3)</f>
        <v>288404.62118681928</v>
      </c>
      <c r="F3" s="125">
        <f>IF(SER_hh_fec!F3=0,0,11630*1000*SER_hh_fec!F3/SER_hh_num!F3)</f>
        <v>274015.48446008901</v>
      </c>
      <c r="G3" s="125">
        <f>IF(SER_hh_fec!G3=0,0,11630*1000*SER_hh_fec!G3/SER_hh_num!G3)</f>
        <v>285777.63360180106</v>
      </c>
      <c r="H3" s="125">
        <f>IF(SER_hh_fec!H3=0,0,11630*1000*SER_hh_fec!H3/SER_hh_num!H3)</f>
        <v>295594.37662970537</v>
      </c>
      <c r="I3" s="125">
        <f>IF(SER_hh_fec!I3=0,0,11630*1000*SER_hh_fec!I3/SER_hh_num!I3)</f>
        <v>282428.62156237272</v>
      </c>
      <c r="J3" s="125">
        <f>IF(SER_hh_fec!J3=0,0,11630*1000*SER_hh_fec!J3/SER_hh_num!J3)</f>
        <v>294175.03530897252</v>
      </c>
      <c r="K3" s="125">
        <f>IF(SER_hh_fec!K3=0,0,11630*1000*SER_hh_fec!K3/SER_hh_num!K3)</f>
        <v>269151.98281542206</v>
      </c>
      <c r="L3" s="125">
        <f>IF(SER_hh_fec!L3=0,0,11630*1000*SER_hh_fec!L3/SER_hh_num!L3)</f>
        <v>275712.80666757771</v>
      </c>
      <c r="M3" s="125">
        <f>IF(SER_hh_fec!M3=0,0,11630*1000*SER_hh_fec!M3/SER_hh_num!M3)</f>
        <v>265306.9095405757</v>
      </c>
      <c r="N3" s="125">
        <f>IF(SER_hh_fec!N3=0,0,11630*1000*SER_hh_fec!N3/SER_hh_num!N3)</f>
        <v>270952.25823990221</v>
      </c>
      <c r="O3" s="125">
        <f>IF(SER_hh_fec!O3=0,0,11630*1000*SER_hh_fec!O3/SER_hh_num!O3)</f>
        <v>278586.32937170862</v>
      </c>
      <c r="P3" s="125">
        <f>IF(SER_hh_fec!P3=0,0,11630*1000*SER_hh_fec!P3/SER_hh_num!P3)</f>
        <v>257925.81679755321</v>
      </c>
      <c r="Q3" s="125">
        <f>IF(SER_hh_fec!Q3=0,0,11630*1000*SER_hh_fec!Q3/SER_hh_num!Q3)</f>
        <v>285791.627087717</v>
      </c>
      <c r="R3" s="125">
        <f>IF(SER_hh_fec!R3=0,0,11630*1000*SER_hh_fec!R3/SER_hh_num!R3)</f>
        <v>273297.85723699594</v>
      </c>
      <c r="S3" s="125">
        <f>IF(SER_hh_fec!S3=0,0,11630*1000*SER_hh_fec!S3/SER_hh_num!S3)</f>
        <v>260176.14087324805</v>
      </c>
      <c r="T3" s="125">
        <f>IF(SER_hh_fec!T3=0,0,11630*1000*SER_hh_fec!T3/SER_hh_num!T3)</f>
        <v>282675.00078648899</v>
      </c>
      <c r="U3" s="125">
        <f>IF(SER_hh_fec!U3=0,0,11630*1000*SER_hh_fec!U3/SER_hh_num!U3)</f>
        <v>284509.51288700616</v>
      </c>
      <c r="V3" s="125">
        <f>IF(SER_hh_fec!V3=0,0,11630*1000*SER_hh_fec!V3/SER_hh_num!V3)</f>
        <v>239957.7032020138</v>
      </c>
      <c r="W3" s="125">
        <f>IF(SER_hh_fec!W3=0,0,11630*1000*SER_hh_fec!W3/SER_hh_num!W3)</f>
        <v>245070.18410869752</v>
      </c>
      <c r="X3" s="125">
        <f>IF(SER_hh_fec!X3=0,0,11630*1000*SER_hh_fec!X3/SER_hh_num!X3)</f>
        <v>239533.75790815768</v>
      </c>
      <c r="Y3" s="125">
        <f>IF(SER_hh_fec!Y3=0,0,11630*1000*SER_hh_fec!Y3/SER_hh_num!Y3)</f>
        <v>232671.30316578175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208209.57501904992</v>
      </c>
      <c r="C4" s="130">
        <f>IF(SER_hh_fec!C4=0,0,11630*1000*SER_hh_fec!C4/SER_hh_num!C4)</f>
        <v>205080.36910328866</v>
      </c>
      <c r="D4" s="130">
        <f>IF(SER_hh_fec!D4=0,0,11630*1000*SER_hh_fec!D4/SER_hh_num!D4)</f>
        <v>203061.72380047952</v>
      </c>
      <c r="E4" s="130">
        <f>IF(SER_hh_fec!E4=0,0,11630*1000*SER_hh_fec!E4/SER_hh_num!E4)</f>
        <v>216611.94257534362</v>
      </c>
      <c r="F4" s="130">
        <f>IF(SER_hh_fec!F4=0,0,11630*1000*SER_hh_fec!F4/SER_hh_num!F4)</f>
        <v>203010.70307927846</v>
      </c>
      <c r="G4" s="130">
        <f>IF(SER_hh_fec!G4=0,0,11630*1000*SER_hh_fec!G4/SER_hh_num!G4)</f>
        <v>214328.49091515696</v>
      </c>
      <c r="H4" s="130">
        <f>IF(SER_hh_fec!H4=0,0,11630*1000*SER_hh_fec!H4/SER_hh_num!H4)</f>
        <v>224856.55726725224</v>
      </c>
      <c r="I4" s="130">
        <f>IF(SER_hh_fec!I4=0,0,11630*1000*SER_hh_fec!I4/SER_hh_num!I4)</f>
        <v>213082.87519203502</v>
      </c>
      <c r="J4" s="130">
        <f>IF(SER_hh_fec!J4=0,0,11630*1000*SER_hh_fec!J4/SER_hh_num!J4)</f>
        <v>223896.47706924684</v>
      </c>
      <c r="K4" s="130">
        <f>IF(SER_hh_fec!K4=0,0,11630*1000*SER_hh_fec!K4/SER_hh_num!K4)</f>
        <v>199948.74187871887</v>
      </c>
      <c r="L4" s="130">
        <f>IF(SER_hh_fec!L4=0,0,11630*1000*SER_hh_fec!L4/SER_hh_num!L4)</f>
        <v>203127.69719885412</v>
      </c>
      <c r="M4" s="130">
        <f>IF(SER_hh_fec!M4=0,0,11630*1000*SER_hh_fec!M4/SER_hh_num!M4)</f>
        <v>191852.21805247178</v>
      </c>
      <c r="N4" s="130">
        <f>IF(SER_hh_fec!N4=0,0,11630*1000*SER_hh_fec!N4/SER_hh_num!N4)</f>
        <v>196095.28760825281</v>
      </c>
      <c r="O4" s="130">
        <f>IF(SER_hh_fec!O4=0,0,11630*1000*SER_hh_fec!O4/SER_hh_num!O4)</f>
        <v>202217.05758027933</v>
      </c>
      <c r="P4" s="130">
        <f>IF(SER_hh_fec!P4=0,0,11630*1000*SER_hh_fec!P4/SER_hh_num!P4)</f>
        <v>182564.34609347238</v>
      </c>
      <c r="Q4" s="130">
        <f>IF(SER_hh_fec!Q4=0,0,11630*1000*SER_hh_fec!Q4/SER_hh_num!Q4)</f>
        <v>207902.65894220347</v>
      </c>
      <c r="R4" s="130">
        <f>IF(SER_hh_fec!R4=0,0,11630*1000*SER_hh_fec!R4/SER_hh_num!R4)</f>
        <v>197808.67541363841</v>
      </c>
      <c r="S4" s="130">
        <f>IF(SER_hh_fec!S4=0,0,11630*1000*SER_hh_fec!S4/SER_hh_num!S4)</f>
        <v>185348.89208243293</v>
      </c>
      <c r="T4" s="130">
        <f>IF(SER_hh_fec!T4=0,0,11630*1000*SER_hh_fec!T4/SER_hh_num!T4)</f>
        <v>208566.22176515966</v>
      </c>
      <c r="U4" s="130">
        <f>IF(SER_hh_fec!U4=0,0,11630*1000*SER_hh_fec!U4/SER_hh_num!U4)</f>
        <v>210204.61747294234</v>
      </c>
      <c r="V4" s="130">
        <f>IF(SER_hh_fec!V4=0,0,11630*1000*SER_hh_fec!V4/SER_hh_num!V4)</f>
        <v>172777.63730480513</v>
      </c>
      <c r="W4" s="130">
        <f>IF(SER_hh_fec!W4=0,0,11630*1000*SER_hh_fec!W4/SER_hh_num!W4)</f>
        <v>170894.12694381876</v>
      </c>
      <c r="X4" s="130">
        <f>IF(SER_hh_fec!X4=0,0,11630*1000*SER_hh_fec!X4/SER_hh_num!X4)</f>
        <v>167495.91012029551</v>
      </c>
      <c r="Y4" s="130">
        <f>IF(SER_hh_fec!Y4=0,0,11630*1000*SER_hh_fec!Y4/SER_hh_num!Y4)</f>
        <v>162455.29887715884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105607.36579044363</v>
      </c>
      <c r="C5" s="132">
        <f>IF(SER_hh_fec!C5=0,0,11630*1000*SER_hh_fec!C5/SER_hh_num!C5)</f>
        <v>119359.92404337764</v>
      </c>
      <c r="D5" s="132">
        <f>IF(SER_hh_fec!D5=0,0,11630*1000*SER_hh_fec!D5/SER_hh_num!D5)</f>
        <v>58177.404623137903</v>
      </c>
      <c r="E5" s="132">
        <f>IF(SER_hh_fec!E5=0,0,11630*1000*SER_hh_fec!E5/SER_hh_num!E5)</f>
        <v>306238.43427481607</v>
      </c>
      <c r="F5" s="132">
        <f>IF(SER_hh_fec!F5=0,0,11630*1000*SER_hh_fec!F5/SER_hh_num!F5)</f>
        <v>258050.79811969737</v>
      </c>
      <c r="G5" s="132">
        <f>IF(SER_hh_fec!G5=0,0,11630*1000*SER_hh_fec!G5/SER_hh_num!G5)</f>
        <v>253189.29697350328</v>
      </c>
      <c r="H5" s="132">
        <f>IF(SER_hh_fec!H5=0,0,11630*1000*SER_hh_fec!H5/SER_hh_num!H5)</f>
        <v>254372.46816066507</v>
      </c>
      <c r="I5" s="132">
        <f>IF(SER_hh_fec!I5=0,0,11630*1000*SER_hh_fec!I5/SER_hh_num!I5)</f>
        <v>264924.05431418394</v>
      </c>
      <c r="J5" s="132">
        <f>IF(SER_hh_fec!J5=0,0,11630*1000*SER_hh_fec!J5/SER_hh_num!J5)</f>
        <v>318668.17507665028</v>
      </c>
      <c r="K5" s="132">
        <f>IF(SER_hh_fec!K5=0,0,11630*1000*SER_hh_fec!K5/SER_hh_num!K5)</f>
        <v>16921.057057670965</v>
      </c>
      <c r="L5" s="132">
        <f>IF(SER_hh_fec!L5=0,0,11630*1000*SER_hh_fec!L5/SER_hh_num!L5)</f>
        <v>64064.991204929815</v>
      </c>
      <c r="M5" s="132">
        <f>IF(SER_hh_fec!M5=0,0,11630*1000*SER_hh_fec!M5/SER_hh_num!M5)</f>
        <v>286552.29018553096</v>
      </c>
      <c r="N5" s="132">
        <f>IF(SER_hh_fec!N5=0,0,11630*1000*SER_hh_fec!N5/SER_hh_num!N5)</f>
        <v>166891.82487384501</v>
      </c>
      <c r="O5" s="132">
        <f>IF(SER_hh_fec!O5=0,0,11630*1000*SER_hh_fec!O5/SER_hh_num!O5)</f>
        <v>198119.19221023985</v>
      </c>
      <c r="P5" s="132">
        <f>IF(SER_hh_fec!P5=0,0,11630*1000*SER_hh_fec!P5/SER_hh_num!P5)</f>
        <v>157647.12562708475</v>
      </c>
      <c r="Q5" s="132">
        <f>IF(SER_hh_fec!Q5=0,0,11630*1000*SER_hh_fec!Q5/SER_hh_num!Q5)</f>
        <v>155104.5879023959</v>
      </c>
      <c r="R5" s="132">
        <f>IF(SER_hh_fec!R5=0,0,11630*1000*SER_hh_fec!R5/SER_hh_num!R5)</f>
        <v>270235.97230366257</v>
      </c>
      <c r="S5" s="132">
        <f>IF(SER_hh_fec!S5=0,0,11630*1000*SER_hh_fec!S5/SER_hh_num!S5)</f>
        <v>225788.91147568871</v>
      </c>
      <c r="T5" s="132">
        <f>IF(SER_hh_fec!T5=0,0,11630*1000*SER_hh_fec!T5/SER_hh_num!T5)</f>
        <v>252787.59987023199</v>
      </c>
      <c r="U5" s="132">
        <f>IF(SER_hh_fec!U5=0,0,11630*1000*SER_hh_fec!U5/SER_hh_num!U5)</f>
        <v>255629.53379941691</v>
      </c>
      <c r="V5" s="132">
        <f>IF(SER_hh_fec!V5=0,0,11630*1000*SER_hh_fec!V5/SER_hh_num!V5)</f>
        <v>139850.31585093174</v>
      </c>
      <c r="W5" s="132">
        <f>IF(SER_hh_fec!W5=0,0,11630*1000*SER_hh_fec!W5/SER_hh_num!W5)</f>
        <v>179127.38684193578</v>
      </c>
      <c r="X5" s="132">
        <f>IF(SER_hh_fec!X5=0,0,11630*1000*SER_hh_fec!X5/SER_hh_num!X5)</f>
        <v>199690.47533827703</v>
      </c>
      <c r="Y5" s="132">
        <f>IF(SER_hh_fec!Y5=0,0,11630*1000*SER_hh_fec!Y5/SER_hh_num!Y5)</f>
        <v>195185.66272152995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240964.93469749999</v>
      </c>
      <c r="C7" s="132">
        <f>IF(SER_hh_fec!C7=0,0,11630*1000*SER_hh_fec!C7/SER_hh_num!C7)</f>
        <v>233708.51948676628</v>
      </c>
      <c r="D7" s="132">
        <f>IF(SER_hh_fec!D7=0,0,11630*1000*SER_hh_fec!D7/SER_hh_num!D7)</f>
        <v>241794.42465551695</v>
      </c>
      <c r="E7" s="132">
        <f>IF(SER_hh_fec!E7=0,0,11630*1000*SER_hh_fec!E7/SER_hh_num!E7)</f>
        <v>251434.0901496436</v>
      </c>
      <c r="F7" s="132">
        <f>IF(SER_hh_fec!F7=0,0,11630*1000*SER_hh_fec!F7/SER_hh_num!F7)</f>
        <v>244589.82623423435</v>
      </c>
      <c r="G7" s="132">
        <f>IF(SER_hh_fec!G7=0,0,11630*1000*SER_hh_fec!G7/SER_hh_num!G7)</f>
        <v>275791.94417390315</v>
      </c>
      <c r="H7" s="132">
        <f>IF(SER_hh_fec!H7=0,0,11630*1000*SER_hh_fec!H7/SER_hh_num!H7)</f>
        <v>276019.27245955361</v>
      </c>
      <c r="I7" s="132">
        <f>IF(SER_hh_fec!I7=0,0,11630*1000*SER_hh_fec!I7/SER_hh_num!I7)</f>
        <v>269388.74347751547</v>
      </c>
      <c r="J7" s="132">
        <f>IF(SER_hh_fec!J7=0,0,11630*1000*SER_hh_fec!J7/SER_hh_num!J7)</f>
        <v>297142.31908832391</v>
      </c>
      <c r="K7" s="132">
        <f>IF(SER_hh_fec!K7=0,0,11630*1000*SER_hh_fec!K7/SER_hh_num!K7)</f>
        <v>251235.40742977851</v>
      </c>
      <c r="L7" s="132">
        <f>IF(SER_hh_fec!L7=0,0,11630*1000*SER_hh_fec!L7/SER_hh_num!L7)</f>
        <v>259327.70078526236</v>
      </c>
      <c r="M7" s="132">
        <f>IF(SER_hh_fec!M7=0,0,11630*1000*SER_hh_fec!M7/SER_hh_num!M7)</f>
        <v>228724.35557808762</v>
      </c>
      <c r="N7" s="132">
        <f>IF(SER_hh_fec!N7=0,0,11630*1000*SER_hh_fec!N7/SER_hh_num!N7)</f>
        <v>210318.25548587693</v>
      </c>
      <c r="O7" s="132">
        <f>IF(SER_hh_fec!O7=0,0,11630*1000*SER_hh_fec!O7/SER_hh_num!O7)</f>
        <v>246314.40975120661</v>
      </c>
      <c r="P7" s="132">
        <f>IF(SER_hh_fec!P7=0,0,11630*1000*SER_hh_fec!P7/SER_hh_num!P7)</f>
        <v>220910.96343843406</v>
      </c>
      <c r="Q7" s="132">
        <f>IF(SER_hh_fec!Q7=0,0,11630*1000*SER_hh_fec!Q7/SER_hh_num!Q7)</f>
        <v>237998.37893055353</v>
      </c>
      <c r="R7" s="132">
        <f>IF(SER_hh_fec!R7=0,0,11630*1000*SER_hh_fec!R7/SER_hh_num!R7)</f>
        <v>231078.67531560909</v>
      </c>
      <c r="S7" s="132">
        <f>IF(SER_hh_fec!S7=0,0,11630*1000*SER_hh_fec!S7/SER_hh_num!S7)</f>
        <v>219693.66460642926</v>
      </c>
      <c r="T7" s="132">
        <f>IF(SER_hh_fec!T7=0,0,11630*1000*SER_hh_fec!T7/SER_hh_num!T7)</f>
        <v>253275.46161122978</v>
      </c>
      <c r="U7" s="132">
        <f>IF(SER_hh_fec!U7=0,0,11630*1000*SER_hh_fec!U7/SER_hh_num!U7)</f>
        <v>241961.35593990324</v>
      </c>
      <c r="V7" s="132">
        <f>IF(SER_hh_fec!V7=0,0,11630*1000*SER_hh_fec!V7/SER_hh_num!V7)</f>
        <v>219128.37184193256</v>
      </c>
      <c r="W7" s="132">
        <f>IF(SER_hh_fec!W7=0,0,11630*1000*SER_hh_fec!W7/SER_hh_num!W7)</f>
        <v>213494.51399011491</v>
      </c>
      <c r="X7" s="132">
        <f>IF(SER_hh_fec!X7=0,0,11630*1000*SER_hh_fec!X7/SER_hh_num!X7)</f>
        <v>210232.59365488988</v>
      </c>
      <c r="Y7" s="132">
        <f>IF(SER_hh_fec!Y7=0,0,11630*1000*SER_hh_fec!Y7/SER_hh_num!Y7)</f>
        <v>203981.17518698279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0</v>
      </c>
      <c r="C8" s="132">
        <f>IF(SER_hh_fec!C8=0,0,11630*1000*SER_hh_fec!C8/SER_hh_num!C8)</f>
        <v>0</v>
      </c>
      <c r="D8" s="132">
        <f>IF(SER_hh_fec!D8=0,0,11630*1000*SER_hh_fec!D8/SER_hh_num!D8)</f>
        <v>0</v>
      </c>
      <c r="E8" s="132">
        <f>IF(SER_hh_fec!E8=0,0,11630*1000*SER_hh_fec!E8/SER_hh_num!E8)</f>
        <v>0</v>
      </c>
      <c r="F8" s="132">
        <f>IF(SER_hh_fec!F8=0,0,11630*1000*SER_hh_fec!F8/SER_hh_num!F8)</f>
        <v>0</v>
      </c>
      <c r="G8" s="132">
        <f>IF(SER_hh_fec!G8=0,0,11630*1000*SER_hh_fec!G8/SER_hh_num!G8)</f>
        <v>0</v>
      </c>
      <c r="H8" s="132">
        <f>IF(SER_hh_fec!H8=0,0,11630*1000*SER_hh_fec!H8/SER_hh_num!H8)</f>
        <v>0</v>
      </c>
      <c r="I8" s="132">
        <f>IF(SER_hh_fec!I8=0,0,11630*1000*SER_hh_fec!I8/SER_hh_num!I8)</f>
        <v>0</v>
      </c>
      <c r="J8" s="132">
        <f>IF(SER_hh_fec!J8=0,0,11630*1000*SER_hh_fec!J8/SER_hh_num!J8)</f>
        <v>0</v>
      </c>
      <c r="K8" s="132">
        <f>IF(SER_hh_fec!K8=0,0,11630*1000*SER_hh_fec!K8/SER_hh_num!K8)</f>
        <v>0</v>
      </c>
      <c r="L8" s="132">
        <f>IF(SER_hh_fec!L8=0,0,11630*1000*SER_hh_fec!L8/SER_hh_num!L8)</f>
        <v>0</v>
      </c>
      <c r="M8" s="132">
        <f>IF(SER_hh_fec!M8=0,0,11630*1000*SER_hh_fec!M8/SER_hh_num!M8)</f>
        <v>0</v>
      </c>
      <c r="N8" s="132">
        <f>IF(SER_hh_fec!N8=0,0,11630*1000*SER_hh_fec!N8/SER_hh_num!N8)</f>
        <v>0</v>
      </c>
      <c r="O8" s="132">
        <f>IF(SER_hh_fec!O8=0,0,11630*1000*SER_hh_fec!O8/SER_hh_num!O8)</f>
        <v>0</v>
      </c>
      <c r="P8" s="132">
        <f>IF(SER_hh_fec!P8=0,0,11630*1000*SER_hh_fec!P8/SER_hh_num!P8)</f>
        <v>0</v>
      </c>
      <c r="Q8" s="132">
        <f>IF(SER_hh_fec!Q8=0,0,11630*1000*SER_hh_fec!Q8/SER_hh_num!Q8)</f>
        <v>0</v>
      </c>
      <c r="R8" s="132">
        <f>IF(SER_hh_fec!R8=0,0,11630*1000*SER_hh_fec!R8/SER_hh_num!R8)</f>
        <v>0</v>
      </c>
      <c r="S8" s="132">
        <f>IF(SER_hh_fec!S8=0,0,11630*1000*SER_hh_fec!S8/SER_hh_num!S8)</f>
        <v>0</v>
      </c>
      <c r="T8" s="132">
        <f>IF(SER_hh_fec!T8=0,0,11630*1000*SER_hh_fec!T8/SER_hh_num!T8)</f>
        <v>0</v>
      </c>
      <c r="U8" s="132">
        <f>IF(SER_hh_fec!U8=0,0,11630*1000*SER_hh_fec!U8/SER_hh_num!U8)</f>
        <v>0</v>
      </c>
      <c r="V8" s="132">
        <f>IF(SER_hh_fec!V8=0,0,11630*1000*SER_hh_fec!V8/SER_hh_num!V8)</f>
        <v>0</v>
      </c>
      <c r="W8" s="132">
        <f>IF(SER_hh_fec!W8=0,0,11630*1000*SER_hh_fec!W8/SER_hh_num!W8)</f>
        <v>0</v>
      </c>
      <c r="X8" s="132">
        <f>IF(SER_hh_fec!X8=0,0,11630*1000*SER_hh_fec!X8/SER_hh_num!X8)</f>
        <v>0</v>
      </c>
      <c r="Y8" s="132">
        <f>IF(SER_hh_fec!Y8=0,0,11630*1000*SER_hh_fec!Y8/SER_hh_num!Y8)</f>
        <v>0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219884.62073064462</v>
      </c>
      <c r="C9" s="132">
        <f>IF(SER_hh_fec!C9=0,0,11630*1000*SER_hh_fec!C9/SER_hh_num!C9)</f>
        <v>220913.9952437258</v>
      </c>
      <c r="D9" s="132">
        <f>IF(SER_hh_fec!D9=0,0,11630*1000*SER_hh_fec!D9/SER_hh_num!D9)</f>
        <v>214713.64879638396</v>
      </c>
      <c r="E9" s="132">
        <f>IF(SER_hh_fec!E9=0,0,11630*1000*SER_hh_fec!E9/SER_hh_num!E9)</f>
        <v>227099.08656927123</v>
      </c>
      <c r="F9" s="132">
        <f>IF(SER_hh_fec!F9=0,0,11630*1000*SER_hh_fec!F9/SER_hh_num!F9)</f>
        <v>226211.70080221296</v>
      </c>
      <c r="G9" s="132">
        <f>IF(SER_hh_fec!G9=0,0,11630*1000*SER_hh_fec!G9/SER_hh_num!G9)</f>
        <v>226793.92011172825</v>
      </c>
      <c r="H9" s="132">
        <f>IF(SER_hh_fec!H9=0,0,11630*1000*SER_hh_fec!H9/SER_hh_num!H9)</f>
        <v>248391.35861096223</v>
      </c>
      <c r="I9" s="132">
        <f>IF(SER_hh_fec!I9=0,0,11630*1000*SER_hh_fec!I9/SER_hh_num!I9)</f>
        <v>247925.89299834872</v>
      </c>
      <c r="J9" s="132">
        <f>IF(SER_hh_fec!J9=0,0,11630*1000*SER_hh_fec!J9/SER_hh_num!J9)</f>
        <v>251353.23151040703</v>
      </c>
      <c r="K9" s="132">
        <f>IF(SER_hh_fec!K9=0,0,11630*1000*SER_hh_fec!K9/SER_hh_num!K9)</f>
        <v>223290.72082205606</v>
      </c>
      <c r="L9" s="132">
        <f>IF(SER_hh_fec!L9=0,0,11630*1000*SER_hh_fec!L9/SER_hh_num!L9)</f>
        <v>237606.2342372601</v>
      </c>
      <c r="M9" s="132">
        <f>IF(SER_hh_fec!M9=0,0,11630*1000*SER_hh_fec!M9/SER_hh_num!M9)</f>
        <v>210745.37346824072</v>
      </c>
      <c r="N9" s="132">
        <f>IF(SER_hh_fec!N9=0,0,11630*1000*SER_hh_fec!N9/SER_hh_num!N9)</f>
        <v>230293.25564727612</v>
      </c>
      <c r="O9" s="132">
        <f>IF(SER_hh_fec!O9=0,0,11630*1000*SER_hh_fec!O9/SER_hh_num!O9)</f>
        <v>218859.40044947833</v>
      </c>
      <c r="P9" s="132">
        <f>IF(SER_hh_fec!P9=0,0,11630*1000*SER_hh_fec!P9/SER_hh_num!P9)</f>
        <v>200722.85905704155</v>
      </c>
      <c r="Q9" s="132">
        <f>IF(SER_hh_fec!Q9=0,0,11630*1000*SER_hh_fec!Q9/SER_hh_num!Q9)</f>
        <v>229784.80702524725</v>
      </c>
      <c r="R9" s="132">
        <f>IF(SER_hh_fec!R9=0,0,11630*1000*SER_hh_fec!R9/SER_hh_num!R9)</f>
        <v>217359.68901386109</v>
      </c>
      <c r="S9" s="132">
        <f>IF(SER_hh_fec!S9=0,0,11630*1000*SER_hh_fec!S9/SER_hh_num!S9)</f>
        <v>206553.32990094021</v>
      </c>
      <c r="T9" s="132">
        <f>IF(SER_hh_fec!T9=0,0,11630*1000*SER_hh_fec!T9/SER_hh_num!T9)</f>
        <v>224880.11004754272</v>
      </c>
      <c r="U9" s="132">
        <f>IF(SER_hh_fec!U9=0,0,11630*1000*SER_hh_fec!U9/SER_hh_num!U9)</f>
        <v>218690.17881888934</v>
      </c>
      <c r="V9" s="132">
        <f>IF(SER_hh_fec!V9=0,0,11630*1000*SER_hh_fec!V9/SER_hh_num!V9)</f>
        <v>188813.02471094209</v>
      </c>
      <c r="W9" s="132">
        <f>IF(SER_hh_fec!W9=0,0,11630*1000*SER_hh_fec!W9/SER_hh_num!W9)</f>
        <v>186543.74159791454</v>
      </c>
      <c r="X9" s="132">
        <f>IF(SER_hh_fec!X9=0,0,11630*1000*SER_hh_fec!X9/SER_hh_num!X9)</f>
        <v>180233.60026753665</v>
      </c>
      <c r="Y9" s="132">
        <f>IF(SER_hh_fec!Y9=0,0,11630*1000*SER_hh_fec!Y9/SER_hh_num!Y9)</f>
        <v>171686.54664764964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0</v>
      </c>
      <c r="C10" s="132">
        <f>IF(SER_hh_fec!C10=0,0,11630*1000*SER_hh_fec!C10/SER_hh_num!C10)</f>
        <v>0</v>
      </c>
      <c r="D10" s="132">
        <f>IF(SER_hh_fec!D10=0,0,11630*1000*SER_hh_fec!D10/SER_hh_num!D10)</f>
        <v>0</v>
      </c>
      <c r="E10" s="132">
        <f>IF(SER_hh_fec!E10=0,0,11630*1000*SER_hh_fec!E10/SER_hh_num!E10)</f>
        <v>0</v>
      </c>
      <c r="F10" s="132">
        <f>IF(SER_hh_fec!F10=0,0,11630*1000*SER_hh_fec!F10/SER_hh_num!F10)</f>
        <v>0</v>
      </c>
      <c r="G10" s="132">
        <f>IF(SER_hh_fec!G10=0,0,11630*1000*SER_hh_fec!G10/SER_hh_num!G10)</f>
        <v>52412.693865083573</v>
      </c>
      <c r="H10" s="132">
        <f>IF(SER_hh_fec!H10=0,0,11630*1000*SER_hh_fec!H10/SER_hh_num!H10)</f>
        <v>137854.14337376217</v>
      </c>
      <c r="I10" s="132">
        <f>IF(SER_hh_fec!I10=0,0,11630*1000*SER_hh_fec!I10/SER_hh_num!I10)</f>
        <v>258361.68500546325</v>
      </c>
      <c r="J10" s="132">
        <f>IF(SER_hh_fec!J10=0,0,11630*1000*SER_hh_fec!J10/SER_hh_num!J10)</f>
        <v>318161.23968538607</v>
      </c>
      <c r="K10" s="132">
        <f>IF(SER_hh_fec!K10=0,0,11630*1000*SER_hh_fec!K10/SER_hh_num!K10)</f>
        <v>310399.96102862468</v>
      </c>
      <c r="L10" s="132">
        <f>IF(SER_hh_fec!L10=0,0,11630*1000*SER_hh_fec!L10/SER_hh_num!L10)</f>
        <v>230003.70570217277</v>
      </c>
      <c r="M10" s="132">
        <f>IF(SER_hh_fec!M10=0,0,11630*1000*SER_hh_fec!M10/SER_hh_num!M10)</f>
        <v>251279.18153772593</v>
      </c>
      <c r="N10" s="132">
        <f>IF(SER_hh_fec!N10=0,0,11630*1000*SER_hh_fec!N10/SER_hh_num!N10)</f>
        <v>252739.54366980755</v>
      </c>
      <c r="O10" s="132">
        <f>IF(SER_hh_fec!O10=0,0,11630*1000*SER_hh_fec!O10/SER_hh_num!O10)</f>
        <v>306748.61702517711</v>
      </c>
      <c r="P10" s="132">
        <f>IF(SER_hh_fec!P10=0,0,11630*1000*SER_hh_fec!P10/SER_hh_num!P10)</f>
        <v>334498.44331875216</v>
      </c>
      <c r="Q10" s="132">
        <f>IF(SER_hh_fec!Q10=0,0,11630*1000*SER_hh_fec!Q10/SER_hh_num!Q10)</f>
        <v>204784.45256716726</v>
      </c>
      <c r="R10" s="132">
        <f>IF(SER_hh_fec!R10=0,0,11630*1000*SER_hh_fec!R10/SER_hh_num!R10)</f>
        <v>306905.78947942535</v>
      </c>
      <c r="S10" s="132">
        <f>IF(SER_hh_fec!S10=0,0,11630*1000*SER_hh_fec!S10/SER_hh_num!S10)</f>
        <v>288951.62194826093</v>
      </c>
      <c r="T10" s="132">
        <f>IF(SER_hh_fec!T10=0,0,11630*1000*SER_hh_fec!T10/SER_hh_num!T10)</f>
        <v>278769.60787358519</v>
      </c>
      <c r="U10" s="132">
        <f>IF(SER_hh_fec!U10=0,0,11630*1000*SER_hh_fec!U10/SER_hh_num!U10)</f>
        <v>243116.45528226541</v>
      </c>
      <c r="V10" s="132">
        <f>IF(SER_hh_fec!V10=0,0,11630*1000*SER_hh_fec!V10/SER_hh_num!V10)</f>
        <v>274641.08418791444</v>
      </c>
      <c r="W10" s="132">
        <f>IF(SER_hh_fec!W10=0,0,11630*1000*SER_hh_fec!W10/SER_hh_num!W10)</f>
        <v>297974.43848496868</v>
      </c>
      <c r="X10" s="132">
        <f>IF(SER_hh_fec!X10=0,0,11630*1000*SER_hh_fec!X10/SER_hh_num!X10)</f>
        <v>283167.58253308065</v>
      </c>
      <c r="Y10" s="132">
        <f>IF(SER_hh_fec!Y10=0,0,11630*1000*SER_hh_fec!Y10/SER_hh_num!Y10)</f>
        <v>230297.89642007597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0</v>
      </c>
      <c r="C11" s="132">
        <f>IF(SER_hh_fec!C11=0,0,11630*1000*SER_hh_fec!C11/SER_hh_num!C11)</f>
        <v>0</v>
      </c>
      <c r="D11" s="132">
        <f>IF(SER_hh_fec!D11=0,0,11630*1000*SER_hh_fec!D11/SER_hh_num!D11)</f>
        <v>0</v>
      </c>
      <c r="E11" s="132">
        <f>IF(SER_hh_fec!E11=0,0,11630*1000*SER_hh_fec!E11/SER_hh_num!E11)</f>
        <v>0</v>
      </c>
      <c r="F11" s="132">
        <f>IF(SER_hh_fec!F11=0,0,11630*1000*SER_hh_fec!F11/SER_hh_num!F11)</f>
        <v>0</v>
      </c>
      <c r="G11" s="132">
        <f>IF(SER_hh_fec!G11=0,0,11630*1000*SER_hh_fec!G11/SER_hh_num!G11)</f>
        <v>0</v>
      </c>
      <c r="H11" s="132">
        <f>IF(SER_hh_fec!H11=0,0,11630*1000*SER_hh_fec!H11/SER_hh_num!H11)</f>
        <v>0</v>
      </c>
      <c r="I11" s="132">
        <f>IF(SER_hh_fec!I11=0,0,11630*1000*SER_hh_fec!I11/SER_hh_num!I11)</f>
        <v>0</v>
      </c>
      <c r="J11" s="132">
        <f>IF(SER_hh_fec!J11=0,0,11630*1000*SER_hh_fec!J11/SER_hh_num!J11)</f>
        <v>0</v>
      </c>
      <c r="K11" s="132">
        <f>IF(SER_hh_fec!K11=0,0,11630*1000*SER_hh_fec!K11/SER_hh_num!K11)</f>
        <v>0</v>
      </c>
      <c r="L11" s="132">
        <f>IF(SER_hh_fec!L11=0,0,11630*1000*SER_hh_fec!L11/SER_hh_num!L11)</f>
        <v>0</v>
      </c>
      <c r="M11" s="132">
        <f>IF(SER_hh_fec!M11=0,0,11630*1000*SER_hh_fec!M11/SER_hh_num!M11)</f>
        <v>0</v>
      </c>
      <c r="N11" s="132">
        <f>IF(SER_hh_fec!N11=0,0,11630*1000*SER_hh_fec!N11/SER_hh_num!N11)</f>
        <v>0</v>
      </c>
      <c r="O11" s="132">
        <f>IF(SER_hh_fec!O11=0,0,11630*1000*SER_hh_fec!O11/SER_hh_num!O11)</f>
        <v>0</v>
      </c>
      <c r="P11" s="132">
        <f>IF(SER_hh_fec!P11=0,0,11630*1000*SER_hh_fec!P11/SER_hh_num!P11)</f>
        <v>0</v>
      </c>
      <c r="Q11" s="132">
        <f>IF(SER_hh_fec!Q11=0,0,11630*1000*SER_hh_fec!Q11/SER_hh_num!Q11)</f>
        <v>0</v>
      </c>
      <c r="R11" s="132">
        <f>IF(SER_hh_fec!R11=0,0,11630*1000*SER_hh_fec!R11/SER_hh_num!R11)</f>
        <v>0</v>
      </c>
      <c r="S11" s="132">
        <f>IF(SER_hh_fec!S11=0,0,11630*1000*SER_hh_fec!S11/SER_hh_num!S11)</f>
        <v>0</v>
      </c>
      <c r="T11" s="132">
        <f>IF(SER_hh_fec!T11=0,0,11630*1000*SER_hh_fec!T11/SER_hh_num!T11)</f>
        <v>0</v>
      </c>
      <c r="U11" s="132">
        <f>IF(SER_hh_fec!U11=0,0,11630*1000*SER_hh_fec!U11/SER_hh_num!U11)</f>
        <v>0</v>
      </c>
      <c r="V11" s="132">
        <f>IF(SER_hh_fec!V11=0,0,11630*1000*SER_hh_fec!V11/SER_hh_num!V11)</f>
        <v>0</v>
      </c>
      <c r="W11" s="132">
        <f>IF(SER_hh_fec!W11=0,0,11630*1000*SER_hh_fec!W11/SER_hh_num!W11)</f>
        <v>0</v>
      </c>
      <c r="X11" s="132">
        <f>IF(SER_hh_fec!X11=0,0,11630*1000*SER_hh_fec!X11/SER_hh_num!X11)</f>
        <v>0</v>
      </c>
      <c r="Y11" s="132">
        <f>IF(SER_hh_fec!Y11=0,0,11630*1000*SER_hh_fec!Y11/SER_hh_num!Y11)</f>
        <v>0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0</v>
      </c>
      <c r="C12" s="132">
        <f>IF(SER_hh_fec!C12=0,0,11630*1000*SER_hh_fec!C12/SER_hh_num!C12)</f>
        <v>0</v>
      </c>
      <c r="D12" s="132">
        <f>IF(SER_hh_fec!D12=0,0,11630*1000*SER_hh_fec!D12/SER_hh_num!D12)</f>
        <v>0</v>
      </c>
      <c r="E12" s="132">
        <f>IF(SER_hh_fec!E12=0,0,11630*1000*SER_hh_fec!E12/SER_hh_num!E12)</f>
        <v>0</v>
      </c>
      <c r="F12" s="132">
        <f>IF(SER_hh_fec!F12=0,0,11630*1000*SER_hh_fec!F12/SER_hh_num!F12)</f>
        <v>0</v>
      </c>
      <c r="G12" s="132">
        <f>IF(SER_hh_fec!G12=0,0,11630*1000*SER_hh_fec!G12/SER_hh_num!G12)</f>
        <v>0</v>
      </c>
      <c r="H12" s="132">
        <f>IF(SER_hh_fec!H12=0,0,11630*1000*SER_hh_fec!H12/SER_hh_num!H12)</f>
        <v>0</v>
      </c>
      <c r="I12" s="132">
        <f>IF(SER_hh_fec!I12=0,0,11630*1000*SER_hh_fec!I12/SER_hh_num!I12)</f>
        <v>0</v>
      </c>
      <c r="J12" s="132">
        <f>IF(SER_hh_fec!J12=0,0,11630*1000*SER_hh_fec!J12/SER_hh_num!J12)</f>
        <v>0</v>
      </c>
      <c r="K12" s="132">
        <f>IF(SER_hh_fec!K12=0,0,11630*1000*SER_hh_fec!K12/SER_hh_num!K12)</f>
        <v>0</v>
      </c>
      <c r="L12" s="132">
        <f>IF(SER_hh_fec!L12=0,0,11630*1000*SER_hh_fec!L12/SER_hh_num!L12)</f>
        <v>0</v>
      </c>
      <c r="M12" s="132">
        <f>IF(SER_hh_fec!M12=0,0,11630*1000*SER_hh_fec!M12/SER_hh_num!M12)</f>
        <v>0</v>
      </c>
      <c r="N12" s="132">
        <f>IF(SER_hh_fec!N12=0,0,11630*1000*SER_hh_fec!N12/SER_hh_num!N12)</f>
        <v>0</v>
      </c>
      <c r="O12" s="132">
        <f>IF(SER_hh_fec!O12=0,0,11630*1000*SER_hh_fec!O12/SER_hh_num!O12)</f>
        <v>0</v>
      </c>
      <c r="P12" s="132">
        <f>IF(SER_hh_fec!P12=0,0,11630*1000*SER_hh_fec!P12/SER_hh_num!P12)</f>
        <v>0</v>
      </c>
      <c r="Q12" s="132">
        <f>IF(SER_hh_fec!Q12=0,0,11630*1000*SER_hh_fec!Q12/SER_hh_num!Q12)</f>
        <v>0</v>
      </c>
      <c r="R12" s="132">
        <f>IF(SER_hh_fec!R12=0,0,11630*1000*SER_hh_fec!R12/SER_hh_num!R12)</f>
        <v>0</v>
      </c>
      <c r="S12" s="132">
        <f>IF(SER_hh_fec!S12=0,0,11630*1000*SER_hh_fec!S12/SER_hh_num!S12)</f>
        <v>0</v>
      </c>
      <c r="T12" s="132">
        <f>IF(SER_hh_fec!T12=0,0,11630*1000*SER_hh_fec!T12/SER_hh_num!T12)</f>
        <v>0</v>
      </c>
      <c r="U12" s="132">
        <f>IF(SER_hh_fec!U12=0,0,11630*1000*SER_hh_fec!U12/SER_hh_num!U12)</f>
        <v>0</v>
      </c>
      <c r="V12" s="132">
        <f>IF(SER_hh_fec!V12=0,0,11630*1000*SER_hh_fec!V12/SER_hh_num!V12)</f>
        <v>0</v>
      </c>
      <c r="W12" s="132">
        <f>IF(SER_hh_fec!W12=0,0,11630*1000*SER_hh_fec!W12/SER_hh_num!W12)</f>
        <v>0</v>
      </c>
      <c r="X12" s="132">
        <f>IF(SER_hh_fec!X12=0,0,11630*1000*SER_hh_fec!X12/SER_hh_num!X12)</f>
        <v>0</v>
      </c>
      <c r="Y12" s="132">
        <f>IF(SER_hh_fec!Y12=0,0,11630*1000*SER_hh_fec!Y12/SER_hh_num!Y12)</f>
        <v>0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47000.351581627365</v>
      </c>
      <c r="C13" s="132">
        <f>IF(SER_hh_fec!C13=0,0,11630*1000*SER_hh_fec!C13/SER_hh_num!C13)</f>
        <v>35202.685820674691</v>
      </c>
      <c r="D13" s="132">
        <f>IF(SER_hh_fec!D13=0,0,11630*1000*SER_hh_fec!D13/SER_hh_num!D13)</f>
        <v>9053.3160076277054</v>
      </c>
      <c r="E13" s="132">
        <f>IF(SER_hh_fec!E13=0,0,11630*1000*SER_hh_fec!E13/SER_hh_num!E13)</f>
        <v>45225.761647774445</v>
      </c>
      <c r="F13" s="132">
        <f>IF(SER_hh_fec!F13=0,0,11630*1000*SER_hh_fec!F13/SER_hh_num!F13)</f>
        <v>34706.812521169493</v>
      </c>
      <c r="G13" s="132">
        <f>IF(SER_hh_fec!G13=0,0,11630*1000*SER_hh_fec!G13/SER_hh_num!G13)</f>
        <v>52272.932448501044</v>
      </c>
      <c r="H13" s="132">
        <f>IF(SER_hh_fec!H13=0,0,11630*1000*SER_hh_fec!H13/SER_hh_num!H13)</f>
        <v>59251.640473184758</v>
      </c>
      <c r="I13" s="132">
        <f>IF(SER_hh_fec!I13=0,0,11630*1000*SER_hh_fec!I13/SER_hh_num!I13)</f>
        <v>60757.466841968358</v>
      </c>
      <c r="J13" s="132">
        <f>IF(SER_hh_fec!J13=0,0,11630*1000*SER_hh_fec!J13/SER_hh_num!J13)</f>
        <v>66328.40753811707</v>
      </c>
      <c r="K13" s="132">
        <f>IF(SER_hh_fec!K13=0,0,11630*1000*SER_hh_fec!K13/SER_hh_num!K13)</f>
        <v>58611.396831509825</v>
      </c>
      <c r="L13" s="132">
        <f>IF(SER_hh_fec!L13=0,0,11630*1000*SER_hh_fec!L13/SER_hh_num!L13)</f>
        <v>54167.385185649859</v>
      </c>
      <c r="M13" s="132">
        <f>IF(SER_hh_fec!M13=0,0,11630*1000*SER_hh_fec!M13/SER_hh_num!M13)</f>
        <v>54955.836054483298</v>
      </c>
      <c r="N13" s="132">
        <f>IF(SER_hh_fec!N13=0,0,11630*1000*SER_hh_fec!N13/SER_hh_num!N13)</f>
        <v>53567.293071519467</v>
      </c>
      <c r="O13" s="132">
        <f>IF(SER_hh_fec!O13=0,0,11630*1000*SER_hh_fec!O13/SER_hh_num!O13)</f>
        <v>51918.60418771064</v>
      </c>
      <c r="P13" s="132">
        <f>IF(SER_hh_fec!P13=0,0,11630*1000*SER_hh_fec!P13/SER_hh_num!P13)</f>
        <v>49356.876987133495</v>
      </c>
      <c r="Q13" s="132">
        <f>IF(SER_hh_fec!Q13=0,0,11630*1000*SER_hh_fec!Q13/SER_hh_num!Q13)</f>
        <v>49274.724719086451</v>
      </c>
      <c r="R13" s="132">
        <f>IF(SER_hh_fec!R13=0,0,11630*1000*SER_hh_fec!R13/SER_hh_num!R13)</f>
        <v>48518.480950915589</v>
      </c>
      <c r="S13" s="132">
        <f>IF(SER_hh_fec!S13=0,0,11630*1000*SER_hh_fec!S13/SER_hh_num!S13)</f>
        <v>49263.214610888368</v>
      </c>
      <c r="T13" s="132">
        <f>IF(SER_hh_fec!T13=0,0,11630*1000*SER_hh_fec!T13/SER_hh_num!T13)</f>
        <v>45615.902264407297</v>
      </c>
      <c r="U13" s="132">
        <f>IF(SER_hh_fec!U13=0,0,11630*1000*SER_hh_fec!U13/SER_hh_num!U13)</f>
        <v>44392.188518943127</v>
      </c>
      <c r="V13" s="132">
        <f>IF(SER_hh_fec!V13=0,0,11630*1000*SER_hh_fec!V13/SER_hh_num!V13)</f>
        <v>41250.745723673121</v>
      </c>
      <c r="W13" s="132">
        <f>IF(SER_hh_fec!W13=0,0,11630*1000*SER_hh_fec!W13/SER_hh_num!W13)</f>
        <v>37959.05164984033</v>
      </c>
      <c r="X13" s="132">
        <f>IF(SER_hh_fec!X13=0,0,11630*1000*SER_hh_fec!X13/SER_hh_num!X13)</f>
        <v>35940.713029551844</v>
      </c>
      <c r="Y13" s="132">
        <f>IF(SER_hh_fec!Y13=0,0,11630*1000*SER_hh_fec!Y13/SER_hh_num!Y13)</f>
        <v>35374.64528260396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146418.40674012626</v>
      </c>
      <c r="C14" s="65">
        <f>IF(SER_hh_fec!C14=0,0,11630*1000*SER_hh_fec!C14/SER_hh_num!C14)</f>
        <v>152614.43027920288</v>
      </c>
      <c r="D14" s="65">
        <f>IF(SER_hh_fec!D14=0,0,11630*1000*SER_hh_fec!D14/SER_hh_num!D14)</f>
        <v>160478.34007776412</v>
      </c>
      <c r="E14" s="65">
        <f>IF(SER_hh_fec!E14=0,0,11630*1000*SER_hh_fec!E14/SER_hh_num!E14)</f>
        <v>174900.6190022603</v>
      </c>
      <c r="F14" s="65">
        <f>IF(SER_hh_fec!F14=0,0,11630*1000*SER_hh_fec!F14/SER_hh_num!F14)</f>
        <v>157278.59516404779</v>
      </c>
      <c r="G14" s="65">
        <f>IF(SER_hh_fec!G14=0,0,11630*1000*SER_hh_fec!G14/SER_hh_num!G14)</f>
        <v>174525.346295581</v>
      </c>
      <c r="H14" s="65">
        <f>IF(SER_hh_fec!H14=0,0,11630*1000*SER_hh_fec!H14/SER_hh_num!H14)</f>
        <v>190897.53069001544</v>
      </c>
      <c r="I14" s="65">
        <f>IF(SER_hh_fec!I14=0,0,11630*1000*SER_hh_fec!I14/SER_hh_num!I14)</f>
        <v>176103.8710101234</v>
      </c>
      <c r="J14" s="65">
        <f>IF(SER_hh_fec!J14=0,0,11630*1000*SER_hh_fec!J14/SER_hh_num!J14)</f>
        <v>187056.94053431333</v>
      </c>
      <c r="K14" s="65">
        <f>IF(SER_hh_fec!K14=0,0,11630*1000*SER_hh_fec!K14/SER_hh_num!K14)</f>
        <v>177664.35404766299</v>
      </c>
      <c r="L14" s="65">
        <f>IF(SER_hh_fec!L14=0,0,11630*1000*SER_hh_fec!L14/SER_hh_num!L14)</f>
        <v>172600.38825838934</v>
      </c>
      <c r="M14" s="65">
        <f>IF(SER_hh_fec!M14=0,0,11630*1000*SER_hh_fec!M14/SER_hh_num!M14)</f>
        <v>173083.03427292968</v>
      </c>
      <c r="N14" s="65">
        <f>IF(SER_hh_fec!N14=0,0,11630*1000*SER_hh_fec!N14/SER_hh_num!N14)</f>
        <v>172250.71715931391</v>
      </c>
      <c r="O14" s="65">
        <f>IF(SER_hh_fec!O14=0,0,11630*1000*SER_hh_fec!O14/SER_hh_num!O14)</f>
        <v>178173.13153485965</v>
      </c>
      <c r="P14" s="65">
        <f>IF(SER_hh_fec!P14=0,0,11630*1000*SER_hh_fec!P14/SER_hh_num!P14)</f>
        <v>156281.29212167635</v>
      </c>
      <c r="Q14" s="65">
        <f>IF(SER_hh_fec!Q14=0,0,11630*1000*SER_hh_fec!Q14/SER_hh_num!Q14)</f>
        <v>190903.56401676623</v>
      </c>
      <c r="R14" s="65">
        <f>IF(SER_hh_fec!R14=0,0,11630*1000*SER_hh_fec!R14/SER_hh_num!R14)</f>
        <v>178326.17340599344</v>
      </c>
      <c r="S14" s="65">
        <f>IF(SER_hh_fec!S14=0,0,11630*1000*SER_hh_fec!S14/SER_hh_num!S14)</f>
        <v>166248.69989924898</v>
      </c>
      <c r="T14" s="65">
        <f>IF(SER_hh_fec!T14=0,0,11630*1000*SER_hh_fec!T14/SER_hh_num!T14)</f>
        <v>194351.99924962138</v>
      </c>
      <c r="U14" s="65">
        <f>IF(SER_hh_fec!U14=0,0,11630*1000*SER_hh_fec!U14/SER_hh_num!U14)</f>
        <v>207034.46441055197</v>
      </c>
      <c r="V14" s="65">
        <f>IF(SER_hh_fec!V14=0,0,11630*1000*SER_hh_fec!V14/SER_hh_num!V14)</f>
        <v>157698.18730225705</v>
      </c>
      <c r="W14" s="65">
        <f>IF(SER_hh_fec!W14=0,0,11630*1000*SER_hh_fec!W14/SER_hh_num!W14)</f>
        <v>157024.78986814187</v>
      </c>
      <c r="X14" s="65">
        <f>IF(SER_hh_fec!X14=0,0,11630*1000*SER_hh_fec!X14/SER_hh_num!X14)</f>
        <v>156277.15136546612</v>
      </c>
      <c r="Y14" s="65">
        <f>IF(SER_hh_fec!Y14=0,0,11630*1000*SER_hh_fec!Y14/SER_hh_num!Y14)</f>
        <v>155813.20703278037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2223.5540647821081</v>
      </c>
      <c r="C15" s="134">
        <f>IF(SER_hh_fec!C15=0,0,11630*1000*SER_hh_fec!C15/SER_hh_num!C15)</f>
        <v>2159.9055680411325</v>
      </c>
      <c r="D15" s="134">
        <f>IF(SER_hh_fec!D15=0,0,11630*1000*SER_hh_fec!D15/SER_hh_num!D15)</f>
        <v>2113.265951366368</v>
      </c>
      <c r="E15" s="134">
        <f>IF(SER_hh_fec!E15=0,0,11630*1000*SER_hh_fec!E15/SER_hh_num!E15)</f>
        <v>2204.8124578752982</v>
      </c>
      <c r="F15" s="134">
        <f>IF(SER_hh_fec!F15=0,0,11630*1000*SER_hh_fec!F15/SER_hh_num!F15)</f>
        <v>2129.17311824839</v>
      </c>
      <c r="G15" s="134">
        <f>IF(SER_hh_fec!G15=0,0,11630*1000*SER_hh_fec!G15/SER_hh_num!G15)</f>
        <v>2216.4813154465537</v>
      </c>
      <c r="H15" s="134">
        <f>IF(SER_hh_fec!H15=0,0,11630*1000*SER_hh_fec!H15/SER_hh_num!H15)</f>
        <v>2300.8185966364786</v>
      </c>
      <c r="I15" s="134">
        <f>IF(SER_hh_fec!I15=0,0,11630*1000*SER_hh_fec!I15/SER_hh_num!I15)</f>
        <v>2266.9423737118395</v>
      </c>
      <c r="J15" s="134">
        <f>IF(SER_hh_fec!J15=0,0,11630*1000*SER_hh_fec!J15/SER_hh_num!J15)</f>
        <v>2381.6913457865503</v>
      </c>
      <c r="K15" s="134">
        <f>IF(SER_hh_fec!K15=0,0,11630*1000*SER_hh_fec!K15/SER_hh_num!K15)</f>
        <v>2069.9575751850043</v>
      </c>
      <c r="L15" s="134">
        <f>IF(SER_hh_fec!L15=0,0,11630*1000*SER_hh_fec!L15/SER_hh_num!L15)</f>
        <v>2218.4937156541018</v>
      </c>
      <c r="M15" s="134">
        <f>IF(SER_hh_fec!M15=0,0,11630*1000*SER_hh_fec!M15/SER_hh_num!M15)</f>
        <v>2004.7582587168697</v>
      </c>
      <c r="N15" s="134">
        <f>IF(SER_hh_fec!N15=0,0,11630*1000*SER_hh_fec!N15/SER_hh_num!N15)</f>
        <v>2125.6225090034059</v>
      </c>
      <c r="O15" s="134">
        <f>IF(SER_hh_fec!O15=0,0,11630*1000*SER_hh_fec!O15/SER_hh_num!O15)</f>
        <v>2203.0869935454602</v>
      </c>
      <c r="P15" s="134">
        <f>IF(SER_hh_fec!P15=0,0,11630*1000*SER_hh_fec!P15/SER_hh_num!P15)</f>
        <v>2018.8076519739857</v>
      </c>
      <c r="Q15" s="134">
        <f>IF(SER_hh_fec!Q15=0,0,11630*1000*SER_hh_fec!Q15/SER_hh_num!Q15)</f>
        <v>2239.4412087007472</v>
      </c>
      <c r="R15" s="134">
        <f>IF(SER_hh_fec!R15=0,0,11630*1000*SER_hh_fec!R15/SER_hh_num!R15)</f>
        <v>2167.9341434020535</v>
      </c>
      <c r="S15" s="134">
        <f>IF(SER_hh_fec!S15=0,0,11630*1000*SER_hh_fec!S15/SER_hh_num!S15)</f>
        <v>2083.5495888592964</v>
      </c>
      <c r="T15" s="134">
        <f>IF(SER_hh_fec!T15=0,0,11630*1000*SER_hh_fec!T15/SER_hh_num!T15)</f>
        <v>2335.1971428546026</v>
      </c>
      <c r="U15" s="134">
        <f>IF(SER_hh_fec!U15=0,0,11630*1000*SER_hh_fec!U15/SER_hh_num!U15)</f>
        <v>2306.9361184103655</v>
      </c>
      <c r="V15" s="134">
        <f>IF(SER_hh_fec!V15=0,0,11630*1000*SER_hh_fec!V15/SER_hh_num!V15)</f>
        <v>2062.8019891275735</v>
      </c>
      <c r="W15" s="134">
        <f>IF(SER_hh_fec!W15=0,0,11630*1000*SER_hh_fec!W15/SER_hh_num!W15)</f>
        <v>2074.3727457987316</v>
      </c>
      <c r="X15" s="134">
        <f>IF(SER_hh_fec!X15=0,0,11630*1000*SER_hh_fec!X15/SER_hh_num!X15)</f>
        <v>2054.0964407739616</v>
      </c>
      <c r="Y15" s="134">
        <f>IF(SER_hh_fec!Y15=0,0,11630*1000*SER_hh_fec!Y15/SER_hh_num!Y15)</f>
        <v>1995.2697586677104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10837.811679532992</v>
      </c>
      <c r="C16" s="130">
        <f>IF(SER_hh_fec!C16=0,0,11630*1000*SER_hh_fec!C16/SER_hh_num!C16)</f>
        <v>10186.735503479298</v>
      </c>
      <c r="D16" s="130">
        <f>IF(SER_hh_fec!D16=0,0,11630*1000*SER_hh_fec!D16/SER_hh_num!D16)</f>
        <v>9756.9462408989693</v>
      </c>
      <c r="E16" s="130">
        <f>IF(SER_hh_fec!E16=0,0,11630*1000*SER_hh_fec!E16/SER_hh_num!E16)</f>
        <v>9256.3138967238756</v>
      </c>
      <c r="F16" s="130">
        <f>IF(SER_hh_fec!F16=0,0,11630*1000*SER_hh_fec!F16/SER_hh_num!F16)</f>
        <v>8717.7477480523266</v>
      </c>
      <c r="G16" s="130">
        <f>IF(SER_hh_fec!G16=0,0,11630*1000*SER_hh_fec!G16/SER_hh_num!G16)</f>
        <v>8069.8167537505315</v>
      </c>
      <c r="H16" s="130">
        <f>IF(SER_hh_fec!H16=0,0,11630*1000*SER_hh_fec!H16/SER_hh_num!H16)</f>
        <v>7713.6819829662481</v>
      </c>
      <c r="I16" s="130">
        <f>IF(SER_hh_fec!I16=0,0,11630*1000*SER_hh_fec!I16/SER_hh_num!I16)</f>
        <v>7396.5636966871916</v>
      </c>
      <c r="J16" s="130">
        <f>IF(SER_hh_fec!J16=0,0,11630*1000*SER_hh_fec!J16/SER_hh_num!J16)</f>
        <v>6854.2502224635937</v>
      </c>
      <c r="K16" s="130">
        <f>IF(SER_hh_fec!K16=0,0,11630*1000*SER_hh_fec!K16/SER_hh_num!K16)</f>
        <v>6697.2031556521142</v>
      </c>
      <c r="L16" s="130">
        <f>IF(SER_hh_fec!L16=0,0,11630*1000*SER_hh_fec!L16/SER_hh_num!L16)</f>
        <v>6575.89720959849</v>
      </c>
      <c r="M16" s="130">
        <f>IF(SER_hh_fec!M16=0,0,11630*1000*SER_hh_fec!M16/SER_hh_num!M16)</f>
        <v>6292.1222859394356</v>
      </c>
      <c r="N16" s="130">
        <f>IF(SER_hh_fec!N16=0,0,11630*1000*SER_hh_fec!N16/SER_hh_num!N16)</f>
        <v>6164.3576042797267</v>
      </c>
      <c r="O16" s="130">
        <f>IF(SER_hh_fec!O16=0,0,11630*1000*SER_hh_fec!O16/SER_hh_num!O16)</f>
        <v>5839.732915476493</v>
      </c>
      <c r="P16" s="130">
        <f>IF(SER_hh_fec!P16=0,0,11630*1000*SER_hh_fec!P16/SER_hh_num!P16)</f>
        <v>5684.2782835963853</v>
      </c>
      <c r="Q16" s="130">
        <f>IF(SER_hh_fec!Q16=0,0,11630*1000*SER_hh_fec!Q16/SER_hh_num!Q16)</f>
        <v>5273.1722944723942</v>
      </c>
      <c r="R16" s="130">
        <f>IF(SER_hh_fec!R16=0,0,11630*1000*SER_hh_fec!R16/SER_hh_num!R16)</f>
        <v>5255.9555977629661</v>
      </c>
      <c r="S16" s="130">
        <f>IF(SER_hh_fec!S16=0,0,11630*1000*SER_hh_fec!S16/SER_hh_num!S16)</f>
        <v>5061.7205273699738</v>
      </c>
      <c r="T16" s="130">
        <f>IF(SER_hh_fec!T16=0,0,11630*1000*SER_hh_fec!T16/SER_hh_num!T16)</f>
        <v>4900.5728557308212</v>
      </c>
      <c r="U16" s="130">
        <f>IF(SER_hh_fec!U16=0,0,11630*1000*SER_hh_fec!U16/SER_hh_num!U16)</f>
        <v>4820.2066491213909</v>
      </c>
      <c r="V16" s="130">
        <f>IF(SER_hh_fec!V16=0,0,11630*1000*SER_hh_fec!V16/SER_hh_num!V16)</f>
        <v>4481.0124251874768</v>
      </c>
      <c r="W16" s="130">
        <f>IF(SER_hh_fec!W16=0,0,11630*1000*SER_hh_fec!W16/SER_hh_num!W16)</f>
        <v>4350.9105627787239</v>
      </c>
      <c r="X16" s="130">
        <f>IF(SER_hh_fec!X16=0,0,11630*1000*SER_hh_fec!X16/SER_hh_num!X16)</f>
        <v>4519.0220108066587</v>
      </c>
      <c r="Y16" s="130">
        <f>IF(SER_hh_fec!Y16=0,0,11630*1000*SER_hh_fec!Y16/SER_hh_num!Y16)</f>
        <v>4442.6181308861087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20222.460096922208</v>
      </c>
      <c r="C17" s="132">
        <f>IF(SER_hh_fec!C17=0,0,11630*1000*SER_hh_fec!C17/SER_hh_num!C17)</f>
        <v>19672.704070239171</v>
      </c>
      <c r="D17" s="132">
        <f>IF(SER_hh_fec!D17=0,0,11630*1000*SER_hh_fec!D17/SER_hh_num!D17)</f>
        <v>19516.199216800196</v>
      </c>
      <c r="E17" s="132">
        <f>IF(SER_hh_fec!E17=0,0,11630*1000*SER_hh_fec!E17/SER_hh_num!E17)</f>
        <v>19287.275953754255</v>
      </c>
      <c r="F17" s="132">
        <f>IF(SER_hh_fec!F17=0,0,11630*1000*SER_hh_fec!F17/SER_hh_num!F17)</f>
        <v>18671.399563890434</v>
      </c>
      <c r="G17" s="132">
        <f>IF(SER_hh_fec!G17=0,0,11630*1000*SER_hh_fec!G17/SER_hh_num!G17)</f>
        <v>17971.038390046058</v>
      </c>
      <c r="H17" s="132">
        <f>IF(SER_hh_fec!H17=0,0,11630*1000*SER_hh_fec!H17/SER_hh_num!H17)</f>
        <v>17784.908749225899</v>
      </c>
      <c r="I17" s="132">
        <f>IF(SER_hh_fec!I17=0,0,11630*1000*SER_hh_fec!I17/SER_hh_num!I17)</f>
        <v>17462.318654223192</v>
      </c>
      <c r="J17" s="132">
        <f>IF(SER_hh_fec!J17=0,0,11630*1000*SER_hh_fec!J17/SER_hh_num!J17)</f>
        <v>17180.257653712724</v>
      </c>
      <c r="K17" s="132">
        <f>IF(SER_hh_fec!K17=0,0,11630*1000*SER_hh_fec!K17/SER_hh_num!K17)</f>
        <v>16932.867589081587</v>
      </c>
      <c r="L17" s="132">
        <f>IF(SER_hh_fec!L17=0,0,11630*1000*SER_hh_fec!L17/SER_hh_num!L17)</f>
        <v>16913.47357153496</v>
      </c>
      <c r="M17" s="132">
        <f>IF(SER_hh_fec!M17=0,0,11630*1000*SER_hh_fec!M17/SER_hh_num!M17)</f>
        <v>16562.829737424898</v>
      </c>
      <c r="N17" s="132">
        <f>IF(SER_hh_fec!N17=0,0,11630*1000*SER_hh_fec!N17/SER_hh_num!N17)</f>
        <v>16569.549446683843</v>
      </c>
      <c r="O17" s="132">
        <f>IF(SER_hh_fec!O17=0,0,11630*1000*SER_hh_fec!O17/SER_hh_num!O17)</f>
        <v>15986.472244801071</v>
      </c>
      <c r="P17" s="132">
        <f>IF(SER_hh_fec!P17=0,0,11630*1000*SER_hh_fec!P17/SER_hh_num!P17)</f>
        <v>15869.296484378581</v>
      </c>
      <c r="Q17" s="132">
        <f>IF(SER_hh_fec!Q17=0,0,11630*1000*SER_hh_fec!Q17/SER_hh_num!Q17)</f>
        <v>15476.666490042389</v>
      </c>
      <c r="R17" s="132">
        <f>IF(SER_hh_fec!R17=0,0,11630*1000*SER_hh_fec!R17/SER_hh_num!R17)</f>
        <v>15291.332334480698</v>
      </c>
      <c r="S17" s="132">
        <f>IF(SER_hh_fec!S17=0,0,11630*1000*SER_hh_fec!S17/SER_hh_num!S17)</f>
        <v>15064.67186062343</v>
      </c>
      <c r="T17" s="132">
        <f>IF(SER_hh_fec!T17=0,0,11630*1000*SER_hh_fec!T17/SER_hh_num!T17)</f>
        <v>14887.708310457259</v>
      </c>
      <c r="U17" s="132">
        <f>IF(SER_hh_fec!U17=0,0,11630*1000*SER_hh_fec!U17/SER_hh_num!U17)</f>
        <v>14832.773308962252</v>
      </c>
      <c r="V17" s="132">
        <f>IF(SER_hh_fec!V17=0,0,11630*1000*SER_hh_fec!V17/SER_hh_num!V17)</f>
        <v>13239.544846665973</v>
      </c>
      <c r="W17" s="132">
        <f>IF(SER_hh_fec!W17=0,0,11630*1000*SER_hh_fec!W17/SER_hh_num!W17)</f>
        <v>12581.210849249914</v>
      </c>
      <c r="X17" s="132">
        <f>IF(SER_hh_fec!X17=0,0,11630*1000*SER_hh_fec!X17/SER_hh_num!X17)</f>
        <v>13559.296351230265</v>
      </c>
      <c r="Y17" s="132">
        <f>IF(SER_hh_fec!Y17=0,0,11630*1000*SER_hh_fec!Y17/SER_hh_num!Y17)</f>
        <v>13927.818209380448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10813.706839582366</v>
      </c>
      <c r="C18" s="132">
        <f>IF(SER_hh_fec!C18=0,0,11630*1000*SER_hh_fec!C18/SER_hh_num!C18)</f>
        <v>10161.603121958704</v>
      </c>
      <c r="D18" s="132">
        <f>IF(SER_hh_fec!D18=0,0,11630*1000*SER_hh_fec!D18/SER_hh_num!D18)</f>
        <v>9729.9595607932861</v>
      </c>
      <c r="E18" s="132">
        <f>IF(SER_hh_fec!E18=0,0,11630*1000*SER_hh_fec!E18/SER_hh_num!E18)</f>
        <v>9230.8170783087735</v>
      </c>
      <c r="F18" s="132">
        <f>IF(SER_hh_fec!F18=0,0,11630*1000*SER_hh_fec!F18/SER_hh_num!F18)</f>
        <v>8688.8970978943453</v>
      </c>
      <c r="G18" s="132">
        <f>IF(SER_hh_fec!G18=0,0,11630*1000*SER_hh_fec!G18/SER_hh_num!G18)</f>
        <v>8039.8095107592844</v>
      </c>
      <c r="H18" s="132">
        <f>IF(SER_hh_fec!H18=0,0,11630*1000*SER_hh_fec!H18/SER_hh_num!H18)</f>
        <v>7678.961932962633</v>
      </c>
      <c r="I18" s="132">
        <f>IF(SER_hh_fec!I18=0,0,11630*1000*SER_hh_fec!I18/SER_hh_num!I18)</f>
        <v>7361.7970216073791</v>
      </c>
      <c r="J18" s="132">
        <f>IF(SER_hh_fec!J18=0,0,11630*1000*SER_hh_fec!J18/SER_hh_num!J18)</f>
        <v>6819.875272389927</v>
      </c>
      <c r="K18" s="132">
        <f>IF(SER_hh_fec!K18=0,0,11630*1000*SER_hh_fec!K18/SER_hh_num!K18)</f>
        <v>6660.226358077899</v>
      </c>
      <c r="L18" s="132">
        <f>IF(SER_hh_fec!L18=0,0,11630*1000*SER_hh_fec!L18/SER_hh_num!L18)</f>
        <v>6537.020821901423</v>
      </c>
      <c r="M18" s="132">
        <f>IF(SER_hh_fec!M18=0,0,11630*1000*SER_hh_fec!M18/SER_hh_num!M18)</f>
        <v>6250.8598649813885</v>
      </c>
      <c r="N18" s="132">
        <f>IF(SER_hh_fec!N18=0,0,11630*1000*SER_hh_fec!N18/SER_hh_num!N18)</f>
        <v>6117.7085629398489</v>
      </c>
      <c r="O18" s="132">
        <f>IF(SER_hh_fec!O18=0,0,11630*1000*SER_hh_fec!O18/SER_hh_num!O18)</f>
        <v>5784.1107211345925</v>
      </c>
      <c r="P18" s="132">
        <f>IF(SER_hh_fec!P18=0,0,11630*1000*SER_hh_fec!P18/SER_hh_num!P18)</f>
        <v>5613.2109281618896</v>
      </c>
      <c r="Q18" s="132">
        <f>IF(SER_hh_fec!Q18=0,0,11630*1000*SER_hh_fec!Q18/SER_hh_num!Q18)</f>
        <v>5177.7102045238707</v>
      </c>
      <c r="R18" s="132">
        <f>IF(SER_hh_fec!R18=0,0,11630*1000*SER_hh_fec!R18/SER_hh_num!R18)</f>
        <v>5140.0044032874375</v>
      </c>
      <c r="S18" s="132">
        <f>IF(SER_hh_fec!S18=0,0,11630*1000*SER_hh_fec!S18/SER_hh_num!S18)</f>
        <v>4931.2864092627915</v>
      </c>
      <c r="T18" s="132">
        <f>IF(SER_hh_fec!T18=0,0,11630*1000*SER_hh_fec!T18/SER_hh_num!T18)</f>
        <v>4763.3735162846833</v>
      </c>
      <c r="U18" s="132">
        <f>IF(SER_hh_fec!U18=0,0,11630*1000*SER_hh_fec!U18/SER_hh_num!U18)</f>
        <v>4677.2464386676475</v>
      </c>
      <c r="V18" s="132">
        <f>IF(SER_hh_fec!V18=0,0,11630*1000*SER_hh_fec!V18/SER_hh_num!V18)</f>
        <v>4347.7273898865951</v>
      </c>
      <c r="W18" s="132">
        <f>IF(SER_hh_fec!W18=0,0,11630*1000*SER_hh_fec!W18/SER_hh_num!W18)</f>
        <v>4224.7313686050793</v>
      </c>
      <c r="X18" s="132">
        <f>IF(SER_hh_fec!X18=0,0,11630*1000*SER_hh_fec!X18/SER_hh_num!X18)</f>
        <v>4374.2920674010629</v>
      </c>
      <c r="Y18" s="132">
        <f>IF(SER_hh_fec!Y18=0,0,11630*1000*SER_hh_fec!Y18/SER_hh_num!Y18)</f>
        <v>4293.4130129045743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36977.753155126717</v>
      </c>
      <c r="C19" s="130">
        <f>IF(SER_hh_fec!C19=0,0,11630*1000*SER_hh_fec!C19/SER_hh_num!C19)</f>
        <v>36843.991545898956</v>
      </c>
      <c r="D19" s="130">
        <f>IF(SER_hh_fec!D19=0,0,11630*1000*SER_hh_fec!D19/SER_hh_num!D19)</f>
        <v>36198.36394002656</v>
      </c>
      <c r="E19" s="130">
        <f>IF(SER_hh_fec!E19=0,0,11630*1000*SER_hh_fec!E19/SER_hh_num!E19)</f>
        <v>35446.520224901979</v>
      </c>
      <c r="F19" s="130">
        <f>IF(SER_hh_fec!F19=0,0,11630*1000*SER_hh_fec!F19/SER_hh_num!F19)</f>
        <v>34732.783854654081</v>
      </c>
      <c r="G19" s="130">
        <f>IF(SER_hh_fec!G19=0,0,11630*1000*SER_hh_fec!G19/SER_hh_num!G19)</f>
        <v>34572.296929492564</v>
      </c>
      <c r="H19" s="130">
        <f>IF(SER_hh_fec!H19=0,0,11630*1000*SER_hh_fec!H19/SER_hh_num!H19)</f>
        <v>33873.856594732155</v>
      </c>
      <c r="I19" s="130">
        <f>IF(SER_hh_fec!I19=0,0,11630*1000*SER_hh_fec!I19/SER_hh_num!I19)</f>
        <v>32964.821510063215</v>
      </c>
      <c r="J19" s="130">
        <f>IF(SER_hh_fec!J19=0,0,11630*1000*SER_hh_fec!J19/SER_hh_num!J19)</f>
        <v>32826.118553328335</v>
      </c>
      <c r="K19" s="130">
        <f>IF(SER_hh_fec!K19=0,0,11630*1000*SER_hh_fec!K19/SER_hh_num!K19)</f>
        <v>34187.466960158272</v>
      </c>
      <c r="L19" s="130">
        <f>IF(SER_hh_fec!L19=0,0,11630*1000*SER_hh_fec!L19/SER_hh_num!L19)</f>
        <v>35197.826763500838</v>
      </c>
      <c r="M19" s="130">
        <f>IF(SER_hh_fec!M19=0,0,11630*1000*SER_hh_fec!M19/SER_hh_num!M19)</f>
        <v>34832.573723330628</v>
      </c>
      <c r="N19" s="130">
        <f>IF(SER_hh_fec!N19=0,0,11630*1000*SER_hh_fec!N19/SER_hh_num!N19)</f>
        <v>35251.887516215495</v>
      </c>
      <c r="O19" s="130">
        <f>IF(SER_hh_fec!O19=0,0,11630*1000*SER_hh_fec!O19/SER_hh_num!O19)</f>
        <v>35312.243069729368</v>
      </c>
      <c r="P19" s="130">
        <f>IF(SER_hh_fec!P19=0,0,11630*1000*SER_hh_fec!P19/SER_hh_num!P19)</f>
        <v>35434.04726315241</v>
      </c>
      <c r="Q19" s="130">
        <f>IF(SER_hh_fec!Q19=0,0,11630*1000*SER_hh_fec!Q19/SER_hh_num!Q19)</f>
        <v>36742.645745793146</v>
      </c>
      <c r="R19" s="130">
        <f>IF(SER_hh_fec!R19=0,0,11630*1000*SER_hh_fec!R19/SER_hh_num!R19)</f>
        <v>35436.456101069198</v>
      </c>
      <c r="S19" s="130">
        <f>IF(SER_hh_fec!S19=0,0,11630*1000*SER_hh_fec!S19/SER_hh_num!S19)</f>
        <v>34690.026320441131</v>
      </c>
      <c r="T19" s="130">
        <f>IF(SER_hh_fec!T19=0,0,11630*1000*SER_hh_fec!T19/SER_hh_num!T19)</f>
        <v>33927.454143165298</v>
      </c>
      <c r="U19" s="130">
        <f>IF(SER_hh_fec!U19=0,0,11630*1000*SER_hh_fec!U19/SER_hh_num!U19)</f>
        <v>33765.761422874908</v>
      </c>
      <c r="V19" s="130">
        <f>IF(SER_hh_fec!V19=0,0,11630*1000*SER_hh_fec!V19/SER_hh_num!V19)</f>
        <v>30776.378919308187</v>
      </c>
      <c r="W19" s="130">
        <f>IF(SER_hh_fec!W19=0,0,11630*1000*SER_hh_fec!W19/SER_hh_num!W19)</f>
        <v>33072.481249845681</v>
      </c>
      <c r="X19" s="130">
        <f>IF(SER_hh_fec!X19=0,0,11630*1000*SER_hh_fec!X19/SER_hh_num!X19)</f>
        <v>31680.291954547178</v>
      </c>
      <c r="Y19" s="130">
        <f>IF(SER_hh_fec!Y19=0,0,11630*1000*SER_hh_fec!Y19/SER_hh_num!Y19)</f>
        <v>30320.031695585509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0</v>
      </c>
      <c r="C21" s="132">
        <f>IF(SER_hh_fec!C21=0,0,11630*1000*SER_hh_fec!C21/SER_hh_num!C21)</f>
        <v>0</v>
      </c>
      <c r="D21" s="132">
        <f>IF(SER_hh_fec!D21=0,0,11630*1000*SER_hh_fec!D21/SER_hh_num!D21)</f>
        <v>0</v>
      </c>
      <c r="E21" s="132">
        <f>IF(SER_hh_fec!E21=0,0,11630*1000*SER_hh_fec!E21/SER_hh_num!E21)</f>
        <v>0</v>
      </c>
      <c r="F21" s="132">
        <f>IF(SER_hh_fec!F21=0,0,11630*1000*SER_hh_fec!F21/SER_hh_num!F21)</f>
        <v>0</v>
      </c>
      <c r="G21" s="132">
        <f>IF(SER_hh_fec!G21=0,0,11630*1000*SER_hh_fec!G21/SER_hh_num!G21)</f>
        <v>0</v>
      </c>
      <c r="H21" s="132">
        <f>IF(SER_hh_fec!H21=0,0,11630*1000*SER_hh_fec!H21/SER_hh_num!H21)</f>
        <v>0</v>
      </c>
      <c r="I21" s="132">
        <f>IF(SER_hh_fec!I21=0,0,11630*1000*SER_hh_fec!I21/SER_hh_num!I21)</f>
        <v>0</v>
      </c>
      <c r="J21" s="132">
        <f>IF(SER_hh_fec!J21=0,0,11630*1000*SER_hh_fec!J21/SER_hh_num!J21)</f>
        <v>0</v>
      </c>
      <c r="K21" s="132">
        <f>IF(SER_hh_fec!K21=0,0,11630*1000*SER_hh_fec!K21/SER_hh_num!K21)</f>
        <v>0</v>
      </c>
      <c r="L21" s="132">
        <f>IF(SER_hh_fec!L21=0,0,11630*1000*SER_hh_fec!L21/SER_hh_num!L21)</f>
        <v>0</v>
      </c>
      <c r="M21" s="132">
        <f>IF(SER_hh_fec!M21=0,0,11630*1000*SER_hh_fec!M21/SER_hh_num!M21)</f>
        <v>0</v>
      </c>
      <c r="N21" s="132">
        <f>IF(SER_hh_fec!N21=0,0,11630*1000*SER_hh_fec!N21/SER_hh_num!N21)</f>
        <v>0</v>
      </c>
      <c r="O21" s="132">
        <f>IF(SER_hh_fec!O21=0,0,11630*1000*SER_hh_fec!O21/SER_hh_num!O21)</f>
        <v>0</v>
      </c>
      <c r="P21" s="132">
        <f>IF(SER_hh_fec!P21=0,0,11630*1000*SER_hh_fec!P21/SER_hh_num!P21)</f>
        <v>0</v>
      </c>
      <c r="Q21" s="132">
        <f>IF(SER_hh_fec!Q21=0,0,11630*1000*SER_hh_fec!Q21/SER_hh_num!Q21)</f>
        <v>0</v>
      </c>
      <c r="R21" s="132">
        <f>IF(SER_hh_fec!R21=0,0,11630*1000*SER_hh_fec!R21/SER_hh_num!R21)</f>
        <v>0</v>
      </c>
      <c r="S21" s="132">
        <f>IF(SER_hh_fec!S21=0,0,11630*1000*SER_hh_fec!S21/SER_hh_num!S21)</f>
        <v>0</v>
      </c>
      <c r="T21" s="132">
        <f>IF(SER_hh_fec!T21=0,0,11630*1000*SER_hh_fec!T21/SER_hh_num!T21)</f>
        <v>0</v>
      </c>
      <c r="U21" s="132">
        <f>IF(SER_hh_fec!U21=0,0,11630*1000*SER_hh_fec!U21/SER_hh_num!U21)</f>
        <v>0</v>
      </c>
      <c r="V21" s="132">
        <f>IF(SER_hh_fec!V21=0,0,11630*1000*SER_hh_fec!V21/SER_hh_num!V21)</f>
        <v>0</v>
      </c>
      <c r="W21" s="132">
        <f>IF(SER_hh_fec!W21=0,0,11630*1000*SER_hh_fec!W21/SER_hh_num!W21)</f>
        <v>0</v>
      </c>
      <c r="X21" s="132">
        <f>IF(SER_hh_fec!X21=0,0,11630*1000*SER_hh_fec!X21/SER_hh_num!X21)</f>
        <v>0</v>
      </c>
      <c r="Y21" s="132">
        <f>IF(SER_hh_fec!Y21=0,0,11630*1000*SER_hh_fec!Y21/SER_hh_num!Y21)</f>
        <v>0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41901.007765933609</v>
      </c>
      <c r="C22" s="132">
        <f>IF(SER_hh_fec!C22=0,0,11630*1000*SER_hh_fec!C22/SER_hh_num!C22)</f>
        <v>42015.345873088911</v>
      </c>
      <c r="D22" s="132">
        <f>IF(SER_hh_fec!D22=0,0,11630*1000*SER_hh_fec!D22/SER_hh_num!D22)</f>
        <v>41872.933201961881</v>
      </c>
      <c r="E22" s="132">
        <f>IF(SER_hh_fec!E22=0,0,11630*1000*SER_hh_fec!E22/SER_hh_num!E22)</f>
        <v>40338.304948933757</v>
      </c>
      <c r="F22" s="132">
        <f>IF(SER_hh_fec!F22=0,0,11630*1000*SER_hh_fec!F22/SER_hh_num!F22)</f>
        <v>40733.842284516846</v>
      </c>
      <c r="G22" s="132">
        <f>IF(SER_hh_fec!G22=0,0,11630*1000*SER_hh_fec!G22/SER_hh_num!G22)</f>
        <v>39958.182141213758</v>
      </c>
      <c r="H22" s="132">
        <f>IF(SER_hh_fec!H22=0,0,11630*1000*SER_hh_fec!H22/SER_hh_num!H22)</f>
        <v>38888.771987725348</v>
      </c>
      <c r="I22" s="132">
        <f>IF(SER_hh_fec!I22=0,0,11630*1000*SER_hh_fec!I22/SER_hh_num!I22)</f>
        <v>38621.122750691247</v>
      </c>
      <c r="J22" s="132">
        <f>IF(SER_hh_fec!J22=0,0,11630*1000*SER_hh_fec!J22/SER_hh_num!J22)</f>
        <v>39361.775670141156</v>
      </c>
      <c r="K22" s="132">
        <f>IF(SER_hh_fec!K22=0,0,11630*1000*SER_hh_fec!K22/SER_hh_num!K22)</f>
        <v>39528.139727719281</v>
      </c>
      <c r="L22" s="132">
        <f>IF(SER_hh_fec!L22=0,0,11630*1000*SER_hh_fec!L22/SER_hh_num!L22)</f>
        <v>40805.679039127455</v>
      </c>
      <c r="M22" s="132">
        <f>IF(SER_hh_fec!M22=0,0,11630*1000*SER_hh_fec!M22/SER_hh_num!M22)</f>
        <v>41039.150660746891</v>
      </c>
      <c r="N22" s="132">
        <f>IF(SER_hh_fec!N22=0,0,11630*1000*SER_hh_fec!N22/SER_hh_num!N22)</f>
        <v>41254.481979583376</v>
      </c>
      <c r="O22" s="132">
        <f>IF(SER_hh_fec!O22=0,0,11630*1000*SER_hh_fec!O22/SER_hh_num!O22)</f>
        <v>40873.721406086042</v>
      </c>
      <c r="P22" s="132">
        <f>IF(SER_hh_fec!P22=0,0,11630*1000*SER_hh_fec!P22/SER_hh_num!P22)</f>
        <v>41994.484185251298</v>
      </c>
      <c r="Q22" s="132">
        <f>IF(SER_hh_fec!Q22=0,0,11630*1000*SER_hh_fec!Q22/SER_hh_num!Q22)</f>
        <v>41827.093841770882</v>
      </c>
      <c r="R22" s="132">
        <f>IF(SER_hh_fec!R22=0,0,11630*1000*SER_hh_fec!R22/SER_hh_num!R22)</f>
        <v>41094.138536882936</v>
      </c>
      <c r="S22" s="132">
        <f>IF(SER_hh_fec!S22=0,0,11630*1000*SER_hh_fec!S22/SER_hh_num!S22)</f>
        <v>41922.666954944063</v>
      </c>
      <c r="T22" s="132">
        <f>IF(SER_hh_fec!T22=0,0,11630*1000*SER_hh_fec!T22/SER_hh_num!T22)</f>
        <v>40221.239153886185</v>
      </c>
      <c r="U22" s="132">
        <f>IF(SER_hh_fec!U22=0,0,11630*1000*SER_hh_fec!U22/SER_hh_num!U22)</f>
        <v>40329.221739609253</v>
      </c>
      <c r="V22" s="132">
        <f>IF(SER_hh_fec!V22=0,0,11630*1000*SER_hh_fec!V22/SER_hh_num!V22)</f>
        <v>35862.052255760136</v>
      </c>
      <c r="W22" s="132">
        <f>IF(SER_hh_fec!W22=0,0,11630*1000*SER_hh_fec!W22/SER_hh_num!W22)</f>
        <v>37446.396876823943</v>
      </c>
      <c r="X22" s="132">
        <f>IF(SER_hh_fec!X22=0,0,11630*1000*SER_hh_fec!X22/SER_hh_num!X22)</f>
        <v>37445.22753444784</v>
      </c>
      <c r="Y22" s="132">
        <f>IF(SER_hh_fec!Y22=0,0,11630*1000*SER_hh_fec!Y22/SER_hh_num!Y22)</f>
        <v>35233.01896900955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40466.381247671445</v>
      </c>
      <c r="C23" s="132">
        <f>IF(SER_hh_fec!C23=0,0,11630*1000*SER_hh_fec!C23/SER_hh_num!C23)</f>
        <v>40822.59637509504</v>
      </c>
      <c r="D23" s="132">
        <f>IF(SER_hh_fec!D23=0,0,11630*1000*SER_hh_fec!D23/SER_hh_num!D23)</f>
        <v>39813.005450585384</v>
      </c>
      <c r="E23" s="132">
        <f>IF(SER_hh_fec!E23=0,0,11630*1000*SER_hh_fec!E23/SER_hh_num!E23)</f>
        <v>38651.780534919613</v>
      </c>
      <c r="F23" s="132">
        <f>IF(SER_hh_fec!F23=0,0,11630*1000*SER_hh_fec!F23/SER_hh_num!F23)</f>
        <v>38417.462054031428</v>
      </c>
      <c r="G23" s="132">
        <f>IF(SER_hh_fec!G23=0,0,11630*1000*SER_hh_fec!G23/SER_hh_num!G23)</f>
        <v>37678.806451507604</v>
      </c>
      <c r="H23" s="132">
        <f>IF(SER_hh_fec!H23=0,0,11630*1000*SER_hh_fec!H23/SER_hh_num!H23)</f>
        <v>36649.696472139483</v>
      </c>
      <c r="I23" s="132">
        <f>IF(SER_hh_fec!I23=0,0,11630*1000*SER_hh_fec!I23/SER_hh_num!I23)</f>
        <v>36544.137049617137</v>
      </c>
      <c r="J23" s="132">
        <f>IF(SER_hh_fec!J23=0,0,11630*1000*SER_hh_fec!J23/SER_hh_num!J23)</f>
        <v>35679.186178026866</v>
      </c>
      <c r="K23" s="132">
        <f>IF(SER_hh_fec!K23=0,0,11630*1000*SER_hh_fec!K23/SER_hh_num!K23)</f>
        <v>36663.014638032742</v>
      </c>
      <c r="L23" s="132">
        <f>IF(SER_hh_fec!L23=0,0,11630*1000*SER_hh_fec!L23/SER_hh_num!L23)</f>
        <v>38392.71497774656</v>
      </c>
      <c r="M23" s="132">
        <f>IF(SER_hh_fec!M23=0,0,11630*1000*SER_hh_fec!M23/SER_hh_num!M23)</f>
        <v>35943.603196449701</v>
      </c>
      <c r="N23" s="132">
        <f>IF(SER_hh_fec!N23=0,0,11630*1000*SER_hh_fec!N23/SER_hh_num!N23)</f>
        <v>36720.973277375255</v>
      </c>
      <c r="O23" s="132">
        <f>IF(SER_hh_fec!O23=0,0,11630*1000*SER_hh_fec!O23/SER_hh_num!O23)</f>
        <v>36998.487576793603</v>
      </c>
      <c r="P23" s="132">
        <f>IF(SER_hh_fec!P23=0,0,11630*1000*SER_hh_fec!P23/SER_hh_num!P23)</f>
        <v>37468.091187853766</v>
      </c>
      <c r="Q23" s="132">
        <f>IF(SER_hh_fec!Q23=0,0,11630*1000*SER_hh_fec!Q23/SER_hh_num!Q23)</f>
        <v>38385.908051006911</v>
      </c>
      <c r="R23" s="132">
        <f>IF(SER_hh_fec!R23=0,0,11630*1000*SER_hh_fec!R23/SER_hh_num!R23)</f>
        <v>37100.949988603701</v>
      </c>
      <c r="S23" s="132">
        <f>IF(SER_hh_fec!S23=0,0,11630*1000*SER_hh_fec!S23/SER_hh_num!S23)</f>
        <v>37023.472927232782</v>
      </c>
      <c r="T23" s="132">
        <f>IF(SER_hh_fec!T23=0,0,11630*1000*SER_hh_fec!T23/SER_hh_num!T23)</f>
        <v>35459.925996439786</v>
      </c>
      <c r="U23" s="132">
        <f>IF(SER_hh_fec!U23=0,0,11630*1000*SER_hh_fec!U23/SER_hh_num!U23)</f>
        <v>36492.037329955223</v>
      </c>
      <c r="V23" s="132">
        <f>IF(SER_hh_fec!V23=0,0,11630*1000*SER_hh_fec!V23/SER_hh_num!V23)</f>
        <v>28118.251684647188</v>
      </c>
      <c r="W23" s="132">
        <f>IF(SER_hh_fec!W23=0,0,11630*1000*SER_hh_fec!W23/SER_hh_num!W23)</f>
        <v>36147.229552692654</v>
      </c>
      <c r="X23" s="132">
        <f>IF(SER_hh_fec!X23=0,0,11630*1000*SER_hh_fec!X23/SER_hh_num!X23)</f>
        <v>33664.801342440973</v>
      </c>
      <c r="Y23" s="132">
        <f>IF(SER_hh_fec!Y23=0,0,11630*1000*SER_hh_fec!Y23/SER_hh_num!Y23)</f>
        <v>31975.470947043377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0</v>
      </c>
      <c r="C24" s="132">
        <f>IF(SER_hh_fec!C24=0,0,11630*1000*SER_hh_fec!C24/SER_hh_num!C24)</f>
        <v>0</v>
      </c>
      <c r="D24" s="132">
        <f>IF(SER_hh_fec!D24=0,0,11630*1000*SER_hh_fec!D24/SER_hh_num!D24)</f>
        <v>0</v>
      </c>
      <c r="E24" s="132">
        <f>IF(SER_hh_fec!E24=0,0,11630*1000*SER_hh_fec!E24/SER_hh_num!E24)</f>
        <v>0</v>
      </c>
      <c r="F24" s="132">
        <f>IF(SER_hh_fec!F24=0,0,11630*1000*SER_hh_fec!F24/SER_hh_num!F24)</f>
        <v>0</v>
      </c>
      <c r="G24" s="132">
        <f>IF(SER_hh_fec!G24=0,0,11630*1000*SER_hh_fec!G24/SER_hh_num!G24)</f>
        <v>0</v>
      </c>
      <c r="H24" s="132">
        <f>IF(SER_hh_fec!H24=0,0,11630*1000*SER_hh_fec!H24/SER_hh_num!H24)</f>
        <v>0</v>
      </c>
      <c r="I24" s="132">
        <f>IF(SER_hh_fec!I24=0,0,11630*1000*SER_hh_fec!I24/SER_hh_num!I24)</f>
        <v>0</v>
      </c>
      <c r="J24" s="132">
        <f>IF(SER_hh_fec!J24=0,0,11630*1000*SER_hh_fec!J24/SER_hh_num!J24)</f>
        <v>0</v>
      </c>
      <c r="K24" s="132">
        <f>IF(SER_hh_fec!K24=0,0,11630*1000*SER_hh_fec!K24/SER_hh_num!K24)</f>
        <v>0</v>
      </c>
      <c r="L24" s="132">
        <f>IF(SER_hh_fec!L24=0,0,11630*1000*SER_hh_fec!L24/SER_hh_num!L24)</f>
        <v>0</v>
      </c>
      <c r="M24" s="132">
        <f>IF(SER_hh_fec!M24=0,0,11630*1000*SER_hh_fec!M24/SER_hh_num!M24)</f>
        <v>0</v>
      </c>
      <c r="N24" s="132">
        <f>IF(SER_hh_fec!N24=0,0,11630*1000*SER_hh_fec!N24/SER_hh_num!N24)</f>
        <v>0</v>
      </c>
      <c r="O24" s="132">
        <f>IF(SER_hh_fec!O24=0,0,11630*1000*SER_hh_fec!O24/SER_hh_num!O24)</f>
        <v>0</v>
      </c>
      <c r="P24" s="132">
        <f>IF(SER_hh_fec!P24=0,0,11630*1000*SER_hh_fec!P24/SER_hh_num!P24)</f>
        <v>0</v>
      </c>
      <c r="Q24" s="132">
        <f>IF(SER_hh_fec!Q24=0,0,11630*1000*SER_hh_fec!Q24/SER_hh_num!Q24)</f>
        <v>0</v>
      </c>
      <c r="R24" s="132">
        <f>IF(SER_hh_fec!R24=0,0,11630*1000*SER_hh_fec!R24/SER_hh_num!R24)</f>
        <v>0</v>
      </c>
      <c r="S24" s="132">
        <f>IF(SER_hh_fec!S24=0,0,11630*1000*SER_hh_fec!S24/SER_hh_num!S24)</f>
        <v>0</v>
      </c>
      <c r="T24" s="132">
        <f>IF(SER_hh_fec!T24=0,0,11630*1000*SER_hh_fec!T24/SER_hh_num!T24)</f>
        <v>0</v>
      </c>
      <c r="U24" s="132">
        <f>IF(SER_hh_fec!U24=0,0,11630*1000*SER_hh_fec!U24/SER_hh_num!U24)</f>
        <v>0</v>
      </c>
      <c r="V24" s="132">
        <f>IF(SER_hh_fec!V24=0,0,11630*1000*SER_hh_fec!V24/SER_hh_num!V24)</f>
        <v>0</v>
      </c>
      <c r="W24" s="132">
        <f>IF(SER_hh_fec!W24=0,0,11630*1000*SER_hh_fec!W24/SER_hh_num!W24)</f>
        <v>0</v>
      </c>
      <c r="X24" s="132">
        <f>IF(SER_hh_fec!X24=0,0,11630*1000*SER_hh_fec!X24/SER_hh_num!X24)</f>
        <v>0</v>
      </c>
      <c r="Y24" s="132">
        <f>IF(SER_hh_fec!Y24=0,0,11630*1000*SER_hh_fec!Y24/SER_hh_num!Y24)</f>
        <v>0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0</v>
      </c>
      <c r="C25" s="132">
        <f>IF(SER_hh_fec!C25=0,0,11630*1000*SER_hh_fec!C25/SER_hh_num!C25)</f>
        <v>0</v>
      </c>
      <c r="D25" s="132">
        <f>IF(SER_hh_fec!D25=0,0,11630*1000*SER_hh_fec!D25/SER_hh_num!D25)</f>
        <v>0</v>
      </c>
      <c r="E25" s="132">
        <f>IF(SER_hh_fec!E25=0,0,11630*1000*SER_hh_fec!E25/SER_hh_num!E25)</f>
        <v>0</v>
      </c>
      <c r="F25" s="132">
        <f>IF(SER_hh_fec!F25=0,0,11630*1000*SER_hh_fec!F25/SER_hh_num!F25)</f>
        <v>0</v>
      </c>
      <c r="G25" s="132">
        <f>IF(SER_hh_fec!G25=0,0,11630*1000*SER_hh_fec!G25/SER_hh_num!G25)</f>
        <v>0</v>
      </c>
      <c r="H25" s="132">
        <f>IF(SER_hh_fec!H25=0,0,11630*1000*SER_hh_fec!H25/SER_hh_num!H25)</f>
        <v>0</v>
      </c>
      <c r="I25" s="132">
        <f>IF(SER_hh_fec!I25=0,0,11630*1000*SER_hh_fec!I25/SER_hh_num!I25)</f>
        <v>0</v>
      </c>
      <c r="J25" s="132">
        <f>IF(SER_hh_fec!J25=0,0,11630*1000*SER_hh_fec!J25/SER_hh_num!J25)</f>
        <v>0</v>
      </c>
      <c r="K25" s="132">
        <f>IF(SER_hh_fec!K25=0,0,11630*1000*SER_hh_fec!K25/SER_hh_num!K25)</f>
        <v>0</v>
      </c>
      <c r="L25" s="132">
        <f>IF(SER_hh_fec!L25=0,0,11630*1000*SER_hh_fec!L25/SER_hh_num!L25)</f>
        <v>0</v>
      </c>
      <c r="M25" s="132">
        <f>IF(SER_hh_fec!M25=0,0,11630*1000*SER_hh_fec!M25/SER_hh_num!M25)</f>
        <v>0</v>
      </c>
      <c r="N25" s="132">
        <f>IF(SER_hh_fec!N25=0,0,11630*1000*SER_hh_fec!N25/SER_hh_num!N25)</f>
        <v>0</v>
      </c>
      <c r="O25" s="132">
        <f>IF(SER_hh_fec!O25=0,0,11630*1000*SER_hh_fec!O25/SER_hh_num!O25)</f>
        <v>0</v>
      </c>
      <c r="P25" s="132">
        <f>IF(SER_hh_fec!P25=0,0,11630*1000*SER_hh_fec!P25/SER_hh_num!P25)</f>
        <v>0</v>
      </c>
      <c r="Q25" s="132">
        <f>IF(SER_hh_fec!Q25=0,0,11630*1000*SER_hh_fec!Q25/SER_hh_num!Q25)</f>
        <v>0</v>
      </c>
      <c r="R25" s="132">
        <f>IF(SER_hh_fec!R25=0,0,11630*1000*SER_hh_fec!R25/SER_hh_num!R25)</f>
        <v>0</v>
      </c>
      <c r="S25" s="132">
        <f>IF(SER_hh_fec!S25=0,0,11630*1000*SER_hh_fec!S25/SER_hh_num!S25)</f>
        <v>0</v>
      </c>
      <c r="T25" s="132">
        <f>IF(SER_hh_fec!T25=0,0,11630*1000*SER_hh_fec!T25/SER_hh_num!T25)</f>
        <v>0</v>
      </c>
      <c r="U25" s="132">
        <f>IF(SER_hh_fec!U25=0,0,11630*1000*SER_hh_fec!U25/SER_hh_num!U25)</f>
        <v>0</v>
      </c>
      <c r="V25" s="132">
        <f>IF(SER_hh_fec!V25=0,0,11630*1000*SER_hh_fec!V25/SER_hh_num!V25)</f>
        <v>0</v>
      </c>
      <c r="W25" s="132">
        <f>IF(SER_hh_fec!W25=0,0,11630*1000*SER_hh_fec!W25/SER_hh_num!W25)</f>
        <v>0</v>
      </c>
      <c r="X25" s="132">
        <f>IF(SER_hh_fec!X25=0,0,11630*1000*SER_hh_fec!X25/SER_hh_num!X25)</f>
        <v>0</v>
      </c>
      <c r="Y25" s="132">
        <f>IF(SER_hh_fec!Y25=0,0,11630*1000*SER_hh_fec!Y25/SER_hh_num!Y25)</f>
        <v>0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33221.564578047881</v>
      </c>
      <c r="C26" s="65">
        <f>IF(SER_hh_fec!C26=0,0,11630*1000*SER_hh_fec!C26/SER_hh_num!C26)</f>
        <v>32897.893740557367</v>
      </c>
      <c r="D26" s="65">
        <f>IF(SER_hh_fec!D26=0,0,11630*1000*SER_hh_fec!D26/SER_hh_num!D26)</f>
        <v>32343.118548658767</v>
      </c>
      <c r="E26" s="65">
        <f>IF(SER_hh_fec!E26=0,0,11630*1000*SER_hh_fec!E26/SER_hh_num!E26)</f>
        <v>32234.86567696022</v>
      </c>
      <c r="F26" s="65">
        <f>IF(SER_hh_fec!F26=0,0,11630*1000*SER_hh_fec!F26/SER_hh_num!F26)</f>
        <v>31063.983379151934</v>
      </c>
      <c r="G26" s="65">
        <f>IF(SER_hh_fec!G26=0,0,11630*1000*SER_hh_fec!G26/SER_hh_num!G26)</f>
        <v>31603.028634946706</v>
      </c>
      <c r="H26" s="65">
        <f>IF(SER_hh_fec!H26=0,0,11630*1000*SER_hh_fec!H26/SER_hh_num!H26)</f>
        <v>31306.129254961575</v>
      </c>
      <c r="I26" s="65">
        <f>IF(SER_hh_fec!I26=0,0,11630*1000*SER_hh_fec!I26/SER_hh_num!I26)</f>
        <v>30172.838607522295</v>
      </c>
      <c r="J26" s="65">
        <f>IF(SER_hh_fec!J26=0,0,11630*1000*SER_hh_fec!J26/SER_hh_num!J26)</f>
        <v>30106.216165988066</v>
      </c>
      <c r="K26" s="65">
        <f>IF(SER_hh_fec!K26=0,0,11630*1000*SER_hh_fec!K26/SER_hh_num!K26)</f>
        <v>31862.914162009751</v>
      </c>
      <c r="L26" s="65">
        <f>IF(SER_hh_fec!L26=0,0,11630*1000*SER_hh_fec!L26/SER_hh_num!L26)</f>
        <v>32510.601412287939</v>
      </c>
      <c r="M26" s="65">
        <f>IF(SER_hh_fec!M26=0,0,11630*1000*SER_hh_fec!M26/SER_hh_num!M26)</f>
        <v>32779.693091457048</v>
      </c>
      <c r="N26" s="65">
        <f>IF(SER_hh_fec!N26=0,0,11630*1000*SER_hh_fec!N26/SER_hh_num!N26)</f>
        <v>33113.941498471766</v>
      </c>
      <c r="O26" s="65">
        <f>IF(SER_hh_fec!O26=0,0,11630*1000*SER_hh_fec!O26/SER_hh_num!O26)</f>
        <v>33225.959933834645</v>
      </c>
      <c r="P26" s="65">
        <f>IF(SER_hh_fec!P26=0,0,11630*1000*SER_hh_fec!P26/SER_hh_num!P26)</f>
        <v>33027.643710554214</v>
      </c>
      <c r="Q26" s="65">
        <f>IF(SER_hh_fec!Q26=0,0,11630*1000*SER_hh_fec!Q26/SER_hh_num!Q26)</f>
        <v>34879.726013970445</v>
      </c>
      <c r="R26" s="65">
        <f>IF(SER_hh_fec!R26=0,0,11630*1000*SER_hh_fec!R26/SER_hh_num!R26)</f>
        <v>33547.977703231307</v>
      </c>
      <c r="S26" s="65">
        <f>IF(SER_hh_fec!S26=0,0,11630*1000*SER_hh_fec!S26/SER_hh_num!S26)</f>
        <v>32318.568239085427</v>
      </c>
      <c r="T26" s="65">
        <f>IF(SER_hh_fec!T26=0,0,11630*1000*SER_hh_fec!T26/SER_hh_num!T26)</f>
        <v>32192.459971670112</v>
      </c>
      <c r="U26" s="65">
        <f>IF(SER_hh_fec!U26=0,0,11630*1000*SER_hh_fec!U26/SER_hh_num!U26)</f>
        <v>31749.408366830903</v>
      </c>
      <c r="V26" s="65">
        <f>IF(SER_hh_fec!V26=0,0,11630*1000*SER_hh_fec!V26/SER_hh_num!V26)</f>
        <v>30661.252748917817</v>
      </c>
      <c r="W26" s="65">
        <f>IF(SER_hh_fec!W26=0,0,11630*1000*SER_hh_fec!W26/SER_hh_num!W26)</f>
        <v>31368.993721384759</v>
      </c>
      <c r="X26" s="65">
        <f>IF(SER_hh_fec!X26=0,0,11630*1000*SER_hh_fec!X26/SER_hh_num!X26)</f>
        <v>30017.389621201859</v>
      </c>
      <c r="Y26" s="65">
        <f>IF(SER_hh_fec!Y26=0,0,11630*1000*SER_hh_fec!Y26/SER_hh_num!Y26)</f>
        <v>28850.010431480063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0</v>
      </c>
      <c r="C27" s="145">
        <f>IF(SER_hh_fec!C27=0,0,11630*1000*SER_hh_fec!C27/SER_hh_num!C19)</f>
        <v>0</v>
      </c>
      <c r="D27" s="145">
        <f>IF(SER_hh_fec!D27=0,0,11630*1000*SER_hh_fec!D27/SER_hh_num!D19)</f>
        <v>0</v>
      </c>
      <c r="E27" s="145">
        <f>IF(SER_hh_fec!E27=0,0,11630*1000*SER_hh_fec!E27/SER_hh_num!E19)</f>
        <v>0</v>
      </c>
      <c r="F27" s="145">
        <f>IF(SER_hh_fec!F27=0,0,11630*1000*SER_hh_fec!F27/SER_hh_num!F19)</f>
        <v>0</v>
      </c>
      <c r="G27" s="145">
        <f>IF(SER_hh_fec!G27=0,0,11630*1000*SER_hh_fec!G27/SER_hh_num!G19)</f>
        <v>0</v>
      </c>
      <c r="H27" s="145">
        <f>IF(SER_hh_fec!H27=0,0,11630*1000*SER_hh_fec!H27/SER_hh_num!H19)</f>
        <v>8.5933309261693633</v>
      </c>
      <c r="I27" s="145">
        <f>IF(SER_hh_fec!I27=0,0,11630*1000*SER_hh_fec!I27/SER_hh_num!I19)</f>
        <v>9.3302260031352962</v>
      </c>
      <c r="J27" s="145">
        <f>IF(SER_hh_fec!J27=0,0,11630*1000*SER_hh_fec!J27/SER_hh_num!J19)</f>
        <v>23.124367275981502</v>
      </c>
      <c r="K27" s="145">
        <f>IF(SER_hh_fec!K27=0,0,11630*1000*SER_hh_fec!K27/SER_hh_num!K19)</f>
        <v>25.309740198511928</v>
      </c>
      <c r="L27" s="145">
        <f>IF(SER_hh_fec!L27=0,0,11630*1000*SER_hh_fec!L27/SER_hh_num!L19)</f>
        <v>38.95659409144298</v>
      </c>
      <c r="M27" s="145">
        <f>IF(SER_hh_fec!M27=0,0,11630*1000*SER_hh_fec!M27/SER_hh_num!M19)</f>
        <v>41.506293446687465</v>
      </c>
      <c r="N27" s="145">
        <f>IF(SER_hh_fec!N27=0,0,11630*1000*SER_hh_fec!N27/SER_hh_num!N19)</f>
        <v>42.032103746452947</v>
      </c>
      <c r="O27" s="145">
        <f>IF(SER_hh_fec!O27=0,0,11630*1000*SER_hh_fec!O27/SER_hh_num!O19)</f>
        <v>41.818340671556172</v>
      </c>
      <c r="P27" s="145">
        <f>IF(SER_hh_fec!P27=0,0,11630*1000*SER_hh_fec!P27/SER_hh_num!P19)</f>
        <v>41.183019404152027</v>
      </c>
      <c r="Q27" s="145">
        <f>IF(SER_hh_fec!Q27=0,0,11630*1000*SER_hh_fec!Q27/SER_hh_num!Q19)</f>
        <v>41.021812159309775</v>
      </c>
      <c r="R27" s="145">
        <f>IF(SER_hh_fec!R27=0,0,11630*1000*SER_hh_fec!R27/SER_hh_num!R19)</f>
        <v>39.886332111277177</v>
      </c>
      <c r="S27" s="145">
        <f>IF(SER_hh_fec!S27=0,0,11630*1000*SER_hh_fec!S27/SER_hh_num!S19)</f>
        <v>39.235874753127113</v>
      </c>
      <c r="T27" s="145">
        <f>IF(SER_hh_fec!T27=0,0,11630*1000*SER_hh_fec!T27/SER_hh_num!T19)</f>
        <v>38.464785592602539</v>
      </c>
      <c r="U27" s="145">
        <f>IF(SER_hh_fec!U27=0,0,11630*1000*SER_hh_fec!U27/SER_hh_num!U19)</f>
        <v>37.816598682231245</v>
      </c>
      <c r="V27" s="145">
        <f>IF(SER_hh_fec!V27=0,0,11630*1000*SER_hh_fec!V27/SER_hh_num!V19)</f>
        <v>37.276131523996561</v>
      </c>
      <c r="W27" s="145">
        <f>IF(SER_hh_fec!W27=0,0,11630*1000*SER_hh_fec!W27/SER_hh_num!W19)</f>
        <v>36.800883839718288</v>
      </c>
      <c r="X27" s="145">
        <f>IF(SER_hh_fec!X27=0,0,11630*1000*SER_hh_fec!X27/SER_hh_num!X19)</f>
        <v>36.379969505901023</v>
      </c>
      <c r="Y27" s="145">
        <f>IF(SER_hh_fec!Y27=0,0,11630*1000*SER_hh_fec!Y27/SER_hh_num!Y19)</f>
        <v>36.000805991862237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0</v>
      </c>
      <c r="C28" s="146">
        <f>IF(SER_hh_fec!C27=0,0,11630*1000*SER_hh_fec!C27/SER_hh_num!C27)</f>
        <v>0</v>
      </c>
      <c r="D28" s="146">
        <f>IF(SER_hh_fec!D27=0,0,11630*1000*SER_hh_fec!D27/SER_hh_num!D27)</f>
        <v>0</v>
      </c>
      <c r="E28" s="146">
        <f>IF(SER_hh_fec!E27=0,0,11630*1000*SER_hh_fec!E27/SER_hh_num!E27)</f>
        <v>0</v>
      </c>
      <c r="F28" s="146">
        <f>IF(SER_hh_fec!F27=0,0,11630*1000*SER_hh_fec!F27/SER_hh_num!F27)</f>
        <v>0</v>
      </c>
      <c r="G28" s="146">
        <f>IF(SER_hh_fec!G27=0,0,11630*1000*SER_hh_fec!G27/SER_hh_num!G27)</f>
        <v>0</v>
      </c>
      <c r="H28" s="146">
        <f>IF(SER_hh_fec!H27=0,0,11630*1000*SER_hh_fec!H27/SER_hh_num!H27)</f>
        <v>4706.6512213534088</v>
      </c>
      <c r="I28" s="146">
        <f>IF(SER_hh_fec!I27=0,0,11630*1000*SER_hh_fec!I27/SER_hh_num!I27)</f>
        <v>4677.3008724253314</v>
      </c>
      <c r="J28" s="146">
        <f>IF(SER_hh_fec!J27=0,0,11630*1000*SER_hh_fec!J27/SER_hh_num!J27)</f>
        <v>4820.5163510106013</v>
      </c>
      <c r="K28" s="146">
        <f>IF(SER_hh_fec!K27=0,0,11630*1000*SER_hh_fec!K27/SER_hh_num!K27)</f>
        <v>5073.8831786662759</v>
      </c>
      <c r="L28" s="146">
        <f>IF(SER_hh_fec!L27=0,0,11630*1000*SER_hh_fec!L27/SER_hh_num!L27)</f>
        <v>5212.8745287505835</v>
      </c>
      <c r="M28" s="146">
        <f>IF(SER_hh_fec!M27=0,0,11630*1000*SER_hh_fec!M27/SER_hh_num!M27)</f>
        <v>5140.83695987188</v>
      </c>
      <c r="N28" s="146">
        <f>IF(SER_hh_fec!N27=0,0,11630*1000*SER_hh_fec!N27/SER_hh_num!N27)</f>
        <v>5317.9764457434176</v>
      </c>
      <c r="O28" s="146">
        <f>IF(SER_hh_fec!O27=0,0,11630*1000*SER_hh_fec!O27/SER_hh_num!O27)</f>
        <v>5420.3826508333041</v>
      </c>
      <c r="P28" s="146">
        <f>IF(SER_hh_fec!P27=0,0,11630*1000*SER_hh_fec!P27/SER_hh_num!P27)</f>
        <v>5491.4537003043461</v>
      </c>
      <c r="Q28" s="146">
        <f>IF(SER_hh_fec!Q27=0,0,11630*1000*SER_hh_fec!Q27/SER_hh_num!Q27)</f>
        <v>5821.4288049585812</v>
      </c>
      <c r="R28" s="146">
        <f>IF(SER_hh_fec!R27=0,0,11630*1000*SER_hh_fec!R27/SER_hh_num!R27)</f>
        <v>5786.3843209466195</v>
      </c>
      <c r="S28" s="146">
        <f>IF(SER_hh_fec!S27=0,0,11630*1000*SER_hh_fec!S27/SER_hh_num!S27)</f>
        <v>5775.6423104873811</v>
      </c>
      <c r="T28" s="146">
        <f>IF(SER_hh_fec!T27=0,0,11630*1000*SER_hh_fec!T27/SER_hh_num!T27)</f>
        <v>5819.1864417960733</v>
      </c>
      <c r="U28" s="146">
        <f>IF(SER_hh_fec!U27=0,0,11630*1000*SER_hh_fec!U27/SER_hh_num!U27)</f>
        <v>5948.4371986321021</v>
      </c>
      <c r="V28" s="146">
        <f>IF(SER_hh_fec!V27=0,0,11630*1000*SER_hh_fec!V27/SER_hh_num!V27)</f>
        <v>5358.9264573796099</v>
      </c>
      <c r="W28" s="146">
        <f>IF(SER_hh_fec!W27=0,0,11630*1000*SER_hh_fec!W27/SER_hh_num!W27)</f>
        <v>5870.5428744187993</v>
      </c>
      <c r="X28" s="146">
        <f>IF(SER_hh_fec!X27=0,0,11630*1000*SER_hh_fec!X27/SER_hh_num!X27)</f>
        <v>5995.5174019893102</v>
      </c>
      <c r="Y28" s="146">
        <f>IF(SER_hh_fec!Y27=0,0,11630*1000*SER_hh_fec!Y27/SER_hh_num!Y27)</f>
        <v>6124.3843856917383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35232.151120340328</v>
      </c>
      <c r="C29" s="130">
        <f>IF(SER_hh_fec!C29=0,0,11630*1000*SER_hh_fec!C29/SER_hh_num!C29)</f>
        <v>35169.002938053505</v>
      </c>
      <c r="D29" s="130">
        <f>IF(SER_hh_fec!D29=0,0,11630*1000*SER_hh_fec!D29/SER_hh_num!D29)</f>
        <v>34711.581008397086</v>
      </c>
      <c r="E29" s="130">
        <f>IF(SER_hh_fec!E29=0,0,11630*1000*SER_hh_fec!E29/SER_hh_num!E29)</f>
        <v>34697.115692252024</v>
      </c>
      <c r="F29" s="130">
        <f>IF(SER_hh_fec!F29=0,0,11630*1000*SER_hh_fec!F29/SER_hh_num!F29)</f>
        <v>34573.888781211412</v>
      </c>
      <c r="G29" s="130">
        <f>IF(SER_hh_fec!G29=0,0,11630*1000*SER_hh_fec!G29/SER_hh_num!G29)</f>
        <v>35129.139429210409</v>
      </c>
      <c r="H29" s="130">
        <f>IF(SER_hh_fec!H29=0,0,11630*1000*SER_hh_fec!H29/SER_hh_num!H29)</f>
        <v>35008.495735460951</v>
      </c>
      <c r="I29" s="130">
        <f>IF(SER_hh_fec!I29=0,0,11630*1000*SER_hh_fec!I29/SER_hh_num!I29)</f>
        <v>34507.057811204177</v>
      </c>
      <c r="J29" s="130">
        <f>IF(SER_hh_fec!J29=0,0,11630*1000*SER_hh_fec!J29/SER_hh_num!J29)</f>
        <v>35591.595869626137</v>
      </c>
      <c r="K29" s="130">
        <f>IF(SER_hh_fec!K29=0,0,11630*1000*SER_hh_fec!K29/SER_hh_num!K29)</f>
        <v>33072.806781005609</v>
      </c>
      <c r="L29" s="130">
        <f>IF(SER_hh_fec!L29=0,0,11630*1000*SER_hh_fec!L29/SER_hh_num!L29)</f>
        <v>35379.457529890184</v>
      </c>
      <c r="M29" s="130">
        <f>IF(SER_hh_fec!M29=0,0,11630*1000*SER_hh_fec!M29/SER_hh_num!M29)</f>
        <v>36647.154348877848</v>
      </c>
      <c r="N29" s="130">
        <f>IF(SER_hh_fec!N29=0,0,11630*1000*SER_hh_fec!N29/SER_hh_num!N29)</f>
        <v>37610.808670524704</v>
      </c>
      <c r="O29" s="130">
        <f>IF(SER_hh_fec!O29=0,0,11630*1000*SER_hh_fec!O29/SER_hh_num!O29)</f>
        <v>39096.896009123229</v>
      </c>
      <c r="P29" s="130">
        <f>IF(SER_hh_fec!P29=0,0,11630*1000*SER_hh_fec!P29/SER_hh_num!P29)</f>
        <v>37946.131693940442</v>
      </c>
      <c r="Q29" s="130">
        <f>IF(SER_hh_fec!Q29=0,0,11630*1000*SER_hh_fec!Q29/SER_hh_num!Q29)</f>
        <v>39225.20596298774</v>
      </c>
      <c r="R29" s="130">
        <f>IF(SER_hh_fec!R29=0,0,11630*1000*SER_hh_fec!R29/SER_hh_num!R29)</f>
        <v>38147.387775635645</v>
      </c>
      <c r="S29" s="130">
        <f>IF(SER_hh_fec!S29=0,0,11630*1000*SER_hh_fec!S29/SER_hh_num!S29)</f>
        <v>38251.402350534408</v>
      </c>
      <c r="T29" s="130">
        <f>IF(SER_hh_fec!T29=0,0,11630*1000*SER_hh_fec!T29/SER_hh_num!T29)</f>
        <v>38296.292884090879</v>
      </c>
      <c r="U29" s="130">
        <f>IF(SER_hh_fec!U29=0,0,11630*1000*SER_hh_fec!U29/SER_hh_num!U29)</f>
        <v>38611.432605290182</v>
      </c>
      <c r="V29" s="130">
        <f>IF(SER_hh_fec!V29=0,0,11630*1000*SER_hh_fec!V29/SER_hh_num!V29)</f>
        <v>34584.726117573053</v>
      </c>
      <c r="W29" s="130">
        <f>IF(SER_hh_fec!W29=0,0,11630*1000*SER_hh_fec!W29/SER_hh_num!W29)</f>
        <v>39298.544539579234</v>
      </c>
      <c r="X29" s="130">
        <f>IF(SER_hh_fec!X29=0,0,11630*1000*SER_hh_fec!X29/SER_hh_num!X29)</f>
        <v>38494.23914480886</v>
      </c>
      <c r="Y29" s="130">
        <f>IF(SER_hh_fec!Y29=0,0,11630*1000*SER_hh_fec!Y29/SER_hh_num!Y29)</f>
        <v>38033.503729583317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38766.679460997795</v>
      </c>
      <c r="C30" s="132">
        <f>IF(SER_hh_fec!C30=0,0,11630*1000*SER_hh_fec!C30/SER_hh_num!C30)</f>
        <v>40873.161030606214</v>
      </c>
      <c r="D30" s="132">
        <f>IF(SER_hh_fec!D30=0,0,11630*1000*SER_hh_fec!D30/SER_hh_num!D30)</f>
        <v>39326.010890590835</v>
      </c>
      <c r="E30" s="132">
        <f>IF(SER_hh_fec!E30=0,0,11630*1000*SER_hh_fec!E30/SER_hh_num!E30)</f>
        <v>38365.605529998684</v>
      </c>
      <c r="F30" s="132">
        <f>IF(SER_hh_fec!F30=0,0,11630*1000*SER_hh_fec!F30/SER_hh_num!F30)</f>
        <v>37960.691147880061</v>
      </c>
      <c r="G30" s="132">
        <f>IF(SER_hh_fec!G30=0,0,11630*1000*SER_hh_fec!G30/SER_hh_num!G30)</f>
        <v>40509.536550017314</v>
      </c>
      <c r="H30" s="132">
        <f>IF(SER_hh_fec!H30=0,0,11630*1000*SER_hh_fec!H30/SER_hh_num!H30)</f>
        <v>39289.914136657288</v>
      </c>
      <c r="I30" s="132">
        <f>IF(SER_hh_fec!I30=0,0,11630*1000*SER_hh_fec!I30/SER_hh_num!I30)</f>
        <v>37716.323864634382</v>
      </c>
      <c r="J30" s="132">
        <f>IF(SER_hh_fec!J30=0,0,11630*1000*SER_hh_fec!J30/SER_hh_num!J30)</f>
        <v>43467.28486380609</v>
      </c>
      <c r="K30" s="132">
        <f>IF(SER_hh_fec!K30=0,0,11630*1000*SER_hh_fec!K30/SER_hh_num!K30)</f>
        <v>32893.286364184984</v>
      </c>
      <c r="L30" s="132">
        <f>IF(SER_hh_fec!L30=0,0,11630*1000*SER_hh_fec!L30/SER_hh_num!L30)</f>
        <v>42111.778097932416</v>
      </c>
      <c r="M30" s="132">
        <f>IF(SER_hh_fec!M30=0,0,11630*1000*SER_hh_fec!M30/SER_hh_num!M30)</f>
        <v>41616.062544291453</v>
      </c>
      <c r="N30" s="132">
        <f>IF(SER_hh_fec!N30=0,0,11630*1000*SER_hh_fec!N30/SER_hh_num!N30)</f>
        <v>40583.957127639071</v>
      </c>
      <c r="O30" s="132">
        <f>IF(SER_hh_fec!O30=0,0,11630*1000*SER_hh_fec!O30/SER_hh_num!O30)</f>
        <v>47810.233974158109</v>
      </c>
      <c r="P30" s="132">
        <f>IF(SER_hh_fec!P30=0,0,11630*1000*SER_hh_fec!P30/SER_hh_num!P30)</f>
        <v>40998.39207031532</v>
      </c>
      <c r="Q30" s="132">
        <f>IF(SER_hh_fec!Q30=0,0,11630*1000*SER_hh_fec!Q30/SER_hh_num!Q30)</f>
        <v>46293.917519195755</v>
      </c>
      <c r="R30" s="132">
        <f>IF(SER_hh_fec!R30=0,0,11630*1000*SER_hh_fec!R30/SER_hh_num!R30)</f>
        <v>42035.577399923153</v>
      </c>
      <c r="S30" s="132">
        <f>IF(SER_hh_fec!S30=0,0,11630*1000*SER_hh_fec!S30/SER_hh_num!S30)</f>
        <v>43510.172665548656</v>
      </c>
      <c r="T30" s="132">
        <f>IF(SER_hh_fec!T30=0,0,11630*1000*SER_hh_fec!T30/SER_hh_num!T30)</f>
        <v>47092.344594463881</v>
      </c>
      <c r="U30" s="132">
        <f>IF(SER_hh_fec!U30=0,0,11630*1000*SER_hh_fec!U30/SER_hh_num!U30)</f>
        <v>47436.693664640741</v>
      </c>
      <c r="V30" s="132">
        <f>IF(SER_hh_fec!V30=0,0,11630*1000*SER_hh_fec!V30/SER_hh_num!V30)</f>
        <v>39746.724512415843</v>
      </c>
      <c r="W30" s="132">
        <f>IF(SER_hh_fec!W30=0,0,11630*1000*SER_hh_fec!W30/SER_hh_num!W30)</f>
        <v>45046.994183443196</v>
      </c>
      <c r="X30" s="132">
        <f>IF(SER_hh_fec!X30=0,0,11630*1000*SER_hh_fec!X30/SER_hh_num!X30)</f>
        <v>45659.211088248558</v>
      </c>
      <c r="Y30" s="132">
        <f>IF(SER_hh_fec!Y30=0,0,11630*1000*SER_hh_fec!Y30/SER_hh_num!Y30)</f>
        <v>46704.352426143494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40242.088914887914</v>
      </c>
      <c r="C31" s="132">
        <f>IF(SER_hh_fec!C31=0,0,11630*1000*SER_hh_fec!C31/SER_hh_num!C31)</f>
        <v>39744.838867897008</v>
      </c>
      <c r="D31" s="132">
        <f>IF(SER_hh_fec!D31=0,0,11630*1000*SER_hh_fec!D31/SER_hh_num!D31)</f>
        <v>39018.336298213471</v>
      </c>
      <c r="E31" s="132">
        <f>IF(SER_hh_fec!E31=0,0,11630*1000*SER_hh_fec!E31/SER_hh_num!E31)</f>
        <v>38476.674730562074</v>
      </c>
      <c r="F31" s="132">
        <f>IF(SER_hh_fec!F31=0,0,11630*1000*SER_hh_fec!F31/SER_hh_num!F31)</f>
        <v>38778.317325289521</v>
      </c>
      <c r="G31" s="132">
        <f>IF(SER_hh_fec!G31=0,0,11630*1000*SER_hh_fec!G31/SER_hh_num!G31)</f>
        <v>38628.189363926998</v>
      </c>
      <c r="H31" s="132">
        <f>IF(SER_hh_fec!H31=0,0,11630*1000*SER_hh_fec!H31/SER_hh_num!H31)</f>
        <v>38760.497911831051</v>
      </c>
      <c r="I31" s="132">
        <f>IF(SER_hh_fec!I31=0,0,11630*1000*SER_hh_fec!I31/SER_hh_num!I31)</f>
        <v>37890.210221368172</v>
      </c>
      <c r="J31" s="132">
        <f>IF(SER_hh_fec!J31=0,0,11630*1000*SER_hh_fec!J31/SER_hh_num!J31)</f>
        <v>37483.42987537189</v>
      </c>
      <c r="K31" s="132">
        <f>IF(SER_hh_fec!K31=0,0,11630*1000*SER_hh_fec!K31/SER_hh_num!K31)</f>
        <v>38321.833971346881</v>
      </c>
      <c r="L31" s="132">
        <f>IF(SER_hh_fec!L31=0,0,11630*1000*SER_hh_fec!L31/SER_hh_num!L31)</f>
        <v>40131.939417430571</v>
      </c>
      <c r="M31" s="132">
        <f>IF(SER_hh_fec!M31=0,0,11630*1000*SER_hh_fec!M31/SER_hh_num!M31)</f>
        <v>38623.323484103152</v>
      </c>
      <c r="N31" s="132">
        <f>IF(SER_hh_fec!N31=0,0,11630*1000*SER_hh_fec!N31/SER_hh_num!N31)</f>
        <v>41853.576272812184</v>
      </c>
      <c r="O31" s="132">
        <f>IF(SER_hh_fec!O31=0,0,11630*1000*SER_hh_fec!O31/SER_hh_num!O31)</f>
        <v>42624.516976677485</v>
      </c>
      <c r="P31" s="132">
        <f>IF(SER_hh_fec!P31=0,0,11630*1000*SER_hh_fec!P31/SER_hh_num!P31)</f>
        <v>42499.301089502995</v>
      </c>
      <c r="Q31" s="132">
        <f>IF(SER_hh_fec!Q31=0,0,11630*1000*SER_hh_fec!Q31/SER_hh_num!Q31)</f>
        <v>45756.571636653636</v>
      </c>
      <c r="R31" s="132">
        <f>IF(SER_hh_fec!R31=0,0,11630*1000*SER_hh_fec!R31/SER_hh_num!R31)</f>
        <v>44500.448931236686</v>
      </c>
      <c r="S31" s="132">
        <f>IF(SER_hh_fec!S31=0,0,11630*1000*SER_hh_fec!S31/SER_hh_num!S31)</f>
        <v>43278.81479659873</v>
      </c>
      <c r="T31" s="132">
        <f>IF(SER_hh_fec!T31=0,0,11630*1000*SER_hh_fec!T31/SER_hh_num!T31)</f>
        <v>44644.992695190842</v>
      </c>
      <c r="U31" s="132">
        <f>IF(SER_hh_fec!U31=0,0,11630*1000*SER_hh_fec!U31/SER_hh_num!U31)</f>
        <v>46037.879531249979</v>
      </c>
      <c r="V31" s="132">
        <f>IF(SER_hh_fec!V31=0,0,11630*1000*SER_hh_fec!V31/SER_hh_num!V31)</f>
        <v>36112.993151254115</v>
      </c>
      <c r="W31" s="132">
        <f>IF(SER_hh_fec!W31=0,0,11630*1000*SER_hh_fec!W31/SER_hh_num!W31)</f>
        <v>48886.345347983159</v>
      </c>
      <c r="X31" s="132">
        <f>IF(SER_hh_fec!X31=0,0,11630*1000*SER_hh_fec!X31/SER_hh_num!X31)</f>
        <v>46545.035302537959</v>
      </c>
      <c r="Y31" s="132">
        <f>IF(SER_hh_fec!Y31=0,0,11630*1000*SER_hh_fec!Y31/SER_hh_num!Y31)</f>
        <v>44215.485271924248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0</v>
      </c>
      <c r="H32" s="132">
        <f>IF(SER_hh_fec!H32=0,0,11630*1000*SER_hh_fec!H32/SER_hh_num!H32)</f>
        <v>0</v>
      </c>
      <c r="I32" s="132">
        <f>IF(SER_hh_fec!I32=0,0,11630*1000*SER_hh_fec!I32/SER_hh_num!I32)</f>
        <v>0</v>
      </c>
      <c r="J32" s="132">
        <f>IF(SER_hh_fec!J32=0,0,11630*1000*SER_hh_fec!J32/SER_hh_num!J32)</f>
        <v>0</v>
      </c>
      <c r="K32" s="132">
        <f>IF(SER_hh_fec!K32=0,0,11630*1000*SER_hh_fec!K32/SER_hh_num!K32)</f>
        <v>0</v>
      </c>
      <c r="L32" s="132">
        <f>IF(SER_hh_fec!L32=0,0,11630*1000*SER_hh_fec!L32/SER_hh_num!L32)</f>
        <v>0</v>
      </c>
      <c r="M32" s="132">
        <f>IF(SER_hh_fec!M32=0,0,11630*1000*SER_hh_fec!M32/SER_hh_num!M32)</f>
        <v>0</v>
      </c>
      <c r="N32" s="132">
        <f>IF(SER_hh_fec!N32=0,0,11630*1000*SER_hh_fec!N32/SER_hh_num!N32)</f>
        <v>0</v>
      </c>
      <c r="O32" s="132">
        <f>IF(SER_hh_fec!O32=0,0,11630*1000*SER_hh_fec!O32/SER_hh_num!O32)</f>
        <v>0</v>
      </c>
      <c r="P32" s="132">
        <f>IF(SER_hh_fec!P32=0,0,11630*1000*SER_hh_fec!P32/SER_hh_num!P32)</f>
        <v>0</v>
      </c>
      <c r="Q32" s="132">
        <f>IF(SER_hh_fec!Q32=0,0,11630*1000*SER_hh_fec!Q32/SER_hh_num!Q32)</f>
        <v>0</v>
      </c>
      <c r="R32" s="132">
        <f>IF(SER_hh_fec!R32=0,0,11630*1000*SER_hh_fec!R32/SER_hh_num!R32)</f>
        <v>0</v>
      </c>
      <c r="S32" s="132">
        <f>IF(SER_hh_fec!S32=0,0,11630*1000*SER_hh_fec!S32/SER_hh_num!S32)</f>
        <v>0</v>
      </c>
      <c r="T32" s="132">
        <f>IF(SER_hh_fec!T32=0,0,11630*1000*SER_hh_fec!T32/SER_hh_num!T32)</f>
        <v>0</v>
      </c>
      <c r="U32" s="132">
        <f>IF(SER_hh_fec!U32=0,0,11630*1000*SER_hh_fec!U32/SER_hh_num!U32)</f>
        <v>0</v>
      </c>
      <c r="V32" s="132">
        <f>IF(SER_hh_fec!V32=0,0,11630*1000*SER_hh_fec!V32/SER_hh_num!V32)</f>
        <v>0</v>
      </c>
      <c r="W32" s="132">
        <f>IF(SER_hh_fec!W32=0,0,11630*1000*SER_hh_fec!W32/SER_hh_num!W32)</f>
        <v>0</v>
      </c>
      <c r="X32" s="132">
        <f>IF(SER_hh_fec!X32=0,0,11630*1000*SER_hh_fec!X32/SER_hh_num!X32)</f>
        <v>0</v>
      </c>
      <c r="Y32" s="132">
        <f>IF(SER_hh_fec!Y32=0,0,11630*1000*SER_hh_fec!Y32/SER_hh_num!Y32)</f>
        <v>0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31271.983938868128</v>
      </c>
      <c r="C33" s="68">
        <f>IF(SER_hh_fec!C33=0,0,11630*1000*SER_hh_fec!C33/SER_hh_num!C33)</f>
        <v>29913.757418440291</v>
      </c>
      <c r="D33" s="68">
        <f>IF(SER_hh_fec!D33=0,0,11630*1000*SER_hh_fec!D33/SER_hh_num!D33)</f>
        <v>30146.291979737598</v>
      </c>
      <c r="E33" s="68">
        <f>IF(SER_hh_fec!E33=0,0,11630*1000*SER_hh_fec!E33/SER_hh_num!E33)</f>
        <v>30686.950680982794</v>
      </c>
      <c r="F33" s="68">
        <f>IF(SER_hh_fec!F33=0,0,11630*1000*SER_hh_fec!F33/SER_hh_num!F33)</f>
        <v>30241.308731448211</v>
      </c>
      <c r="G33" s="68">
        <f>IF(SER_hh_fec!G33=0,0,11630*1000*SER_hh_fec!G33/SER_hh_num!G33)</f>
        <v>28569.119111570632</v>
      </c>
      <c r="H33" s="68">
        <f>IF(SER_hh_fec!H33=0,0,11630*1000*SER_hh_fec!H33/SER_hh_num!H33)</f>
        <v>29056.843583888276</v>
      </c>
      <c r="I33" s="68">
        <f>IF(SER_hh_fec!I33=0,0,11630*1000*SER_hh_fec!I33/SER_hh_num!I33)</f>
        <v>29562.626332539545</v>
      </c>
      <c r="J33" s="68">
        <f>IF(SER_hh_fec!J33=0,0,11630*1000*SER_hh_fec!J33/SER_hh_num!J33)</f>
        <v>26216.193007782618</v>
      </c>
      <c r="K33" s="68">
        <f>IF(SER_hh_fec!K33=0,0,11630*1000*SER_hh_fec!K33/SER_hh_num!K33)</f>
        <v>31411.714286699305</v>
      </c>
      <c r="L33" s="68">
        <f>IF(SER_hh_fec!L33=0,0,11630*1000*SER_hh_fec!L33/SER_hh_num!L33)</f>
        <v>26054.225568875027</v>
      </c>
      <c r="M33" s="68">
        <f>IF(SER_hh_fec!M33=0,0,11630*1000*SER_hh_fec!M33/SER_hh_num!M33)</f>
        <v>30487.437194824415</v>
      </c>
      <c r="N33" s="68">
        <f>IF(SER_hh_fec!N33=0,0,11630*1000*SER_hh_fec!N33/SER_hh_num!N33)</f>
        <v>33204.006374554621</v>
      </c>
      <c r="O33" s="68">
        <f>IF(SER_hh_fec!O33=0,0,11630*1000*SER_hh_fec!O33/SER_hh_num!O33)</f>
        <v>29378.288507473051</v>
      </c>
      <c r="P33" s="68">
        <f>IF(SER_hh_fec!P33=0,0,11630*1000*SER_hh_fec!P33/SER_hh_num!P33)</f>
        <v>34197.074761478449</v>
      </c>
      <c r="Q33" s="68">
        <f>IF(SER_hh_fec!Q33=0,0,11630*1000*SER_hh_fec!Q33/SER_hh_num!Q33)</f>
        <v>32230.087267972871</v>
      </c>
      <c r="R33" s="68">
        <f>IF(SER_hh_fec!R33=0,0,11630*1000*SER_hh_fec!R33/SER_hh_num!R33)</f>
        <v>34198.829161325863</v>
      </c>
      <c r="S33" s="68">
        <f>IF(SER_hh_fec!S33=0,0,11630*1000*SER_hh_fec!S33/SER_hh_num!S33)</f>
        <v>33934.681412741687</v>
      </c>
      <c r="T33" s="68">
        <f>IF(SER_hh_fec!T33=0,0,11630*1000*SER_hh_fec!T33/SER_hh_num!T33)</f>
        <v>31763.629306893181</v>
      </c>
      <c r="U33" s="68">
        <f>IF(SER_hh_fec!U33=0,0,11630*1000*SER_hh_fec!U33/SER_hh_num!U33)</f>
        <v>32123.394525459844</v>
      </c>
      <c r="V33" s="68">
        <f>IF(SER_hh_fec!V33=0,0,11630*1000*SER_hh_fec!V33/SER_hh_num!V33)</f>
        <v>31619.812232969009</v>
      </c>
      <c r="W33" s="68">
        <f>IF(SER_hh_fec!W33=0,0,11630*1000*SER_hh_fec!W33/SER_hh_num!W33)</f>
        <v>34335.678847125011</v>
      </c>
      <c r="X33" s="68">
        <f>IF(SER_hh_fec!X33=0,0,11630*1000*SER_hh_fec!X33/SER_hh_num!X33)</f>
        <v>32901.345424342566</v>
      </c>
      <c r="Y33" s="68">
        <f>IF(SER_hh_fec!Y33=0,0,11630*1000*SER_hh_fec!Y33/SER_hh_num!Y33)</f>
        <v>31553.083041983729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160343.77821991302</v>
      </c>
      <c r="C3" s="125">
        <f>IF(SER_hh_tes!C3=0,0,11630*1000*SER_hh_tes!C3/SER_hh_num!C3)</f>
        <v>161348.12780126624</v>
      </c>
      <c r="D3" s="125">
        <f>IF(SER_hh_tes!D3=0,0,11630*1000*SER_hh_tes!D3/SER_hh_num!D3)</f>
        <v>163422.20857712184</v>
      </c>
      <c r="E3" s="125">
        <f>IF(SER_hh_tes!E3=0,0,11630*1000*SER_hh_tes!E3/SER_hh_num!E3)</f>
        <v>174591.31684294157</v>
      </c>
      <c r="F3" s="125">
        <f>IF(SER_hh_tes!F3=0,0,11630*1000*SER_hh_tes!F3/SER_hh_num!F3)</f>
        <v>168212.78551376532</v>
      </c>
      <c r="G3" s="125">
        <f>IF(SER_hh_tes!G3=0,0,11630*1000*SER_hh_tes!G3/SER_hh_num!G3)</f>
        <v>178906.41111295909</v>
      </c>
      <c r="H3" s="125">
        <f>IF(SER_hh_tes!H3=0,0,11630*1000*SER_hh_tes!H3/SER_hh_num!H3)</f>
        <v>189390.98925027798</v>
      </c>
      <c r="I3" s="125">
        <f>IF(SER_hh_tes!I3=0,0,11630*1000*SER_hh_tes!I3/SER_hh_num!I3)</f>
        <v>184322.38050621233</v>
      </c>
      <c r="J3" s="125">
        <f>IF(SER_hh_tes!J3=0,0,11630*1000*SER_hh_tes!J3/SER_hh_num!J3)</f>
        <v>194360.28483226176</v>
      </c>
      <c r="K3" s="125">
        <f>IF(SER_hh_tes!K3=0,0,11630*1000*SER_hh_tes!K3/SER_hh_num!K3)</f>
        <v>181823.00739367076</v>
      </c>
      <c r="L3" s="125">
        <f>IF(SER_hh_tes!L3=0,0,11630*1000*SER_hh_tes!L3/SER_hh_num!L3)</f>
        <v>186516.71539615985</v>
      </c>
      <c r="M3" s="125">
        <f>IF(SER_hh_tes!M3=0,0,11630*1000*SER_hh_tes!M3/SER_hh_num!M3)</f>
        <v>183473.62062457207</v>
      </c>
      <c r="N3" s="125">
        <f>IF(SER_hh_tes!N3=0,0,11630*1000*SER_hh_tes!N3/SER_hh_num!N3)</f>
        <v>189301.25496584934</v>
      </c>
      <c r="O3" s="125">
        <f>IF(SER_hh_tes!O3=0,0,11630*1000*SER_hh_tes!O3/SER_hh_num!O3)</f>
        <v>196254.77515354709</v>
      </c>
      <c r="P3" s="125">
        <f>IF(SER_hh_tes!P3=0,0,11630*1000*SER_hh_tes!P3/SER_hh_num!P3)</f>
        <v>184123.94657222295</v>
      </c>
      <c r="Q3" s="125">
        <f>IF(SER_hh_tes!Q3=0,0,11630*1000*SER_hh_tes!Q3/SER_hh_num!Q3)</f>
        <v>205916.87468125101</v>
      </c>
      <c r="R3" s="125">
        <f>IF(SER_hh_tes!R3=0,0,11630*1000*SER_hh_tes!R3/SER_hh_num!R3)</f>
        <v>200335.08838198878</v>
      </c>
      <c r="S3" s="125">
        <f>IF(SER_hh_tes!S3=0,0,11630*1000*SER_hh_tes!S3/SER_hh_num!S3)</f>
        <v>194650.32977069751</v>
      </c>
      <c r="T3" s="125">
        <f>IF(SER_hh_tes!T3=0,0,11630*1000*SER_hh_tes!T3/SER_hh_num!T3)</f>
        <v>214346.23595742157</v>
      </c>
      <c r="U3" s="125">
        <f>IF(SER_hh_tes!U3=0,0,11630*1000*SER_hh_tes!U3/SER_hh_num!U3)</f>
        <v>220733.21388021437</v>
      </c>
      <c r="V3" s="125">
        <f>IF(SER_hh_tes!V3=0,0,11630*1000*SER_hh_tes!V3/SER_hh_num!V3)</f>
        <v>190662.92407380161</v>
      </c>
      <c r="W3" s="125">
        <f>IF(SER_hh_tes!W3=0,0,11630*1000*SER_hh_tes!W3/SER_hh_num!W3)</f>
        <v>197279.49148860967</v>
      </c>
      <c r="X3" s="125">
        <f>IF(SER_hh_tes!X3=0,0,11630*1000*SER_hh_tes!X3/SER_hh_num!X3)</f>
        <v>196361.02485682812</v>
      </c>
      <c r="Y3" s="125">
        <f>IF(SER_hh_tes!Y3=0,0,11630*1000*SER_hh_tes!Y3/SER_hh_num!Y3)</f>
        <v>194341.97720172905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111201.6608560367</v>
      </c>
      <c r="C4" s="130">
        <f>IF(SER_hh_tes!C4=0,0,11630*1000*SER_hh_tes!C4/SER_hh_num!C4)</f>
        <v>111983.27893417444</v>
      </c>
      <c r="D4" s="130">
        <f>IF(SER_hh_tes!D4=0,0,11630*1000*SER_hh_tes!D4/SER_hh_num!D4)</f>
        <v>114066.46491884071</v>
      </c>
      <c r="E4" s="130">
        <f>IF(SER_hh_tes!E4=0,0,11630*1000*SER_hh_tes!E4/SER_hh_num!E4)</f>
        <v>125192.25555874291</v>
      </c>
      <c r="F4" s="130">
        <f>IF(SER_hh_tes!F4=0,0,11630*1000*SER_hh_tes!F4/SER_hh_num!F4)</f>
        <v>118944.25937452891</v>
      </c>
      <c r="G4" s="130">
        <f>IF(SER_hh_tes!G4=0,0,11630*1000*SER_hh_tes!G4/SER_hh_num!G4)</f>
        <v>128946.11387452025</v>
      </c>
      <c r="H4" s="130">
        <f>IF(SER_hh_tes!H4=0,0,11630*1000*SER_hh_tes!H4/SER_hh_num!H4)</f>
        <v>139043.35882922006</v>
      </c>
      <c r="I4" s="130">
        <f>IF(SER_hh_tes!I4=0,0,11630*1000*SER_hh_tes!I4/SER_hh_num!I4)</f>
        <v>134217.65158521006</v>
      </c>
      <c r="J4" s="130">
        <f>IF(SER_hh_tes!J4=0,0,11630*1000*SER_hh_tes!J4/SER_hh_num!J4)</f>
        <v>143356.78146056691</v>
      </c>
      <c r="K4" s="130">
        <f>IF(SER_hh_tes!K4=0,0,11630*1000*SER_hh_tes!K4/SER_hh_num!K4)</f>
        <v>130345.34773114936</v>
      </c>
      <c r="L4" s="130">
        <f>IF(SER_hh_tes!L4=0,0,11630*1000*SER_hh_tes!L4/SER_hh_num!L4)</f>
        <v>132868.98609507535</v>
      </c>
      <c r="M4" s="130">
        <f>IF(SER_hh_tes!M4=0,0,11630*1000*SER_hh_tes!M4/SER_hh_num!M4)</f>
        <v>128466.31145563876</v>
      </c>
      <c r="N4" s="130">
        <f>IF(SER_hh_tes!N4=0,0,11630*1000*SER_hh_tes!N4/SER_hh_num!N4)</f>
        <v>132420.85393036503</v>
      </c>
      <c r="O4" s="130">
        <f>IF(SER_hh_tes!O4=0,0,11630*1000*SER_hh_tes!O4/SER_hh_num!O4)</f>
        <v>138156.04320493355</v>
      </c>
      <c r="P4" s="130">
        <f>IF(SER_hh_tes!P4=0,0,11630*1000*SER_hh_tes!P4/SER_hh_num!P4)</f>
        <v>125153.77583153246</v>
      </c>
      <c r="Q4" s="130">
        <f>IF(SER_hh_tes!Q4=0,0,11630*1000*SER_hh_tes!Q4/SER_hh_num!Q4)</f>
        <v>144865.7541659401</v>
      </c>
      <c r="R4" s="130">
        <f>IF(SER_hh_tes!R4=0,0,11630*1000*SER_hh_tes!R4/SER_hh_num!R4)</f>
        <v>139549.19135946687</v>
      </c>
      <c r="S4" s="130">
        <f>IF(SER_hh_tes!S4=0,0,11630*1000*SER_hh_tes!S4/SER_hh_num!S4)</f>
        <v>133481.34040456166</v>
      </c>
      <c r="T4" s="130">
        <f>IF(SER_hh_tes!T4=0,0,11630*1000*SER_hh_tes!T4/SER_hh_num!T4)</f>
        <v>152848.60443378918</v>
      </c>
      <c r="U4" s="130">
        <f>IF(SER_hh_tes!U4=0,0,11630*1000*SER_hh_tes!U4/SER_hh_num!U4)</f>
        <v>157845.01509127091</v>
      </c>
      <c r="V4" s="130">
        <f>IF(SER_hh_tes!V4=0,0,11630*1000*SER_hh_tes!V4/SER_hh_num!V4)</f>
        <v>131921.36453943851</v>
      </c>
      <c r="W4" s="130">
        <f>IF(SER_hh_tes!W4=0,0,11630*1000*SER_hh_tes!W4/SER_hh_num!W4)</f>
        <v>132840.7712247695</v>
      </c>
      <c r="X4" s="130">
        <f>IF(SER_hh_tes!X4=0,0,11630*1000*SER_hh_tes!X4/SER_hh_num!X4)</f>
        <v>132684.61388084872</v>
      </c>
      <c r="Y4" s="130">
        <f>IF(SER_hh_tes!Y4=0,0,11630*1000*SER_hh_tes!Y4/SER_hh_num!Y4)</f>
        <v>131606.44220127276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57804.529844893848</v>
      </c>
      <c r="C5" s="132">
        <f>IF(SER_hh_tes!C5=0,0,11630*1000*SER_hh_tes!C5/SER_hh_num!C5)</f>
        <v>65815.48547286239</v>
      </c>
      <c r="D5" s="132">
        <f>IF(SER_hh_tes!D5=0,0,11630*1000*SER_hh_tes!D5/SER_hh_num!D5)</f>
        <v>33482.43296301394</v>
      </c>
      <c r="E5" s="132">
        <f>IF(SER_hh_tes!E5=0,0,11630*1000*SER_hh_tes!E5/SER_hh_num!E5)</f>
        <v>183206.14620047866</v>
      </c>
      <c r="F5" s="132">
        <f>IF(SER_hh_tes!F5=0,0,11630*1000*SER_hh_tes!F5/SER_hh_num!F5)</f>
        <v>155990.76535825146</v>
      </c>
      <c r="G5" s="132">
        <f>IF(SER_hh_tes!G5=0,0,11630*1000*SER_hh_tes!G5/SER_hh_num!G5)</f>
        <v>153874.68856984636</v>
      </c>
      <c r="H5" s="132">
        <f>IF(SER_hh_tes!H5=0,0,11630*1000*SER_hh_tes!H5/SER_hh_num!H5)</f>
        <v>155217.93014328161</v>
      </c>
      <c r="I5" s="132">
        <f>IF(SER_hh_tes!I5=0,0,11630*1000*SER_hh_tes!I5/SER_hh_num!I5)</f>
        <v>162166.67257374775</v>
      </c>
      <c r="J5" s="132">
        <f>IF(SER_hh_tes!J5=0,0,11630*1000*SER_hh_tes!J5/SER_hh_num!J5)</f>
        <v>195689.78259261817</v>
      </c>
      <c r="K5" s="132">
        <f>IF(SER_hh_tes!K5=0,0,11630*1000*SER_hh_tes!K5/SER_hh_num!K5)</f>
        <v>10404.778299804006</v>
      </c>
      <c r="L5" s="132">
        <f>IF(SER_hh_tes!L5=0,0,11630*1000*SER_hh_tes!L5/SER_hh_num!L5)</f>
        <v>39393.640006904941</v>
      </c>
      <c r="M5" s="132">
        <f>IF(SER_hh_tes!M5=0,0,11630*1000*SER_hh_tes!M5/SER_hh_num!M5)</f>
        <v>176201.3472633448</v>
      </c>
      <c r="N5" s="132">
        <f>IF(SER_hh_tes!N5=0,0,11630*1000*SER_hh_tes!N5/SER_hh_num!N5)</f>
        <v>102621.9834815144</v>
      </c>
      <c r="O5" s="132">
        <f>IF(SER_hh_tes!O5=0,0,11630*1000*SER_hh_tes!O5/SER_hh_num!O5)</f>
        <v>124254.83775906065</v>
      </c>
      <c r="P5" s="132">
        <f>IF(SER_hh_tes!P5=0,0,11630*1000*SER_hh_tes!P5/SER_hh_num!P5)</f>
        <v>98871.885148758607</v>
      </c>
      <c r="Q5" s="132">
        <f>IF(SER_hh_tes!Q5=0,0,11630*1000*SER_hh_tes!Q5/SER_hh_num!Q5)</f>
        <v>97339.015340592174</v>
      </c>
      <c r="R5" s="132">
        <f>IF(SER_hh_tes!R5=0,0,11630*1000*SER_hh_tes!R5/SER_hh_num!R5)</f>
        <v>171234.2601961834</v>
      </c>
      <c r="S5" s="132">
        <f>IF(SER_hh_tes!S5=0,0,11630*1000*SER_hh_tes!S5/SER_hh_num!S5)</f>
        <v>143615.97435471314</v>
      </c>
      <c r="T5" s="132">
        <f>IF(SER_hh_tes!T5=0,0,11630*1000*SER_hh_tes!T5/SER_hh_num!T5)</f>
        <v>162217.60951749037</v>
      </c>
      <c r="U5" s="132">
        <f>IF(SER_hh_tes!U5=0,0,11630*1000*SER_hh_tes!U5/SER_hh_num!U5)</f>
        <v>168032.14045585087</v>
      </c>
      <c r="V5" s="132">
        <f>IF(SER_hh_tes!V5=0,0,11630*1000*SER_hh_tes!V5/SER_hh_num!V5)</f>
        <v>92983.846293464623</v>
      </c>
      <c r="W5" s="132">
        <f>IF(SER_hh_tes!W5=0,0,11630*1000*SER_hh_tes!W5/SER_hh_num!W5)</f>
        <v>119758.44201857017</v>
      </c>
      <c r="X5" s="132">
        <f>IF(SER_hh_tes!X5=0,0,11630*1000*SER_hh_tes!X5/SER_hh_num!X5)</f>
        <v>133866.92551634568</v>
      </c>
      <c r="Y5" s="132">
        <f>IF(SER_hh_tes!Y5=0,0,11630*1000*SER_hh_tes!Y5/SER_hh_num!Y5)</f>
        <v>130951.59730742864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113215.50709753866</v>
      </c>
      <c r="C7" s="132">
        <f>IF(SER_hh_tes!C7=0,0,11630*1000*SER_hh_tes!C7/SER_hh_num!C7)</f>
        <v>110503.42986118127</v>
      </c>
      <c r="D7" s="132">
        <f>IF(SER_hh_tes!D7=0,0,11630*1000*SER_hh_tes!D7/SER_hh_num!D7)</f>
        <v>114389.18447734248</v>
      </c>
      <c r="E7" s="132">
        <f>IF(SER_hh_tes!E7=0,0,11630*1000*SER_hh_tes!E7/SER_hh_num!E7)</f>
        <v>119019.76704798912</v>
      </c>
      <c r="F7" s="132">
        <f>IF(SER_hh_tes!F7=0,0,11630*1000*SER_hh_tes!F7/SER_hh_num!F7)</f>
        <v>115850.12510306094</v>
      </c>
      <c r="G7" s="132">
        <f>IF(SER_hh_tes!G7=0,0,11630*1000*SER_hh_tes!G7/SER_hh_num!G7)</f>
        <v>130725.79282544425</v>
      </c>
      <c r="H7" s="132">
        <f>IF(SER_hh_tes!H7=0,0,11630*1000*SER_hh_tes!H7/SER_hh_num!H7)</f>
        <v>130967.27832861574</v>
      </c>
      <c r="I7" s="132">
        <f>IF(SER_hh_tes!I7=0,0,11630*1000*SER_hh_tes!I7/SER_hh_num!I7)</f>
        <v>128450.50771809621</v>
      </c>
      <c r="J7" s="132">
        <f>IF(SER_hh_tes!J7=0,0,11630*1000*SER_hh_tes!J7/SER_hh_num!J7)</f>
        <v>143487.78698050109</v>
      </c>
      <c r="K7" s="132">
        <f>IF(SER_hh_tes!K7=0,0,11630*1000*SER_hh_tes!K7/SER_hh_num!K7)</f>
        <v>123520.25732133874</v>
      </c>
      <c r="L7" s="132">
        <f>IF(SER_hh_tes!L7=0,0,11630*1000*SER_hh_tes!L7/SER_hh_num!L7)</f>
        <v>131025.01482434254</v>
      </c>
      <c r="M7" s="132">
        <f>IF(SER_hh_tes!M7=0,0,11630*1000*SER_hh_tes!M7/SER_hh_num!M7)</f>
        <v>120090.30530794276</v>
      </c>
      <c r="N7" s="132">
        <f>IF(SER_hh_tes!N7=0,0,11630*1000*SER_hh_tes!N7/SER_hh_num!N7)</f>
        <v>116536.74919164358</v>
      </c>
      <c r="O7" s="132">
        <f>IF(SER_hh_tes!O7=0,0,11630*1000*SER_hh_tes!O7/SER_hh_num!O7)</f>
        <v>144317.02059138619</v>
      </c>
      <c r="P7" s="132">
        <f>IF(SER_hh_tes!P7=0,0,11630*1000*SER_hh_tes!P7/SER_hh_num!P7)</f>
        <v>130775.02984013852</v>
      </c>
      <c r="Q7" s="132">
        <f>IF(SER_hh_tes!Q7=0,0,11630*1000*SER_hh_tes!Q7/SER_hh_num!Q7)</f>
        <v>141875.17961854406</v>
      </c>
      <c r="R7" s="132">
        <f>IF(SER_hh_tes!R7=0,0,11630*1000*SER_hh_tes!R7/SER_hh_num!R7)</f>
        <v>138446.23136278658</v>
      </c>
      <c r="S7" s="132">
        <f>IF(SER_hh_tes!S7=0,0,11630*1000*SER_hh_tes!S7/SER_hh_num!S7)</f>
        <v>132203.5625846817</v>
      </c>
      <c r="T7" s="132">
        <f>IF(SER_hh_tes!T7=0,0,11630*1000*SER_hh_tes!T7/SER_hh_num!T7)</f>
        <v>152590.51873100735</v>
      </c>
      <c r="U7" s="132">
        <f>IF(SER_hh_tes!U7=0,0,11630*1000*SER_hh_tes!U7/SER_hh_num!U7)</f>
        <v>145991.35652628538</v>
      </c>
      <c r="V7" s="132">
        <f>IF(SER_hh_tes!V7=0,0,11630*1000*SER_hh_tes!V7/SER_hh_num!V7)</f>
        <v>133057.44246750511</v>
      </c>
      <c r="W7" s="132">
        <f>IF(SER_hh_tes!W7=0,0,11630*1000*SER_hh_tes!W7/SER_hh_num!W7)</f>
        <v>130872.33527198297</v>
      </c>
      <c r="X7" s="132">
        <f>IF(SER_hh_tes!X7=0,0,11630*1000*SER_hh_tes!X7/SER_hh_num!X7)</f>
        <v>130579.8746513113</v>
      </c>
      <c r="Y7" s="132">
        <f>IF(SER_hh_tes!Y7=0,0,11630*1000*SER_hh_tes!Y7/SER_hh_num!Y7)</f>
        <v>128939.99446069739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0</v>
      </c>
      <c r="C8" s="132">
        <f>IF(SER_hh_tes!C8=0,0,11630*1000*SER_hh_tes!C8/SER_hh_num!C8)</f>
        <v>0</v>
      </c>
      <c r="D8" s="132">
        <f>IF(SER_hh_tes!D8=0,0,11630*1000*SER_hh_tes!D8/SER_hh_num!D8)</f>
        <v>0</v>
      </c>
      <c r="E8" s="132">
        <f>IF(SER_hh_tes!E8=0,0,11630*1000*SER_hh_tes!E8/SER_hh_num!E8)</f>
        <v>0</v>
      </c>
      <c r="F8" s="132">
        <f>IF(SER_hh_tes!F8=0,0,11630*1000*SER_hh_tes!F8/SER_hh_num!F8)</f>
        <v>0</v>
      </c>
      <c r="G8" s="132">
        <f>IF(SER_hh_tes!G8=0,0,11630*1000*SER_hh_tes!G8/SER_hh_num!G8)</f>
        <v>0</v>
      </c>
      <c r="H8" s="132">
        <f>IF(SER_hh_tes!H8=0,0,11630*1000*SER_hh_tes!H8/SER_hh_num!H8)</f>
        <v>0</v>
      </c>
      <c r="I8" s="132">
        <f>IF(SER_hh_tes!I8=0,0,11630*1000*SER_hh_tes!I8/SER_hh_num!I8)</f>
        <v>0</v>
      </c>
      <c r="J8" s="132">
        <f>IF(SER_hh_tes!J8=0,0,11630*1000*SER_hh_tes!J8/SER_hh_num!J8)</f>
        <v>0</v>
      </c>
      <c r="K8" s="132">
        <f>IF(SER_hh_tes!K8=0,0,11630*1000*SER_hh_tes!K8/SER_hh_num!K8)</f>
        <v>0</v>
      </c>
      <c r="L8" s="132">
        <f>IF(SER_hh_tes!L8=0,0,11630*1000*SER_hh_tes!L8/SER_hh_num!L8)</f>
        <v>0</v>
      </c>
      <c r="M8" s="132">
        <f>IF(SER_hh_tes!M8=0,0,11630*1000*SER_hh_tes!M8/SER_hh_num!M8)</f>
        <v>0</v>
      </c>
      <c r="N8" s="132">
        <f>IF(SER_hh_tes!N8=0,0,11630*1000*SER_hh_tes!N8/SER_hh_num!N8)</f>
        <v>0</v>
      </c>
      <c r="O8" s="132">
        <f>IF(SER_hh_tes!O8=0,0,11630*1000*SER_hh_tes!O8/SER_hh_num!O8)</f>
        <v>0</v>
      </c>
      <c r="P8" s="132">
        <f>IF(SER_hh_tes!P8=0,0,11630*1000*SER_hh_tes!P8/SER_hh_num!P8)</f>
        <v>0</v>
      </c>
      <c r="Q8" s="132">
        <f>IF(SER_hh_tes!Q8=0,0,11630*1000*SER_hh_tes!Q8/SER_hh_num!Q8)</f>
        <v>0</v>
      </c>
      <c r="R8" s="132">
        <f>IF(SER_hh_tes!R8=0,0,11630*1000*SER_hh_tes!R8/SER_hh_num!R8)</f>
        <v>0</v>
      </c>
      <c r="S8" s="132">
        <f>IF(SER_hh_tes!S8=0,0,11630*1000*SER_hh_tes!S8/SER_hh_num!S8)</f>
        <v>0</v>
      </c>
      <c r="T8" s="132">
        <f>IF(SER_hh_tes!T8=0,0,11630*1000*SER_hh_tes!T8/SER_hh_num!T8)</f>
        <v>0</v>
      </c>
      <c r="U8" s="132">
        <f>IF(SER_hh_tes!U8=0,0,11630*1000*SER_hh_tes!U8/SER_hh_num!U8)</f>
        <v>0</v>
      </c>
      <c r="V8" s="132">
        <f>IF(SER_hh_tes!V8=0,0,11630*1000*SER_hh_tes!V8/SER_hh_num!V8)</f>
        <v>0</v>
      </c>
      <c r="W8" s="132">
        <f>IF(SER_hh_tes!W8=0,0,11630*1000*SER_hh_tes!W8/SER_hh_num!W8)</f>
        <v>0</v>
      </c>
      <c r="X8" s="132">
        <f>IF(SER_hh_tes!X8=0,0,11630*1000*SER_hh_tes!X8/SER_hh_num!X8)</f>
        <v>0</v>
      </c>
      <c r="Y8" s="132">
        <f>IF(SER_hh_tes!Y8=0,0,11630*1000*SER_hh_tes!Y8/SER_hh_num!Y8)</f>
        <v>0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111668.37361248471</v>
      </c>
      <c r="C9" s="132">
        <f>IF(SER_hh_tes!C9=0,0,11630*1000*SER_hh_tes!C9/SER_hh_num!C9)</f>
        <v>112734.27822142121</v>
      </c>
      <c r="D9" s="132">
        <f>IF(SER_hh_tes!D9=0,0,11630*1000*SER_hh_tes!D9/SER_hh_num!D9)</f>
        <v>110194.97331822336</v>
      </c>
      <c r="E9" s="132">
        <f>IF(SER_hh_tes!E9=0,0,11630*1000*SER_hh_tes!E9/SER_hh_num!E9)</f>
        <v>117375.15666477889</v>
      </c>
      <c r="F9" s="132">
        <f>IF(SER_hh_tes!F9=0,0,11630*1000*SER_hh_tes!F9/SER_hh_num!F9)</f>
        <v>118184.88381353233</v>
      </c>
      <c r="G9" s="132">
        <f>IF(SER_hh_tes!G9=0,0,11630*1000*SER_hh_tes!G9/SER_hh_num!G9)</f>
        <v>119786.79997272807</v>
      </c>
      <c r="H9" s="132">
        <f>IF(SER_hh_tes!H9=0,0,11630*1000*SER_hh_tes!H9/SER_hh_num!H9)</f>
        <v>132916.54239029204</v>
      </c>
      <c r="I9" s="132">
        <f>IF(SER_hh_tes!I9=0,0,11630*1000*SER_hh_tes!I9/SER_hh_num!I9)</f>
        <v>134478.07247064676</v>
      </c>
      <c r="J9" s="132">
        <f>IF(SER_hh_tes!J9=0,0,11630*1000*SER_hh_tes!J9/SER_hh_num!J9)</f>
        <v>138321.02834592952</v>
      </c>
      <c r="K9" s="132">
        <f>IF(SER_hh_tes!K9=0,0,11630*1000*SER_hh_tes!K9/SER_hh_num!K9)</f>
        <v>124906.52580667315</v>
      </c>
      <c r="L9" s="132">
        <f>IF(SER_hh_tes!L9=0,0,11630*1000*SER_hh_tes!L9/SER_hh_num!L9)</f>
        <v>135427.69262924866</v>
      </c>
      <c r="M9" s="132">
        <f>IF(SER_hh_tes!M9=0,0,11630*1000*SER_hh_tes!M9/SER_hh_num!M9)</f>
        <v>122349.09164704369</v>
      </c>
      <c r="N9" s="132">
        <f>IF(SER_hh_tes!N9=0,0,11630*1000*SER_hh_tes!N9/SER_hh_num!N9)</f>
        <v>136881.24077632889</v>
      </c>
      <c r="O9" s="132">
        <f>IF(SER_hh_tes!O9=0,0,11630*1000*SER_hh_tes!O9/SER_hh_num!O9)</f>
        <v>132768.76180170727</v>
      </c>
      <c r="P9" s="132">
        <f>IF(SER_hh_tes!P9=0,0,11630*1000*SER_hh_tes!P9/SER_hh_num!P9)</f>
        <v>122807.47710041751</v>
      </c>
      <c r="Q9" s="132">
        <f>IF(SER_hh_tes!Q9=0,0,11630*1000*SER_hh_tes!Q9/SER_hh_num!Q9)</f>
        <v>141904.35156418159</v>
      </c>
      <c r="R9" s="132">
        <f>IF(SER_hh_tes!R9=0,0,11630*1000*SER_hh_tes!R9/SER_hh_num!R9)</f>
        <v>136267.48338206319</v>
      </c>
      <c r="S9" s="132">
        <f>IF(SER_hh_tes!S9=0,0,11630*1000*SER_hh_tes!S9/SER_hh_num!S9)</f>
        <v>132161.79179884092</v>
      </c>
      <c r="T9" s="132">
        <f>IF(SER_hh_tes!T9=0,0,11630*1000*SER_hh_tes!T9/SER_hh_num!T9)</f>
        <v>147227.00440406476</v>
      </c>
      <c r="U9" s="132">
        <f>IF(SER_hh_tes!U9=0,0,11630*1000*SER_hh_tes!U9/SER_hh_num!U9)</f>
        <v>147841.96689595593</v>
      </c>
      <c r="V9" s="132">
        <f>IF(SER_hh_tes!V9=0,0,11630*1000*SER_hh_tes!V9/SER_hh_num!V9)</f>
        <v>130987.9202901207</v>
      </c>
      <c r="W9" s="132">
        <f>IF(SER_hh_tes!W9=0,0,11630*1000*SER_hh_tes!W9/SER_hh_num!W9)</f>
        <v>132984.81550942</v>
      </c>
      <c r="X9" s="132">
        <f>IF(SER_hh_tes!X9=0,0,11630*1000*SER_hh_tes!X9/SER_hh_num!X9)</f>
        <v>131655.06468768802</v>
      </c>
      <c r="Y9" s="132">
        <f>IF(SER_hh_tes!Y9=0,0,11630*1000*SER_hh_tes!Y9/SER_hh_num!Y9)</f>
        <v>127910.59757057346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0</v>
      </c>
      <c r="C10" s="132">
        <f>IF(SER_hh_tes!C10=0,0,11630*1000*SER_hh_tes!C10/SER_hh_num!C10)</f>
        <v>0</v>
      </c>
      <c r="D10" s="132">
        <f>IF(SER_hh_tes!D10=0,0,11630*1000*SER_hh_tes!D10/SER_hh_num!D10)</f>
        <v>0</v>
      </c>
      <c r="E10" s="132">
        <f>IF(SER_hh_tes!E10=0,0,11630*1000*SER_hh_tes!E10/SER_hh_num!E10)</f>
        <v>0</v>
      </c>
      <c r="F10" s="132">
        <f>IF(SER_hh_tes!F10=0,0,11630*1000*SER_hh_tes!F10/SER_hh_num!F10)</f>
        <v>0</v>
      </c>
      <c r="G10" s="132">
        <f>IF(SER_hh_tes!G10=0,0,11630*1000*SER_hh_tes!G10/SER_hh_num!G10)</f>
        <v>24400.284368910023</v>
      </c>
      <c r="H10" s="132">
        <f>IF(SER_hh_tes!H10=0,0,11630*1000*SER_hh_tes!H10/SER_hh_num!H10)</f>
        <v>65011.049116260787</v>
      </c>
      <c r="I10" s="132">
        <f>IF(SER_hh_tes!I10=0,0,11630*1000*SER_hh_tes!I10/SER_hh_num!I10)</f>
        <v>123543.96010589162</v>
      </c>
      <c r="J10" s="132">
        <f>IF(SER_hh_tes!J10=0,0,11630*1000*SER_hh_tes!J10/SER_hh_num!J10)</f>
        <v>153825.30923341613</v>
      </c>
      <c r="K10" s="132">
        <f>IF(SER_hh_tes!K10=0,0,11630*1000*SER_hh_tes!K10/SER_hh_num!K10)</f>
        <v>151460.41543166683</v>
      </c>
      <c r="L10" s="132">
        <f>IF(SER_hh_tes!L10=0,0,11630*1000*SER_hh_tes!L10/SER_hh_num!L10)</f>
        <v>112801.29427207293</v>
      </c>
      <c r="M10" s="132">
        <f>IF(SER_hh_tes!M10=0,0,11630*1000*SER_hh_tes!M10/SER_hh_num!M10)</f>
        <v>124452.92338784217</v>
      </c>
      <c r="N10" s="132">
        <f>IF(SER_hh_tes!N10=0,0,11630*1000*SER_hh_tes!N10/SER_hh_num!N10)</f>
        <v>126561.33390680142</v>
      </c>
      <c r="O10" s="132">
        <f>IF(SER_hh_tes!O10=0,0,11630*1000*SER_hh_tes!O10/SER_hh_num!O10)</f>
        <v>154462.44498133831</v>
      </c>
      <c r="P10" s="132">
        <f>IF(SER_hh_tes!P10=0,0,11630*1000*SER_hh_tes!P10/SER_hh_num!P10)</f>
        <v>168871.44226870357</v>
      </c>
      <c r="Q10" s="132">
        <f>IF(SER_hh_tes!Q10=0,0,11630*1000*SER_hh_tes!Q10/SER_hh_num!Q10)</f>
        <v>103499.30701951502</v>
      </c>
      <c r="R10" s="132">
        <f>IF(SER_hh_tes!R10=0,0,11630*1000*SER_hh_tes!R10/SER_hh_num!R10)</f>
        <v>155535.22864363022</v>
      </c>
      <c r="S10" s="132">
        <f>IF(SER_hh_tes!S10=0,0,11630*1000*SER_hh_tes!S10/SER_hh_num!S10)</f>
        <v>146644.41677164394</v>
      </c>
      <c r="T10" s="132">
        <f>IF(SER_hh_tes!T10=0,0,11630*1000*SER_hh_tes!T10/SER_hh_num!T10)</f>
        <v>141648.10724934732</v>
      </c>
      <c r="U10" s="132">
        <f>IF(SER_hh_tes!U10=0,0,11630*1000*SER_hh_tes!U10/SER_hh_num!U10)</f>
        <v>123686.66221597297</v>
      </c>
      <c r="V10" s="132">
        <f>IF(SER_hh_tes!V10=0,0,11630*1000*SER_hh_tes!V10/SER_hh_num!V10)</f>
        <v>140606.7970187531</v>
      </c>
      <c r="W10" s="132">
        <f>IF(SER_hh_tes!W10=0,0,11630*1000*SER_hh_tes!W10/SER_hh_num!W10)</f>
        <v>156125.99905820534</v>
      </c>
      <c r="X10" s="132">
        <f>IF(SER_hh_tes!X10=0,0,11630*1000*SER_hh_tes!X10/SER_hh_num!X10)</f>
        <v>153426.84250467885</v>
      </c>
      <c r="Y10" s="132">
        <f>IF(SER_hh_tes!Y10=0,0,11630*1000*SER_hh_tes!Y10/SER_hh_num!Y10)</f>
        <v>129178.27745034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0</v>
      </c>
      <c r="C11" s="132">
        <f>IF(SER_hh_tes!C11=0,0,11630*1000*SER_hh_tes!C11/SER_hh_num!C11)</f>
        <v>0</v>
      </c>
      <c r="D11" s="132">
        <f>IF(SER_hh_tes!D11=0,0,11630*1000*SER_hh_tes!D11/SER_hh_num!D11)</f>
        <v>0</v>
      </c>
      <c r="E11" s="132">
        <f>IF(SER_hh_tes!E11=0,0,11630*1000*SER_hh_tes!E11/SER_hh_num!E11)</f>
        <v>0</v>
      </c>
      <c r="F11" s="132">
        <f>IF(SER_hh_tes!F11=0,0,11630*1000*SER_hh_tes!F11/SER_hh_num!F11)</f>
        <v>0</v>
      </c>
      <c r="G11" s="132">
        <f>IF(SER_hh_tes!G11=0,0,11630*1000*SER_hh_tes!G11/SER_hh_num!G11)</f>
        <v>0</v>
      </c>
      <c r="H11" s="132">
        <f>IF(SER_hh_tes!H11=0,0,11630*1000*SER_hh_tes!H11/SER_hh_num!H11)</f>
        <v>0</v>
      </c>
      <c r="I11" s="132">
        <f>IF(SER_hh_tes!I11=0,0,11630*1000*SER_hh_tes!I11/SER_hh_num!I11)</f>
        <v>0</v>
      </c>
      <c r="J11" s="132">
        <f>IF(SER_hh_tes!J11=0,0,11630*1000*SER_hh_tes!J11/SER_hh_num!J11)</f>
        <v>0</v>
      </c>
      <c r="K11" s="132">
        <f>IF(SER_hh_tes!K11=0,0,11630*1000*SER_hh_tes!K11/SER_hh_num!K11)</f>
        <v>0</v>
      </c>
      <c r="L11" s="132">
        <f>IF(SER_hh_tes!L11=0,0,11630*1000*SER_hh_tes!L11/SER_hh_num!L11)</f>
        <v>0</v>
      </c>
      <c r="M11" s="132">
        <f>IF(SER_hh_tes!M11=0,0,11630*1000*SER_hh_tes!M11/SER_hh_num!M11)</f>
        <v>0</v>
      </c>
      <c r="N11" s="132">
        <f>IF(SER_hh_tes!N11=0,0,11630*1000*SER_hh_tes!N11/SER_hh_num!N11)</f>
        <v>0</v>
      </c>
      <c r="O11" s="132">
        <f>IF(SER_hh_tes!O11=0,0,11630*1000*SER_hh_tes!O11/SER_hh_num!O11)</f>
        <v>0</v>
      </c>
      <c r="P11" s="132">
        <f>IF(SER_hh_tes!P11=0,0,11630*1000*SER_hh_tes!P11/SER_hh_num!P11)</f>
        <v>0</v>
      </c>
      <c r="Q11" s="132">
        <f>IF(SER_hh_tes!Q11=0,0,11630*1000*SER_hh_tes!Q11/SER_hh_num!Q11)</f>
        <v>0</v>
      </c>
      <c r="R11" s="132">
        <f>IF(SER_hh_tes!R11=0,0,11630*1000*SER_hh_tes!R11/SER_hh_num!R11)</f>
        <v>0</v>
      </c>
      <c r="S11" s="132">
        <f>IF(SER_hh_tes!S11=0,0,11630*1000*SER_hh_tes!S11/SER_hh_num!S11)</f>
        <v>0</v>
      </c>
      <c r="T11" s="132">
        <f>IF(SER_hh_tes!T11=0,0,11630*1000*SER_hh_tes!T11/SER_hh_num!T11)</f>
        <v>0</v>
      </c>
      <c r="U11" s="132">
        <f>IF(SER_hh_tes!U11=0,0,11630*1000*SER_hh_tes!U11/SER_hh_num!U11)</f>
        <v>0</v>
      </c>
      <c r="V11" s="132">
        <f>IF(SER_hh_tes!V11=0,0,11630*1000*SER_hh_tes!V11/SER_hh_num!V11)</f>
        <v>0</v>
      </c>
      <c r="W11" s="132">
        <f>IF(SER_hh_tes!W11=0,0,11630*1000*SER_hh_tes!W11/SER_hh_num!W11)</f>
        <v>0</v>
      </c>
      <c r="X11" s="132">
        <f>IF(SER_hh_tes!X11=0,0,11630*1000*SER_hh_tes!X11/SER_hh_num!X11)</f>
        <v>0</v>
      </c>
      <c r="Y11" s="132">
        <f>IF(SER_hh_tes!Y11=0,0,11630*1000*SER_hh_tes!Y11/SER_hh_num!Y11)</f>
        <v>0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0</v>
      </c>
      <c r="C12" s="132">
        <f>IF(SER_hh_tes!C12=0,0,11630*1000*SER_hh_tes!C12/SER_hh_num!C12)</f>
        <v>0</v>
      </c>
      <c r="D12" s="132">
        <f>IF(SER_hh_tes!D12=0,0,11630*1000*SER_hh_tes!D12/SER_hh_num!D12)</f>
        <v>0</v>
      </c>
      <c r="E12" s="132">
        <f>IF(SER_hh_tes!E12=0,0,11630*1000*SER_hh_tes!E12/SER_hh_num!E12)</f>
        <v>0</v>
      </c>
      <c r="F12" s="132">
        <f>IF(SER_hh_tes!F12=0,0,11630*1000*SER_hh_tes!F12/SER_hh_num!F12)</f>
        <v>0</v>
      </c>
      <c r="G12" s="132">
        <f>IF(SER_hh_tes!G12=0,0,11630*1000*SER_hh_tes!G12/SER_hh_num!G12)</f>
        <v>0</v>
      </c>
      <c r="H12" s="132">
        <f>IF(SER_hh_tes!H12=0,0,11630*1000*SER_hh_tes!H12/SER_hh_num!H12)</f>
        <v>0</v>
      </c>
      <c r="I12" s="132">
        <f>IF(SER_hh_tes!I12=0,0,11630*1000*SER_hh_tes!I12/SER_hh_num!I12)</f>
        <v>0</v>
      </c>
      <c r="J12" s="132">
        <f>IF(SER_hh_tes!J12=0,0,11630*1000*SER_hh_tes!J12/SER_hh_num!J12)</f>
        <v>0</v>
      </c>
      <c r="K12" s="132">
        <f>IF(SER_hh_tes!K12=0,0,11630*1000*SER_hh_tes!K12/SER_hh_num!K12)</f>
        <v>0</v>
      </c>
      <c r="L12" s="132">
        <f>IF(SER_hh_tes!L12=0,0,11630*1000*SER_hh_tes!L12/SER_hh_num!L12)</f>
        <v>0</v>
      </c>
      <c r="M12" s="132">
        <f>IF(SER_hh_tes!M12=0,0,11630*1000*SER_hh_tes!M12/SER_hh_num!M12)</f>
        <v>0</v>
      </c>
      <c r="N12" s="132">
        <f>IF(SER_hh_tes!N12=0,0,11630*1000*SER_hh_tes!N12/SER_hh_num!N12)</f>
        <v>0</v>
      </c>
      <c r="O12" s="132">
        <f>IF(SER_hh_tes!O12=0,0,11630*1000*SER_hh_tes!O12/SER_hh_num!O12)</f>
        <v>0</v>
      </c>
      <c r="P12" s="132">
        <f>IF(SER_hh_tes!P12=0,0,11630*1000*SER_hh_tes!P12/SER_hh_num!P12)</f>
        <v>0</v>
      </c>
      <c r="Q12" s="132">
        <f>IF(SER_hh_tes!Q12=0,0,11630*1000*SER_hh_tes!Q12/SER_hh_num!Q12)</f>
        <v>0</v>
      </c>
      <c r="R12" s="132">
        <f>IF(SER_hh_tes!R12=0,0,11630*1000*SER_hh_tes!R12/SER_hh_num!R12)</f>
        <v>0</v>
      </c>
      <c r="S12" s="132">
        <f>IF(SER_hh_tes!S12=0,0,11630*1000*SER_hh_tes!S12/SER_hh_num!S12)</f>
        <v>0</v>
      </c>
      <c r="T12" s="132">
        <f>IF(SER_hh_tes!T12=0,0,11630*1000*SER_hh_tes!T12/SER_hh_num!T12)</f>
        <v>0</v>
      </c>
      <c r="U12" s="132">
        <f>IF(SER_hh_tes!U12=0,0,11630*1000*SER_hh_tes!U12/SER_hh_num!U12)</f>
        <v>0</v>
      </c>
      <c r="V12" s="132">
        <f>IF(SER_hh_tes!V12=0,0,11630*1000*SER_hh_tes!V12/SER_hh_num!V12)</f>
        <v>0</v>
      </c>
      <c r="W12" s="132">
        <f>IF(SER_hh_tes!W12=0,0,11630*1000*SER_hh_tes!W12/SER_hh_num!W12)</f>
        <v>0</v>
      </c>
      <c r="X12" s="132">
        <f>IF(SER_hh_tes!X12=0,0,11630*1000*SER_hh_tes!X12/SER_hh_num!X12)</f>
        <v>0</v>
      </c>
      <c r="Y12" s="132">
        <f>IF(SER_hh_tes!Y12=0,0,11630*1000*SER_hh_tes!Y12/SER_hh_num!Y12)</f>
        <v>0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73915.719553039351</v>
      </c>
      <c r="C13" s="132">
        <f>IF(SER_hh_tes!C13=0,0,11630*1000*SER_hh_tes!C13/SER_hh_num!C13)</f>
        <v>59627.144469118866</v>
      </c>
      <c r="D13" s="132">
        <f>IF(SER_hh_tes!D13=0,0,11630*1000*SER_hh_tes!D13/SER_hh_num!D13)</f>
        <v>16661.285327441939</v>
      </c>
      <c r="E13" s="132">
        <f>IF(SER_hh_tes!E13=0,0,11630*1000*SER_hh_tes!E13/SER_hh_num!E13)</f>
        <v>86646.187421402705</v>
      </c>
      <c r="F13" s="132">
        <f>IF(SER_hh_tes!F13=0,0,11630*1000*SER_hh_tes!F13/SER_hh_num!F13)</f>
        <v>69150.94791917743</v>
      </c>
      <c r="G13" s="132">
        <f>IF(SER_hh_tes!G13=0,0,11630*1000*SER_hh_tes!G13/SER_hh_num!G13)</f>
        <v>108470.98944580348</v>
      </c>
      <c r="H13" s="132">
        <f>IF(SER_hh_tes!H13=0,0,11630*1000*SER_hh_tes!H13/SER_hh_num!H13)</f>
        <v>127425.60059705254</v>
      </c>
      <c r="I13" s="132">
        <f>IF(SER_hh_tes!I13=0,0,11630*1000*SER_hh_tes!I13/SER_hh_num!I13)</f>
        <v>134863.98693292105</v>
      </c>
      <c r="J13" s="132">
        <f>IF(SER_hh_tes!J13=0,0,11630*1000*SER_hh_tes!J13/SER_hh_num!J13)</f>
        <v>151140.01128715323</v>
      </c>
      <c r="K13" s="132">
        <f>IF(SER_hh_tes!K13=0,0,11630*1000*SER_hh_tes!K13/SER_hh_num!K13)</f>
        <v>136457.39628881705</v>
      </c>
      <c r="L13" s="132">
        <f>IF(SER_hh_tes!L13=0,0,11630*1000*SER_hh_tes!L13/SER_hh_num!L13)</f>
        <v>128197.4846324284</v>
      </c>
      <c r="M13" s="132">
        <f>IF(SER_hh_tes!M13=0,0,11630*1000*SER_hh_tes!M13/SER_hh_num!M13)</f>
        <v>132553.07409880456</v>
      </c>
      <c r="N13" s="132">
        <f>IF(SER_hh_tes!N13=0,0,11630*1000*SER_hh_tes!N13/SER_hh_num!N13)</f>
        <v>131897.74642602177</v>
      </c>
      <c r="O13" s="132">
        <f>IF(SER_hh_tes!O13=0,0,11630*1000*SER_hh_tes!O13/SER_hh_num!O13)</f>
        <v>131075.53805345527</v>
      </c>
      <c r="P13" s="132">
        <f>IF(SER_hh_tes!P13=0,0,11630*1000*SER_hh_tes!P13/SER_hh_num!P13)</f>
        <v>129261.01526340579</v>
      </c>
      <c r="Q13" s="132">
        <f>IF(SER_hh_tes!Q13=0,0,11630*1000*SER_hh_tes!Q13/SER_hh_num!Q13)</f>
        <v>134605.21868055913</v>
      </c>
      <c r="R13" s="132">
        <f>IF(SER_hh_tes!R13=0,0,11630*1000*SER_hh_tes!R13/SER_hh_num!R13)</f>
        <v>138924.70419400773</v>
      </c>
      <c r="S13" s="132">
        <f>IF(SER_hh_tes!S13=0,0,11630*1000*SER_hh_tes!S13/SER_hh_num!S13)</f>
        <v>147666.54187728948</v>
      </c>
      <c r="T13" s="132">
        <f>IF(SER_hh_tes!T13=0,0,11630*1000*SER_hh_tes!T13/SER_hh_num!T13)</f>
        <v>141880.77791700859</v>
      </c>
      <c r="U13" s="132">
        <f>IF(SER_hh_tes!U13=0,0,11630*1000*SER_hh_tes!U13/SER_hh_num!U13)</f>
        <v>144551.33790135584</v>
      </c>
      <c r="V13" s="132">
        <f>IF(SER_hh_tes!V13=0,0,11630*1000*SER_hh_tes!V13/SER_hh_num!V13)</f>
        <v>141256.34988733387</v>
      </c>
      <c r="W13" s="132">
        <f>IF(SER_hh_tes!W13=0,0,11630*1000*SER_hh_tes!W13/SER_hh_num!W13)</f>
        <v>135348.20366553869</v>
      </c>
      <c r="X13" s="132">
        <f>IF(SER_hh_tes!X13=0,0,11630*1000*SER_hh_tes!X13/SER_hh_num!X13)</f>
        <v>132527.71802173188</v>
      </c>
      <c r="Y13" s="132">
        <f>IF(SER_hh_tes!Y13=0,0,11630*1000*SER_hh_tes!Y13/SER_hh_num!Y13)</f>
        <v>133930.19554220946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104129.17124321773</v>
      </c>
      <c r="C14" s="65">
        <f>IF(SER_hh_tes!C14=0,0,11630*1000*SER_hh_tes!C14/SER_hh_num!C14)</f>
        <v>109750.16807593005</v>
      </c>
      <c r="D14" s="65">
        <f>IF(SER_hh_tes!D14=0,0,11630*1000*SER_hh_tes!D14/SER_hh_num!D14)</f>
        <v>116761.80955926972</v>
      </c>
      <c r="E14" s="65">
        <f>IF(SER_hh_tes!E14=0,0,11630*1000*SER_hh_tes!E14/SER_hh_num!E14)</f>
        <v>128319.42439865053</v>
      </c>
      <c r="F14" s="65">
        <f>IF(SER_hh_tes!F14=0,0,11630*1000*SER_hh_tes!F14/SER_hh_num!F14)</f>
        <v>116204.51864274201</v>
      </c>
      <c r="G14" s="65">
        <f>IF(SER_hh_tes!G14=0,0,11630*1000*SER_hh_tes!G14/SER_hh_num!G14)</f>
        <v>129864.67765830304</v>
      </c>
      <c r="H14" s="65">
        <f>IF(SER_hh_tes!H14=0,0,11630*1000*SER_hh_tes!H14/SER_hh_num!H14)</f>
        <v>142897.26101194668</v>
      </c>
      <c r="I14" s="65">
        <f>IF(SER_hh_tes!I14=0,0,11630*1000*SER_hh_tes!I14/SER_hh_num!I14)</f>
        <v>132679.28091652662</v>
      </c>
      <c r="J14" s="65">
        <f>IF(SER_hh_tes!J14=0,0,11630*1000*SER_hh_tes!J14/SER_hh_num!J14)</f>
        <v>141532.54291865692</v>
      </c>
      <c r="K14" s="65">
        <f>IF(SER_hh_tes!K14=0,0,11630*1000*SER_hh_tes!K14/SER_hh_num!K14)</f>
        <v>134761.71503795488</v>
      </c>
      <c r="L14" s="65">
        <f>IF(SER_hh_tes!L14=0,0,11630*1000*SER_hh_tes!L14/SER_hh_num!L14)</f>
        <v>131305.59826883368</v>
      </c>
      <c r="M14" s="65">
        <f>IF(SER_hh_tes!M14=0,0,11630*1000*SER_hh_tes!M14/SER_hh_num!M14)</f>
        <v>132272.07059811402</v>
      </c>
      <c r="N14" s="65">
        <f>IF(SER_hh_tes!N14=0,0,11630*1000*SER_hh_tes!N14/SER_hh_num!N14)</f>
        <v>132115.22972689322</v>
      </c>
      <c r="O14" s="65">
        <f>IF(SER_hh_tes!O14=0,0,11630*1000*SER_hh_tes!O14/SER_hh_num!O14)</f>
        <v>137244.59246567325</v>
      </c>
      <c r="P14" s="65">
        <f>IF(SER_hh_tes!P14=0,0,11630*1000*SER_hh_tes!P14/SER_hh_num!P14)</f>
        <v>120655.70367640477</v>
      </c>
      <c r="Q14" s="65">
        <f>IF(SER_hh_tes!Q14=0,0,11630*1000*SER_hh_tes!Q14/SER_hh_num!Q14)</f>
        <v>147928.84829399866</v>
      </c>
      <c r="R14" s="65">
        <f>IF(SER_hh_tes!R14=0,0,11630*1000*SER_hh_tes!R14/SER_hh_num!R14)</f>
        <v>139215.35268647131</v>
      </c>
      <c r="S14" s="65">
        <f>IF(SER_hh_tes!S14=0,0,11630*1000*SER_hh_tes!S14/SER_hh_num!S14)</f>
        <v>131187.74960011253</v>
      </c>
      <c r="T14" s="65">
        <f>IF(SER_hh_tes!T14=0,0,11630*1000*SER_hh_tes!T14/SER_hh_num!T14)</f>
        <v>155421.00343265923</v>
      </c>
      <c r="U14" s="65">
        <f>IF(SER_hh_tes!U14=0,0,11630*1000*SER_hh_tes!U14/SER_hh_num!U14)</f>
        <v>167442.51354130456</v>
      </c>
      <c r="V14" s="65">
        <f>IF(SER_hh_tes!V14=0,0,11630*1000*SER_hh_tes!V14/SER_hh_num!V14)</f>
        <v>129170.01975276289</v>
      </c>
      <c r="W14" s="65">
        <f>IF(SER_hh_tes!W14=0,0,11630*1000*SER_hh_tes!W14/SER_hh_num!W14)</f>
        <v>130216.65138274328</v>
      </c>
      <c r="X14" s="65">
        <f>IF(SER_hh_tes!X14=0,0,11630*1000*SER_hh_tes!X14/SER_hh_num!X14)</f>
        <v>131229.31513338856</v>
      </c>
      <c r="Y14" s="65">
        <f>IF(SER_hh_tes!Y14=0,0,11630*1000*SER_hh_tes!Y14/SER_hh_num!Y14)</f>
        <v>132748.67358719301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2223.5540647821081</v>
      </c>
      <c r="C15" s="134">
        <f>IF(SER_hh_tes!C15=0,0,11630*1000*SER_hh_tes!C15/SER_hh_num!C15)</f>
        <v>2159.9055680411325</v>
      </c>
      <c r="D15" s="134">
        <f>IF(SER_hh_tes!D15=0,0,11630*1000*SER_hh_tes!D15/SER_hh_num!D15)</f>
        <v>2113.265951366368</v>
      </c>
      <c r="E15" s="134">
        <f>IF(SER_hh_tes!E15=0,0,11630*1000*SER_hh_tes!E15/SER_hh_num!E15)</f>
        <v>2204.8124578752982</v>
      </c>
      <c r="F15" s="134">
        <f>IF(SER_hh_tes!F15=0,0,11630*1000*SER_hh_tes!F15/SER_hh_num!F15)</f>
        <v>2129.17311824839</v>
      </c>
      <c r="G15" s="134">
        <f>IF(SER_hh_tes!G15=0,0,11630*1000*SER_hh_tes!G15/SER_hh_num!G15)</f>
        <v>2216.4813154465537</v>
      </c>
      <c r="H15" s="134">
        <f>IF(SER_hh_tes!H15=0,0,11630*1000*SER_hh_tes!H15/SER_hh_num!H15)</f>
        <v>2300.8185966364786</v>
      </c>
      <c r="I15" s="134">
        <f>IF(SER_hh_tes!I15=0,0,11630*1000*SER_hh_tes!I15/SER_hh_num!I15)</f>
        <v>2266.9423737118395</v>
      </c>
      <c r="J15" s="134">
        <f>IF(SER_hh_tes!J15=0,0,11630*1000*SER_hh_tes!J15/SER_hh_num!J15)</f>
        <v>2381.6913457865503</v>
      </c>
      <c r="K15" s="134">
        <f>IF(SER_hh_tes!K15=0,0,11630*1000*SER_hh_tes!K15/SER_hh_num!K15)</f>
        <v>2069.9575751850043</v>
      </c>
      <c r="L15" s="134">
        <f>IF(SER_hh_tes!L15=0,0,11630*1000*SER_hh_tes!L15/SER_hh_num!L15)</f>
        <v>2218.4937156541018</v>
      </c>
      <c r="M15" s="134">
        <f>IF(SER_hh_tes!M15=0,0,11630*1000*SER_hh_tes!M15/SER_hh_num!M15)</f>
        <v>2004.7582587168697</v>
      </c>
      <c r="N15" s="134">
        <f>IF(SER_hh_tes!N15=0,0,11630*1000*SER_hh_tes!N15/SER_hh_num!N15)</f>
        <v>2125.6225090034059</v>
      </c>
      <c r="O15" s="134">
        <f>IF(SER_hh_tes!O15=0,0,11630*1000*SER_hh_tes!O15/SER_hh_num!O15)</f>
        <v>2203.0869935454602</v>
      </c>
      <c r="P15" s="134">
        <f>IF(SER_hh_tes!P15=0,0,11630*1000*SER_hh_tes!P15/SER_hh_num!P15)</f>
        <v>2018.8076519739857</v>
      </c>
      <c r="Q15" s="134">
        <f>IF(SER_hh_tes!Q15=0,0,11630*1000*SER_hh_tes!Q15/SER_hh_num!Q15)</f>
        <v>2239.4412087007472</v>
      </c>
      <c r="R15" s="134">
        <f>IF(SER_hh_tes!R15=0,0,11630*1000*SER_hh_tes!R15/SER_hh_num!R15)</f>
        <v>2167.9341434020535</v>
      </c>
      <c r="S15" s="134">
        <f>IF(SER_hh_tes!S15=0,0,11630*1000*SER_hh_tes!S15/SER_hh_num!S15)</f>
        <v>2083.5495888592964</v>
      </c>
      <c r="T15" s="134">
        <f>IF(SER_hh_tes!T15=0,0,11630*1000*SER_hh_tes!T15/SER_hh_num!T15)</f>
        <v>2335.1971428546026</v>
      </c>
      <c r="U15" s="134">
        <f>IF(SER_hh_tes!U15=0,0,11630*1000*SER_hh_tes!U15/SER_hh_num!U15)</f>
        <v>2306.9361184103655</v>
      </c>
      <c r="V15" s="134">
        <f>IF(SER_hh_tes!V15=0,0,11630*1000*SER_hh_tes!V15/SER_hh_num!V15)</f>
        <v>2062.8019891275735</v>
      </c>
      <c r="W15" s="134">
        <f>IF(SER_hh_tes!W15=0,0,11630*1000*SER_hh_tes!W15/SER_hh_num!W15)</f>
        <v>2074.3727457987316</v>
      </c>
      <c r="X15" s="134">
        <f>IF(SER_hh_tes!X15=0,0,11630*1000*SER_hh_tes!X15/SER_hh_num!X15)</f>
        <v>2054.0964407739616</v>
      </c>
      <c r="Y15" s="134">
        <f>IF(SER_hh_tes!Y15=0,0,11630*1000*SER_hh_tes!Y15/SER_hh_num!Y15)</f>
        <v>1995.2697586677104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24840.732931800008</v>
      </c>
      <c r="C16" s="130">
        <f>IF(SER_hh_tes!C16=0,0,11630*1000*SER_hh_tes!C16/SER_hh_num!C16)</f>
        <v>24733.906564735786</v>
      </c>
      <c r="D16" s="130">
        <f>IF(SER_hh_tes!D16=0,0,11630*1000*SER_hh_tes!D16/SER_hh_num!D16)</f>
        <v>25136.774721142763</v>
      </c>
      <c r="E16" s="130">
        <f>IF(SER_hh_tes!E16=0,0,11630*1000*SER_hh_tes!E16/SER_hh_num!E16)</f>
        <v>25160.219110975482</v>
      </c>
      <c r="F16" s="130">
        <f>IF(SER_hh_tes!F16=0,0,11630*1000*SER_hh_tes!F16/SER_hh_num!F16)</f>
        <v>25097.906398091091</v>
      </c>
      <c r="G16" s="130">
        <f>IF(SER_hh_tes!G16=0,0,11630*1000*SER_hh_tes!G16/SER_hh_num!G16)</f>
        <v>24728.347641016364</v>
      </c>
      <c r="H16" s="130">
        <f>IF(SER_hh_tes!H16=0,0,11630*1000*SER_hh_tes!H16/SER_hh_num!H16)</f>
        <v>25117.50788717141</v>
      </c>
      <c r="I16" s="130">
        <f>IF(SER_hh_tes!I16=0,0,11630*1000*SER_hh_tes!I16/SER_hh_num!I16)</f>
        <v>25492.847787194532</v>
      </c>
      <c r="J16" s="130">
        <f>IF(SER_hh_tes!J16=0,0,11630*1000*SER_hh_tes!J16/SER_hh_num!J16)</f>
        <v>25042.379189526058</v>
      </c>
      <c r="K16" s="130">
        <f>IF(SER_hh_tes!K16=0,0,11630*1000*SER_hh_tes!K16/SER_hh_num!K16)</f>
        <v>24982.130033826044</v>
      </c>
      <c r="L16" s="130">
        <f>IF(SER_hh_tes!L16=0,0,11630*1000*SER_hh_tes!L16/SER_hh_num!L16)</f>
        <v>25264.960690870987</v>
      </c>
      <c r="M16" s="130">
        <f>IF(SER_hh_tes!M16=0,0,11630*1000*SER_hh_tes!M16/SER_hh_num!M16)</f>
        <v>25166.757882421341</v>
      </c>
      <c r="N16" s="130">
        <f>IF(SER_hh_tes!N16=0,0,11630*1000*SER_hh_tes!N16/SER_hh_num!N16)</f>
        <v>25674.148172844503</v>
      </c>
      <c r="O16" s="130">
        <f>IF(SER_hh_tes!O16=0,0,11630*1000*SER_hh_tes!O16/SER_hh_num!O16)</f>
        <v>25383.372683381989</v>
      </c>
      <c r="P16" s="130">
        <f>IF(SER_hh_tes!P16=0,0,11630*1000*SER_hh_tes!P16/SER_hh_num!P16)</f>
        <v>25863.163709286477</v>
      </c>
      <c r="Q16" s="130">
        <f>IF(SER_hh_tes!Q16=0,0,11630*1000*SER_hh_tes!Q16/SER_hh_num!Q16)</f>
        <v>25078.236596806895</v>
      </c>
      <c r="R16" s="130">
        <f>IF(SER_hh_tes!R16=0,0,11630*1000*SER_hh_tes!R16/SER_hh_num!R16)</f>
        <v>25911.15955906524</v>
      </c>
      <c r="S16" s="130">
        <f>IF(SER_hh_tes!S16=0,0,11630*1000*SER_hh_tes!S16/SER_hh_num!S16)</f>
        <v>25853.719225876328</v>
      </c>
      <c r="T16" s="130">
        <f>IF(SER_hh_tes!T16=0,0,11630*1000*SER_hh_tes!T16/SER_hh_num!T16)</f>
        <v>25833.835498982255</v>
      </c>
      <c r="U16" s="130">
        <f>IF(SER_hh_tes!U16=0,0,11630*1000*SER_hh_tes!U16/SER_hh_num!U16)</f>
        <v>26062.773714428498</v>
      </c>
      <c r="V16" s="130">
        <f>IF(SER_hh_tes!V16=0,0,11630*1000*SER_hh_tes!V16/SER_hh_num!V16)</f>
        <v>24781.218138292654</v>
      </c>
      <c r="W16" s="130">
        <f>IF(SER_hh_tes!W16=0,0,11630*1000*SER_hh_tes!W16/SER_hh_num!W16)</f>
        <v>24587.592165687642</v>
      </c>
      <c r="X16" s="130">
        <f>IF(SER_hh_tes!X16=0,0,11630*1000*SER_hh_tes!X16/SER_hh_num!X16)</f>
        <v>25876.981907250414</v>
      </c>
      <c r="Y16" s="130">
        <f>IF(SER_hh_tes!Y16=0,0,11630*1000*SER_hh_tes!Y16/SER_hh_num!Y16)</f>
        <v>25768.839012565288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24840.732931800019</v>
      </c>
      <c r="C17" s="132">
        <f>IF(SER_hh_tes!C17=0,0,11630*1000*SER_hh_tes!C17/SER_hh_num!C17)</f>
        <v>24733.906564730638</v>
      </c>
      <c r="D17" s="132">
        <f>IF(SER_hh_tes!D17=0,0,11630*1000*SER_hh_tes!D17/SER_hh_num!D17)</f>
        <v>25136.774720420159</v>
      </c>
      <c r="E17" s="132">
        <f>IF(SER_hh_tes!E17=0,0,11630*1000*SER_hh_tes!E17/SER_hh_num!E17)</f>
        <v>25160.219110830851</v>
      </c>
      <c r="F17" s="132">
        <f>IF(SER_hh_tes!F17=0,0,11630*1000*SER_hh_tes!F17/SER_hh_num!F17)</f>
        <v>25097.906398743784</v>
      </c>
      <c r="G17" s="132">
        <f>IF(SER_hh_tes!G17=0,0,11630*1000*SER_hh_tes!G17/SER_hh_num!G17)</f>
        <v>24728.347641795066</v>
      </c>
      <c r="H17" s="132">
        <f>IF(SER_hh_tes!H17=0,0,11630*1000*SER_hh_tes!H17/SER_hh_num!H17)</f>
        <v>25117.507887471758</v>
      </c>
      <c r="I17" s="132">
        <f>IF(SER_hh_tes!I17=0,0,11630*1000*SER_hh_tes!I17/SER_hh_num!I17)</f>
        <v>25071.233826045995</v>
      </c>
      <c r="J17" s="132">
        <f>IF(SER_hh_tes!J17=0,0,11630*1000*SER_hh_tes!J17/SER_hh_num!J17)</f>
        <v>25042.379189049938</v>
      </c>
      <c r="K17" s="132">
        <f>IF(SER_hh_tes!K17=0,0,11630*1000*SER_hh_tes!K17/SER_hh_num!K17)</f>
        <v>24982.130033212445</v>
      </c>
      <c r="L17" s="132">
        <f>IF(SER_hh_tes!L17=0,0,11630*1000*SER_hh_tes!L17/SER_hh_num!L17)</f>
        <v>25264.960690200336</v>
      </c>
      <c r="M17" s="132">
        <f>IF(SER_hh_tes!M17=0,0,11630*1000*SER_hh_tes!M17/SER_hh_num!M17)</f>
        <v>25166.757882009799</v>
      </c>
      <c r="N17" s="132">
        <f>IF(SER_hh_tes!N17=0,0,11630*1000*SER_hh_tes!N17/SER_hh_num!N17)</f>
        <v>25674.148172768852</v>
      </c>
      <c r="O17" s="132">
        <f>IF(SER_hh_tes!O17=0,0,11630*1000*SER_hh_tes!O17/SER_hh_num!O17)</f>
        <v>25383.372685103572</v>
      </c>
      <c r="P17" s="132">
        <f>IF(SER_hh_tes!P17=0,0,11630*1000*SER_hh_tes!P17/SER_hh_num!P17)</f>
        <v>25863.163712649155</v>
      </c>
      <c r="Q17" s="132">
        <f>IF(SER_hh_tes!Q17=0,0,11630*1000*SER_hh_tes!Q17/SER_hh_num!Q17)</f>
        <v>25830.560890145654</v>
      </c>
      <c r="R17" s="132">
        <f>IF(SER_hh_tes!R17=0,0,11630*1000*SER_hh_tes!R17/SER_hh_num!R17)</f>
        <v>25911.159582267166</v>
      </c>
      <c r="S17" s="132">
        <f>IF(SER_hh_tes!S17=0,0,11630*1000*SER_hh_tes!S17/SER_hh_num!S17)</f>
        <v>25853.719238993042</v>
      </c>
      <c r="T17" s="132">
        <f>IF(SER_hh_tes!T17=0,0,11630*1000*SER_hh_tes!T17/SER_hh_num!T17)</f>
        <v>25833.835505513747</v>
      </c>
      <c r="U17" s="132">
        <f>IF(SER_hh_tes!U17=0,0,11630*1000*SER_hh_tes!U17/SER_hh_num!U17)</f>
        <v>26062.773718527682</v>
      </c>
      <c r="V17" s="132">
        <f>IF(SER_hh_tes!V17=0,0,11630*1000*SER_hh_tes!V17/SER_hh_num!V17)</f>
        <v>23581.415959274</v>
      </c>
      <c r="W17" s="132">
        <f>IF(SER_hh_tes!W17=0,0,11630*1000*SER_hh_tes!W17/SER_hh_num!W17)</f>
        <v>22685.149165756058</v>
      </c>
      <c r="X17" s="132">
        <f>IF(SER_hh_tes!X17=0,0,11630*1000*SER_hh_tes!X17/SER_hh_num!X17)</f>
        <v>24771.846674097404</v>
      </c>
      <c r="Y17" s="132">
        <f>IF(SER_hh_tes!Y17=0,0,11630*1000*SER_hh_tes!Y17/SER_hh_num!Y17)</f>
        <v>25768.839015412173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24840.732931800008</v>
      </c>
      <c r="C18" s="132">
        <f>IF(SER_hh_tes!C18=0,0,11630*1000*SER_hh_tes!C18/SER_hh_num!C18)</f>
        <v>24733.9065647358</v>
      </c>
      <c r="D18" s="132">
        <f>IF(SER_hh_tes!D18=0,0,11630*1000*SER_hh_tes!D18/SER_hh_num!D18)</f>
        <v>25136.774721144764</v>
      </c>
      <c r="E18" s="132">
        <f>IF(SER_hh_tes!E18=0,0,11630*1000*SER_hh_tes!E18/SER_hh_num!E18)</f>
        <v>25160.219110975846</v>
      </c>
      <c r="F18" s="132">
        <f>IF(SER_hh_tes!F18=0,0,11630*1000*SER_hh_tes!F18/SER_hh_num!F18)</f>
        <v>25097.906398089199</v>
      </c>
      <c r="G18" s="132">
        <f>IF(SER_hh_tes!G18=0,0,11630*1000*SER_hh_tes!G18/SER_hh_num!G18)</f>
        <v>24728.347641014007</v>
      </c>
      <c r="H18" s="132">
        <f>IF(SER_hh_tes!H18=0,0,11630*1000*SER_hh_tes!H18/SER_hh_num!H18)</f>
        <v>25117.507887170377</v>
      </c>
      <c r="I18" s="132">
        <f>IF(SER_hh_tes!I18=0,0,11630*1000*SER_hh_tes!I18/SER_hh_num!I18)</f>
        <v>25494.304023279976</v>
      </c>
      <c r="J18" s="132">
        <f>IF(SER_hh_tes!J18=0,0,11630*1000*SER_hh_tes!J18/SER_hh_num!J18)</f>
        <v>25042.379189527641</v>
      </c>
      <c r="K18" s="132">
        <f>IF(SER_hh_tes!K18=0,0,11630*1000*SER_hh_tes!K18/SER_hh_num!K18)</f>
        <v>24982.13003382826</v>
      </c>
      <c r="L18" s="132">
        <f>IF(SER_hh_tes!L18=0,0,11630*1000*SER_hh_tes!L18/SER_hh_num!L18)</f>
        <v>25264.960690873508</v>
      </c>
      <c r="M18" s="132">
        <f>IF(SER_hh_tes!M18=0,0,11630*1000*SER_hh_tes!M18/SER_hh_num!M18)</f>
        <v>25166.757882422993</v>
      </c>
      <c r="N18" s="132">
        <f>IF(SER_hh_tes!N18=0,0,11630*1000*SER_hh_tes!N18/SER_hh_num!N18)</f>
        <v>25674.148172844842</v>
      </c>
      <c r="O18" s="132">
        <f>IF(SER_hh_tes!O18=0,0,11630*1000*SER_hh_tes!O18/SER_hh_num!O18)</f>
        <v>25383.372683372549</v>
      </c>
      <c r="P18" s="132">
        <f>IF(SER_hh_tes!P18=0,0,11630*1000*SER_hh_tes!P18/SER_hh_num!P18)</f>
        <v>25863.163709263015</v>
      </c>
      <c r="Q18" s="132">
        <f>IF(SER_hh_tes!Q18=0,0,11630*1000*SER_hh_tes!Q18/SER_hh_num!Q18)</f>
        <v>25071.19798356474</v>
      </c>
      <c r="R18" s="132">
        <f>IF(SER_hh_tes!R18=0,0,11630*1000*SER_hh_tes!R18/SER_hh_num!R18)</f>
        <v>25911.159558797161</v>
      </c>
      <c r="S18" s="132">
        <f>IF(SER_hh_tes!S18=0,0,11630*1000*SER_hh_tes!S18/SER_hh_num!S18)</f>
        <v>25853.719225705292</v>
      </c>
      <c r="T18" s="132">
        <f>IF(SER_hh_tes!T18=0,0,11630*1000*SER_hh_tes!T18/SER_hh_num!T18)</f>
        <v>25833.835498892524</v>
      </c>
      <c r="U18" s="132">
        <f>IF(SER_hh_tes!U18=0,0,11630*1000*SER_hh_tes!U18/SER_hh_num!U18)</f>
        <v>26062.773714369971</v>
      </c>
      <c r="V18" s="132">
        <f>IF(SER_hh_tes!V18=0,0,11630*1000*SER_hh_tes!V18/SER_hh_num!V18)</f>
        <v>24799.476411264553</v>
      </c>
      <c r="W18" s="132">
        <f>IF(SER_hh_tes!W18=0,0,11630*1000*SER_hh_tes!W18/SER_hh_num!W18)</f>
        <v>24616.758625760463</v>
      </c>
      <c r="X18" s="132">
        <f>IF(SER_hh_tes!X18=0,0,11630*1000*SER_hh_tes!X18/SER_hh_num!X18)</f>
        <v>25894.674529589822</v>
      </c>
      <c r="Y18" s="132">
        <f>IF(SER_hh_tes!Y18=0,0,11630*1000*SER_hh_tes!Y18/SER_hh_num!Y18)</f>
        <v>25768.839012520501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22314.190133680557</v>
      </c>
      <c r="C19" s="130">
        <f>IF(SER_hh_tes!C19=0,0,11630*1000*SER_hh_tes!C19/SER_hh_num!C19)</f>
        <v>22355.115966956389</v>
      </c>
      <c r="D19" s="130">
        <f>IF(SER_hh_tes!D19=0,0,11630*1000*SER_hh_tes!D19/SER_hh_num!D19)</f>
        <v>22118.126514776963</v>
      </c>
      <c r="E19" s="130">
        <f>IF(SER_hh_tes!E19=0,0,11630*1000*SER_hh_tes!E19/SER_hh_num!E19)</f>
        <v>21855.504490881529</v>
      </c>
      <c r="F19" s="130">
        <f>IF(SER_hh_tes!F19=0,0,11630*1000*SER_hh_tes!F19/SER_hh_num!F19)</f>
        <v>21535.543221424228</v>
      </c>
      <c r="G19" s="130">
        <f>IF(SER_hh_tes!G19=0,0,11630*1000*SER_hh_tes!G19/SER_hh_num!G19)</f>
        <v>21690.884111569125</v>
      </c>
      <c r="H19" s="130">
        <f>IF(SER_hh_tes!H19=0,0,11630*1000*SER_hh_tes!H19/SER_hh_num!H19)</f>
        <v>21469.669992204479</v>
      </c>
      <c r="I19" s="130">
        <f>IF(SER_hh_tes!I19=0,0,11630*1000*SER_hh_tes!I19/SER_hh_num!I19)</f>
        <v>21098.396869649921</v>
      </c>
      <c r="J19" s="130">
        <f>IF(SER_hh_tes!J19=0,0,11630*1000*SER_hh_tes!J19/SER_hh_num!J19)</f>
        <v>21168.997880790495</v>
      </c>
      <c r="K19" s="130">
        <f>IF(SER_hh_tes!K19=0,0,11630*1000*SER_hh_tes!K19/SER_hh_num!K19)</f>
        <v>22193.550081388712</v>
      </c>
      <c r="L19" s="130">
        <f>IF(SER_hh_tes!L19=0,0,11630*1000*SER_hh_tes!L19/SER_hh_num!L19)</f>
        <v>22987.31424884051</v>
      </c>
      <c r="M19" s="130">
        <f>IF(SER_hh_tes!M19=0,0,11630*1000*SER_hh_tes!M19/SER_hh_num!M19)</f>
        <v>23003.942180348826</v>
      </c>
      <c r="N19" s="130">
        <f>IF(SER_hh_tes!N19=0,0,11630*1000*SER_hh_tes!N19/SER_hh_num!N19)</f>
        <v>23536.11568818205</v>
      </c>
      <c r="O19" s="130">
        <f>IF(SER_hh_tes!O19=0,0,11630*1000*SER_hh_tes!O19/SER_hh_num!O19)</f>
        <v>23903.93034882252</v>
      </c>
      <c r="P19" s="130">
        <f>IF(SER_hh_tes!P19=0,0,11630*1000*SER_hh_tes!P19/SER_hh_num!P19)</f>
        <v>24169.149791398271</v>
      </c>
      <c r="Q19" s="130">
        <f>IF(SER_hh_tes!Q19=0,0,11630*1000*SER_hh_tes!Q19/SER_hh_num!Q19)</f>
        <v>25373.147694107469</v>
      </c>
      <c r="R19" s="130">
        <f>IF(SER_hh_tes!R19=0,0,11630*1000*SER_hh_tes!R19/SER_hh_num!R19)</f>
        <v>24893.981773969459</v>
      </c>
      <c r="S19" s="130">
        <f>IF(SER_hh_tes!S19=0,0,11630*1000*SER_hh_tes!S19/SER_hh_num!S19)</f>
        <v>24814.418036091731</v>
      </c>
      <c r="T19" s="130">
        <f>IF(SER_hh_tes!T19=0,0,11630*1000*SER_hh_tes!T19/SER_hh_num!T19)</f>
        <v>24846.019315184192</v>
      </c>
      <c r="U19" s="130">
        <f>IF(SER_hh_tes!U19=0,0,11630*1000*SER_hh_tes!U19/SER_hh_num!U19)</f>
        <v>25251.05140166925</v>
      </c>
      <c r="V19" s="130">
        <f>IF(SER_hh_tes!V19=0,0,11630*1000*SER_hh_tes!V19/SER_hh_num!V19)</f>
        <v>23629.504972659444</v>
      </c>
      <c r="W19" s="130">
        <f>IF(SER_hh_tes!W19=0,0,11630*1000*SER_hh_tes!W19/SER_hh_num!W19)</f>
        <v>25812.730678067554</v>
      </c>
      <c r="X19" s="130">
        <f>IF(SER_hh_tes!X19=0,0,11630*1000*SER_hh_tes!X19/SER_hh_num!X19)</f>
        <v>25169.259639075488</v>
      </c>
      <c r="Y19" s="130">
        <f>IF(SER_hh_tes!Y19=0,0,11630*1000*SER_hh_tes!Y19/SER_hh_num!Y19)</f>
        <v>24529.616199716555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0</v>
      </c>
      <c r="C21" s="132">
        <f>IF(SER_hh_tes!C21=0,0,11630*1000*SER_hh_tes!C21/SER_hh_num!C21)</f>
        <v>0</v>
      </c>
      <c r="D21" s="132">
        <f>IF(SER_hh_tes!D21=0,0,11630*1000*SER_hh_tes!D21/SER_hh_num!D21)</f>
        <v>0</v>
      </c>
      <c r="E21" s="132">
        <f>IF(SER_hh_tes!E21=0,0,11630*1000*SER_hh_tes!E21/SER_hh_num!E21)</f>
        <v>0</v>
      </c>
      <c r="F21" s="132">
        <f>IF(SER_hh_tes!F21=0,0,11630*1000*SER_hh_tes!F21/SER_hh_num!F21)</f>
        <v>0</v>
      </c>
      <c r="G21" s="132">
        <f>IF(SER_hh_tes!G21=0,0,11630*1000*SER_hh_tes!G21/SER_hh_num!G21)</f>
        <v>0</v>
      </c>
      <c r="H21" s="132">
        <f>IF(SER_hh_tes!H21=0,0,11630*1000*SER_hh_tes!H21/SER_hh_num!H21)</f>
        <v>0</v>
      </c>
      <c r="I21" s="132">
        <f>IF(SER_hh_tes!I21=0,0,11630*1000*SER_hh_tes!I21/SER_hh_num!I21)</f>
        <v>0</v>
      </c>
      <c r="J21" s="132">
        <f>IF(SER_hh_tes!J21=0,0,11630*1000*SER_hh_tes!J21/SER_hh_num!J21)</f>
        <v>0</v>
      </c>
      <c r="K21" s="132">
        <f>IF(SER_hh_tes!K21=0,0,11630*1000*SER_hh_tes!K21/SER_hh_num!K21)</f>
        <v>0</v>
      </c>
      <c r="L21" s="132">
        <f>IF(SER_hh_tes!L21=0,0,11630*1000*SER_hh_tes!L21/SER_hh_num!L21)</f>
        <v>0</v>
      </c>
      <c r="M21" s="132">
        <f>IF(SER_hh_tes!M21=0,0,11630*1000*SER_hh_tes!M21/SER_hh_num!M21)</f>
        <v>0</v>
      </c>
      <c r="N21" s="132">
        <f>IF(SER_hh_tes!N21=0,0,11630*1000*SER_hh_tes!N21/SER_hh_num!N21)</f>
        <v>0</v>
      </c>
      <c r="O21" s="132">
        <f>IF(SER_hh_tes!O21=0,0,11630*1000*SER_hh_tes!O21/SER_hh_num!O21)</f>
        <v>0</v>
      </c>
      <c r="P21" s="132">
        <f>IF(SER_hh_tes!P21=0,0,11630*1000*SER_hh_tes!P21/SER_hh_num!P21)</f>
        <v>0</v>
      </c>
      <c r="Q21" s="132">
        <f>IF(SER_hh_tes!Q21=0,0,11630*1000*SER_hh_tes!Q21/SER_hh_num!Q21)</f>
        <v>0</v>
      </c>
      <c r="R21" s="132">
        <f>IF(SER_hh_tes!R21=0,0,11630*1000*SER_hh_tes!R21/SER_hh_num!R21)</f>
        <v>0</v>
      </c>
      <c r="S21" s="132">
        <f>IF(SER_hh_tes!S21=0,0,11630*1000*SER_hh_tes!S21/SER_hh_num!S21)</f>
        <v>0</v>
      </c>
      <c r="T21" s="132">
        <f>IF(SER_hh_tes!T21=0,0,11630*1000*SER_hh_tes!T21/SER_hh_num!T21)</f>
        <v>0</v>
      </c>
      <c r="U21" s="132">
        <f>IF(SER_hh_tes!U21=0,0,11630*1000*SER_hh_tes!U21/SER_hh_num!U21)</f>
        <v>0</v>
      </c>
      <c r="V21" s="132">
        <f>IF(SER_hh_tes!V21=0,0,11630*1000*SER_hh_tes!V21/SER_hh_num!V21)</f>
        <v>0</v>
      </c>
      <c r="W21" s="132">
        <f>IF(SER_hh_tes!W21=0,0,11630*1000*SER_hh_tes!W21/SER_hh_num!W21)</f>
        <v>0</v>
      </c>
      <c r="X21" s="132">
        <f>IF(SER_hh_tes!X21=0,0,11630*1000*SER_hh_tes!X21/SER_hh_num!X21)</f>
        <v>0</v>
      </c>
      <c r="Y21" s="132">
        <f>IF(SER_hh_tes!Y21=0,0,11630*1000*SER_hh_tes!Y21/SER_hh_num!Y21)</f>
        <v>0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22301.676221601319</v>
      </c>
      <c r="C22" s="132">
        <f>IF(SER_hh_tes!C22=0,0,11630*1000*SER_hh_tes!C22/SER_hh_num!C22)</f>
        <v>22427.553066540295</v>
      </c>
      <c r="D22" s="132">
        <f>IF(SER_hh_tes!D22=0,0,11630*1000*SER_hh_tes!D22/SER_hh_num!D22)</f>
        <v>22408.275496739032</v>
      </c>
      <c r="E22" s="132">
        <f>IF(SER_hh_tes!E22=0,0,11630*1000*SER_hh_tes!E22/SER_hh_num!E22)</f>
        <v>21642.233121673289</v>
      </c>
      <c r="F22" s="132">
        <f>IF(SER_hh_tes!F22=0,0,11630*1000*SER_hh_tes!F22/SER_hh_num!F22)</f>
        <v>21919.503511674295</v>
      </c>
      <c r="G22" s="132">
        <f>IF(SER_hh_tes!G22=0,0,11630*1000*SER_hh_tes!G22/SER_hh_num!G22)</f>
        <v>21565.761427483216</v>
      </c>
      <c r="H22" s="132">
        <f>IF(SER_hh_tes!H22=0,0,11630*1000*SER_hh_tes!H22/SER_hh_num!H22)</f>
        <v>21071.91199599961</v>
      </c>
      <c r="I22" s="132">
        <f>IF(SER_hh_tes!I22=0,0,11630*1000*SER_hh_tes!I22/SER_hh_num!I22)</f>
        <v>21033.958099598778</v>
      </c>
      <c r="J22" s="132">
        <f>IF(SER_hh_tes!J22=0,0,11630*1000*SER_hh_tes!J22/SER_hh_num!J22)</f>
        <v>21574.855656848446</v>
      </c>
      <c r="K22" s="132">
        <f>IF(SER_hh_tes!K22=0,0,11630*1000*SER_hh_tes!K22/SER_hh_num!K22)</f>
        <v>21822.386531951186</v>
      </c>
      <c r="L22" s="132">
        <f>IF(SER_hh_tes!L22=0,0,11630*1000*SER_hh_tes!L22/SER_hh_num!L22)</f>
        <v>22736.247532533842</v>
      </c>
      <c r="M22" s="132">
        <f>IF(SER_hh_tes!M22=0,0,11630*1000*SER_hh_tes!M22/SER_hh_num!M22)</f>
        <v>23146.616216169743</v>
      </c>
      <c r="N22" s="132">
        <f>IF(SER_hh_tes!N22=0,0,11630*1000*SER_hh_tes!N22/SER_hh_num!N22)</f>
        <v>23659.783688699707</v>
      </c>
      <c r="O22" s="132">
        <f>IF(SER_hh_tes!O22=0,0,11630*1000*SER_hh_tes!O22/SER_hh_num!O22)</f>
        <v>23874.066938085376</v>
      </c>
      <c r="P22" s="132">
        <f>IF(SER_hh_tes!P22=0,0,11630*1000*SER_hh_tes!P22/SER_hh_num!P22)</f>
        <v>24633.405143745618</v>
      </c>
      <c r="Q22" s="132">
        <f>IF(SER_hh_tes!Q22=0,0,11630*1000*SER_hh_tes!Q22/SER_hh_num!Q22)</f>
        <v>24687.940373458438</v>
      </c>
      <c r="R22" s="132">
        <f>IF(SER_hh_tes!R22=0,0,11630*1000*SER_hh_tes!R22/SER_hh_num!R22)</f>
        <v>24576.504770865005</v>
      </c>
      <c r="S22" s="132">
        <f>IF(SER_hh_tes!S22=0,0,11630*1000*SER_hh_tes!S22/SER_hh_num!S22)</f>
        <v>25577.215647585799</v>
      </c>
      <c r="T22" s="132">
        <f>IF(SER_hh_tes!T22=0,0,11630*1000*SER_hh_tes!T22/SER_hh_num!T22)</f>
        <v>24933.804199394726</v>
      </c>
      <c r="U22" s="132">
        <f>IF(SER_hh_tes!U22=0,0,11630*1000*SER_hh_tes!U22/SER_hh_num!U22)</f>
        <v>25391.111561429097</v>
      </c>
      <c r="V22" s="132">
        <f>IF(SER_hh_tes!V22=0,0,11630*1000*SER_hh_tes!V22/SER_hh_num!V22)</f>
        <v>22985.161102365142</v>
      </c>
      <c r="W22" s="132">
        <f>IF(SER_hh_tes!W22=0,0,11630*1000*SER_hh_tes!W22/SER_hh_num!W22)</f>
        <v>24624.090884590336</v>
      </c>
      <c r="X22" s="132">
        <f>IF(SER_hh_tes!X22=0,0,11630*1000*SER_hh_tes!X22/SER_hh_num!X22)</f>
        <v>25466.858222311428</v>
      </c>
      <c r="Y22" s="132">
        <f>IF(SER_hh_tes!Y22=0,0,11630*1000*SER_hh_tes!Y22/SER_hh_num!Y22)</f>
        <v>24794.461998324128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22022.005229273618</v>
      </c>
      <c r="C23" s="132">
        <f>IF(SER_hh_tes!C23=0,0,11630*1000*SER_hh_tes!C23/SER_hh_num!C23)</f>
        <v>22420.601518365635</v>
      </c>
      <c r="D23" s="132">
        <f>IF(SER_hh_tes!D23=0,0,11630*1000*SER_hh_tes!D23/SER_hh_num!D23)</f>
        <v>22093.072417406696</v>
      </c>
      <c r="E23" s="132">
        <f>IF(SER_hh_tes!E23=0,0,11630*1000*SER_hh_tes!E23/SER_hh_num!E23)</f>
        <v>21681.292571425198</v>
      </c>
      <c r="F23" s="132">
        <f>IF(SER_hh_tes!F23=0,0,11630*1000*SER_hh_tes!F23/SER_hh_num!F23)</f>
        <v>21797.371439030572</v>
      </c>
      <c r="G23" s="132">
        <f>IF(SER_hh_tes!G23=0,0,11630*1000*SER_hh_tes!G23/SER_hh_num!G23)</f>
        <v>21622.74985623296</v>
      </c>
      <c r="H23" s="132">
        <f>IF(SER_hh_tes!H23=0,0,11630*1000*SER_hh_tes!H23/SER_hh_num!H23)</f>
        <v>21282.165276653752</v>
      </c>
      <c r="I23" s="132">
        <f>IF(SER_hh_tes!I23=0,0,11630*1000*SER_hh_tes!I23/SER_hh_num!I23)</f>
        <v>21483.735142707796</v>
      </c>
      <c r="J23" s="132">
        <f>IF(SER_hh_tes!J23=0,0,11630*1000*SER_hh_tes!J23/SER_hh_num!J23)</f>
        <v>21231.616868954425</v>
      </c>
      <c r="K23" s="132">
        <f>IF(SER_hh_tes!K23=0,0,11630*1000*SER_hh_tes!K23/SER_hh_num!K23)</f>
        <v>22088.681096515658</v>
      </c>
      <c r="L23" s="132">
        <f>IF(SER_hh_tes!L23=0,0,11630*1000*SER_hh_tes!L23/SER_hh_num!L23)</f>
        <v>23449.655533431625</v>
      </c>
      <c r="M23" s="132">
        <f>IF(SER_hh_tes!M23=0,0,11630*1000*SER_hh_tes!M23/SER_hh_num!M23)</f>
        <v>22289.405931205376</v>
      </c>
      <c r="N23" s="132">
        <f>IF(SER_hh_tes!N23=0,0,11630*1000*SER_hh_tes!N23/SER_hh_num!N23)</f>
        <v>23244.256534827382</v>
      </c>
      <c r="O23" s="132">
        <f>IF(SER_hh_tes!O23=0,0,11630*1000*SER_hh_tes!O23/SER_hh_num!O23)</f>
        <v>23945.179564327194</v>
      </c>
      <c r="P23" s="132">
        <f>IF(SER_hh_tes!P23=0,0,11630*1000*SER_hh_tes!P23/SER_hh_num!P23)</f>
        <v>24542.106908117927</v>
      </c>
      <c r="Q23" s="132">
        <f>IF(SER_hh_tes!Q23=0,0,11630*1000*SER_hh_tes!Q23/SER_hh_num!Q23)</f>
        <v>25493.265189924365</v>
      </c>
      <c r="R23" s="132">
        <f>IF(SER_hh_tes!R23=0,0,11630*1000*SER_hh_tes!R23/SER_hh_num!R23)</f>
        <v>25011.204620195538</v>
      </c>
      <c r="S23" s="132">
        <f>IF(SER_hh_tes!S23=0,0,11630*1000*SER_hh_tes!S23/SER_hh_num!S23)</f>
        <v>25412.705527353311</v>
      </c>
      <c r="T23" s="132">
        <f>IF(SER_hh_tes!T23=0,0,11630*1000*SER_hh_tes!T23/SER_hh_num!T23)</f>
        <v>24684.326054789344</v>
      </c>
      <c r="U23" s="132">
        <f>IF(SER_hh_tes!U23=0,0,11630*1000*SER_hh_tes!U23/SER_hh_num!U23)</f>
        <v>25865.303557509993</v>
      </c>
      <c r="V23" s="132">
        <f>IF(SER_hh_tes!V23=0,0,11630*1000*SER_hh_tes!V23/SER_hh_num!V23)</f>
        <v>20295.096490155203</v>
      </c>
      <c r="W23" s="132">
        <f>IF(SER_hh_tes!W23=0,0,11630*1000*SER_hh_tes!W23/SER_hh_num!W23)</f>
        <v>26863.854608776572</v>
      </c>
      <c r="X23" s="132">
        <f>IF(SER_hh_tes!X23=0,0,11630*1000*SER_hh_tes!X23/SER_hh_num!X23)</f>
        <v>25619.094276397016</v>
      </c>
      <c r="Y23" s="132">
        <f>IF(SER_hh_tes!Y23=0,0,11630*1000*SER_hh_tes!Y23/SER_hh_num!Y23)</f>
        <v>24802.30535847682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0</v>
      </c>
      <c r="C24" s="132">
        <f>IF(SER_hh_tes!C24=0,0,11630*1000*SER_hh_tes!C24/SER_hh_num!C24)</f>
        <v>0</v>
      </c>
      <c r="D24" s="132">
        <f>IF(SER_hh_tes!D24=0,0,11630*1000*SER_hh_tes!D24/SER_hh_num!D24)</f>
        <v>0</v>
      </c>
      <c r="E24" s="132">
        <f>IF(SER_hh_tes!E24=0,0,11630*1000*SER_hh_tes!E24/SER_hh_num!E24)</f>
        <v>0</v>
      </c>
      <c r="F24" s="132">
        <f>IF(SER_hh_tes!F24=0,0,11630*1000*SER_hh_tes!F24/SER_hh_num!F24)</f>
        <v>0</v>
      </c>
      <c r="G24" s="132">
        <f>IF(SER_hh_tes!G24=0,0,11630*1000*SER_hh_tes!G24/SER_hh_num!G24)</f>
        <v>0</v>
      </c>
      <c r="H24" s="132">
        <f>IF(SER_hh_tes!H24=0,0,11630*1000*SER_hh_tes!H24/SER_hh_num!H24)</f>
        <v>0</v>
      </c>
      <c r="I24" s="132">
        <f>IF(SER_hh_tes!I24=0,0,11630*1000*SER_hh_tes!I24/SER_hh_num!I24)</f>
        <v>0</v>
      </c>
      <c r="J24" s="132">
        <f>IF(SER_hh_tes!J24=0,0,11630*1000*SER_hh_tes!J24/SER_hh_num!J24)</f>
        <v>0</v>
      </c>
      <c r="K24" s="132">
        <f>IF(SER_hh_tes!K24=0,0,11630*1000*SER_hh_tes!K24/SER_hh_num!K24)</f>
        <v>0</v>
      </c>
      <c r="L24" s="132">
        <f>IF(SER_hh_tes!L24=0,0,11630*1000*SER_hh_tes!L24/SER_hh_num!L24)</f>
        <v>0</v>
      </c>
      <c r="M24" s="132">
        <f>IF(SER_hh_tes!M24=0,0,11630*1000*SER_hh_tes!M24/SER_hh_num!M24)</f>
        <v>0</v>
      </c>
      <c r="N24" s="132">
        <f>IF(SER_hh_tes!N24=0,0,11630*1000*SER_hh_tes!N24/SER_hh_num!N24)</f>
        <v>0</v>
      </c>
      <c r="O24" s="132">
        <f>IF(SER_hh_tes!O24=0,0,11630*1000*SER_hh_tes!O24/SER_hh_num!O24)</f>
        <v>0</v>
      </c>
      <c r="P24" s="132">
        <f>IF(SER_hh_tes!P24=0,0,11630*1000*SER_hh_tes!P24/SER_hh_num!P24)</f>
        <v>0</v>
      </c>
      <c r="Q24" s="132">
        <f>IF(SER_hh_tes!Q24=0,0,11630*1000*SER_hh_tes!Q24/SER_hh_num!Q24)</f>
        <v>0</v>
      </c>
      <c r="R24" s="132">
        <f>IF(SER_hh_tes!R24=0,0,11630*1000*SER_hh_tes!R24/SER_hh_num!R24)</f>
        <v>0</v>
      </c>
      <c r="S24" s="132">
        <f>IF(SER_hh_tes!S24=0,0,11630*1000*SER_hh_tes!S24/SER_hh_num!S24)</f>
        <v>0</v>
      </c>
      <c r="T24" s="132">
        <f>IF(SER_hh_tes!T24=0,0,11630*1000*SER_hh_tes!T24/SER_hh_num!T24)</f>
        <v>0</v>
      </c>
      <c r="U24" s="132">
        <f>IF(SER_hh_tes!U24=0,0,11630*1000*SER_hh_tes!U24/SER_hh_num!U24)</f>
        <v>0</v>
      </c>
      <c r="V24" s="132">
        <f>IF(SER_hh_tes!V24=0,0,11630*1000*SER_hh_tes!V24/SER_hh_num!V24)</f>
        <v>0</v>
      </c>
      <c r="W24" s="132">
        <f>IF(SER_hh_tes!W24=0,0,11630*1000*SER_hh_tes!W24/SER_hh_num!W24)</f>
        <v>0</v>
      </c>
      <c r="X24" s="132">
        <f>IF(SER_hh_tes!X24=0,0,11630*1000*SER_hh_tes!X24/SER_hh_num!X24)</f>
        <v>0</v>
      </c>
      <c r="Y24" s="132">
        <f>IF(SER_hh_tes!Y24=0,0,11630*1000*SER_hh_tes!Y24/SER_hh_num!Y24)</f>
        <v>0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0</v>
      </c>
      <c r="C25" s="132">
        <f>IF(SER_hh_tes!C25=0,0,11630*1000*SER_hh_tes!C25/SER_hh_num!C25)</f>
        <v>0</v>
      </c>
      <c r="D25" s="132">
        <f>IF(SER_hh_tes!D25=0,0,11630*1000*SER_hh_tes!D25/SER_hh_num!D25)</f>
        <v>0</v>
      </c>
      <c r="E25" s="132">
        <f>IF(SER_hh_tes!E25=0,0,11630*1000*SER_hh_tes!E25/SER_hh_num!E25)</f>
        <v>0</v>
      </c>
      <c r="F25" s="132">
        <f>IF(SER_hh_tes!F25=0,0,11630*1000*SER_hh_tes!F25/SER_hh_num!F25)</f>
        <v>0</v>
      </c>
      <c r="G25" s="132">
        <f>IF(SER_hh_tes!G25=0,0,11630*1000*SER_hh_tes!G25/SER_hh_num!G25)</f>
        <v>0</v>
      </c>
      <c r="H25" s="132">
        <f>IF(SER_hh_tes!H25=0,0,11630*1000*SER_hh_tes!H25/SER_hh_num!H25)</f>
        <v>0</v>
      </c>
      <c r="I25" s="132">
        <f>IF(SER_hh_tes!I25=0,0,11630*1000*SER_hh_tes!I25/SER_hh_num!I25)</f>
        <v>0</v>
      </c>
      <c r="J25" s="132">
        <f>IF(SER_hh_tes!J25=0,0,11630*1000*SER_hh_tes!J25/SER_hh_num!J25)</f>
        <v>0</v>
      </c>
      <c r="K25" s="132">
        <f>IF(SER_hh_tes!K25=0,0,11630*1000*SER_hh_tes!K25/SER_hh_num!K25)</f>
        <v>0</v>
      </c>
      <c r="L25" s="132">
        <f>IF(SER_hh_tes!L25=0,0,11630*1000*SER_hh_tes!L25/SER_hh_num!L25)</f>
        <v>0</v>
      </c>
      <c r="M25" s="132">
        <f>IF(SER_hh_tes!M25=0,0,11630*1000*SER_hh_tes!M25/SER_hh_num!M25)</f>
        <v>0</v>
      </c>
      <c r="N25" s="132">
        <f>IF(SER_hh_tes!N25=0,0,11630*1000*SER_hh_tes!N25/SER_hh_num!N25)</f>
        <v>0</v>
      </c>
      <c r="O25" s="132">
        <f>IF(SER_hh_tes!O25=0,0,11630*1000*SER_hh_tes!O25/SER_hh_num!O25)</f>
        <v>0</v>
      </c>
      <c r="P25" s="132">
        <f>IF(SER_hh_tes!P25=0,0,11630*1000*SER_hh_tes!P25/SER_hh_num!P25)</f>
        <v>0</v>
      </c>
      <c r="Q25" s="132">
        <f>IF(SER_hh_tes!Q25=0,0,11630*1000*SER_hh_tes!Q25/SER_hh_num!Q25)</f>
        <v>0</v>
      </c>
      <c r="R25" s="132">
        <f>IF(SER_hh_tes!R25=0,0,11630*1000*SER_hh_tes!R25/SER_hh_num!R25)</f>
        <v>0</v>
      </c>
      <c r="S25" s="132">
        <f>IF(SER_hh_tes!S25=0,0,11630*1000*SER_hh_tes!S25/SER_hh_num!S25)</f>
        <v>0</v>
      </c>
      <c r="T25" s="132">
        <f>IF(SER_hh_tes!T25=0,0,11630*1000*SER_hh_tes!T25/SER_hh_num!T25)</f>
        <v>0</v>
      </c>
      <c r="U25" s="132">
        <f>IF(SER_hh_tes!U25=0,0,11630*1000*SER_hh_tes!U25/SER_hh_num!U25)</f>
        <v>0</v>
      </c>
      <c r="V25" s="132">
        <f>IF(SER_hh_tes!V25=0,0,11630*1000*SER_hh_tes!V25/SER_hh_num!V25)</f>
        <v>0</v>
      </c>
      <c r="W25" s="132">
        <f>IF(SER_hh_tes!W25=0,0,11630*1000*SER_hh_tes!W25/SER_hh_num!W25)</f>
        <v>0</v>
      </c>
      <c r="X25" s="132">
        <f>IF(SER_hh_tes!X25=0,0,11630*1000*SER_hh_tes!X25/SER_hh_num!X25)</f>
        <v>0</v>
      </c>
      <c r="Y25" s="132">
        <f>IF(SER_hh_tes!Y25=0,0,11630*1000*SER_hh_tes!Y25/SER_hh_num!Y25)</f>
        <v>0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22436.332013269068</v>
      </c>
      <c r="C26" s="65">
        <f>IF(SER_hh_tes!C26=0,0,11630*1000*SER_hh_tes!C26/SER_hh_num!C26)</f>
        <v>22296.025044375419</v>
      </c>
      <c r="D26" s="65">
        <f>IF(SER_hh_tes!D26=0,0,11630*1000*SER_hh_tes!D26/SER_hh_num!D26)</f>
        <v>22002.062724872769</v>
      </c>
      <c r="E26" s="65">
        <f>IF(SER_hh_tes!E26=0,0,11630*1000*SER_hh_tes!E26/SER_hh_num!E26)</f>
        <v>22008.755930544699</v>
      </c>
      <c r="F26" s="65">
        <f>IF(SER_hh_tes!F26=0,0,11630*1000*SER_hh_tes!F26/SER_hh_num!F26)</f>
        <v>21290.861964703367</v>
      </c>
      <c r="G26" s="65">
        <f>IF(SER_hh_tes!G26=0,0,11630*1000*SER_hh_tes!G26/SER_hh_num!G26)</f>
        <v>21758.379196499744</v>
      </c>
      <c r="H26" s="65">
        <f>IF(SER_hh_tes!H26=0,0,11630*1000*SER_hh_tes!H26/SER_hh_num!H26)</f>
        <v>21646.111546292297</v>
      </c>
      <c r="I26" s="65">
        <f>IF(SER_hh_tes!I26=0,0,11630*1000*SER_hh_tes!I26/SER_hh_num!I26)</f>
        <v>20970.743839726289</v>
      </c>
      <c r="J26" s="65">
        <f>IF(SER_hh_tes!J26=0,0,11630*1000*SER_hh_tes!J26/SER_hh_num!J26)</f>
        <v>21003.784382093167</v>
      </c>
      <c r="K26" s="65">
        <f>IF(SER_hh_tes!K26=0,0,11630*1000*SER_hh_tes!K26/SER_hh_num!K26)</f>
        <v>22287.972668196213</v>
      </c>
      <c r="L26" s="65">
        <f>IF(SER_hh_tes!L26=0,0,11630*1000*SER_hh_tes!L26/SER_hh_num!L26)</f>
        <v>22826.261526352278</v>
      </c>
      <c r="M26" s="65">
        <f>IF(SER_hh_tes!M26=0,0,11630*1000*SER_hh_tes!M26/SER_hh_num!M26)</f>
        <v>23149.849876111355</v>
      </c>
      <c r="N26" s="65">
        <f>IF(SER_hh_tes!N26=0,0,11630*1000*SER_hh_tes!N26/SER_hh_num!N26)</f>
        <v>23541.526237762009</v>
      </c>
      <c r="O26" s="65">
        <f>IF(SER_hh_tes!O26=0,0,11630*1000*SER_hh_tes!O26/SER_hh_num!O26)</f>
        <v>23828.301257282605</v>
      </c>
      <c r="P26" s="65">
        <f>IF(SER_hh_tes!P26=0,0,11630*1000*SER_hh_tes!P26/SER_hh_num!P26)</f>
        <v>23850.691243836423</v>
      </c>
      <c r="Q26" s="65">
        <f>IF(SER_hh_tes!Q26=0,0,11630*1000*SER_hh_tes!Q26/SER_hh_num!Q26)</f>
        <v>25418.969947862082</v>
      </c>
      <c r="R26" s="65">
        <f>IF(SER_hh_tes!R26=0,0,11630*1000*SER_hh_tes!R26/SER_hh_num!R26)</f>
        <v>24856.634775086328</v>
      </c>
      <c r="S26" s="65">
        <f>IF(SER_hh_tes!S26=0,0,11630*1000*SER_hh_tes!S26/SER_hh_num!S26)</f>
        <v>24386.027885615025</v>
      </c>
      <c r="T26" s="65">
        <f>IF(SER_hh_tes!T26=0,0,11630*1000*SER_hh_tes!T26/SER_hh_num!T26)</f>
        <v>24823.023107486752</v>
      </c>
      <c r="U26" s="65">
        <f>IF(SER_hh_tes!U26=0,0,11630*1000*SER_hh_tes!U26/SER_hh_num!U26)</f>
        <v>24986.170381313495</v>
      </c>
      <c r="V26" s="65">
        <f>IF(SER_hh_tes!V26=0,0,11630*1000*SER_hh_tes!V26/SER_hh_num!V26)</f>
        <v>24627.490275930351</v>
      </c>
      <c r="W26" s="65">
        <f>IF(SER_hh_tes!W26=0,0,11630*1000*SER_hh_tes!W26/SER_hh_num!W26)</f>
        <v>25622.506626199498</v>
      </c>
      <c r="X26" s="65">
        <f>IF(SER_hh_tes!X26=0,0,11630*1000*SER_hh_tes!X26/SER_hh_num!X26)</f>
        <v>24916.439489442415</v>
      </c>
      <c r="Y26" s="65">
        <f>IF(SER_hh_tes!Y26=0,0,11630*1000*SER_hh_tes!Y26/SER_hh_num!Y26)</f>
        <v>24334.968825216885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0</v>
      </c>
      <c r="C27" s="145">
        <f>IF(SER_hh_tes!C27=0,0,11630*1000*SER_hh_tes!C27/SER_hh_num!C19)</f>
        <v>0</v>
      </c>
      <c r="D27" s="145">
        <f>IF(SER_hh_tes!D27=0,0,11630*1000*SER_hh_tes!D27/SER_hh_num!D19)</f>
        <v>0</v>
      </c>
      <c r="E27" s="145">
        <f>IF(SER_hh_tes!E27=0,0,11630*1000*SER_hh_tes!E27/SER_hh_num!E19)</f>
        <v>0</v>
      </c>
      <c r="F27" s="145">
        <f>IF(SER_hh_tes!F27=0,0,11630*1000*SER_hh_tes!F27/SER_hh_num!F19)</f>
        <v>0</v>
      </c>
      <c r="G27" s="145">
        <f>IF(SER_hh_tes!G27=0,0,11630*1000*SER_hh_tes!G27/SER_hh_num!G19)</f>
        <v>0</v>
      </c>
      <c r="H27" s="145">
        <f>IF(SER_hh_tes!H27=0,0,11630*1000*SER_hh_tes!H27/SER_hh_num!H19)</f>
        <v>8.5933309261693633</v>
      </c>
      <c r="I27" s="145">
        <f>IF(SER_hh_tes!I27=0,0,11630*1000*SER_hh_tes!I27/SER_hh_num!I19)</f>
        <v>9.3302260031352962</v>
      </c>
      <c r="J27" s="145">
        <f>IF(SER_hh_tes!J27=0,0,11630*1000*SER_hh_tes!J27/SER_hh_num!J19)</f>
        <v>23.124367275981502</v>
      </c>
      <c r="K27" s="145">
        <f>IF(SER_hh_tes!K27=0,0,11630*1000*SER_hh_tes!K27/SER_hh_num!K19)</f>
        <v>25.309740198511928</v>
      </c>
      <c r="L27" s="145">
        <f>IF(SER_hh_tes!L27=0,0,11630*1000*SER_hh_tes!L27/SER_hh_num!L19)</f>
        <v>38.95659409144298</v>
      </c>
      <c r="M27" s="145">
        <f>IF(SER_hh_tes!M27=0,0,11630*1000*SER_hh_tes!M27/SER_hh_num!M19)</f>
        <v>41.506293446687465</v>
      </c>
      <c r="N27" s="145">
        <f>IF(SER_hh_tes!N27=0,0,11630*1000*SER_hh_tes!N27/SER_hh_num!N19)</f>
        <v>42.032103746452947</v>
      </c>
      <c r="O27" s="145">
        <f>IF(SER_hh_tes!O27=0,0,11630*1000*SER_hh_tes!O27/SER_hh_num!O19)</f>
        <v>41.818340671556172</v>
      </c>
      <c r="P27" s="145">
        <f>IF(SER_hh_tes!P27=0,0,11630*1000*SER_hh_tes!P27/SER_hh_num!P19)</f>
        <v>41.183019404152027</v>
      </c>
      <c r="Q27" s="145">
        <f>IF(SER_hh_tes!Q27=0,0,11630*1000*SER_hh_tes!Q27/SER_hh_num!Q19)</f>
        <v>41.021812159309775</v>
      </c>
      <c r="R27" s="145">
        <f>IF(SER_hh_tes!R27=0,0,11630*1000*SER_hh_tes!R27/SER_hh_num!R19)</f>
        <v>39.886332111277177</v>
      </c>
      <c r="S27" s="145">
        <f>IF(SER_hh_tes!S27=0,0,11630*1000*SER_hh_tes!S27/SER_hh_num!S19)</f>
        <v>39.235874753127113</v>
      </c>
      <c r="T27" s="145">
        <f>IF(SER_hh_tes!T27=0,0,11630*1000*SER_hh_tes!T27/SER_hh_num!T19)</f>
        <v>38.464785592602539</v>
      </c>
      <c r="U27" s="145">
        <f>IF(SER_hh_tes!U27=0,0,11630*1000*SER_hh_tes!U27/SER_hh_num!U19)</f>
        <v>37.816598682231245</v>
      </c>
      <c r="V27" s="145">
        <f>IF(SER_hh_tes!V27=0,0,11630*1000*SER_hh_tes!V27/SER_hh_num!V19)</f>
        <v>37.276131523996561</v>
      </c>
      <c r="W27" s="145">
        <f>IF(SER_hh_tes!W27=0,0,11630*1000*SER_hh_tes!W27/SER_hh_num!W19)</f>
        <v>36.800883839718288</v>
      </c>
      <c r="X27" s="145">
        <f>IF(SER_hh_tes!X27=0,0,11630*1000*SER_hh_tes!X27/SER_hh_num!X19)</f>
        <v>36.379969505901023</v>
      </c>
      <c r="Y27" s="145">
        <f>IF(SER_hh_tes!Y27=0,0,11630*1000*SER_hh_tes!Y27/SER_hh_num!Y19)</f>
        <v>36.000805991862237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0</v>
      </c>
      <c r="C28" s="146">
        <f>IF(SER_hh_tes!C27=0,0,11630*1000*SER_hh_tes!C27/SER_hh_num!C27)</f>
        <v>0</v>
      </c>
      <c r="D28" s="146">
        <f>IF(SER_hh_tes!D27=0,0,11630*1000*SER_hh_tes!D27/SER_hh_num!D27)</f>
        <v>0</v>
      </c>
      <c r="E28" s="146">
        <f>IF(SER_hh_tes!E27=0,0,11630*1000*SER_hh_tes!E27/SER_hh_num!E27)</f>
        <v>0</v>
      </c>
      <c r="F28" s="146">
        <f>IF(SER_hh_tes!F27=0,0,11630*1000*SER_hh_tes!F27/SER_hh_num!F27)</f>
        <v>0</v>
      </c>
      <c r="G28" s="146">
        <f>IF(SER_hh_tes!G27=0,0,11630*1000*SER_hh_tes!G27/SER_hh_num!G27)</f>
        <v>0</v>
      </c>
      <c r="H28" s="146">
        <f>IF(SER_hh_tes!H27=0,0,11630*1000*SER_hh_tes!H27/SER_hh_num!H27)</f>
        <v>4706.6512213534088</v>
      </c>
      <c r="I28" s="146">
        <f>IF(SER_hh_tes!I27=0,0,11630*1000*SER_hh_tes!I27/SER_hh_num!I27)</f>
        <v>4677.3008724253314</v>
      </c>
      <c r="J28" s="146">
        <f>IF(SER_hh_tes!J27=0,0,11630*1000*SER_hh_tes!J27/SER_hh_num!J27)</f>
        <v>4820.5163510106013</v>
      </c>
      <c r="K28" s="146">
        <f>IF(SER_hh_tes!K27=0,0,11630*1000*SER_hh_tes!K27/SER_hh_num!K27)</f>
        <v>5073.8831786662759</v>
      </c>
      <c r="L28" s="146">
        <f>IF(SER_hh_tes!L27=0,0,11630*1000*SER_hh_tes!L27/SER_hh_num!L27)</f>
        <v>5212.8745287505835</v>
      </c>
      <c r="M28" s="146">
        <f>IF(SER_hh_tes!M27=0,0,11630*1000*SER_hh_tes!M27/SER_hh_num!M27)</f>
        <v>5140.83695987188</v>
      </c>
      <c r="N28" s="146">
        <f>IF(SER_hh_tes!N27=0,0,11630*1000*SER_hh_tes!N27/SER_hh_num!N27)</f>
        <v>5317.9764457434176</v>
      </c>
      <c r="O28" s="146">
        <f>IF(SER_hh_tes!O27=0,0,11630*1000*SER_hh_tes!O27/SER_hh_num!O27)</f>
        <v>5420.3826508333041</v>
      </c>
      <c r="P28" s="146">
        <f>IF(SER_hh_tes!P27=0,0,11630*1000*SER_hh_tes!P27/SER_hh_num!P27)</f>
        <v>5491.4537003043461</v>
      </c>
      <c r="Q28" s="146">
        <f>IF(SER_hh_tes!Q27=0,0,11630*1000*SER_hh_tes!Q27/SER_hh_num!Q27)</f>
        <v>5821.4288049585812</v>
      </c>
      <c r="R28" s="146">
        <f>IF(SER_hh_tes!R27=0,0,11630*1000*SER_hh_tes!R27/SER_hh_num!R27)</f>
        <v>5786.3843209466195</v>
      </c>
      <c r="S28" s="146">
        <f>IF(SER_hh_tes!S27=0,0,11630*1000*SER_hh_tes!S27/SER_hh_num!S27)</f>
        <v>5775.6423104873811</v>
      </c>
      <c r="T28" s="146">
        <f>IF(SER_hh_tes!T27=0,0,11630*1000*SER_hh_tes!T27/SER_hh_num!T27)</f>
        <v>5819.1864417960733</v>
      </c>
      <c r="U28" s="146">
        <f>IF(SER_hh_tes!U27=0,0,11630*1000*SER_hh_tes!U27/SER_hh_num!U27)</f>
        <v>5948.4371986321021</v>
      </c>
      <c r="V28" s="146">
        <f>IF(SER_hh_tes!V27=0,0,11630*1000*SER_hh_tes!V27/SER_hh_num!V27)</f>
        <v>5358.9264573796099</v>
      </c>
      <c r="W28" s="146">
        <f>IF(SER_hh_tes!W27=0,0,11630*1000*SER_hh_tes!W27/SER_hh_num!W27)</f>
        <v>5870.5428744187993</v>
      </c>
      <c r="X28" s="146">
        <f>IF(SER_hh_tes!X27=0,0,11630*1000*SER_hh_tes!X27/SER_hh_num!X27)</f>
        <v>5995.5174019893102</v>
      </c>
      <c r="Y28" s="146">
        <f>IF(SER_hh_tes!Y27=0,0,11630*1000*SER_hh_tes!Y27/SER_hh_num!Y27)</f>
        <v>6124.3843856917383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23471.74277910142</v>
      </c>
      <c r="C29" s="130">
        <f>IF(SER_hh_tes!C29=0,0,11630*1000*SER_hh_tes!C29/SER_hh_num!C29)</f>
        <v>23320.000142247776</v>
      </c>
      <c r="D29" s="130">
        <f>IF(SER_hh_tes!D29=0,0,11630*1000*SER_hh_tes!D29/SER_hh_num!D29)</f>
        <v>23081.715821974107</v>
      </c>
      <c r="E29" s="130">
        <f>IF(SER_hh_tes!E29=0,0,11630*1000*SER_hh_tes!E29/SER_hh_num!E29)</f>
        <v>23061.181198084647</v>
      </c>
      <c r="F29" s="130">
        <f>IF(SER_hh_tes!F29=0,0,11630*1000*SER_hh_tes!F29/SER_hh_num!F29)</f>
        <v>22844.223164017618</v>
      </c>
      <c r="G29" s="130">
        <f>IF(SER_hh_tes!G29=0,0,11630*1000*SER_hh_tes!G29/SER_hh_num!G29)</f>
        <v>22913.914858380984</v>
      </c>
      <c r="H29" s="130">
        <f>IF(SER_hh_tes!H29=0,0,11630*1000*SER_hh_tes!H29/SER_hh_num!H29)</f>
        <v>22836.136573515076</v>
      </c>
      <c r="I29" s="130">
        <f>IF(SER_hh_tes!I29=0,0,11630*1000*SER_hh_tes!I29/SER_hh_num!I29)</f>
        <v>22547.899539402926</v>
      </c>
      <c r="J29" s="130">
        <f>IF(SER_hh_tes!J29=0,0,11630*1000*SER_hh_tes!J29/SER_hh_num!J29)</f>
        <v>23035.810526523466</v>
      </c>
      <c r="K29" s="130">
        <f>IF(SER_hh_tes!K29=0,0,11630*1000*SER_hh_tes!K29/SER_hh_num!K29)</f>
        <v>22036.388703879929</v>
      </c>
      <c r="L29" s="130">
        <f>IF(SER_hh_tes!L29=0,0,11630*1000*SER_hh_tes!L29/SER_hh_num!L29)</f>
        <v>22946.239706729859</v>
      </c>
      <c r="M29" s="130">
        <f>IF(SER_hh_tes!M29=0,0,11630*1000*SER_hh_tes!M29/SER_hh_num!M29)</f>
        <v>24104.056731129825</v>
      </c>
      <c r="N29" s="130">
        <f>IF(SER_hh_tes!N29=0,0,11630*1000*SER_hh_tes!N29/SER_hh_num!N29)</f>
        <v>25038.262095119622</v>
      </c>
      <c r="O29" s="130">
        <f>IF(SER_hh_tes!O29=0,0,11630*1000*SER_hh_tes!O29/SER_hh_num!O29)</f>
        <v>25674.75798266584</v>
      </c>
      <c r="P29" s="130">
        <f>IF(SER_hh_tes!P29=0,0,11630*1000*SER_hh_tes!P29/SER_hh_num!P29)</f>
        <v>25786.248932221693</v>
      </c>
      <c r="Q29" s="130">
        <f>IF(SER_hh_tes!Q29=0,0,11630*1000*SER_hh_tes!Q29/SER_hh_num!Q29)</f>
        <v>26541.49674191825</v>
      </c>
      <c r="R29" s="130">
        <f>IF(SER_hh_tes!R29=0,0,11630*1000*SER_hh_tes!R29/SER_hh_num!R29)</f>
        <v>26498.853486259162</v>
      </c>
      <c r="S29" s="130">
        <f>IF(SER_hh_tes!S29=0,0,11630*1000*SER_hh_tes!S29/SER_hh_num!S29)</f>
        <v>26722.379346071793</v>
      </c>
      <c r="T29" s="130">
        <f>IF(SER_hh_tes!T29=0,0,11630*1000*SER_hh_tes!T29/SER_hh_num!T29)</f>
        <v>26714.486921502274</v>
      </c>
      <c r="U29" s="130">
        <f>IF(SER_hh_tes!U29=0,0,11630*1000*SER_hh_tes!U29/SER_hh_num!U29)</f>
        <v>27214.099442052291</v>
      </c>
      <c r="V29" s="130">
        <f>IF(SER_hh_tes!V29=0,0,11630*1000*SER_hh_tes!V29/SER_hh_num!V29)</f>
        <v>25052.706006582252</v>
      </c>
      <c r="W29" s="130">
        <f>IF(SER_hh_tes!W29=0,0,11630*1000*SER_hh_tes!W29/SER_hh_num!W29)</f>
        <v>28425.5097860717</v>
      </c>
      <c r="X29" s="130">
        <f>IF(SER_hh_tes!X29=0,0,11630*1000*SER_hh_tes!X29/SER_hh_num!X29)</f>
        <v>27837.362139009747</v>
      </c>
      <c r="Y29" s="130">
        <f>IF(SER_hh_tes!Y29=0,0,11630*1000*SER_hh_tes!Y29/SER_hh_num!Y29)</f>
        <v>27402.906051432979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22498.037280498778</v>
      </c>
      <c r="C30" s="132">
        <f>IF(SER_hh_tes!C30=0,0,11630*1000*SER_hh_tes!C30/SER_hh_num!C30)</f>
        <v>23760.681876924129</v>
      </c>
      <c r="D30" s="132">
        <f>IF(SER_hh_tes!D30=0,0,11630*1000*SER_hh_tes!D30/SER_hh_num!D30)</f>
        <v>22899.982958533441</v>
      </c>
      <c r="E30" s="132">
        <f>IF(SER_hh_tes!E30=0,0,11630*1000*SER_hh_tes!E30/SER_hh_num!E30)</f>
        <v>22380.248969934149</v>
      </c>
      <c r="F30" s="132">
        <f>IF(SER_hh_tes!F30=0,0,11630*1000*SER_hh_tes!F30/SER_hh_num!F30)</f>
        <v>22182.730175136017</v>
      </c>
      <c r="G30" s="132">
        <f>IF(SER_hh_tes!G30=0,0,11630*1000*SER_hh_tes!G30/SER_hh_num!G30)</f>
        <v>23712.307278591845</v>
      </c>
      <c r="H30" s="132">
        <f>IF(SER_hh_tes!H30=0,0,11630*1000*SER_hh_tes!H30/SER_hh_num!H30)</f>
        <v>23030.217171289198</v>
      </c>
      <c r="I30" s="132">
        <f>IF(SER_hh_tes!I30=0,0,11630*1000*SER_hh_tes!I30/SER_hh_num!I30)</f>
        <v>22139.529069273471</v>
      </c>
      <c r="J30" s="132">
        <f>IF(SER_hh_tes!J30=0,0,11630*1000*SER_hh_tes!J30/SER_hh_num!J30)</f>
        <v>25540.263616219087</v>
      </c>
      <c r="K30" s="132">
        <f>IF(SER_hh_tes!K30=0,0,11630*1000*SER_hh_tes!K30/SER_hh_num!K30)</f>
        <v>19346.087570533127</v>
      </c>
      <c r="L30" s="132">
        <f>IF(SER_hh_tes!L30=0,0,11630*1000*SER_hh_tes!L30/SER_hh_num!L30)</f>
        <v>24791.024088582111</v>
      </c>
      <c r="M30" s="132">
        <f>IF(SER_hh_tes!M30=0,0,11630*1000*SER_hh_tes!M30/SER_hh_num!M30)</f>
        <v>24508.995540864322</v>
      </c>
      <c r="N30" s="132">
        <f>IF(SER_hh_tes!N30=0,0,11630*1000*SER_hh_tes!N30/SER_hh_num!N30)</f>
        <v>23910.825993995277</v>
      </c>
      <c r="O30" s="132">
        <f>IF(SER_hh_tes!O30=0,0,11630*1000*SER_hh_tes!O30/SER_hh_num!O30)</f>
        <v>28187.655671656674</v>
      </c>
      <c r="P30" s="132">
        <f>IF(SER_hh_tes!P30=0,0,11630*1000*SER_hh_tes!P30/SER_hh_num!P30)</f>
        <v>24183.401798806954</v>
      </c>
      <c r="Q30" s="132">
        <f>IF(SER_hh_tes!Q30=0,0,11630*1000*SER_hh_tes!Q30/SER_hh_num!Q30)</f>
        <v>27330.570278411466</v>
      </c>
      <c r="R30" s="132">
        <f>IF(SER_hh_tes!R30=0,0,11630*1000*SER_hh_tes!R30/SER_hh_num!R30)</f>
        <v>24848.79363180522</v>
      </c>
      <c r="S30" s="132">
        <f>IF(SER_hh_tes!S30=0,0,11630*1000*SER_hh_tes!S30/SER_hh_num!S30)</f>
        <v>25797.805780157752</v>
      </c>
      <c r="T30" s="132">
        <f>IF(SER_hh_tes!T30=0,0,11630*1000*SER_hh_tes!T30/SER_hh_num!T30)</f>
        <v>28030.204343616191</v>
      </c>
      <c r="U30" s="132">
        <f>IF(SER_hh_tes!U30=0,0,11630*1000*SER_hh_tes!U30/SER_hh_num!U30)</f>
        <v>28343.462868218186</v>
      </c>
      <c r="V30" s="132">
        <f>IF(SER_hh_tes!V30=0,0,11630*1000*SER_hh_tes!V30/SER_hh_num!V30)</f>
        <v>23808.875379870315</v>
      </c>
      <c r="W30" s="132">
        <f>IF(SER_hh_tes!W30=0,0,11630*1000*SER_hh_tes!W30/SER_hh_num!W30)</f>
        <v>27085.00226391264</v>
      </c>
      <c r="X30" s="132">
        <f>IF(SER_hh_tes!X30=0,0,11630*1000*SER_hh_tes!X30/SER_hh_num!X30)</f>
        <v>27587.879280367102</v>
      </c>
      <c r="Y30" s="132">
        <f>IF(SER_hh_tes!Y30=0,0,11630*1000*SER_hh_tes!Y30/SER_hh_num!Y30)</f>
        <v>28348.96695129681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23643.105170451796</v>
      </c>
      <c r="C31" s="132">
        <f>IF(SER_hh_tes!C31=0,0,11630*1000*SER_hh_tes!C31/SER_hh_num!C31)</f>
        <v>23373.634396145069</v>
      </c>
      <c r="D31" s="132">
        <f>IF(SER_hh_tes!D31=0,0,11630*1000*SER_hh_tes!D31/SER_hh_num!D31)</f>
        <v>22969.701784645742</v>
      </c>
      <c r="E31" s="132">
        <f>IF(SER_hh_tes!E31=0,0,11630*1000*SER_hh_tes!E31/SER_hh_num!E31)</f>
        <v>22678.536098659901</v>
      </c>
      <c r="F31" s="132">
        <f>IF(SER_hh_tes!F31=0,0,11630*1000*SER_hh_tes!F31/SER_hh_num!F31)</f>
        <v>22890.670886486194</v>
      </c>
      <c r="G31" s="132">
        <f>IF(SER_hh_tes!G31=0,0,11630*1000*SER_hh_tes!G31/SER_hh_num!G31)</f>
        <v>22839.597075675167</v>
      </c>
      <c r="H31" s="132">
        <f>IF(SER_hh_tes!H31=0,0,11630*1000*SER_hh_tes!H31/SER_hh_num!H31)</f>
        <v>22958.730747458343</v>
      </c>
      <c r="I31" s="132">
        <f>IF(SER_hh_tes!I31=0,0,11630*1000*SER_hh_tes!I31/SER_hh_num!I31)</f>
        <v>22486.54086069726</v>
      </c>
      <c r="J31" s="132">
        <f>IF(SER_hh_tes!J31=0,0,11630*1000*SER_hh_tes!J31/SER_hh_num!J31)</f>
        <v>22291.486344924837</v>
      </c>
      <c r="K31" s="132">
        <f>IF(SER_hh_tes!K31=0,0,11630*1000*SER_hh_tes!K31/SER_hh_num!K31)</f>
        <v>22841.326667046695</v>
      </c>
      <c r="L31" s="132">
        <f>IF(SER_hh_tes!L31=0,0,11630*1000*SER_hh_tes!L31/SER_hh_num!L31)</f>
        <v>23955.55677427238</v>
      </c>
      <c r="M31" s="132">
        <f>IF(SER_hh_tes!M31=0,0,11630*1000*SER_hh_tes!M31/SER_hh_num!M31)</f>
        <v>23060.53171139894</v>
      </c>
      <c r="N31" s="132">
        <f>IF(SER_hh_tes!N31=0,0,11630*1000*SER_hh_tes!N31/SER_hh_num!N31)</f>
        <v>25001.095261631075</v>
      </c>
      <c r="O31" s="132">
        <f>IF(SER_hh_tes!O31=0,0,11630*1000*SER_hh_tes!O31/SER_hh_num!O31)</f>
        <v>25479.644319153023</v>
      </c>
      <c r="P31" s="132">
        <f>IF(SER_hh_tes!P31=0,0,11630*1000*SER_hh_tes!P31/SER_hh_num!P31)</f>
        <v>25424.268869573498</v>
      </c>
      <c r="Q31" s="132">
        <f>IF(SER_hh_tes!Q31=0,0,11630*1000*SER_hh_tes!Q31/SER_hh_num!Q31)</f>
        <v>27401.272846061027</v>
      </c>
      <c r="R31" s="132">
        <f>IF(SER_hh_tes!R31=0,0,11630*1000*SER_hh_tes!R31/SER_hh_num!R31)</f>
        <v>26692.756196860537</v>
      </c>
      <c r="S31" s="132">
        <f>IF(SER_hh_tes!S31=0,0,11630*1000*SER_hh_tes!S31/SER_hh_num!S31)</f>
        <v>26027.002976621323</v>
      </c>
      <c r="T31" s="132">
        <f>IF(SER_hh_tes!T31=0,0,11630*1000*SER_hh_tes!T31/SER_hh_num!T31)</f>
        <v>26946.569357193806</v>
      </c>
      <c r="U31" s="132">
        <f>IF(SER_hh_tes!U31=0,0,11630*1000*SER_hh_tes!U31/SER_hh_num!U31)</f>
        <v>27930.875374716445</v>
      </c>
      <c r="V31" s="132">
        <f>IF(SER_hh_tes!V31=0,0,11630*1000*SER_hh_tes!V31/SER_hh_num!V31)</f>
        <v>22028.571802992232</v>
      </c>
      <c r="W31" s="132">
        <f>IF(SER_hh_tes!W31=0,0,11630*1000*SER_hh_tes!W31/SER_hh_num!W31)</f>
        <v>30032.766229414159</v>
      </c>
      <c r="X31" s="132">
        <f>IF(SER_hh_tes!X31=0,0,11630*1000*SER_hh_tes!X31/SER_hh_num!X31)</f>
        <v>28721.272474571968</v>
      </c>
      <c r="Y31" s="132">
        <f>IF(SER_hh_tes!Y31=0,0,11630*1000*SER_hh_tes!Y31/SER_hh_num!Y31)</f>
        <v>27388.547901632814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0</v>
      </c>
      <c r="H32" s="132">
        <f>IF(SER_hh_tes!H32=0,0,11630*1000*SER_hh_tes!H32/SER_hh_num!H32)</f>
        <v>0</v>
      </c>
      <c r="I32" s="132">
        <f>IF(SER_hh_tes!I32=0,0,11630*1000*SER_hh_tes!I32/SER_hh_num!I32)</f>
        <v>0</v>
      </c>
      <c r="J32" s="132">
        <f>IF(SER_hh_tes!J32=0,0,11630*1000*SER_hh_tes!J32/SER_hh_num!J32)</f>
        <v>0</v>
      </c>
      <c r="K32" s="132">
        <f>IF(SER_hh_tes!K32=0,0,11630*1000*SER_hh_tes!K32/SER_hh_num!K32)</f>
        <v>0</v>
      </c>
      <c r="L32" s="132">
        <f>IF(SER_hh_tes!L32=0,0,11630*1000*SER_hh_tes!L32/SER_hh_num!L32)</f>
        <v>0</v>
      </c>
      <c r="M32" s="132">
        <f>IF(SER_hh_tes!M32=0,0,11630*1000*SER_hh_tes!M32/SER_hh_num!M32)</f>
        <v>0</v>
      </c>
      <c r="N32" s="132">
        <f>IF(SER_hh_tes!N32=0,0,11630*1000*SER_hh_tes!N32/SER_hh_num!N32)</f>
        <v>0</v>
      </c>
      <c r="O32" s="132">
        <f>IF(SER_hh_tes!O32=0,0,11630*1000*SER_hh_tes!O32/SER_hh_num!O32)</f>
        <v>0</v>
      </c>
      <c r="P32" s="132">
        <f>IF(SER_hh_tes!P32=0,0,11630*1000*SER_hh_tes!P32/SER_hh_num!P32)</f>
        <v>0</v>
      </c>
      <c r="Q32" s="132">
        <f>IF(SER_hh_tes!Q32=0,0,11630*1000*SER_hh_tes!Q32/SER_hh_num!Q32)</f>
        <v>0</v>
      </c>
      <c r="R32" s="132">
        <f>IF(SER_hh_tes!R32=0,0,11630*1000*SER_hh_tes!R32/SER_hh_num!R32)</f>
        <v>0</v>
      </c>
      <c r="S32" s="132">
        <f>IF(SER_hh_tes!S32=0,0,11630*1000*SER_hh_tes!S32/SER_hh_num!S32)</f>
        <v>0</v>
      </c>
      <c r="T32" s="132">
        <f>IF(SER_hh_tes!T32=0,0,11630*1000*SER_hh_tes!T32/SER_hh_num!T32)</f>
        <v>0</v>
      </c>
      <c r="U32" s="132">
        <f>IF(SER_hh_tes!U32=0,0,11630*1000*SER_hh_tes!U32/SER_hh_num!U32)</f>
        <v>0</v>
      </c>
      <c r="V32" s="132">
        <f>IF(SER_hh_tes!V32=0,0,11630*1000*SER_hh_tes!V32/SER_hh_num!V32)</f>
        <v>0</v>
      </c>
      <c r="W32" s="132">
        <f>IF(SER_hh_tes!W32=0,0,11630*1000*SER_hh_tes!W32/SER_hh_num!W32)</f>
        <v>0</v>
      </c>
      <c r="X32" s="132">
        <f>IF(SER_hh_tes!X32=0,0,11630*1000*SER_hh_tes!X32/SER_hh_num!X32)</f>
        <v>0</v>
      </c>
      <c r="Y32" s="132">
        <f>IF(SER_hh_tes!Y32=0,0,11630*1000*SER_hh_tes!Y32/SER_hh_num!Y32)</f>
        <v>0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24014.04960664934</v>
      </c>
      <c r="C33" s="68">
        <f>IF(SER_hh_tes!C33=0,0,11630*1000*SER_hh_tes!C33/SER_hh_num!C33)</f>
        <v>23016.507287569159</v>
      </c>
      <c r="D33" s="68">
        <f>IF(SER_hh_tes!D33=0,0,11630*1000*SER_hh_tes!D33/SER_hh_num!D33)</f>
        <v>23242.563295175671</v>
      </c>
      <c r="E33" s="68">
        <f>IF(SER_hh_tes!E33=0,0,11630*1000*SER_hh_tes!E33/SER_hh_num!E33)</f>
        <v>23700.834615544994</v>
      </c>
      <c r="F33" s="68">
        <f>IF(SER_hh_tes!F33=0,0,11630*1000*SER_hh_tes!F33/SER_hh_num!F33)</f>
        <v>23397.180845641786</v>
      </c>
      <c r="G33" s="68">
        <f>IF(SER_hh_tes!G33=0,0,11630*1000*SER_hh_tes!G33/SER_hh_num!G33)</f>
        <v>22147.610546128941</v>
      </c>
      <c r="H33" s="68">
        <f>IF(SER_hh_tes!H33=0,0,11630*1000*SER_hh_tes!H33/SER_hh_num!H33)</f>
        <v>22583.145551273414</v>
      </c>
      <c r="I33" s="68">
        <f>IF(SER_hh_tes!I33=0,0,11630*1000*SER_hh_tes!I33/SER_hh_num!I33)</f>
        <v>23047.685320196913</v>
      </c>
      <c r="J33" s="68">
        <f>IF(SER_hh_tes!J33=0,0,11630*1000*SER_hh_tes!J33/SER_hh_num!J33)</f>
        <v>20511.412275470517</v>
      </c>
      <c r="K33" s="68">
        <f>IF(SER_hh_tes!K33=0,0,11630*1000*SER_hh_tes!K33/SER_hh_num!K33)</f>
        <v>24655.818307281028</v>
      </c>
      <c r="L33" s="68">
        <f>IF(SER_hh_tes!L33=0,0,11630*1000*SER_hh_tes!L33/SER_hh_num!L33)</f>
        <v>20497.649060945158</v>
      </c>
      <c r="M33" s="68">
        <f>IF(SER_hh_tes!M33=0,0,11630*1000*SER_hh_tes!M33/SER_hh_num!M33)</f>
        <v>24013.396837767141</v>
      </c>
      <c r="N33" s="68">
        <f>IF(SER_hh_tes!N33=0,0,11630*1000*SER_hh_tes!N33/SER_hh_num!N33)</f>
        <v>26204.014967197316</v>
      </c>
      <c r="O33" s="68">
        <f>IF(SER_hh_tes!O33=0,0,11630*1000*SER_hh_tes!O33/SER_hh_num!O33)</f>
        <v>23248.530851944539</v>
      </c>
      <c r="P33" s="68">
        <f>IF(SER_hh_tes!P33=0,0,11630*1000*SER_hh_tes!P33/SER_hh_num!P33)</f>
        <v>27187.97109086144</v>
      </c>
      <c r="Q33" s="68">
        <f>IF(SER_hh_tes!Q33=0,0,11630*1000*SER_hh_tes!Q33/SER_hh_num!Q33)</f>
        <v>25725.441785266328</v>
      </c>
      <c r="R33" s="68">
        <f>IF(SER_hh_tes!R33=0,0,11630*1000*SER_hh_tes!R33/SER_hh_num!R33)</f>
        <v>27482.500466995822</v>
      </c>
      <c r="S33" s="68">
        <f>IF(SER_hh_tes!S33=0,0,11630*1000*SER_hh_tes!S33/SER_hh_num!S33)</f>
        <v>27438.495856478352</v>
      </c>
      <c r="T33" s="68">
        <f>IF(SER_hh_tes!T33=0,0,11630*1000*SER_hh_tes!T33/SER_hh_num!T33)</f>
        <v>25891.301504861629</v>
      </c>
      <c r="U33" s="68">
        <f>IF(SER_hh_tes!U33=0,0,11630*1000*SER_hh_tes!U33/SER_hh_num!U33)</f>
        <v>26432.217180645963</v>
      </c>
      <c r="V33" s="68">
        <f>IF(SER_hh_tes!V33=0,0,11630*1000*SER_hh_tes!V33/SER_hh_num!V33)</f>
        <v>26291.264831601737</v>
      </c>
      <c r="W33" s="68">
        <f>IF(SER_hh_tes!W33=0,0,11630*1000*SER_hh_tes!W33/SER_hh_num!W33)</f>
        <v>28773.075906067093</v>
      </c>
      <c r="X33" s="68">
        <f>IF(SER_hh_tes!X33=0,0,11630*1000*SER_hh_tes!X33/SER_hh_num!X33)</f>
        <v>27778.178098958902</v>
      </c>
      <c r="Y33" s="68">
        <f>IF(SER_hh_tes!Y33=0,0,11630*1000*SER_hh_tes!Y33/SER_hh_num!Y33)</f>
        <v>26854.303123973605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48699.045748411962</v>
      </c>
      <c r="C3" s="125">
        <f>IF(SER_hh_emi!C3=0,0,1000000*SER_hh_emi!C3/SER_hh_num!C3)</f>
        <v>46437.217036079324</v>
      </c>
      <c r="D3" s="125">
        <f>IF(SER_hh_emi!D3=0,0,1000000*SER_hh_emi!D3/SER_hh_num!D3)</f>
        <v>43125.347776017072</v>
      </c>
      <c r="E3" s="125">
        <f>IF(SER_hh_emi!E3=0,0,1000000*SER_hh_emi!E3/SER_hh_num!E3)</f>
        <v>43611.523100514743</v>
      </c>
      <c r="F3" s="125">
        <f>IF(SER_hh_emi!F3=0,0,1000000*SER_hh_emi!F3/SER_hh_num!F3)</f>
        <v>40605.758197542622</v>
      </c>
      <c r="G3" s="125">
        <f>IF(SER_hh_emi!G3=0,0,1000000*SER_hh_emi!G3/SER_hh_num!G3)</f>
        <v>40153.826570589306</v>
      </c>
      <c r="H3" s="125">
        <f>IF(SER_hh_emi!H3=0,0,1000000*SER_hh_emi!H3/SER_hh_num!H3)</f>
        <v>38658.299549985175</v>
      </c>
      <c r="I3" s="125">
        <f>IF(SER_hh_emi!I3=0,0,1000000*SER_hh_emi!I3/SER_hh_num!I3)</f>
        <v>35501.596297414813</v>
      </c>
      <c r="J3" s="125">
        <f>IF(SER_hh_emi!J3=0,0,1000000*SER_hh_emi!J3/SER_hh_num!J3)</f>
        <v>36113.958539186715</v>
      </c>
      <c r="K3" s="125">
        <f>IF(SER_hh_emi!K3=0,0,1000000*SER_hh_emi!K3/SER_hh_num!K3)</f>
        <v>29784.937119310835</v>
      </c>
      <c r="L3" s="125">
        <f>IF(SER_hh_emi!L3=0,0,1000000*SER_hh_emi!L3/SER_hh_num!L3)</f>
        <v>32665.198472633037</v>
      </c>
      <c r="M3" s="125">
        <f>IF(SER_hh_emi!M3=0,0,1000000*SER_hh_emi!M3/SER_hh_num!M3)</f>
        <v>29602.387563197048</v>
      </c>
      <c r="N3" s="125">
        <f>IF(SER_hh_emi!N3=0,0,1000000*SER_hh_emi!N3/SER_hh_num!N3)</f>
        <v>30982.440048420729</v>
      </c>
      <c r="O3" s="125">
        <f>IF(SER_hh_emi!O3=0,0,1000000*SER_hh_emi!O3/SER_hh_num!O3)</f>
        <v>32996.895867397252</v>
      </c>
      <c r="P3" s="125">
        <f>IF(SER_hh_emi!P3=0,0,1000000*SER_hh_emi!P3/SER_hh_num!P3)</f>
        <v>30141.266406768264</v>
      </c>
      <c r="Q3" s="125">
        <f>IF(SER_hh_emi!Q3=0,0,1000000*SER_hh_emi!Q3/SER_hh_num!Q3)</f>
        <v>32968.582342981899</v>
      </c>
      <c r="R3" s="125">
        <f>IF(SER_hh_emi!R3=0,0,1000000*SER_hh_emi!R3/SER_hh_num!R3)</f>
        <v>30251.832522127199</v>
      </c>
      <c r="S3" s="125">
        <f>IF(SER_hh_emi!S3=0,0,1000000*SER_hh_emi!S3/SER_hh_num!S3)</f>
        <v>28511.619804132486</v>
      </c>
      <c r="T3" s="125">
        <f>IF(SER_hh_emi!T3=0,0,1000000*SER_hh_emi!T3/SER_hh_num!T3)</f>
        <v>30335.245359004766</v>
      </c>
      <c r="U3" s="125">
        <f>IF(SER_hh_emi!U3=0,0,1000000*SER_hh_emi!U3/SER_hh_num!U3)</f>
        <v>29631.619704979494</v>
      </c>
      <c r="V3" s="125">
        <f>IF(SER_hh_emi!V3=0,0,1000000*SER_hh_emi!V3/SER_hh_num!V3)</f>
        <v>25370.289653833624</v>
      </c>
      <c r="W3" s="125">
        <f>IF(SER_hh_emi!W3=0,0,1000000*SER_hh_emi!W3/SER_hh_num!W3)</f>
        <v>26372.160888974478</v>
      </c>
      <c r="X3" s="125">
        <f>IF(SER_hh_emi!X3=0,0,1000000*SER_hh_emi!X3/SER_hh_num!X3)</f>
        <v>25892.692698523351</v>
      </c>
      <c r="Y3" s="125">
        <f>IF(SER_hh_emi!Y3=0,0,1000000*SER_hh_emi!Y3/SER_hh_num!Y3)</f>
        <v>24769.488123316172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39881.429935086489</v>
      </c>
      <c r="C4" s="130">
        <f>IF(SER_hh_emi!C4=0,0,1000000*SER_hh_emi!C4/SER_hh_num!C4)</f>
        <v>37498.59210399189</v>
      </c>
      <c r="D4" s="130">
        <f>IF(SER_hh_emi!D4=0,0,1000000*SER_hh_emi!D4/SER_hh_num!D4)</f>
        <v>34436.446068336845</v>
      </c>
      <c r="E4" s="130">
        <f>IF(SER_hh_emi!E4=0,0,1000000*SER_hh_emi!E4/SER_hh_num!E4)</f>
        <v>35141.300869892635</v>
      </c>
      <c r="F4" s="130">
        <f>IF(SER_hh_emi!F4=0,0,1000000*SER_hh_emi!F4/SER_hh_num!F4)</f>
        <v>32039.587079289297</v>
      </c>
      <c r="G4" s="130">
        <f>IF(SER_hh_emi!G4=0,0,1000000*SER_hh_emi!G4/SER_hh_num!G4)</f>
        <v>31363.208920744117</v>
      </c>
      <c r="H4" s="130">
        <f>IF(SER_hh_emi!H4=0,0,1000000*SER_hh_emi!H4/SER_hh_num!H4)</f>
        <v>30078.418610730245</v>
      </c>
      <c r="I4" s="130">
        <f>IF(SER_hh_emi!I4=0,0,1000000*SER_hh_emi!I4/SER_hh_num!I4)</f>
        <v>27178.559139487348</v>
      </c>
      <c r="J4" s="130">
        <f>IF(SER_hh_emi!J4=0,0,1000000*SER_hh_emi!J4/SER_hh_num!J4)</f>
        <v>27379.06378797194</v>
      </c>
      <c r="K4" s="130">
        <f>IF(SER_hh_emi!K4=0,0,1000000*SER_hh_emi!K4/SER_hh_num!K4)</f>
        <v>22048.347884102273</v>
      </c>
      <c r="L4" s="130">
        <f>IF(SER_hh_emi!L4=0,0,1000000*SER_hh_emi!L4/SER_hh_num!L4)</f>
        <v>23705.597059583848</v>
      </c>
      <c r="M4" s="130">
        <f>IF(SER_hh_emi!M4=0,0,1000000*SER_hh_emi!M4/SER_hh_num!M4)</f>
        <v>20957.863283402545</v>
      </c>
      <c r="N4" s="130">
        <f>IF(SER_hh_emi!N4=0,0,1000000*SER_hh_emi!N4/SER_hh_num!N4)</f>
        <v>22441.022916960777</v>
      </c>
      <c r="O4" s="130">
        <f>IF(SER_hh_emi!O4=0,0,1000000*SER_hh_emi!O4/SER_hh_num!O4)</f>
        <v>23815.201974437612</v>
      </c>
      <c r="P4" s="130">
        <f>IF(SER_hh_emi!P4=0,0,1000000*SER_hh_emi!P4/SER_hh_num!P4)</f>
        <v>22004.042422526101</v>
      </c>
      <c r="Q4" s="130">
        <f>IF(SER_hh_emi!Q4=0,0,1000000*SER_hh_emi!Q4/SER_hh_num!Q4)</f>
        <v>24473.779287714471</v>
      </c>
      <c r="R4" s="130">
        <f>IF(SER_hh_emi!R4=0,0,1000000*SER_hh_emi!R4/SER_hh_num!R4)</f>
        <v>22722.211692926612</v>
      </c>
      <c r="S4" s="130">
        <f>IF(SER_hh_emi!S4=0,0,1000000*SER_hh_emi!S4/SER_hh_num!S4)</f>
        <v>21053.05071172208</v>
      </c>
      <c r="T4" s="130">
        <f>IF(SER_hh_emi!T4=0,0,1000000*SER_hh_emi!T4/SER_hh_num!T4)</f>
        <v>22953.950210903255</v>
      </c>
      <c r="U4" s="130">
        <f>IF(SER_hh_emi!U4=0,0,1000000*SER_hh_emi!U4/SER_hh_num!U4)</f>
        <v>22394.514510890847</v>
      </c>
      <c r="V4" s="130">
        <f>IF(SER_hh_emi!V4=0,0,1000000*SER_hh_emi!V4/SER_hh_num!V4)</f>
        <v>19662.798777504446</v>
      </c>
      <c r="W4" s="130">
        <f>IF(SER_hh_emi!W4=0,0,1000000*SER_hh_emi!W4/SER_hh_num!W4)</f>
        <v>19544.182578616506</v>
      </c>
      <c r="X4" s="130">
        <f>IF(SER_hh_emi!X4=0,0,1000000*SER_hh_emi!X4/SER_hh_num!X4)</f>
        <v>18994.460603688574</v>
      </c>
      <c r="Y4" s="130">
        <f>IF(SER_hh_emi!Y4=0,0,1000000*SER_hh_emi!Y4/SER_hh_num!Y4)</f>
        <v>17736.453015531381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40842.432180128701</v>
      </c>
      <c r="C5" s="132">
        <f>IF(SER_hh_emi!C5=0,0,1000000*SER_hh_emi!C5/SER_hh_num!C5)</f>
        <v>46226.840428337753</v>
      </c>
      <c r="D5" s="132">
        <f>IF(SER_hh_emi!D5=0,0,1000000*SER_hh_emi!D5/SER_hh_num!D5)</f>
        <v>22534.299666669765</v>
      </c>
      <c r="E5" s="132">
        <f>IF(SER_hh_emi!E5=0,0,1000000*SER_hh_emi!E5/SER_hh_num!E5)</f>
        <v>105055.92390358511</v>
      </c>
      <c r="F5" s="132">
        <f>IF(SER_hh_emi!F5=0,0,1000000*SER_hh_emi!F5/SER_hh_num!F5)</f>
        <v>88434.047635627881</v>
      </c>
      <c r="G5" s="132">
        <f>IF(SER_hh_emi!G5=0,0,1000000*SER_hh_emi!G5/SER_hh_num!G5)</f>
        <v>86765.499924471937</v>
      </c>
      <c r="H5" s="132">
        <f>IF(SER_hh_emi!H5=0,0,1000000*SER_hh_emi!H5/SER_hh_num!H5)</f>
        <v>87107.307875345185</v>
      </c>
      <c r="I5" s="132">
        <f>IF(SER_hh_emi!I5=0,0,1000000*SER_hh_emi!I5/SER_hh_num!I5)</f>
        <v>90484.696296301336</v>
      </c>
      <c r="J5" s="132">
        <f>IF(SER_hh_emi!J5=0,0,1000000*SER_hh_emi!J5/SER_hh_num!J5)</f>
        <v>108840.41904710552</v>
      </c>
      <c r="K5" s="132">
        <f>IF(SER_hh_emi!K5=0,0,1000000*SER_hh_emi!K5/SER_hh_num!K5)</f>
        <v>5762.6351915604246</v>
      </c>
      <c r="L5" s="132">
        <f>IF(SER_hh_emi!L5=0,0,1000000*SER_hh_emi!L5/SER_hh_num!L5)</f>
        <v>21817.973404750897</v>
      </c>
      <c r="M5" s="132">
        <f>IF(SER_hh_emi!M5=0,0,1000000*SER_hh_emi!M5/SER_hh_num!M5)</f>
        <v>97588.24794558443</v>
      </c>
      <c r="N5" s="132">
        <f>IF(SER_hh_emi!N5=0,0,1000000*SER_hh_emi!N5/SER_hh_num!N5)</f>
        <v>56836.679879036674</v>
      </c>
      <c r="O5" s="132">
        <f>IF(SER_hh_emi!O5=0,0,1000000*SER_hh_emi!O5/SER_hh_num!O5)</f>
        <v>67471.472099119303</v>
      </c>
      <c r="P5" s="132">
        <f>IF(SER_hh_emi!P5=0,0,1000000*SER_hh_emi!P5/SER_hh_num!P5)</f>
        <v>53688.305103559986</v>
      </c>
      <c r="Q5" s="132">
        <f>IF(SER_hh_emi!Q5=0,0,1000000*SER_hh_emi!Q5/SER_hh_num!Q5)</f>
        <v>52822.418456039952</v>
      </c>
      <c r="R5" s="132">
        <f>IF(SER_hh_emi!R5=0,0,1000000*SER_hh_emi!R5/SER_hh_num!R5)</f>
        <v>92031.56272773532</v>
      </c>
      <c r="S5" s="132">
        <f>IF(SER_hh_emi!S5=0,0,1000000*SER_hh_emi!S5/SER_hh_num!S5)</f>
        <v>76894.671692160569</v>
      </c>
      <c r="T5" s="132">
        <f>IF(SER_hh_emi!T5=0,0,1000000*SER_hh_emi!T5/SER_hh_num!T5)</f>
        <v>86089.345011806203</v>
      </c>
      <c r="U5" s="132">
        <f>IF(SER_hh_emi!U5=0,0,1000000*SER_hh_emi!U5/SER_hh_num!U5)</f>
        <v>87057.194030729428</v>
      </c>
      <c r="V5" s="132">
        <f>IF(SER_hh_emi!V5=0,0,1000000*SER_hh_emi!V5/SER_hh_num!V5)</f>
        <v>47627.42356619332</v>
      </c>
      <c r="W5" s="132">
        <f>IF(SER_hh_emi!W5=0,0,1000000*SER_hh_emi!W5/SER_hh_num!W5)</f>
        <v>61003.622862889657</v>
      </c>
      <c r="X5" s="132">
        <f>IF(SER_hh_emi!X5=0,0,1000000*SER_hh_emi!X5/SER_hh_num!X5)</f>
        <v>68006.588281203629</v>
      </c>
      <c r="Y5" s="132">
        <f>IF(SER_hh_emi!Y5=0,0,1000000*SER_hh_emi!Y5/SER_hh_num!Y5)</f>
        <v>66472.429296444243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64347.525712891693</v>
      </c>
      <c r="C7" s="132">
        <f>IF(SER_hh_emi!C7=0,0,1000000*SER_hh_emi!C7/SER_hh_num!C7)</f>
        <v>62385.991315113752</v>
      </c>
      <c r="D7" s="132">
        <f>IF(SER_hh_emi!D7=0,0,1000000*SER_hh_emi!D7/SER_hh_num!D7)</f>
        <v>64516.142717746501</v>
      </c>
      <c r="E7" s="132">
        <f>IF(SER_hh_emi!E7=0,0,1000000*SER_hh_emi!E7/SER_hh_num!E7)</f>
        <v>67057.097194906048</v>
      </c>
      <c r="F7" s="132">
        <f>IF(SER_hh_emi!F7=0,0,1000000*SER_hh_emi!F7/SER_hh_num!F7)</f>
        <v>65181.726873499472</v>
      </c>
      <c r="G7" s="132">
        <f>IF(SER_hh_emi!G7=0,0,1000000*SER_hh_emi!G7/SER_hh_num!G7)</f>
        <v>73463.698211742871</v>
      </c>
      <c r="H7" s="132">
        <f>IF(SER_hh_emi!H7=0,0,1000000*SER_hh_emi!H7/SER_hh_num!H7)</f>
        <v>73537.302417644969</v>
      </c>
      <c r="I7" s="132">
        <f>IF(SER_hh_emi!I7=0,0,1000000*SER_hh_emi!I7/SER_hh_num!I7)</f>
        <v>71695.217987982993</v>
      </c>
      <c r="J7" s="132">
        <f>IF(SER_hh_emi!J7=0,0,1000000*SER_hh_emi!J7/SER_hh_num!J7)</f>
        <v>79020.921257007867</v>
      </c>
      <c r="K7" s="132">
        <f>IF(SER_hh_emi!K7=0,0,1000000*SER_hh_emi!K7/SER_hh_num!K7)</f>
        <v>66664.816172667037</v>
      </c>
      <c r="L7" s="132">
        <f>IF(SER_hh_emi!L7=0,0,1000000*SER_hh_emi!L7/SER_hh_num!L7)</f>
        <v>68830.340763282176</v>
      </c>
      <c r="M7" s="132">
        <f>IF(SER_hh_emi!M7=0,0,1000000*SER_hh_emi!M7/SER_hh_num!M7)</f>
        <v>60598.668758383923</v>
      </c>
      <c r="N7" s="132">
        <f>IF(SER_hh_emi!N7=0,0,1000000*SER_hh_emi!N7/SER_hh_num!N7)</f>
        <v>55671.024727247008</v>
      </c>
      <c r="O7" s="132">
        <f>IF(SER_hh_emi!O7=0,0,1000000*SER_hh_emi!O7/SER_hh_num!O7)</f>
        <v>65102.058103537791</v>
      </c>
      <c r="P7" s="132">
        <f>IF(SER_hh_emi!P7=0,0,1000000*SER_hh_emi!P7/SER_hh_num!P7)</f>
        <v>58380.452624497142</v>
      </c>
      <c r="Q7" s="132">
        <f>IF(SER_hh_emi!Q7=0,0,1000000*SER_hh_emi!Q7/SER_hh_num!Q7)</f>
        <v>62882.396162303419</v>
      </c>
      <c r="R7" s="132">
        <f>IF(SER_hh_emi!R7=0,0,1000000*SER_hh_emi!R7/SER_hh_num!R7)</f>
        <v>61009.715428491487</v>
      </c>
      <c r="S7" s="132">
        <f>IF(SER_hh_emi!S7=0,0,1000000*SER_hh_emi!S7/SER_hh_num!S7)</f>
        <v>57961.141363794239</v>
      </c>
      <c r="T7" s="132">
        <f>IF(SER_hh_emi!T7=0,0,1000000*SER_hh_emi!T7/SER_hh_num!T7)</f>
        <v>66840.515514371349</v>
      </c>
      <c r="U7" s="132">
        <f>IF(SER_hh_emi!U7=0,0,1000000*SER_hh_emi!U7/SER_hh_num!U7)</f>
        <v>63787.248685007849</v>
      </c>
      <c r="V7" s="132">
        <f>IF(SER_hh_emi!V7=0,0,1000000*SER_hh_emi!V7/SER_hh_num!V7)</f>
        <v>57807.937133101907</v>
      </c>
      <c r="W7" s="132">
        <f>IF(SER_hh_emi!W7=0,0,1000000*SER_hh_emi!W7/SER_hh_num!W7)</f>
        <v>56363.182475969072</v>
      </c>
      <c r="X7" s="132">
        <f>IF(SER_hh_emi!X7=0,0,1000000*SER_hh_emi!X7/SER_hh_num!X7)</f>
        <v>55587.893206780347</v>
      </c>
      <c r="Y7" s="132">
        <f>IF(SER_hh_emi!Y7=0,0,1000000*SER_hh_emi!Y7/SER_hh_num!Y7)</f>
        <v>53822.924922477054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0</v>
      </c>
      <c r="C8" s="132">
        <f>IF(SER_hh_emi!C8=0,0,1000000*SER_hh_emi!C8/SER_hh_num!C8)</f>
        <v>0</v>
      </c>
      <c r="D8" s="132">
        <f>IF(SER_hh_emi!D8=0,0,1000000*SER_hh_emi!D8/SER_hh_num!D8)</f>
        <v>0</v>
      </c>
      <c r="E8" s="132">
        <f>IF(SER_hh_emi!E8=0,0,1000000*SER_hh_emi!E8/SER_hh_num!E8)</f>
        <v>0</v>
      </c>
      <c r="F8" s="132">
        <f>IF(SER_hh_emi!F8=0,0,1000000*SER_hh_emi!F8/SER_hh_num!F8)</f>
        <v>0</v>
      </c>
      <c r="G8" s="132">
        <f>IF(SER_hh_emi!G8=0,0,1000000*SER_hh_emi!G8/SER_hh_num!G8)</f>
        <v>0</v>
      </c>
      <c r="H8" s="132">
        <f>IF(SER_hh_emi!H8=0,0,1000000*SER_hh_emi!H8/SER_hh_num!H8)</f>
        <v>0</v>
      </c>
      <c r="I8" s="132">
        <f>IF(SER_hh_emi!I8=0,0,1000000*SER_hh_emi!I8/SER_hh_num!I8)</f>
        <v>0</v>
      </c>
      <c r="J8" s="132">
        <f>IF(SER_hh_emi!J8=0,0,1000000*SER_hh_emi!J8/SER_hh_num!J8)</f>
        <v>0</v>
      </c>
      <c r="K8" s="132">
        <f>IF(SER_hh_emi!K8=0,0,1000000*SER_hh_emi!K8/SER_hh_num!K8)</f>
        <v>0</v>
      </c>
      <c r="L8" s="132">
        <f>IF(SER_hh_emi!L8=0,0,1000000*SER_hh_emi!L8/SER_hh_num!L8)</f>
        <v>0</v>
      </c>
      <c r="M8" s="132">
        <f>IF(SER_hh_emi!M8=0,0,1000000*SER_hh_emi!M8/SER_hh_num!M8)</f>
        <v>0</v>
      </c>
      <c r="N8" s="132">
        <f>IF(SER_hh_emi!N8=0,0,1000000*SER_hh_emi!N8/SER_hh_num!N8)</f>
        <v>0</v>
      </c>
      <c r="O8" s="132">
        <f>IF(SER_hh_emi!O8=0,0,1000000*SER_hh_emi!O8/SER_hh_num!O8)</f>
        <v>0</v>
      </c>
      <c r="P8" s="132">
        <f>IF(SER_hh_emi!P8=0,0,1000000*SER_hh_emi!P8/SER_hh_num!P8)</f>
        <v>0</v>
      </c>
      <c r="Q8" s="132">
        <f>IF(SER_hh_emi!Q8=0,0,1000000*SER_hh_emi!Q8/SER_hh_num!Q8)</f>
        <v>0</v>
      </c>
      <c r="R8" s="132">
        <f>IF(SER_hh_emi!R8=0,0,1000000*SER_hh_emi!R8/SER_hh_num!R8)</f>
        <v>0</v>
      </c>
      <c r="S8" s="132">
        <f>IF(SER_hh_emi!S8=0,0,1000000*SER_hh_emi!S8/SER_hh_num!S8)</f>
        <v>0</v>
      </c>
      <c r="T8" s="132">
        <f>IF(SER_hh_emi!T8=0,0,1000000*SER_hh_emi!T8/SER_hh_num!T8)</f>
        <v>0</v>
      </c>
      <c r="U8" s="132">
        <f>IF(SER_hh_emi!U8=0,0,1000000*SER_hh_emi!U8/SER_hh_num!U8)</f>
        <v>0</v>
      </c>
      <c r="V8" s="132">
        <f>IF(SER_hh_emi!V8=0,0,1000000*SER_hh_emi!V8/SER_hh_num!V8)</f>
        <v>0</v>
      </c>
      <c r="W8" s="132">
        <f>IF(SER_hh_emi!W8=0,0,1000000*SER_hh_emi!W8/SER_hh_num!W8)</f>
        <v>0</v>
      </c>
      <c r="X8" s="132">
        <f>IF(SER_hh_emi!X8=0,0,1000000*SER_hh_emi!X8/SER_hh_num!X8)</f>
        <v>0</v>
      </c>
      <c r="Y8" s="132">
        <f>IF(SER_hh_emi!Y8=0,0,1000000*SER_hh_emi!Y8/SER_hh_num!Y8)</f>
        <v>0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44407.898002760994</v>
      </c>
      <c r="C9" s="132">
        <f>IF(SER_hh_emi!C9=0,0,1000000*SER_hh_emi!C9/SER_hh_num!C9)</f>
        <v>44615.790479422874</v>
      </c>
      <c r="D9" s="132">
        <f>IF(SER_hh_emi!D9=0,0,1000000*SER_hh_emi!D9/SER_hh_num!D9)</f>
        <v>43363.568510917707</v>
      </c>
      <c r="E9" s="132">
        <f>IF(SER_hh_emi!E9=0,0,1000000*SER_hh_emi!E9/SER_hh_num!E9)</f>
        <v>45467.798266194106</v>
      </c>
      <c r="F9" s="132">
        <f>IF(SER_hh_emi!F9=0,0,1000000*SER_hh_emi!F9/SER_hh_num!F9)</f>
        <v>45297.488623041492</v>
      </c>
      <c r="G9" s="132">
        <f>IF(SER_hh_emi!G9=0,0,1000000*SER_hh_emi!G9/SER_hh_num!G9)</f>
        <v>45327.127456739137</v>
      </c>
      <c r="H9" s="132">
        <f>IF(SER_hh_emi!H9=0,0,1000000*SER_hh_emi!H9/SER_hh_num!H9)</f>
        <v>49430.839508707802</v>
      </c>
      <c r="I9" s="132">
        <f>IF(SER_hh_emi!I9=0,0,1000000*SER_hh_emi!I9/SER_hh_num!I9)</f>
        <v>49484.590245825981</v>
      </c>
      <c r="J9" s="132">
        <f>IF(SER_hh_emi!J9=0,0,1000000*SER_hh_emi!J9/SER_hh_num!J9)</f>
        <v>50188.647679768743</v>
      </c>
      <c r="K9" s="132">
        <f>IF(SER_hh_emi!K9=0,0,1000000*SER_hh_emi!K9/SER_hh_num!K9)</f>
        <v>44546.912774428616</v>
      </c>
      <c r="L9" s="132">
        <f>IF(SER_hh_emi!L9=0,0,1000000*SER_hh_emi!L9/SER_hh_num!L9)</f>
        <v>47447.549052206465</v>
      </c>
      <c r="M9" s="132">
        <f>IF(SER_hh_emi!M9=0,0,1000000*SER_hh_emi!M9/SER_hh_num!M9)</f>
        <v>41984.042682186795</v>
      </c>
      <c r="N9" s="132">
        <f>IF(SER_hh_emi!N9=0,0,1000000*SER_hh_emi!N9/SER_hh_num!N9)</f>
        <v>45988.632307832391</v>
      </c>
      <c r="O9" s="132">
        <f>IF(SER_hh_emi!O9=0,0,1000000*SER_hh_emi!O9/SER_hh_num!O9)</f>
        <v>43625.01378753176</v>
      </c>
      <c r="P9" s="132">
        <f>IF(SER_hh_emi!P9=0,0,1000000*SER_hh_emi!P9/SER_hh_num!P9)</f>
        <v>39953.818030189279</v>
      </c>
      <c r="Q9" s="132">
        <f>IF(SER_hh_emi!Q9=0,0,1000000*SER_hh_emi!Q9/SER_hh_num!Q9)</f>
        <v>45774.991066233968</v>
      </c>
      <c r="R9" s="132">
        <f>IF(SER_hh_emi!R9=0,0,1000000*SER_hh_emi!R9/SER_hh_num!R9)</f>
        <v>43226.812209640018</v>
      </c>
      <c r="S9" s="132">
        <f>IF(SER_hh_emi!S9=0,0,1000000*SER_hh_emi!S9/SER_hh_num!S9)</f>
        <v>40974.37152837091</v>
      </c>
      <c r="T9" s="132">
        <f>IF(SER_hh_emi!T9=0,0,1000000*SER_hh_emi!T9/SER_hh_num!T9)</f>
        <v>44708.532677591342</v>
      </c>
      <c r="U9" s="132">
        <f>IF(SER_hh_emi!U9=0,0,1000000*SER_hh_emi!U9/SER_hh_num!U9)</f>
        <v>43425.867337159878</v>
      </c>
      <c r="V9" s="132">
        <f>IF(SER_hh_emi!V9=0,0,1000000*SER_hh_emi!V9/SER_hh_num!V9)</f>
        <v>37408.524790925832</v>
      </c>
      <c r="W9" s="132">
        <f>IF(SER_hh_emi!W9=0,0,1000000*SER_hh_emi!W9/SER_hh_num!W9)</f>
        <v>37019.099081995031</v>
      </c>
      <c r="X9" s="132">
        <f>IF(SER_hh_emi!X9=0,0,1000000*SER_hh_emi!X9/SER_hh_num!X9)</f>
        <v>35672.73114140518</v>
      </c>
      <c r="Y9" s="132">
        <f>IF(SER_hh_emi!Y9=0,0,1000000*SER_hh_emi!Y9/SER_hh_num!Y9)</f>
        <v>33943.041226162488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0</v>
      </c>
      <c r="C10" s="132">
        <f>IF(SER_hh_emi!C10=0,0,1000000*SER_hh_emi!C10/SER_hh_num!C10)</f>
        <v>0</v>
      </c>
      <c r="D10" s="132">
        <f>IF(SER_hh_emi!D10=0,0,1000000*SER_hh_emi!D10/SER_hh_num!D10)</f>
        <v>0</v>
      </c>
      <c r="E10" s="132">
        <f>IF(SER_hh_emi!E10=0,0,1000000*SER_hh_emi!E10/SER_hh_num!E10)</f>
        <v>0</v>
      </c>
      <c r="F10" s="132">
        <f>IF(SER_hh_emi!F10=0,0,1000000*SER_hh_emi!F10/SER_hh_num!F10)</f>
        <v>0</v>
      </c>
      <c r="G10" s="132">
        <f>IF(SER_hh_emi!G10=0,0,1000000*SER_hh_emi!G10/SER_hh_num!G10)</f>
        <v>0</v>
      </c>
      <c r="H10" s="132">
        <f>IF(SER_hh_emi!H10=0,0,1000000*SER_hh_emi!H10/SER_hh_num!H10)</f>
        <v>0</v>
      </c>
      <c r="I10" s="132">
        <f>IF(SER_hh_emi!I10=0,0,1000000*SER_hh_emi!I10/SER_hh_num!I10)</f>
        <v>0</v>
      </c>
      <c r="J10" s="132">
        <f>IF(SER_hh_emi!J10=0,0,1000000*SER_hh_emi!J10/SER_hh_num!J10)</f>
        <v>0</v>
      </c>
      <c r="K10" s="132">
        <f>IF(SER_hh_emi!K10=0,0,1000000*SER_hh_emi!K10/SER_hh_num!K10)</f>
        <v>0</v>
      </c>
      <c r="L10" s="132">
        <f>IF(SER_hh_emi!L10=0,0,1000000*SER_hh_emi!L10/SER_hh_num!L10)</f>
        <v>0</v>
      </c>
      <c r="M10" s="132">
        <f>IF(SER_hh_emi!M10=0,0,1000000*SER_hh_emi!M10/SER_hh_num!M10)</f>
        <v>0</v>
      </c>
      <c r="N10" s="132">
        <f>IF(SER_hh_emi!N10=0,0,1000000*SER_hh_emi!N10/SER_hh_num!N10)</f>
        <v>0</v>
      </c>
      <c r="O10" s="132">
        <f>IF(SER_hh_emi!O10=0,0,1000000*SER_hh_emi!O10/SER_hh_num!O10)</f>
        <v>0</v>
      </c>
      <c r="P10" s="132">
        <f>IF(SER_hh_emi!P10=0,0,1000000*SER_hh_emi!P10/SER_hh_num!P10)</f>
        <v>0</v>
      </c>
      <c r="Q10" s="132">
        <f>IF(SER_hh_emi!Q10=0,0,1000000*SER_hh_emi!Q10/SER_hh_num!Q10)</f>
        <v>0</v>
      </c>
      <c r="R10" s="132">
        <f>IF(SER_hh_emi!R10=0,0,1000000*SER_hh_emi!R10/SER_hh_num!R10)</f>
        <v>0</v>
      </c>
      <c r="S10" s="132">
        <f>IF(SER_hh_emi!S10=0,0,1000000*SER_hh_emi!S10/SER_hh_num!S10)</f>
        <v>0</v>
      </c>
      <c r="T10" s="132">
        <f>IF(SER_hh_emi!T10=0,0,1000000*SER_hh_emi!T10/SER_hh_num!T10)</f>
        <v>0</v>
      </c>
      <c r="U10" s="132">
        <f>IF(SER_hh_emi!U10=0,0,1000000*SER_hh_emi!U10/SER_hh_num!U10)</f>
        <v>0</v>
      </c>
      <c r="V10" s="132">
        <f>IF(SER_hh_emi!V10=0,0,1000000*SER_hh_emi!V10/SER_hh_num!V10)</f>
        <v>0</v>
      </c>
      <c r="W10" s="132">
        <f>IF(SER_hh_emi!W10=0,0,1000000*SER_hh_emi!W10/SER_hh_num!W10)</f>
        <v>0</v>
      </c>
      <c r="X10" s="132">
        <f>IF(SER_hh_emi!X10=0,0,1000000*SER_hh_emi!X10/SER_hh_num!X10)</f>
        <v>0</v>
      </c>
      <c r="Y10" s="132">
        <f>IF(SER_hh_emi!Y10=0,0,1000000*SER_hh_emi!Y10/SER_hh_num!Y10)</f>
        <v>0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10.463368533292211</v>
      </c>
      <c r="C16" s="130">
        <f>IF(SER_hh_emi!C16=0,0,1000000*SER_hh_emi!C16/SER_hh_num!C16)</f>
        <v>10.498621381717749</v>
      </c>
      <c r="D16" s="130">
        <f>IF(SER_hh_emi!D16=0,0,1000000*SER_hh_emi!D16/SER_hh_num!D16)</f>
        <v>10.869115872969591</v>
      </c>
      <c r="E16" s="130">
        <f>IF(SER_hh_emi!E16=0,0,1000000*SER_hh_emi!E16/SER_hh_num!E16)</f>
        <v>9.7903978449784681</v>
      </c>
      <c r="F16" s="130">
        <f>IF(SER_hh_emi!F16=0,0,1000000*SER_hh_emi!F16/SER_hh_num!F16)</f>
        <v>10.805680214451273</v>
      </c>
      <c r="G16" s="130">
        <f>IF(SER_hh_emi!G16=0,0,1000000*SER_hh_emi!G16/SER_hh_num!G16)</f>
        <v>10.852331849051954</v>
      </c>
      <c r="H16" s="130">
        <f>IF(SER_hh_emi!H16=0,0,1000000*SER_hh_emi!H16/SER_hh_num!H16)</f>
        <v>12.159521312900813</v>
      </c>
      <c r="I16" s="130">
        <f>IF(SER_hh_emi!I16=0,0,1000000*SER_hh_emi!I16/SER_hh_num!I16)</f>
        <v>11.996908788785227</v>
      </c>
      <c r="J16" s="130">
        <f>IF(SER_hh_emi!J16=0,0,1000000*SER_hh_emi!J16/SER_hh_num!J16)</f>
        <v>11.381958162372296</v>
      </c>
      <c r="K16" s="130">
        <f>IF(SER_hh_emi!K16=0,0,1000000*SER_hh_emi!K16/SER_hh_num!K16)</f>
        <v>12.159749359854088</v>
      </c>
      <c r="L16" s="130">
        <f>IF(SER_hh_emi!L16=0,0,1000000*SER_hh_emi!L16/SER_hh_num!L16)</f>
        <v>12.653939477678856</v>
      </c>
      <c r="M16" s="130">
        <f>IF(SER_hh_emi!M16=0,0,1000000*SER_hh_emi!M16/SER_hh_num!M16)</f>
        <v>13.203036166966879</v>
      </c>
      <c r="N16" s="130">
        <f>IF(SER_hh_emi!N16=0,0,1000000*SER_hh_emi!N16/SER_hh_num!N16)</f>
        <v>14.768279653795522</v>
      </c>
      <c r="O16" s="130">
        <f>IF(SER_hh_emi!O16=0,0,1000000*SER_hh_emi!O16/SER_hh_num!O16)</f>
        <v>17.37282397778641</v>
      </c>
      <c r="P16" s="130">
        <f>IF(SER_hh_emi!P16=0,0,1000000*SER_hh_emi!P16/SER_hh_num!P16)</f>
        <v>21.888078957420404</v>
      </c>
      <c r="Q16" s="130">
        <f>IF(SER_hh_emi!Q16=0,0,1000000*SER_hh_emi!Q16/SER_hh_num!Q16)</f>
        <v>28.577359950253172</v>
      </c>
      <c r="R16" s="130">
        <f>IF(SER_hh_emi!R16=0,0,1000000*SER_hh_emi!R16/SER_hh_num!R16)</f>
        <v>34.735367800107639</v>
      </c>
      <c r="S16" s="130">
        <f>IF(SER_hh_emi!S16=0,0,1000000*SER_hh_emi!S16/SER_hh_num!S16)</f>
        <v>38.46594622939741</v>
      </c>
      <c r="T16" s="130">
        <f>IF(SER_hh_emi!T16=0,0,1000000*SER_hh_emi!T16/SER_hh_num!T16)</f>
        <v>40.110007678953558</v>
      </c>
      <c r="U16" s="130">
        <f>IF(SER_hh_emi!U16=0,0,1000000*SER_hh_emi!U16/SER_hh_num!U16)</f>
        <v>41.462386934751216</v>
      </c>
      <c r="V16" s="130">
        <f>IF(SER_hh_emi!V16=0,0,1000000*SER_hh_emi!V16/SER_hh_num!V16)</f>
        <v>39.319006946360595</v>
      </c>
      <c r="W16" s="130">
        <f>IF(SER_hh_emi!W16=0,0,1000000*SER_hh_emi!W16/SER_hh_num!W16)</f>
        <v>37.69918843897409</v>
      </c>
      <c r="X16" s="130">
        <f>IF(SER_hh_emi!X16=0,0,1000000*SER_hh_emi!X16/SER_hh_num!X16)</f>
        <v>42.287964813485033</v>
      </c>
      <c r="Y16" s="130">
        <f>IF(SER_hh_emi!Y16=0,0,1000000*SER_hh_emi!Y16/SER_hh_num!Y16)</f>
        <v>42.643848210727242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4084.1280411744101</v>
      </c>
      <c r="C17" s="132">
        <f>IF(SER_hh_emi!C17=0,0,1000000*SER_hh_emi!C17/SER_hh_num!C17)</f>
        <v>3973.0993140255036</v>
      </c>
      <c r="D17" s="132">
        <f>IF(SER_hh_emi!D17=0,0,1000000*SER_hh_emi!D17/SER_hh_num!D17)</f>
        <v>3941.4915938249683</v>
      </c>
      <c r="E17" s="132">
        <f>IF(SER_hh_emi!E17=0,0,1000000*SER_hh_emi!E17/SER_hh_num!E17)</f>
        <v>3861.5301603259522</v>
      </c>
      <c r="F17" s="132">
        <f>IF(SER_hh_emi!F17=0,0,1000000*SER_hh_emi!F17/SER_hh_num!F17)</f>
        <v>3738.8318390350687</v>
      </c>
      <c r="G17" s="132">
        <f>IF(SER_hh_emi!G17=0,0,1000000*SER_hh_emi!G17/SER_hh_num!G17)</f>
        <v>3591.6992273614542</v>
      </c>
      <c r="H17" s="132">
        <f>IF(SER_hh_emi!H17=0,0,1000000*SER_hh_emi!H17/SER_hh_num!H17)</f>
        <v>3539.265516224767</v>
      </c>
      <c r="I17" s="132">
        <f>IF(SER_hh_emi!I17=0,0,1000000*SER_hh_emi!I17/SER_hh_num!I17)</f>
        <v>3485.3789287431673</v>
      </c>
      <c r="J17" s="132">
        <f>IF(SER_hh_emi!J17=0,0,1000000*SER_hh_emi!J17/SER_hh_num!J17)</f>
        <v>3430.4468386917783</v>
      </c>
      <c r="K17" s="132">
        <f>IF(SER_hh_emi!K17=0,0,1000000*SER_hh_emi!K17/SER_hh_num!K17)</f>
        <v>3378.1384767568825</v>
      </c>
      <c r="L17" s="132">
        <f>IF(SER_hh_emi!L17=0,0,1000000*SER_hh_emi!L17/SER_hh_num!L17)</f>
        <v>3377.4486999666387</v>
      </c>
      <c r="M17" s="132">
        <f>IF(SER_hh_emi!M17=0,0,1000000*SER_hh_emi!M17/SER_hh_num!M17)</f>
        <v>3299.5958069686039</v>
      </c>
      <c r="N17" s="132">
        <f>IF(SER_hh_emi!N17=0,0,1000000*SER_hh_emi!N17/SER_hh_num!N17)</f>
        <v>3308.8720504134485</v>
      </c>
      <c r="O17" s="132">
        <f>IF(SER_hh_emi!O17=0,0,1000000*SER_hh_emi!O17/SER_hh_num!O17)</f>
        <v>3186.5666755055886</v>
      </c>
      <c r="P17" s="132">
        <f>IF(SER_hh_emi!P17=0,0,1000000*SER_hh_emi!P17/SER_hh_num!P17)</f>
        <v>3158.7781629983801</v>
      </c>
      <c r="Q17" s="132">
        <f>IF(SER_hh_emi!Q17=0,0,1000000*SER_hh_emi!Q17/SER_hh_num!Q17)</f>
        <v>3083.0770732328438</v>
      </c>
      <c r="R17" s="132">
        <f>IF(SER_hh_emi!R17=0,0,1000000*SER_hh_emi!R17/SER_hh_num!R17)</f>
        <v>3041.0217932159521</v>
      </c>
      <c r="S17" s="132">
        <f>IF(SER_hh_emi!S17=0,0,1000000*SER_hh_emi!S17/SER_hh_num!S17)</f>
        <v>2988.4072169943229</v>
      </c>
      <c r="T17" s="132">
        <f>IF(SER_hh_emi!T17=0,0,1000000*SER_hh_emi!T17/SER_hh_num!T17)</f>
        <v>2959.8331010768716</v>
      </c>
      <c r="U17" s="132">
        <f>IF(SER_hh_emi!U17=0,0,1000000*SER_hh_emi!U17/SER_hh_num!U17)</f>
        <v>2945.3816784822366</v>
      </c>
      <c r="V17" s="132">
        <f>IF(SER_hh_emi!V17=0,0,1000000*SER_hh_emi!V17/SER_hh_num!V17)</f>
        <v>2623.08091497025</v>
      </c>
      <c r="W17" s="132">
        <f>IF(SER_hh_emi!W17=0,0,1000000*SER_hh_emi!W17/SER_hh_num!W17)</f>
        <v>2496.7071369445516</v>
      </c>
      <c r="X17" s="132">
        <f>IF(SER_hh_emi!X17=0,0,1000000*SER_hh_emi!X17/SER_hh_num!X17)</f>
        <v>2683.7234149796659</v>
      </c>
      <c r="Y17" s="132">
        <f>IF(SER_hh_emi!Y17=0,0,1000000*SER_hh_emi!Y17/SER_hh_num!Y17)</f>
        <v>2753.5792227315387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4595.4675918700377</v>
      </c>
      <c r="C19" s="130">
        <f>IF(SER_hh_emi!C19=0,0,1000000*SER_hh_emi!C19/SER_hh_num!C19)</f>
        <v>4536.7425105215889</v>
      </c>
      <c r="D19" s="130">
        <f>IF(SER_hh_emi!D19=0,0,1000000*SER_hh_emi!D19/SER_hh_num!D19)</f>
        <v>4367.6558984063531</v>
      </c>
      <c r="E19" s="130">
        <f>IF(SER_hh_emi!E19=0,0,1000000*SER_hh_emi!E19/SER_hh_num!E19)</f>
        <v>4096.3202788101617</v>
      </c>
      <c r="F19" s="130">
        <f>IF(SER_hh_emi!F19=0,0,1000000*SER_hh_emi!F19/SER_hh_num!F19)</f>
        <v>3996.6760209440381</v>
      </c>
      <c r="G19" s="130">
        <f>IF(SER_hh_emi!G19=0,0,1000000*SER_hh_emi!G19/SER_hh_num!G19)</f>
        <v>3737.4123614738292</v>
      </c>
      <c r="H19" s="130">
        <f>IF(SER_hh_emi!H19=0,0,1000000*SER_hh_emi!H19/SER_hh_num!H19)</f>
        <v>3495.0489677366941</v>
      </c>
      <c r="I19" s="130">
        <f>IF(SER_hh_emi!I19=0,0,1000000*SER_hh_emi!I19/SER_hh_num!I19)</f>
        <v>3289.6276655508386</v>
      </c>
      <c r="J19" s="130">
        <f>IF(SER_hh_emi!J19=0,0,1000000*SER_hh_emi!J19/SER_hh_num!J19)</f>
        <v>3222.0139131318251</v>
      </c>
      <c r="K19" s="130">
        <f>IF(SER_hh_emi!K19=0,0,1000000*SER_hh_emi!K19/SER_hh_num!K19)</f>
        <v>3307.2848313055274</v>
      </c>
      <c r="L19" s="130">
        <f>IF(SER_hh_emi!L19=0,0,1000000*SER_hh_emi!L19/SER_hh_num!L19)</f>
        <v>3454.8006371185952</v>
      </c>
      <c r="M19" s="130">
        <f>IF(SER_hh_emi!M19=0,0,1000000*SER_hh_emi!M19/SER_hh_num!M19)</f>
        <v>3298.4815769031225</v>
      </c>
      <c r="N19" s="130">
        <f>IF(SER_hh_emi!N19=0,0,1000000*SER_hh_emi!N19/SER_hh_num!N19)</f>
        <v>3367.1773257916861</v>
      </c>
      <c r="O19" s="130">
        <f>IF(SER_hh_emi!O19=0,0,1000000*SER_hh_emi!O19/SER_hh_num!O19)</f>
        <v>3356.0679575490667</v>
      </c>
      <c r="P19" s="130">
        <f>IF(SER_hh_emi!P19=0,0,1000000*SER_hh_emi!P19/SER_hh_num!P19)</f>
        <v>3384.7305024234574</v>
      </c>
      <c r="Q19" s="130">
        <f>IF(SER_hh_emi!Q19=0,0,1000000*SER_hh_emi!Q19/SER_hh_num!Q19)</f>
        <v>3387.7290971210514</v>
      </c>
      <c r="R19" s="130">
        <f>IF(SER_hh_emi!R19=0,0,1000000*SER_hh_emi!R19/SER_hh_num!R19)</f>
        <v>3181.5275255231668</v>
      </c>
      <c r="S19" s="130">
        <f>IF(SER_hh_emi!S19=0,0,1000000*SER_hh_emi!S19/SER_hh_num!S19)</f>
        <v>3120.0352337879208</v>
      </c>
      <c r="T19" s="130">
        <f>IF(SER_hh_emi!T19=0,0,1000000*SER_hh_emi!T19/SER_hh_num!T19)</f>
        <v>2820.4286579263535</v>
      </c>
      <c r="U19" s="130">
        <f>IF(SER_hh_emi!U19=0,0,1000000*SER_hh_emi!U19/SER_hh_num!U19)</f>
        <v>2731.103065471531</v>
      </c>
      <c r="V19" s="130">
        <f>IF(SER_hh_emi!V19=0,0,1000000*SER_hh_emi!V19/SER_hh_num!V19)</f>
        <v>2148.4077308465467</v>
      </c>
      <c r="W19" s="130">
        <f>IF(SER_hh_emi!W19=0,0,1000000*SER_hh_emi!W19/SER_hh_num!W19)</f>
        <v>2584.7974107652713</v>
      </c>
      <c r="X19" s="130">
        <f>IF(SER_hh_emi!X19=0,0,1000000*SER_hh_emi!X19/SER_hh_num!X19)</f>
        <v>2567.6448218576129</v>
      </c>
      <c r="Y19" s="130">
        <f>IF(SER_hh_emi!Y19=0,0,1000000*SER_hh_emi!Y19/SER_hh_num!Y19)</f>
        <v>2493.2378611882059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0</v>
      </c>
      <c r="C21" s="132">
        <f>IF(SER_hh_emi!C21=0,0,1000000*SER_hh_emi!C21/SER_hh_num!C21)</f>
        <v>0</v>
      </c>
      <c r="D21" s="132">
        <f>IF(SER_hh_emi!D21=0,0,1000000*SER_hh_emi!D21/SER_hh_num!D21)</f>
        <v>0</v>
      </c>
      <c r="E21" s="132">
        <f>IF(SER_hh_emi!E21=0,0,1000000*SER_hh_emi!E21/SER_hh_num!E21)</f>
        <v>0</v>
      </c>
      <c r="F21" s="132">
        <f>IF(SER_hh_emi!F21=0,0,1000000*SER_hh_emi!F21/SER_hh_num!F21)</f>
        <v>0</v>
      </c>
      <c r="G21" s="132">
        <f>IF(SER_hh_emi!G21=0,0,1000000*SER_hh_emi!G21/SER_hh_num!G21)</f>
        <v>0</v>
      </c>
      <c r="H21" s="132">
        <f>IF(SER_hh_emi!H21=0,0,1000000*SER_hh_emi!H21/SER_hh_num!H21)</f>
        <v>0</v>
      </c>
      <c r="I21" s="132">
        <f>IF(SER_hh_emi!I21=0,0,1000000*SER_hh_emi!I21/SER_hh_num!I21)</f>
        <v>0</v>
      </c>
      <c r="J21" s="132">
        <f>IF(SER_hh_emi!J21=0,0,1000000*SER_hh_emi!J21/SER_hh_num!J21)</f>
        <v>0</v>
      </c>
      <c r="K21" s="132">
        <f>IF(SER_hh_emi!K21=0,0,1000000*SER_hh_emi!K21/SER_hh_num!K21)</f>
        <v>0</v>
      </c>
      <c r="L21" s="132">
        <f>IF(SER_hh_emi!L21=0,0,1000000*SER_hh_emi!L21/SER_hh_num!L21)</f>
        <v>0</v>
      </c>
      <c r="M21" s="132">
        <f>IF(SER_hh_emi!M21=0,0,1000000*SER_hh_emi!M21/SER_hh_num!M21)</f>
        <v>0</v>
      </c>
      <c r="N21" s="132">
        <f>IF(SER_hh_emi!N21=0,0,1000000*SER_hh_emi!N21/SER_hh_num!N21)</f>
        <v>0</v>
      </c>
      <c r="O21" s="132">
        <f>IF(SER_hh_emi!O21=0,0,1000000*SER_hh_emi!O21/SER_hh_num!O21)</f>
        <v>0</v>
      </c>
      <c r="P21" s="132">
        <f>IF(SER_hh_emi!P21=0,0,1000000*SER_hh_emi!P21/SER_hh_num!P21)</f>
        <v>0</v>
      </c>
      <c r="Q21" s="132">
        <f>IF(SER_hh_emi!Q21=0,0,1000000*SER_hh_emi!Q21/SER_hh_num!Q21)</f>
        <v>0</v>
      </c>
      <c r="R21" s="132">
        <f>IF(SER_hh_emi!R21=0,0,1000000*SER_hh_emi!R21/SER_hh_num!R21)</f>
        <v>0</v>
      </c>
      <c r="S21" s="132">
        <f>IF(SER_hh_emi!S21=0,0,1000000*SER_hh_emi!S21/SER_hh_num!S21)</f>
        <v>0</v>
      </c>
      <c r="T21" s="132">
        <f>IF(SER_hh_emi!T21=0,0,1000000*SER_hh_emi!T21/SER_hh_num!T21)</f>
        <v>0</v>
      </c>
      <c r="U21" s="132">
        <f>IF(SER_hh_emi!U21=0,0,1000000*SER_hh_emi!U21/SER_hh_num!U21)</f>
        <v>0</v>
      </c>
      <c r="V21" s="132">
        <f>IF(SER_hh_emi!V21=0,0,1000000*SER_hh_emi!V21/SER_hh_num!V21)</f>
        <v>0</v>
      </c>
      <c r="W21" s="132">
        <f>IF(SER_hh_emi!W21=0,0,1000000*SER_hh_emi!W21/SER_hh_num!W21)</f>
        <v>0</v>
      </c>
      <c r="X21" s="132">
        <f>IF(SER_hh_emi!X21=0,0,1000000*SER_hh_emi!X21/SER_hh_num!X21)</f>
        <v>0</v>
      </c>
      <c r="Y21" s="132">
        <f>IF(SER_hh_emi!Y21=0,0,1000000*SER_hh_emi!Y21/SER_hh_num!Y21)</f>
        <v>0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11189.288507887039</v>
      </c>
      <c r="C22" s="132">
        <f>IF(SER_hh_emi!C22=0,0,1000000*SER_hh_emi!C22/SER_hh_num!C22)</f>
        <v>11215.547505483424</v>
      </c>
      <c r="D22" s="132">
        <f>IF(SER_hh_emi!D22=0,0,1000000*SER_hh_emi!D22/SER_hh_num!D22)</f>
        <v>11172.632033667529</v>
      </c>
      <c r="E22" s="132">
        <f>IF(SER_hh_emi!E22=0,0,1000000*SER_hh_emi!E22/SER_hh_num!E22)</f>
        <v>10758.165824007874</v>
      </c>
      <c r="F22" s="132">
        <f>IF(SER_hh_emi!F22=0,0,1000000*SER_hh_emi!F22/SER_hh_num!F22)</f>
        <v>10855.325518547492</v>
      </c>
      <c r="G22" s="132">
        <f>IF(SER_hh_emi!G22=0,0,1000000*SER_hh_emi!G22/SER_hh_num!G22)</f>
        <v>10643.805578530566</v>
      </c>
      <c r="H22" s="132">
        <f>IF(SER_hh_emi!H22=0,0,1000000*SER_hh_emi!H22/SER_hh_num!H22)</f>
        <v>10360.781552785431</v>
      </c>
      <c r="I22" s="132">
        <f>IF(SER_hh_emi!I22=0,0,1000000*SER_hh_emi!I22/SER_hh_num!I22)</f>
        <v>10278.639629879593</v>
      </c>
      <c r="J22" s="132">
        <f>IF(SER_hh_emi!J22=0,0,1000000*SER_hh_emi!J22/SER_hh_num!J22)</f>
        <v>10467.723969138444</v>
      </c>
      <c r="K22" s="132">
        <f>IF(SER_hh_emi!K22=0,0,1000000*SER_hh_emi!K22/SER_hh_num!K22)</f>
        <v>10488.713336842997</v>
      </c>
      <c r="L22" s="132">
        <f>IF(SER_hh_emi!L22=0,0,1000000*SER_hh_emi!L22/SER_hh_num!L22)</f>
        <v>10830.577623737914</v>
      </c>
      <c r="M22" s="132">
        <f>IF(SER_hh_emi!M22=0,0,1000000*SER_hh_emi!M22/SER_hh_num!M22)</f>
        <v>10872.991163229957</v>
      </c>
      <c r="N22" s="132">
        <f>IF(SER_hh_emi!N22=0,0,1000000*SER_hh_emi!N22/SER_hh_num!N22)</f>
        <v>10920.018716822118</v>
      </c>
      <c r="O22" s="132">
        <f>IF(SER_hh_emi!O22=0,0,1000000*SER_hh_emi!O22/SER_hh_num!O22)</f>
        <v>10803.116994148146</v>
      </c>
      <c r="P22" s="132">
        <f>IF(SER_hh_emi!P22=0,0,1000000*SER_hh_emi!P22/SER_hh_num!P22)</f>
        <v>11097.941706050788</v>
      </c>
      <c r="Q22" s="132">
        <f>IF(SER_hh_emi!Q22=0,0,1000000*SER_hh_emi!Q22/SER_hh_num!Q22)</f>
        <v>11051.284874690473</v>
      </c>
      <c r="R22" s="132">
        <f>IF(SER_hh_emi!R22=0,0,1000000*SER_hh_emi!R22/SER_hh_num!R22)</f>
        <v>10849.731999242073</v>
      </c>
      <c r="S22" s="132">
        <f>IF(SER_hh_emi!S22=0,0,1000000*SER_hh_emi!S22/SER_hh_num!S22)</f>
        <v>11060.335445156339</v>
      </c>
      <c r="T22" s="132">
        <f>IF(SER_hh_emi!T22=0,0,1000000*SER_hh_emi!T22/SER_hh_num!T22)</f>
        <v>10614.563063354302</v>
      </c>
      <c r="U22" s="132">
        <f>IF(SER_hh_emi!U22=0,0,1000000*SER_hh_emi!U22/SER_hh_num!U22)</f>
        <v>10631.822120455543</v>
      </c>
      <c r="V22" s="132">
        <f>IF(SER_hh_emi!V22=0,0,1000000*SER_hh_emi!V22/SER_hh_num!V22)</f>
        <v>9460.7158572803546</v>
      </c>
      <c r="W22" s="132">
        <f>IF(SER_hh_emi!W22=0,0,1000000*SER_hh_emi!W22/SER_hh_num!W22)</f>
        <v>9885.959413147777</v>
      </c>
      <c r="X22" s="132">
        <f>IF(SER_hh_emi!X22=0,0,1000000*SER_hh_emi!X22/SER_hh_num!X22)</f>
        <v>9900.9448206941397</v>
      </c>
      <c r="Y22" s="132">
        <f>IF(SER_hh_emi!Y22=0,0,1000000*SER_hh_emi!Y22/SER_hh_num!Y22)</f>
        <v>9296.662464185214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8172.5903567797259</v>
      </c>
      <c r="C23" s="132">
        <f>IF(SER_hh_emi!C23=0,0,1000000*SER_hh_emi!C23/SER_hh_num!C23)</f>
        <v>8244.5315639141954</v>
      </c>
      <c r="D23" s="132">
        <f>IF(SER_hh_emi!D23=0,0,1000000*SER_hh_emi!D23/SER_hh_num!D23)</f>
        <v>8040.6345808002252</v>
      </c>
      <c r="E23" s="132">
        <f>IF(SER_hh_emi!E23=0,0,1000000*SER_hh_emi!E23/SER_hh_num!E23)</f>
        <v>7738.5223628139811</v>
      </c>
      <c r="F23" s="132">
        <f>IF(SER_hh_emi!F23=0,0,1000000*SER_hh_emi!F23/SER_hh_num!F23)</f>
        <v>7692.8582568775464</v>
      </c>
      <c r="G23" s="132">
        <f>IF(SER_hh_emi!G23=0,0,1000000*SER_hh_emi!G23/SER_hh_num!G23)</f>
        <v>7530.5019711459636</v>
      </c>
      <c r="H23" s="132">
        <f>IF(SER_hh_emi!H23=0,0,1000000*SER_hh_emi!H23/SER_hh_num!H23)</f>
        <v>7293.4311180873292</v>
      </c>
      <c r="I23" s="132">
        <f>IF(SER_hh_emi!I23=0,0,1000000*SER_hh_emi!I23/SER_hh_num!I23)</f>
        <v>7294.0007431965005</v>
      </c>
      <c r="J23" s="132">
        <f>IF(SER_hh_emi!J23=0,0,1000000*SER_hh_emi!J23/SER_hh_num!J23)</f>
        <v>7124.1976633020668</v>
      </c>
      <c r="K23" s="132">
        <f>IF(SER_hh_emi!K23=0,0,1000000*SER_hh_emi!K23/SER_hh_num!K23)</f>
        <v>7314.3393917814738</v>
      </c>
      <c r="L23" s="132">
        <f>IF(SER_hh_emi!L23=0,0,1000000*SER_hh_emi!L23/SER_hh_num!L23)</f>
        <v>7666.6348128518612</v>
      </c>
      <c r="M23" s="132">
        <f>IF(SER_hh_emi!M23=0,0,1000000*SER_hh_emi!M23/SER_hh_num!M23)</f>
        <v>7160.573662504361</v>
      </c>
      <c r="N23" s="132">
        <f>IF(SER_hh_emi!N23=0,0,1000000*SER_hh_emi!N23/SER_hh_num!N23)</f>
        <v>7333.0299373833359</v>
      </c>
      <c r="O23" s="132">
        <f>IF(SER_hh_emi!O23=0,0,1000000*SER_hh_emi!O23/SER_hh_num!O23)</f>
        <v>7374.869561648251</v>
      </c>
      <c r="P23" s="132">
        <f>IF(SER_hh_emi!P23=0,0,1000000*SER_hh_emi!P23/SER_hh_num!P23)</f>
        <v>7458.0110321796064</v>
      </c>
      <c r="Q23" s="132">
        <f>IF(SER_hh_emi!Q23=0,0,1000000*SER_hh_emi!Q23/SER_hh_num!Q23)</f>
        <v>7646.7831831503963</v>
      </c>
      <c r="R23" s="132">
        <f>IF(SER_hh_emi!R23=0,0,1000000*SER_hh_emi!R23/SER_hh_num!R23)</f>
        <v>7378.3497079550307</v>
      </c>
      <c r="S23" s="132">
        <f>IF(SER_hh_emi!S23=0,0,1000000*SER_hh_emi!S23/SER_hh_num!S23)</f>
        <v>7344.4157773614907</v>
      </c>
      <c r="T23" s="132">
        <f>IF(SER_hh_emi!T23=0,0,1000000*SER_hh_emi!T23/SER_hh_num!T23)</f>
        <v>7049.8064938763691</v>
      </c>
      <c r="U23" s="132">
        <f>IF(SER_hh_emi!U23=0,0,1000000*SER_hh_emi!U23/SER_hh_num!U23)</f>
        <v>7246.3170523341432</v>
      </c>
      <c r="V23" s="132">
        <f>IF(SER_hh_emi!V23=0,0,1000000*SER_hh_emi!V23/SER_hh_num!V23)</f>
        <v>5570.9203156558451</v>
      </c>
      <c r="W23" s="132">
        <f>IF(SER_hh_emi!W23=0,0,1000000*SER_hh_emi!W23/SER_hh_num!W23)</f>
        <v>7173.3195704578284</v>
      </c>
      <c r="X23" s="132">
        <f>IF(SER_hh_emi!X23=0,0,1000000*SER_hh_emi!X23/SER_hh_num!X23)</f>
        <v>6663.105022787583</v>
      </c>
      <c r="Y23" s="132">
        <f>IF(SER_hh_emi!Y23=0,0,1000000*SER_hh_emi!Y23/SER_hh_num!Y23)</f>
        <v>6321.6643923119691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0</v>
      </c>
      <c r="C24" s="132">
        <f>IF(SER_hh_emi!C24=0,0,1000000*SER_hh_emi!C24/SER_hh_num!C24)</f>
        <v>0</v>
      </c>
      <c r="D24" s="132">
        <f>IF(SER_hh_emi!D24=0,0,1000000*SER_hh_emi!D24/SER_hh_num!D24)</f>
        <v>0</v>
      </c>
      <c r="E24" s="132">
        <f>IF(SER_hh_emi!E24=0,0,1000000*SER_hh_emi!E24/SER_hh_num!E24)</f>
        <v>0</v>
      </c>
      <c r="F24" s="132">
        <f>IF(SER_hh_emi!F24=0,0,1000000*SER_hh_emi!F24/SER_hh_num!F24)</f>
        <v>0</v>
      </c>
      <c r="G24" s="132">
        <f>IF(SER_hh_emi!G24=0,0,1000000*SER_hh_emi!G24/SER_hh_num!G24)</f>
        <v>0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0</v>
      </c>
      <c r="K24" s="132">
        <f>IF(SER_hh_emi!K24=0,0,1000000*SER_hh_emi!K24/SER_hh_num!K24)</f>
        <v>0</v>
      </c>
      <c r="L24" s="132">
        <f>IF(SER_hh_emi!L24=0,0,1000000*SER_hh_emi!L24/SER_hh_num!L24)</f>
        <v>0</v>
      </c>
      <c r="M24" s="132">
        <f>IF(SER_hh_emi!M24=0,0,1000000*SER_hh_emi!M24/SER_hh_num!M24)</f>
        <v>0</v>
      </c>
      <c r="N24" s="132">
        <f>IF(SER_hh_emi!N24=0,0,1000000*SER_hh_emi!N24/SER_hh_num!N24)</f>
        <v>0</v>
      </c>
      <c r="O24" s="132">
        <f>IF(SER_hh_emi!O24=0,0,1000000*SER_hh_emi!O24/SER_hh_num!O24)</f>
        <v>0</v>
      </c>
      <c r="P24" s="132">
        <f>IF(SER_hh_emi!P24=0,0,1000000*SER_hh_emi!P24/SER_hh_num!P24)</f>
        <v>0</v>
      </c>
      <c r="Q24" s="132">
        <f>IF(SER_hh_emi!Q24=0,0,1000000*SER_hh_emi!Q24/SER_hh_num!Q24)</f>
        <v>0</v>
      </c>
      <c r="R24" s="132">
        <f>IF(SER_hh_emi!R24=0,0,1000000*SER_hh_emi!R24/SER_hh_num!R24)</f>
        <v>0</v>
      </c>
      <c r="S24" s="132">
        <f>IF(SER_hh_emi!S24=0,0,1000000*SER_hh_emi!S24/SER_hh_num!S24)</f>
        <v>0</v>
      </c>
      <c r="T24" s="132">
        <f>IF(SER_hh_emi!T24=0,0,1000000*SER_hh_emi!T24/SER_hh_num!T24)</f>
        <v>0</v>
      </c>
      <c r="U24" s="132">
        <f>IF(SER_hh_emi!U24=0,0,1000000*SER_hh_emi!U24/SER_hh_num!U24)</f>
        <v>0</v>
      </c>
      <c r="V24" s="132">
        <f>IF(SER_hh_emi!V24=0,0,1000000*SER_hh_emi!V24/SER_hh_num!V24)</f>
        <v>0</v>
      </c>
      <c r="W24" s="132">
        <f>IF(SER_hh_emi!W24=0,0,1000000*SER_hh_emi!W24/SER_hh_num!W24)</f>
        <v>0</v>
      </c>
      <c r="X24" s="132">
        <f>IF(SER_hh_emi!X24=0,0,1000000*SER_hh_emi!X24/SER_hh_num!X24)</f>
        <v>0</v>
      </c>
      <c r="Y24" s="132">
        <f>IF(SER_hh_emi!Y24=0,0,1000000*SER_hh_emi!Y24/SER_hh_num!Y24)</f>
        <v>0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4220.734535519754</v>
      </c>
      <c r="C29" s="130">
        <f>IF(SER_hh_emi!C29=0,0,1000000*SER_hh_emi!C29/SER_hh_num!C29)</f>
        <v>4400.3162675447047</v>
      </c>
      <c r="D29" s="130">
        <f>IF(SER_hh_emi!D29=0,0,1000000*SER_hh_emi!D29/SER_hh_num!D29)</f>
        <v>4319.4488017611266</v>
      </c>
      <c r="E29" s="130">
        <f>IF(SER_hh_emi!E29=0,0,1000000*SER_hh_emi!E29/SER_hh_num!E29)</f>
        <v>4372.1577603096921</v>
      </c>
      <c r="F29" s="130">
        <f>IF(SER_hh_emi!F29=0,0,1000000*SER_hh_emi!F29/SER_hh_num!F29)</f>
        <v>4567.3902853099553</v>
      </c>
      <c r="G29" s="130">
        <f>IF(SER_hh_emi!G29=0,0,1000000*SER_hh_emi!G29/SER_hh_num!G29)</f>
        <v>5050.8549637451233</v>
      </c>
      <c r="H29" s="130">
        <f>IF(SER_hh_emi!H29=0,0,1000000*SER_hh_emi!H29/SER_hh_num!H29)</f>
        <v>5081.9070919375208</v>
      </c>
      <c r="I29" s="130">
        <f>IF(SER_hh_emi!I29=0,0,1000000*SER_hh_emi!I29/SER_hh_num!I29)</f>
        <v>5030.3701604663111</v>
      </c>
      <c r="J29" s="130">
        <f>IF(SER_hh_emi!J29=0,0,1000000*SER_hh_emi!J29/SER_hh_num!J29)</f>
        <v>5509.790777787257</v>
      </c>
      <c r="K29" s="130">
        <f>IF(SER_hh_emi!K29=0,0,1000000*SER_hh_emi!K29/SER_hh_num!K29)</f>
        <v>4425.7766635070748</v>
      </c>
      <c r="L29" s="130">
        <f>IF(SER_hh_emi!L29=0,0,1000000*SER_hh_emi!L29/SER_hh_num!L29)</f>
        <v>5500.9371361198419</v>
      </c>
      <c r="M29" s="130">
        <f>IF(SER_hh_emi!M29=0,0,1000000*SER_hh_emi!M29/SER_hh_num!M29)</f>
        <v>5341.8985505333103</v>
      </c>
      <c r="N29" s="130">
        <f>IF(SER_hh_emi!N29=0,0,1000000*SER_hh_emi!N29/SER_hh_num!N29)</f>
        <v>5169.4620162213359</v>
      </c>
      <c r="O29" s="130">
        <f>IF(SER_hh_emi!O29=0,0,1000000*SER_hh_emi!O29/SER_hh_num!O29)</f>
        <v>5819.7946686246478</v>
      </c>
      <c r="P29" s="130">
        <f>IF(SER_hh_emi!P29=0,0,1000000*SER_hh_emi!P29/SER_hh_num!P29)</f>
        <v>4744.8642511526232</v>
      </c>
      <c r="Q29" s="130">
        <f>IF(SER_hh_emi!Q29=0,0,1000000*SER_hh_emi!Q29/SER_hh_num!Q29)</f>
        <v>5096.6626852250638</v>
      </c>
      <c r="R29" s="130">
        <f>IF(SER_hh_emi!R29=0,0,1000000*SER_hh_emi!R29/SER_hh_num!R29)</f>
        <v>4335.5013756960125</v>
      </c>
      <c r="S29" s="130">
        <f>IF(SER_hh_emi!S29=0,0,1000000*SER_hh_emi!S29/SER_hh_num!S29)</f>
        <v>4324.2027917578089</v>
      </c>
      <c r="T29" s="130">
        <f>IF(SER_hh_emi!T29=0,0,1000000*SER_hh_emi!T29/SER_hh_num!T29)</f>
        <v>4545.4379576375941</v>
      </c>
      <c r="U29" s="130">
        <f>IF(SER_hh_emi!U29=0,0,1000000*SER_hh_emi!U29/SER_hh_num!U29)</f>
        <v>4489.4204534784885</v>
      </c>
      <c r="V29" s="130">
        <f>IF(SER_hh_emi!V29=0,0,1000000*SER_hh_emi!V29/SER_hh_num!V29)</f>
        <v>3543.1225258913191</v>
      </c>
      <c r="W29" s="130">
        <f>IF(SER_hh_emi!W29=0,0,1000000*SER_hh_emi!W29/SER_hh_num!W29)</f>
        <v>4227.5409049341961</v>
      </c>
      <c r="X29" s="130">
        <f>IF(SER_hh_emi!X29=0,0,1000000*SER_hh_emi!X29/SER_hh_num!X29)</f>
        <v>4313.1507855311002</v>
      </c>
      <c r="Y29" s="130">
        <f>IF(SER_hh_emi!Y29=0,0,1000000*SER_hh_emi!Y29/SER_hh_num!Y29)</f>
        <v>4521.9197614807335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8806.2389063602604</v>
      </c>
      <c r="C30" s="132">
        <f>IF(SER_hh_emi!C30=0,0,1000000*SER_hh_emi!C30/SER_hh_num!C30)</f>
        <v>9284.7472597125106</v>
      </c>
      <c r="D30" s="132">
        <f>IF(SER_hh_emi!D30=0,0,1000000*SER_hh_emi!D30/SER_hh_num!D30)</f>
        <v>8933.296633906617</v>
      </c>
      <c r="E30" s="132">
        <f>IF(SER_hh_emi!E30=0,0,1000000*SER_hh_emi!E30/SER_hh_num!E30)</f>
        <v>8715.1309521945022</v>
      </c>
      <c r="F30" s="132">
        <f>IF(SER_hh_emi!F30=0,0,1000000*SER_hh_emi!F30/SER_hh_num!F30)</f>
        <v>8623.150601152438</v>
      </c>
      <c r="G30" s="132">
        <f>IF(SER_hh_emi!G30=0,0,1000000*SER_hh_emi!G30/SER_hh_num!G30)</f>
        <v>9202.1463227019358</v>
      </c>
      <c r="H30" s="132">
        <f>IF(SER_hh_emi!H30=0,0,1000000*SER_hh_emi!H30/SER_hh_num!H30)</f>
        <v>8925.0968952830717</v>
      </c>
      <c r="I30" s="132">
        <f>IF(SER_hh_emi!I30=0,0,1000000*SER_hh_emi!I30/SER_hh_num!I30)</f>
        <v>8567.6401290903468</v>
      </c>
      <c r="J30" s="132">
        <f>IF(SER_hh_emi!J30=0,0,1000000*SER_hh_emi!J30/SER_hh_num!J30)</f>
        <v>9874.028429662194</v>
      </c>
      <c r="K30" s="132">
        <f>IF(SER_hh_emi!K30=0,0,1000000*SER_hh_emi!K30/SER_hh_num!K30)</f>
        <v>7472.0389304882628</v>
      </c>
      <c r="L30" s="132">
        <f>IF(SER_hh_emi!L30=0,0,1000000*SER_hh_emi!L30/SER_hh_num!L30)</f>
        <v>9566.1115127263274</v>
      </c>
      <c r="M30" s="132">
        <f>IF(SER_hh_emi!M30=0,0,1000000*SER_hh_emi!M30/SER_hh_num!M30)</f>
        <v>9453.5047675612495</v>
      </c>
      <c r="N30" s="132">
        <f>IF(SER_hh_emi!N30=0,0,1000000*SER_hh_emi!N30/SER_hh_num!N30)</f>
        <v>9219.0517011144912</v>
      </c>
      <c r="O30" s="132">
        <f>IF(SER_hh_emi!O30=0,0,1000000*SER_hh_emi!O30/SER_hh_num!O30)</f>
        <v>10860.572749569759</v>
      </c>
      <c r="P30" s="132">
        <f>IF(SER_hh_emi!P30=0,0,1000000*SER_hh_emi!P30/SER_hh_num!P30)</f>
        <v>9313.1947426928291</v>
      </c>
      <c r="Q30" s="132">
        <f>IF(SER_hh_emi!Q30=0,0,1000000*SER_hh_emi!Q30/SER_hh_num!Q30)</f>
        <v>10516.126303660509</v>
      </c>
      <c r="R30" s="132">
        <f>IF(SER_hh_emi!R30=0,0,1000000*SER_hh_emi!R30/SER_hh_num!R30)</f>
        <v>9548.801762166544</v>
      </c>
      <c r="S30" s="132">
        <f>IF(SER_hh_emi!S30=0,0,1000000*SER_hh_emi!S30/SER_hh_num!S30)</f>
        <v>9883.7708227060339</v>
      </c>
      <c r="T30" s="132">
        <f>IF(SER_hh_emi!T30=0,0,1000000*SER_hh_emi!T30/SER_hh_num!T30)</f>
        <v>10697.496998078417</v>
      </c>
      <c r="U30" s="132">
        <f>IF(SER_hh_emi!U30=0,0,1000000*SER_hh_emi!U30/SER_hh_num!U30)</f>
        <v>10775.719332859791</v>
      </c>
      <c r="V30" s="132">
        <f>IF(SER_hh_emi!V30=0,0,1000000*SER_hh_emi!V30/SER_hh_num!V30)</f>
        <v>9028.8659402403828</v>
      </c>
      <c r="W30" s="132">
        <f>IF(SER_hh_emi!W30=0,0,1000000*SER_hh_emi!W30/SER_hh_num!W30)</f>
        <v>10232.875198710957</v>
      </c>
      <c r="X30" s="132">
        <f>IF(SER_hh_emi!X30=0,0,1000000*SER_hh_emi!X30/SER_hh_num!X30)</f>
        <v>10371.946390806545</v>
      </c>
      <c r="Y30" s="132">
        <f>IF(SER_hh_emi!Y30=0,0,1000000*SER_hh_emi!Y30/SER_hh_num!Y30)</f>
        <v>10609.36069712276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8127.2922772507645</v>
      </c>
      <c r="C31" s="132">
        <f>IF(SER_hh_emi!C31=0,0,1000000*SER_hh_emi!C31/SER_hh_num!C31)</f>
        <v>8026.8676577604811</v>
      </c>
      <c r="D31" s="132">
        <f>IF(SER_hh_emi!D31=0,0,1000000*SER_hh_emi!D31/SER_hh_num!D31)</f>
        <v>7880.1431987871938</v>
      </c>
      <c r="E31" s="132">
        <f>IF(SER_hh_emi!E31=0,0,1000000*SER_hh_emi!E31/SER_hh_num!E31)</f>
        <v>7703.4642060065553</v>
      </c>
      <c r="F31" s="132">
        <f>IF(SER_hh_emi!F31=0,0,1000000*SER_hh_emi!F31/SER_hh_num!F31)</f>
        <v>7765.1172845335459</v>
      </c>
      <c r="G31" s="132">
        <f>IF(SER_hh_emi!G31=0,0,1000000*SER_hh_emi!G31/SER_hh_num!G31)</f>
        <v>7720.246035957246</v>
      </c>
      <c r="H31" s="132">
        <f>IF(SER_hh_emi!H31=0,0,1000000*SER_hh_emi!H31/SER_hh_num!H31)</f>
        <v>7713.4887552918572</v>
      </c>
      <c r="I31" s="132">
        <f>IF(SER_hh_emi!I31=0,0,1000000*SER_hh_emi!I31/SER_hh_num!I31)</f>
        <v>7562.6692494966592</v>
      </c>
      <c r="J31" s="132">
        <f>IF(SER_hh_emi!J31=0,0,1000000*SER_hh_emi!J31/SER_hh_num!J31)</f>
        <v>7484.4578068074961</v>
      </c>
      <c r="K31" s="132">
        <f>IF(SER_hh_emi!K31=0,0,1000000*SER_hh_emi!K31/SER_hh_num!K31)</f>
        <v>7645.2769241501783</v>
      </c>
      <c r="L31" s="132">
        <f>IF(SER_hh_emi!L31=0,0,1000000*SER_hh_emi!L31/SER_hh_num!L31)</f>
        <v>8013.9402494268179</v>
      </c>
      <c r="M31" s="132">
        <f>IF(SER_hh_emi!M31=0,0,1000000*SER_hh_emi!M31/SER_hh_num!M31)</f>
        <v>7694.4192652887032</v>
      </c>
      <c r="N31" s="132">
        <f>IF(SER_hh_emi!N31=0,0,1000000*SER_hh_emi!N31/SER_hh_num!N31)</f>
        <v>8357.9900095999346</v>
      </c>
      <c r="O31" s="132">
        <f>IF(SER_hh_emi!O31=0,0,1000000*SER_hh_emi!O31/SER_hh_num!O31)</f>
        <v>8496.3000765584384</v>
      </c>
      <c r="P31" s="132">
        <f>IF(SER_hh_emi!P31=0,0,1000000*SER_hh_emi!P31/SER_hh_num!P31)</f>
        <v>8459.4716820852282</v>
      </c>
      <c r="Q31" s="132">
        <f>IF(SER_hh_emi!Q31=0,0,1000000*SER_hh_emi!Q31/SER_hh_num!Q31)</f>
        <v>9115.0789514956232</v>
      </c>
      <c r="R31" s="132">
        <f>IF(SER_hh_emi!R31=0,0,1000000*SER_hh_emi!R31/SER_hh_num!R31)</f>
        <v>8849.9047726948793</v>
      </c>
      <c r="S31" s="132">
        <f>IF(SER_hh_emi!S31=0,0,1000000*SER_hh_emi!S31/SER_hh_num!S31)</f>
        <v>8585.29967846004</v>
      </c>
      <c r="T31" s="132">
        <f>IF(SER_hh_emi!T31=0,0,1000000*SER_hh_emi!T31/SER_hh_num!T31)</f>
        <v>8875.8944238411386</v>
      </c>
      <c r="U31" s="132">
        <f>IF(SER_hh_emi!U31=0,0,1000000*SER_hh_emi!U31/SER_hh_num!U31)</f>
        <v>9141.8593180807529</v>
      </c>
      <c r="V31" s="132">
        <f>IF(SER_hh_emi!V31=0,0,1000000*SER_hh_emi!V31/SER_hh_num!V31)</f>
        <v>7154.876109004651</v>
      </c>
      <c r="W31" s="132">
        <f>IF(SER_hh_emi!W31=0,0,1000000*SER_hh_emi!W31/SER_hh_num!W31)</f>
        <v>9701.3625152560307</v>
      </c>
      <c r="X31" s="132">
        <f>IF(SER_hh_emi!X31=0,0,1000000*SER_hh_emi!X31/SER_hh_num!X31)</f>
        <v>9212.4250297945982</v>
      </c>
      <c r="Y31" s="132">
        <f>IF(SER_hh_emi!Y31=0,0,1000000*SER_hh_emi!Y31/SER_hh_num!Y31)</f>
        <v>8741.5587809556018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313.20417281731608</v>
      </c>
      <c r="C3" s="125">
        <f>IF(SER_hh_fech!C3=0,0,SER_hh_fech!C3/SER_summary!C$26)</f>
        <v>309.56999041520766</v>
      </c>
      <c r="D3" s="125">
        <f>IF(SER_hh_fech!D3=0,0,SER_hh_fech!D3/SER_summary!D$26)</f>
        <v>306.20533284366536</v>
      </c>
      <c r="E3" s="125">
        <f>IF(SER_hh_fech!E3=0,0,SER_hh_fech!E3/SER_summary!E$26)</f>
        <v>320.44957909646592</v>
      </c>
      <c r="F3" s="125">
        <f>IF(SER_hh_fech!F3=0,0,SER_hh_fech!F3/SER_summary!F$26)</f>
        <v>304.46164940009891</v>
      </c>
      <c r="G3" s="125">
        <f>IF(SER_hh_fech!G3=0,0,SER_hh_fech!G3/SER_summary!G$26)</f>
        <v>317.53070400200119</v>
      </c>
      <c r="H3" s="125">
        <f>IF(SER_hh_fech!H3=0,0,SER_hh_fech!H3/SER_summary!H$26)</f>
        <v>328.43819625522821</v>
      </c>
      <c r="I3" s="125">
        <f>IF(SER_hh_fech!I3=0,0,SER_hh_fech!I3/SER_summary!I$26)</f>
        <v>313.80957951374745</v>
      </c>
      <c r="J3" s="125">
        <f>IF(SER_hh_fech!J3=0,0,SER_hh_fech!J3/SER_summary!J$26)</f>
        <v>326.86115034330282</v>
      </c>
      <c r="K3" s="125">
        <f>IF(SER_hh_fech!K3=0,0,SER_hh_fech!K3/SER_summary!K$26)</f>
        <v>299.05775868380226</v>
      </c>
      <c r="L3" s="125">
        <f>IF(SER_hh_fech!L3=0,0,SER_hh_fech!L3/SER_summary!L$26)</f>
        <v>306.34756296397524</v>
      </c>
      <c r="M3" s="125">
        <f>IF(SER_hh_fech!M3=0,0,SER_hh_fech!M3/SER_summary!M$26)</f>
        <v>294.78545504508412</v>
      </c>
      <c r="N3" s="125">
        <f>IF(SER_hh_fech!N3=0,0,SER_hh_fech!N3/SER_summary!N$26)</f>
        <v>301.05806471100243</v>
      </c>
      <c r="O3" s="125">
        <f>IF(SER_hh_fech!O3=0,0,SER_hh_fech!O3/SER_summary!O$26)</f>
        <v>309.5403659685652</v>
      </c>
      <c r="P3" s="125">
        <f>IF(SER_hh_fech!P3=0,0,SER_hh_fech!P3/SER_summary!P$26)</f>
        <v>286.58424088617028</v>
      </c>
      <c r="Q3" s="125">
        <f>IF(SER_hh_fech!Q3=0,0,SER_hh_fech!Q3/SER_summary!Q$26)</f>
        <v>317.54625231968555</v>
      </c>
      <c r="R3" s="125">
        <f>IF(SER_hh_fech!R3=0,0,SER_hh_fech!R3/SER_summary!R$26)</f>
        <v>303.66428581888437</v>
      </c>
      <c r="S3" s="125">
        <f>IF(SER_hh_fech!S3=0,0,SER_hh_fech!S3/SER_summary!S$26)</f>
        <v>289.08460097027563</v>
      </c>
      <c r="T3" s="125">
        <f>IF(SER_hh_fech!T3=0,0,SER_hh_fech!T3/SER_summary!T$26)</f>
        <v>314.08333420720999</v>
      </c>
      <c r="U3" s="125">
        <f>IF(SER_hh_fech!U3=0,0,SER_hh_fech!U3/SER_summary!U$26)</f>
        <v>316.12168098556242</v>
      </c>
      <c r="V3" s="125">
        <f>IF(SER_hh_fech!V3=0,0,SER_hh_fech!V3/SER_summary!V$26)</f>
        <v>266.61967022445981</v>
      </c>
      <c r="W3" s="125">
        <f>IF(SER_hh_fech!W3=0,0,SER_hh_fech!W3/SER_summary!W$26)</f>
        <v>272.30020456521942</v>
      </c>
      <c r="X3" s="125">
        <f>IF(SER_hh_fech!X3=0,0,SER_hh_fech!X3/SER_summary!X$26)</f>
        <v>266.14861989795298</v>
      </c>
      <c r="Y3" s="125">
        <f>IF(SER_hh_fech!Y3=0,0,SER_hh_fech!Y3/SER_summary!Y$26)</f>
        <v>258.52367018420199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231.34397224338883</v>
      </c>
      <c r="C4" s="130">
        <f>IF(SER_hh_fech!C4=0,0,SER_hh_fech!C4/SER_summary!C$26)</f>
        <v>227.86707678143185</v>
      </c>
      <c r="D4" s="130">
        <f>IF(SER_hh_fech!D4=0,0,SER_hh_fech!D4/SER_summary!D$26)</f>
        <v>225.62413755608839</v>
      </c>
      <c r="E4" s="130">
        <f>IF(SER_hh_fech!E4=0,0,SER_hh_fech!E4/SER_summary!E$26)</f>
        <v>240.67993619482627</v>
      </c>
      <c r="F4" s="130">
        <f>IF(SER_hh_fech!F4=0,0,SER_hh_fech!F4/SER_summary!F$26)</f>
        <v>225.56744786586495</v>
      </c>
      <c r="G4" s="130">
        <f>IF(SER_hh_fech!G4=0,0,SER_hh_fech!G4/SER_summary!G$26)</f>
        <v>238.14276768350774</v>
      </c>
      <c r="H4" s="130">
        <f>IF(SER_hh_fech!H4=0,0,SER_hh_fech!H4/SER_summary!H$26)</f>
        <v>249.84061918583583</v>
      </c>
      <c r="I4" s="130">
        <f>IF(SER_hh_fech!I4=0,0,SER_hh_fech!I4/SER_summary!I$26)</f>
        <v>236.75875021337225</v>
      </c>
      <c r="J4" s="130">
        <f>IF(SER_hh_fech!J4=0,0,SER_hh_fech!J4/SER_summary!J$26)</f>
        <v>248.77386341027426</v>
      </c>
      <c r="K4" s="130">
        <f>IF(SER_hh_fech!K4=0,0,SER_hh_fech!K4/SER_summary!K$26)</f>
        <v>222.16526875413209</v>
      </c>
      <c r="L4" s="130">
        <f>IF(SER_hh_fech!L4=0,0,SER_hh_fech!L4/SER_summary!L$26)</f>
        <v>225.69744133206012</v>
      </c>
      <c r="M4" s="130">
        <f>IF(SER_hh_fech!M4=0,0,SER_hh_fech!M4/SER_summary!M$26)</f>
        <v>213.16913116941311</v>
      </c>
      <c r="N4" s="130">
        <f>IF(SER_hh_fech!N4=0,0,SER_hh_fech!N4/SER_summary!N$26)</f>
        <v>217.88365289805864</v>
      </c>
      <c r="O4" s="130">
        <f>IF(SER_hh_fech!O4=0,0,SER_hh_fech!O4/SER_summary!O$26)</f>
        <v>224.68561953364372</v>
      </c>
      <c r="P4" s="130">
        <f>IF(SER_hh_fech!P4=0,0,SER_hh_fech!P4/SER_summary!P$26)</f>
        <v>202.84927343719156</v>
      </c>
      <c r="Q4" s="130">
        <f>IF(SER_hh_fech!Q4=0,0,SER_hh_fech!Q4/SER_summary!Q$26)</f>
        <v>231.00295438022607</v>
      </c>
      <c r="R4" s="130">
        <f>IF(SER_hh_fech!R4=0,0,SER_hh_fech!R4/SER_summary!R$26)</f>
        <v>219.7874171262649</v>
      </c>
      <c r="S4" s="130">
        <f>IF(SER_hh_fech!S4=0,0,SER_hh_fech!S4/SER_summary!S$26)</f>
        <v>205.94321342492549</v>
      </c>
      <c r="T4" s="130">
        <f>IF(SER_hh_fech!T4=0,0,SER_hh_fech!T4/SER_summary!T$26)</f>
        <v>231.74024640573296</v>
      </c>
      <c r="U4" s="130">
        <f>IF(SER_hh_fech!U4=0,0,SER_hh_fech!U4/SER_summary!U$26)</f>
        <v>233.56068608104704</v>
      </c>
      <c r="V4" s="130">
        <f>IF(SER_hh_fech!V4=0,0,SER_hh_fech!V4/SER_summary!V$26)</f>
        <v>191.97515256089463</v>
      </c>
      <c r="W4" s="130">
        <f>IF(SER_hh_fech!W4=0,0,SER_hh_fech!W4/SER_summary!W$26)</f>
        <v>189.88236327090971</v>
      </c>
      <c r="X4" s="130">
        <f>IF(SER_hh_fech!X4=0,0,SER_hh_fech!X4/SER_summary!X$26)</f>
        <v>186.10656680032835</v>
      </c>
      <c r="Y4" s="130">
        <f>IF(SER_hh_fech!Y4=0,0,SER_hh_fech!Y4/SER_summary!Y$26)</f>
        <v>180.50588764128761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117.34151754493737</v>
      </c>
      <c r="C5" s="132">
        <f>IF(SER_hh_fech!C5=0,0,SER_hh_fech!C5/SER_summary!C$26)</f>
        <v>132.62213782597516</v>
      </c>
      <c r="D5" s="132">
        <f>IF(SER_hh_fech!D5=0,0,SER_hh_fech!D5/SER_summary!D$26)</f>
        <v>64.64156069237545</v>
      </c>
      <c r="E5" s="132">
        <f>IF(SER_hh_fech!E5=0,0,SER_hh_fech!E5/SER_summary!E$26)</f>
        <v>340.26492697201792</v>
      </c>
      <c r="F5" s="132">
        <f>IF(SER_hh_fech!F5=0,0,SER_hh_fech!F5/SER_summary!F$26)</f>
        <v>286.72310902188599</v>
      </c>
      <c r="G5" s="132">
        <f>IF(SER_hh_fech!G5=0,0,SER_hh_fech!G5/SER_summary!G$26)</f>
        <v>281.32144108167029</v>
      </c>
      <c r="H5" s="132">
        <f>IF(SER_hh_fech!H5=0,0,SER_hh_fech!H5/SER_summary!H$26)</f>
        <v>282.63607573407228</v>
      </c>
      <c r="I5" s="132">
        <f>IF(SER_hh_fech!I5=0,0,SER_hh_fech!I5/SER_summary!I$26)</f>
        <v>294.36006034909326</v>
      </c>
      <c r="J5" s="132">
        <f>IF(SER_hh_fech!J5=0,0,SER_hh_fech!J5/SER_summary!J$26)</f>
        <v>354.07575008516699</v>
      </c>
      <c r="K5" s="132">
        <f>IF(SER_hh_fech!K5=0,0,SER_hh_fech!K5/SER_summary!K$26)</f>
        <v>18.801174508523296</v>
      </c>
      <c r="L5" s="132">
        <f>IF(SER_hh_fech!L5=0,0,SER_hh_fech!L5/SER_summary!L$26)</f>
        <v>71.183323561033134</v>
      </c>
      <c r="M5" s="132">
        <f>IF(SER_hh_fech!M5=0,0,SER_hh_fech!M5/SER_summary!M$26)</f>
        <v>318.39143353947884</v>
      </c>
      <c r="N5" s="132">
        <f>IF(SER_hh_fech!N5=0,0,SER_hh_fech!N5/SER_summary!N$26)</f>
        <v>185.43536097093886</v>
      </c>
      <c r="O5" s="132">
        <f>IF(SER_hh_fech!O5=0,0,SER_hh_fech!O5/SER_summary!O$26)</f>
        <v>220.13243578915541</v>
      </c>
      <c r="P5" s="132">
        <f>IF(SER_hh_fech!P5=0,0,SER_hh_fech!P5/SER_summary!P$26)</f>
        <v>175.16347291898308</v>
      </c>
      <c r="Q5" s="132">
        <f>IF(SER_hh_fech!Q5=0,0,SER_hh_fech!Q5/SER_summary!Q$26)</f>
        <v>172.33843100266211</v>
      </c>
      <c r="R5" s="132">
        <f>IF(SER_hh_fech!R5=0,0,SER_hh_fech!R5/SER_summary!R$26)</f>
        <v>300.26219144851399</v>
      </c>
      <c r="S5" s="132">
        <f>IF(SER_hh_fech!S5=0,0,SER_hh_fech!S5/SER_summary!S$26)</f>
        <v>250.87656830632082</v>
      </c>
      <c r="T5" s="132">
        <f>IF(SER_hh_fech!T5=0,0,SER_hh_fech!T5/SER_summary!T$26)</f>
        <v>280.87511096692441</v>
      </c>
      <c r="U5" s="132">
        <f>IF(SER_hh_fech!U5=0,0,SER_hh_fech!U5/SER_summary!U$26)</f>
        <v>284.03281533268546</v>
      </c>
      <c r="V5" s="132">
        <f>IF(SER_hh_fech!V5=0,0,SER_hh_fech!V5/SER_summary!V$26)</f>
        <v>155.38923983436862</v>
      </c>
      <c r="W5" s="132">
        <f>IF(SER_hh_fech!W5=0,0,SER_hh_fech!W5/SER_summary!W$26)</f>
        <v>199.03042982437304</v>
      </c>
      <c r="X5" s="132">
        <f>IF(SER_hh_fech!X5=0,0,SER_hh_fech!X5/SER_summary!X$26)</f>
        <v>221.87830593141891</v>
      </c>
      <c r="Y5" s="132">
        <f>IF(SER_hh_fech!Y5=0,0,SER_hh_fech!Y5/SER_summary!Y$26)</f>
        <v>216.87295857947774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267.73881633055561</v>
      </c>
      <c r="C7" s="132">
        <f>IF(SER_hh_fech!C7=0,0,SER_hh_fech!C7/SER_summary!C$26)</f>
        <v>259.67613276307367</v>
      </c>
      <c r="D7" s="132">
        <f>IF(SER_hh_fech!D7=0,0,SER_hh_fech!D7/SER_summary!D$26)</f>
        <v>268.6604718394633</v>
      </c>
      <c r="E7" s="132">
        <f>IF(SER_hh_fech!E7=0,0,SER_hh_fech!E7/SER_summary!E$26)</f>
        <v>279.3712112773818</v>
      </c>
      <c r="F7" s="132">
        <f>IF(SER_hh_fech!F7=0,0,SER_hh_fech!F7/SER_summary!F$26)</f>
        <v>271.76647359359373</v>
      </c>
      <c r="G7" s="132">
        <f>IF(SER_hh_fech!G7=0,0,SER_hh_fech!G7/SER_summary!G$26)</f>
        <v>306.43549352655907</v>
      </c>
      <c r="H7" s="132">
        <f>IF(SER_hh_fech!H7=0,0,SER_hh_fech!H7/SER_summary!H$26)</f>
        <v>306.68808051061512</v>
      </c>
      <c r="I7" s="132">
        <f>IF(SER_hh_fech!I7=0,0,SER_hh_fech!I7/SER_summary!I$26)</f>
        <v>299.32082608612831</v>
      </c>
      <c r="J7" s="132">
        <f>IF(SER_hh_fech!J7=0,0,SER_hh_fech!J7/SER_summary!J$26)</f>
        <v>330.15813232035993</v>
      </c>
      <c r="K7" s="132">
        <f>IF(SER_hh_fech!K7=0,0,SER_hh_fech!K7/SER_summary!K$26)</f>
        <v>279.15045269975388</v>
      </c>
      <c r="L7" s="132">
        <f>IF(SER_hh_fech!L7=0,0,SER_hh_fech!L7/SER_summary!L$26)</f>
        <v>288.14188976140264</v>
      </c>
      <c r="M7" s="132">
        <f>IF(SER_hh_fech!M7=0,0,SER_hh_fech!M7/SER_summary!M$26)</f>
        <v>254.13817286454179</v>
      </c>
      <c r="N7" s="132">
        <f>IF(SER_hh_fech!N7=0,0,SER_hh_fech!N7/SER_summary!N$26)</f>
        <v>233.68695053986323</v>
      </c>
      <c r="O7" s="132">
        <f>IF(SER_hh_fech!O7=0,0,SER_hh_fech!O7/SER_summary!O$26)</f>
        <v>273.68267750134072</v>
      </c>
      <c r="P7" s="132">
        <f>IF(SER_hh_fech!P7=0,0,SER_hh_fech!P7/SER_summary!P$26)</f>
        <v>245.45662604270456</v>
      </c>
      <c r="Q7" s="132">
        <f>IF(SER_hh_fech!Q7=0,0,SER_hh_fech!Q7/SER_summary!Q$26)</f>
        <v>264.44264325617058</v>
      </c>
      <c r="R7" s="132">
        <f>IF(SER_hh_fech!R7=0,0,SER_hh_fech!R7/SER_summary!R$26)</f>
        <v>256.75408368401008</v>
      </c>
      <c r="S7" s="132">
        <f>IF(SER_hh_fech!S7=0,0,SER_hh_fech!S7/SER_summary!S$26)</f>
        <v>244.10407178492142</v>
      </c>
      <c r="T7" s="132">
        <f>IF(SER_hh_fech!T7=0,0,SER_hh_fech!T7/SER_summary!T$26)</f>
        <v>281.41717956803308</v>
      </c>
      <c r="U7" s="132">
        <f>IF(SER_hh_fech!U7=0,0,SER_hh_fech!U7/SER_summary!U$26)</f>
        <v>268.84595104433691</v>
      </c>
      <c r="V7" s="132">
        <f>IF(SER_hh_fech!V7=0,0,SER_hh_fech!V7/SER_summary!V$26)</f>
        <v>243.47596871325842</v>
      </c>
      <c r="W7" s="132">
        <f>IF(SER_hh_fech!W7=0,0,SER_hh_fech!W7/SER_summary!W$26)</f>
        <v>237.21612665568321</v>
      </c>
      <c r="X7" s="132">
        <f>IF(SER_hh_fech!X7=0,0,SER_hh_fech!X7/SER_summary!X$26)</f>
        <v>233.59177072765542</v>
      </c>
      <c r="Y7" s="132">
        <f>IF(SER_hh_fech!Y7=0,0,SER_hh_fech!Y7/SER_summary!Y$26)</f>
        <v>226.64575020775868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0</v>
      </c>
      <c r="C8" s="132">
        <f>IF(SER_hh_fech!C8=0,0,SER_hh_fech!C8/SER_summary!C$26)</f>
        <v>0</v>
      </c>
      <c r="D8" s="132">
        <f>IF(SER_hh_fech!D8=0,0,SER_hh_fech!D8/SER_summary!D$26)</f>
        <v>0</v>
      </c>
      <c r="E8" s="132">
        <f>IF(SER_hh_fech!E8=0,0,SER_hh_fech!E8/SER_summary!E$26)</f>
        <v>0</v>
      </c>
      <c r="F8" s="132">
        <f>IF(SER_hh_fech!F8=0,0,SER_hh_fech!F8/SER_summary!F$26)</f>
        <v>0</v>
      </c>
      <c r="G8" s="132">
        <f>IF(SER_hh_fech!G8=0,0,SER_hh_fech!G8/SER_summary!G$26)</f>
        <v>0</v>
      </c>
      <c r="H8" s="132">
        <f>IF(SER_hh_fech!H8=0,0,SER_hh_fech!H8/SER_summary!H$26)</f>
        <v>0</v>
      </c>
      <c r="I8" s="132">
        <f>IF(SER_hh_fech!I8=0,0,SER_hh_fech!I8/SER_summary!I$26)</f>
        <v>0</v>
      </c>
      <c r="J8" s="132">
        <f>IF(SER_hh_fech!J8=0,0,SER_hh_fech!J8/SER_summary!J$26)</f>
        <v>0</v>
      </c>
      <c r="K8" s="132">
        <f>IF(SER_hh_fech!K8=0,0,SER_hh_fech!K8/SER_summary!K$26)</f>
        <v>0</v>
      </c>
      <c r="L8" s="132">
        <f>IF(SER_hh_fech!L8=0,0,SER_hh_fech!L8/SER_summary!L$26)</f>
        <v>0</v>
      </c>
      <c r="M8" s="132">
        <f>IF(SER_hh_fech!M8=0,0,SER_hh_fech!M8/SER_summary!M$26)</f>
        <v>0</v>
      </c>
      <c r="N8" s="132">
        <f>IF(SER_hh_fech!N8=0,0,SER_hh_fech!N8/SER_summary!N$26)</f>
        <v>0</v>
      </c>
      <c r="O8" s="132">
        <f>IF(SER_hh_fech!O8=0,0,SER_hh_fech!O8/SER_summary!O$26)</f>
        <v>0</v>
      </c>
      <c r="P8" s="132">
        <f>IF(SER_hh_fech!P8=0,0,SER_hh_fech!P8/SER_summary!P$26)</f>
        <v>0</v>
      </c>
      <c r="Q8" s="132">
        <f>IF(SER_hh_fech!Q8=0,0,SER_hh_fech!Q8/SER_summary!Q$26)</f>
        <v>0</v>
      </c>
      <c r="R8" s="132">
        <f>IF(SER_hh_fech!R8=0,0,SER_hh_fech!R8/SER_summary!R$26)</f>
        <v>0</v>
      </c>
      <c r="S8" s="132">
        <f>IF(SER_hh_fech!S8=0,0,SER_hh_fech!S8/SER_summary!S$26)</f>
        <v>0</v>
      </c>
      <c r="T8" s="132">
        <f>IF(SER_hh_fech!T8=0,0,SER_hh_fech!T8/SER_summary!T$26)</f>
        <v>0</v>
      </c>
      <c r="U8" s="132">
        <f>IF(SER_hh_fech!U8=0,0,SER_hh_fech!U8/SER_summary!U$26)</f>
        <v>0</v>
      </c>
      <c r="V8" s="132">
        <f>IF(SER_hh_fech!V8=0,0,SER_hh_fech!V8/SER_summary!V$26)</f>
        <v>0</v>
      </c>
      <c r="W8" s="132">
        <f>IF(SER_hh_fech!W8=0,0,SER_hh_fech!W8/SER_summary!W$26)</f>
        <v>0</v>
      </c>
      <c r="X8" s="132">
        <f>IF(SER_hh_fech!X8=0,0,SER_hh_fech!X8/SER_summary!X$26)</f>
        <v>0</v>
      </c>
      <c r="Y8" s="132">
        <f>IF(SER_hh_fech!Y8=0,0,SER_hh_fech!Y8/SER_summary!Y$26)</f>
        <v>0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244.31624525627183</v>
      </c>
      <c r="C9" s="132">
        <f>IF(SER_hh_fech!C9=0,0,SER_hh_fech!C9/SER_summary!C$26)</f>
        <v>245.4599947152509</v>
      </c>
      <c r="D9" s="132">
        <f>IF(SER_hh_fech!D9=0,0,SER_hh_fech!D9/SER_summary!D$26)</f>
        <v>238.57072088487109</v>
      </c>
      <c r="E9" s="132">
        <f>IF(SER_hh_fech!E9=0,0,SER_hh_fech!E9/SER_summary!E$26)</f>
        <v>252.33231841030138</v>
      </c>
      <c r="F9" s="132">
        <f>IF(SER_hh_fech!F9=0,0,SER_hh_fech!F9/SER_summary!F$26)</f>
        <v>251.34633422468107</v>
      </c>
      <c r="G9" s="132">
        <f>IF(SER_hh_fech!G9=0,0,SER_hh_fech!G9/SER_summary!G$26)</f>
        <v>251.99324456858693</v>
      </c>
      <c r="H9" s="132">
        <f>IF(SER_hh_fech!H9=0,0,SER_hh_fech!H9/SER_summary!H$26)</f>
        <v>275.99039845662469</v>
      </c>
      <c r="I9" s="132">
        <f>IF(SER_hh_fech!I9=0,0,SER_hh_fech!I9/SER_summary!I$26)</f>
        <v>275.47321444260967</v>
      </c>
      <c r="J9" s="132">
        <f>IF(SER_hh_fech!J9=0,0,SER_hh_fech!J9/SER_summary!J$26)</f>
        <v>279.28136834489669</v>
      </c>
      <c r="K9" s="132">
        <f>IF(SER_hh_fech!K9=0,0,SER_hh_fech!K9/SER_summary!K$26)</f>
        <v>248.10080091339563</v>
      </c>
      <c r="L9" s="132">
        <f>IF(SER_hh_fech!L9=0,0,SER_hh_fech!L9/SER_summary!L$26)</f>
        <v>264.00692693028901</v>
      </c>
      <c r="M9" s="132">
        <f>IF(SER_hh_fech!M9=0,0,SER_hh_fech!M9/SER_summary!M$26)</f>
        <v>234.16152607582302</v>
      </c>
      <c r="N9" s="132">
        <f>IF(SER_hh_fech!N9=0,0,SER_hh_fech!N9/SER_summary!N$26)</f>
        <v>255.88139516364009</v>
      </c>
      <c r="O9" s="132">
        <f>IF(SER_hh_fech!O9=0,0,SER_hh_fech!O9/SER_summary!O$26)</f>
        <v>243.17711161053151</v>
      </c>
      <c r="P9" s="132">
        <f>IF(SER_hh_fech!P9=0,0,SER_hh_fech!P9/SER_summary!P$26)</f>
        <v>223.02539895226843</v>
      </c>
      <c r="Q9" s="132">
        <f>IF(SER_hh_fech!Q9=0,0,SER_hh_fech!Q9/SER_summary!Q$26)</f>
        <v>255.31645225027472</v>
      </c>
      <c r="R9" s="132">
        <f>IF(SER_hh_fech!R9=0,0,SER_hh_fech!R9/SER_summary!R$26)</f>
        <v>241.51076557095678</v>
      </c>
      <c r="S9" s="132">
        <f>IF(SER_hh_fech!S9=0,0,SER_hh_fech!S9/SER_summary!S$26)</f>
        <v>229.50369988993359</v>
      </c>
      <c r="T9" s="132">
        <f>IF(SER_hh_fech!T9=0,0,SER_hh_fech!T9/SER_summary!T$26)</f>
        <v>249.86678894171413</v>
      </c>
      <c r="U9" s="132">
        <f>IF(SER_hh_fech!U9=0,0,SER_hh_fech!U9/SER_summary!U$26)</f>
        <v>242.98908757654371</v>
      </c>
      <c r="V9" s="132">
        <f>IF(SER_hh_fech!V9=0,0,SER_hh_fech!V9/SER_summary!V$26)</f>
        <v>209.79224967882456</v>
      </c>
      <c r="W9" s="132">
        <f>IF(SER_hh_fech!W9=0,0,SER_hh_fech!W9/SER_summary!W$26)</f>
        <v>207.27082399768281</v>
      </c>
      <c r="X9" s="132">
        <f>IF(SER_hh_fech!X9=0,0,SER_hh_fech!X9/SER_summary!X$26)</f>
        <v>200.25955585281849</v>
      </c>
      <c r="Y9" s="132">
        <f>IF(SER_hh_fech!Y9=0,0,SER_hh_fech!Y9/SER_summary!Y$26)</f>
        <v>190.76282960849963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0</v>
      </c>
      <c r="C10" s="132">
        <f>IF(SER_hh_fech!C10=0,0,SER_hh_fech!C10/SER_summary!C$26)</f>
        <v>0</v>
      </c>
      <c r="D10" s="132">
        <f>IF(SER_hh_fech!D10=0,0,SER_hh_fech!D10/SER_summary!D$26)</f>
        <v>0</v>
      </c>
      <c r="E10" s="132">
        <f>IF(SER_hh_fech!E10=0,0,SER_hh_fech!E10/SER_summary!E$26)</f>
        <v>0</v>
      </c>
      <c r="F10" s="132">
        <f>IF(SER_hh_fech!F10=0,0,SER_hh_fech!F10/SER_summary!F$26)</f>
        <v>0</v>
      </c>
      <c r="G10" s="132">
        <f>IF(SER_hh_fech!G10=0,0,SER_hh_fech!G10/SER_summary!G$26)</f>
        <v>58.236326516759526</v>
      </c>
      <c r="H10" s="132">
        <f>IF(SER_hh_fech!H10=0,0,SER_hh_fech!H10/SER_summary!H$26)</f>
        <v>153.1712704152913</v>
      </c>
      <c r="I10" s="132">
        <f>IF(SER_hh_fech!I10=0,0,SER_hh_fech!I10/SER_summary!I$26)</f>
        <v>287.06853889495915</v>
      </c>
      <c r="J10" s="132">
        <f>IF(SER_hh_fech!J10=0,0,SER_hh_fech!J10/SER_summary!J$26)</f>
        <v>353.51248853931787</v>
      </c>
      <c r="K10" s="132">
        <f>IF(SER_hh_fech!K10=0,0,SER_hh_fech!K10/SER_summary!K$26)</f>
        <v>344.88884558736078</v>
      </c>
      <c r="L10" s="132">
        <f>IF(SER_hh_fech!L10=0,0,SER_hh_fech!L10/SER_summary!L$26)</f>
        <v>255.55967300241417</v>
      </c>
      <c r="M10" s="132">
        <f>IF(SER_hh_fech!M10=0,0,SER_hh_fech!M10/SER_summary!M$26)</f>
        <v>279.19909059747329</v>
      </c>
      <c r="N10" s="132">
        <f>IF(SER_hh_fech!N10=0,0,SER_hh_fech!N10/SER_summary!N$26)</f>
        <v>280.821715188675</v>
      </c>
      <c r="O10" s="132">
        <f>IF(SER_hh_fech!O10=0,0,SER_hh_fech!O10/SER_summary!O$26)</f>
        <v>340.8317966946413</v>
      </c>
      <c r="P10" s="132">
        <f>IF(SER_hh_fech!P10=0,0,SER_hh_fech!P10/SER_summary!P$26)</f>
        <v>371.66493702083579</v>
      </c>
      <c r="Q10" s="132">
        <f>IF(SER_hh_fech!Q10=0,0,SER_hh_fech!Q10/SER_summary!Q$26)</f>
        <v>227.53828063018585</v>
      </c>
      <c r="R10" s="132">
        <f>IF(SER_hh_fech!R10=0,0,SER_hh_fech!R10/SER_summary!R$26)</f>
        <v>341.00643275491706</v>
      </c>
      <c r="S10" s="132">
        <f>IF(SER_hh_fech!S10=0,0,SER_hh_fech!S10/SER_summary!S$26)</f>
        <v>321.05735772028999</v>
      </c>
      <c r="T10" s="132">
        <f>IF(SER_hh_fech!T10=0,0,SER_hh_fech!T10/SER_summary!T$26)</f>
        <v>309.74400874842797</v>
      </c>
      <c r="U10" s="132">
        <f>IF(SER_hh_fech!U10=0,0,SER_hh_fech!U10/SER_summary!U$26)</f>
        <v>270.12939475807269</v>
      </c>
      <c r="V10" s="132">
        <f>IF(SER_hh_fech!V10=0,0,SER_hh_fech!V10/SER_summary!V$26)</f>
        <v>305.15676020879386</v>
      </c>
      <c r="W10" s="132">
        <f>IF(SER_hh_fech!W10=0,0,SER_hh_fech!W10/SER_summary!W$26)</f>
        <v>331.08270942774294</v>
      </c>
      <c r="X10" s="132">
        <f>IF(SER_hh_fech!X10=0,0,SER_hh_fech!X10/SER_summary!X$26)</f>
        <v>314.63064725897851</v>
      </c>
      <c r="Y10" s="132">
        <f>IF(SER_hh_fech!Y10=0,0,SER_hh_fech!Y10/SER_summary!Y$26)</f>
        <v>255.88655157786221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0</v>
      </c>
      <c r="C11" s="132">
        <f>IF(SER_hh_fech!C11=0,0,SER_hh_fech!C11/SER_summary!C$26)</f>
        <v>0</v>
      </c>
      <c r="D11" s="132">
        <f>IF(SER_hh_fech!D11=0,0,SER_hh_fech!D11/SER_summary!D$26)</f>
        <v>0</v>
      </c>
      <c r="E11" s="132">
        <f>IF(SER_hh_fech!E11=0,0,SER_hh_fech!E11/SER_summary!E$26)</f>
        <v>0</v>
      </c>
      <c r="F11" s="132">
        <f>IF(SER_hh_fech!F11=0,0,SER_hh_fech!F11/SER_summary!F$26)</f>
        <v>0</v>
      </c>
      <c r="G11" s="132">
        <f>IF(SER_hh_fech!G11=0,0,SER_hh_fech!G11/SER_summary!G$26)</f>
        <v>0</v>
      </c>
      <c r="H11" s="132">
        <f>IF(SER_hh_fech!H11=0,0,SER_hh_fech!H11/SER_summary!H$26)</f>
        <v>0</v>
      </c>
      <c r="I11" s="132">
        <f>IF(SER_hh_fech!I11=0,0,SER_hh_fech!I11/SER_summary!I$26)</f>
        <v>0</v>
      </c>
      <c r="J11" s="132">
        <f>IF(SER_hh_fech!J11=0,0,SER_hh_fech!J11/SER_summary!J$26)</f>
        <v>0</v>
      </c>
      <c r="K11" s="132">
        <f>IF(SER_hh_fech!K11=0,0,SER_hh_fech!K11/SER_summary!K$26)</f>
        <v>0</v>
      </c>
      <c r="L11" s="132">
        <f>IF(SER_hh_fech!L11=0,0,SER_hh_fech!L11/SER_summary!L$26)</f>
        <v>0</v>
      </c>
      <c r="M11" s="132">
        <f>IF(SER_hh_fech!M11=0,0,SER_hh_fech!M11/SER_summary!M$26)</f>
        <v>0</v>
      </c>
      <c r="N11" s="132">
        <f>IF(SER_hh_fech!N11=0,0,SER_hh_fech!N11/SER_summary!N$26)</f>
        <v>0</v>
      </c>
      <c r="O11" s="132">
        <f>IF(SER_hh_fech!O11=0,0,SER_hh_fech!O11/SER_summary!O$26)</f>
        <v>0</v>
      </c>
      <c r="P11" s="132">
        <f>IF(SER_hh_fech!P11=0,0,SER_hh_fech!P11/SER_summary!P$26)</f>
        <v>0</v>
      </c>
      <c r="Q11" s="132">
        <f>IF(SER_hh_fech!Q11=0,0,SER_hh_fech!Q11/SER_summary!Q$26)</f>
        <v>0</v>
      </c>
      <c r="R11" s="132">
        <f>IF(SER_hh_fech!R11=0,0,SER_hh_fech!R11/SER_summary!R$26)</f>
        <v>0</v>
      </c>
      <c r="S11" s="132">
        <f>IF(SER_hh_fech!S11=0,0,SER_hh_fech!S11/SER_summary!S$26)</f>
        <v>0</v>
      </c>
      <c r="T11" s="132">
        <f>IF(SER_hh_fech!T11=0,0,SER_hh_fech!T11/SER_summary!T$26)</f>
        <v>0</v>
      </c>
      <c r="U11" s="132">
        <f>IF(SER_hh_fech!U11=0,0,SER_hh_fech!U11/SER_summary!U$26)</f>
        <v>0</v>
      </c>
      <c r="V11" s="132">
        <f>IF(SER_hh_fech!V11=0,0,SER_hh_fech!V11/SER_summary!V$26)</f>
        <v>0</v>
      </c>
      <c r="W11" s="132">
        <f>IF(SER_hh_fech!W11=0,0,SER_hh_fech!W11/SER_summary!W$26)</f>
        <v>0</v>
      </c>
      <c r="X11" s="132">
        <f>IF(SER_hh_fech!X11=0,0,SER_hh_fech!X11/SER_summary!X$26)</f>
        <v>0</v>
      </c>
      <c r="Y11" s="132">
        <f>IF(SER_hh_fech!Y11=0,0,SER_hh_fech!Y11/SER_summary!Y$26)</f>
        <v>0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0</v>
      </c>
      <c r="C12" s="132">
        <f>IF(SER_hh_fech!C12=0,0,SER_hh_fech!C12/SER_summary!C$26)</f>
        <v>0</v>
      </c>
      <c r="D12" s="132">
        <f>IF(SER_hh_fech!D12=0,0,SER_hh_fech!D12/SER_summary!D$26)</f>
        <v>0</v>
      </c>
      <c r="E12" s="132">
        <f>IF(SER_hh_fech!E12=0,0,SER_hh_fech!E12/SER_summary!E$26)</f>
        <v>0</v>
      </c>
      <c r="F12" s="132">
        <f>IF(SER_hh_fech!F12=0,0,SER_hh_fech!F12/SER_summary!F$26)</f>
        <v>0</v>
      </c>
      <c r="G12" s="132">
        <f>IF(SER_hh_fech!G12=0,0,SER_hh_fech!G12/SER_summary!G$26)</f>
        <v>0</v>
      </c>
      <c r="H12" s="132">
        <f>IF(SER_hh_fech!H12=0,0,SER_hh_fech!H12/SER_summary!H$26)</f>
        <v>0</v>
      </c>
      <c r="I12" s="132">
        <f>IF(SER_hh_fech!I12=0,0,SER_hh_fech!I12/SER_summary!I$26)</f>
        <v>0</v>
      </c>
      <c r="J12" s="132">
        <f>IF(SER_hh_fech!J12=0,0,SER_hh_fech!J12/SER_summary!J$26)</f>
        <v>0</v>
      </c>
      <c r="K12" s="132">
        <f>IF(SER_hh_fech!K12=0,0,SER_hh_fech!K12/SER_summary!K$26)</f>
        <v>0</v>
      </c>
      <c r="L12" s="132">
        <f>IF(SER_hh_fech!L12=0,0,SER_hh_fech!L12/SER_summary!L$26)</f>
        <v>0</v>
      </c>
      <c r="M12" s="132">
        <f>IF(SER_hh_fech!M12=0,0,SER_hh_fech!M12/SER_summary!M$26)</f>
        <v>0</v>
      </c>
      <c r="N12" s="132">
        <f>IF(SER_hh_fech!N12=0,0,SER_hh_fech!N12/SER_summary!N$26)</f>
        <v>0</v>
      </c>
      <c r="O12" s="132">
        <f>IF(SER_hh_fech!O12=0,0,SER_hh_fech!O12/SER_summary!O$26)</f>
        <v>0</v>
      </c>
      <c r="P12" s="132">
        <f>IF(SER_hh_fech!P12=0,0,SER_hh_fech!P12/SER_summary!P$26)</f>
        <v>0</v>
      </c>
      <c r="Q12" s="132">
        <f>IF(SER_hh_fech!Q12=0,0,SER_hh_fech!Q12/SER_summary!Q$26)</f>
        <v>0</v>
      </c>
      <c r="R12" s="132">
        <f>IF(SER_hh_fech!R12=0,0,SER_hh_fech!R12/SER_summary!R$26)</f>
        <v>0</v>
      </c>
      <c r="S12" s="132">
        <f>IF(SER_hh_fech!S12=0,0,SER_hh_fech!S12/SER_summary!S$26)</f>
        <v>0</v>
      </c>
      <c r="T12" s="132">
        <f>IF(SER_hh_fech!T12=0,0,SER_hh_fech!T12/SER_summary!T$26)</f>
        <v>0</v>
      </c>
      <c r="U12" s="132">
        <f>IF(SER_hh_fech!U12=0,0,SER_hh_fech!U12/SER_summary!U$26)</f>
        <v>0</v>
      </c>
      <c r="V12" s="132">
        <f>IF(SER_hh_fech!V12=0,0,SER_hh_fech!V12/SER_summary!V$26)</f>
        <v>0</v>
      </c>
      <c r="W12" s="132">
        <f>IF(SER_hh_fech!W12=0,0,SER_hh_fech!W12/SER_summary!W$26)</f>
        <v>0</v>
      </c>
      <c r="X12" s="132">
        <f>IF(SER_hh_fech!X12=0,0,SER_hh_fech!X12/SER_summary!X$26)</f>
        <v>0</v>
      </c>
      <c r="Y12" s="132">
        <f>IF(SER_hh_fech!Y12=0,0,SER_hh_fech!Y12/SER_summary!Y$26)</f>
        <v>0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52.222612868474855</v>
      </c>
      <c r="C13" s="132">
        <f>IF(SER_hh_fech!C13=0,0,SER_hh_fech!C13/SER_summary!C$26)</f>
        <v>39.114095356305214</v>
      </c>
      <c r="D13" s="132">
        <f>IF(SER_hh_fech!D13=0,0,SER_hh_fech!D13/SER_summary!D$26)</f>
        <v>10.05924000847523</v>
      </c>
      <c r="E13" s="132">
        <f>IF(SER_hh_fech!E13=0,0,SER_hh_fech!E13/SER_summary!E$26)</f>
        <v>50.250846275304944</v>
      </c>
      <c r="F13" s="132">
        <f>IF(SER_hh_fech!F13=0,0,SER_hh_fech!F13/SER_summary!F$26)</f>
        <v>38.563125023521657</v>
      </c>
      <c r="G13" s="132">
        <f>IF(SER_hh_fech!G13=0,0,SER_hh_fech!G13/SER_summary!G$26)</f>
        <v>58.081036053890045</v>
      </c>
      <c r="H13" s="132">
        <f>IF(SER_hh_fech!H13=0,0,SER_hh_fech!H13/SER_summary!H$26)</f>
        <v>65.835156081316399</v>
      </c>
      <c r="I13" s="132">
        <f>IF(SER_hh_fech!I13=0,0,SER_hh_fech!I13/SER_summary!I$26)</f>
        <v>67.508296491075953</v>
      </c>
      <c r="J13" s="132">
        <f>IF(SER_hh_fech!J13=0,0,SER_hh_fech!J13/SER_summary!J$26)</f>
        <v>73.698230597907852</v>
      </c>
      <c r="K13" s="132">
        <f>IF(SER_hh_fech!K13=0,0,SER_hh_fech!K13/SER_summary!K$26)</f>
        <v>65.123774257233137</v>
      </c>
      <c r="L13" s="132">
        <f>IF(SER_hh_fech!L13=0,0,SER_hh_fech!L13/SER_summary!L$26)</f>
        <v>60.185983539610952</v>
      </c>
      <c r="M13" s="132">
        <f>IF(SER_hh_fech!M13=0,0,SER_hh_fech!M13/SER_summary!M$26)</f>
        <v>61.062040060537001</v>
      </c>
      <c r="N13" s="132">
        <f>IF(SER_hh_fech!N13=0,0,SER_hh_fech!N13/SER_summary!N$26)</f>
        <v>59.519214523910513</v>
      </c>
      <c r="O13" s="132">
        <f>IF(SER_hh_fech!O13=0,0,SER_hh_fech!O13/SER_summary!O$26)</f>
        <v>57.687337986345163</v>
      </c>
      <c r="P13" s="132">
        <f>IF(SER_hh_fech!P13=0,0,SER_hh_fech!P13/SER_summary!P$26)</f>
        <v>54.840974430148336</v>
      </c>
      <c r="Q13" s="132">
        <f>IF(SER_hh_fech!Q13=0,0,SER_hh_fech!Q13/SER_summary!Q$26)</f>
        <v>54.749694132318275</v>
      </c>
      <c r="R13" s="132">
        <f>IF(SER_hh_fech!R13=0,0,SER_hh_fech!R13/SER_summary!R$26)</f>
        <v>53.909423278795096</v>
      </c>
      <c r="S13" s="132">
        <f>IF(SER_hh_fech!S13=0,0,SER_hh_fech!S13/SER_summary!S$26)</f>
        <v>54.736905123209304</v>
      </c>
      <c r="T13" s="132">
        <f>IF(SER_hh_fech!T13=0,0,SER_hh_fech!T13/SER_summary!T$26)</f>
        <v>50.684335849341444</v>
      </c>
      <c r="U13" s="132">
        <f>IF(SER_hh_fech!U13=0,0,SER_hh_fech!U13/SER_summary!U$26)</f>
        <v>49.324653909936806</v>
      </c>
      <c r="V13" s="132">
        <f>IF(SER_hh_fech!V13=0,0,SER_hh_fech!V13/SER_summary!V$26)</f>
        <v>45.834161915192361</v>
      </c>
      <c r="W13" s="132">
        <f>IF(SER_hh_fech!W13=0,0,SER_hh_fech!W13/SER_summary!W$26)</f>
        <v>42.176724055378138</v>
      </c>
      <c r="X13" s="132">
        <f>IF(SER_hh_fech!X13=0,0,SER_hh_fech!X13/SER_summary!X$26)</f>
        <v>39.934125588390934</v>
      </c>
      <c r="Y13" s="132">
        <f>IF(SER_hh_fech!Y13=0,0,SER_hh_fech!Y13/SER_summary!Y$26)</f>
        <v>39.305161425115514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162.68711860014031</v>
      </c>
      <c r="C14" s="65">
        <f>IF(SER_hh_fech!C14=0,0,SER_hh_fech!C14/SER_summary!C$26)</f>
        <v>169.5715891991143</v>
      </c>
      <c r="D14" s="65">
        <f>IF(SER_hh_fech!D14=0,0,SER_hh_fech!D14/SER_summary!D$26)</f>
        <v>178.30926675307126</v>
      </c>
      <c r="E14" s="65">
        <f>IF(SER_hh_fech!E14=0,0,SER_hh_fech!E14/SER_summary!E$26)</f>
        <v>194.33402111362258</v>
      </c>
      <c r="F14" s="65">
        <f>IF(SER_hh_fech!F14=0,0,SER_hh_fech!F14/SER_summary!F$26)</f>
        <v>174.75399462671976</v>
      </c>
      <c r="G14" s="65">
        <f>IF(SER_hh_fech!G14=0,0,SER_hh_fech!G14/SER_summary!G$26)</f>
        <v>193.91705143953445</v>
      </c>
      <c r="H14" s="65">
        <f>IF(SER_hh_fech!H14=0,0,SER_hh_fech!H14/SER_summary!H$26)</f>
        <v>212.10836743335048</v>
      </c>
      <c r="I14" s="65">
        <f>IF(SER_hh_fech!I14=0,0,SER_hh_fech!I14/SER_summary!I$26)</f>
        <v>195.67096778902601</v>
      </c>
      <c r="J14" s="65">
        <f>IF(SER_hh_fech!J14=0,0,SER_hh_fech!J14/SER_summary!J$26)</f>
        <v>207.84104503812591</v>
      </c>
      <c r="K14" s="65">
        <f>IF(SER_hh_fech!K14=0,0,SER_hh_fech!K14/SER_summary!K$26)</f>
        <v>197.40483783073665</v>
      </c>
      <c r="L14" s="65">
        <f>IF(SER_hh_fech!L14=0,0,SER_hh_fech!L14/SER_summary!L$26)</f>
        <v>191.77820917598817</v>
      </c>
      <c r="M14" s="65">
        <f>IF(SER_hh_fech!M14=0,0,SER_hh_fech!M14/SER_summary!M$26)</f>
        <v>192.31448252547742</v>
      </c>
      <c r="N14" s="65">
        <f>IF(SER_hh_fech!N14=0,0,SER_hh_fech!N14/SER_summary!N$26)</f>
        <v>191.389685732571</v>
      </c>
      <c r="O14" s="65">
        <f>IF(SER_hh_fech!O14=0,0,SER_hh_fech!O14/SER_summary!O$26)</f>
        <v>197.97014614984408</v>
      </c>
      <c r="P14" s="65">
        <f>IF(SER_hh_fech!P14=0,0,SER_hh_fech!P14/SER_summary!P$26)</f>
        <v>173.64588013519597</v>
      </c>
      <c r="Q14" s="65">
        <f>IF(SER_hh_fech!Q14=0,0,SER_hh_fech!Q14/SER_summary!Q$26)</f>
        <v>212.11507112974027</v>
      </c>
      <c r="R14" s="65">
        <f>IF(SER_hh_fech!R14=0,0,SER_hh_fech!R14/SER_summary!R$26)</f>
        <v>198.14019267332606</v>
      </c>
      <c r="S14" s="65">
        <f>IF(SER_hh_fech!S14=0,0,SER_hh_fech!S14/SER_summary!S$26)</f>
        <v>184.72077766583223</v>
      </c>
      <c r="T14" s="65">
        <f>IF(SER_hh_fech!T14=0,0,SER_hh_fech!T14/SER_summary!T$26)</f>
        <v>215.94666583291266</v>
      </c>
      <c r="U14" s="65">
        <f>IF(SER_hh_fech!U14=0,0,SER_hh_fech!U14/SER_summary!U$26)</f>
        <v>230.03829378950218</v>
      </c>
      <c r="V14" s="65">
        <f>IF(SER_hh_fech!V14=0,0,SER_hh_fech!V14/SER_summary!V$26)</f>
        <v>175.22020811361898</v>
      </c>
      <c r="W14" s="65">
        <f>IF(SER_hh_fech!W14=0,0,SER_hh_fech!W14/SER_summary!W$26)</f>
        <v>174.47198874237984</v>
      </c>
      <c r="X14" s="65">
        <f>IF(SER_hh_fech!X14=0,0,SER_hh_fech!X14/SER_summary!X$26)</f>
        <v>173.64127929496237</v>
      </c>
      <c r="Y14" s="65">
        <f>IF(SER_hh_fech!Y14=0,0,SER_hh_fech!Y14/SER_summary!Y$26)</f>
        <v>173.1257855919782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2.4706156275356759</v>
      </c>
      <c r="C15" s="134">
        <f>IF(SER_hh_fech!C15=0,0,SER_hh_fech!C15/SER_summary!C$26)</f>
        <v>2.3998950756012585</v>
      </c>
      <c r="D15" s="134">
        <f>IF(SER_hh_fech!D15=0,0,SER_hh_fech!D15/SER_summary!D$26)</f>
        <v>2.3480732792959649</v>
      </c>
      <c r="E15" s="134">
        <f>IF(SER_hh_fech!E15=0,0,SER_hh_fech!E15/SER_summary!E$26)</f>
        <v>2.4497916198614429</v>
      </c>
      <c r="F15" s="134">
        <f>IF(SER_hh_fech!F15=0,0,SER_hh_fech!F15/SER_summary!F$26)</f>
        <v>2.3657479091648779</v>
      </c>
      <c r="G15" s="134">
        <f>IF(SER_hh_fech!G15=0,0,SER_hh_fech!G15/SER_summary!G$26)</f>
        <v>2.4627570171628372</v>
      </c>
      <c r="H15" s="134">
        <f>IF(SER_hh_fech!H15=0,0,SER_hh_fech!H15/SER_summary!H$26)</f>
        <v>2.5564651073738651</v>
      </c>
      <c r="I15" s="134">
        <f>IF(SER_hh_fech!I15=0,0,SER_hh_fech!I15/SER_summary!I$26)</f>
        <v>2.5188248596798215</v>
      </c>
      <c r="J15" s="134">
        <f>IF(SER_hh_fech!J15=0,0,SER_hh_fech!J15/SER_summary!J$26)</f>
        <v>2.6463237175406116</v>
      </c>
      <c r="K15" s="134">
        <f>IF(SER_hh_fech!K15=0,0,SER_hh_fech!K15/SER_summary!K$26)</f>
        <v>2.2999528613166715</v>
      </c>
      <c r="L15" s="134">
        <f>IF(SER_hh_fech!L15=0,0,SER_hh_fech!L15/SER_summary!L$26)</f>
        <v>2.4649930173934465</v>
      </c>
      <c r="M15" s="134">
        <f>IF(SER_hh_fech!M15=0,0,SER_hh_fech!M15/SER_summary!M$26)</f>
        <v>2.2275091763520773</v>
      </c>
      <c r="N15" s="134">
        <f>IF(SER_hh_fech!N15=0,0,SER_hh_fech!N15/SER_summary!N$26)</f>
        <v>2.3618027877815617</v>
      </c>
      <c r="O15" s="134">
        <f>IF(SER_hh_fech!O15=0,0,SER_hh_fech!O15/SER_summary!O$26)</f>
        <v>2.4478744372727341</v>
      </c>
      <c r="P15" s="134">
        <f>IF(SER_hh_fech!P15=0,0,SER_hh_fech!P15/SER_summary!P$26)</f>
        <v>2.2431196133044287</v>
      </c>
      <c r="Q15" s="134">
        <f>IF(SER_hh_fech!Q15=0,0,SER_hh_fech!Q15/SER_summary!Q$26)</f>
        <v>2.4882680096674967</v>
      </c>
      <c r="R15" s="134">
        <f>IF(SER_hh_fech!R15=0,0,SER_hh_fech!R15/SER_summary!R$26)</f>
        <v>2.4088157148911704</v>
      </c>
      <c r="S15" s="134">
        <f>IF(SER_hh_fech!S15=0,0,SER_hh_fech!S15/SER_summary!S$26)</f>
        <v>2.315055098732552</v>
      </c>
      <c r="T15" s="134">
        <f>IF(SER_hh_fech!T15=0,0,SER_hh_fech!T15/SER_summary!T$26)</f>
        <v>2.5946634920606697</v>
      </c>
      <c r="U15" s="134">
        <f>IF(SER_hh_fech!U15=0,0,SER_hh_fech!U15/SER_summary!U$26)</f>
        <v>2.5632623537892951</v>
      </c>
      <c r="V15" s="134">
        <f>IF(SER_hh_fech!V15=0,0,SER_hh_fech!V15/SER_summary!V$26)</f>
        <v>2.2920022101417485</v>
      </c>
      <c r="W15" s="134">
        <f>IF(SER_hh_fech!W15=0,0,SER_hh_fech!W15/SER_summary!W$26)</f>
        <v>2.3048586064430348</v>
      </c>
      <c r="X15" s="134">
        <f>IF(SER_hh_fech!X15=0,0,SER_hh_fech!X15/SER_summary!X$26)</f>
        <v>2.2823293786377352</v>
      </c>
      <c r="Y15" s="134">
        <f>IF(SER_hh_fech!Y15=0,0,SER_hh_fech!Y15/SER_summary!Y$26)</f>
        <v>2.2169663985196784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12.042012977258882</v>
      </c>
      <c r="C16" s="130">
        <f>IF(SER_hh_fech!C16=0,0,SER_hh_fech!C16/SER_summary!C$26)</f>
        <v>11.318595003865887</v>
      </c>
      <c r="D16" s="130">
        <f>IF(SER_hh_fech!D16=0,0,SER_hh_fech!D16/SER_summary!D$26)</f>
        <v>10.841051378776633</v>
      </c>
      <c r="E16" s="130">
        <f>IF(SER_hh_fech!E16=0,0,SER_hh_fech!E16/SER_summary!E$26)</f>
        <v>10.284793218582085</v>
      </c>
      <c r="F16" s="130">
        <f>IF(SER_hh_fech!F16=0,0,SER_hh_fech!F16/SER_summary!F$26)</f>
        <v>9.6863863867248075</v>
      </c>
      <c r="G16" s="130">
        <f>IF(SER_hh_fech!G16=0,0,SER_hh_fech!G16/SER_summary!G$26)</f>
        <v>8.9664630597228125</v>
      </c>
      <c r="H16" s="130">
        <f>IF(SER_hh_fech!H16=0,0,SER_hh_fech!H16/SER_summary!H$26)</f>
        <v>8.5707577588513875</v>
      </c>
      <c r="I16" s="130">
        <f>IF(SER_hh_fech!I16=0,0,SER_hh_fech!I16/SER_summary!I$26)</f>
        <v>8.2184041074302137</v>
      </c>
      <c r="J16" s="130">
        <f>IF(SER_hh_fech!J16=0,0,SER_hh_fech!J16/SER_summary!J$26)</f>
        <v>7.6158335805151038</v>
      </c>
      <c r="K16" s="130">
        <f>IF(SER_hh_fech!K16=0,0,SER_hh_fech!K16/SER_summary!K$26)</f>
        <v>7.4413368396134603</v>
      </c>
      <c r="L16" s="130">
        <f>IF(SER_hh_fech!L16=0,0,SER_hh_fech!L16/SER_summary!L$26)</f>
        <v>7.3065524551094336</v>
      </c>
      <c r="M16" s="130">
        <f>IF(SER_hh_fech!M16=0,0,SER_hh_fech!M16/SER_summary!M$26)</f>
        <v>6.9912469843771508</v>
      </c>
      <c r="N16" s="130">
        <f>IF(SER_hh_fech!N16=0,0,SER_hh_fech!N16/SER_summary!N$26)</f>
        <v>6.8492862269774735</v>
      </c>
      <c r="O16" s="130">
        <f>IF(SER_hh_fech!O16=0,0,SER_hh_fech!O16/SER_summary!O$26)</f>
        <v>6.4885921283072152</v>
      </c>
      <c r="P16" s="130">
        <f>IF(SER_hh_fech!P16=0,0,SER_hh_fech!P16/SER_summary!P$26)</f>
        <v>6.3158647595515403</v>
      </c>
      <c r="Q16" s="130">
        <f>IF(SER_hh_fech!Q16=0,0,SER_hh_fech!Q16/SER_summary!Q$26)</f>
        <v>5.859080327191549</v>
      </c>
      <c r="R16" s="130">
        <f>IF(SER_hh_fech!R16=0,0,SER_hh_fech!R16/SER_summary!R$26)</f>
        <v>5.8399506641810737</v>
      </c>
      <c r="S16" s="130">
        <f>IF(SER_hh_fech!S16=0,0,SER_hh_fech!S16/SER_summary!S$26)</f>
        <v>5.6241339192999718</v>
      </c>
      <c r="T16" s="130">
        <f>IF(SER_hh_fech!T16=0,0,SER_hh_fech!T16/SER_summary!T$26)</f>
        <v>5.4450809508120237</v>
      </c>
      <c r="U16" s="130">
        <f>IF(SER_hh_fech!U16=0,0,SER_hh_fech!U16/SER_summary!U$26)</f>
        <v>5.3557851656904347</v>
      </c>
      <c r="V16" s="130">
        <f>IF(SER_hh_fech!V16=0,0,SER_hh_fech!V16/SER_summary!V$26)</f>
        <v>4.9789026946527528</v>
      </c>
      <c r="W16" s="130">
        <f>IF(SER_hh_fech!W16=0,0,SER_hh_fech!W16/SER_summary!W$26)</f>
        <v>4.8343450697541375</v>
      </c>
      <c r="X16" s="130">
        <f>IF(SER_hh_fech!X16=0,0,SER_hh_fech!X16/SER_summary!X$26)</f>
        <v>5.0211355675629541</v>
      </c>
      <c r="Y16" s="130">
        <f>IF(SER_hh_fech!Y16=0,0,SER_hh_fech!Y16/SER_summary!Y$26)</f>
        <v>4.9362423676512321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22.469400107691346</v>
      </c>
      <c r="C17" s="132">
        <f>IF(SER_hh_fech!C17=0,0,SER_hh_fech!C17/SER_summary!C$26)</f>
        <v>21.858560078043524</v>
      </c>
      <c r="D17" s="132">
        <f>IF(SER_hh_fech!D17=0,0,SER_hh_fech!D17/SER_summary!D$26)</f>
        <v>21.684665796444666</v>
      </c>
      <c r="E17" s="132">
        <f>IF(SER_hh_fech!E17=0,0,SER_hh_fech!E17/SER_summary!E$26)</f>
        <v>21.430306615282507</v>
      </c>
      <c r="F17" s="132">
        <f>IF(SER_hh_fech!F17=0,0,SER_hh_fech!F17/SER_summary!F$26)</f>
        <v>20.745999515433816</v>
      </c>
      <c r="G17" s="132">
        <f>IF(SER_hh_fech!G17=0,0,SER_hh_fech!G17/SER_summary!G$26)</f>
        <v>19.96782043338451</v>
      </c>
      <c r="H17" s="132">
        <f>IF(SER_hh_fech!H17=0,0,SER_hh_fech!H17/SER_summary!H$26)</f>
        <v>19.761009721362111</v>
      </c>
      <c r="I17" s="132">
        <f>IF(SER_hh_fech!I17=0,0,SER_hh_fech!I17/SER_summary!I$26)</f>
        <v>19.402576282470214</v>
      </c>
      <c r="J17" s="132">
        <f>IF(SER_hh_fech!J17=0,0,SER_hh_fech!J17/SER_summary!J$26)</f>
        <v>19.089175170791915</v>
      </c>
      <c r="K17" s="132">
        <f>IF(SER_hh_fech!K17=0,0,SER_hh_fech!K17/SER_summary!K$26)</f>
        <v>18.814297321201764</v>
      </c>
      <c r="L17" s="132">
        <f>IF(SER_hh_fech!L17=0,0,SER_hh_fech!L17/SER_summary!L$26)</f>
        <v>18.792748412816621</v>
      </c>
      <c r="M17" s="132">
        <f>IF(SER_hh_fech!M17=0,0,SER_hh_fech!M17/SER_summary!M$26)</f>
        <v>18.403144152694331</v>
      </c>
      <c r="N17" s="132">
        <f>IF(SER_hh_fech!N17=0,0,SER_hh_fech!N17/SER_summary!N$26)</f>
        <v>18.410610496315378</v>
      </c>
      <c r="O17" s="132">
        <f>IF(SER_hh_fech!O17=0,0,SER_hh_fech!O17/SER_summary!O$26)</f>
        <v>17.76274693866786</v>
      </c>
      <c r="P17" s="132">
        <f>IF(SER_hh_fech!P17=0,0,SER_hh_fech!P17/SER_summary!P$26)</f>
        <v>17.632551649309537</v>
      </c>
      <c r="Q17" s="132">
        <f>IF(SER_hh_fech!Q17=0,0,SER_hh_fech!Q17/SER_summary!Q$26)</f>
        <v>17.1962961000471</v>
      </c>
      <c r="R17" s="132">
        <f>IF(SER_hh_fech!R17=0,0,SER_hh_fech!R17/SER_summary!R$26)</f>
        <v>16.990369260534109</v>
      </c>
      <c r="S17" s="132">
        <f>IF(SER_hh_fech!S17=0,0,SER_hh_fech!S17/SER_summary!S$26)</f>
        <v>16.738524289581591</v>
      </c>
      <c r="T17" s="132">
        <f>IF(SER_hh_fech!T17=0,0,SER_hh_fech!T17/SER_summary!T$26)</f>
        <v>16.541898122730288</v>
      </c>
      <c r="U17" s="132">
        <f>IF(SER_hh_fech!U17=0,0,SER_hh_fech!U17/SER_summary!U$26)</f>
        <v>16.480859232180279</v>
      </c>
      <c r="V17" s="132">
        <f>IF(SER_hh_fech!V17=0,0,SER_hh_fech!V17/SER_summary!V$26)</f>
        <v>14.710605385184415</v>
      </c>
      <c r="W17" s="132">
        <f>IF(SER_hh_fech!W17=0,0,SER_hh_fech!W17/SER_summary!W$26)</f>
        <v>13.979123165833236</v>
      </c>
      <c r="X17" s="132">
        <f>IF(SER_hh_fech!X17=0,0,SER_hh_fech!X17/SER_summary!X$26)</f>
        <v>15.065884834700295</v>
      </c>
      <c r="Y17" s="132">
        <f>IF(SER_hh_fech!Y17=0,0,SER_hh_fech!Y17/SER_summary!Y$26)</f>
        <v>15.475353565978278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12.015229821758187</v>
      </c>
      <c r="C18" s="132">
        <f>IF(SER_hh_fech!C18=0,0,SER_hh_fech!C18/SER_summary!C$26)</f>
        <v>11.290670135509671</v>
      </c>
      <c r="D18" s="132">
        <f>IF(SER_hh_fech!D18=0,0,SER_hh_fech!D18/SER_summary!D$26)</f>
        <v>10.811066178659209</v>
      </c>
      <c r="E18" s="132">
        <f>IF(SER_hh_fech!E18=0,0,SER_hh_fech!E18/SER_summary!E$26)</f>
        <v>10.256463420343083</v>
      </c>
      <c r="F18" s="132">
        <f>IF(SER_hh_fech!F18=0,0,SER_hh_fech!F18/SER_summary!F$26)</f>
        <v>9.6543301087714948</v>
      </c>
      <c r="G18" s="132">
        <f>IF(SER_hh_fech!G18=0,0,SER_hh_fech!G18/SER_summary!G$26)</f>
        <v>8.9331216786214274</v>
      </c>
      <c r="H18" s="132">
        <f>IF(SER_hh_fech!H18=0,0,SER_hh_fech!H18/SER_summary!H$26)</f>
        <v>8.5321799255140363</v>
      </c>
      <c r="I18" s="132">
        <f>IF(SER_hh_fech!I18=0,0,SER_hh_fech!I18/SER_summary!I$26)</f>
        <v>8.1797744684526439</v>
      </c>
      <c r="J18" s="132">
        <f>IF(SER_hh_fech!J18=0,0,SER_hh_fech!J18/SER_summary!J$26)</f>
        <v>7.5776391915443631</v>
      </c>
      <c r="K18" s="132">
        <f>IF(SER_hh_fech!K18=0,0,SER_hh_fech!K18/SER_summary!K$26)</f>
        <v>7.400251508975443</v>
      </c>
      <c r="L18" s="132">
        <f>IF(SER_hh_fech!L18=0,0,SER_hh_fech!L18/SER_summary!L$26)</f>
        <v>7.2633564687793593</v>
      </c>
      <c r="M18" s="132">
        <f>IF(SER_hh_fech!M18=0,0,SER_hh_fech!M18/SER_summary!M$26)</f>
        <v>6.9453998499793208</v>
      </c>
      <c r="N18" s="132">
        <f>IF(SER_hh_fech!N18=0,0,SER_hh_fech!N18/SER_summary!N$26)</f>
        <v>6.7974539588220537</v>
      </c>
      <c r="O18" s="132">
        <f>IF(SER_hh_fech!O18=0,0,SER_hh_fech!O18/SER_summary!O$26)</f>
        <v>6.4267896901495476</v>
      </c>
      <c r="P18" s="132">
        <f>IF(SER_hh_fech!P18=0,0,SER_hh_fech!P18/SER_summary!P$26)</f>
        <v>6.2369010312909889</v>
      </c>
      <c r="Q18" s="132">
        <f>IF(SER_hh_fech!Q18=0,0,SER_hh_fech!Q18/SER_summary!Q$26)</f>
        <v>5.7530113383598565</v>
      </c>
      <c r="R18" s="132">
        <f>IF(SER_hh_fech!R18=0,0,SER_hh_fech!R18/SER_summary!R$26)</f>
        <v>5.711116003652708</v>
      </c>
      <c r="S18" s="132">
        <f>IF(SER_hh_fech!S18=0,0,SER_hh_fech!S18/SER_summary!S$26)</f>
        <v>5.4792071214031024</v>
      </c>
      <c r="T18" s="132">
        <f>IF(SER_hh_fech!T18=0,0,SER_hh_fech!T18/SER_summary!T$26)</f>
        <v>5.2926372403163144</v>
      </c>
      <c r="U18" s="132">
        <f>IF(SER_hh_fech!U18=0,0,SER_hh_fech!U18/SER_summary!U$26)</f>
        <v>5.1969404874084972</v>
      </c>
      <c r="V18" s="132">
        <f>IF(SER_hh_fech!V18=0,0,SER_hh_fech!V18/SER_summary!V$26)</f>
        <v>4.830808210985106</v>
      </c>
      <c r="W18" s="132">
        <f>IF(SER_hh_fech!W18=0,0,SER_hh_fech!W18/SER_summary!W$26)</f>
        <v>4.6941459651167543</v>
      </c>
      <c r="X18" s="132">
        <f>IF(SER_hh_fech!X18=0,0,SER_hh_fech!X18/SER_summary!X$26)</f>
        <v>4.8603245193345144</v>
      </c>
      <c r="Y18" s="132">
        <f>IF(SER_hh_fech!Y18=0,0,SER_hh_fech!Y18/SER_summary!Y$26)</f>
        <v>4.770458903227305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41.086392394585246</v>
      </c>
      <c r="C19" s="130">
        <f>IF(SER_hh_fech!C19=0,0,SER_hh_fech!C19/SER_summary!C$26)</f>
        <v>40.937768384332173</v>
      </c>
      <c r="D19" s="130">
        <f>IF(SER_hh_fech!D19=0,0,SER_hh_fech!D19/SER_summary!D$26)</f>
        <v>40.220404377807291</v>
      </c>
      <c r="E19" s="130">
        <f>IF(SER_hh_fech!E19=0,0,SER_hh_fech!E19/SER_summary!E$26)</f>
        <v>39.385022472113313</v>
      </c>
      <c r="F19" s="130">
        <f>IF(SER_hh_fech!F19=0,0,SER_hh_fech!F19/SER_summary!F$26)</f>
        <v>38.591982060726757</v>
      </c>
      <c r="G19" s="130">
        <f>IF(SER_hh_fech!G19=0,0,SER_hh_fech!G19/SER_summary!G$26)</f>
        <v>38.413663254991739</v>
      </c>
      <c r="H19" s="130">
        <f>IF(SER_hh_fech!H19=0,0,SER_hh_fech!H19/SER_summary!H$26)</f>
        <v>37.637618438591282</v>
      </c>
      <c r="I19" s="130">
        <f>IF(SER_hh_fech!I19=0,0,SER_hh_fech!I19/SER_summary!I$26)</f>
        <v>36.627579455625792</v>
      </c>
      <c r="J19" s="130">
        <f>IF(SER_hh_fech!J19=0,0,SER_hh_fech!J19/SER_summary!J$26)</f>
        <v>36.473465059253705</v>
      </c>
      <c r="K19" s="130">
        <f>IF(SER_hh_fech!K19=0,0,SER_hh_fech!K19/SER_summary!K$26)</f>
        <v>37.986074400175859</v>
      </c>
      <c r="L19" s="130">
        <f>IF(SER_hh_fech!L19=0,0,SER_hh_fech!L19/SER_summary!L$26)</f>
        <v>39.108696403889823</v>
      </c>
      <c r="M19" s="130">
        <f>IF(SER_hh_fech!M19=0,0,SER_hh_fech!M19/SER_summary!M$26)</f>
        <v>38.702859692589584</v>
      </c>
      <c r="N19" s="130">
        <f>IF(SER_hh_fech!N19=0,0,SER_hh_fech!N19/SER_summary!N$26)</f>
        <v>39.168763906906101</v>
      </c>
      <c r="O19" s="130">
        <f>IF(SER_hh_fech!O19=0,0,SER_hh_fech!O19/SER_summary!O$26)</f>
        <v>39.235825633032633</v>
      </c>
      <c r="P19" s="130">
        <f>IF(SER_hh_fech!P19=0,0,SER_hh_fech!P19/SER_summary!P$26)</f>
        <v>39.371163625724904</v>
      </c>
      <c r="Q19" s="130">
        <f>IF(SER_hh_fech!Q19=0,0,SER_hh_fech!Q19/SER_summary!Q$26)</f>
        <v>40.825161939770162</v>
      </c>
      <c r="R19" s="130">
        <f>IF(SER_hh_fech!R19=0,0,SER_hh_fech!R19/SER_summary!R$26)</f>
        <v>39.373840112299106</v>
      </c>
      <c r="S19" s="130">
        <f>IF(SER_hh_fech!S19=0,0,SER_hh_fech!S19/SER_summary!S$26)</f>
        <v>38.544473689379039</v>
      </c>
      <c r="T19" s="130">
        <f>IF(SER_hh_fech!T19=0,0,SER_hh_fech!T19/SER_summary!T$26)</f>
        <v>37.697171270183667</v>
      </c>
      <c r="U19" s="130">
        <f>IF(SER_hh_fech!U19=0,0,SER_hh_fech!U19/SER_summary!U$26)</f>
        <v>37.51751269208323</v>
      </c>
      <c r="V19" s="130">
        <f>IF(SER_hh_fech!V19=0,0,SER_hh_fech!V19/SER_summary!V$26)</f>
        <v>34.195976577009098</v>
      </c>
      <c r="W19" s="130">
        <f>IF(SER_hh_fech!W19=0,0,SER_hh_fech!W19/SER_summary!W$26)</f>
        <v>36.747201388717421</v>
      </c>
      <c r="X19" s="130">
        <f>IF(SER_hh_fech!X19=0,0,SER_hh_fech!X19/SER_summary!X$26)</f>
        <v>35.200324393941308</v>
      </c>
      <c r="Y19" s="130">
        <f>IF(SER_hh_fech!Y19=0,0,SER_hh_fech!Y19/SER_summary!Y$26)</f>
        <v>33.688924106206123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0</v>
      </c>
      <c r="C21" s="132">
        <f>IF(SER_hh_fech!C21=0,0,SER_hh_fech!C21/SER_summary!C$26)</f>
        <v>0</v>
      </c>
      <c r="D21" s="132">
        <f>IF(SER_hh_fech!D21=0,0,SER_hh_fech!D21/SER_summary!D$26)</f>
        <v>0</v>
      </c>
      <c r="E21" s="132">
        <f>IF(SER_hh_fech!E21=0,0,SER_hh_fech!E21/SER_summary!E$26)</f>
        <v>0</v>
      </c>
      <c r="F21" s="132">
        <f>IF(SER_hh_fech!F21=0,0,SER_hh_fech!F21/SER_summary!F$26)</f>
        <v>0</v>
      </c>
      <c r="G21" s="132">
        <f>IF(SER_hh_fech!G21=0,0,SER_hh_fech!G21/SER_summary!G$26)</f>
        <v>0</v>
      </c>
      <c r="H21" s="132">
        <f>IF(SER_hh_fech!H21=0,0,SER_hh_fech!H21/SER_summary!H$26)</f>
        <v>0</v>
      </c>
      <c r="I21" s="132">
        <f>IF(SER_hh_fech!I21=0,0,SER_hh_fech!I21/SER_summary!I$26)</f>
        <v>0</v>
      </c>
      <c r="J21" s="132">
        <f>IF(SER_hh_fech!J21=0,0,SER_hh_fech!J21/SER_summary!J$26)</f>
        <v>0</v>
      </c>
      <c r="K21" s="132">
        <f>IF(SER_hh_fech!K21=0,0,SER_hh_fech!K21/SER_summary!K$26)</f>
        <v>0</v>
      </c>
      <c r="L21" s="132">
        <f>IF(SER_hh_fech!L21=0,0,SER_hh_fech!L21/SER_summary!L$26)</f>
        <v>0</v>
      </c>
      <c r="M21" s="132">
        <f>IF(SER_hh_fech!M21=0,0,SER_hh_fech!M21/SER_summary!M$26)</f>
        <v>0</v>
      </c>
      <c r="N21" s="132">
        <f>IF(SER_hh_fech!N21=0,0,SER_hh_fech!N21/SER_summary!N$26)</f>
        <v>0</v>
      </c>
      <c r="O21" s="132">
        <f>IF(SER_hh_fech!O21=0,0,SER_hh_fech!O21/SER_summary!O$26)</f>
        <v>0</v>
      </c>
      <c r="P21" s="132">
        <f>IF(SER_hh_fech!P21=0,0,SER_hh_fech!P21/SER_summary!P$26)</f>
        <v>0</v>
      </c>
      <c r="Q21" s="132">
        <f>IF(SER_hh_fech!Q21=0,0,SER_hh_fech!Q21/SER_summary!Q$26)</f>
        <v>0</v>
      </c>
      <c r="R21" s="132">
        <f>IF(SER_hh_fech!R21=0,0,SER_hh_fech!R21/SER_summary!R$26)</f>
        <v>0</v>
      </c>
      <c r="S21" s="132">
        <f>IF(SER_hh_fech!S21=0,0,SER_hh_fech!S21/SER_summary!S$26)</f>
        <v>0</v>
      </c>
      <c r="T21" s="132">
        <f>IF(SER_hh_fech!T21=0,0,SER_hh_fech!T21/SER_summary!T$26)</f>
        <v>0</v>
      </c>
      <c r="U21" s="132">
        <f>IF(SER_hh_fech!U21=0,0,SER_hh_fech!U21/SER_summary!U$26)</f>
        <v>0</v>
      </c>
      <c r="V21" s="132">
        <f>IF(SER_hh_fech!V21=0,0,SER_hh_fech!V21/SER_summary!V$26)</f>
        <v>0</v>
      </c>
      <c r="W21" s="132">
        <f>IF(SER_hh_fech!W21=0,0,SER_hh_fech!W21/SER_summary!W$26)</f>
        <v>0</v>
      </c>
      <c r="X21" s="132">
        <f>IF(SER_hh_fech!X21=0,0,SER_hh_fech!X21/SER_summary!X$26)</f>
        <v>0</v>
      </c>
      <c r="Y21" s="132">
        <f>IF(SER_hh_fech!Y21=0,0,SER_hh_fech!Y21/SER_summary!Y$26)</f>
        <v>0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46.556675295481796</v>
      </c>
      <c r="C22" s="132">
        <f>IF(SER_hh_fech!C22=0,0,SER_hh_fech!C22/SER_summary!C$26)</f>
        <v>46.683717636765458</v>
      </c>
      <c r="D22" s="132">
        <f>IF(SER_hh_fech!D22=0,0,SER_hh_fech!D22/SER_summary!D$26)</f>
        <v>46.525481335513206</v>
      </c>
      <c r="E22" s="132">
        <f>IF(SER_hh_fech!E22=0,0,SER_hh_fech!E22/SER_summary!E$26)</f>
        <v>44.820338832148622</v>
      </c>
      <c r="F22" s="132">
        <f>IF(SER_hh_fech!F22=0,0,SER_hh_fech!F22/SER_summary!F$26)</f>
        <v>45.259824760574276</v>
      </c>
      <c r="G22" s="132">
        <f>IF(SER_hh_fech!G22=0,0,SER_hh_fech!G22/SER_summary!G$26)</f>
        <v>44.397980156904175</v>
      </c>
      <c r="H22" s="132">
        <f>IF(SER_hh_fech!H22=0,0,SER_hh_fech!H22/SER_summary!H$26)</f>
        <v>43.209746653028162</v>
      </c>
      <c r="I22" s="132">
        <f>IF(SER_hh_fech!I22=0,0,SER_hh_fech!I22/SER_summary!I$26)</f>
        <v>42.912358611879164</v>
      </c>
      <c r="J22" s="132">
        <f>IF(SER_hh_fech!J22=0,0,SER_hh_fech!J22/SER_summary!J$26)</f>
        <v>43.735306300156843</v>
      </c>
      <c r="K22" s="132">
        <f>IF(SER_hh_fech!K22=0,0,SER_hh_fech!K22/SER_summary!K$26)</f>
        <v>43.92015525302142</v>
      </c>
      <c r="L22" s="132">
        <f>IF(SER_hh_fech!L22=0,0,SER_hh_fech!L22/SER_summary!L$26)</f>
        <v>45.339643376808283</v>
      </c>
      <c r="M22" s="132">
        <f>IF(SER_hh_fech!M22=0,0,SER_hh_fech!M22/SER_summary!M$26)</f>
        <v>45.599056289718767</v>
      </c>
      <c r="N22" s="132">
        <f>IF(SER_hh_fech!N22=0,0,SER_hh_fech!N22/SER_summary!N$26)</f>
        <v>45.838313310648189</v>
      </c>
      <c r="O22" s="132">
        <f>IF(SER_hh_fech!O22=0,0,SER_hh_fech!O22/SER_summary!O$26)</f>
        <v>45.415246006762274</v>
      </c>
      <c r="P22" s="132">
        <f>IF(SER_hh_fech!P22=0,0,SER_hh_fech!P22/SER_summary!P$26)</f>
        <v>46.660537983612556</v>
      </c>
      <c r="Q22" s="132">
        <f>IF(SER_hh_fech!Q22=0,0,SER_hh_fech!Q22/SER_summary!Q$26)</f>
        <v>46.474548713078761</v>
      </c>
      <c r="R22" s="132">
        <f>IF(SER_hh_fech!R22=0,0,SER_hh_fech!R22/SER_summary!R$26)</f>
        <v>45.660153929869928</v>
      </c>
      <c r="S22" s="132">
        <f>IF(SER_hh_fech!S22=0,0,SER_hh_fech!S22/SER_summary!S$26)</f>
        <v>46.580741061048968</v>
      </c>
      <c r="T22" s="132">
        <f>IF(SER_hh_fech!T22=0,0,SER_hh_fech!T22/SER_summary!T$26)</f>
        <v>44.690265726540204</v>
      </c>
      <c r="U22" s="132">
        <f>IF(SER_hh_fech!U22=0,0,SER_hh_fech!U22/SER_summary!U$26)</f>
        <v>44.810246377343617</v>
      </c>
      <c r="V22" s="132">
        <f>IF(SER_hh_fech!V22=0,0,SER_hh_fech!V22/SER_summary!V$26)</f>
        <v>39.846724728622377</v>
      </c>
      <c r="W22" s="132">
        <f>IF(SER_hh_fech!W22=0,0,SER_hh_fech!W22/SER_summary!W$26)</f>
        <v>41.607107640915487</v>
      </c>
      <c r="X22" s="132">
        <f>IF(SER_hh_fech!X22=0,0,SER_hh_fech!X22/SER_summary!X$26)</f>
        <v>41.60580837160871</v>
      </c>
      <c r="Y22" s="132">
        <f>IF(SER_hh_fech!Y22=0,0,SER_hh_fech!Y22/SER_summary!Y$26)</f>
        <v>39.147798854455061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44.962645830746055</v>
      </c>
      <c r="C23" s="132">
        <f>IF(SER_hh_fech!C23=0,0,SER_hh_fech!C23/SER_summary!C$26)</f>
        <v>45.358440416772268</v>
      </c>
      <c r="D23" s="132">
        <f>IF(SER_hh_fech!D23=0,0,SER_hh_fech!D23/SER_summary!D$26)</f>
        <v>44.236672722872655</v>
      </c>
      <c r="E23" s="132">
        <f>IF(SER_hh_fech!E23=0,0,SER_hh_fech!E23/SER_summary!E$26)</f>
        <v>42.946422816577353</v>
      </c>
      <c r="F23" s="132">
        <f>IF(SER_hh_fech!F23=0,0,SER_hh_fech!F23/SER_summary!F$26)</f>
        <v>42.686068948923811</v>
      </c>
      <c r="G23" s="132">
        <f>IF(SER_hh_fech!G23=0,0,SER_hh_fech!G23/SER_summary!G$26)</f>
        <v>41.865340501675114</v>
      </c>
      <c r="H23" s="132">
        <f>IF(SER_hh_fech!H23=0,0,SER_hh_fech!H23/SER_summary!H$26)</f>
        <v>40.72188496904387</v>
      </c>
      <c r="I23" s="132">
        <f>IF(SER_hh_fech!I23=0,0,SER_hh_fech!I23/SER_summary!I$26)</f>
        <v>40.604596721796817</v>
      </c>
      <c r="J23" s="132">
        <f>IF(SER_hh_fech!J23=0,0,SER_hh_fech!J23/SER_summary!J$26)</f>
        <v>39.643540197807631</v>
      </c>
      <c r="K23" s="132">
        <f>IF(SER_hh_fech!K23=0,0,SER_hh_fech!K23/SER_summary!K$26)</f>
        <v>40.736682931147492</v>
      </c>
      <c r="L23" s="132">
        <f>IF(SER_hh_fech!L23=0,0,SER_hh_fech!L23/SER_summary!L$26)</f>
        <v>42.658572197496177</v>
      </c>
      <c r="M23" s="132">
        <f>IF(SER_hh_fech!M23=0,0,SER_hh_fech!M23/SER_summary!M$26)</f>
        <v>39.937336884944109</v>
      </c>
      <c r="N23" s="132">
        <f>IF(SER_hh_fech!N23=0,0,SER_hh_fech!N23/SER_summary!N$26)</f>
        <v>40.801081419305831</v>
      </c>
      <c r="O23" s="132">
        <f>IF(SER_hh_fech!O23=0,0,SER_hh_fech!O23/SER_summary!O$26)</f>
        <v>41.109430640881783</v>
      </c>
      <c r="P23" s="132">
        <f>IF(SER_hh_fech!P23=0,0,SER_hh_fech!P23/SER_summary!P$26)</f>
        <v>41.631212430948636</v>
      </c>
      <c r="Q23" s="132">
        <f>IF(SER_hh_fech!Q23=0,0,SER_hh_fech!Q23/SER_summary!Q$26)</f>
        <v>42.651008945563234</v>
      </c>
      <c r="R23" s="132">
        <f>IF(SER_hh_fech!R23=0,0,SER_hh_fech!R23/SER_summary!R$26)</f>
        <v>41.22327776511522</v>
      </c>
      <c r="S23" s="132">
        <f>IF(SER_hh_fech!S23=0,0,SER_hh_fech!S23/SER_summary!S$26)</f>
        <v>41.137192141369766</v>
      </c>
      <c r="T23" s="132">
        <f>IF(SER_hh_fech!T23=0,0,SER_hh_fech!T23/SER_summary!T$26)</f>
        <v>39.399917773821983</v>
      </c>
      <c r="U23" s="132">
        <f>IF(SER_hh_fech!U23=0,0,SER_hh_fech!U23/SER_summary!U$26)</f>
        <v>40.546708144394692</v>
      </c>
      <c r="V23" s="132">
        <f>IF(SER_hh_fech!V23=0,0,SER_hh_fech!V23/SER_summary!V$26)</f>
        <v>31.242501871830214</v>
      </c>
      <c r="W23" s="132">
        <f>IF(SER_hh_fech!W23=0,0,SER_hh_fech!W23/SER_summary!W$26)</f>
        <v>40.163588391880722</v>
      </c>
      <c r="X23" s="132">
        <f>IF(SER_hh_fech!X23=0,0,SER_hh_fech!X23/SER_summary!X$26)</f>
        <v>37.405334824934414</v>
      </c>
      <c r="Y23" s="132">
        <f>IF(SER_hh_fech!Y23=0,0,SER_hh_fech!Y23/SER_summary!Y$26)</f>
        <v>35.528301052270422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0</v>
      </c>
      <c r="C24" s="132">
        <f>IF(SER_hh_fech!C24=0,0,SER_hh_fech!C24/SER_summary!C$26)</f>
        <v>0</v>
      </c>
      <c r="D24" s="132">
        <f>IF(SER_hh_fech!D24=0,0,SER_hh_fech!D24/SER_summary!D$26)</f>
        <v>0</v>
      </c>
      <c r="E24" s="132">
        <f>IF(SER_hh_fech!E24=0,0,SER_hh_fech!E24/SER_summary!E$26)</f>
        <v>0</v>
      </c>
      <c r="F24" s="132">
        <f>IF(SER_hh_fech!F24=0,0,SER_hh_fech!F24/SER_summary!F$26)</f>
        <v>0</v>
      </c>
      <c r="G24" s="132">
        <f>IF(SER_hh_fech!G24=0,0,SER_hh_fech!G24/SER_summary!G$26)</f>
        <v>0</v>
      </c>
      <c r="H24" s="132">
        <f>IF(SER_hh_fech!H24=0,0,SER_hh_fech!H24/SER_summary!H$26)</f>
        <v>0</v>
      </c>
      <c r="I24" s="132">
        <f>IF(SER_hh_fech!I24=0,0,SER_hh_fech!I24/SER_summary!I$26)</f>
        <v>0</v>
      </c>
      <c r="J24" s="132">
        <f>IF(SER_hh_fech!J24=0,0,SER_hh_fech!J24/SER_summary!J$26)</f>
        <v>0</v>
      </c>
      <c r="K24" s="132">
        <f>IF(SER_hh_fech!K24=0,0,SER_hh_fech!K24/SER_summary!K$26)</f>
        <v>0</v>
      </c>
      <c r="L24" s="132">
        <f>IF(SER_hh_fech!L24=0,0,SER_hh_fech!L24/SER_summary!L$26)</f>
        <v>0</v>
      </c>
      <c r="M24" s="132">
        <f>IF(SER_hh_fech!M24=0,0,SER_hh_fech!M24/SER_summary!M$26)</f>
        <v>0</v>
      </c>
      <c r="N24" s="132">
        <f>IF(SER_hh_fech!N24=0,0,SER_hh_fech!N24/SER_summary!N$26)</f>
        <v>0</v>
      </c>
      <c r="O24" s="132">
        <f>IF(SER_hh_fech!O24=0,0,SER_hh_fech!O24/SER_summary!O$26)</f>
        <v>0</v>
      </c>
      <c r="P24" s="132">
        <f>IF(SER_hh_fech!P24=0,0,SER_hh_fech!P24/SER_summary!P$26)</f>
        <v>0</v>
      </c>
      <c r="Q24" s="132">
        <f>IF(SER_hh_fech!Q24=0,0,SER_hh_fech!Q24/SER_summary!Q$26)</f>
        <v>0</v>
      </c>
      <c r="R24" s="132">
        <f>IF(SER_hh_fech!R24=0,0,SER_hh_fech!R24/SER_summary!R$26)</f>
        <v>0</v>
      </c>
      <c r="S24" s="132">
        <f>IF(SER_hh_fech!S24=0,0,SER_hh_fech!S24/SER_summary!S$26)</f>
        <v>0</v>
      </c>
      <c r="T24" s="132">
        <f>IF(SER_hh_fech!T24=0,0,SER_hh_fech!T24/SER_summary!T$26)</f>
        <v>0</v>
      </c>
      <c r="U24" s="132">
        <f>IF(SER_hh_fech!U24=0,0,SER_hh_fech!U24/SER_summary!U$26)</f>
        <v>0</v>
      </c>
      <c r="V24" s="132">
        <f>IF(SER_hh_fech!V24=0,0,SER_hh_fech!V24/SER_summary!V$26)</f>
        <v>0</v>
      </c>
      <c r="W24" s="132">
        <f>IF(SER_hh_fech!W24=0,0,SER_hh_fech!W24/SER_summary!W$26)</f>
        <v>0</v>
      </c>
      <c r="X24" s="132">
        <f>IF(SER_hh_fech!X24=0,0,SER_hh_fech!X24/SER_summary!X$26)</f>
        <v>0</v>
      </c>
      <c r="Y24" s="132">
        <f>IF(SER_hh_fech!Y24=0,0,SER_hh_fech!Y24/SER_summary!Y$26)</f>
        <v>0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0</v>
      </c>
      <c r="C25" s="132">
        <f>IF(SER_hh_fech!C25=0,0,SER_hh_fech!C25/SER_summary!C$26)</f>
        <v>0</v>
      </c>
      <c r="D25" s="132">
        <f>IF(SER_hh_fech!D25=0,0,SER_hh_fech!D25/SER_summary!D$26)</f>
        <v>0</v>
      </c>
      <c r="E25" s="132">
        <f>IF(SER_hh_fech!E25=0,0,SER_hh_fech!E25/SER_summary!E$26)</f>
        <v>0</v>
      </c>
      <c r="F25" s="132">
        <f>IF(SER_hh_fech!F25=0,0,SER_hh_fech!F25/SER_summary!F$26)</f>
        <v>0</v>
      </c>
      <c r="G25" s="132">
        <f>IF(SER_hh_fech!G25=0,0,SER_hh_fech!G25/SER_summary!G$26)</f>
        <v>0</v>
      </c>
      <c r="H25" s="132">
        <f>IF(SER_hh_fech!H25=0,0,SER_hh_fech!H25/SER_summary!H$26)</f>
        <v>0</v>
      </c>
      <c r="I25" s="132">
        <f>IF(SER_hh_fech!I25=0,0,SER_hh_fech!I25/SER_summary!I$26)</f>
        <v>0</v>
      </c>
      <c r="J25" s="132">
        <f>IF(SER_hh_fech!J25=0,0,SER_hh_fech!J25/SER_summary!J$26)</f>
        <v>0</v>
      </c>
      <c r="K25" s="132">
        <f>IF(SER_hh_fech!K25=0,0,SER_hh_fech!K25/SER_summary!K$26)</f>
        <v>0</v>
      </c>
      <c r="L25" s="132">
        <f>IF(SER_hh_fech!L25=0,0,SER_hh_fech!L25/SER_summary!L$26)</f>
        <v>0</v>
      </c>
      <c r="M25" s="132">
        <f>IF(SER_hh_fech!M25=0,0,SER_hh_fech!M25/SER_summary!M$26)</f>
        <v>0</v>
      </c>
      <c r="N25" s="132">
        <f>IF(SER_hh_fech!N25=0,0,SER_hh_fech!N25/SER_summary!N$26)</f>
        <v>0</v>
      </c>
      <c r="O25" s="132">
        <f>IF(SER_hh_fech!O25=0,0,SER_hh_fech!O25/SER_summary!O$26)</f>
        <v>0</v>
      </c>
      <c r="P25" s="132">
        <f>IF(SER_hh_fech!P25=0,0,SER_hh_fech!P25/SER_summary!P$26)</f>
        <v>0</v>
      </c>
      <c r="Q25" s="132">
        <f>IF(SER_hh_fech!Q25=0,0,SER_hh_fech!Q25/SER_summary!Q$26)</f>
        <v>0</v>
      </c>
      <c r="R25" s="132">
        <f>IF(SER_hh_fech!R25=0,0,SER_hh_fech!R25/SER_summary!R$26)</f>
        <v>0</v>
      </c>
      <c r="S25" s="132">
        <f>IF(SER_hh_fech!S25=0,0,SER_hh_fech!S25/SER_summary!S$26)</f>
        <v>0</v>
      </c>
      <c r="T25" s="132">
        <f>IF(SER_hh_fech!T25=0,0,SER_hh_fech!T25/SER_summary!T$26)</f>
        <v>0</v>
      </c>
      <c r="U25" s="132">
        <f>IF(SER_hh_fech!U25=0,0,SER_hh_fech!U25/SER_summary!U$26)</f>
        <v>0</v>
      </c>
      <c r="V25" s="132">
        <f>IF(SER_hh_fech!V25=0,0,SER_hh_fech!V25/SER_summary!V$26)</f>
        <v>0</v>
      </c>
      <c r="W25" s="132">
        <f>IF(SER_hh_fech!W25=0,0,SER_hh_fech!W25/SER_summary!W$26)</f>
        <v>0</v>
      </c>
      <c r="X25" s="132">
        <f>IF(SER_hh_fech!X25=0,0,SER_hh_fech!X25/SER_summary!X$26)</f>
        <v>0</v>
      </c>
      <c r="Y25" s="132">
        <f>IF(SER_hh_fech!Y25=0,0,SER_hh_fech!Y25/SER_summary!Y$26)</f>
        <v>0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36.912849531164319</v>
      </c>
      <c r="C26" s="65">
        <f>IF(SER_hh_fech!C26=0,0,SER_hh_fech!C26/SER_summary!C$26)</f>
        <v>36.553215267285964</v>
      </c>
      <c r="D26" s="65">
        <f>IF(SER_hh_fech!D26=0,0,SER_hh_fech!D26/SER_summary!D$26)</f>
        <v>35.936798387398632</v>
      </c>
      <c r="E26" s="65">
        <f>IF(SER_hh_fech!E26=0,0,SER_hh_fech!E26/SER_summary!E$26)</f>
        <v>35.816517418844697</v>
      </c>
      <c r="F26" s="65">
        <f>IF(SER_hh_fech!F26=0,0,SER_hh_fech!F26/SER_summary!F$26)</f>
        <v>34.515537087946591</v>
      </c>
      <c r="G26" s="65">
        <f>IF(SER_hh_fech!G26=0,0,SER_hh_fech!G26/SER_summary!G$26)</f>
        <v>35.114476261051898</v>
      </c>
      <c r="H26" s="65">
        <f>IF(SER_hh_fech!H26=0,0,SER_hh_fech!H26/SER_summary!H$26)</f>
        <v>34.784588061068419</v>
      </c>
      <c r="I26" s="65">
        <f>IF(SER_hh_fech!I26=0,0,SER_hh_fech!I26/SER_summary!I$26)</f>
        <v>33.525376230580328</v>
      </c>
      <c r="J26" s="65">
        <f>IF(SER_hh_fech!J26=0,0,SER_hh_fech!J26/SER_summary!J$26)</f>
        <v>33.451351295542295</v>
      </c>
      <c r="K26" s="65">
        <f>IF(SER_hh_fech!K26=0,0,SER_hh_fech!K26/SER_summary!K$26)</f>
        <v>35.403237957788612</v>
      </c>
      <c r="L26" s="65">
        <f>IF(SER_hh_fech!L26=0,0,SER_hh_fech!L26/SER_summary!L$26)</f>
        <v>36.122890458097707</v>
      </c>
      <c r="M26" s="65">
        <f>IF(SER_hh_fech!M26=0,0,SER_hh_fech!M26/SER_summary!M$26)</f>
        <v>36.42188121273005</v>
      </c>
      <c r="N26" s="65">
        <f>IF(SER_hh_fech!N26=0,0,SER_hh_fech!N26/SER_summary!N$26)</f>
        <v>36.793268331635289</v>
      </c>
      <c r="O26" s="65">
        <f>IF(SER_hh_fech!O26=0,0,SER_hh_fech!O26/SER_summary!O$26)</f>
        <v>36.917733259816281</v>
      </c>
      <c r="P26" s="65">
        <f>IF(SER_hh_fech!P26=0,0,SER_hh_fech!P26/SER_summary!P$26)</f>
        <v>36.697381900615795</v>
      </c>
      <c r="Q26" s="65">
        <f>IF(SER_hh_fech!Q26=0,0,SER_hh_fech!Q26/SER_summary!Q$26)</f>
        <v>38.75525112663383</v>
      </c>
      <c r="R26" s="65">
        <f>IF(SER_hh_fech!R26=0,0,SER_hh_fech!R26/SER_summary!R$26)</f>
        <v>37.275530781368118</v>
      </c>
      <c r="S26" s="65">
        <f>IF(SER_hh_fech!S26=0,0,SER_hh_fech!S26/SER_summary!S$26)</f>
        <v>35.909520265650478</v>
      </c>
      <c r="T26" s="65">
        <f>IF(SER_hh_fech!T26=0,0,SER_hh_fech!T26/SER_summary!T$26)</f>
        <v>35.76939996852235</v>
      </c>
      <c r="U26" s="65">
        <f>IF(SER_hh_fech!U26=0,0,SER_hh_fech!U26/SER_summary!U$26)</f>
        <v>35.277120407589891</v>
      </c>
      <c r="V26" s="65">
        <f>IF(SER_hh_fech!V26=0,0,SER_hh_fech!V26/SER_summary!V$26)</f>
        <v>34.06805860990869</v>
      </c>
      <c r="W26" s="65">
        <f>IF(SER_hh_fech!W26=0,0,SER_hh_fech!W26/SER_summary!W$26)</f>
        <v>34.854437468205283</v>
      </c>
      <c r="X26" s="65">
        <f>IF(SER_hh_fech!X26=0,0,SER_hh_fech!X26/SER_summary!X$26)</f>
        <v>33.35265513466873</v>
      </c>
      <c r="Y26" s="65">
        <f>IF(SER_hh_fech!Y26=0,0,SER_hh_fech!Y26/SER_summary!Y$26)</f>
        <v>32.055567146088961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0</v>
      </c>
      <c r="C27" s="145">
        <f>IF(SER_hh_fech!C27=0,0,SER_hh_fech!C27/SER_summary!C$26)</f>
        <v>0</v>
      </c>
      <c r="D27" s="145">
        <f>IF(SER_hh_fech!D27=0,0,SER_hh_fech!D27/SER_summary!D$26)</f>
        <v>0</v>
      </c>
      <c r="E27" s="145">
        <f>IF(SER_hh_fech!E27=0,0,SER_hh_fech!E27/SER_summary!E$26)</f>
        <v>0</v>
      </c>
      <c r="F27" s="145">
        <f>IF(SER_hh_fech!F27=0,0,SER_hh_fech!F27/SER_summary!F$26)</f>
        <v>0</v>
      </c>
      <c r="G27" s="145">
        <f>IF(SER_hh_fech!G27=0,0,SER_hh_fech!G27/SER_summary!G$26)</f>
        <v>0</v>
      </c>
      <c r="H27" s="145">
        <f>IF(SER_hh_fech!H27=0,0,SER_hh_fech!H27/SER_summary!H$26)</f>
        <v>9.5481454735215146E-3</v>
      </c>
      <c r="I27" s="145">
        <f>IF(SER_hh_fech!I27=0,0,SER_hh_fech!I27/SER_summary!I$26)</f>
        <v>1.0366917781261441E-2</v>
      </c>
      <c r="J27" s="145">
        <f>IF(SER_hh_fech!J27=0,0,SER_hh_fech!J27/SER_summary!J$26)</f>
        <v>2.5693741417757224E-2</v>
      </c>
      <c r="K27" s="145">
        <f>IF(SER_hh_fech!K27=0,0,SER_hh_fech!K27/SER_summary!K$26)</f>
        <v>2.8121933553902141E-2</v>
      </c>
      <c r="L27" s="145">
        <f>IF(SER_hh_fech!L27=0,0,SER_hh_fech!L27/SER_summary!L$26)</f>
        <v>4.3285104546047753E-2</v>
      </c>
      <c r="M27" s="145">
        <f>IF(SER_hh_fech!M27=0,0,SER_hh_fech!M27/SER_summary!M$26)</f>
        <v>4.6118103829652736E-2</v>
      </c>
      <c r="N27" s="145">
        <f>IF(SER_hh_fech!N27=0,0,SER_hh_fech!N27/SER_summary!N$26)</f>
        <v>4.6702337496058823E-2</v>
      </c>
      <c r="O27" s="145">
        <f>IF(SER_hh_fech!O27=0,0,SER_hh_fech!O27/SER_summary!O$26)</f>
        <v>4.6464822968395755E-2</v>
      </c>
      <c r="P27" s="145">
        <f>IF(SER_hh_fech!P27=0,0,SER_hh_fech!P27/SER_summary!P$26)</f>
        <v>4.5758910449057812E-2</v>
      </c>
      <c r="Q27" s="145">
        <f>IF(SER_hh_fech!Q27=0,0,SER_hh_fech!Q27/SER_summary!Q$26)</f>
        <v>4.5579791288121972E-2</v>
      </c>
      <c r="R27" s="145">
        <f>IF(SER_hh_fech!R27=0,0,SER_hh_fech!R27/SER_summary!R$26)</f>
        <v>4.4318146790307975E-2</v>
      </c>
      <c r="S27" s="145">
        <f>IF(SER_hh_fech!S27=0,0,SER_hh_fech!S27/SER_summary!S$26)</f>
        <v>4.3595416392363466E-2</v>
      </c>
      <c r="T27" s="145">
        <f>IF(SER_hh_fech!T27=0,0,SER_hh_fech!T27/SER_summary!T$26)</f>
        <v>4.2738650658447265E-2</v>
      </c>
      <c r="U27" s="145">
        <f>IF(SER_hh_fech!U27=0,0,SER_hh_fech!U27/SER_summary!U$26)</f>
        <v>4.2018442980256941E-2</v>
      </c>
      <c r="V27" s="145">
        <f>IF(SER_hh_fech!V27=0,0,SER_hh_fech!V27/SER_summary!V$26)</f>
        <v>4.1417923915551741E-2</v>
      </c>
      <c r="W27" s="145">
        <f>IF(SER_hh_fech!W27=0,0,SER_hh_fech!W27/SER_summary!W$26)</f>
        <v>4.0889870933020316E-2</v>
      </c>
      <c r="X27" s="145">
        <f>IF(SER_hh_fech!X27=0,0,SER_hh_fech!X27/SER_summary!X$26)</f>
        <v>4.0422188339890024E-2</v>
      </c>
      <c r="Y27" s="145">
        <f>IF(SER_hh_fech!Y27=0,0,SER_hh_fech!Y27/SER_summary!Y$26)</f>
        <v>4.00008955465136E-2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0</v>
      </c>
      <c r="C28" s="146">
        <f>IF(SER_hh_fech!C28=0,0,SER_hh_fech!C28/SER_summary!C$26)</f>
        <v>0</v>
      </c>
      <c r="D28" s="146">
        <f>IF(SER_hh_fech!D28=0,0,SER_hh_fech!D28/SER_summary!D$26)</f>
        <v>0</v>
      </c>
      <c r="E28" s="146">
        <f>IF(SER_hh_fech!E28=0,0,SER_hh_fech!E28/SER_summary!E$26)</f>
        <v>0</v>
      </c>
      <c r="F28" s="146">
        <f>IF(SER_hh_fech!F28=0,0,SER_hh_fech!F28/SER_summary!F$26)</f>
        <v>0</v>
      </c>
      <c r="G28" s="146">
        <f>IF(SER_hh_fech!G28=0,0,SER_hh_fech!G28/SER_summary!G$26)</f>
        <v>0</v>
      </c>
      <c r="H28" s="146">
        <f>IF(SER_hh_fech!H28=0,0,SER_hh_fech!H28/SER_summary!H$26)</f>
        <v>5.2296124681704539</v>
      </c>
      <c r="I28" s="146">
        <f>IF(SER_hh_fech!I28=0,0,SER_hh_fech!I28/SER_summary!I$26)</f>
        <v>5.1970009693614792</v>
      </c>
      <c r="J28" s="146">
        <f>IF(SER_hh_fech!J28=0,0,SER_hh_fech!J28/SER_summary!J$26)</f>
        <v>5.356129278900668</v>
      </c>
      <c r="K28" s="146">
        <f>IF(SER_hh_fech!K28=0,0,SER_hh_fech!K28/SER_summary!K$26)</f>
        <v>5.6376479762958622</v>
      </c>
      <c r="L28" s="146">
        <f>IF(SER_hh_fech!L28=0,0,SER_hh_fech!L28/SER_summary!L$26)</f>
        <v>5.7920828097228707</v>
      </c>
      <c r="M28" s="146">
        <f>IF(SER_hh_fech!M28=0,0,SER_hh_fech!M28/SER_summary!M$26)</f>
        <v>5.7120410665243115</v>
      </c>
      <c r="N28" s="146">
        <f>IF(SER_hh_fech!N28=0,0,SER_hh_fech!N28/SER_summary!N$26)</f>
        <v>5.9088627174926858</v>
      </c>
      <c r="O28" s="146">
        <f>IF(SER_hh_fech!O28=0,0,SER_hh_fech!O28/SER_summary!O$26)</f>
        <v>6.0226473898147832</v>
      </c>
      <c r="P28" s="146">
        <f>IF(SER_hh_fech!P28=0,0,SER_hh_fech!P28/SER_summary!P$26)</f>
        <v>6.101615222560385</v>
      </c>
      <c r="Q28" s="146">
        <f>IF(SER_hh_fech!Q28=0,0,SER_hh_fech!Q28/SER_summary!Q$26)</f>
        <v>6.468254227731757</v>
      </c>
      <c r="R28" s="146">
        <f>IF(SER_hh_fech!R28=0,0,SER_hh_fech!R28/SER_summary!R$26)</f>
        <v>6.4293159121629104</v>
      </c>
      <c r="S28" s="146">
        <f>IF(SER_hh_fech!S28=0,0,SER_hh_fech!S28/SER_summary!S$26)</f>
        <v>6.4173803449859799</v>
      </c>
      <c r="T28" s="146">
        <f>IF(SER_hh_fech!T28=0,0,SER_hh_fech!T28/SER_summary!T$26)</f>
        <v>6.4657627131067477</v>
      </c>
      <c r="U28" s="146">
        <f>IF(SER_hh_fech!U28=0,0,SER_hh_fech!U28/SER_summary!U$26)</f>
        <v>6.6093746651467802</v>
      </c>
      <c r="V28" s="146">
        <f>IF(SER_hh_fech!V28=0,0,SER_hh_fech!V28/SER_summary!V$26)</f>
        <v>5.9543627304217894</v>
      </c>
      <c r="W28" s="146">
        <f>IF(SER_hh_fech!W28=0,0,SER_hh_fech!W28/SER_summary!W$26)</f>
        <v>6.5228254160208872</v>
      </c>
      <c r="X28" s="146">
        <f>IF(SER_hh_fech!X28=0,0,SER_hh_fech!X28/SER_summary!X$26)</f>
        <v>6.6616860022103443</v>
      </c>
      <c r="Y28" s="146">
        <f>IF(SER_hh_fech!Y28=0,0,SER_hh_fech!Y28/SER_summary!Y$26)</f>
        <v>6.8048715396574879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39.146834578155925</v>
      </c>
      <c r="C29" s="130">
        <f>IF(SER_hh_fech!C29=0,0,SER_hh_fech!C29/SER_summary!C$26)</f>
        <v>39.076669931170564</v>
      </c>
      <c r="D29" s="130">
        <f>IF(SER_hh_fech!D29=0,0,SER_hh_fech!D29/SER_summary!D$26)</f>
        <v>38.568423342663436</v>
      </c>
      <c r="E29" s="130">
        <f>IF(SER_hh_fech!E29=0,0,SER_hh_fech!E29/SER_summary!E$26)</f>
        <v>38.552350769168918</v>
      </c>
      <c r="F29" s="130">
        <f>IF(SER_hh_fech!F29=0,0,SER_hh_fech!F29/SER_summary!F$26)</f>
        <v>38.415431979123788</v>
      </c>
      <c r="G29" s="130">
        <f>IF(SER_hh_fech!G29=0,0,SER_hh_fech!G29/SER_summary!G$26)</f>
        <v>39.032377143567118</v>
      </c>
      <c r="H29" s="130">
        <f>IF(SER_hh_fech!H29=0,0,SER_hh_fech!H29/SER_summary!H$26)</f>
        <v>38.89832859495661</v>
      </c>
      <c r="I29" s="130">
        <f>IF(SER_hh_fech!I29=0,0,SER_hh_fech!I29/SER_summary!I$26)</f>
        <v>38.341175345782418</v>
      </c>
      <c r="J29" s="130">
        <f>IF(SER_hh_fech!J29=0,0,SER_hh_fech!J29/SER_summary!J$26)</f>
        <v>39.54621763291793</v>
      </c>
      <c r="K29" s="130">
        <f>IF(SER_hh_fech!K29=0,0,SER_hh_fech!K29/SER_summary!K$26)</f>
        <v>36.747563090006231</v>
      </c>
      <c r="L29" s="130">
        <f>IF(SER_hh_fech!L29=0,0,SER_hh_fech!L29/SER_summary!L$26)</f>
        <v>39.310508366544646</v>
      </c>
      <c r="M29" s="130">
        <f>IF(SER_hh_fech!M29=0,0,SER_hh_fech!M29/SER_summary!M$26)</f>
        <v>40.719060387642052</v>
      </c>
      <c r="N29" s="130">
        <f>IF(SER_hh_fech!N29=0,0,SER_hh_fech!N29/SER_summary!N$26)</f>
        <v>41.789787411694114</v>
      </c>
      <c r="O29" s="130">
        <f>IF(SER_hh_fech!O29=0,0,SER_hh_fech!O29/SER_summary!O$26)</f>
        <v>43.440995565692482</v>
      </c>
      <c r="P29" s="130">
        <f>IF(SER_hh_fech!P29=0,0,SER_hh_fech!P29/SER_summary!P$26)</f>
        <v>42.16236854882272</v>
      </c>
      <c r="Q29" s="130">
        <f>IF(SER_hh_fech!Q29=0,0,SER_hh_fech!Q29/SER_summary!Q$26)</f>
        <v>43.583562181097491</v>
      </c>
      <c r="R29" s="130">
        <f>IF(SER_hh_fech!R29=0,0,SER_hh_fech!R29/SER_summary!R$26)</f>
        <v>42.385986417372941</v>
      </c>
      <c r="S29" s="130">
        <f>IF(SER_hh_fech!S29=0,0,SER_hh_fech!S29/SER_summary!S$26)</f>
        <v>42.501558167260463</v>
      </c>
      <c r="T29" s="130">
        <f>IF(SER_hh_fech!T29=0,0,SER_hh_fech!T29/SER_summary!T$26)</f>
        <v>42.551436537878757</v>
      </c>
      <c r="U29" s="130">
        <f>IF(SER_hh_fech!U29=0,0,SER_hh_fech!U29/SER_summary!U$26)</f>
        <v>42.901591783655761</v>
      </c>
      <c r="V29" s="130">
        <f>IF(SER_hh_fech!V29=0,0,SER_hh_fech!V29/SER_summary!V$26)</f>
        <v>38.427473463970067</v>
      </c>
      <c r="W29" s="130">
        <f>IF(SER_hh_fech!W29=0,0,SER_hh_fech!W29/SER_summary!W$26)</f>
        <v>43.665049488421367</v>
      </c>
      <c r="X29" s="130">
        <f>IF(SER_hh_fech!X29=0,0,SER_hh_fech!X29/SER_summary!X$26)</f>
        <v>42.771376827565398</v>
      </c>
      <c r="Y29" s="130">
        <f>IF(SER_hh_fech!Y29=0,0,SER_hh_fech!Y29/SER_summary!Y$26)</f>
        <v>42.259448588425911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43.074088289997555</v>
      </c>
      <c r="C30" s="132">
        <f>IF(SER_hh_fech!C30=0,0,SER_hh_fech!C30/SER_summary!C$26)</f>
        <v>45.414623367340241</v>
      </c>
      <c r="D30" s="132">
        <f>IF(SER_hh_fech!D30=0,0,SER_hh_fech!D30/SER_summary!D$26)</f>
        <v>43.695567656212042</v>
      </c>
      <c r="E30" s="132">
        <f>IF(SER_hh_fech!E30=0,0,SER_hh_fech!E30/SER_summary!E$26)</f>
        <v>42.628450588887432</v>
      </c>
      <c r="F30" s="132">
        <f>IF(SER_hh_fech!F30=0,0,SER_hh_fech!F30/SER_summary!F$26)</f>
        <v>42.178545719866733</v>
      </c>
      <c r="G30" s="132">
        <f>IF(SER_hh_fech!G30=0,0,SER_hh_fech!G30/SER_summary!G$26)</f>
        <v>45.010596166685907</v>
      </c>
      <c r="H30" s="132">
        <f>IF(SER_hh_fech!H30=0,0,SER_hh_fech!H30/SER_summary!H$26)</f>
        <v>43.655460151841432</v>
      </c>
      <c r="I30" s="132">
        <f>IF(SER_hh_fech!I30=0,0,SER_hh_fech!I30/SER_summary!I$26)</f>
        <v>41.907026516260423</v>
      </c>
      <c r="J30" s="132">
        <f>IF(SER_hh_fech!J30=0,0,SER_hh_fech!J30/SER_summary!J$26)</f>
        <v>48.29698318200677</v>
      </c>
      <c r="K30" s="132">
        <f>IF(SER_hh_fech!K30=0,0,SER_hh_fech!K30/SER_summary!K$26)</f>
        <v>36.548095960205536</v>
      </c>
      <c r="L30" s="132">
        <f>IF(SER_hh_fech!L30=0,0,SER_hh_fech!L30/SER_summary!L$26)</f>
        <v>46.790864553258238</v>
      </c>
      <c r="M30" s="132">
        <f>IF(SER_hh_fech!M30=0,0,SER_hh_fech!M30/SER_summary!M$26)</f>
        <v>46.240069493657174</v>
      </c>
      <c r="N30" s="132">
        <f>IF(SER_hh_fech!N30=0,0,SER_hh_fech!N30/SER_summary!N$26)</f>
        <v>45.093285697376743</v>
      </c>
      <c r="O30" s="132">
        <f>IF(SER_hh_fech!O30=0,0,SER_hh_fech!O30/SER_summary!O$26)</f>
        <v>53.122482193509015</v>
      </c>
      <c r="P30" s="132">
        <f>IF(SER_hh_fech!P30=0,0,SER_hh_fech!P30/SER_summary!P$26)</f>
        <v>45.553768967017028</v>
      </c>
      <c r="Q30" s="132">
        <f>IF(SER_hh_fech!Q30=0,0,SER_hh_fech!Q30/SER_summary!Q$26)</f>
        <v>51.43768613243973</v>
      </c>
      <c r="R30" s="132">
        <f>IF(SER_hh_fech!R30=0,0,SER_hh_fech!R30/SER_summary!R$26)</f>
        <v>46.706197111025723</v>
      </c>
      <c r="S30" s="132">
        <f>IF(SER_hh_fech!S30=0,0,SER_hh_fech!S30/SER_summary!S$26)</f>
        <v>48.344636295054066</v>
      </c>
      <c r="T30" s="132">
        <f>IF(SER_hh_fech!T30=0,0,SER_hh_fech!T30/SER_summary!T$26)</f>
        <v>52.324827327182092</v>
      </c>
      <c r="U30" s="132">
        <f>IF(SER_hh_fech!U30=0,0,SER_hh_fech!U30/SER_summary!U$26)</f>
        <v>52.707437405156377</v>
      </c>
      <c r="V30" s="132">
        <f>IF(SER_hh_fech!V30=0,0,SER_hh_fech!V30/SER_summary!V$26)</f>
        <v>44.163027236017612</v>
      </c>
      <c r="W30" s="132">
        <f>IF(SER_hh_fech!W30=0,0,SER_hh_fech!W30/SER_summary!W$26)</f>
        <v>50.052215759381319</v>
      </c>
      <c r="X30" s="132">
        <f>IF(SER_hh_fech!X30=0,0,SER_hh_fech!X30/SER_summary!X$26)</f>
        <v>50.732456764720617</v>
      </c>
      <c r="Y30" s="132">
        <f>IF(SER_hh_fech!Y30=0,0,SER_hh_fech!Y30/SER_summary!Y$26)</f>
        <v>51.89372491793722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44.713432127653242</v>
      </c>
      <c r="C31" s="132">
        <f>IF(SER_hh_fech!C31=0,0,SER_hh_fech!C31/SER_summary!C$26)</f>
        <v>44.160932075441117</v>
      </c>
      <c r="D31" s="132">
        <f>IF(SER_hh_fech!D31=0,0,SER_hh_fech!D31/SER_summary!D$26)</f>
        <v>43.353706998014971</v>
      </c>
      <c r="E31" s="132">
        <f>IF(SER_hh_fech!E31=0,0,SER_hh_fech!E31/SER_summary!E$26)</f>
        <v>42.751860811735646</v>
      </c>
      <c r="F31" s="132">
        <f>IF(SER_hh_fech!F31=0,0,SER_hh_fech!F31/SER_summary!F$26)</f>
        <v>43.087019250321688</v>
      </c>
      <c r="G31" s="132">
        <f>IF(SER_hh_fech!G31=0,0,SER_hh_fech!G31/SER_summary!G$26)</f>
        <v>42.920210404363331</v>
      </c>
      <c r="H31" s="132">
        <f>IF(SER_hh_fech!H31=0,0,SER_hh_fech!H31/SER_summary!H$26)</f>
        <v>43.067219902034502</v>
      </c>
      <c r="I31" s="132">
        <f>IF(SER_hh_fech!I31=0,0,SER_hh_fech!I31/SER_summary!I$26)</f>
        <v>42.100233579297971</v>
      </c>
      <c r="J31" s="132">
        <f>IF(SER_hh_fech!J31=0,0,SER_hh_fech!J31/SER_summary!J$26)</f>
        <v>41.648255417079881</v>
      </c>
      <c r="K31" s="132">
        <f>IF(SER_hh_fech!K31=0,0,SER_hh_fech!K31/SER_summary!K$26)</f>
        <v>42.579815523718757</v>
      </c>
      <c r="L31" s="132">
        <f>IF(SER_hh_fech!L31=0,0,SER_hh_fech!L31/SER_summary!L$26)</f>
        <v>44.591043797145076</v>
      </c>
      <c r="M31" s="132">
        <f>IF(SER_hh_fech!M31=0,0,SER_hh_fech!M31/SER_summary!M$26)</f>
        <v>42.914803871225722</v>
      </c>
      <c r="N31" s="132">
        <f>IF(SER_hh_fech!N31=0,0,SER_hh_fech!N31/SER_summary!N$26)</f>
        <v>46.503973636457978</v>
      </c>
      <c r="O31" s="132">
        <f>IF(SER_hh_fech!O31=0,0,SER_hh_fech!O31/SER_summary!O$26)</f>
        <v>47.360574418530547</v>
      </c>
      <c r="P31" s="132">
        <f>IF(SER_hh_fech!P31=0,0,SER_hh_fech!P31/SER_summary!P$26)</f>
        <v>47.221445655003336</v>
      </c>
      <c r="Q31" s="132">
        <f>IF(SER_hh_fech!Q31=0,0,SER_hh_fech!Q31/SER_summary!Q$26)</f>
        <v>50.840635151837375</v>
      </c>
      <c r="R31" s="132">
        <f>IF(SER_hh_fech!R31=0,0,SER_hh_fech!R31/SER_summary!R$26)</f>
        <v>49.444943256929648</v>
      </c>
      <c r="S31" s="132">
        <f>IF(SER_hh_fech!S31=0,0,SER_hh_fech!S31/SER_summary!S$26)</f>
        <v>48.087571996220817</v>
      </c>
      <c r="T31" s="132">
        <f>IF(SER_hh_fech!T31=0,0,SER_hh_fech!T31/SER_summary!T$26)</f>
        <v>49.605547439100938</v>
      </c>
      <c r="U31" s="132">
        <f>IF(SER_hh_fech!U31=0,0,SER_hh_fech!U31/SER_summary!U$26)</f>
        <v>51.153199479166645</v>
      </c>
      <c r="V31" s="132">
        <f>IF(SER_hh_fech!V31=0,0,SER_hh_fech!V31/SER_summary!V$26)</f>
        <v>40.125547945837909</v>
      </c>
      <c r="W31" s="132">
        <f>IF(SER_hh_fech!W31=0,0,SER_hh_fech!W31/SER_summary!W$26)</f>
        <v>54.318161497759057</v>
      </c>
      <c r="X31" s="132">
        <f>IF(SER_hh_fech!X31=0,0,SER_hh_fech!X31/SER_summary!X$26)</f>
        <v>51.716705891708841</v>
      </c>
      <c r="Y31" s="132">
        <f>IF(SER_hh_fech!Y31=0,0,SER_hh_fech!Y31/SER_summary!Y$26)</f>
        <v>49.128316968804725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0</v>
      </c>
      <c r="H32" s="132">
        <f>IF(SER_hh_fech!H32=0,0,SER_hh_fech!H32/SER_summary!H$26)</f>
        <v>0</v>
      </c>
      <c r="I32" s="132">
        <f>IF(SER_hh_fech!I32=0,0,SER_hh_fech!I32/SER_summary!I$26)</f>
        <v>0</v>
      </c>
      <c r="J32" s="132">
        <f>IF(SER_hh_fech!J32=0,0,SER_hh_fech!J32/SER_summary!J$26)</f>
        <v>0</v>
      </c>
      <c r="K32" s="132">
        <f>IF(SER_hh_fech!K32=0,0,SER_hh_fech!K32/SER_summary!K$26)</f>
        <v>0</v>
      </c>
      <c r="L32" s="132">
        <f>IF(SER_hh_fech!L32=0,0,SER_hh_fech!L32/SER_summary!L$26)</f>
        <v>0</v>
      </c>
      <c r="M32" s="132">
        <f>IF(SER_hh_fech!M32=0,0,SER_hh_fech!M32/SER_summary!M$26)</f>
        <v>0</v>
      </c>
      <c r="N32" s="132">
        <f>IF(SER_hh_fech!N32=0,0,SER_hh_fech!N32/SER_summary!N$26)</f>
        <v>0</v>
      </c>
      <c r="O32" s="132">
        <f>IF(SER_hh_fech!O32=0,0,SER_hh_fech!O32/SER_summary!O$26)</f>
        <v>0</v>
      </c>
      <c r="P32" s="132">
        <f>IF(SER_hh_fech!P32=0,0,SER_hh_fech!P32/SER_summary!P$26)</f>
        <v>0</v>
      </c>
      <c r="Q32" s="132">
        <f>IF(SER_hh_fech!Q32=0,0,SER_hh_fech!Q32/SER_summary!Q$26)</f>
        <v>0</v>
      </c>
      <c r="R32" s="132">
        <f>IF(SER_hh_fech!R32=0,0,SER_hh_fech!R32/SER_summary!R$26)</f>
        <v>0</v>
      </c>
      <c r="S32" s="132">
        <f>IF(SER_hh_fech!S32=0,0,SER_hh_fech!S32/SER_summary!S$26)</f>
        <v>0</v>
      </c>
      <c r="T32" s="132">
        <f>IF(SER_hh_fech!T32=0,0,SER_hh_fech!T32/SER_summary!T$26)</f>
        <v>0</v>
      </c>
      <c r="U32" s="132">
        <f>IF(SER_hh_fech!U32=0,0,SER_hh_fech!U32/SER_summary!U$26)</f>
        <v>0</v>
      </c>
      <c r="V32" s="132">
        <f>IF(SER_hh_fech!V32=0,0,SER_hh_fech!V32/SER_summary!V$26)</f>
        <v>0</v>
      </c>
      <c r="W32" s="132">
        <f>IF(SER_hh_fech!W32=0,0,SER_hh_fech!W32/SER_summary!W$26)</f>
        <v>0</v>
      </c>
      <c r="X32" s="132">
        <f>IF(SER_hh_fech!X32=0,0,SER_hh_fech!X32/SER_summary!X$26)</f>
        <v>0</v>
      </c>
      <c r="Y32" s="132">
        <f>IF(SER_hh_fech!Y32=0,0,SER_hh_fech!Y32/SER_summary!Y$26)</f>
        <v>0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34.746648820964595</v>
      </c>
      <c r="C33" s="68">
        <f>IF(SER_hh_fech!C33=0,0,SER_hh_fech!C33/SER_summary!C$26)</f>
        <v>33.237508242711435</v>
      </c>
      <c r="D33" s="68">
        <f>IF(SER_hh_fech!D33=0,0,SER_hh_fech!D33/SER_summary!D$26)</f>
        <v>33.495879977486226</v>
      </c>
      <c r="E33" s="68">
        <f>IF(SER_hh_fech!E33=0,0,SER_hh_fech!E33/SER_summary!E$26)</f>
        <v>34.096611867758668</v>
      </c>
      <c r="F33" s="68">
        <f>IF(SER_hh_fech!F33=0,0,SER_hh_fech!F33/SER_summary!F$26)</f>
        <v>33.60145414605357</v>
      </c>
      <c r="G33" s="68">
        <f>IF(SER_hh_fech!G33=0,0,SER_hh_fech!G33/SER_summary!G$26)</f>
        <v>31.743465679522924</v>
      </c>
      <c r="H33" s="68">
        <f>IF(SER_hh_fech!H33=0,0,SER_hh_fech!H33/SER_summary!H$26)</f>
        <v>32.285381759875861</v>
      </c>
      <c r="I33" s="68">
        <f>IF(SER_hh_fech!I33=0,0,SER_hh_fech!I33/SER_summary!I$26)</f>
        <v>32.847362591710606</v>
      </c>
      <c r="J33" s="68">
        <f>IF(SER_hh_fech!J33=0,0,SER_hh_fech!J33/SER_summary!J$26)</f>
        <v>29.129103341980688</v>
      </c>
      <c r="K33" s="68">
        <f>IF(SER_hh_fech!K33=0,0,SER_hh_fech!K33/SER_summary!K$26)</f>
        <v>34.90190476299923</v>
      </c>
      <c r="L33" s="68">
        <f>IF(SER_hh_fech!L33=0,0,SER_hh_fech!L33/SER_summary!L$26)</f>
        <v>28.949139520972253</v>
      </c>
      <c r="M33" s="68">
        <f>IF(SER_hh_fech!M33=0,0,SER_hh_fech!M33/SER_summary!M$26)</f>
        <v>33.874930216471576</v>
      </c>
      <c r="N33" s="68">
        <f>IF(SER_hh_fech!N33=0,0,SER_hh_fech!N33/SER_summary!N$26)</f>
        <v>36.893340416171796</v>
      </c>
      <c r="O33" s="68">
        <f>IF(SER_hh_fech!O33=0,0,SER_hh_fech!O33/SER_summary!O$26)</f>
        <v>32.642542786081172</v>
      </c>
      <c r="P33" s="68">
        <f>IF(SER_hh_fech!P33=0,0,SER_hh_fech!P33/SER_summary!P$26)</f>
        <v>37.996749734976056</v>
      </c>
      <c r="Q33" s="68">
        <f>IF(SER_hh_fech!Q33=0,0,SER_hh_fech!Q33/SER_summary!Q$26)</f>
        <v>35.811208075525414</v>
      </c>
      <c r="R33" s="68">
        <f>IF(SER_hh_fech!R33=0,0,SER_hh_fech!R33/SER_summary!R$26)</f>
        <v>37.99869906813985</v>
      </c>
      <c r="S33" s="68">
        <f>IF(SER_hh_fech!S33=0,0,SER_hh_fech!S33/SER_summary!S$26)</f>
        <v>37.70520156971299</v>
      </c>
      <c r="T33" s="68">
        <f>IF(SER_hh_fech!T33=0,0,SER_hh_fech!T33/SER_summary!T$26)</f>
        <v>35.292921452103535</v>
      </c>
      <c r="U33" s="68">
        <f>IF(SER_hh_fech!U33=0,0,SER_hh_fech!U33/SER_summary!U$26)</f>
        <v>35.692660583844273</v>
      </c>
      <c r="V33" s="68">
        <f>IF(SER_hh_fech!V33=0,0,SER_hh_fech!V33/SER_summary!V$26)</f>
        <v>35.133124703298904</v>
      </c>
      <c r="W33" s="68">
        <f>IF(SER_hh_fech!W33=0,0,SER_hh_fech!W33/SER_summary!W$26)</f>
        <v>38.150754274583342</v>
      </c>
      <c r="X33" s="68">
        <f>IF(SER_hh_fech!X33=0,0,SER_hh_fech!X33/SER_summary!X$26)</f>
        <v>36.557050471491742</v>
      </c>
      <c r="Y33" s="68">
        <f>IF(SER_hh_fech!Y33=0,0,SER_hh_fech!Y33/SER_summary!Y$26)</f>
        <v>35.058981157759703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178.15975357768116</v>
      </c>
      <c r="C3" s="125">
        <f>IF(SER_hh_tesh!C3=0,0,SER_hh_tesh!C3/SER_summary!C$26)</f>
        <v>179.27569755696248</v>
      </c>
      <c r="D3" s="125">
        <f>IF(SER_hh_tesh!D3=0,0,SER_hh_tesh!D3/SER_summary!D$26)</f>
        <v>181.58023175235763</v>
      </c>
      <c r="E3" s="125">
        <f>IF(SER_hh_tesh!E3=0,0,SER_hh_tesh!E3/SER_summary!E$26)</f>
        <v>193.99035204771289</v>
      </c>
      <c r="F3" s="125">
        <f>IF(SER_hh_tesh!F3=0,0,SER_hh_tesh!F3/SER_summary!F$26)</f>
        <v>186.90309501529481</v>
      </c>
      <c r="G3" s="125">
        <f>IF(SER_hh_tesh!G3=0,0,SER_hh_tesh!G3/SER_summary!G$26)</f>
        <v>198.78490123662121</v>
      </c>
      <c r="H3" s="125">
        <f>IF(SER_hh_tesh!H3=0,0,SER_hh_tesh!H3/SER_summary!H$26)</f>
        <v>210.43443250030887</v>
      </c>
      <c r="I3" s="125">
        <f>IF(SER_hh_tesh!I3=0,0,SER_hh_tesh!I3/SER_summary!I$26)</f>
        <v>204.80264500690259</v>
      </c>
      <c r="J3" s="125">
        <f>IF(SER_hh_tesh!J3=0,0,SER_hh_tesh!J3/SER_summary!J$26)</f>
        <v>215.9558720358464</v>
      </c>
      <c r="K3" s="125">
        <f>IF(SER_hh_tesh!K3=0,0,SER_hh_tesh!K3/SER_summary!K$26)</f>
        <v>202.02556377074529</v>
      </c>
      <c r="L3" s="125">
        <f>IF(SER_hh_tesh!L3=0,0,SER_hh_tesh!L3/SER_summary!L$26)</f>
        <v>207.24079488462206</v>
      </c>
      <c r="M3" s="125">
        <f>IF(SER_hh_tesh!M3=0,0,SER_hh_tesh!M3/SER_summary!M$26)</f>
        <v>203.85957847174674</v>
      </c>
      <c r="N3" s="125">
        <f>IF(SER_hh_tesh!N3=0,0,SER_hh_tesh!N3/SER_summary!N$26)</f>
        <v>210.33472773983257</v>
      </c>
      <c r="O3" s="125">
        <f>IF(SER_hh_tesh!O3=0,0,SER_hh_tesh!O3/SER_summary!O$26)</f>
        <v>218.06086128171901</v>
      </c>
      <c r="P3" s="125">
        <f>IF(SER_hh_tesh!P3=0,0,SER_hh_tesh!P3/SER_summary!P$26)</f>
        <v>204.58216285802553</v>
      </c>
      <c r="Q3" s="125">
        <f>IF(SER_hh_tesh!Q3=0,0,SER_hh_tesh!Q3/SER_summary!Q$26)</f>
        <v>228.79652742361222</v>
      </c>
      <c r="R3" s="125">
        <f>IF(SER_hh_tesh!R3=0,0,SER_hh_tesh!R3/SER_summary!R$26)</f>
        <v>222.59454264665419</v>
      </c>
      <c r="S3" s="125">
        <f>IF(SER_hh_tesh!S3=0,0,SER_hh_tesh!S3/SER_summary!S$26)</f>
        <v>216.27814418966392</v>
      </c>
      <c r="T3" s="125">
        <f>IF(SER_hh_tesh!T3=0,0,SER_hh_tesh!T3/SER_summary!T$26)</f>
        <v>238.16248439713507</v>
      </c>
      <c r="U3" s="125">
        <f>IF(SER_hh_tesh!U3=0,0,SER_hh_tesh!U3/SER_summary!U$26)</f>
        <v>245.25912653357153</v>
      </c>
      <c r="V3" s="125">
        <f>IF(SER_hh_tesh!V3=0,0,SER_hh_tesh!V3/SER_summary!V$26)</f>
        <v>211.84769341533516</v>
      </c>
      <c r="W3" s="125">
        <f>IF(SER_hh_tesh!W3=0,0,SER_hh_tesh!W3/SER_summary!W$26)</f>
        <v>219.19943498734403</v>
      </c>
      <c r="X3" s="125">
        <f>IF(SER_hh_tesh!X3=0,0,SER_hh_tesh!X3/SER_summary!X$26)</f>
        <v>218.17891650758679</v>
      </c>
      <c r="Y3" s="125">
        <f>IF(SER_hh_tesh!Y3=0,0,SER_hh_tesh!Y3/SER_summary!Y$26)</f>
        <v>215.93553022414341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123.55740095115191</v>
      </c>
      <c r="C4" s="130">
        <f>IF(SER_hh_tesh!C4=0,0,SER_hh_tesh!C4/SER_summary!C$26)</f>
        <v>124.42586548241604</v>
      </c>
      <c r="D4" s="130">
        <f>IF(SER_hh_tesh!D4=0,0,SER_hh_tesh!D4/SER_summary!D$26)</f>
        <v>126.74051657648968</v>
      </c>
      <c r="E4" s="130">
        <f>IF(SER_hh_tesh!E4=0,0,SER_hh_tesh!E4/SER_summary!E$26)</f>
        <v>139.10250617638104</v>
      </c>
      <c r="F4" s="130">
        <f>IF(SER_hh_tesh!F4=0,0,SER_hh_tesh!F4/SER_summary!F$26)</f>
        <v>132.16028819392102</v>
      </c>
      <c r="G4" s="130">
        <f>IF(SER_hh_tesh!G4=0,0,SER_hh_tesh!G4/SER_summary!G$26)</f>
        <v>143.27345986057804</v>
      </c>
      <c r="H4" s="130">
        <f>IF(SER_hh_tesh!H4=0,0,SER_hh_tesh!H4/SER_summary!H$26)</f>
        <v>154.49262092135561</v>
      </c>
      <c r="I4" s="130">
        <f>IF(SER_hh_tesh!I4=0,0,SER_hh_tesh!I4/SER_summary!I$26)</f>
        <v>149.13072398356672</v>
      </c>
      <c r="J4" s="130">
        <f>IF(SER_hh_tesh!J4=0,0,SER_hh_tesh!J4/SER_summary!J$26)</f>
        <v>159.28531273396322</v>
      </c>
      <c r="K4" s="130">
        <f>IF(SER_hh_tesh!K4=0,0,SER_hh_tesh!K4/SER_summary!K$26)</f>
        <v>144.8281641457215</v>
      </c>
      <c r="L4" s="130">
        <f>IF(SER_hh_tesh!L4=0,0,SER_hh_tesh!L4/SER_summary!L$26)</f>
        <v>147.63220677230595</v>
      </c>
      <c r="M4" s="130">
        <f>IF(SER_hh_tesh!M4=0,0,SER_hh_tesh!M4/SER_summary!M$26)</f>
        <v>142.74034606182084</v>
      </c>
      <c r="N4" s="130">
        <f>IF(SER_hh_tesh!N4=0,0,SER_hh_tesh!N4/SER_summary!N$26)</f>
        <v>147.13428214485</v>
      </c>
      <c r="O4" s="130">
        <f>IF(SER_hh_tesh!O4=0,0,SER_hh_tesh!O4/SER_summary!O$26)</f>
        <v>153.50671467214841</v>
      </c>
      <c r="P4" s="130">
        <f>IF(SER_hh_tesh!P4=0,0,SER_hh_tesh!P4/SER_summary!P$26)</f>
        <v>139.05975092392498</v>
      </c>
      <c r="Q4" s="130">
        <f>IF(SER_hh_tesh!Q4=0,0,SER_hh_tesh!Q4/SER_summary!Q$26)</f>
        <v>160.96194907326679</v>
      </c>
      <c r="R4" s="130">
        <f>IF(SER_hh_tesh!R4=0,0,SER_hh_tesh!R4/SER_summary!R$26)</f>
        <v>155.0546570660743</v>
      </c>
      <c r="S4" s="130">
        <f>IF(SER_hh_tesh!S4=0,0,SER_hh_tesh!S4/SER_summary!S$26)</f>
        <v>148.31260044951298</v>
      </c>
      <c r="T4" s="130">
        <f>IF(SER_hh_tesh!T4=0,0,SER_hh_tesh!T4/SER_summary!T$26)</f>
        <v>169.83178270421021</v>
      </c>
      <c r="U4" s="130">
        <f>IF(SER_hh_tesh!U4=0,0,SER_hh_tesh!U4/SER_summary!U$26)</f>
        <v>175.38335010141211</v>
      </c>
      <c r="V4" s="130">
        <f>IF(SER_hh_tesh!V4=0,0,SER_hh_tesh!V4/SER_summary!V$26)</f>
        <v>146.57929393270948</v>
      </c>
      <c r="W4" s="130">
        <f>IF(SER_hh_tesh!W4=0,0,SER_hh_tesh!W4/SER_summary!W$26)</f>
        <v>147.60085691641055</v>
      </c>
      <c r="X4" s="130">
        <f>IF(SER_hh_tesh!X4=0,0,SER_hh_tesh!X4/SER_summary!X$26)</f>
        <v>147.42734875649856</v>
      </c>
      <c r="Y4" s="130">
        <f>IF(SER_hh_tesh!Y4=0,0,SER_hh_tesh!Y4/SER_summary!Y$26)</f>
        <v>146.22938022363641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64.227255383215393</v>
      </c>
      <c r="C5" s="132">
        <f>IF(SER_hh_tesh!C5=0,0,SER_hh_tesh!C5/SER_summary!C$26)</f>
        <v>73.128317192069318</v>
      </c>
      <c r="D5" s="132">
        <f>IF(SER_hh_tesh!D5=0,0,SER_hh_tesh!D5/SER_summary!D$26)</f>
        <v>37.202703292237715</v>
      </c>
      <c r="E5" s="132">
        <f>IF(SER_hh_tesh!E5=0,0,SER_hh_tesh!E5/SER_summary!E$26)</f>
        <v>203.56238466719853</v>
      </c>
      <c r="F5" s="132">
        <f>IF(SER_hh_tesh!F5=0,0,SER_hh_tesh!F5/SER_summary!F$26)</f>
        <v>173.32307262027939</v>
      </c>
      <c r="G5" s="132">
        <f>IF(SER_hh_tesh!G5=0,0,SER_hh_tesh!G5/SER_summary!G$26)</f>
        <v>170.97187618871817</v>
      </c>
      <c r="H5" s="132">
        <f>IF(SER_hh_tesh!H5=0,0,SER_hh_tesh!H5/SER_summary!H$26)</f>
        <v>172.46436682586847</v>
      </c>
      <c r="I5" s="132">
        <f>IF(SER_hh_tesh!I5=0,0,SER_hh_tesh!I5/SER_summary!I$26)</f>
        <v>180.18519174860862</v>
      </c>
      <c r="J5" s="132">
        <f>IF(SER_hh_tesh!J5=0,0,SER_hh_tesh!J5/SER_summary!J$26)</f>
        <v>217.43309176957575</v>
      </c>
      <c r="K5" s="132">
        <f>IF(SER_hh_tesh!K5=0,0,SER_hh_tesh!K5/SER_summary!K$26)</f>
        <v>11.560864777560006</v>
      </c>
      <c r="L5" s="132">
        <f>IF(SER_hh_tesh!L5=0,0,SER_hh_tesh!L5/SER_summary!L$26)</f>
        <v>43.770711118783268</v>
      </c>
      <c r="M5" s="132">
        <f>IF(SER_hh_tesh!M5=0,0,SER_hh_tesh!M5/SER_summary!M$26)</f>
        <v>195.77927473704978</v>
      </c>
      <c r="N5" s="132">
        <f>IF(SER_hh_tesh!N5=0,0,SER_hh_tesh!N5/SER_summary!N$26)</f>
        <v>114.02442609057154</v>
      </c>
      <c r="O5" s="132">
        <f>IF(SER_hh_tesh!O5=0,0,SER_hh_tesh!O5/SER_summary!O$26)</f>
        <v>138.06093084340074</v>
      </c>
      <c r="P5" s="132">
        <f>IF(SER_hh_tesh!P5=0,0,SER_hh_tesh!P5/SER_summary!P$26)</f>
        <v>109.85765016528735</v>
      </c>
      <c r="Q5" s="132">
        <f>IF(SER_hh_tesh!Q5=0,0,SER_hh_tesh!Q5/SER_summary!Q$26)</f>
        <v>108.15446148954686</v>
      </c>
      <c r="R5" s="132">
        <f>IF(SER_hh_tesh!R5=0,0,SER_hh_tesh!R5/SER_summary!R$26)</f>
        <v>190.26028910687046</v>
      </c>
      <c r="S5" s="132">
        <f>IF(SER_hh_tesh!S5=0,0,SER_hh_tesh!S5/SER_summary!S$26)</f>
        <v>159.57330483857018</v>
      </c>
      <c r="T5" s="132">
        <f>IF(SER_hh_tesh!T5=0,0,SER_hh_tesh!T5/SER_summary!T$26)</f>
        <v>180.24178835276709</v>
      </c>
      <c r="U5" s="132">
        <f>IF(SER_hh_tesh!U5=0,0,SER_hh_tesh!U5/SER_summary!U$26)</f>
        <v>186.70237828427875</v>
      </c>
      <c r="V5" s="132">
        <f>IF(SER_hh_tesh!V5=0,0,SER_hh_tesh!V5/SER_summary!V$26)</f>
        <v>103.31538477051626</v>
      </c>
      <c r="W5" s="132">
        <f>IF(SER_hh_tesh!W5=0,0,SER_hh_tesh!W5/SER_summary!W$26)</f>
        <v>133.06493557618907</v>
      </c>
      <c r="X5" s="132">
        <f>IF(SER_hh_tesh!X5=0,0,SER_hh_tesh!X5/SER_summary!X$26)</f>
        <v>148.7410283514952</v>
      </c>
      <c r="Y5" s="132">
        <f>IF(SER_hh_tesh!Y5=0,0,SER_hh_tesh!Y5/SER_summary!Y$26)</f>
        <v>145.50177478603186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125.79500788615408</v>
      </c>
      <c r="C7" s="132">
        <f>IF(SER_hh_tesh!C7=0,0,SER_hh_tesh!C7/SER_summary!C$26)</f>
        <v>122.78158873464585</v>
      </c>
      <c r="D7" s="132">
        <f>IF(SER_hh_tesh!D7=0,0,SER_hh_tesh!D7/SER_summary!D$26)</f>
        <v>127.09909386371389</v>
      </c>
      <c r="E7" s="132">
        <f>IF(SER_hh_tesh!E7=0,0,SER_hh_tesh!E7/SER_summary!E$26)</f>
        <v>132.24418560887682</v>
      </c>
      <c r="F7" s="132">
        <f>IF(SER_hh_tesh!F7=0,0,SER_hh_tesh!F7/SER_summary!F$26)</f>
        <v>128.72236122562327</v>
      </c>
      <c r="G7" s="132">
        <f>IF(SER_hh_tesh!G7=0,0,SER_hh_tesh!G7/SER_summary!G$26)</f>
        <v>145.25088091716029</v>
      </c>
      <c r="H7" s="132">
        <f>IF(SER_hh_tesh!H7=0,0,SER_hh_tesh!H7/SER_summary!H$26)</f>
        <v>145.51919814290636</v>
      </c>
      <c r="I7" s="132">
        <f>IF(SER_hh_tesh!I7=0,0,SER_hh_tesh!I7/SER_summary!I$26)</f>
        <v>142.72278635344023</v>
      </c>
      <c r="J7" s="132">
        <f>IF(SER_hh_tesh!J7=0,0,SER_hh_tesh!J7/SER_summary!J$26)</f>
        <v>159.43087442277897</v>
      </c>
      <c r="K7" s="132">
        <f>IF(SER_hh_tesh!K7=0,0,SER_hh_tesh!K7/SER_summary!K$26)</f>
        <v>137.24473035704304</v>
      </c>
      <c r="L7" s="132">
        <f>IF(SER_hh_tesh!L7=0,0,SER_hh_tesh!L7/SER_summary!L$26)</f>
        <v>145.58334980482505</v>
      </c>
      <c r="M7" s="132">
        <f>IF(SER_hh_tesh!M7=0,0,SER_hh_tesh!M7/SER_summary!M$26)</f>
        <v>133.43367256438086</v>
      </c>
      <c r="N7" s="132">
        <f>IF(SER_hh_tesh!N7=0,0,SER_hh_tesh!N7/SER_summary!N$26)</f>
        <v>129.48527687960396</v>
      </c>
      <c r="O7" s="132">
        <f>IF(SER_hh_tesh!O7=0,0,SER_hh_tesh!O7/SER_summary!O$26)</f>
        <v>160.35224510154023</v>
      </c>
      <c r="P7" s="132">
        <f>IF(SER_hh_tesh!P7=0,0,SER_hh_tesh!P7/SER_summary!P$26)</f>
        <v>145.30558871126505</v>
      </c>
      <c r="Q7" s="132">
        <f>IF(SER_hh_tesh!Q7=0,0,SER_hh_tesh!Q7/SER_summary!Q$26)</f>
        <v>157.63908846504896</v>
      </c>
      <c r="R7" s="132">
        <f>IF(SER_hh_tesh!R7=0,0,SER_hh_tesh!R7/SER_summary!R$26)</f>
        <v>153.82914595865176</v>
      </c>
      <c r="S7" s="132">
        <f>IF(SER_hh_tesh!S7=0,0,SER_hh_tesh!S7/SER_summary!S$26)</f>
        <v>146.89284731631301</v>
      </c>
      <c r="T7" s="132">
        <f>IF(SER_hh_tesh!T7=0,0,SER_hh_tesh!T7/SER_summary!T$26)</f>
        <v>169.5450208122304</v>
      </c>
      <c r="U7" s="132">
        <f>IF(SER_hh_tesh!U7=0,0,SER_hh_tesh!U7/SER_summary!U$26)</f>
        <v>162.2126183625393</v>
      </c>
      <c r="V7" s="132">
        <f>IF(SER_hh_tesh!V7=0,0,SER_hh_tesh!V7/SER_summary!V$26)</f>
        <v>147.84160274167238</v>
      </c>
      <c r="W7" s="132">
        <f>IF(SER_hh_tesh!W7=0,0,SER_hh_tesh!W7/SER_summary!W$26)</f>
        <v>145.41370585775883</v>
      </c>
      <c r="X7" s="132">
        <f>IF(SER_hh_tesh!X7=0,0,SER_hh_tesh!X7/SER_summary!X$26)</f>
        <v>145.08874961256811</v>
      </c>
      <c r="Y7" s="132">
        <f>IF(SER_hh_tesh!Y7=0,0,SER_hh_tesh!Y7/SER_summary!Y$26)</f>
        <v>143.26666051188602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0</v>
      </c>
      <c r="C8" s="132">
        <f>IF(SER_hh_tesh!C8=0,0,SER_hh_tesh!C8/SER_summary!C$26)</f>
        <v>0</v>
      </c>
      <c r="D8" s="132">
        <f>IF(SER_hh_tesh!D8=0,0,SER_hh_tesh!D8/SER_summary!D$26)</f>
        <v>0</v>
      </c>
      <c r="E8" s="132">
        <f>IF(SER_hh_tesh!E8=0,0,SER_hh_tesh!E8/SER_summary!E$26)</f>
        <v>0</v>
      </c>
      <c r="F8" s="132">
        <f>IF(SER_hh_tesh!F8=0,0,SER_hh_tesh!F8/SER_summary!F$26)</f>
        <v>0</v>
      </c>
      <c r="G8" s="132">
        <f>IF(SER_hh_tesh!G8=0,0,SER_hh_tesh!G8/SER_summary!G$26)</f>
        <v>0</v>
      </c>
      <c r="H8" s="132">
        <f>IF(SER_hh_tesh!H8=0,0,SER_hh_tesh!H8/SER_summary!H$26)</f>
        <v>0</v>
      </c>
      <c r="I8" s="132">
        <f>IF(SER_hh_tesh!I8=0,0,SER_hh_tesh!I8/SER_summary!I$26)</f>
        <v>0</v>
      </c>
      <c r="J8" s="132">
        <f>IF(SER_hh_tesh!J8=0,0,SER_hh_tesh!J8/SER_summary!J$26)</f>
        <v>0</v>
      </c>
      <c r="K8" s="132">
        <f>IF(SER_hh_tesh!K8=0,0,SER_hh_tesh!K8/SER_summary!K$26)</f>
        <v>0</v>
      </c>
      <c r="L8" s="132">
        <f>IF(SER_hh_tesh!L8=0,0,SER_hh_tesh!L8/SER_summary!L$26)</f>
        <v>0</v>
      </c>
      <c r="M8" s="132">
        <f>IF(SER_hh_tesh!M8=0,0,SER_hh_tesh!M8/SER_summary!M$26)</f>
        <v>0</v>
      </c>
      <c r="N8" s="132">
        <f>IF(SER_hh_tesh!N8=0,0,SER_hh_tesh!N8/SER_summary!N$26)</f>
        <v>0</v>
      </c>
      <c r="O8" s="132">
        <f>IF(SER_hh_tesh!O8=0,0,SER_hh_tesh!O8/SER_summary!O$26)</f>
        <v>0</v>
      </c>
      <c r="P8" s="132">
        <f>IF(SER_hh_tesh!P8=0,0,SER_hh_tesh!P8/SER_summary!P$26)</f>
        <v>0</v>
      </c>
      <c r="Q8" s="132">
        <f>IF(SER_hh_tesh!Q8=0,0,SER_hh_tesh!Q8/SER_summary!Q$26)</f>
        <v>0</v>
      </c>
      <c r="R8" s="132">
        <f>IF(SER_hh_tesh!R8=0,0,SER_hh_tesh!R8/SER_summary!R$26)</f>
        <v>0</v>
      </c>
      <c r="S8" s="132">
        <f>IF(SER_hh_tesh!S8=0,0,SER_hh_tesh!S8/SER_summary!S$26)</f>
        <v>0</v>
      </c>
      <c r="T8" s="132">
        <f>IF(SER_hh_tesh!T8=0,0,SER_hh_tesh!T8/SER_summary!T$26)</f>
        <v>0</v>
      </c>
      <c r="U8" s="132">
        <f>IF(SER_hh_tesh!U8=0,0,SER_hh_tesh!U8/SER_summary!U$26)</f>
        <v>0</v>
      </c>
      <c r="V8" s="132">
        <f>IF(SER_hh_tesh!V8=0,0,SER_hh_tesh!V8/SER_summary!V$26)</f>
        <v>0</v>
      </c>
      <c r="W8" s="132">
        <f>IF(SER_hh_tesh!W8=0,0,SER_hh_tesh!W8/SER_summary!W$26)</f>
        <v>0</v>
      </c>
      <c r="X8" s="132">
        <f>IF(SER_hh_tesh!X8=0,0,SER_hh_tesh!X8/SER_summary!X$26)</f>
        <v>0</v>
      </c>
      <c r="Y8" s="132">
        <f>IF(SER_hh_tesh!Y8=0,0,SER_hh_tesh!Y8/SER_summary!Y$26)</f>
        <v>0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124.07597068053857</v>
      </c>
      <c r="C9" s="132">
        <f>IF(SER_hh_tesh!C9=0,0,SER_hh_tesh!C9/SER_summary!C$26)</f>
        <v>125.26030913491245</v>
      </c>
      <c r="D9" s="132">
        <f>IF(SER_hh_tesh!D9=0,0,SER_hh_tesh!D9/SER_summary!D$26)</f>
        <v>122.43885924247041</v>
      </c>
      <c r="E9" s="132">
        <f>IF(SER_hh_tesh!E9=0,0,SER_hh_tesh!E9/SER_summary!E$26)</f>
        <v>130.41684073864323</v>
      </c>
      <c r="F9" s="132">
        <f>IF(SER_hh_tesh!F9=0,0,SER_hh_tesh!F9/SER_summary!F$26)</f>
        <v>131.31653757059149</v>
      </c>
      <c r="G9" s="132">
        <f>IF(SER_hh_tesh!G9=0,0,SER_hh_tesh!G9/SER_summary!G$26)</f>
        <v>133.0964444141423</v>
      </c>
      <c r="H9" s="132">
        <f>IF(SER_hh_tesh!H9=0,0,SER_hh_tesh!H9/SER_summary!H$26)</f>
        <v>147.68504710032448</v>
      </c>
      <c r="I9" s="132">
        <f>IF(SER_hh_tesh!I9=0,0,SER_hh_tesh!I9/SER_summary!I$26)</f>
        <v>149.42008052294085</v>
      </c>
      <c r="J9" s="132">
        <f>IF(SER_hh_tesh!J9=0,0,SER_hh_tesh!J9/SER_summary!J$26)</f>
        <v>153.69003149547723</v>
      </c>
      <c r="K9" s="132">
        <f>IF(SER_hh_tesh!K9=0,0,SER_hh_tesh!K9/SER_summary!K$26)</f>
        <v>138.78502867408127</v>
      </c>
      <c r="L9" s="132">
        <f>IF(SER_hh_tesh!L9=0,0,SER_hh_tesh!L9/SER_summary!L$26)</f>
        <v>150.47521403249851</v>
      </c>
      <c r="M9" s="132">
        <f>IF(SER_hh_tesh!M9=0,0,SER_hh_tesh!M9/SER_summary!M$26)</f>
        <v>135.94343516338188</v>
      </c>
      <c r="N9" s="132">
        <f>IF(SER_hh_tesh!N9=0,0,SER_hh_tesh!N9/SER_summary!N$26)</f>
        <v>152.09026752925431</v>
      </c>
      <c r="O9" s="132">
        <f>IF(SER_hh_tesh!O9=0,0,SER_hh_tesh!O9/SER_summary!O$26)</f>
        <v>147.52084644634144</v>
      </c>
      <c r="P9" s="132">
        <f>IF(SER_hh_tesh!P9=0,0,SER_hh_tesh!P9/SER_summary!P$26)</f>
        <v>136.45275233379726</v>
      </c>
      <c r="Q9" s="132">
        <f>IF(SER_hh_tesh!Q9=0,0,SER_hh_tesh!Q9/SER_summary!Q$26)</f>
        <v>157.67150173797955</v>
      </c>
      <c r="R9" s="132">
        <f>IF(SER_hh_tesh!R9=0,0,SER_hh_tesh!R9/SER_summary!R$26)</f>
        <v>151.40831486895911</v>
      </c>
      <c r="S9" s="132">
        <f>IF(SER_hh_tesh!S9=0,0,SER_hh_tesh!S9/SER_summary!S$26)</f>
        <v>146.84643533204547</v>
      </c>
      <c r="T9" s="132">
        <f>IF(SER_hh_tesh!T9=0,0,SER_hh_tesh!T9/SER_summary!T$26)</f>
        <v>163.58556044896085</v>
      </c>
      <c r="U9" s="132">
        <f>IF(SER_hh_tesh!U9=0,0,SER_hh_tesh!U9/SER_summary!U$26)</f>
        <v>164.26885210661771</v>
      </c>
      <c r="V9" s="132">
        <f>IF(SER_hh_tesh!V9=0,0,SER_hh_tesh!V9/SER_summary!V$26)</f>
        <v>145.5421336556897</v>
      </c>
      <c r="W9" s="132">
        <f>IF(SER_hh_tesh!W9=0,0,SER_hh_tesh!W9/SER_summary!W$26)</f>
        <v>147.76090612157776</v>
      </c>
      <c r="X9" s="132">
        <f>IF(SER_hh_tesh!X9=0,0,SER_hh_tesh!X9/SER_summary!X$26)</f>
        <v>146.28340520854223</v>
      </c>
      <c r="Y9" s="132">
        <f>IF(SER_hh_tesh!Y9=0,0,SER_hh_tesh!Y9/SER_summary!Y$26)</f>
        <v>142.12288618952607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0</v>
      </c>
      <c r="C10" s="132">
        <f>IF(SER_hh_tesh!C10=0,0,SER_hh_tesh!C10/SER_summary!C$26)</f>
        <v>0</v>
      </c>
      <c r="D10" s="132">
        <f>IF(SER_hh_tesh!D10=0,0,SER_hh_tesh!D10/SER_summary!D$26)</f>
        <v>0</v>
      </c>
      <c r="E10" s="132">
        <f>IF(SER_hh_tesh!E10=0,0,SER_hh_tesh!E10/SER_summary!E$26)</f>
        <v>0</v>
      </c>
      <c r="F10" s="132">
        <f>IF(SER_hh_tesh!F10=0,0,SER_hh_tesh!F10/SER_summary!F$26)</f>
        <v>0</v>
      </c>
      <c r="G10" s="132">
        <f>IF(SER_hh_tesh!G10=0,0,SER_hh_tesh!G10/SER_summary!G$26)</f>
        <v>27.111427076566692</v>
      </c>
      <c r="H10" s="132">
        <f>IF(SER_hh_tesh!H10=0,0,SER_hh_tesh!H10/SER_summary!H$26)</f>
        <v>72.234499018067538</v>
      </c>
      <c r="I10" s="132">
        <f>IF(SER_hh_tesh!I10=0,0,SER_hh_tesh!I10/SER_summary!I$26)</f>
        <v>137.27106678432401</v>
      </c>
      <c r="J10" s="132">
        <f>IF(SER_hh_tesh!J10=0,0,SER_hh_tesh!J10/SER_summary!J$26)</f>
        <v>170.91701025935126</v>
      </c>
      <c r="K10" s="132">
        <f>IF(SER_hh_tesh!K10=0,0,SER_hh_tesh!K10/SER_summary!K$26)</f>
        <v>168.2893504796298</v>
      </c>
      <c r="L10" s="132">
        <f>IF(SER_hh_tesh!L10=0,0,SER_hh_tesh!L10/SER_summary!L$26)</f>
        <v>125.33477141341437</v>
      </c>
      <c r="M10" s="132">
        <f>IF(SER_hh_tesh!M10=0,0,SER_hh_tesh!M10/SER_summary!M$26)</f>
        <v>138.2810259864913</v>
      </c>
      <c r="N10" s="132">
        <f>IF(SER_hh_tesh!N10=0,0,SER_hh_tesh!N10/SER_summary!N$26)</f>
        <v>140.62370434089044</v>
      </c>
      <c r="O10" s="132">
        <f>IF(SER_hh_tesh!O10=0,0,SER_hh_tesh!O10/SER_summary!O$26)</f>
        <v>171.62493886815369</v>
      </c>
      <c r="P10" s="132">
        <f>IF(SER_hh_tesh!P10=0,0,SER_hh_tesh!P10/SER_summary!P$26)</f>
        <v>187.6349358541151</v>
      </c>
      <c r="Q10" s="132">
        <f>IF(SER_hh_tesh!Q10=0,0,SER_hh_tesh!Q10/SER_summary!Q$26)</f>
        <v>114.99923002168336</v>
      </c>
      <c r="R10" s="132">
        <f>IF(SER_hh_tesh!R10=0,0,SER_hh_tesh!R10/SER_summary!R$26)</f>
        <v>172.8169207151447</v>
      </c>
      <c r="S10" s="132">
        <f>IF(SER_hh_tesh!S10=0,0,SER_hh_tesh!S10/SER_summary!S$26)</f>
        <v>162.93824085738217</v>
      </c>
      <c r="T10" s="132">
        <f>IF(SER_hh_tesh!T10=0,0,SER_hh_tesh!T10/SER_summary!T$26)</f>
        <v>157.38678583260813</v>
      </c>
      <c r="U10" s="132">
        <f>IF(SER_hh_tesh!U10=0,0,SER_hh_tesh!U10/SER_summary!U$26)</f>
        <v>137.42962468441442</v>
      </c>
      <c r="V10" s="132">
        <f>IF(SER_hh_tesh!V10=0,0,SER_hh_tesh!V10/SER_summary!V$26)</f>
        <v>156.22977446528125</v>
      </c>
      <c r="W10" s="132">
        <f>IF(SER_hh_tesh!W10=0,0,SER_hh_tesh!W10/SER_summary!W$26)</f>
        <v>173.47333228689482</v>
      </c>
      <c r="X10" s="132">
        <f>IF(SER_hh_tesh!X10=0,0,SER_hh_tesh!X10/SER_summary!X$26)</f>
        <v>170.47426944964317</v>
      </c>
      <c r="Y10" s="132">
        <f>IF(SER_hh_tesh!Y10=0,0,SER_hh_tesh!Y10/SER_summary!Y$26)</f>
        <v>143.53141938926669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0</v>
      </c>
      <c r="C11" s="132">
        <f>IF(SER_hh_tesh!C11=0,0,SER_hh_tesh!C11/SER_summary!C$26)</f>
        <v>0</v>
      </c>
      <c r="D11" s="132">
        <f>IF(SER_hh_tesh!D11=0,0,SER_hh_tesh!D11/SER_summary!D$26)</f>
        <v>0</v>
      </c>
      <c r="E11" s="132">
        <f>IF(SER_hh_tesh!E11=0,0,SER_hh_tesh!E11/SER_summary!E$26)</f>
        <v>0</v>
      </c>
      <c r="F11" s="132">
        <f>IF(SER_hh_tesh!F11=0,0,SER_hh_tesh!F11/SER_summary!F$26)</f>
        <v>0</v>
      </c>
      <c r="G11" s="132">
        <f>IF(SER_hh_tesh!G11=0,0,SER_hh_tesh!G11/SER_summary!G$26)</f>
        <v>0</v>
      </c>
      <c r="H11" s="132">
        <f>IF(SER_hh_tesh!H11=0,0,SER_hh_tesh!H11/SER_summary!H$26)</f>
        <v>0</v>
      </c>
      <c r="I11" s="132">
        <f>IF(SER_hh_tesh!I11=0,0,SER_hh_tesh!I11/SER_summary!I$26)</f>
        <v>0</v>
      </c>
      <c r="J11" s="132">
        <f>IF(SER_hh_tesh!J11=0,0,SER_hh_tesh!J11/SER_summary!J$26)</f>
        <v>0</v>
      </c>
      <c r="K11" s="132">
        <f>IF(SER_hh_tesh!K11=0,0,SER_hh_tesh!K11/SER_summary!K$26)</f>
        <v>0</v>
      </c>
      <c r="L11" s="132">
        <f>IF(SER_hh_tesh!L11=0,0,SER_hh_tesh!L11/SER_summary!L$26)</f>
        <v>0</v>
      </c>
      <c r="M11" s="132">
        <f>IF(SER_hh_tesh!M11=0,0,SER_hh_tesh!M11/SER_summary!M$26)</f>
        <v>0</v>
      </c>
      <c r="N11" s="132">
        <f>IF(SER_hh_tesh!N11=0,0,SER_hh_tesh!N11/SER_summary!N$26)</f>
        <v>0</v>
      </c>
      <c r="O11" s="132">
        <f>IF(SER_hh_tesh!O11=0,0,SER_hh_tesh!O11/SER_summary!O$26)</f>
        <v>0</v>
      </c>
      <c r="P11" s="132">
        <f>IF(SER_hh_tesh!P11=0,0,SER_hh_tesh!P11/SER_summary!P$26)</f>
        <v>0</v>
      </c>
      <c r="Q11" s="132">
        <f>IF(SER_hh_tesh!Q11=0,0,SER_hh_tesh!Q11/SER_summary!Q$26)</f>
        <v>0</v>
      </c>
      <c r="R11" s="132">
        <f>IF(SER_hh_tesh!R11=0,0,SER_hh_tesh!R11/SER_summary!R$26)</f>
        <v>0</v>
      </c>
      <c r="S11" s="132">
        <f>IF(SER_hh_tesh!S11=0,0,SER_hh_tesh!S11/SER_summary!S$26)</f>
        <v>0</v>
      </c>
      <c r="T11" s="132">
        <f>IF(SER_hh_tesh!T11=0,0,SER_hh_tesh!T11/SER_summary!T$26)</f>
        <v>0</v>
      </c>
      <c r="U11" s="132">
        <f>IF(SER_hh_tesh!U11=0,0,SER_hh_tesh!U11/SER_summary!U$26)</f>
        <v>0</v>
      </c>
      <c r="V11" s="132">
        <f>IF(SER_hh_tesh!V11=0,0,SER_hh_tesh!V11/SER_summary!V$26)</f>
        <v>0</v>
      </c>
      <c r="W11" s="132">
        <f>IF(SER_hh_tesh!W11=0,0,SER_hh_tesh!W11/SER_summary!W$26)</f>
        <v>0</v>
      </c>
      <c r="X11" s="132">
        <f>IF(SER_hh_tesh!X11=0,0,SER_hh_tesh!X11/SER_summary!X$26)</f>
        <v>0</v>
      </c>
      <c r="Y11" s="132">
        <f>IF(SER_hh_tesh!Y11=0,0,SER_hh_tesh!Y11/SER_summary!Y$26)</f>
        <v>0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0</v>
      </c>
      <c r="C12" s="132">
        <f>IF(SER_hh_tesh!C12=0,0,SER_hh_tesh!C12/SER_summary!C$26)</f>
        <v>0</v>
      </c>
      <c r="D12" s="132">
        <f>IF(SER_hh_tesh!D12=0,0,SER_hh_tesh!D12/SER_summary!D$26)</f>
        <v>0</v>
      </c>
      <c r="E12" s="132">
        <f>IF(SER_hh_tesh!E12=0,0,SER_hh_tesh!E12/SER_summary!E$26)</f>
        <v>0</v>
      </c>
      <c r="F12" s="132">
        <f>IF(SER_hh_tesh!F12=0,0,SER_hh_tesh!F12/SER_summary!F$26)</f>
        <v>0</v>
      </c>
      <c r="G12" s="132">
        <f>IF(SER_hh_tesh!G12=0,0,SER_hh_tesh!G12/SER_summary!G$26)</f>
        <v>0</v>
      </c>
      <c r="H12" s="132">
        <f>IF(SER_hh_tesh!H12=0,0,SER_hh_tesh!H12/SER_summary!H$26)</f>
        <v>0</v>
      </c>
      <c r="I12" s="132">
        <f>IF(SER_hh_tesh!I12=0,0,SER_hh_tesh!I12/SER_summary!I$26)</f>
        <v>0</v>
      </c>
      <c r="J12" s="132">
        <f>IF(SER_hh_tesh!J12=0,0,SER_hh_tesh!J12/SER_summary!J$26)</f>
        <v>0</v>
      </c>
      <c r="K12" s="132">
        <f>IF(SER_hh_tesh!K12=0,0,SER_hh_tesh!K12/SER_summary!K$26)</f>
        <v>0</v>
      </c>
      <c r="L12" s="132">
        <f>IF(SER_hh_tesh!L12=0,0,SER_hh_tesh!L12/SER_summary!L$26)</f>
        <v>0</v>
      </c>
      <c r="M12" s="132">
        <f>IF(SER_hh_tesh!M12=0,0,SER_hh_tesh!M12/SER_summary!M$26)</f>
        <v>0</v>
      </c>
      <c r="N12" s="132">
        <f>IF(SER_hh_tesh!N12=0,0,SER_hh_tesh!N12/SER_summary!N$26)</f>
        <v>0</v>
      </c>
      <c r="O12" s="132">
        <f>IF(SER_hh_tesh!O12=0,0,SER_hh_tesh!O12/SER_summary!O$26)</f>
        <v>0</v>
      </c>
      <c r="P12" s="132">
        <f>IF(SER_hh_tesh!P12=0,0,SER_hh_tesh!P12/SER_summary!P$26)</f>
        <v>0</v>
      </c>
      <c r="Q12" s="132">
        <f>IF(SER_hh_tesh!Q12=0,0,SER_hh_tesh!Q12/SER_summary!Q$26)</f>
        <v>0</v>
      </c>
      <c r="R12" s="132">
        <f>IF(SER_hh_tesh!R12=0,0,SER_hh_tesh!R12/SER_summary!R$26)</f>
        <v>0</v>
      </c>
      <c r="S12" s="132">
        <f>IF(SER_hh_tesh!S12=0,0,SER_hh_tesh!S12/SER_summary!S$26)</f>
        <v>0</v>
      </c>
      <c r="T12" s="132">
        <f>IF(SER_hh_tesh!T12=0,0,SER_hh_tesh!T12/SER_summary!T$26)</f>
        <v>0</v>
      </c>
      <c r="U12" s="132">
        <f>IF(SER_hh_tesh!U12=0,0,SER_hh_tesh!U12/SER_summary!U$26)</f>
        <v>0</v>
      </c>
      <c r="V12" s="132">
        <f>IF(SER_hh_tesh!V12=0,0,SER_hh_tesh!V12/SER_summary!V$26)</f>
        <v>0</v>
      </c>
      <c r="W12" s="132">
        <f>IF(SER_hh_tesh!W12=0,0,SER_hh_tesh!W12/SER_summary!W$26)</f>
        <v>0</v>
      </c>
      <c r="X12" s="132">
        <f>IF(SER_hh_tesh!X12=0,0,SER_hh_tesh!X12/SER_summary!X$26)</f>
        <v>0</v>
      </c>
      <c r="Y12" s="132">
        <f>IF(SER_hh_tesh!Y12=0,0,SER_hh_tesh!Y12/SER_summary!Y$26)</f>
        <v>0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82.128577281154847</v>
      </c>
      <c r="C13" s="132">
        <f>IF(SER_hh_tesh!C13=0,0,SER_hh_tesh!C13/SER_summary!C$26)</f>
        <v>66.252382743465404</v>
      </c>
      <c r="D13" s="132">
        <f>IF(SER_hh_tesh!D13=0,0,SER_hh_tesh!D13/SER_summary!D$26)</f>
        <v>18.512539252713268</v>
      </c>
      <c r="E13" s="132">
        <f>IF(SER_hh_tesh!E13=0,0,SER_hh_tesh!E13/SER_summary!E$26)</f>
        <v>96.273541579336353</v>
      </c>
      <c r="F13" s="132">
        <f>IF(SER_hh_tesh!F13=0,0,SER_hh_tesh!F13/SER_summary!F$26)</f>
        <v>76.834386576863807</v>
      </c>
      <c r="G13" s="132">
        <f>IF(SER_hh_tesh!G13=0,0,SER_hh_tesh!G13/SER_summary!G$26)</f>
        <v>120.52332160644832</v>
      </c>
      <c r="H13" s="132">
        <f>IF(SER_hh_tesh!H13=0,0,SER_hh_tesh!H13/SER_summary!H$26)</f>
        <v>141.58400066339172</v>
      </c>
      <c r="I13" s="132">
        <f>IF(SER_hh_tesh!I13=0,0,SER_hh_tesh!I13/SER_summary!I$26)</f>
        <v>149.84887436991227</v>
      </c>
      <c r="J13" s="132">
        <f>IF(SER_hh_tesh!J13=0,0,SER_hh_tesh!J13/SER_summary!J$26)</f>
        <v>167.9333458746147</v>
      </c>
      <c r="K13" s="132">
        <f>IF(SER_hh_tesh!K13=0,0,SER_hh_tesh!K13/SER_summary!K$26)</f>
        <v>151.61932920979672</v>
      </c>
      <c r="L13" s="132">
        <f>IF(SER_hh_tesh!L13=0,0,SER_hh_tesh!L13/SER_summary!L$26)</f>
        <v>142.44164959158712</v>
      </c>
      <c r="M13" s="132">
        <f>IF(SER_hh_tesh!M13=0,0,SER_hh_tesh!M13/SER_summary!M$26)</f>
        <v>147.28119344311617</v>
      </c>
      <c r="N13" s="132">
        <f>IF(SER_hh_tesh!N13=0,0,SER_hh_tesh!N13/SER_summary!N$26)</f>
        <v>146.55305158446862</v>
      </c>
      <c r="O13" s="132">
        <f>IF(SER_hh_tesh!O13=0,0,SER_hh_tesh!O13/SER_summary!O$26)</f>
        <v>145.63948672606142</v>
      </c>
      <c r="P13" s="132">
        <f>IF(SER_hh_tesh!P13=0,0,SER_hh_tesh!P13/SER_summary!P$26)</f>
        <v>143.62335029267311</v>
      </c>
      <c r="Q13" s="132">
        <f>IF(SER_hh_tesh!Q13=0,0,SER_hh_tesh!Q13/SER_summary!Q$26)</f>
        <v>149.56135408951016</v>
      </c>
      <c r="R13" s="132">
        <f>IF(SER_hh_tesh!R13=0,0,SER_hh_tesh!R13/SER_summary!R$26)</f>
        <v>154.36078243778638</v>
      </c>
      <c r="S13" s="132">
        <f>IF(SER_hh_tesh!S13=0,0,SER_hh_tesh!S13/SER_summary!S$26)</f>
        <v>164.07393541921056</v>
      </c>
      <c r="T13" s="132">
        <f>IF(SER_hh_tesh!T13=0,0,SER_hh_tesh!T13/SER_summary!T$26)</f>
        <v>157.6453087966762</v>
      </c>
      <c r="U13" s="132">
        <f>IF(SER_hh_tesh!U13=0,0,SER_hh_tesh!U13/SER_summary!U$26)</f>
        <v>160.61259766817315</v>
      </c>
      <c r="V13" s="132">
        <f>IF(SER_hh_tesh!V13=0,0,SER_hh_tesh!V13/SER_summary!V$26)</f>
        <v>156.95149987481543</v>
      </c>
      <c r="W13" s="132">
        <f>IF(SER_hh_tesh!W13=0,0,SER_hh_tesh!W13/SER_summary!W$26)</f>
        <v>150.38689296170963</v>
      </c>
      <c r="X13" s="132">
        <f>IF(SER_hh_tesh!X13=0,0,SER_hh_tesh!X13/SER_summary!X$26)</f>
        <v>147.25302002414654</v>
      </c>
      <c r="Y13" s="132">
        <f>IF(SER_hh_tesh!Y13=0,0,SER_hh_tesh!Y13/SER_summary!Y$26)</f>
        <v>148.81132838023277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115.69907915913083</v>
      </c>
      <c r="C14" s="65">
        <f>IF(SER_hh_tesh!C14=0,0,SER_hh_tesh!C14/SER_summary!C$26)</f>
        <v>121.94463119547784</v>
      </c>
      <c r="D14" s="65">
        <f>IF(SER_hh_tesh!D14=0,0,SER_hh_tesh!D14/SER_summary!D$26)</f>
        <v>129.73534395474414</v>
      </c>
      <c r="E14" s="65">
        <f>IF(SER_hh_tesh!E14=0,0,SER_hh_tesh!E14/SER_summary!E$26)</f>
        <v>142.57713822072284</v>
      </c>
      <c r="F14" s="65">
        <f>IF(SER_hh_tesh!F14=0,0,SER_hh_tesh!F14/SER_summary!F$26)</f>
        <v>129.11613182526889</v>
      </c>
      <c r="G14" s="65">
        <f>IF(SER_hh_tesh!G14=0,0,SER_hh_tesh!G14/SER_summary!G$26)</f>
        <v>144.29408628700338</v>
      </c>
      <c r="H14" s="65">
        <f>IF(SER_hh_tesh!H14=0,0,SER_hh_tesh!H14/SER_summary!H$26)</f>
        <v>158.77473445771855</v>
      </c>
      <c r="I14" s="65">
        <f>IF(SER_hh_tesh!I14=0,0,SER_hh_tesh!I14/SER_summary!I$26)</f>
        <v>147.42142324058514</v>
      </c>
      <c r="J14" s="65">
        <f>IF(SER_hh_tesh!J14=0,0,SER_hh_tesh!J14/SER_summary!J$26)</f>
        <v>157.25838102072993</v>
      </c>
      <c r="K14" s="65">
        <f>IF(SER_hh_tesh!K14=0,0,SER_hh_tesh!K14/SER_summary!K$26)</f>
        <v>149.73523893106099</v>
      </c>
      <c r="L14" s="65">
        <f>IF(SER_hh_tesh!L14=0,0,SER_hh_tesh!L14/SER_summary!L$26)</f>
        <v>145.89510918759296</v>
      </c>
      <c r="M14" s="65">
        <f>IF(SER_hh_tesh!M14=0,0,SER_hh_tesh!M14/SER_summary!M$26)</f>
        <v>146.96896733123779</v>
      </c>
      <c r="N14" s="65">
        <f>IF(SER_hh_tesh!N14=0,0,SER_hh_tesh!N14/SER_summary!N$26)</f>
        <v>146.79469969654801</v>
      </c>
      <c r="O14" s="65">
        <f>IF(SER_hh_tesh!O14=0,0,SER_hh_tesh!O14/SER_summary!O$26)</f>
        <v>152.49399162852586</v>
      </c>
      <c r="P14" s="65">
        <f>IF(SER_hh_tesh!P14=0,0,SER_hh_tesh!P14/SER_summary!P$26)</f>
        <v>134.0618929737831</v>
      </c>
      <c r="Q14" s="65">
        <f>IF(SER_hh_tesh!Q14=0,0,SER_hh_tesh!Q14/SER_summary!Q$26)</f>
        <v>164.36538699333184</v>
      </c>
      <c r="R14" s="65">
        <f>IF(SER_hh_tesh!R14=0,0,SER_hh_tesh!R14/SER_summary!R$26)</f>
        <v>154.68372520719035</v>
      </c>
      <c r="S14" s="65">
        <f>IF(SER_hh_tesh!S14=0,0,SER_hh_tesh!S14/SER_summary!S$26)</f>
        <v>145.76416622234726</v>
      </c>
      <c r="T14" s="65">
        <f>IF(SER_hh_tesh!T14=0,0,SER_hh_tesh!T14/SER_summary!T$26)</f>
        <v>172.69000381406582</v>
      </c>
      <c r="U14" s="65">
        <f>IF(SER_hh_tesh!U14=0,0,SER_hh_tesh!U14/SER_summary!U$26)</f>
        <v>186.04723726811619</v>
      </c>
      <c r="V14" s="65">
        <f>IF(SER_hh_tesh!V14=0,0,SER_hh_tesh!V14/SER_summary!V$26)</f>
        <v>143.52224416973655</v>
      </c>
      <c r="W14" s="65">
        <f>IF(SER_hh_tesh!W14=0,0,SER_hh_tesh!W14/SER_summary!W$26)</f>
        <v>144.68516820304808</v>
      </c>
      <c r="X14" s="65">
        <f>IF(SER_hh_tesh!X14=0,0,SER_hh_tesh!X14/SER_summary!X$26)</f>
        <v>145.81035014820952</v>
      </c>
      <c r="Y14" s="65">
        <f>IF(SER_hh_tesh!Y14=0,0,SER_hh_tesh!Y14/SER_summary!Y$26)</f>
        <v>147.49852620799226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2.4706156275356759</v>
      </c>
      <c r="C15" s="134">
        <f>IF(SER_hh_tesh!C15=0,0,SER_hh_tesh!C15/SER_summary!C$26)</f>
        <v>2.3998950756012585</v>
      </c>
      <c r="D15" s="134">
        <f>IF(SER_hh_tesh!D15=0,0,SER_hh_tesh!D15/SER_summary!D$26)</f>
        <v>2.3480732792959649</v>
      </c>
      <c r="E15" s="134">
        <f>IF(SER_hh_tesh!E15=0,0,SER_hh_tesh!E15/SER_summary!E$26)</f>
        <v>2.4497916198614429</v>
      </c>
      <c r="F15" s="134">
        <f>IF(SER_hh_tesh!F15=0,0,SER_hh_tesh!F15/SER_summary!F$26)</f>
        <v>2.3657479091648779</v>
      </c>
      <c r="G15" s="134">
        <f>IF(SER_hh_tesh!G15=0,0,SER_hh_tesh!G15/SER_summary!G$26)</f>
        <v>2.4627570171628372</v>
      </c>
      <c r="H15" s="134">
        <f>IF(SER_hh_tesh!H15=0,0,SER_hh_tesh!H15/SER_summary!H$26)</f>
        <v>2.5564651073738651</v>
      </c>
      <c r="I15" s="134">
        <f>IF(SER_hh_tesh!I15=0,0,SER_hh_tesh!I15/SER_summary!I$26)</f>
        <v>2.5188248596798215</v>
      </c>
      <c r="J15" s="134">
        <f>IF(SER_hh_tesh!J15=0,0,SER_hh_tesh!J15/SER_summary!J$26)</f>
        <v>2.6463237175406116</v>
      </c>
      <c r="K15" s="134">
        <f>IF(SER_hh_tesh!K15=0,0,SER_hh_tesh!K15/SER_summary!K$26)</f>
        <v>2.2999528613166715</v>
      </c>
      <c r="L15" s="134">
        <f>IF(SER_hh_tesh!L15=0,0,SER_hh_tesh!L15/SER_summary!L$26)</f>
        <v>2.4649930173934465</v>
      </c>
      <c r="M15" s="134">
        <f>IF(SER_hh_tesh!M15=0,0,SER_hh_tesh!M15/SER_summary!M$26)</f>
        <v>2.2275091763520773</v>
      </c>
      <c r="N15" s="134">
        <f>IF(SER_hh_tesh!N15=0,0,SER_hh_tesh!N15/SER_summary!N$26)</f>
        <v>2.3618027877815617</v>
      </c>
      <c r="O15" s="134">
        <f>IF(SER_hh_tesh!O15=0,0,SER_hh_tesh!O15/SER_summary!O$26)</f>
        <v>2.4478744372727341</v>
      </c>
      <c r="P15" s="134">
        <f>IF(SER_hh_tesh!P15=0,0,SER_hh_tesh!P15/SER_summary!P$26)</f>
        <v>2.2431196133044287</v>
      </c>
      <c r="Q15" s="134">
        <f>IF(SER_hh_tesh!Q15=0,0,SER_hh_tesh!Q15/SER_summary!Q$26)</f>
        <v>2.4882680096674967</v>
      </c>
      <c r="R15" s="134">
        <f>IF(SER_hh_tesh!R15=0,0,SER_hh_tesh!R15/SER_summary!R$26)</f>
        <v>2.4088157148911704</v>
      </c>
      <c r="S15" s="134">
        <f>IF(SER_hh_tesh!S15=0,0,SER_hh_tesh!S15/SER_summary!S$26)</f>
        <v>2.315055098732552</v>
      </c>
      <c r="T15" s="134">
        <f>IF(SER_hh_tesh!T15=0,0,SER_hh_tesh!T15/SER_summary!T$26)</f>
        <v>2.5946634920606697</v>
      </c>
      <c r="U15" s="134">
        <f>IF(SER_hh_tesh!U15=0,0,SER_hh_tesh!U15/SER_summary!U$26)</f>
        <v>2.5632623537892951</v>
      </c>
      <c r="V15" s="134">
        <f>IF(SER_hh_tesh!V15=0,0,SER_hh_tesh!V15/SER_summary!V$26)</f>
        <v>2.2920022101417485</v>
      </c>
      <c r="W15" s="134">
        <f>IF(SER_hh_tesh!W15=0,0,SER_hh_tesh!W15/SER_summary!W$26)</f>
        <v>2.3048586064430348</v>
      </c>
      <c r="X15" s="134">
        <f>IF(SER_hh_tesh!X15=0,0,SER_hh_tesh!X15/SER_summary!X$26)</f>
        <v>2.2823293786377352</v>
      </c>
      <c r="Y15" s="134">
        <f>IF(SER_hh_tesh!Y15=0,0,SER_hh_tesh!Y15/SER_summary!Y$26)</f>
        <v>2.2169663985196784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27.600814368666679</v>
      </c>
      <c r="C16" s="130">
        <f>IF(SER_hh_tesh!C16=0,0,SER_hh_tesh!C16/SER_summary!C$26)</f>
        <v>27.482118405261986</v>
      </c>
      <c r="D16" s="130">
        <f>IF(SER_hh_tesh!D16=0,0,SER_hh_tesh!D16/SER_summary!D$26)</f>
        <v>27.92974969015863</v>
      </c>
      <c r="E16" s="130">
        <f>IF(SER_hh_tesh!E16=0,0,SER_hh_tesh!E16/SER_summary!E$26)</f>
        <v>27.955799012194984</v>
      </c>
      <c r="F16" s="130">
        <f>IF(SER_hh_tesh!F16=0,0,SER_hh_tesh!F16/SER_summary!F$26)</f>
        <v>27.886562664545657</v>
      </c>
      <c r="G16" s="130">
        <f>IF(SER_hh_tesh!G16=0,0,SER_hh_tesh!G16/SER_summary!G$26)</f>
        <v>27.475941823351516</v>
      </c>
      <c r="H16" s="130">
        <f>IF(SER_hh_tesh!H16=0,0,SER_hh_tesh!H16/SER_summary!H$26)</f>
        <v>27.908342096857123</v>
      </c>
      <c r="I16" s="130">
        <f>IF(SER_hh_tesh!I16=0,0,SER_hh_tesh!I16/SER_summary!I$26)</f>
        <v>28.325386430216149</v>
      </c>
      <c r="J16" s="130">
        <f>IF(SER_hh_tesh!J16=0,0,SER_hh_tesh!J16/SER_summary!J$26)</f>
        <v>27.824865766140064</v>
      </c>
      <c r="K16" s="130">
        <f>IF(SER_hh_tesh!K16=0,0,SER_hh_tesh!K16/SER_summary!K$26)</f>
        <v>27.757922259806715</v>
      </c>
      <c r="L16" s="130">
        <f>IF(SER_hh_tesh!L16=0,0,SER_hh_tesh!L16/SER_summary!L$26)</f>
        <v>28.072178545412207</v>
      </c>
      <c r="M16" s="130">
        <f>IF(SER_hh_tesh!M16=0,0,SER_hh_tesh!M16/SER_summary!M$26)</f>
        <v>27.963064313801489</v>
      </c>
      <c r="N16" s="130">
        <f>IF(SER_hh_tesh!N16=0,0,SER_hh_tesh!N16/SER_summary!N$26)</f>
        <v>28.526831303160556</v>
      </c>
      <c r="O16" s="130">
        <f>IF(SER_hh_tesh!O16=0,0,SER_hh_tesh!O16/SER_summary!O$26)</f>
        <v>28.203747425979991</v>
      </c>
      <c r="P16" s="130">
        <f>IF(SER_hh_tesh!P16=0,0,SER_hh_tesh!P16/SER_summary!P$26)</f>
        <v>28.736848565873867</v>
      </c>
      <c r="Q16" s="130">
        <f>IF(SER_hh_tesh!Q16=0,0,SER_hh_tesh!Q16/SER_summary!Q$26)</f>
        <v>27.864707329785439</v>
      </c>
      <c r="R16" s="130">
        <f>IF(SER_hh_tesh!R16=0,0,SER_hh_tesh!R16/SER_summary!R$26)</f>
        <v>28.790177287850266</v>
      </c>
      <c r="S16" s="130">
        <f>IF(SER_hh_tesh!S16=0,0,SER_hh_tesh!S16/SER_summary!S$26)</f>
        <v>28.726354695418145</v>
      </c>
      <c r="T16" s="130">
        <f>IF(SER_hh_tesh!T16=0,0,SER_hh_tesh!T16/SER_summary!T$26)</f>
        <v>28.704261665535839</v>
      </c>
      <c r="U16" s="130">
        <f>IF(SER_hh_tesh!U16=0,0,SER_hh_tesh!U16/SER_summary!U$26)</f>
        <v>28.958637460476108</v>
      </c>
      <c r="V16" s="130">
        <f>IF(SER_hh_tesh!V16=0,0,SER_hh_tesh!V16/SER_summary!V$26)</f>
        <v>27.534686820325174</v>
      </c>
      <c r="W16" s="130">
        <f>IF(SER_hh_tesh!W16=0,0,SER_hh_tesh!W16/SER_summary!W$26)</f>
        <v>27.319546850764041</v>
      </c>
      <c r="X16" s="130">
        <f>IF(SER_hh_tesh!X16=0,0,SER_hh_tesh!X16/SER_summary!X$26)</f>
        <v>28.752202119167126</v>
      </c>
      <c r="Y16" s="130">
        <f>IF(SER_hh_tesh!Y16=0,0,SER_hh_tesh!Y16/SER_summary!Y$26)</f>
        <v>28.632043347294768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27.600814368666693</v>
      </c>
      <c r="C17" s="132">
        <f>IF(SER_hh_tesh!C17=0,0,SER_hh_tesh!C17/SER_summary!C$26)</f>
        <v>27.482118405256266</v>
      </c>
      <c r="D17" s="132">
        <f>IF(SER_hh_tesh!D17=0,0,SER_hh_tesh!D17/SER_summary!D$26)</f>
        <v>27.929749689355734</v>
      </c>
      <c r="E17" s="132">
        <f>IF(SER_hh_tesh!E17=0,0,SER_hh_tesh!E17/SER_summary!E$26)</f>
        <v>27.955799012034284</v>
      </c>
      <c r="F17" s="132">
        <f>IF(SER_hh_tesh!F17=0,0,SER_hh_tesh!F17/SER_summary!F$26)</f>
        <v>27.886562665270873</v>
      </c>
      <c r="G17" s="132">
        <f>IF(SER_hh_tesh!G17=0,0,SER_hh_tesh!G17/SER_summary!G$26)</f>
        <v>27.47594182421674</v>
      </c>
      <c r="H17" s="132">
        <f>IF(SER_hh_tesh!H17=0,0,SER_hh_tesh!H17/SER_summary!H$26)</f>
        <v>27.908342097190843</v>
      </c>
      <c r="I17" s="132">
        <f>IF(SER_hh_tesh!I17=0,0,SER_hh_tesh!I17/SER_summary!I$26)</f>
        <v>27.856926473384437</v>
      </c>
      <c r="J17" s="132">
        <f>IF(SER_hh_tesh!J17=0,0,SER_hh_tesh!J17/SER_summary!J$26)</f>
        <v>27.82486576561104</v>
      </c>
      <c r="K17" s="132">
        <f>IF(SER_hh_tesh!K17=0,0,SER_hh_tesh!K17/SER_summary!K$26)</f>
        <v>27.757922259124939</v>
      </c>
      <c r="L17" s="132">
        <f>IF(SER_hh_tesh!L17=0,0,SER_hh_tesh!L17/SER_summary!L$26)</f>
        <v>28.07217854466704</v>
      </c>
      <c r="M17" s="132">
        <f>IF(SER_hh_tesh!M17=0,0,SER_hh_tesh!M17/SER_summary!M$26)</f>
        <v>27.963064313344219</v>
      </c>
      <c r="N17" s="132">
        <f>IF(SER_hh_tesh!N17=0,0,SER_hh_tesh!N17/SER_summary!N$26)</f>
        <v>28.526831303076499</v>
      </c>
      <c r="O17" s="132">
        <f>IF(SER_hh_tesh!O17=0,0,SER_hh_tesh!O17/SER_summary!O$26)</f>
        <v>28.203747427892861</v>
      </c>
      <c r="P17" s="132">
        <f>IF(SER_hh_tesh!P17=0,0,SER_hh_tesh!P17/SER_summary!P$26)</f>
        <v>28.736848569610174</v>
      </c>
      <c r="Q17" s="132">
        <f>IF(SER_hh_tesh!Q17=0,0,SER_hh_tesh!Q17/SER_summary!Q$26)</f>
        <v>28.700623211272948</v>
      </c>
      <c r="R17" s="132">
        <f>IF(SER_hh_tesh!R17=0,0,SER_hh_tesh!R17/SER_summary!R$26)</f>
        <v>28.790177313630185</v>
      </c>
      <c r="S17" s="132">
        <f>IF(SER_hh_tesh!S17=0,0,SER_hh_tesh!S17/SER_summary!S$26)</f>
        <v>28.726354709992272</v>
      </c>
      <c r="T17" s="132">
        <f>IF(SER_hh_tesh!T17=0,0,SER_hh_tesh!T17/SER_summary!T$26)</f>
        <v>28.704261672793052</v>
      </c>
      <c r="U17" s="132">
        <f>IF(SER_hh_tesh!U17=0,0,SER_hh_tesh!U17/SER_summary!U$26)</f>
        <v>28.958637465030758</v>
      </c>
      <c r="V17" s="132">
        <f>IF(SER_hh_tesh!V17=0,0,SER_hh_tesh!V17/SER_summary!V$26)</f>
        <v>26.201573288082226</v>
      </c>
      <c r="W17" s="132">
        <f>IF(SER_hh_tesh!W17=0,0,SER_hh_tesh!W17/SER_summary!W$26)</f>
        <v>25.205721295284505</v>
      </c>
      <c r="X17" s="132">
        <f>IF(SER_hh_tesh!X17=0,0,SER_hh_tesh!X17/SER_summary!X$26)</f>
        <v>27.52427408233045</v>
      </c>
      <c r="Y17" s="132">
        <f>IF(SER_hh_tesh!Y17=0,0,SER_hh_tesh!Y17/SER_summary!Y$26)</f>
        <v>28.632043350457973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27.600814368666679</v>
      </c>
      <c r="C18" s="132">
        <f>IF(SER_hh_tesh!C18=0,0,SER_hh_tesh!C18/SER_summary!C$26)</f>
        <v>27.482118405262</v>
      </c>
      <c r="D18" s="132">
        <f>IF(SER_hh_tesh!D18=0,0,SER_hh_tesh!D18/SER_summary!D$26)</f>
        <v>27.929749690160854</v>
      </c>
      <c r="E18" s="132">
        <f>IF(SER_hh_tesh!E18=0,0,SER_hh_tesh!E18/SER_summary!E$26)</f>
        <v>27.955799012195389</v>
      </c>
      <c r="F18" s="132">
        <f>IF(SER_hh_tesh!F18=0,0,SER_hh_tesh!F18/SER_summary!F$26)</f>
        <v>27.886562664543554</v>
      </c>
      <c r="G18" s="132">
        <f>IF(SER_hh_tesh!G18=0,0,SER_hh_tesh!G18/SER_summary!G$26)</f>
        <v>27.475941823348897</v>
      </c>
      <c r="H18" s="132">
        <f>IF(SER_hh_tesh!H18=0,0,SER_hh_tesh!H18/SER_summary!H$26)</f>
        <v>27.908342096855975</v>
      </c>
      <c r="I18" s="132">
        <f>IF(SER_hh_tesh!I18=0,0,SER_hh_tesh!I18/SER_summary!I$26)</f>
        <v>28.327004470311085</v>
      </c>
      <c r="J18" s="132">
        <f>IF(SER_hh_tesh!J18=0,0,SER_hh_tesh!J18/SER_summary!J$26)</f>
        <v>27.824865766141823</v>
      </c>
      <c r="K18" s="132">
        <f>IF(SER_hh_tesh!K18=0,0,SER_hh_tesh!K18/SER_summary!K$26)</f>
        <v>27.757922259809177</v>
      </c>
      <c r="L18" s="132">
        <f>IF(SER_hh_tesh!L18=0,0,SER_hh_tesh!L18/SER_summary!L$26)</f>
        <v>28.07217854541501</v>
      </c>
      <c r="M18" s="132">
        <f>IF(SER_hh_tesh!M18=0,0,SER_hh_tesh!M18/SER_summary!M$26)</f>
        <v>27.963064313803326</v>
      </c>
      <c r="N18" s="132">
        <f>IF(SER_hh_tesh!N18=0,0,SER_hh_tesh!N18/SER_summary!N$26)</f>
        <v>28.526831303160932</v>
      </c>
      <c r="O18" s="132">
        <f>IF(SER_hh_tesh!O18=0,0,SER_hh_tesh!O18/SER_summary!O$26)</f>
        <v>28.203747425969503</v>
      </c>
      <c r="P18" s="132">
        <f>IF(SER_hh_tesh!P18=0,0,SER_hh_tesh!P18/SER_summary!P$26)</f>
        <v>28.736848565847797</v>
      </c>
      <c r="Q18" s="132">
        <f>IF(SER_hh_tesh!Q18=0,0,SER_hh_tesh!Q18/SER_summary!Q$26)</f>
        <v>27.856886648405265</v>
      </c>
      <c r="R18" s="132">
        <f>IF(SER_hh_tesh!R18=0,0,SER_hh_tesh!R18/SER_summary!R$26)</f>
        <v>28.7901772875524</v>
      </c>
      <c r="S18" s="132">
        <f>IF(SER_hh_tesh!S18=0,0,SER_hh_tesh!S18/SER_summary!S$26)</f>
        <v>28.726354695228107</v>
      </c>
      <c r="T18" s="132">
        <f>IF(SER_hh_tesh!T18=0,0,SER_hh_tesh!T18/SER_summary!T$26)</f>
        <v>28.704261665436139</v>
      </c>
      <c r="U18" s="132">
        <f>IF(SER_hh_tesh!U18=0,0,SER_hh_tesh!U18/SER_summary!U$26)</f>
        <v>28.958637460411079</v>
      </c>
      <c r="V18" s="132">
        <f>IF(SER_hh_tesh!V18=0,0,SER_hh_tesh!V18/SER_summary!V$26)</f>
        <v>27.554973790293953</v>
      </c>
      <c r="W18" s="132">
        <f>IF(SER_hh_tesh!W18=0,0,SER_hh_tesh!W18/SER_summary!W$26)</f>
        <v>27.351954028622735</v>
      </c>
      <c r="X18" s="132">
        <f>IF(SER_hh_tesh!X18=0,0,SER_hh_tesh!X18/SER_summary!X$26)</f>
        <v>28.771860588433135</v>
      </c>
      <c r="Y18" s="132">
        <f>IF(SER_hh_tesh!Y18=0,0,SER_hh_tesh!Y18/SER_summary!Y$26)</f>
        <v>28.632043347245006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24.7935445929784</v>
      </c>
      <c r="C19" s="130">
        <f>IF(SER_hh_tesh!C19=0,0,SER_hh_tesh!C19/SER_summary!C$26)</f>
        <v>24.839017741062655</v>
      </c>
      <c r="D19" s="130">
        <f>IF(SER_hh_tesh!D19=0,0,SER_hh_tesh!D19/SER_summary!D$26)</f>
        <v>24.575696127529962</v>
      </c>
      <c r="E19" s="130">
        <f>IF(SER_hh_tesh!E19=0,0,SER_hh_tesh!E19/SER_summary!E$26)</f>
        <v>24.283893878757258</v>
      </c>
      <c r="F19" s="130">
        <f>IF(SER_hh_tesh!F19=0,0,SER_hh_tesh!F19/SER_summary!F$26)</f>
        <v>23.928381357138033</v>
      </c>
      <c r="G19" s="130">
        <f>IF(SER_hh_tesh!G19=0,0,SER_hh_tesh!G19/SER_summary!G$26)</f>
        <v>24.100982346187916</v>
      </c>
      <c r="H19" s="130">
        <f>IF(SER_hh_tesh!H19=0,0,SER_hh_tesh!H19/SER_summary!H$26)</f>
        <v>23.8551888802272</v>
      </c>
      <c r="I19" s="130">
        <f>IF(SER_hh_tesh!I19=0,0,SER_hh_tesh!I19/SER_summary!I$26)</f>
        <v>23.442663188499914</v>
      </c>
      <c r="J19" s="130">
        <f>IF(SER_hh_tesh!J19=0,0,SER_hh_tesh!J19/SER_summary!J$26)</f>
        <v>23.521108756433883</v>
      </c>
      <c r="K19" s="130">
        <f>IF(SER_hh_tesh!K19=0,0,SER_hh_tesh!K19/SER_summary!K$26)</f>
        <v>24.659500090431901</v>
      </c>
      <c r="L19" s="130">
        <f>IF(SER_hh_tesh!L19=0,0,SER_hh_tesh!L19/SER_summary!L$26)</f>
        <v>25.541460276489456</v>
      </c>
      <c r="M19" s="130">
        <f>IF(SER_hh_tesh!M19=0,0,SER_hh_tesh!M19/SER_summary!M$26)</f>
        <v>25.55993575594314</v>
      </c>
      <c r="N19" s="130">
        <f>IF(SER_hh_tesh!N19=0,0,SER_hh_tesh!N19/SER_summary!N$26)</f>
        <v>26.151239653535608</v>
      </c>
      <c r="O19" s="130">
        <f>IF(SER_hh_tesh!O19=0,0,SER_hh_tesh!O19/SER_summary!O$26)</f>
        <v>26.559922609802804</v>
      </c>
      <c r="P19" s="130">
        <f>IF(SER_hh_tesh!P19=0,0,SER_hh_tesh!P19/SER_summary!P$26)</f>
        <v>26.854610879331418</v>
      </c>
      <c r="Q19" s="130">
        <f>IF(SER_hh_tesh!Q19=0,0,SER_hh_tesh!Q19/SER_summary!Q$26)</f>
        <v>28.192386326786078</v>
      </c>
      <c r="R19" s="130">
        <f>IF(SER_hh_tesh!R19=0,0,SER_hh_tesh!R19/SER_summary!R$26)</f>
        <v>27.659979748854955</v>
      </c>
      <c r="S19" s="130">
        <f>IF(SER_hh_tesh!S19=0,0,SER_hh_tesh!S19/SER_summary!S$26)</f>
        <v>27.571575595657482</v>
      </c>
      <c r="T19" s="130">
        <f>IF(SER_hh_tesh!T19=0,0,SER_hh_tesh!T19/SER_summary!T$26)</f>
        <v>27.606688127982437</v>
      </c>
      <c r="U19" s="130">
        <f>IF(SER_hh_tesh!U19=0,0,SER_hh_tesh!U19/SER_summary!U$26)</f>
        <v>28.056723779632499</v>
      </c>
      <c r="V19" s="130">
        <f>IF(SER_hh_tesh!V19=0,0,SER_hh_tesh!V19/SER_summary!V$26)</f>
        <v>26.255005525177165</v>
      </c>
      <c r="W19" s="130">
        <f>IF(SER_hh_tesh!W19=0,0,SER_hh_tesh!W19/SER_summary!W$26)</f>
        <v>28.680811864519502</v>
      </c>
      <c r="X19" s="130">
        <f>IF(SER_hh_tesh!X19=0,0,SER_hh_tesh!X19/SER_summary!X$26)</f>
        <v>27.96584404341721</v>
      </c>
      <c r="Y19" s="130">
        <f>IF(SER_hh_tesh!Y19=0,0,SER_hh_tesh!Y19/SER_summary!Y$26)</f>
        <v>27.255129110796176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0</v>
      </c>
      <c r="C21" s="132">
        <f>IF(SER_hh_tesh!C21=0,0,SER_hh_tesh!C21/SER_summary!C$26)</f>
        <v>0</v>
      </c>
      <c r="D21" s="132">
        <f>IF(SER_hh_tesh!D21=0,0,SER_hh_tesh!D21/SER_summary!D$26)</f>
        <v>0</v>
      </c>
      <c r="E21" s="132">
        <f>IF(SER_hh_tesh!E21=0,0,SER_hh_tesh!E21/SER_summary!E$26)</f>
        <v>0</v>
      </c>
      <c r="F21" s="132">
        <f>IF(SER_hh_tesh!F21=0,0,SER_hh_tesh!F21/SER_summary!F$26)</f>
        <v>0</v>
      </c>
      <c r="G21" s="132">
        <f>IF(SER_hh_tesh!G21=0,0,SER_hh_tesh!G21/SER_summary!G$26)</f>
        <v>0</v>
      </c>
      <c r="H21" s="132">
        <f>IF(SER_hh_tesh!H21=0,0,SER_hh_tesh!H21/SER_summary!H$26)</f>
        <v>0</v>
      </c>
      <c r="I21" s="132">
        <f>IF(SER_hh_tesh!I21=0,0,SER_hh_tesh!I21/SER_summary!I$26)</f>
        <v>0</v>
      </c>
      <c r="J21" s="132">
        <f>IF(SER_hh_tesh!J21=0,0,SER_hh_tesh!J21/SER_summary!J$26)</f>
        <v>0</v>
      </c>
      <c r="K21" s="132">
        <f>IF(SER_hh_tesh!K21=0,0,SER_hh_tesh!K21/SER_summary!K$26)</f>
        <v>0</v>
      </c>
      <c r="L21" s="132">
        <f>IF(SER_hh_tesh!L21=0,0,SER_hh_tesh!L21/SER_summary!L$26)</f>
        <v>0</v>
      </c>
      <c r="M21" s="132">
        <f>IF(SER_hh_tesh!M21=0,0,SER_hh_tesh!M21/SER_summary!M$26)</f>
        <v>0</v>
      </c>
      <c r="N21" s="132">
        <f>IF(SER_hh_tesh!N21=0,0,SER_hh_tesh!N21/SER_summary!N$26)</f>
        <v>0</v>
      </c>
      <c r="O21" s="132">
        <f>IF(SER_hh_tesh!O21=0,0,SER_hh_tesh!O21/SER_summary!O$26)</f>
        <v>0</v>
      </c>
      <c r="P21" s="132">
        <f>IF(SER_hh_tesh!P21=0,0,SER_hh_tesh!P21/SER_summary!P$26)</f>
        <v>0</v>
      </c>
      <c r="Q21" s="132">
        <f>IF(SER_hh_tesh!Q21=0,0,SER_hh_tesh!Q21/SER_summary!Q$26)</f>
        <v>0</v>
      </c>
      <c r="R21" s="132">
        <f>IF(SER_hh_tesh!R21=0,0,SER_hh_tesh!R21/SER_summary!R$26)</f>
        <v>0</v>
      </c>
      <c r="S21" s="132">
        <f>IF(SER_hh_tesh!S21=0,0,SER_hh_tesh!S21/SER_summary!S$26)</f>
        <v>0</v>
      </c>
      <c r="T21" s="132">
        <f>IF(SER_hh_tesh!T21=0,0,SER_hh_tesh!T21/SER_summary!T$26)</f>
        <v>0</v>
      </c>
      <c r="U21" s="132">
        <f>IF(SER_hh_tesh!U21=0,0,SER_hh_tesh!U21/SER_summary!U$26)</f>
        <v>0</v>
      </c>
      <c r="V21" s="132">
        <f>IF(SER_hh_tesh!V21=0,0,SER_hh_tesh!V21/SER_summary!V$26)</f>
        <v>0</v>
      </c>
      <c r="W21" s="132">
        <f>IF(SER_hh_tesh!W21=0,0,SER_hh_tesh!W21/SER_summary!W$26)</f>
        <v>0</v>
      </c>
      <c r="X21" s="132">
        <f>IF(SER_hh_tesh!X21=0,0,SER_hh_tesh!X21/SER_summary!X$26)</f>
        <v>0</v>
      </c>
      <c r="Y21" s="132">
        <f>IF(SER_hh_tesh!Y21=0,0,SER_hh_tesh!Y21/SER_summary!Y$26)</f>
        <v>0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24.779640246223693</v>
      </c>
      <c r="C22" s="132">
        <f>IF(SER_hh_tesh!C22=0,0,SER_hh_tesh!C22/SER_summary!C$26)</f>
        <v>24.919503407266994</v>
      </c>
      <c r="D22" s="132">
        <f>IF(SER_hh_tesh!D22=0,0,SER_hh_tesh!D22/SER_summary!D$26)</f>
        <v>24.898083885265596</v>
      </c>
      <c r="E22" s="132">
        <f>IF(SER_hh_tesh!E22=0,0,SER_hh_tesh!E22/SER_summary!E$26)</f>
        <v>24.0469256907481</v>
      </c>
      <c r="F22" s="132">
        <f>IF(SER_hh_tesh!F22=0,0,SER_hh_tesh!F22/SER_summary!F$26)</f>
        <v>24.355003901860329</v>
      </c>
      <c r="G22" s="132">
        <f>IF(SER_hh_tesh!G22=0,0,SER_hh_tesh!G22/SER_summary!G$26)</f>
        <v>23.961957141648018</v>
      </c>
      <c r="H22" s="132">
        <f>IF(SER_hh_tesh!H22=0,0,SER_hh_tesh!H22/SER_summary!H$26)</f>
        <v>23.413235551110677</v>
      </c>
      <c r="I22" s="132">
        <f>IF(SER_hh_tesh!I22=0,0,SER_hh_tesh!I22/SER_summary!I$26)</f>
        <v>23.371064555109754</v>
      </c>
      <c r="J22" s="132">
        <f>IF(SER_hh_tesh!J22=0,0,SER_hh_tesh!J22/SER_summary!J$26)</f>
        <v>23.972061840942718</v>
      </c>
      <c r="K22" s="132">
        <f>IF(SER_hh_tesh!K22=0,0,SER_hh_tesh!K22/SER_summary!K$26)</f>
        <v>24.247096146612428</v>
      </c>
      <c r="L22" s="132">
        <f>IF(SER_hh_tesh!L22=0,0,SER_hh_tesh!L22/SER_summary!L$26)</f>
        <v>25.262497258370935</v>
      </c>
      <c r="M22" s="132">
        <f>IF(SER_hh_tesh!M22=0,0,SER_hh_tesh!M22/SER_summary!M$26)</f>
        <v>25.718462462410827</v>
      </c>
      <c r="N22" s="132">
        <f>IF(SER_hh_tesh!N22=0,0,SER_hh_tesh!N22/SER_summary!N$26)</f>
        <v>26.28864854299967</v>
      </c>
      <c r="O22" s="132">
        <f>IF(SER_hh_tesh!O22=0,0,SER_hh_tesh!O22/SER_summary!O$26)</f>
        <v>26.526741042317088</v>
      </c>
      <c r="P22" s="132">
        <f>IF(SER_hh_tesh!P22=0,0,SER_hh_tesh!P22/SER_summary!P$26)</f>
        <v>27.370450159717358</v>
      </c>
      <c r="Q22" s="132">
        <f>IF(SER_hh_tesh!Q22=0,0,SER_hh_tesh!Q22/SER_summary!Q$26)</f>
        <v>27.431044859398263</v>
      </c>
      <c r="R22" s="132">
        <f>IF(SER_hh_tesh!R22=0,0,SER_hh_tesh!R22/SER_summary!R$26)</f>
        <v>27.307227523183339</v>
      </c>
      <c r="S22" s="132">
        <f>IF(SER_hh_tesh!S22=0,0,SER_hh_tesh!S22/SER_summary!S$26)</f>
        <v>28.419128497317558</v>
      </c>
      <c r="T22" s="132">
        <f>IF(SER_hh_tesh!T22=0,0,SER_hh_tesh!T22/SER_summary!T$26)</f>
        <v>27.704226888216361</v>
      </c>
      <c r="U22" s="132">
        <f>IF(SER_hh_tesh!U22=0,0,SER_hh_tesh!U22/SER_summary!U$26)</f>
        <v>28.212346179365664</v>
      </c>
      <c r="V22" s="132">
        <f>IF(SER_hh_tesh!V22=0,0,SER_hh_tesh!V22/SER_summary!V$26)</f>
        <v>25.539067891516829</v>
      </c>
      <c r="W22" s="132">
        <f>IF(SER_hh_tesh!W22=0,0,SER_hh_tesh!W22/SER_summary!W$26)</f>
        <v>27.360100982878148</v>
      </c>
      <c r="X22" s="132">
        <f>IF(SER_hh_tesh!X22=0,0,SER_hh_tesh!X22/SER_summary!X$26)</f>
        <v>28.296509135901587</v>
      </c>
      <c r="Y22" s="132">
        <f>IF(SER_hh_tesh!Y22=0,0,SER_hh_tesh!Y22/SER_summary!Y$26)</f>
        <v>27.549402220360147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24.468894699192912</v>
      </c>
      <c r="C23" s="132">
        <f>IF(SER_hh_tesh!C23=0,0,SER_hh_tesh!C23/SER_summary!C$26)</f>
        <v>24.911779464850706</v>
      </c>
      <c r="D23" s="132">
        <f>IF(SER_hh_tesh!D23=0,0,SER_hh_tesh!D23/SER_summary!D$26)</f>
        <v>24.547858241562999</v>
      </c>
      <c r="E23" s="132">
        <f>IF(SER_hh_tesh!E23=0,0,SER_hh_tesh!E23/SER_summary!E$26)</f>
        <v>24.090325079361335</v>
      </c>
      <c r="F23" s="132">
        <f>IF(SER_hh_tesh!F23=0,0,SER_hh_tesh!F23/SER_summary!F$26)</f>
        <v>24.219301598922858</v>
      </c>
      <c r="G23" s="132">
        <f>IF(SER_hh_tesh!G23=0,0,SER_hh_tesh!G23/SER_summary!G$26)</f>
        <v>24.025277618036622</v>
      </c>
      <c r="H23" s="132">
        <f>IF(SER_hh_tesh!H23=0,0,SER_hh_tesh!H23/SER_summary!H$26)</f>
        <v>23.646850307393059</v>
      </c>
      <c r="I23" s="132">
        <f>IF(SER_hh_tesh!I23=0,0,SER_hh_tesh!I23/SER_summary!I$26)</f>
        <v>23.870816825230882</v>
      </c>
      <c r="J23" s="132">
        <f>IF(SER_hh_tesh!J23=0,0,SER_hh_tesh!J23/SER_summary!J$26)</f>
        <v>23.590685409949362</v>
      </c>
      <c r="K23" s="132">
        <f>IF(SER_hh_tesh!K23=0,0,SER_hh_tesh!K23/SER_summary!K$26)</f>
        <v>24.542978996128511</v>
      </c>
      <c r="L23" s="132">
        <f>IF(SER_hh_tesh!L23=0,0,SER_hh_tesh!L23/SER_summary!L$26)</f>
        <v>26.055172814924028</v>
      </c>
      <c r="M23" s="132">
        <f>IF(SER_hh_tesh!M23=0,0,SER_hh_tesh!M23/SER_summary!M$26)</f>
        <v>24.766006590228194</v>
      </c>
      <c r="N23" s="132">
        <f>IF(SER_hh_tesh!N23=0,0,SER_hh_tesh!N23/SER_summary!N$26)</f>
        <v>25.826951705363754</v>
      </c>
      <c r="O23" s="132">
        <f>IF(SER_hh_tesh!O23=0,0,SER_hh_tesh!O23/SER_summary!O$26)</f>
        <v>26.605755071474665</v>
      </c>
      <c r="P23" s="132">
        <f>IF(SER_hh_tesh!P23=0,0,SER_hh_tesh!P23/SER_summary!P$26)</f>
        <v>27.269007675686588</v>
      </c>
      <c r="Q23" s="132">
        <f>IF(SER_hh_tesh!Q23=0,0,SER_hh_tesh!Q23/SER_summary!Q$26)</f>
        <v>28.32585021102707</v>
      </c>
      <c r="R23" s="132">
        <f>IF(SER_hh_tesh!R23=0,0,SER_hh_tesh!R23/SER_summary!R$26)</f>
        <v>27.790227355772821</v>
      </c>
      <c r="S23" s="132">
        <f>IF(SER_hh_tesh!S23=0,0,SER_hh_tesh!S23/SER_summary!S$26)</f>
        <v>28.236339474837017</v>
      </c>
      <c r="T23" s="132">
        <f>IF(SER_hh_tesh!T23=0,0,SER_hh_tesh!T23/SER_summary!T$26)</f>
        <v>27.427028949765937</v>
      </c>
      <c r="U23" s="132">
        <f>IF(SER_hh_tesh!U23=0,0,SER_hh_tesh!U23/SER_summary!U$26)</f>
        <v>28.739226175011105</v>
      </c>
      <c r="V23" s="132">
        <f>IF(SER_hh_tesh!V23=0,0,SER_hh_tesh!V23/SER_summary!V$26)</f>
        <v>22.550107211283564</v>
      </c>
      <c r="W23" s="132">
        <f>IF(SER_hh_tesh!W23=0,0,SER_hh_tesh!W23/SER_summary!W$26)</f>
        <v>29.848727343085077</v>
      </c>
      <c r="X23" s="132">
        <f>IF(SER_hh_tesh!X23=0,0,SER_hh_tesh!X23/SER_summary!X$26)</f>
        <v>28.465660307107797</v>
      </c>
      <c r="Y23" s="132">
        <f>IF(SER_hh_tesh!Y23=0,0,SER_hh_tesh!Y23/SER_summary!Y$26)</f>
        <v>27.558117064974248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0</v>
      </c>
      <c r="C24" s="132">
        <f>IF(SER_hh_tesh!C24=0,0,SER_hh_tesh!C24/SER_summary!C$26)</f>
        <v>0</v>
      </c>
      <c r="D24" s="132">
        <f>IF(SER_hh_tesh!D24=0,0,SER_hh_tesh!D24/SER_summary!D$26)</f>
        <v>0</v>
      </c>
      <c r="E24" s="132">
        <f>IF(SER_hh_tesh!E24=0,0,SER_hh_tesh!E24/SER_summary!E$26)</f>
        <v>0</v>
      </c>
      <c r="F24" s="132">
        <f>IF(SER_hh_tesh!F24=0,0,SER_hh_tesh!F24/SER_summary!F$26)</f>
        <v>0</v>
      </c>
      <c r="G24" s="132">
        <f>IF(SER_hh_tesh!G24=0,0,SER_hh_tesh!G24/SER_summary!G$26)</f>
        <v>0</v>
      </c>
      <c r="H24" s="132">
        <f>IF(SER_hh_tesh!H24=0,0,SER_hh_tesh!H24/SER_summary!H$26)</f>
        <v>0</v>
      </c>
      <c r="I24" s="132">
        <f>IF(SER_hh_tesh!I24=0,0,SER_hh_tesh!I24/SER_summary!I$26)</f>
        <v>0</v>
      </c>
      <c r="J24" s="132">
        <f>IF(SER_hh_tesh!J24=0,0,SER_hh_tesh!J24/SER_summary!J$26)</f>
        <v>0</v>
      </c>
      <c r="K24" s="132">
        <f>IF(SER_hh_tesh!K24=0,0,SER_hh_tesh!K24/SER_summary!K$26)</f>
        <v>0</v>
      </c>
      <c r="L24" s="132">
        <f>IF(SER_hh_tesh!L24=0,0,SER_hh_tesh!L24/SER_summary!L$26)</f>
        <v>0</v>
      </c>
      <c r="M24" s="132">
        <f>IF(SER_hh_tesh!M24=0,0,SER_hh_tesh!M24/SER_summary!M$26)</f>
        <v>0</v>
      </c>
      <c r="N24" s="132">
        <f>IF(SER_hh_tesh!N24=0,0,SER_hh_tesh!N24/SER_summary!N$26)</f>
        <v>0</v>
      </c>
      <c r="O24" s="132">
        <f>IF(SER_hh_tesh!O24=0,0,SER_hh_tesh!O24/SER_summary!O$26)</f>
        <v>0</v>
      </c>
      <c r="P24" s="132">
        <f>IF(SER_hh_tesh!P24=0,0,SER_hh_tesh!P24/SER_summary!P$26)</f>
        <v>0</v>
      </c>
      <c r="Q24" s="132">
        <f>IF(SER_hh_tesh!Q24=0,0,SER_hh_tesh!Q24/SER_summary!Q$26)</f>
        <v>0</v>
      </c>
      <c r="R24" s="132">
        <f>IF(SER_hh_tesh!R24=0,0,SER_hh_tesh!R24/SER_summary!R$26)</f>
        <v>0</v>
      </c>
      <c r="S24" s="132">
        <f>IF(SER_hh_tesh!S24=0,0,SER_hh_tesh!S24/SER_summary!S$26)</f>
        <v>0</v>
      </c>
      <c r="T24" s="132">
        <f>IF(SER_hh_tesh!T24=0,0,SER_hh_tesh!T24/SER_summary!T$26)</f>
        <v>0</v>
      </c>
      <c r="U24" s="132">
        <f>IF(SER_hh_tesh!U24=0,0,SER_hh_tesh!U24/SER_summary!U$26)</f>
        <v>0</v>
      </c>
      <c r="V24" s="132">
        <f>IF(SER_hh_tesh!V24=0,0,SER_hh_tesh!V24/SER_summary!V$26)</f>
        <v>0</v>
      </c>
      <c r="W24" s="132">
        <f>IF(SER_hh_tesh!W24=0,0,SER_hh_tesh!W24/SER_summary!W$26)</f>
        <v>0</v>
      </c>
      <c r="X24" s="132">
        <f>IF(SER_hh_tesh!X24=0,0,SER_hh_tesh!X24/SER_summary!X$26)</f>
        <v>0</v>
      </c>
      <c r="Y24" s="132">
        <f>IF(SER_hh_tesh!Y24=0,0,SER_hh_tesh!Y24/SER_summary!Y$26)</f>
        <v>0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0</v>
      </c>
      <c r="C25" s="132">
        <f>IF(SER_hh_tesh!C25=0,0,SER_hh_tesh!C25/SER_summary!C$26)</f>
        <v>0</v>
      </c>
      <c r="D25" s="132">
        <f>IF(SER_hh_tesh!D25=0,0,SER_hh_tesh!D25/SER_summary!D$26)</f>
        <v>0</v>
      </c>
      <c r="E25" s="132">
        <f>IF(SER_hh_tesh!E25=0,0,SER_hh_tesh!E25/SER_summary!E$26)</f>
        <v>0</v>
      </c>
      <c r="F25" s="132">
        <f>IF(SER_hh_tesh!F25=0,0,SER_hh_tesh!F25/SER_summary!F$26)</f>
        <v>0</v>
      </c>
      <c r="G25" s="132">
        <f>IF(SER_hh_tesh!G25=0,0,SER_hh_tesh!G25/SER_summary!G$26)</f>
        <v>0</v>
      </c>
      <c r="H25" s="132">
        <f>IF(SER_hh_tesh!H25=0,0,SER_hh_tesh!H25/SER_summary!H$26)</f>
        <v>0</v>
      </c>
      <c r="I25" s="132">
        <f>IF(SER_hh_tesh!I25=0,0,SER_hh_tesh!I25/SER_summary!I$26)</f>
        <v>0</v>
      </c>
      <c r="J25" s="132">
        <f>IF(SER_hh_tesh!J25=0,0,SER_hh_tesh!J25/SER_summary!J$26)</f>
        <v>0</v>
      </c>
      <c r="K25" s="132">
        <f>IF(SER_hh_tesh!K25=0,0,SER_hh_tesh!K25/SER_summary!K$26)</f>
        <v>0</v>
      </c>
      <c r="L25" s="132">
        <f>IF(SER_hh_tesh!L25=0,0,SER_hh_tesh!L25/SER_summary!L$26)</f>
        <v>0</v>
      </c>
      <c r="M25" s="132">
        <f>IF(SER_hh_tesh!M25=0,0,SER_hh_tesh!M25/SER_summary!M$26)</f>
        <v>0</v>
      </c>
      <c r="N25" s="132">
        <f>IF(SER_hh_tesh!N25=0,0,SER_hh_tesh!N25/SER_summary!N$26)</f>
        <v>0</v>
      </c>
      <c r="O25" s="132">
        <f>IF(SER_hh_tesh!O25=0,0,SER_hh_tesh!O25/SER_summary!O$26)</f>
        <v>0</v>
      </c>
      <c r="P25" s="132">
        <f>IF(SER_hh_tesh!P25=0,0,SER_hh_tesh!P25/SER_summary!P$26)</f>
        <v>0</v>
      </c>
      <c r="Q25" s="132">
        <f>IF(SER_hh_tesh!Q25=0,0,SER_hh_tesh!Q25/SER_summary!Q$26)</f>
        <v>0</v>
      </c>
      <c r="R25" s="132">
        <f>IF(SER_hh_tesh!R25=0,0,SER_hh_tesh!R25/SER_summary!R$26)</f>
        <v>0</v>
      </c>
      <c r="S25" s="132">
        <f>IF(SER_hh_tesh!S25=0,0,SER_hh_tesh!S25/SER_summary!S$26)</f>
        <v>0</v>
      </c>
      <c r="T25" s="132">
        <f>IF(SER_hh_tesh!T25=0,0,SER_hh_tesh!T25/SER_summary!T$26)</f>
        <v>0</v>
      </c>
      <c r="U25" s="132">
        <f>IF(SER_hh_tesh!U25=0,0,SER_hh_tesh!U25/SER_summary!U$26)</f>
        <v>0</v>
      </c>
      <c r="V25" s="132">
        <f>IF(SER_hh_tesh!V25=0,0,SER_hh_tesh!V25/SER_summary!V$26)</f>
        <v>0</v>
      </c>
      <c r="W25" s="132">
        <f>IF(SER_hh_tesh!W25=0,0,SER_hh_tesh!W25/SER_summary!W$26)</f>
        <v>0</v>
      </c>
      <c r="X25" s="132">
        <f>IF(SER_hh_tesh!X25=0,0,SER_hh_tesh!X25/SER_summary!X$26)</f>
        <v>0</v>
      </c>
      <c r="Y25" s="132">
        <f>IF(SER_hh_tesh!Y25=0,0,SER_hh_tesh!Y25/SER_summary!Y$26)</f>
        <v>0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24.929257792521188</v>
      </c>
      <c r="C26" s="65">
        <f>IF(SER_hh_tesh!C26=0,0,SER_hh_tesh!C26/SER_summary!C$26)</f>
        <v>24.773361160417132</v>
      </c>
      <c r="D26" s="65">
        <f>IF(SER_hh_tesh!D26=0,0,SER_hh_tesh!D26/SER_summary!D$26)</f>
        <v>24.446736360969748</v>
      </c>
      <c r="E26" s="65">
        <f>IF(SER_hh_tesh!E26=0,0,SER_hh_tesh!E26/SER_summary!E$26)</f>
        <v>24.454173256160779</v>
      </c>
      <c r="F26" s="65">
        <f>IF(SER_hh_tesh!F26=0,0,SER_hh_tesh!F26/SER_summary!F$26)</f>
        <v>23.656513294114852</v>
      </c>
      <c r="G26" s="65">
        <f>IF(SER_hh_tesh!G26=0,0,SER_hh_tesh!G26/SER_summary!G$26)</f>
        <v>24.175976884999717</v>
      </c>
      <c r="H26" s="65">
        <f>IF(SER_hh_tesh!H26=0,0,SER_hh_tesh!H26/SER_summary!H$26)</f>
        <v>24.051235051435885</v>
      </c>
      <c r="I26" s="65">
        <f>IF(SER_hh_tesh!I26=0,0,SER_hh_tesh!I26/SER_summary!I$26)</f>
        <v>23.300826488584764</v>
      </c>
      <c r="J26" s="65">
        <f>IF(SER_hh_tesh!J26=0,0,SER_hh_tesh!J26/SER_summary!J$26)</f>
        <v>23.337538202325742</v>
      </c>
      <c r="K26" s="65">
        <f>IF(SER_hh_tesh!K26=0,0,SER_hh_tesh!K26/SER_summary!K$26)</f>
        <v>24.764414075773569</v>
      </c>
      <c r="L26" s="65">
        <f>IF(SER_hh_tesh!L26=0,0,SER_hh_tesh!L26/SER_summary!L$26)</f>
        <v>25.362512807058089</v>
      </c>
      <c r="M26" s="65">
        <f>IF(SER_hh_tesh!M26=0,0,SER_hh_tesh!M26/SER_summary!M$26)</f>
        <v>25.722055417901505</v>
      </c>
      <c r="N26" s="65">
        <f>IF(SER_hh_tesh!N26=0,0,SER_hh_tesh!N26/SER_summary!N$26)</f>
        <v>26.157251375291118</v>
      </c>
      <c r="O26" s="65">
        <f>IF(SER_hh_tesh!O26=0,0,SER_hh_tesh!O26/SER_summary!O$26)</f>
        <v>26.475890285869564</v>
      </c>
      <c r="P26" s="65">
        <f>IF(SER_hh_tesh!P26=0,0,SER_hh_tesh!P26/SER_summary!P$26)</f>
        <v>26.50076804870714</v>
      </c>
      <c r="Q26" s="65">
        <f>IF(SER_hh_tesh!Q26=0,0,SER_hh_tesh!Q26/SER_summary!Q$26)</f>
        <v>28.24329994206898</v>
      </c>
      <c r="R26" s="65">
        <f>IF(SER_hh_tesh!R26=0,0,SER_hh_tesh!R26/SER_summary!R$26)</f>
        <v>27.618483083429254</v>
      </c>
      <c r="S26" s="65">
        <f>IF(SER_hh_tesh!S26=0,0,SER_hh_tesh!S26/SER_summary!S$26)</f>
        <v>27.095586539572253</v>
      </c>
      <c r="T26" s="65">
        <f>IF(SER_hh_tesh!T26=0,0,SER_hh_tesh!T26/SER_summary!T$26)</f>
        <v>27.581136786096391</v>
      </c>
      <c r="U26" s="65">
        <f>IF(SER_hh_tesh!U26=0,0,SER_hh_tesh!U26/SER_summary!U$26)</f>
        <v>27.762411534792772</v>
      </c>
      <c r="V26" s="65">
        <f>IF(SER_hh_tesh!V26=0,0,SER_hh_tesh!V26/SER_summary!V$26)</f>
        <v>27.363878084367059</v>
      </c>
      <c r="W26" s="65">
        <f>IF(SER_hh_tesh!W26=0,0,SER_hh_tesh!W26/SER_summary!W$26)</f>
        <v>28.469451806888326</v>
      </c>
      <c r="X26" s="65">
        <f>IF(SER_hh_tesh!X26=0,0,SER_hh_tesh!X26/SER_summary!X$26)</f>
        <v>27.684932766047126</v>
      </c>
      <c r="Y26" s="65">
        <f>IF(SER_hh_tesh!Y26=0,0,SER_hh_tesh!Y26/SER_summary!Y$26)</f>
        <v>27.038854250240988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0</v>
      </c>
      <c r="C27" s="145">
        <f>IF(SER_hh_tesh!C27=0,0,SER_hh_tesh!C27/SER_summary!C$26)</f>
        <v>0</v>
      </c>
      <c r="D27" s="145">
        <f>IF(SER_hh_tesh!D27=0,0,SER_hh_tesh!D27/SER_summary!D$26)</f>
        <v>0</v>
      </c>
      <c r="E27" s="145">
        <f>IF(SER_hh_tesh!E27=0,0,SER_hh_tesh!E27/SER_summary!E$26)</f>
        <v>0</v>
      </c>
      <c r="F27" s="145">
        <f>IF(SER_hh_tesh!F27=0,0,SER_hh_tesh!F27/SER_summary!F$26)</f>
        <v>0</v>
      </c>
      <c r="G27" s="145">
        <f>IF(SER_hh_tesh!G27=0,0,SER_hh_tesh!G27/SER_summary!G$26)</f>
        <v>0</v>
      </c>
      <c r="H27" s="145">
        <f>IF(SER_hh_tesh!H27=0,0,SER_hh_tesh!H27/SER_summary!H$26)</f>
        <v>9.5481454735215146E-3</v>
      </c>
      <c r="I27" s="145">
        <f>IF(SER_hh_tesh!I27=0,0,SER_hh_tesh!I27/SER_summary!I$26)</f>
        <v>1.0366917781261441E-2</v>
      </c>
      <c r="J27" s="145">
        <f>IF(SER_hh_tesh!J27=0,0,SER_hh_tesh!J27/SER_summary!J$26)</f>
        <v>2.5693741417757224E-2</v>
      </c>
      <c r="K27" s="145">
        <f>IF(SER_hh_tesh!K27=0,0,SER_hh_tesh!K27/SER_summary!K$26)</f>
        <v>2.8121933553902141E-2</v>
      </c>
      <c r="L27" s="145">
        <f>IF(SER_hh_tesh!L27=0,0,SER_hh_tesh!L27/SER_summary!L$26)</f>
        <v>4.3285104546047753E-2</v>
      </c>
      <c r="M27" s="145">
        <f>IF(SER_hh_tesh!M27=0,0,SER_hh_tesh!M27/SER_summary!M$26)</f>
        <v>4.6118103829652736E-2</v>
      </c>
      <c r="N27" s="145">
        <f>IF(SER_hh_tesh!N27=0,0,SER_hh_tesh!N27/SER_summary!N$26)</f>
        <v>4.6702337496058823E-2</v>
      </c>
      <c r="O27" s="145">
        <f>IF(SER_hh_tesh!O27=0,0,SER_hh_tesh!O27/SER_summary!O$26)</f>
        <v>4.6464822968395755E-2</v>
      </c>
      <c r="P27" s="145">
        <f>IF(SER_hh_tesh!P27=0,0,SER_hh_tesh!P27/SER_summary!P$26)</f>
        <v>4.5758910449057812E-2</v>
      </c>
      <c r="Q27" s="145">
        <f>IF(SER_hh_tesh!Q27=0,0,SER_hh_tesh!Q27/SER_summary!Q$26)</f>
        <v>4.5579791288121972E-2</v>
      </c>
      <c r="R27" s="145">
        <f>IF(SER_hh_tesh!R27=0,0,SER_hh_tesh!R27/SER_summary!R$26)</f>
        <v>4.4318146790307975E-2</v>
      </c>
      <c r="S27" s="145">
        <f>IF(SER_hh_tesh!S27=0,0,SER_hh_tesh!S27/SER_summary!S$26)</f>
        <v>4.3595416392363466E-2</v>
      </c>
      <c r="T27" s="145">
        <f>IF(SER_hh_tesh!T27=0,0,SER_hh_tesh!T27/SER_summary!T$26)</f>
        <v>4.2738650658447265E-2</v>
      </c>
      <c r="U27" s="145">
        <f>IF(SER_hh_tesh!U27=0,0,SER_hh_tesh!U27/SER_summary!U$26)</f>
        <v>4.2018442980256941E-2</v>
      </c>
      <c r="V27" s="145">
        <f>IF(SER_hh_tesh!V27=0,0,SER_hh_tesh!V27/SER_summary!V$26)</f>
        <v>4.1417923915551741E-2</v>
      </c>
      <c r="W27" s="145">
        <f>IF(SER_hh_tesh!W27=0,0,SER_hh_tesh!W27/SER_summary!W$26)</f>
        <v>4.0889870933020316E-2</v>
      </c>
      <c r="X27" s="145">
        <f>IF(SER_hh_tesh!X27=0,0,SER_hh_tesh!X27/SER_summary!X$26)</f>
        <v>4.0422188339890024E-2</v>
      </c>
      <c r="Y27" s="145">
        <f>IF(SER_hh_tesh!Y27=0,0,SER_hh_tesh!Y27/SER_summary!Y$26)</f>
        <v>4.00008955465136E-2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0</v>
      </c>
      <c r="C28" s="146">
        <f>IF(SER_hh_tesh!C28=0,0,SER_hh_tesh!C28/SER_summary!C$26)</f>
        <v>0</v>
      </c>
      <c r="D28" s="146">
        <f>IF(SER_hh_tesh!D28=0,0,SER_hh_tesh!D28/SER_summary!D$26)</f>
        <v>0</v>
      </c>
      <c r="E28" s="146">
        <f>IF(SER_hh_tesh!E28=0,0,SER_hh_tesh!E28/SER_summary!E$26)</f>
        <v>0</v>
      </c>
      <c r="F28" s="146">
        <f>IF(SER_hh_tesh!F28=0,0,SER_hh_tesh!F28/SER_summary!F$26)</f>
        <v>0</v>
      </c>
      <c r="G28" s="146">
        <f>IF(SER_hh_tesh!G28=0,0,SER_hh_tesh!G28/SER_summary!G$26)</f>
        <v>0</v>
      </c>
      <c r="H28" s="146">
        <f>IF(SER_hh_tesh!H28=0,0,SER_hh_tesh!H28/SER_summary!H$26)</f>
        <v>5.2296124681704539</v>
      </c>
      <c r="I28" s="146">
        <f>IF(SER_hh_tesh!I28=0,0,SER_hh_tesh!I28/SER_summary!I$26)</f>
        <v>5.1970009693614792</v>
      </c>
      <c r="J28" s="146">
        <f>IF(SER_hh_tesh!J28=0,0,SER_hh_tesh!J28/SER_summary!J$26)</f>
        <v>5.356129278900668</v>
      </c>
      <c r="K28" s="146">
        <f>IF(SER_hh_tesh!K28=0,0,SER_hh_tesh!K28/SER_summary!K$26)</f>
        <v>5.6376479762958622</v>
      </c>
      <c r="L28" s="146">
        <f>IF(SER_hh_tesh!L28=0,0,SER_hh_tesh!L28/SER_summary!L$26)</f>
        <v>5.7920828097228707</v>
      </c>
      <c r="M28" s="146">
        <f>IF(SER_hh_tesh!M28=0,0,SER_hh_tesh!M28/SER_summary!M$26)</f>
        <v>5.7120410665243115</v>
      </c>
      <c r="N28" s="146">
        <f>IF(SER_hh_tesh!N28=0,0,SER_hh_tesh!N28/SER_summary!N$26)</f>
        <v>5.9088627174926858</v>
      </c>
      <c r="O28" s="146">
        <f>IF(SER_hh_tesh!O28=0,0,SER_hh_tesh!O28/SER_summary!O$26)</f>
        <v>6.0226473898147832</v>
      </c>
      <c r="P28" s="146">
        <f>IF(SER_hh_tesh!P28=0,0,SER_hh_tesh!P28/SER_summary!P$26)</f>
        <v>6.101615222560385</v>
      </c>
      <c r="Q28" s="146">
        <f>IF(SER_hh_tesh!Q28=0,0,SER_hh_tesh!Q28/SER_summary!Q$26)</f>
        <v>6.468254227731757</v>
      </c>
      <c r="R28" s="146">
        <f>IF(SER_hh_tesh!R28=0,0,SER_hh_tesh!R28/SER_summary!R$26)</f>
        <v>6.4293159121629104</v>
      </c>
      <c r="S28" s="146">
        <f>IF(SER_hh_tesh!S28=0,0,SER_hh_tesh!S28/SER_summary!S$26)</f>
        <v>6.4173803449859799</v>
      </c>
      <c r="T28" s="146">
        <f>IF(SER_hh_tesh!T28=0,0,SER_hh_tesh!T28/SER_summary!T$26)</f>
        <v>6.4657627131067477</v>
      </c>
      <c r="U28" s="146">
        <f>IF(SER_hh_tesh!U28=0,0,SER_hh_tesh!U28/SER_summary!U$26)</f>
        <v>6.6093746651467802</v>
      </c>
      <c r="V28" s="146">
        <f>IF(SER_hh_tesh!V28=0,0,SER_hh_tesh!V28/SER_summary!V$26)</f>
        <v>5.9543627304217894</v>
      </c>
      <c r="W28" s="146">
        <f>IF(SER_hh_tesh!W28=0,0,SER_hh_tesh!W28/SER_summary!W$26)</f>
        <v>6.5228254160208872</v>
      </c>
      <c r="X28" s="146">
        <f>IF(SER_hh_tesh!X28=0,0,SER_hh_tesh!X28/SER_summary!X$26)</f>
        <v>6.6616860022103443</v>
      </c>
      <c r="Y28" s="146">
        <f>IF(SER_hh_tesh!Y28=0,0,SER_hh_tesh!Y28/SER_summary!Y$26)</f>
        <v>6.8048715396574879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26.079714199001582</v>
      </c>
      <c r="C29" s="130">
        <f>IF(SER_hh_tesh!C29=0,0,SER_hh_tesh!C29/SER_summary!C$26)</f>
        <v>25.911111269164195</v>
      </c>
      <c r="D29" s="130">
        <f>IF(SER_hh_tesh!D29=0,0,SER_hh_tesh!D29/SER_summary!D$26)</f>
        <v>25.646350913304566</v>
      </c>
      <c r="E29" s="130">
        <f>IF(SER_hh_tesh!E29=0,0,SER_hh_tesh!E29/SER_summary!E$26)</f>
        <v>25.6235346645385</v>
      </c>
      <c r="F29" s="130">
        <f>IF(SER_hh_tesh!F29=0,0,SER_hh_tesh!F29/SER_summary!F$26)</f>
        <v>25.382470182241796</v>
      </c>
      <c r="G29" s="130">
        <f>IF(SER_hh_tesh!G29=0,0,SER_hh_tesh!G29/SER_summary!G$26)</f>
        <v>25.459905398201094</v>
      </c>
      <c r="H29" s="130">
        <f>IF(SER_hh_tesh!H29=0,0,SER_hh_tesh!H29/SER_summary!H$26)</f>
        <v>25.373485081683416</v>
      </c>
      <c r="I29" s="130">
        <f>IF(SER_hh_tesh!I29=0,0,SER_hh_tesh!I29/SER_summary!I$26)</f>
        <v>25.053221710447694</v>
      </c>
      <c r="J29" s="130">
        <f>IF(SER_hh_tesh!J29=0,0,SER_hh_tesh!J29/SER_summary!J$26)</f>
        <v>25.595345029470518</v>
      </c>
      <c r="K29" s="130">
        <f>IF(SER_hh_tesh!K29=0,0,SER_hh_tesh!K29/SER_summary!K$26)</f>
        <v>24.484876337644366</v>
      </c>
      <c r="L29" s="130">
        <f>IF(SER_hh_tesh!L29=0,0,SER_hh_tesh!L29/SER_summary!L$26)</f>
        <v>25.495821896366511</v>
      </c>
      <c r="M29" s="130">
        <f>IF(SER_hh_tesh!M29=0,0,SER_hh_tesh!M29/SER_summary!M$26)</f>
        <v>26.782285256810916</v>
      </c>
      <c r="N29" s="130">
        <f>IF(SER_hh_tesh!N29=0,0,SER_hh_tesh!N29/SER_summary!N$26)</f>
        <v>27.820291216799578</v>
      </c>
      <c r="O29" s="130">
        <f>IF(SER_hh_tesh!O29=0,0,SER_hh_tesh!O29/SER_summary!O$26)</f>
        <v>28.527508869628715</v>
      </c>
      <c r="P29" s="130">
        <f>IF(SER_hh_tesh!P29=0,0,SER_hh_tesh!P29/SER_summary!P$26)</f>
        <v>28.651387702468551</v>
      </c>
      <c r="Q29" s="130">
        <f>IF(SER_hh_tesh!Q29=0,0,SER_hh_tesh!Q29/SER_summary!Q$26)</f>
        <v>29.490551935464723</v>
      </c>
      <c r="R29" s="130">
        <f>IF(SER_hh_tesh!R29=0,0,SER_hh_tesh!R29/SER_summary!R$26)</f>
        <v>29.443170540287959</v>
      </c>
      <c r="S29" s="130">
        <f>IF(SER_hh_tesh!S29=0,0,SER_hh_tesh!S29/SER_summary!S$26)</f>
        <v>29.691532606746442</v>
      </c>
      <c r="T29" s="130">
        <f>IF(SER_hh_tesh!T29=0,0,SER_hh_tesh!T29/SER_summary!T$26)</f>
        <v>29.682763246113637</v>
      </c>
      <c r="U29" s="130">
        <f>IF(SER_hh_tesh!U29=0,0,SER_hh_tesh!U29/SER_summary!U$26)</f>
        <v>30.237888268946989</v>
      </c>
      <c r="V29" s="130">
        <f>IF(SER_hh_tesh!V29=0,0,SER_hh_tesh!V29/SER_summary!V$26)</f>
        <v>27.836340007313616</v>
      </c>
      <c r="W29" s="130">
        <f>IF(SER_hh_tesh!W29=0,0,SER_hh_tesh!W29/SER_summary!W$26)</f>
        <v>31.583899762301886</v>
      </c>
      <c r="X29" s="130">
        <f>IF(SER_hh_tesh!X29=0,0,SER_hh_tesh!X29/SER_summary!X$26)</f>
        <v>30.930402376677495</v>
      </c>
      <c r="Y29" s="130">
        <f>IF(SER_hh_tesh!Y29=0,0,SER_hh_tesh!Y29/SER_summary!Y$26)</f>
        <v>30.447673390481093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24.997819200554201</v>
      </c>
      <c r="C30" s="132">
        <f>IF(SER_hh_tesh!C30=0,0,SER_hh_tesh!C30/SER_summary!C$26)</f>
        <v>26.400757641026811</v>
      </c>
      <c r="D30" s="132">
        <f>IF(SER_hh_tesh!D30=0,0,SER_hh_tesh!D30/SER_summary!D$26)</f>
        <v>25.444425509481604</v>
      </c>
      <c r="E30" s="132">
        <f>IF(SER_hh_tesh!E30=0,0,SER_hh_tesh!E30/SER_summary!E$26)</f>
        <v>24.866943299926834</v>
      </c>
      <c r="F30" s="132">
        <f>IF(SER_hh_tesh!F30=0,0,SER_hh_tesh!F30/SER_summary!F$26)</f>
        <v>24.647477972373352</v>
      </c>
      <c r="G30" s="132">
        <f>IF(SER_hh_tesh!G30=0,0,SER_hh_tesh!G30/SER_summary!G$26)</f>
        <v>26.347008087324273</v>
      </c>
      <c r="H30" s="132">
        <f>IF(SER_hh_tesh!H30=0,0,SER_hh_tesh!H30/SER_summary!H$26)</f>
        <v>25.589130190321331</v>
      </c>
      <c r="I30" s="132">
        <f>IF(SER_hh_tesh!I30=0,0,SER_hh_tesh!I30/SER_summary!I$26)</f>
        <v>24.59947674363719</v>
      </c>
      <c r="J30" s="132">
        <f>IF(SER_hh_tesh!J30=0,0,SER_hh_tesh!J30/SER_summary!J$26)</f>
        <v>28.378070684687874</v>
      </c>
      <c r="K30" s="132">
        <f>IF(SER_hh_tesh!K30=0,0,SER_hh_tesh!K30/SER_summary!K$26)</f>
        <v>21.49565285614792</v>
      </c>
      <c r="L30" s="132">
        <f>IF(SER_hh_tesh!L30=0,0,SER_hh_tesh!L30/SER_summary!L$26)</f>
        <v>27.54558232064679</v>
      </c>
      <c r="M30" s="132">
        <f>IF(SER_hh_tesh!M30=0,0,SER_hh_tesh!M30/SER_summary!M$26)</f>
        <v>27.232217267627025</v>
      </c>
      <c r="N30" s="132">
        <f>IF(SER_hh_tesh!N30=0,0,SER_hh_tesh!N30/SER_summary!N$26)</f>
        <v>26.567584437772528</v>
      </c>
      <c r="O30" s="132">
        <f>IF(SER_hh_tesh!O30=0,0,SER_hh_tesh!O30/SER_summary!O$26)</f>
        <v>31.319617412951864</v>
      </c>
      <c r="P30" s="132">
        <f>IF(SER_hh_tesh!P30=0,0,SER_hh_tesh!P30/SER_summary!P$26)</f>
        <v>26.870446443118841</v>
      </c>
      <c r="Q30" s="132">
        <f>IF(SER_hh_tesh!Q30=0,0,SER_hh_tesh!Q30/SER_summary!Q$26)</f>
        <v>30.367300309346074</v>
      </c>
      <c r="R30" s="132">
        <f>IF(SER_hh_tesh!R30=0,0,SER_hh_tesh!R30/SER_summary!R$26)</f>
        <v>27.6097707020058</v>
      </c>
      <c r="S30" s="132">
        <f>IF(SER_hh_tesh!S30=0,0,SER_hh_tesh!S30/SER_summary!S$26)</f>
        <v>28.66422864461973</v>
      </c>
      <c r="T30" s="132">
        <f>IF(SER_hh_tesh!T30=0,0,SER_hh_tesh!T30/SER_summary!T$26)</f>
        <v>31.14467149290688</v>
      </c>
      <c r="U30" s="132">
        <f>IF(SER_hh_tesh!U30=0,0,SER_hh_tesh!U30/SER_summary!U$26)</f>
        <v>31.492736520242431</v>
      </c>
      <c r="V30" s="132">
        <f>IF(SER_hh_tesh!V30=0,0,SER_hh_tesh!V30/SER_summary!V$26)</f>
        <v>26.454305977633688</v>
      </c>
      <c r="W30" s="132">
        <f>IF(SER_hh_tesh!W30=0,0,SER_hh_tesh!W30/SER_summary!W$26)</f>
        <v>30.094446959902928</v>
      </c>
      <c r="X30" s="132">
        <f>IF(SER_hh_tesh!X30=0,0,SER_hh_tesh!X30/SER_summary!X$26)</f>
        <v>30.65319920040789</v>
      </c>
      <c r="Y30" s="132">
        <f>IF(SER_hh_tesh!Y30=0,0,SER_hh_tesh!Y30/SER_summary!Y$26)</f>
        <v>31.498852168107572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26.270116856057555</v>
      </c>
      <c r="C31" s="132">
        <f>IF(SER_hh_tesh!C31=0,0,SER_hh_tesh!C31/SER_summary!C$26)</f>
        <v>25.970704884605631</v>
      </c>
      <c r="D31" s="132">
        <f>IF(SER_hh_tesh!D31=0,0,SER_hh_tesh!D31/SER_summary!D$26)</f>
        <v>25.521890871828607</v>
      </c>
      <c r="E31" s="132">
        <f>IF(SER_hh_tesh!E31=0,0,SER_hh_tesh!E31/SER_summary!E$26)</f>
        <v>25.19837344295545</v>
      </c>
      <c r="F31" s="132">
        <f>IF(SER_hh_tesh!F31=0,0,SER_hh_tesh!F31/SER_summary!F$26)</f>
        <v>25.434078762762439</v>
      </c>
      <c r="G31" s="132">
        <f>IF(SER_hh_tesh!G31=0,0,SER_hh_tesh!G31/SER_summary!G$26)</f>
        <v>25.377330084083518</v>
      </c>
      <c r="H31" s="132">
        <f>IF(SER_hh_tesh!H31=0,0,SER_hh_tesh!H31/SER_summary!H$26)</f>
        <v>25.509700830509271</v>
      </c>
      <c r="I31" s="132">
        <f>IF(SER_hh_tesh!I31=0,0,SER_hh_tesh!I31/SER_summary!I$26)</f>
        <v>24.985045400774734</v>
      </c>
      <c r="J31" s="132">
        <f>IF(SER_hh_tesh!J31=0,0,SER_hh_tesh!J31/SER_summary!J$26)</f>
        <v>24.768318161027597</v>
      </c>
      <c r="K31" s="132">
        <f>IF(SER_hh_tesh!K31=0,0,SER_hh_tesh!K31/SER_summary!K$26)</f>
        <v>25.379251852274106</v>
      </c>
      <c r="L31" s="132">
        <f>IF(SER_hh_tesh!L31=0,0,SER_hh_tesh!L31/SER_summary!L$26)</f>
        <v>26.617285304747089</v>
      </c>
      <c r="M31" s="132">
        <f>IF(SER_hh_tesh!M31=0,0,SER_hh_tesh!M31/SER_summary!M$26)</f>
        <v>25.622813012665489</v>
      </c>
      <c r="N31" s="132">
        <f>IF(SER_hh_tesh!N31=0,0,SER_hh_tesh!N31/SER_summary!N$26)</f>
        <v>27.778994735145634</v>
      </c>
      <c r="O31" s="132">
        <f>IF(SER_hh_tesh!O31=0,0,SER_hh_tesh!O31/SER_summary!O$26)</f>
        <v>28.310715910170028</v>
      </c>
      <c r="P31" s="132">
        <f>IF(SER_hh_tesh!P31=0,0,SER_hh_tesh!P31/SER_summary!P$26)</f>
        <v>28.249187632859446</v>
      </c>
      <c r="Q31" s="132">
        <f>IF(SER_hh_tesh!Q31=0,0,SER_hh_tesh!Q31/SER_summary!Q$26)</f>
        <v>30.445858717845585</v>
      </c>
      <c r="R31" s="132">
        <f>IF(SER_hh_tesh!R31=0,0,SER_hh_tesh!R31/SER_summary!R$26)</f>
        <v>29.658617996511708</v>
      </c>
      <c r="S31" s="132">
        <f>IF(SER_hh_tesh!S31=0,0,SER_hh_tesh!S31/SER_summary!S$26)</f>
        <v>28.918892196245917</v>
      </c>
      <c r="T31" s="132">
        <f>IF(SER_hh_tesh!T31=0,0,SER_hh_tesh!T31/SER_summary!T$26)</f>
        <v>29.940632619104228</v>
      </c>
      <c r="U31" s="132">
        <f>IF(SER_hh_tesh!U31=0,0,SER_hh_tesh!U31/SER_summary!U$26)</f>
        <v>31.034305971907159</v>
      </c>
      <c r="V31" s="132">
        <f>IF(SER_hh_tesh!V31=0,0,SER_hh_tesh!V31/SER_summary!V$26)</f>
        <v>24.476190892213594</v>
      </c>
      <c r="W31" s="132">
        <f>IF(SER_hh_tesh!W31=0,0,SER_hh_tesh!W31/SER_summary!W$26)</f>
        <v>33.36974025490462</v>
      </c>
      <c r="X31" s="132">
        <f>IF(SER_hh_tesh!X31=0,0,SER_hh_tesh!X31/SER_summary!X$26)</f>
        <v>31.912524971746631</v>
      </c>
      <c r="Y31" s="132">
        <f>IF(SER_hh_tesh!Y31=0,0,SER_hh_tesh!Y31/SER_summary!Y$26)</f>
        <v>30.431719890703128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0</v>
      </c>
      <c r="H32" s="132">
        <f>IF(SER_hh_tesh!H32=0,0,SER_hh_tesh!H32/SER_summary!H$26)</f>
        <v>0</v>
      </c>
      <c r="I32" s="132">
        <f>IF(SER_hh_tesh!I32=0,0,SER_hh_tesh!I32/SER_summary!I$26)</f>
        <v>0</v>
      </c>
      <c r="J32" s="132">
        <f>IF(SER_hh_tesh!J32=0,0,SER_hh_tesh!J32/SER_summary!J$26)</f>
        <v>0</v>
      </c>
      <c r="K32" s="132">
        <f>IF(SER_hh_tesh!K32=0,0,SER_hh_tesh!K32/SER_summary!K$26)</f>
        <v>0</v>
      </c>
      <c r="L32" s="132">
        <f>IF(SER_hh_tesh!L32=0,0,SER_hh_tesh!L32/SER_summary!L$26)</f>
        <v>0</v>
      </c>
      <c r="M32" s="132">
        <f>IF(SER_hh_tesh!M32=0,0,SER_hh_tesh!M32/SER_summary!M$26)</f>
        <v>0</v>
      </c>
      <c r="N32" s="132">
        <f>IF(SER_hh_tesh!N32=0,0,SER_hh_tesh!N32/SER_summary!N$26)</f>
        <v>0</v>
      </c>
      <c r="O32" s="132">
        <f>IF(SER_hh_tesh!O32=0,0,SER_hh_tesh!O32/SER_summary!O$26)</f>
        <v>0</v>
      </c>
      <c r="P32" s="132">
        <f>IF(SER_hh_tesh!P32=0,0,SER_hh_tesh!P32/SER_summary!P$26)</f>
        <v>0</v>
      </c>
      <c r="Q32" s="132">
        <f>IF(SER_hh_tesh!Q32=0,0,SER_hh_tesh!Q32/SER_summary!Q$26)</f>
        <v>0</v>
      </c>
      <c r="R32" s="132">
        <f>IF(SER_hh_tesh!R32=0,0,SER_hh_tesh!R32/SER_summary!R$26)</f>
        <v>0</v>
      </c>
      <c r="S32" s="132">
        <f>IF(SER_hh_tesh!S32=0,0,SER_hh_tesh!S32/SER_summary!S$26)</f>
        <v>0</v>
      </c>
      <c r="T32" s="132">
        <f>IF(SER_hh_tesh!T32=0,0,SER_hh_tesh!T32/SER_summary!T$26)</f>
        <v>0</v>
      </c>
      <c r="U32" s="132">
        <f>IF(SER_hh_tesh!U32=0,0,SER_hh_tesh!U32/SER_summary!U$26)</f>
        <v>0</v>
      </c>
      <c r="V32" s="132">
        <f>IF(SER_hh_tesh!V32=0,0,SER_hh_tesh!V32/SER_summary!V$26)</f>
        <v>0</v>
      </c>
      <c r="W32" s="132">
        <f>IF(SER_hh_tesh!W32=0,0,SER_hh_tesh!W32/SER_summary!W$26)</f>
        <v>0</v>
      </c>
      <c r="X32" s="132">
        <f>IF(SER_hh_tesh!X32=0,0,SER_hh_tesh!X32/SER_summary!X$26)</f>
        <v>0</v>
      </c>
      <c r="Y32" s="132">
        <f>IF(SER_hh_tesh!Y32=0,0,SER_hh_tesh!Y32/SER_summary!Y$26)</f>
        <v>0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26.682277340721491</v>
      </c>
      <c r="C33" s="68">
        <f>IF(SER_hh_tesh!C33=0,0,SER_hh_tesh!C33/SER_summary!C$26)</f>
        <v>25.573896986187954</v>
      </c>
      <c r="D33" s="68">
        <f>IF(SER_hh_tesh!D33=0,0,SER_hh_tesh!D33/SER_summary!D$26)</f>
        <v>25.82507032797297</v>
      </c>
      <c r="E33" s="68">
        <f>IF(SER_hh_tesh!E33=0,0,SER_hh_tesh!E33/SER_summary!E$26)</f>
        <v>26.334260683938886</v>
      </c>
      <c r="F33" s="68">
        <f>IF(SER_hh_tesh!F33=0,0,SER_hh_tesh!F33/SER_summary!F$26)</f>
        <v>25.996867606268651</v>
      </c>
      <c r="G33" s="68">
        <f>IF(SER_hh_tesh!G33=0,0,SER_hh_tesh!G33/SER_summary!G$26)</f>
        <v>24.608456162365488</v>
      </c>
      <c r="H33" s="68">
        <f>IF(SER_hh_tesh!H33=0,0,SER_hh_tesh!H33/SER_summary!H$26)</f>
        <v>25.09238394585935</v>
      </c>
      <c r="I33" s="68">
        <f>IF(SER_hh_tesh!I33=0,0,SER_hh_tesh!I33/SER_summary!I$26)</f>
        <v>25.608539244663238</v>
      </c>
      <c r="J33" s="68">
        <f>IF(SER_hh_tesh!J33=0,0,SER_hh_tesh!J33/SER_summary!J$26)</f>
        <v>22.79045808385613</v>
      </c>
      <c r="K33" s="68">
        <f>IF(SER_hh_tesh!K33=0,0,SER_hh_tesh!K33/SER_summary!K$26)</f>
        <v>27.395353674756699</v>
      </c>
      <c r="L33" s="68">
        <f>IF(SER_hh_tesh!L33=0,0,SER_hh_tesh!L33/SER_summary!L$26)</f>
        <v>22.775165623272397</v>
      </c>
      <c r="M33" s="68">
        <f>IF(SER_hh_tesh!M33=0,0,SER_hh_tesh!M33/SER_summary!M$26)</f>
        <v>26.681552041963489</v>
      </c>
      <c r="N33" s="68">
        <f>IF(SER_hh_tesh!N33=0,0,SER_hh_tesh!N33/SER_summary!N$26)</f>
        <v>29.115572185774791</v>
      </c>
      <c r="O33" s="68">
        <f>IF(SER_hh_tesh!O33=0,0,SER_hh_tesh!O33/SER_summary!O$26)</f>
        <v>25.831700946605046</v>
      </c>
      <c r="P33" s="68">
        <f>IF(SER_hh_tesh!P33=0,0,SER_hh_tesh!P33/SER_summary!P$26)</f>
        <v>30.208856767623825</v>
      </c>
      <c r="Q33" s="68">
        <f>IF(SER_hh_tesh!Q33=0,0,SER_hh_tesh!Q33/SER_summary!Q$26)</f>
        <v>28.583824205851474</v>
      </c>
      <c r="R33" s="68">
        <f>IF(SER_hh_tesh!R33=0,0,SER_hh_tesh!R33/SER_summary!R$26)</f>
        <v>30.536111629995357</v>
      </c>
      <c r="S33" s="68">
        <f>IF(SER_hh_tesh!S33=0,0,SER_hh_tesh!S33/SER_summary!S$26)</f>
        <v>30.487217618309284</v>
      </c>
      <c r="T33" s="68">
        <f>IF(SER_hh_tesh!T33=0,0,SER_hh_tesh!T33/SER_summary!T$26)</f>
        <v>28.768112783179589</v>
      </c>
      <c r="U33" s="68">
        <f>IF(SER_hh_tesh!U33=0,0,SER_hh_tesh!U33/SER_summary!U$26)</f>
        <v>29.369130200717738</v>
      </c>
      <c r="V33" s="68">
        <f>IF(SER_hh_tesh!V33=0,0,SER_hh_tesh!V33/SER_summary!V$26)</f>
        <v>29.21251647955749</v>
      </c>
      <c r="W33" s="68">
        <f>IF(SER_hh_tesh!W33=0,0,SER_hh_tesh!W33/SER_summary!W$26)</f>
        <v>31.970084340074543</v>
      </c>
      <c r="X33" s="68">
        <f>IF(SER_hh_tesh!X33=0,0,SER_hh_tesh!X33/SER_summary!X$26)</f>
        <v>30.864642332176558</v>
      </c>
      <c r="Y33" s="68">
        <f>IF(SER_hh_tesh!Y33=0,0,SER_hh_tesh!Y33/SER_summary!Y$26)</f>
        <v>29.838114582192897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54.110050831568856</v>
      </c>
      <c r="C3" s="125">
        <f>IF(SER_hh_emih!C3=0,0,SER_hh_emih!C3/SER_summary!C$26)</f>
        <v>51.596907817865919</v>
      </c>
      <c r="D3" s="125">
        <f>IF(SER_hh_emih!D3=0,0,SER_hh_emih!D3/SER_summary!D$26)</f>
        <v>47.917053084463419</v>
      </c>
      <c r="E3" s="125">
        <f>IF(SER_hh_emih!E3=0,0,SER_hh_emih!E3/SER_summary!E$26)</f>
        <v>48.457247889460831</v>
      </c>
      <c r="F3" s="125">
        <f>IF(SER_hh_emih!F3=0,0,SER_hh_emih!F3/SER_summary!F$26)</f>
        <v>45.117509108380688</v>
      </c>
      <c r="G3" s="125">
        <f>IF(SER_hh_emih!G3=0,0,SER_hh_emih!G3/SER_summary!G$26)</f>
        <v>44.615362856210339</v>
      </c>
      <c r="H3" s="125">
        <f>IF(SER_hh_emih!H3=0,0,SER_hh_emih!H3/SER_summary!H$26)</f>
        <v>42.953666166650194</v>
      </c>
      <c r="I3" s="125">
        <f>IF(SER_hh_emih!I3=0,0,SER_hh_emih!I3/SER_summary!I$26)</f>
        <v>39.446218108238682</v>
      </c>
      <c r="J3" s="125">
        <f>IF(SER_hh_emih!J3=0,0,SER_hh_emih!J3/SER_summary!J$26)</f>
        <v>40.126620599096348</v>
      </c>
      <c r="K3" s="125">
        <f>IF(SER_hh_emih!K3=0,0,SER_hh_emih!K3/SER_summary!K$26)</f>
        <v>33.09437457701204</v>
      </c>
      <c r="L3" s="125">
        <f>IF(SER_hh_emih!L3=0,0,SER_hh_emih!L3/SER_summary!L$26)</f>
        <v>36.294664969592262</v>
      </c>
      <c r="M3" s="125">
        <f>IF(SER_hh_emih!M3=0,0,SER_hh_emih!M3/SER_summary!M$26)</f>
        <v>32.891541736885607</v>
      </c>
      <c r="N3" s="125">
        <f>IF(SER_hh_emih!N3=0,0,SER_hh_emih!N3/SER_summary!N$26)</f>
        <v>34.424933387134139</v>
      </c>
      <c r="O3" s="125">
        <f>IF(SER_hh_emih!O3=0,0,SER_hh_emih!O3/SER_summary!O$26)</f>
        <v>36.663217630441395</v>
      </c>
      <c r="P3" s="125">
        <f>IF(SER_hh_emih!P3=0,0,SER_hh_emih!P3/SER_summary!P$26)</f>
        <v>33.4902960075203</v>
      </c>
      <c r="Q3" s="125">
        <f>IF(SER_hh_emih!Q3=0,0,SER_hh_emih!Q3/SER_summary!Q$26)</f>
        <v>36.631758158868777</v>
      </c>
      <c r="R3" s="125">
        <f>IF(SER_hh_emih!R3=0,0,SER_hh_emih!R3/SER_summary!R$26)</f>
        <v>33.613147246807998</v>
      </c>
      <c r="S3" s="125">
        <f>IF(SER_hh_emih!S3=0,0,SER_hh_emih!S3/SER_summary!S$26)</f>
        <v>31.679577560147212</v>
      </c>
      <c r="T3" s="125">
        <f>IF(SER_hh_emih!T3=0,0,SER_hh_emih!T3/SER_summary!T$26)</f>
        <v>33.705828176671965</v>
      </c>
      <c r="U3" s="125">
        <f>IF(SER_hh_emih!U3=0,0,SER_hh_emih!U3/SER_summary!U$26)</f>
        <v>32.924021894421656</v>
      </c>
      <c r="V3" s="125">
        <f>IF(SER_hh_emih!V3=0,0,SER_hh_emih!V3/SER_summary!V$26)</f>
        <v>28.189210726481807</v>
      </c>
      <c r="W3" s="125">
        <f>IF(SER_hh_emih!W3=0,0,SER_hh_emih!W3/SER_summary!W$26)</f>
        <v>29.302400987749415</v>
      </c>
      <c r="X3" s="125">
        <f>IF(SER_hh_emih!X3=0,0,SER_hh_emih!X3/SER_summary!X$26)</f>
        <v>28.769658553914834</v>
      </c>
      <c r="Y3" s="125">
        <f>IF(SER_hh_emih!Y3=0,0,SER_hh_emih!Y3/SER_summary!Y$26)</f>
        <v>27.521653470351307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44.312699927873879</v>
      </c>
      <c r="C4" s="130">
        <f>IF(SER_hh_emih!C4=0,0,SER_hh_emih!C4/SER_summary!C$26)</f>
        <v>41.665102337768765</v>
      </c>
      <c r="D4" s="130">
        <f>IF(SER_hh_emih!D4=0,0,SER_hh_emih!D4/SER_summary!D$26)</f>
        <v>38.262717853707613</v>
      </c>
      <c r="E4" s="130">
        <f>IF(SER_hh_emih!E4=0,0,SER_hh_emih!E4/SER_summary!E$26)</f>
        <v>39.045889855436265</v>
      </c>
      <c r="F4" s="130">
        <f>IF(SER_hh_emih!F4=0,0,SER_hh_emih!F4/SER_summary!F$26)</f>
        <v>35.599541199210329</v>
      </c>
      <c r="G4" s="130">
        <f>IF(SER_hh_emih!G4=0,0,SER_hh_emih!G4/SER_summary!G$26)</f>
        <v>34.848009911937908</v>
      </c>
      <c r="H4" s="130">
        <f>IF(SER_hh_emih!H4=0,0,SER_hh_emih!H4/SER_summary!H$26)</f>
        <v>33.420465123033608</v>
      </c>
      <c r="I4" s="130">
        <f>IF(SER_hh_emih!I4=0,0,SER_hh_emih!I4/SER_summary!I$26)</f>
        <v>30.198399043874833</v>
      </c>
      <c r="J4" s="130">
        <f>IF(SER_hh_emih!J4=0,0,SER_hh_emih!J4/SER_summary!J$26)</f>
        <v>30.421181986635489</v>
      </c>
      <c r="K4" s="130">
        <f>IF(SER_hh_emih!K4=0,0,SER_hh_emih!K4/SER_summary!K$26)</f>
        <v>24.498164315669193</v>
      </c>
      <c r="L4" s="130">
        <f>IF(SER_hh_emih!L4=0,0,SER_hh_emih!L4/SER_summary!L$26)</f>
        <v>26.339552288426496</v>
      </c>
      <c r="M4" s="130">
        <f>IF(SER_hh_emih!M4=0,0,SER_hh_emih!M4/SER_summary!M$26)</f>
        <v>23.286514759336161</v>
      </c>
      <c r="N4" s="130">
        <f>IF(SER_hh_emih!N4=0,0,SER_hh_emih!N4/SER_summary!N$26)</f>
        <v>24.934469907734194</v>
      </c>
      <c r="O4" s="130">
        <f>IF(SER_hh_emih!O4=0,0,SER_hh_emih!O4/SER_summary!O$26)</f>
        <v>26.461335527152904</v>
      </c>
      <c r="P4" s="130">
        <f>IF(SER_hh_emih!P4=0,0,SER_hh_emih!P4/SER_summary!P$26)</f>
        <v>24.448936025029006</v>
      </c>
      <c r="Q4" s="130">
        <f>IF(SER_hh_emih!Q4=0,0,SER_hh_emih!Q4/SER_summary!Q$26)</f>
        <v>27.193088097460524</v>
      </c>
      <c r="R4" s="130">
        <f>IF(SER_hh_emih!R4=0,0,SER_hh_emih!R4/SER_summary!R$26)</f>
        <v>25.246901881029569</v>
      </c>
      <c r="S4" s="130">
        <f>IF(SER_hh_emih!S4=0,0,SER_hh_emih!S4/SER_summary!S$26)</f>
        <v>23.392278568580092</v>
      </c>
      <c r="T4" s="130">
        <f>IF(SER_hh_emih!T4=0,0,SER_hh_emih!T4/SER_summary!T$26)</f>
        <v>25.504389123225838</v>
      </c>
      <c r="U4" s="130">
        <f>IF(SER_hh_emih!U4=0,0,SER_hh_emih!U4/SER_summary!U$26)</f>
        <v>24.882793900989832</v>
      </c>
      <c r="V4" s="130">
        <f>IF(SER_hh_emih!V4=0,0,SER_hh_emih!V4/SER_summary!V$26)</f>
        <v>21.847554197227165</v>
      </c>
      <c r="W4" s="130">
        <f>IF(SER_hh_emih!W4=0,0,SER_hh_emih!W4/SER_summary!W$26)</f>
        <v>21.715758420685006</v>
      </c>
      <c r="X4" s="130">
        <f>IF(SER_hh_emih!X4=0,0,SER_hh_emih!X4/SER_summary!X$26)</f>
        <v>21.104956226320638</v>
      </c>
      <c r="Y4" s="130">
        <f>IF(SER_hh_emih!Y4=0,0,SER_hh_emih!Y4/SER_summary!Y$26)</f>
        <v>19.707170017257091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45.380480200143005</v>
      </c>
      <c r="C5" s="132">
        <f>IF(SER_hh_emih!C5=0,0,SER_hh_emih!C5/SER_summary!C$26)</f>
        <v>51.36315603148639</v>
      </c>
      <c r="D5" s="132">
        <f>IF(SER_hh_emih!D5=0,0,SER_hh_emih!D5/SER_summary!D$26)</f>
        <v>25.038110740744187</v>
      </c>
      <c r="E5" s="132">
        <f>IF(SER_hh_emih!E5=0,0,SER_hh_emih!E5/SER_summary!E$26)</f>
        <v>116.7288043373168</v>
      </c>
      <c r="F5" s="132">
        <f>IF(SER_hh_emih!F5=0,0,SER_hh_emih!F5/SER_summary!F$26)</f>
        <v>98.260052928475417</v>
      </c>
      <c r="G5" s="132">
        <f>IF(SER_hh_emih!G5=0,0,SER_hh_emih!G5/SER_summary!G$26)</f>
        <v>96.406111027191045</v>
      </c>
      <c r="H5" s="132">
        <f>IF(SER_hh_emih!H5=0,0,SER_hh_emih!H5/SER_summary!H$26)</f>
        <v>96.785897639272434</v>
      </c>
      <c r="I5" s="132">
        <f>IF(SER_hh_emih!I5=0,0,SER_hh_emih!I5/SER_summary!I$26)</f>
        <v>100.53855144033481</v>
      </c>
      <c r="J5" s="132">
        <f>IF(SER_hh_emih!J5=0,0,SER_hh_emih!J5/SER_summary!J$26)</f>
        <v>120.93379894122836</v>
      </c>
      <c r="K5" s="132">
        <f>IF(SER_hh_emih!K5=0,0,SER_hh_emih!K5/SER_summary!K$26)</f>
        <v>6.4029279906226941</v>
      </c>
      <c r="L5" s="132">
        <f>IF(SER_hh_emih!L5=0,0,SER_hh_emih!L5/SER_summary!L$26)</f>
        <v>24.242192671945443</v>
      </c>
      <c r="M5" s="132">
        <f>IF(SER_hh_emih!M5=0,0,SER_hh_emih!M5/SER_summary!M$26)</f>
        <v>108.43138660620492</v>
      </c>
      <c r="N5" s="132">
        <f>IF(SER_hh_emih!N5=0,0,SER_hh_emih!N5/SER_summary!N$26)</f>
        <v>63.151866532262964</v>
      </c>
      <c r="O5" s="132">
        <f>IF(SER_hh_emih!O5=0,0,SER_hh_emih!O5/SER_summary!O$26)</f>
        <v>74.968302332354796</v>
      </c>
      <c r="P5" s="132">
        <f>IF(SER_hh_emih!P5=0,0,SER_hh_emih!P5/SER_summary!P$26)</f>
        <v>59.653672337288882</v>
      </c>
      <c r="Q5" s="132">
        <f>IF(SER_hh_emih!Q5=0,0,SER_hh_emih!Q5/SER_summary!Q$26)</f>
        <v>58.691576062266613</v>
      </c>
      <c r="R5" s="132">
        <f>IF(SER_hh_emih!R5=0,0,SER_hh_emih!R5/SER_summary!R$26)</f>
        <v>102.25729191970591</v>
      </c>
      <c r="S5" s="132">
        <f>IF(SER_hh_emih!S5=0,0,SER_hh_emih!S5/SER_summary!S$26)</f>
        <v>85.438524102400649</v>
      </c>
      <c r="T5" s="132">
        <f>IF(SER_hh_emih!T5=0,0,SER_hh_emih!T5/SER_summary!T$26)</f>
        <v>95.65482779089578</v>
      </c>
      <c r="U5" s="132">
        <f>IF(SER_hh_emih!U5=0,0,SER_hh_emih!U5/SER_summary!U$26)</f>
        <v>96.73021558969937</v>
      </c>
      <c r="V5" s="132">
        <f>IF(SER_hh_emih!V5=0,0,SER_hh_emih!V5/SER_summary!V$26)</f>
        <v>52.919359517992582</v>
      </c>
      <c r="W5" s="132">
        <f>IF(SER_hh_emih!W5=0,0,SER_hh_emih!W5/SER_summary!W$26)</f>
        <v>67.781803180988504</v>
      </c>
      <c r="X5" s="132">
        <f>IF(SER_hh_emih!X5=0,0,SER_hh_emih!X5/SER_summary!X$26)</f>
        <v>75.562875868004028</v>
      </c>
      <c r="Y5" s="132">
        <f>IF(SER_hh_emih!Y5=0,0,SER_hh_emih!Y5/SER_summary!Y$26)</f>
        <v>73.858254773826943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71.497250792101894</v>
      </c>
      <c r="C7" s="132">
        <f>IF(SER_hh_emih!C7=0,0,SER_hh_emih!C7/SER_summary!C$26)</f>
        <v>69.317768127904174</v>
      </c>
      <c r="D7" s="132">
        <f>IF(SER_hh_emih!D7=0,0,SER_hh_emih!D7/SER_summary!D$26)</f>
        <v>71.684603019718338</v>
      </c>
      <c r="E7" s="132">
        <f>IF(SER_hh_emih!E7=0,0,SER_hh_emih!E7/SER_summary!E$26)</f>
        <v>74.507885772117845</v>
      </c>
      <c r="F7" s="132">
        <f>IF(SER_hh_emih!F7=0,0,SER_hh_emih!F7/SER_summary!F$26)</f>
        <v>72.424140970554973</v>
      </c>
      <c r="G7" s="132">
        <f>IF(SER_hh_emih!G7=0,0,SER_hh_emih!G7/SER_summary!G$26)</f>
        <v>81.626331346380965</v>
      </c>
      <c r="H7" s="132">
        <f>IF(SER_hh_emih!H7=0,0,SER_hh_emih!H7/SER_summary!H$26)</f>
        <v>81.708113797383305</v>
      </c>
      <c r="I7" s="132">
        <f>IF(SER_hh_emih!I7=0,0,SER_hh_emih!I7/SER_summary!I$26)</f>
        <v>79.661353319981103</v>
      </c>
      <c r="J7" s="132">
        <f>IF(SER_hh_emih!J7=0,0,SER_hh_emih!J7/SER_summary!J$26)</f>
        <v>87.801023618897631</v>
      </c>
      <c r="K7" s="132">
        <f>IF(SER_hh_emih!K7=0,0,SER_hh_emih!K7/SER_summary!K$26)</f>
        <v>74.072017969630039</v>
      </c>
      <c r="L7" s="132">
        <f>IF(SER_hh_emih!L7=0,0,SER_hh_emih!L7/SER_summary!L$26)</f>
        <v>76.478156403646864</v>
      </c>
      <c r="M7" s="132">
        <f>IF(SER_hh_emih!M7=0,0,SER_hh_emih!M7/SER_summary!M$26)</f>
        <v>67.33185417598213</v>
      </c>
      <c r="N7" s="132">
        <f>IF(SER_hh_emih!N7=0,0,SER_hh_emih!N7/SER_summary!N$26)</f>
        <v>61.856694141385553</v>
      </c>
      <c r="O7" s="132">
        <f>IF(SER_hh_emih!O7=0,0,SER_hh_emih!O7/SER_summary!O$26)</f>
        <v>72.335620115042005</v>
      </c>
      <c r="P7" s="132">
        <f>IF(SER_hh_emih!P7=0,0,SER_hh_emih!P7/SER_summary!P$26)</f>
        <v>64.867169582774608</v>
      </c>
      <c r="Q7" s="132">
        <f>IF(SER_hh_emih!Q7=0,0,SER_hh_emih!Q7/SER_summary!Q$26)</f>
        <v>69.869329069226026</v>
      </c>
      <c r="R7" s="132">
        <f>IF(SER_hh_emih!R7=0,0,SER_hh_emih!R7/SER_summary!R$26)</f>
        <v>67.788572698323875</v>
      </c>
      <c r="S7" s="132">
        <f>IF(SER_hh_emih!S7=0,0,SER_hh_emih!S7/SER_summary!S$26)</f>
        <v>64.401268181993601</v>
      </c>
      <c r="T7" s="132">
        <f>IF(SER_hh_emih!T7=0,0,SER_hh_emih!T7/SER_summary!T$26)</f>
        <v>74.267239460412611</v>
      </c>
      <c r="U7" s="132">
        <f>IF(SER_hh_emih!U7=0,0,SER_hh_emih!U7/SER_summary!U$26)</f>
        <v>70.874720761119832</v>
      </c>
      <c r="V7" s="132">
        <f>IF(SER_hh_emih!V7=0,0,SER_hh_emih!V7/SER_summary!V$26)</f>
        <v>64.231041259002126</v>
      </c>
      <c r="W7" s="132">
        <f>IF(SER_hh_emih!W7=0,0,SER_hh_emih!W7/SER_summary!W$26)</f>
        <v>62.625758306632292</v>
      </c>
      <c r="X7" s="132">
        <f>IF(SER_hh_emih!X7=0,0,SER_hh_emih!X7/SER_summary!X$26)</f>
        <v>61.764325785311499</v>
      </c>
      <c r="Y7" s="132">
        <f>IF(SER_hh_emih!Y7=0,0,SER_hh_emih!Y7/SER_summary!Y$26)</f>
        <v>59.803249913863404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0</v>
      </c>
      <c r="C8" s="132">
        <f>IF(SER_hh_emih!C8=0,0,SER_hh_emih!C8/SER_summary!C$26)</f>
        <v>0</v>
      </c>
      <c r="D8" s="132">
        <f>IF(SER_hh_emih!D8=0,0,SER_hh_emih!D8/SER_summary!D$26)</f>
        <v>0</v>
      </c>
      <c r="E8" s="132">
        <f>IF(SER_hh_emih!E8=0,0,SER_hh_emih!E8/SER_summary!E$26)</f>
        <v>0</v>
      </c>
      <c r="F8" s="132">
        <f>IF(SER_hh_emih!F8=0,0,SER_hh_emih!F8/SER_summary!F$26)</f>
        <v>0</v>
      </c>
      <c r="G8" s="132">
        <f>IF(SER_hh_emih!G8=0,0,SER_hh_emih!G8/SER_summary!G$26)</f>
        <v>0</v>
      </c>
      <c r="H8" s="132">
        <f>IF(SER_hh_emih!H8=0,0,SER_hh_emih!H8/SER_summary!H$26)</f>
        <v>0</v>
      </c>
      <c r="I8" s="132">
        <f>IF(SER_hh_emih!I8=0,0,SER_hh_emih!I8/SER_summary!I$26)</f>
        <v>0</v>
      </c>
      <c r="J8" s="132">
        <f>IF(SER_hh_emih!J8=0,0,SER_hh_emih!J8/SER_summary!J$26)</f>
        <v>0</v>
      </c>
      <c r="K8" s="132">
        <f>IF(SER_hh_emih!K8=0,0,SER_hh_emih!K8/SER_summary!K$26)</f>
        <v>0</v>
      </c>
      <c r="L8" s="132">
        <f>IF(SER_hh_emih!L8=0,0,SER_hh_emih!L8/SER_summary!L$26)</f>
        <v>0</v>
      </c>
      <c r="M8" s="132">
        <f>IF(SER_hh_emih!M8=0,0,SER_hh_emih!M8/SER_summary!M$26)</f>
        <v>0</v>
      </c>
      <c r="N8" s="132">
        <f>IF(SER_hh_emih!N8=0,0,SER_hh_emih!N8/SER_summary!N$26)</f>
        <v>0</v>
      </c>
      <c r="O8" s="132">
        <f>IF(SER_hh_emih!O8=0,0,SER_hh_emih!O8/SER_summary!O$26)</f>
        <v>0</v>
      </c>
      <c r="P8" s="132">
        <f>IF(SER_hh_emih!P8=0,0,SER_hh_emih!P8/SER_summary!P$26)</f>
        <v>0</v>
      </c>
      <c r="Q8" s="132">
        <f>IF(SER_hh_emih!Q8=0,0,SER_hh_emih!Q8/SER_summary!Q$26)</f>
        <v>0</v>
      </c>
      <c r="R8" s="132">
        <f>IF(SER_hh_emih!R8=0,0,SER_hh_emih!R8/SER_summary!R$26)</f>
        <v>0</v>
      </c>
      <c r="S8" s="132">
        <f>IF(SER_hh_emih!S8=0,0,SER_hh_emih!S8/SER_summary!S$26)</f>
        <v>0</v>
      </c>
      <c r="T8" s="132">
        <f>IF(SER_hh_emih!T8=0,0,SER_hh_emih!T8/SER_summary!T$26)</f>
        <v>0</v>
      </c>
      <c r="U8" s="132">
        <f>IF(SER_hh_emih!U8=0,0,SER_hh_emih!U8/SER_summary!U$26)</f>
        <v>0</v>
      </c>
      <c r="V8" s="132">
        <f>IF(SER_hh_emih!V8=0,0,SER_hh_emih!V8/SER_summary!V$26)</f>
        <v>0</v>
      </c>
      <c r="W8" s="132">
        <f>IF(SER_hh_emih!W8=0,0,SER_hh_emih!W8/SER_summary!W$26)</f>
        <v>0</v>
      </c>
      <c r="X8" s="132">
        <f>IF(SER_hh_emih!X8=0,0,SER_hh_emih!X8/SER_summary!X$26)</f>
        <v>0</v>
      </c>
      <c r="Y8" s="132">
        <f>IF(SER_hh_emih!Y8=0,0,SER_hh_emih!Y8/SER_summary!Y$26)</f>
        <v>0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49.342108891956663</v>
      </c>
      <c r="C9" s="132">
        <f>IF(SER_hh_emih!C9=0,0,SER_hh_emih!C9/SER_summary!C$26)</f>
        <v>49.573100532692081</v>
      </c>
      <c r="D9" s="132">
        <f>IF(SER_hh_emih!D9=0,0,SER_hh_emih!D9/SER_summary!D$26)</f>
        <v>48.181742789908569</v>
      </c>
      <c r="E9" s="132">
        <f>IF(SER_hh_emih!E9=0,0,SER_hh_emih!E9/SER_summary!E$26)</f>
        <v>50.519775851326791</v>
      </c>
      <c r="F9" s="132">
        <f>IF(SER_hh_emih!F9=0,0,SER_hh_emih!F9/SER_summary!F$26)</f>
        <v>50.33054291449055</v>
      </c>
      <c r="G9" s="132">
        <f>IF(SER_hh_emih!G9=0,0,SER_hh_emih!G9/SER_summary!G$26)</f>
        <v>50.363474951932375</v>
      </c>
      <c r="H9" s="132">
        <f>IF(SER_hh_emih!H9=0,0,SER_hh_emih!H9/SER_summary!H$26)</f>
        <v>54.923155009675334</v>
      </c>
      <c r="I9" s="132">
        <f>IF(SER_hh_emih!I9=0,0,SER_hh_emih!I9/SER_summary!I$26)</f>
        <v>54.982878050917755</v>
      </c>
      <c r="J9" s="132">
        <f>IF(SER_hh_emih!J9=0,0,SER_hh_emih!J9/SER_summary!J$26)</f>
        <v>55.765164088631934</v>
      </c>
      <c r="K9" s="132">
        <f>IF(SER_hh_emih!K9=0,0,SER_hh_emih!K9/SER_summary!K$26)</f>
        <v>49.496569749365129</v>
      </c>
      <c r="L9" s="132">
        <f>IF(SER_hh_emih!L9=0,0,SER_hh_emih!L9/SER_summary!L$26)</f>
        <v>52.719498946896074</v>
      </c>
      <c r="M9" s="132">
        <f>IF(SER_hh_emih!M9=0,0,SER_hh_emih!M9/SER_summary!M$26)</f>
        <v>46.648936313540887</v>
      </c>
      <c r="N9" s="132">
        <f>IF(SER_hh_emih!N9=0,0,SER_hh_emih!N9/SER_summary!N$26)</f>
        <v>51.098480342035984</v>
      </c>
      <c r="O9" s="132">
        <f>IF(SER_hh_emih!O9=0,0,SER_hh_emih!O9/SER_summary!O$26)</f>
        <v>48.472237541701958</v>
      </c>
      <c r="P9" s="132">
        <f>IF(SER_hh_emih!P9=0,0,SER_hh_emih!P9/SER_summary!P$26)</f>
        <v>44.39313114465476</v>
      </c>
      <c r="Q9" s="132">
        <f>IF(SER_hh_emih!Q9=0,0,SER_hh_emih!Q9/SER_summary!Q$26)</f>
        <v>50.86110118470441</v>
      </c>
      <c r="R9" s="132">
        <f>IF(SER_hh_emih!R9=0,0,SER_hh_emih!R9/SER_summary!R$26)</f>
        <v>48.029791344044462</v>
      </c>
      <c r="S9" s="132">
        <f>IF(SER_hh_emih!S9=0,0,SER_hh_emih!S9/SER_summary!S$26)</f>
        <v>45.527079475967682</v>
      </c>
      <c r="T9" s="132">
        <f>IF(SER_hh_emih!T9=0,0,SER_hh_emih!T9/SER_summary!T$26)</f>
        <v>49.676147419545934</v>
      </c>
      <c r="U9" s="132">
        <f>IF(SER_hh_emih!U9=0,0,SER_hh_emih!U9/SER_summary!U$26)</f>
        <v>48.250963707955421</v>
      </c>
      <c r="V9" s="132">
        <f>IF(SER_hh_emih!V9=0,0,SER_hh_emih!V9/SER_summary!V$26)</f>
        <v>41.56502754547315</v>
      </c>
      <c r="W9" s="132">
        <f>IF(SER_hh_emih!W9=0,0,SER_hh_emih!W9/SER_summary!W$26)</f>
        <v>41.132332313327808</v>
      </c>
      <c r="X9" s="132">
        <f>IF(SER_hh_emih!X9=0,0,SER_hh_emih!X9/SER_summary!X$26)</f>
        <v>39.636367934894643</v>
      </c>
      <c r="Y9" s="132">
        <f>IF(SER_hh_emih!Y9=0,0,SER_hh_emih!Y9/SER_summary!Y$26)</f>
        <v>37.714490251291657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0</v>
      </c>
      <c r="C10" s="132">
        <f>IF(SER_hh_emih!C10=0,0,SER_hh_emih!C10/SER_summary!C$26)</f>
        <v>0</v>
      </c>
      <c r="D10" s="132">
        <f>IF(SER_hh_emih!D10=0,0,SER_hh_emih!D10/SER_summary!D$26)</f>
        <v>0</v>
      </c>
      <c r="E10" s="132">
        <f>IF(SER_hh_emih!E10=0,0,SER_hh_emih!E10/SER_summary!E$26)</f>
        <v>0</v>
      </c>
      <c r="F10" s="132">
        <f>IF(SER_hh_emih!F10=0,0,SER_hh_emih!F10/SER_summary!F$26)</f>
        <v>0</v>
      </c>
      <c r="G10" s="132">
        <f>IF(SER_hh_emih!G10=0,0,SER_hh_emih!G10/SER_summary!G$26)</f>
        <v>0</v>
      </c>
      <c r="H10" s="132">
        <f>IF(SER_hh_emih!H10=0,0,SER_hh_emih!H10/SER_summary!H$26)</f>
        <v>0</v>
      </c>
      <c r="I10" s="132">
        <f>IF(SER_hh_emih!I10=0,0,SER_hh_emih!I10/SER_summary!I$26)</f>
        <v>0</v>
      </c>
      <c r="J10" s="132">
        <f>IF(SER_hh_emih!J10=0,0,SER_hh_emih!J10/SER_summary!J$26)</f>
        <v>0</v>
      </c>
      <c r="K10" s="132">
        <f>IF(SER_hh_emih!K10=0,0,SER_hh_emih!K10/SER_summary!K$26)</f>
        <v>0</v>
      </c>
      <c r="L10" s="132">
        <f>IF(SER_hh_emih!L10=0,0,SER_hh_emih!L10/SER_summary!L$26)</f>
        <v>0</v>
      </c>
      <c r="M10" s="132">
        <f>IF(SER_hh_emih!M10=0,0,SER_hh_emih!M10/SER_summary!M$26)</f>
        <v>0</v>
      </c>
      <c r="N10" s="132">
        <f>IF(SER_hh_emih!N10=0,0,SER_hh_emih!N10/SER_summary!N$26)</f>
        <v>0</v>
      </c>
      <c r="O10" s="132">
        <f>IF(SER_hh_emih!O10=0,0,SER_hh_emih!O10/SER_summary!O$26)</f>
        <v>0</v>
      </c>
      <c r="P10" s="132">
        <f>IF(SER_hh_emih!P10=0,0,SER_hh_emih!P10/SER_summary!P$26)</f>
        <v>0</v>
      </c>
      <c r="Q10" s="132">
        <f>IF(SER_hh_emih!Q10=0,0,SER_hh_emih!Q10/SER_summary!Q$26)</f>
        <v>0</v>
      </c>
      <c r="R10" s="132">
        <f>IF(SER_hh_emih!R10=0,0,SER_hh_emih!R10/SER_summary!R$26)</f>
        <v>0</v>
      </c>
      <c r="S10" s="132">
        <f>IF(SER_hh_emih!S10=0,0,SER_hh_emih!S10/SER_summary!S$26)</f>
        <v>0</v>
      </c>
      <c r="T10" s="132">
        <f>IF(SER_hh_emih!T10=0,0,SER_hh_emih!T10/SER_summary!T$26)</f>
        <v>0</v>
      </c>
      <c r="U10" s="132">
        <f>IF(SER_hh_emih!U10=0,0,SER_hh_emih!U10/SER_summary!U$26)</f>
        <v>0</v>
      </c>
      <c r="V10" s="132">
        <f>IF(SER_hh_emih!V10=0,0,SER_hh_emih!V10/SER_summary!V$26)</f>
        <v>0</v>
      </c>
      <c r="W10" s="132">
        <f>IF(SER_hh_emih!W10=0,0,SER_hh_emih!W10/SER_summary!W$26)</f>
        <v>0</v>
      </c>
      <c r="X10" s="132">
        <f>IF(SER_hh_emih!X10=0,0,SER_hh_emih!X10/SER_summary!X$26)</f>
        <v>0</v>
      </c>
      <c r="Y10" s="132">
        <f>IF(SER_hh_emih!Y10=0,0,SER_hh_emih!Y10/SER_summary!Y$26)</f>
        <v>0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1.1625965036991348E-2</v>
      </c>
      <c r="C16" s="130">
        <f>IF(SER_hh_emih!C16=0,0,SER_hh_emih!C16/SER_summary!C$26)</f>
        <v>1.1665134868575277E-2</v>
      </c>
      <c r="D16" s="130">
        <f>IF(SER_hh_emih!D16=0,0,SER_hh_emih!D16/SER_summary!D$26)</f>
        <v>1.2076795414410658E-2</v>
      </c>
      <c r="E16" s="130">
        <f>IF(SER_hh_emih!E16=0,0,SER_hh_emih!E16/SER_summary!E$26)</f>
        <v>1.0878219827753855E-2</v>
      </c>
      <c r="F16" s="130">
        <f>IF(SER_hh_emih!F16=0,0,SER_hh_emih!F16/SER_summary!F$26)</f>
        <v>1.2006311349390304E-2</v>
      </c>
      <c r="G16" s="130">
        <f>IF(SER_hh_emih!G16=0,0,SER_hh_emih!G16/SER_summary!G$26)</f>
        <v>1.2058146498946615E-2</v>
      </c>
      <c r="H16" s="130">
        <f>IF(SER_hh_emih!H16=0,0,SER_hh_emih!H16/SER_summary!H$26)</f>
        <v>1.3510579236556458E-2</v>
      </c>
      <c r="I16" s="130">
        <f>IF(SER_hh_emih!I16=0,0,SER_hh_emih!I16/SER_summary!I$26)</f>
        <v>1.3329898654205807E-2</v>
      </c>
      <c r="J16" s="130">
        <f>IF(SER_hh_emih!J16=0,0,SER_hh_emih!J16/SER_summary!J$26)</f>
        <v>1.2646620180413662E-2</v>
      </c>
      <c r="K16" s="130">
        <f>IF(SER_hh_emih!K16=0,0,SER_hh_emih!K16/SER_summary!K$26)</f>
        <v>1.3510832622060097E-2</v>
      </c>
      <c r="L16" s="130">
        <f>IF(SER_hh_emih!L16=0,0,SER_hh_emih!L16/SER_summary!L$26)</f>
        <v>1.4059932752976506E-2</v>
      </c>
      <c r="M16" s="130">
        <f>IF(SER_hh_emih!M16=0,0,SER_hh_emih!M16/SER_summary!M$26)</f>
        <v>1.4670040185518754E-2</v>
      </c>
      <c r="N16" s="130">
        <f>IF(SER_hh_emih!N16=0,0,SER_hh_emih!N16/SER_summary!N$26)</f>
        <v>1.6409199615328357E-2</v>
      </c>
      <c r="O16" s="130">
        <f>IF(SER_hh_emih!O16=0,0,SER_hh_emih!O16/SER_summary!O$26)</f>
        <v>1.9303137753096014E-2</v>
      </c>
      <c r="P16" s="130">
        <f>IF(SER_hh_emih!P16=0,0,SER_hh_emih!P16/SER_summary!P$26)</f>
        <v>2.4320087730467118E-2</v>
      </c>
      <c r="Q16" s="130">
        <f>IF(SER_hh_emih!Q16=0,0,SER_hh_emih!Q16/SER_summary!Q$26)</f>
        <v>3.1752622166947971E-2</v>
      </c>
      <c r="R16" s="130">
        <f>IF(SER_hh_emih!R16=0,0,SER_hh_emih!R16/SER_summary!R$26)</f>
        <v>3.8594853111230711E-2</v>
      </c>
      <c r="S16" s="130">
        <f>IF(SER_hh_emih!S16=0,0,SER_hh_emih!S16/SER_summary!S$26)</f>
        <v>4.2739940254886019E-2</v>
      </c>
      <c r="T16" s="130">
        <f>IF(SER_hh_emih!T16=0,0,SER_hh_emih!T16/SER_summary!T$26)</f>
        <v>4.4566675198837287E-2</v>
      </c>
      <c r="U16" s="130">
        <f>IF(SER_hh_emih!U16=0,0,SER_hh_emih!U16/SER_summary!U$26)</f>
        <v>4.6069318816390238E-2</v>
      </c>
      <c r="V16" s="130">
        <f>IF(SER_hh_emih!V16=0,0,SER_hh_emih!V16/SER_summary!V$26)</f>
        <v>4.368778549595622E-2</v>
      </c>
      <c r="W16" s="130">
        <f>IF(SER_hh_emih!W16=0,0,SER_hh_emih!W16/SER_summary!W$26)</f>
        <v>4.1887987154415648E-2</v>
      </c>
      <c r="X16" s="130">
        <f>IF(SER_hh_emih!X16=0,0,SER_hh_emih!X16/SER_summary!X$26)</f>
        <v>4.6986627570538925E-2</v>
      </c>
      <c r="Y16" s="130">
        <f>IF(SER_hh_emih!Y16=0,0,SER_hh_emih!Y16/SER_summary!Y$26)</f>
        <v>4.738205356747472E-2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4.5379200457493454</v>
      </c>
      <c r="C17" s="132">
        <f>IF(SER_hh_emih!C17=0,0,SER_hh_emih!C17/SER_summary!C$26)</f>
        <v>4.4145547933616704</v>
      </c>
      <c r="D17" s="132">
        <f>IF(SER_hh_emih!D17=0,0,SER_hh_emih!D17/SER_summary!D$26)</f>
        <v>4.3794351042499651</v>
      </c>
      <c r="E17" s="132">
        <f>IF(SER_hh_emih!E17=0,0,SER_hh_emih!E17/SER_summary!E$26)</f>
        <v>4.2905890670288365</v>
      </c>
      <c r="F17" s="132">
        <f>IF(SER_hh_emih!F17=0,0,SER_hh_emih!F17/SER_summary!F$26)</f>
        <v>4.1542575989278543</v>
      </c>
      <c r="G17" s="132">
        <f>IF(SER_hh_emih!G17=0,0,SER_hh_emih!G17/SER_summary!G$26)</f>
        <v>3.9907769192905045</v>
      </c>
      <c r="H17" s="132">
        <f>IF(SER_hh_emih!H17=0,0,SER_hh_emih!H17/SER_summary!H$26)</f>
        <v>3.9325172402497413</v>
      </c>
      <c r="I17" s="132">
        <f>IF(SER_hh_emih!I17=0,0,SER_hh_emih!I17/SER_summary!I$26)</f>
        <v>3.8726432541590747</v>
      </c>
      <c r="J17" s="132">
        <f>IF(SER_hh_emih!J17=0,0,SER_hh_emih!J17/SER_summary!J$26)</f>
        <v>3.8116075985464204</v>
      </c>
      <c r="K17" s="132">
        <f>IF(SER_hh_emih!K17=0,0,SER_hh_emih!K17/SER_summary!K$26)</f>
        <v>3.7534871963965362</v>
      </c>
      <c r="L17" s="132">
        <f>IF(SER_hh_emih!L17=0,0,SER_hh_emih!L17/SER_summary!L$26)</f>
        <v>3.7527207777407097</v>
      </c>
      <c r="M17" s="132">
        <f>IF(SER_hh_emih!M17=0,0,SER_hh_emih!M17/SER_summary!M$26)</f>
        <v>3.6662175632984488</v>
      </c>
      <c r="N17" s="132">
        <f>IF(SER_hh_emih!N17=0,0,SER_hh_emih!N17/SER_summary!N$26)</f>
        <v>3.6765245004593869</v>
      </c>
      <c r="O17" s="132">
        <f>IF(SER_hh_emih!O17=0,0,SER_hh_emih!O17/SER_summary!O$26)</f>
        <v>3.5406296394506542</v>
      </c>
      <c r="P17" s="132">
        <f>IF(SER_hh_emih!P17=0,0,SER_hh_emih!P17/SER_summary!P$26)</f>
        <v>3.5097535144426448</v>
      </c>
      <c r="Q17" s="132">
        <f>IF(SER_hh_emih!Q17=0,0,SER_hh_emih!Q17/SER_summary!Q$26)</f>
        <v>3.4256411924809376</v>
      </c>
      <c r="R17" s="132">
        <f>IF(SER_hh_emih!R17=0,0,SER_hh_emih!R17/SER_summary!R$26)</f>
        <v>3.37891310357328</v>
      </c>
      <c r="S17" s="132">
        <f>IF(SER_hh_emih!S17=0,0,SER_hh_emih!S17/SER_summary!S$26)</f>
        <v>3.320452463327026</v>
      </c>
      <c r="T17" s="132">
        <f>IF(SER_hh_emih!T17=0,0,SER_hh_emih!T17/SER_summary!T$26)</f>
        <v>3.2887034456409685</v>
      </c>
      <c r="U17" s="132">
        <f>IF(SER_hh_emih!U17=0,0,SER_hh_emih!U17/SER_summary!U$26)</f>
        <v>3.2726463094247071</v>
      </c>
      <c r="V17" s="132">
        <f>IF(SER_hh_emih!V17=0,0,SER_hh_emih!V17/SER_summary!V$26)</f>
        <v>2.9145343499669449</v>
      </c>
      <c r="W17" s="132">
        <f>IF(SER_hh_emih!W17=0,0,SER_hh_emih!W17/SER_summary!W$26)</f>
        <v>2.7741190410495014</v>
      </c>
      <c r="X17" s="132">
        <f>IF(SER_hh_emih!X17=0,0,SER_hh_emih!X17/SER_summary!X$26)</f>
        <v>2.9819149055329621</v>
      </c>
      <c r="Y17" s="132">
        <f>IF(SER_hh_emih!Y17=0,0,SER_hh_emih!Y17/SER_summary!Y$26)</f>
        <v>3.0595324697017099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5.1060751020778206</v>
      </c>
      <c r="C19" s="130">
        <f>IF(SER_hh_emih!C19=0,0,SER_hh_emih!C19/SER_summary!C$26)</f>
        <v>5.0408250116906546</v>
      </c>
      <c r="D19" s="130">
        <f>IF(SER_hh_emih!D19=0,0,SER_hh_emih!D19/SER_summary!D$26)</f>
        <v>4.8529509982292822</v>
      </c>
      <c r="E19" s="130">
        <f>IF(SER_hh_emih!E19=0,0,SER_hh_emih!E19/SER_summary!E$26)</f>
        <v>4.5514669764557354</v>
      </c>
      <c r="F19" s="130">
        <f>IF(SER_hh_emih!F19=0,0,SER_hh_emih!F19/SER_summary!F$26)</f>
        <v>4.440751134382265</v>
      </c>
      <c r="G19" s="130">
        <f>IF(SER_hh_emih!G19=0,0,SER_hh_emih!G19/SER_summary!G$26)</f>
        <v>4.1526804016375882</v>
      </c>
      <c r="H19" s="130">
        <f>IF(SER_hh_emih!H19=0,0,SER_hh_emih!H19/SER_summary!H$26)</f>
        <v>3.8833877419296599</v>
      </c>
      <c r="I19" s="130">
        <f>IF(SER_hh_emih!I19=0,0,SER_hh_emih!I19/SER_summary!I$26)</f>
        <v>3.655141850612043</v>
      </c>
      <c r="J19" s="130">
        <f>IF(SER_hh_emih!J19=0,0,SER_hh_emih!J19/SER_summary!J$26)</f>
        <v>3.5800154590353612</v>
      </c>
      <c r="K19" s="130">
        <f>IF(SER_hh_emih!K19=0,0,SER_hh_emih!K19/SER_summary!K$26)</f>
        <v>3.674760923672808</v>
      </c>
      <c r="L19" s="130">
        <f>IF(SER_hh_emih!L19=0,0,SER_hh_emih!L19/SER_summary!L$26)</f>
        <v>3.8386673745762168</v>
      </c>
      <c r="M19" s="130">
        <f>IF(SER_hh_emih!M19=0,0,SER_hh_emih!M19/SER_summary!M$26)</f>
        <v>3.6649795298923582</v>
      </c>
      <c r="N19" s="130">
        <f>IF(SER_hh_emih!N19=0,0,SER_hh_emih!N19/SER_summary!N$26)</f>
        <v>3.7413081397685395</v>
      </c>
      <c r="O19" s="130">
        <f>IF(SER_hh_emih!O19=0,0,SER_hh_emih!O19/SER_summary!O$26)</f>
        <v>3.7289643972767412</v>
      </c>
      <c r="P19" s="130">
        <f>IF(SER_hh_emih!P19=0,0,SER_hh_emih!P19/SER_summary!P$26)</f>
        <v>3.7608116693593976</v>
      </c>
      <c r="Q19" s="130">
        <f>IF(SER_hh_emih!Q19=0,0,SER_hh_emih!Q19/SER_summary!Q$26)</f>
        <v>3.7641434412456127</v>
      </c>
      <c r="R19" s="130">
        <f>IF(SER_hh_emih!R19=0,0,SER_hh_emih!R19/SER_summary!R$26)</f>
        <v>3.5350305839146299</v>
      </c>
      <c r="S19" s="130">
        <f>IF(SER_hh_emih!S19=0,0,SER_hh_emih!S19/SER_summary!S$26)</f>
        <v>3.4667058153199126</v>
      </c>
      <c r="T19" s="130">
        <f>IF(SER_hh_emih!T19=0,0,SER_hh_emih!T19/SER_summary!T$26)</f>
        <v>3.1338096199181704</v>
      </c>
      <c r="U19" s="130">
        <f>IF(SER_hh_emih!U19=0,0,SER_hh_emih!U19/SER_summary!U$26)</f>
        <v>3.0345589616350344</v>
      </c>
      <c r="V19" s="130">
        <f>IF(SER_hh_emih!V19=0,0,SER_hh_emih!V19/SER_summary!V$26)</f>
        <v>2.3871197009406075</v>
      </c>
      <c r="W19" s="130">
        <f>IF(SER_hh_emih!W19=0,0,SER_hh_emih!W19/SER_summary!W$26)</f>
        <v>2.8719971230725232</v>
      </c>
      <c r="X19" s="130">
        <f>IF(SER_hh_emih!X19=0,0,SER_hh_emih!X19/SER_summary!X$26)</f>
        <v>2.8529386909529033</v>
      </c>
      <c r="Y19" s="130">
        <f>IF(SER_hh_emih!Y19=0,0,SER_hh_emih!Y19/SER_summary!Y$26)</f>
        <v>2.7702642902091181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0</v>
      </c>
      <c r="C21" s="132">
        <f>IF(SER_hh_emih!C21=0,0,SER_hh_emih!C21/SER_summary!C$26)</f>
        <v>0</v>
      </c>
      <c r="D21" s="132">
        <f>IF(SER_hh_emih!D21=0,0,SER_hh_emih!D21/SER_summary!D$26)</f>
        <v>0</v>
      </c>
      <c r="E21" s="132">
        <f>IF(SER_hh_emih!E21=0,0,SER_hh_emih!E21/SER_summary!E$26)</f>
        <v>0</v>
      </c>
      <c r="F21" s="132">
        <f>IF(SER_hh_emih!F21=0,0,SER_hh_emih!F21/SER_summary!F$26)</f>
        <v>0</v>
      </c>
      <c r="G21" s="132">
        <f>IF(SER_hh_emih!G21=0,0,SER_hh_emih!G21/SER_summary!G$26)</f>
        <v>0</v>
      </c>
      <c r="H21" s="132">
        <f>IF(SER_hh_emih!H21=0,0,SER_hh_emih!H21/SER_summary!H$26)</f>
        <v>0</v>
      </c>
      <c r="I21" s="132">
        <f>IF(SER_hh_emih!I21=0,0,SER_hh_emih!I21/SER_summary!I$26)</f>
        <v>0</v>
      </c>
      <c r="J21" s="132">
        <f>IF(SER_hh_emih!J21=0,0,SER_hh_emih!J21/SER_summary!J$26)</f>
        <v>0</v>
      </c>
      <c r="K21" s="132">
        <f>IF(SER_hh_emih!K21=0,0,SER_hh_emih!K21/SER_summary!K$26)</f>
        <v>0</v>
      </c>
      <c r="L21" s="132">
        <f>IF(SER_hh_emih!L21=0,0,SER_hh_emih!L21/SER_summary!L$26)</f>
        <v>0</v>
      </c>
      <c r="M21" s="132">
        <f>IF(SER_hh_emih!M21=0,0,SER_hh_emih!M21/SER_summary!M$26)</f>
        <v>0</v>
      </c>
      <c r="N21" s="132">
        <f>IF(SER_hh_emih!N21=0,0,SER_hh_emih!N21/SER_summary!N$26)</f>
        <v>0</v>
      </c>
      <c r="O21" s="132">
        <f>IF(SER_hh_emih!O21=0,0,SER_hh_emih!O21/SER_summary!O$26)</f>
        <v>0</v>
      </c>
      <c r="P21" s="132">
        <f>IF(SER_hh_emih!P21=0,0,SER_hh_emih!P21/SER_summary!P$26)</f>
        <v>0</v>
      </c>
      <c r="Q21" s="132">
        <f>IF(SER_hh_emih!Q21=0,0,SER_hh_emih!Q21/SER_summary!Q$26)</f>
        <v>0</v>
      </c>
      <c r="R21" s="132">
        <f>IF(SER_hh_emih!R21=0,0,SER_hh_emih!R21/SER_summary!R$26)</f>
        <v>0</v>
      </c>
      <c r="S21" s="132">
        <f>IF(SER_hh_emih!S21=0,0,SER_hh_emih!S21/SER_summary!S$26)</f>
        <v>0</v>
      </c>
      <c r="T21" s="132">
        <f>IF(SER_hh_emih!T21=0,0,SER_hh_emih!T21/SER_summary!T$26)</f>
        <v>0</v>
      </c>
      <c r="U21" s="132">
        <f>IF(SER_hh_emih!U21=0,0,SER_hh_emih!U21/SER_summary!U$26)</f>
        <v>0</v>
      </c>
      <c r="V21" s="132">
        <f>IF(SER_hh_emih!V21=0,0,SER_hh_emih!V21/SER_summary!V$26)</f>
        <v>0</v>
      </c>
      <c r="W21" s="132">
        <f>IF(SER_hh_emih!W21=0,0,SER_hh_emih!W21/SER_summary!W$26)</f>
        <v>0</v>
      </c>
      <c r="X21" s="132">
        <f>IF(SER_hh_emih!X21=0,0,SER_hh_emih!X21/SER_summary!X$26)</f>
        <v>0</v>
      </c>
      <c r="Y21" s="132">
        <f>IF(SER_hh_emih!Y21=0,0,SER_hh_emih!Y21/SER_summary!Y$26)</f>
        <v>0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12.432542786541156</v>
      </c>
      <c r="C22" s="132">
        <f>IF(SER_hh_emih!C22=0,0,SER_hh_emih!C22/SER_summary!C$26)</f>
        <v>12.461719450537139</v>
      </c>
      <c r="D22" s="132">
        <f>IF(SER_hh_emih!D22=0,0,SER_hh_emih!D22/SER_summary!D$26)</f>
        <v>12.414035592963923</v>
      </c>
      <c r="E22" s="132">
        <f>IF(SER_hh_emih!E22=0,0,SER_hh_emih!E22/SER_summary!E$26)</f>
        <v>11.953517582230972</v>
      </c>
      <c r="F22" s="132">
        <f>IF(SER_hh_emih!F22=0,0,SER_hh_emih!F22/SER_summary!F$26)</f>
        <v>12.061472798386102</v>
      </c>
      <c r="G22" s="132">
        <f>IF(SER_hh_emih!G22=0,0,SER_hh_emih!G22/SER_summary!G$26)</f>
        <v>11.826450642811739</v>
      </c>
      <c r="H22" s="132">
        <f>IF(SER_hh_emih!H22=0,0,SER_hh_emih!H22/SER_summary!H$26)</f>
        <v>11.511979503094922</v>
      </c>
      <c r="I22" s="132">
        <f>IF(SER_hh_emih!I22=0,0,SER_hh_emih!I22/SER_summary!I$26)</f>
        <v>11.420710699866214</v>
      </c>
      <c r="J22" s="132">
        <f>IF(SER_hh_emih!J22=0,0,SER_hh_emih!J22/SER_summary!J$26)</f>
        <v>11.630804410153827</v>
      </c>
      <c r="K22" s="132">
        <f>IF(SER_hh_emih!K22=0,0,SER_hh_emih!K22/SER_summary!K$26)</f>
        <v>11.654125929825552</v>
      </c>
      <c r="L22" s="132">
        <f>IF(SER_hh_emih!L22=0,0,SER_hh_emih!L22/SER_summary!L$26)</f>
        <v>12.033975137486571</v>
      </c>
      <c r="M22" s="132">
        <f>IF(SER_hh_emih!M22=0,0,SER_hh_emih!M22/SER_summary!M$26)</f>
        <v>12.081101292477729</v>
      </c>
      <c r="N22" s="132">
        <f>IF(SER_hh_emih!N22=0,0,SER_hh_emih!N22/SER_summary!N$26)</f>
        <v>12.133354129802353</v>
      </c>
      <c r="O22" s="132">
        <f>IF(SER_hh_emih!O22=0,0,SER_hh_emih!O22/SER_summary!O$26)</f>
        <v>12.003463326831275</v>
      </c>
      <c r="P22" s="132">
        <f>IF(SER_hh_emih!P22=0,0,SER_hh_emih!P22/SER_summary!P$26)</f>
        <v>12.331046340056432</v>
      </c>
      <c r="Q22" s="132">
        <f>IF(SER_hh_emih!Q22=0,0,SER_hh_emih!Q22/SER_summary!Q$26)</f>
        <v>12.279205416322748</v>
      </c>
      <c r="R22" s="132">
        <f>IF(SER_hh_emih!R22=0,0,SER_hh_emih!R22/SER_summary!R$26)</f>
        <v>12.055257776935637</v>
      </c>
      <c r="S22" s="132">
        <f>IF(SER_hh_emih!S22=0,0,SER_hh_emih!S22/SER_summary!S$26)</f>
        <v>12.289261605729267</v>
      </c>
      <c r="T22" s="132">
        <f>IF(SER_hh_emih!T22=0,0,SER_hh_emih!T22/SER_summary!T$26)</f>
        <v>11.793958959282557</v>
      </c>
      <c r="U22" s="132">
        <f>IF(SER_hh_emih!U22=0,0,SER_hh_emih!U22/SER_summary!U$26)</f>
        <v>11.813135689395049</v>
      </c>
      <c r="V22" s="132">
        <f>IF(SER_hh_emih!V22=0,0,SER_hh_emih!V22/SER_summary!V$26)</f>
        <v>10.511906508089284</v>
      </c>
      <c r="W22" s="132">
        <f>IF(SER_hh_emih!W22=0,0,SER_hh_emih!W22/SER_summary!W$26)</f>
        <v>10.984399347941974</v>
      </c>
      <c r="X22" s="132">
        <f>IF(SER_hh_emih!X22=0,0,SER_hh_emih!X22/SER_summary!X$26)</f>
        <v>11.001049800771266</v>
      </c>
      <c r="Y22" s="132">
        <f>IF(SER_hh_emih!Y22=0,0,SER_hh_emih!Y22/SER_summary!Y$26)</f>
        <v>10.329624960205795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9.0806559519774748</v>
      </c>
      <c r="C23" s="132">
        <f>IF(SER_hh_emih!C23=0,0,SER_hh_emih!C23/SER_summary!C$26)</f>
        <v>9.1605906265713291</v>
      </c>
      <c r="D23" s="132">
        <f>IF(SER_hh_emih!D23=0,0,SER_hh_emih!D23/SER_summary!D$26)</f>
        <v>8.9340384231113621</v>
      </c>
      <c r="E23" s="132">
        <f>IF(SER_hh_emih!E23=0,0,SER_hh_emih!E23/SER_summary!E$26)</f>
        <v>8.5983581809044249</v>
      </c>
      <c r="F23" s="132">
        <f>IF(SER_hh_emih!F23=0,0,SER_hh_emih!F23/SER_summary!F$26)</f>
        <v>8.5476202854194963</v>
      </c>
      <c r="G23" s="132">
        <f>IF(SER_hh_emih!G23=0,0,SER_hh_emih!G23/SER_summary!G$26)</f>
        <v>8.3672244123844042</v>
      </c>
      <c r="H23" s="132">
        <f>IF(SER_hh_emih!H23=0,0,SER_hh_emih!H23/SER_summary!H$26)</f>
        <v>8.1038123534303654</v>
      </c>
      <c r="I23" s="132">
        <f>IF(SER_hh_emih!I23=0,0,SER_hh_emih!I23/SER_summary!I$26)</f>
        <v>8.1044452702183332</v>
      </c>
      <c r="J23" s="132">
        <f>IF(SER_hh_emih!J23=0,0,SER_hh_emih!J23/SER_summary!J$26)</f>
        <v>7.9157751814467412</v>
      </c>
      <c r="K23" s="132">
        <f>IF(SER_hh_emih!K23=0,0,SER_hh_emih!K23/SER_summary!K$26)</f>
        <v>8.1270437686460824</v>
      </c>
      <c r="L23" s="132">
        <f>IF(SER_hh_emih!L23=0,0,SER_hh_emih!L23/SER_summary!L$26)</f>
        <v>8.5184831253909561</v>
      </c>
      <c r="M23" s="132">
        <f>IF(SER_hh_emih!M23=0,0,SER_hh_emih!M23/SER_summary!M$26)</f>
        <v>7.9561929583381792</v>
      </c>
      <c r="N23" s="132">
        <f>IF(SER_hh_emih!N23=0,0,SER_hh_emih!N23/SER_summary!N$26)</f>
        <v>8.1478110415370395</v>
      </c>
      <c r="O23" s="132">
        <f>IF(SER_hh_emih!O23=0,0,SER_hh_emih!O23/SER_summary!O$26)</f>
        <v>8.1942995129425018</v>
      </c>
      <c r="P23" s="132">
        <f>IF(SER_hh_emih!P23=0,0,SER_hh_emih!P23/SER_summary!P$26)</f>
        <v>8.2866789246440078</v>
      </c>
      <c r="Q23" s="132">
        <f>IF(SER_hh_emih!Q23=0,0,SER_hh_emih!Q23/SER_summary!Q$26)</f>
        <v>8.4964257590559953</v>
      </c>
      <c r="R23" s="132">
        <f>IF(SER_hh_emih!R23=0,0,SER_hh_emih!R23/SER_summary!R$26)</f>
        <v>8.1981663421722555</v>
      </c>
      <c r="S23" s="132">
        <f>IF(SER_hh_emih!S23=0,0,SER_hh_emih!S23/SER_summary!S$26)</f>
        <v>8.1604619748461023</v>
      </c>
      <c r="T23" s="132">
        <f>IF(SER_hh_emih!T23=0,0,SER_hh_emih!T23/SER_summary!T$26)</f>
        <v>7.8331183265292994</v>
      </c>
      <c r="U23" s="132">
        <f>IF(SER_hh_emih!U23=0,0,SER_hh_emih!U23/SER_summary!U$26)</f>
        <v>8.0514633914823808</v>
      </c>
      <c r="V23" s="132">
        <f>IF(SER_hh_emih!V23=0,0,SER_hh_emih!V23/SER_summary!V$26)</f>
        <v>6.189911461839829</v>
      </c>
      <c r="W23" s="132">
        <f>IF(SER_hh_emih!W23=0,0,SER_hh_emih!W23/SER_summary!W$26)</f>
        <v>7.9703550782864747</v>
      </c>
      <c r="X23" s="132">
        <f>IF(SER_hh_emih!X23=0,0,SER_hh_emih!X23/SER_summary!X$26)</f>
        <v>7.403450025319537</v>
      </c>
      <c r="Y23" s="132">
        <f>IF(SER_hh_emih!Y23=0,0,SER_hh_emih!Y23/SER_summary!Y$26)</f>
        <v>7.0240715470132997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0</v>
      </c>
      <c r="C24" s="132">
        <f>IF(SER_hh_emih!C24=0,0,SER_hh_emih!C24/SER_summary!C$26)</f>
        <v>0</v>
      </c>
      <c r="D24" s="132">
        <f>IF(SER_hh_emih!D24=0,0,SER_hh_emih!D24/SER_summary!D$26)</f>
        <v>0</v>
      </c>
      <c r="E24" s="132">
        <f>IF(SER_hh_emih!E24=0,0,SER_hh_emih!E24/SER_summary!E$26)</f>
        <v>0</v>
      </c>
      <c r="F24" s="132">
        <f>IF(SER_hh_emih!F24=0,0,SER_hh_emih!F24/SER_summary!F$26)</f>
        <v>0</v>
      </c>
      <c r="G24" s="132">
        <f>IF(SER_hh_emih!G24=0,0,SER_hh_emih!G24/SER_summary!G$26)</f>
        <v>0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</v>
      </c>
      <c r="K24" s="132">
        <f>IF(SER_hh_emih!K24=0,0,SER_hh_emih!K24/SER_summary!K$26)</f>
        <v>0</v>
      </c>
      <c r="L24" s="132">
        <f>IF(SER_hh_emih!L24=0,0,SER_hh_emih!L24/SER_summary!L$26)</f>
        <v>0</v>
      </c>
      <c r="M24" s="132">
        <f>IF(SER_hh_emih!M24=0,0,SER_hh_emih!M24/SER_summary!M$26)</f>
        <v>0</v>
      </c>
      <c r="N24" s="132">
        <f>IF(SER_hh_emih!N24=0,0,SER_hh_emih!N24/SER_summary!N$26)</f>
        <v>0</v>
      </c>
      <c r="O24" s="132">
        <f>IF(SER_hh_emih!O24=0,0,SER_hh_emih!O24/SER_summary!O$26)</f>
        <v>0</v>
      </c>
      <c r="P24" s="132">
        <f>IF(SER_hh_emih!P24=0,0,SER_hh_emih!P24/SER_summary!P$26)</f>
        <v>0</v>
      </c>
      <c r="Q24" s="132">
        <f>IF(SER_hh_emih!Q24=0,0,SER_hh_emih!Q24/SER_summary!Q$26)</f>
        <v>0</v>
      </c>
      <c r="R24" s="132">
        <f>IF(SER_hh_emih!R24=0,0,SER_hh_emih!R24/SER_summary!R$26)</f>
        <v>0</v>
      </c>
      <c r="S24" s="132">
        <f>IF(SER_hh_emih!S24=0,0,SER_hh_emih!S24/SER_summary!S$26)</f>
        <v>0</v>
      </c>
      <c r="T24" s="132">
        <f>IF(SER_hh_emih!T24=0,0,SER_hh_emih!T24/SER_summary!T$26)</f>
        <v>0</v>
      </c>
      <c r="U24" s="132">
        <f>IF(SER_hh_emih!U24=0,0,SER_hh_emih!U24/SER_summary!U$26)</f>
        <v>0</v>
      </c>
      <c r="V24" s="132">
        <f>IF(SER_hh_emih!V24=0,0,SER_hh_emih!V24/SER_summary!V$26)</f>
        <v>0</v>
      </c>
      <c r="W24" s="132">
        <f>IF(SER_hh_emih!W24=0,0,SER_hh_emih!W24/SER_summary!W$26)</f>
        <v>0</v>
      </c>
      <c r="X24" s="132">
        <f>IF(SER_hh_emih!X24=0,0,SER_hh_emih!X24/SER_summary!X$26)</f>
        <v>0</v>
      </c>
      <c r="Y24" s="132">
        <f>IF(SER_hh_emih!Y24=0,0,SER_hh_emih!Y24/SER_summary!Y$26)</f>
        <v>0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4.6897050394663937</v>
      </c>
      <c r="C29" s="130">
        <f>IF(SER_hh_emih!C29=0,0,SER_hh_emih!C29/SER_summary!C$26)</f>
        <v>4.8892402972718942</v>
      </c>
      <c r="D29" s="130">
        <f>IF(SER_hh_emih!D29=0,0,SER_hh_emih!D29/SER_summary!D$26)</f>
        <v>4.7993875575123637</v>
      </c>
      <c r="E29" s="130">
        <f>IF(SER_hh_emih!E29=0,0,SER_hh_emih!E29/SER_summary!E$26)</f>
        <v>4.8579530670107696</v>
      </c>
      <c r="F29" s="130">
        <f>IF(SER_hh_emih!F29=0,0,SER_hh_emih!F29/SER_summary!F$26)</f>
        <v>5.074878094788839</v>
      </c>
      <c r="G29" s="130">
        <f>IF(SER_hh_emih!G29=0,0,SER_hh_emih!G29/SER_summary!G$26)</f>
        <v>5.6120610708279148</v>
      </c>
      <c r="H29" s="130">
        <f>IF(SER_hh_emih!H29=0,0,SER_hh_emih!H29/SER_summary!H$26)</f>
        <v>5.6465634354861338</v>
      </c>
      <c r="I29" s="130">
        <f>IF(SER_hh_emih!I29=0,0,SER_hh_emih!I29/SER_summary!I$26)</f>
        <v>5.5893001782959013</v>
      </c>
      <c r="J29" s="130">
        <f>IF(SER_hh_emih!J29=0,0,SER_hh_emih!J29/SER_summary!J$26)</f>
        <v>6.121989753096952</v>
      </c>
      <c r="K29" s="130">
        <f>IF(SER_hh_emih!K29=0,0,SER_hh_emih!K29/SER_summary!K$26)</f>
        <v>4.9175296261189718</v>
      </c>
      <c r="L29" s="130">
        <f>IF(SER_hh_emih!L29=0,0,SER_hh_emih!L29/SER_summary!L$26)</f>
        <v>6.1121523734664907</v>
      </c>
      <c r="M29" s="130">
        <f>IF(SER_hh_emih!M29=0,0,SER_hh_emih!M29/SER_summary!M$26)</f>
        <v>5.9354428339259</v>
      </c>
      <c r="N29" s="130">
        <f>IF(SER_hh_emih!N29=0,0,SER_hh_emih!N29/SER_summary!N$26)</f>
        <v>5.7438466846903724</v>
      </c>
      <c r="O29" s="130">
        <f>IF(SER_hh_emih!O29=0,0,SER_hh_emih!O29/SER_summary!O$26)</f>
        <v>6.4664385206940542</v>
      </c>
      <c r="P29" s="130">
        <f>IF(SER_hh_emih!P29=0,0,SER_hh_emih!P29/SER_summary!P$26)</f>
        <v>5.2720713901695824</v>
      </c>
      <c r="Q29" s="130">
        <f>IF(SER_hh_emih!Q29=0,0,SER_hh_emih!Q29/SER_summary!Q$26)</f>
        <v>5.6629585391389599</v>
      </c>
      <c r="R29" s="130">
        <f>IF(SER_hh_emih!R29=0,0,SER_hh_emih!R29/SER_summary!R$26)</f>
        <v>4.8172237507733469</v>
      </c>
      <c r="S29" s="130">
        <f>IF(SER_hh_emih!S29=0,0,SER_hh_emih!S29/SER_summary!S$26)</f>
        <v>4.8046697686197879</v>
      </c>
      <c r="T29" s="130">
        <f>IF(SER_hh_emih!T29=0,0,SER_hh_emih!T29/SER_summary!T$26)</f>
        <v>5.0504866195973266</v>
      </c>
      <c r="U29" s="130">
        <f>IF(SER_hh_emih!U29=0,0,SER_hh_emih!U29/SER_summary!U$26)</f>
        <v>4.9882449483094318</v>
      </c>
      <c r="V29" s="130">
        <f>IF(SER_hh_emih!V29=0,0,SER_hh_emih!V29/SER_summary!V$26)</f>
        <v>3.9368028065459106</v>
      </c>
      <c r="W29" s="130">
        <f>IF(SER_hh_emih!W29=0,0,SER_hh_emih!W29/SER_summary!W$26)</f>
        <v>4.6972676721491062</v>
      </c>
      <c r="X29" s="130">
        <f>IF(SER_hh_emih!X29=0,0,SER_hh_emih!X29/SER_summary!X$26)</f>
        <v>4.7923897617012221</v>
      </c>
      <c r="Y29" s="130">
        <f>IF(SER_hh_emih!Y29=0,0,SER_hh_emih!Y29/SER_summary!Y$26)</f>
        <v>5.0243552905341486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9.7847098959558458</v>
      </c>
      <c r="C30" s="132">
        <f>IF(SER_hh_emih!C30=0,0,SER_hh_emih!C30/SER_summary!C$26)</f>
        <v>10.316385844125012</v>
      </c>
      <c r="D30" s="132">
        <f>IF(SER_hh_emih!D30=0,0,SER_hh_emih!D30/SER_summary!D$26)</f>
        <v>9.925885148785131</v>
      </c>
      <c r="E30" s="132">
        <f>IF(SER_hh_emih!E30=0,0,SER_hh_emih!E30/SER_summary!E$26)</f>
        <v>9.6834788357716697</v>
      </c>
      <c r="F30" s="132">
        <f>IF(SER_hh_emih!F30=0,0,SER_hh_emih!F30/SER_summary!F$26)</f>
        <v>9.5812784457249318</v>
      </c>
      <c r="G30" s="132">
        <f>IF(SER_hh_emih!G30=0,0,SER_hh_emih!G30/SER_summary!G$26)</f>
        <v>10.224607025224373</v>
      </c>
      <c r="H30" s="132">
        <f>IF(SER_hh_emih!H30=0,0,SER_hh_emih!H30/SER_summary!H$26)</f>
        <v>9.916774328092302</v>
      </c>
      <c r="I30" s="132">
        <f>IF(SER_hh_emih!I30=0,0,SER_hh_emih!I30/SER_summary!I$26)</f>
        <v>9.5196001434337187</v>
      </c>
      <c r="J30" s="132">
        <f>IF(SER_hh_emih!J30=0,0,SER_hh_emih!J30/SER_summary!J$26)</f>
        <v>10.971142699624661</v>
      </c>
      <c r="K30" s="132">
        <f>IF(SER_hh_emih!K30=0,0,SER_hh_emih!K30/SER_summary!K$26)</f>
        <v>8.302265478320292</v>
      </c>
      <c r="L30" s="132">
        <f>IF(SER_hh_emih!L30=0,0,SER_hh_emih!L30/SER_summary!L$26)</f>
        <v>10.629012791918141</v>
      </c>
      <c r="M30" s="132">
        <f>IF(SER_hh_emih!M30=0,0,SER_hh_emih!M30/SER_summary!M$26)</f>
        <v>10.503894186179167</v>
      </c>
      <c r="N30" s="132">
        <f>IF(SER_hh_emih!N30=0,0,SER_hh_emih!N30/SER_summary!N$26)</f>
        <v>10.243390779016099</v>
      </c>
      <c r="O30" s="132">
        <f>IF(SER_hh_emih!O30=0,0,SER_hh_emih!O30/SER_summary!O$26)</f>
        <v>12.067303055077511</v>
      </c>
      <c r="P30" s="132">
        <f>IF(SER_hh_emih!P30=0,0,SER_hh_emih!P30/SER_summary!P$26)</f>
        <v>10.347994158547589</v>
      </c>
      <c r="Q30" s="132">
        <f>IF(SER_hh_emih!Q30=0,0,SER_hh_emih!Q30/SER_summary!Q$26)</f>
        <v>11.684584781845009</v>
      </c>
      <c r="R30" s="132">
        <f>IF(SER_hh_emih!R30=0,0,SER_hh_emih!R30/SER_summary!R$26)</f>
        <v>10.609779735740604</v>
      </c>
      <c r="S30" s="132">
        <f>IF(SER_hh_emih!S30=0,0,SER_hh_emih!S30/SER_summary!S$26)</f>
        <v>10.981967580784483</v>
      </c>
      <c r="T30" s="132">
        <f>IF(SER_hh_emih!T30=0,0,SER_hh_emih!T30/SER_summary!T$26)</f>
        <v>11.886107775642685</v>
      </c>
      <c r="U30" s="132">
        <f>IF(SER_hh_emih!U30=0,0,SER_hh_emih!U30/SER_summary!U$26)</f>
        <v>11.973021480955325</v>
      </c>
      <c r="V30" s="132">
        <f>IF(SER_hh_emih!V30=0,0,SER_hh_emih!V30/SER_summary!V$26)</f>
        <v>10.032073266933759</v>
      </c>
      <c r="W30" s="132">
        <f>IF(SER_hh_emih!W30=0,0,SER_hh_emih!W30/SER_summary!W$26)</f>
        <v>11.369861331901062</v>
      </c>
      <c r="X30" s="132">
        <f>IF(SER_hh_emih!X30=0,0,SER_hh_emih!X30/SER_summary!X$26)</f>
        <v>11.524384878673938</v>
      </c>
      <c r="Y30" s="132">
        <f>IF(SER_hh_emih!Y30=0,0,SER_hh_emih!Y30/SER_summary!Y$26)</f>
        <v>11.788178552358623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9.0303247525008512</v>
      </c>
      <c r="C31" s="132">
        <f>IF(SER_hh_emih!C31=0,0,SER_hh_emih!C31/SER_summary!C$26)</f>
        <v>8.9187418419560895</v>
      </c>
      <c r="D31" s="132">
        <f>IF(SER_hh_emih!D31=0,0,SER_hh_emih!D31/SER_summary!D$26)</f>
        <v>8.7557146653191058</v>
      </c>
      <c r="E31" s="132">
        <f>IF(SER_hh_emih!E31=0,0,SER_hh_emih!E31/SER_summary!E$26)</f>
        <v>8.5594046733406177</v>
      </c>
      <c r="F31" s="132">
        <f>IF(SER_hh_emih!F31=0,0,SER_hh_emih!F31/SER_summary!F$26)</f>
        <v>8.6279080939261625</v>
      </c>
      <c r="G31" s="132">
        <f>IF(SER_hh_emih!G31=0,0,SER_hh_emih!G31/SER_summary!G$26)</f>
        <v>8.5780511510636064</v>
      </c>
      <c r="H31" s="132">
        <f>IF(SER_hh_emih!H31=0,0,SER_hh_emih!H31/SER_summary!H$26)</f>
        <v>8.5705430614353961</v>
      </c>
      <c r="I31" s="132">
        <f>IF(SER_hh_emih!I31=0,0,SER_hh_emih!I31/SER_summary!I$26)</f>
        <v>8.4029658327740666</v>
      </c>
      <c r="J31" s="132">
        <f>IF(SER_hh_emih!J31=0,0,SER_hh_emih!J31/SER_summary!J$26)</f>
        <v>8.3160642297861074</v>
      </c>
      <c r="K31" s="132">
        <f>IF(SER_hh_emih!K31=0,0,SER_hh_emih!K31/SER_summary!K$26)</f>
        <v>8.4947521379446425</v>
      </c>
      <c r="L31" s="132">
        <f>IF(SER_hh_emih!L31=0,0,SER_hh_emih!L31/SER_summary!L$26)</f>
        <v>8.9043780549186859</v>
      </c>
      <c r="M31" s="132">
        <f>IF(SER_hh_emih!M31=0,0,SER_hh_emih!M31/SER_summary!M$26)</f>
        <v>8.5493547392096705</v>
      </c>
      <c r="N31" s="132">
        <f>IF(SER_hh_emih!N31=0,0,SER_hh_emih!N31/SER_summary!N$26)</f>
        <v>9.2866555662221479</v>
      </c>
      <c r="O31" s="132">
        <f>IF(SER_hh_emih!O31=0,0,SER_hh_emih!O31/SER_summary!O$26)</f>
        <v>9.4403334183982661</v>
      </c>
      <c r="P31" s="132">
        <f>IF(SER_hh_emih!P31=0,0,SER_hh_emih!P31/SER_summary!P$26)</f>
        <v>9.3994129800946986</v>
      </c>
      <c r="Q31" s="132">
        <f>IF(SER_hh_emih!Q31=0,0,SER_hh_emih!Q31/SER_summary!Q$26)</f>
        <v>10.127865501661804</v>
      </c>
      <c r="R31" s="132">
        <f>IF(SER_hh_emih!R31=0,0,SER_hh_emih!R31/SER_summary!R$26)</f>
        <v>9.8332275252165324</v>
      </c>
      <c r="S31" s="132">
        <f>IF(SER_hh_emih!S31=0,0,SER_hh_emih!S31/SER_summary!S$26)</f>
        <v>9.5392218649556018</v>
      </c>
      <c r="T31" s="132">
        <f>IF(SER_hh_emih!T31=0,0,SER_hh_emih!T31/SER_summary!T$26)</f>
        <v>9.8621049153790423</v>
      </c>
      <c r="U31" s="132">
        <f>IF(SER_hh_emih!U31=0,0,SER_hh_emih!U31/SER_summary!U$26)</f>
        <v>10.15762146453417</v>
      </c>
      <c r="V31" s="132">
        <f>IF(SER_hh_emih!V31=0,0,SER_hh_emih!V31/SER_summary!V$26)</f>
        <v>7.9498623433385021</v>
      </c>
      <c r="W31" s="132">
        <f>IF(SER_hh_emih!W31=0,0,SER_hh_emih!W31/SER_summary!W$26)</f>
        <v>10.77929168361781</v>
      </c>
      <c r="X31" s="132">
        <f>IF(SER_hh_emih!X31=0,0,SER_hh_emih!X31/SER_summary!X$26)</f>
        <v>10.236027810882886</v>
      </c>
      <c r="Y31" s="132">
        <f>IF(SER_hh_emih!Y31=0,0,SER_hh_emih!Y31/SER_summary!Y$26)</f>
        <v>9.7128430899506704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1124.0454790146205</v>
      </c>
      <c r="D3" s="124">
        <f t="shared" si="0"/>
        <v>1140.4362992821511</v>
      </c>
      <c r="E3" s="124">
        <f t="shared" si="0"/>
        <v>950.97802125069165</v>
      </c>
      <c r="F3" s="124">
        <f t="shared" si="0"/>
        <v>1079.1610961709705</v>
      </c>
      <c r="G3" s="124">
        <f t="shared" si="0"/>
        <v>1540.6837993981881</v>
      </c>
      <c r="H3" s="124">
        <f t="shared" si="0"/>
        <v>1426.9106279890798</v>
      </c>
      <c r="I3" s="124">
        <f t="shared" si="0"/>
        <v>2553.0561680770224</v>
      </c>
      <c r="J3" s="124">
        <f t="shared" si="0"/>
        <v>855.71458166808691</v>
      </c>
      <c r="K3" s="124">
        <f t="shared" si="0"/>
        <v>190.48093167796321</v>
      </c>
      <c r="L3" s="124">
        <f t="shared" si="0"/>
        <v>185.36571484262149</v>
      </c>
      <c r="M3" s="124">
        <f t="shared" si="0"/>
        <v>503.68138609626624</v>
      </c>
      <c r="N3" s="124">
        <f t="shared" si="0"/>
        <v>184.39138782636593</v>
      </c>
      <c r="O3" s="124">
        <f t="shared" si="0"/>
        <v>418.98473114169673</v>
      </c>
      <c r="P3" s="124">
        <f t="shared" si="0"/>
        <v>897.96185335719645</v>
      </c>
      <c r="Q3" s="124">
        <f t="shared" si="0"/>
        <v>372.25353870831748</v>
      </c>
      <c r="R3" s="124">
        <f t="shared" si="0"/>
        <v>1580.6378810539914</v>
      </c>
      <c r="S3" s="124">
        <f t="shared" si="0"/>
        <v>1049.424756837102</v>
      </c>
      <c r="T3" s="124">
        <f t="shared" si="0"/>
        <v>1341.6929559896494</v>
      </c>
      <c r="U3" s="124">
        <f t="shared" si="0"/>
        <v>1118.7687596014985</v>
      </c>
      <c r="V3" s="124">
        <f t="shared" si="0"/>
        <v>1002.6570085529056</v>
      </c>
      <c r="W3" s="124">
        <f t="shared" si="0"/>
        <v>934.83310160089798</v>
      </c>
      <c r="X3" s="124">
        <f t="shared" si="0"/>
        <v>876.16035461570573</v>
      </c>
      <c r="Y3" s="124">
        <f t="shared" si="0"/>
        <v>831.03791719212825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1124.0454790146205</v>
      </c>
      <c r="D4" s="139">
        <f t="shared" si="1"/>
        <v>1140.4362992821511</v>
      </c>
      <c r="E4" s="139">
        <f t="shared" si="1"/>
        <v>950.97802125069165</v>
      </c>
      <c r="F4" s="139">
        <f t="shared" si="1"/>
        <v>1079.1610961709705</v>
      </c>
      <c r="G4" s="139">
        <f t="shared" si="1"/>
        <v>1540.6837993981881</v>
      </c>
      <c r="H4" s="139">
        <f t="shared" si="1"/>
        <v>1426.9106279890798</v>
      </c>
      <c r="I4" s="139">
        <f t="shared" si="1"/>
        <v>2553.0561680770224</v>
      </c>
      <c r="J4" s="139">
        <f t="shared" si="1"/>
        <v>855.71458166808691</v>
      </c>
      <c r="K4" s="139">
        <f t="shared" si="1"/>
        <v>190.48093167796321</v>
      </c>
      <c r="L4" s="139">
        <f t="shared" si="1"/>
        <v>185.36571484262149</v>
      </c>
      <c r="M4" s="139">
        <f t="shared" si="1"/>
        <v>503.68138609626624</v>
      </c>
      <c r="N4" s="139">
        <f t="shared" si="1"/>
        <v>184.39138782636593</v>
      </c>
      <c r="O4" s="139">
        <f t="shared" si="1"/>
        <v>418.98473114169673</v>
      </c>
      <c r="P4" s="139">
        <f t="shared" si="1"/>
        <v>897.96185335719645</v>
      </c>
      <c r="Q4" s="139">
        <f t="shared" si="1"/>
        <v>372.25353870831748</v>
      </c>
      <c r="R4" s="139">
        <f t="shared" ref="R4:W4" si="2">SUM(R5:R14)</f>
        <v>1580.6378810539914</v>
      </c>
      <c r="S4" s="139">
        <f t="shared" si="2"/>
        <v>1049.424756837102</v>
      </c>
      <c r="T4" s="139">
        <f t="shared" si="2"/>
        <v>1341.6929559896494</v>
      </c>
      <c r="U4" s="139">
        <f t="shared" si="2"/>
        <v>1118.7687596014985</v>
      </c>
      <c r="V4" s="139">
        <f t="shared" si="2"/>
        <v>1002.6570085529056</v>
      </c>
      <c r="W4" s="139">
        <f t="shared" si="2"/>
        <v>934.83310160089798</v>
      </c>
      <c r="X4" s="139">
        <f t="shared" ref="X4:Y4" si="3">SUM(X5:X14)</f>
        <v>876.16035461570573</v>
      </c>
      <c r="Y4" s="139">
        <f t="shared" si="3"/>
        <v>831.03791719212825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7.6255521645467823</v>
      </c>
      <c r="D5" s="140">
        <v>62.016403517491838</v>
      </c>
      <c r="E5" s="140">
        <v>113.12723683143948</v>
      </c>
      <c r="F5" s="140">
        <v>51.387795687761916</v>
      </c>
      <c r="G5" s="140">
        <v>25.21229862647894</v>
      </c>
      <c r="H5" s="140">
        <v>9.9047496413555738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3.770646282559794E-2</v>
      </c>
      <c r="R5" s="140">
        <v>1.7912967032632907</v>
      </c>
      <c r="S5" s="140">
        <v>0.42346479912238705</v>
      </c>
      <c r="T5" s="140">
        <v>0.68907198637398903</v>
      </c>
      <c r="U5" s="140">
        <v>1.0565620804024376</v>
      </c>
      <c r="V5" s="140">
        <v>0</v>
      </c>
      <c r="W5" s="140">
        <v>0</v>
      </c>
      <c r="X5" s="140">
        <v>1.8271284920815031E-2</v>
      </c>
      <c r="Y5" s="140">
        <v>5.1439776830297212E-2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255.36848090182718</v>
      </c>
      <c r="D7" s="140">
        <v>0</v>
      </c>
      <c r="E7" s="140">
        <v>0</v>
      </c>
      <c r="F7" s="140">
        <v>0</v>
      </c>
      <c r="G7" s="140">
        <v>0</v>
      </c>
      <c r="H7" s="140">
        <v>0</v>
      </c>
      <c r="I7" s="140">
        <v>95.200628494365276</v>
      </c>
      <c r="J7" s="140">
        <v>106.0605064873176</v>
      </c>
      <c r="K7" s="140">
        <v>43.072817716023813</v>
      </c>
      <c r="L7" s="140">
        <v>46.390336798182375</v>
      </c>
      <c r="M7" s="140">
        <v>124.27156276450103</v>
      </c>
      <c r="N7" s="140">
        <v>66.587910284797857</v>
      </c>
      <c r="O7" s="140">
        <v>169.67158989051239</v>
      </c>
      <c r="P7" s="140">
        <v>186.92241723309576</v>
      </c>
      <c r="Q7" s="140">
        <v>32.339702558423411</v>
      </c>
      <c r="R7" s="140">
        <v>33.975188075774412</v>
      </c>
      <c r="S7" s="140">
        <v>1.5224656061333783</v>
      </c>
      <c r="T7" s="140">
        <v>0</v>
      </c>
      <c r="U7" s="140">
        <v>0</v>
      </c>
      <c r="V7" s="140">
        <v>48.380974361479538</v>
      </c>
      <c r="W7" s="140">
        <v>67.243723613941611</v>
      </c>
      <c r="X7" s="140">
        <v>89.622571012291218</v>
      </c>
      <c r="Y7" s="140">
        <v>111.8644729858692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184.17462215915739</v>
      </c>
      <c r="D9" s="140">
        <v>187.02431981663923</v>
      </c>
      <c r="E9" s="140">
        <v>179.0606981665907</v>
      </c>
      <c r="F9" s="140">
        <v>308.96029607232549</v>
      </c>
      <c r="G9" s="140">
        <v>378.79777270245791</v>
      </c>
      <c r="H9" s="140">
        <v>423.22096433980954</v>
      </c>
      <c r="I9" s="140">
        <v>604.64399073186371</v>
      </c>
      <c r="J9" s="140">
        <v>273.61228571737342</v>
      </c>
      <c r="K9" s="140">
        <v>106.53541451936881</v>
      </c>
      <c r="L9" s="140">
        <v>103.45575864558393</v>
      </c>
      <c r="M9" s="140">
        <v>178.29666819948264</v>
      </c>
      <c r="N9" s="140">
        <v>82.369235315255224</v>
      </c>
      <c r="O9" s="140">
        <v>114.50666674248693</v>
      </c>
      <c r="P9" s="140">
        <v>221.1506489845664</v>
      </c>
      <c r="Q9" s="140">
        <v>73.894554213457681</v>
      </c>
      <c r="R9" s="140">
        <v>340.25468433194931</v>
      </c>
      <c r="S9" s="140">
        <v>275.28589892521268</v>
      </c>
      <c r="T9" s="140">
        <v>385.41236937454107</v>
      </c>
      <c r="U9" s="140">
        <v>552.12856589829505</v>
      </c>
      <c r="V9" s="140">
        <v>386.30429986963571</v>
      </c>
      <c r="W9" s="140">
        <v>415.08210007451402</v>
      </c>
      <c r="X9" s="140">
        <v>345.73136137944562</v>
      </c>
      <c r="Y9" s="140">
        <v>195.90891942022776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0</v>
      </c>
      <c r="D10" s="140">
        <v>0</v>
      </c>
      <c r="E10" s="140">
        <v>0</v>
      </c>
      <c r="F10" s="140">
        <v>0</v>
      </c>
      <c r="G10" s="140">
        <v>13.60069966619149</v>
      </c>
      <c r="H10" s="140">
        <v>26.023274143694959</v>
      </c>
      <c r="I10" s="140">
        <v>67.517976034229392</v>
      </c>
      <c r="J10" s="140">
        <v>31.237866100030391</v>
      </c>
      <c r="K10" s="140">
        <v>9.3451099157263364</v>
      </c>
      <c r="L10" s="140">
        <v>3.6660536661065883</v>
      </c>
      <c r="M10" s="140">
        <v>14.61082123769183</v>
      </c>
      <c r="N10" s="140">
        <v>6.9984313574565498</v>
      </c>
      <c r="O10" s="140">
        <v>8.1177363488243728</v>
      </c>
      <c r="P10" s="140">
        <v>10.408911621393585</v>
      </c>
      <c r="Q10" s="140">
        <v>0.494436069508839</v>
      </c>
      <c r="R10" s="140">
        <v>7.1019120656258199</v>
      </c>
      <c r="S10" s="140">
        <v>0</v>
      </c>
      <c r="T10" s="140">
        <v>0</v>
      </c>
      <c r="U10" s="140">
        <v>0</v>
      </c>
      <c r="V10" s="140">
        <v>4.4818098065338869</v>
      </c>
      <c r="W10" s="140">
        <v>18.582070297387105</v>
      </c>
      <c r="X10" s="140">
        <v>31.366163171696332</v>
      </c>
      <c r="Y10" s="140">
        <v>37.681244188874281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0">
        <v>0</v>
      </c>
      <c r="L12" s="140">
        <v>0</v>
      </c>
      <c r="M12" s="140">
        <v>0</v>
      </c>
      <c r="N12" s="140">
        <v>0</v>
      </c>
      <c r="O12" s="140">
        <v>0</v>
      </c>
      <c r="P12" s="140">
        <v>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  <c r="Y12" s="140">
        <v>0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0.10735497860176403</v>
      </c>
      <c r="D13" s="140">
        <v>2.6377968499442197</v>
      </c>
      <c r="E13" s="140">
        <v>5.6661455183214464</v>
      </c>
      <c r="F13" s="140">
        <v>12.919796274872853</v>
      </c>
      <c r="G13" s="140">
        <v>32.911286793483626</v>
      </c>
      <c r="H13" s="140">
        <v>44.127839758110625</v>
      </c>
      <c r="I13" s="140">
        <v>76.188145604407353</v>
      </c>
      <c r="J13" s="140">
        <v>32.332158390118153</v>
      </c>
      <c r="K13" s="140">
        <v>9.189784261079561</v>
      </c>
      <c r="L13" s="140">
        <v>5.2190008572409265</v>
      </c>
      <c r="M13" s="140">
        <v>11.458130053568715</v>
      </c>
      <c r="N13" s="140">
        <v>4.2264208169628494</v>
      </c>
      <c r="O13" s="140">
        <v>10.351920651900826</v>
      </c>
      <c r="P13" s="140">
        <v>51.708751195125608</v>
      </c>
      <c r="Q13" s="140">
        <v>24.703580864884035</v>
      </c>
      <c r="R13" s="140">
        <v>84.576897136341842</v>
      </c>
      <c r="S13" s="140">
        <v>54.667209463958464</v>
      </c>
      <c r="T13" s="140">
        <v>52.346197131015295</v>
      </c>
      <c r="U13" s="140">
        <v>68.114977391271694</v>
      </c>
      <c r="V13" s="140">
        <v>89.359431762739888</v>
      </c>
      <c r="W13" s="140">
        <v>68.874299788341261</v>
      </c>
      <c r="X13" s="140">
        <v>57.23164480988887</v>
      </c>
      <c r="Y13" s="140">
        <v>41.442121573372255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676.7694688104873</v>
      </c>
      <c r="D14" s="141">
        <v>888.75777909807584</v>
      </c>
      <c r="E14" s="141">
        <v>653.12394073433995</v>
      </c>
      <c r="F14" s="141">
        <v>705.89320813601023</v>
      </c>
      <c r="G14" s="141">
        <v>1090.1617416095762</v>
      </c>
      <c r="H14" s="141">
        <v>923.63380010610899</v>
      </c>
      <c r="I14" s="141">
        <v>1709.5054272121565</v>
      </c>
      <c r="J14" s="141">
        <v>412.47176497324739</v>
      </c>
      <c r="K14" s="141">
        <v>22.3378052657647</v>
      </c>
      <c r="L14" s="141">
        <v>26.634564875507657</v>
      </c>
      <c r="M14" s="141">
        <v>175.04420384102204</v>
      </c>
      <c r="N14" s="141">
        <v>24.20939005189345</v>
      </c>
      <c r="O14" s="141">
        <v>116.33681750797217</v>
      </c>
      <c r="P14" s="141">
        <v>427.7711243230151</v>
      </c>
      <c r="Q14" s="141">
        <v>240.78355853921792</v>
      </c>
      <c r="R14" s="141">
        <v>1112.9379027410366</v>
      </c>
      <c r="S14" s="141">
        <v>717.52571804267507</v>
      </c>
      <c r="T14" s="141">
        <v>903.24531749771893</v>
      </c>
      <c r="U14" s="141">
        <v>497.46865423152929</v>
      </c>
      <c r="V14" s="141">
        <v>474.13049275251655</v>
      </c>
      <c r="W14" s="141">
        <v>365.05090782671402</v>
      </c>
      <c r="X14" s="141">
        <v>352.19034295746286</v>
      </c>
      <c r="Y14" s="141">
        <v>444.08971924695442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447.16865522553132</v>
      </c>
      <c r="D15" s="143">
        <f t="shared" si="4"/>
        <v>249.04072333413109</v>
      </c>
      <c r="E15" s="143">
        <f t="shared" si="4"/>
        <v>292.18793499803019</v>
      </c>
      <c r="F15" s="143">
        <f t="shared" si="4"/>
        <v>360.34809176008741</v>
      </c>
      <c r="G15" s="143">
        <f t="shared" si="4"/>
        <v>417.61077099512835</v>
      </c>
      <c r="H15" s="143">
        <f t="shared" si="4"/>
        <v>459.14898812486007</v>
      </c>
      <c r="I15" s="143">
        <f t="shared" si="4"/>
        <v>767.36259526045842</v>
      </c>
      <c r="J15" s="143">
        <f t="shared" si="4"/>
        <v>410.91065830472138</v>
      </c>
      <c r="K15" s="143">
        <f t="shared" si="4"/>
        <v>158.95334215111896</v>
      </c>
      <c r="L15" s="143">
        <f t="shared" si="4"/>
        <v>153.51214910987289</v>
      </c>
      <c r="M15" s="143">
        <f t="shared" si="4"/>
        <v>317.17905220167546</v>
      </c>
      <c r="N15" s="143">
        <f t="shared" si="4"/>
        <v>155.95557695750963</v>
      </c>
      <c r="O15" s="143">
        <f t="shared" si="4"/>
        <v>292.2959929818237</v>
      </c>
      <c r="P15" s="143">
        <f t="shared" si="4"/>
        <v>418.48197783905573</v>
      </c>
      <c r="Q15" s="143">
        <f t="shared" si="4"/>
        <v>106.76639930421553</v>
      </c>
      <c r="R15" s="143">
        <f t="shared" ref="R15:W15" si="5">SUM(R5:R12)</f>
        <v>383.1230811766128</v>
      </c>
      <c r="S15" s="143">
        <f t="shared" si="5"/>
        <v>277.23182933046843</v>
      </c>
      <c r="T15" s="143">
        <f t="shared" si="5"/>
        <v>386.10144136091509</v>
      </c>
      <c r="U15" s="143">
        <f t="shared" si="5"/>
        <v>553.18512797869744</v>
      </c>
      <c r="V15" s="143">
        <f t="shared" si="5"/>
        <v>439.16708403764915</v>
      </c>
      <c r="W15" s="143">
        <f t="shared" si="5"/>
        <v>500.90789398584275</v>
      </c>
      <c r="X15" s="143">
        <f t="shared" ref="X15:Y15" si="6">SUM(X5:X12)</f>
        <v>466.73836684835396</v>
      </c>
      <c r="Y15" s="143">
        <f t="shared" si="6"/>
        <v>345.50607637180156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1124.0454790146205</v>
      </c>
      <c r="D16" s="139">
        <f t="shared" si="7"/>
        <v>1140.4362992821511</v>
      </c>
      <c r="E16" s="139">
        <f t="shared" si="7"/>
        <v>950.97802125069165</v>
      </c>
      <c r="F16" s="139">
        <f t="shared" si="7"/>
        <v>1079.1610961709705</v>
      </c>
      <c r="G16" s="139">
        <f t="shared" si="7"/>
        <v>1540.6837993981881</v>
      </c>
      <c r="H16" s="139">
        <f t="shared" si="7"/>
        <v>1426.9106279890798</v>
      </c>
      <c r="I16" s="139">
        <f t="shared" si="7"/>
        <v>2121.5737013910662</v>
      </c>
      <c r="J16" s="139">
        <f t="shared" si="7"/>
        <v>855.71458166808713</v>
      </c>
      <c r="K16" s="139">
        <f t="shared" si="7"/>
        <v>190.48093167796324</v>
      </c>
      <c r="L16" s="139">
        <f t="shared" si="7"/>
        <v>185.36571484262149</v>
      </c>
      <c r="M16" s="139">
        <f t="shared" si="7"/>
        <v>503.68138609626624</v>
      </c>
      <c r="N16" s="139">
        <f t="shared" si="7"/>
        <v>184.39138782636593</v>
      </c>
      <c r="O16" s="139">
        <f t="shared" si="7"/>
        <v>418.98473114169673</v>
      </c>
      <c r="P16" s="139">
        <f t="shared" si="7"/>
        <v>897.96185335719633</v>
      </c>
      <c r="Q16" s="139">
        <f t="shared" si="7"/>
        <v>372.25353870831742</v>
      </c>
      <c r="R16" s="139">
        <f t="shared" ref="R16:W16" si="8">SUM(R17:R18)</f>
        <v>1580.6378810539918</v>
      </c>
      <c r="S16" s="139">
        <f t="shared" si="8"/>
        <v>1049.4247568371022</v>
      </c>
      <c r="T16" s="139">
        <f t="shared" si="8"/>
        <v>1341.6929559896498</v>
      </c>
      <c r="U16" s="139">
        <f t="shared" si="8"/>
        <v>1118.7687596014985</v>
      </c>
      <c r="V16" s="139">
        <f t="shared" si="8"/>
        <v>1002.6570085529057</v>
      </c>
      <c r="W16" s="139">
        <f t="shared" si="8"/>
        <v>934.83310160089798</v>
      </c>
      <c r="X16" s="139">
        <f t="shared" ref="X16:Y16" si="9">SUM(X17:X18)</f>
        <v>876.16035461570584</v>
      </c>
      <c r="Y16" s="139">
        <f t="shared" si="9"/>
        <v>831.03791719212813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3.2779982185782996</v>
      </c>
      <c r="D17" s="140">
        <v>3.5776930210010218</v>
      </c>
      <c r="E17" s="140">
        <v>1.356643175169717</v>
      </c>
      <c r="F17" s="140">
        <v>4.7838689365341738</v>
      </c>
      <c r="G17" s="140">
        <v>5.2585828201349027</v>
      </c>
      <c r="H17" s="140">
        <v>7.0323137378683187</v>
      </c>
      <c r="I17" s="140">
        <v>6.6462172212192261</v>
      </c>
      <c r="J17" s="140">
        <v>2.0048529148856611</v>
      </c>
      <c r="K17" s="140">
        <v>1.172783340123118</v>
      </c>
      <c r="L17" s="140">
        <v>0.84396768089047791</v>
      </c>
      <c r="M17" s="140">
        <v>2.5913985170557114</v>
      </c>
      <c r="N17" s="140">
        <v>1.2587401100383513</v>
      </c>
      <c r="O17" s="140">
        <v>4.2921453586280887</v>
      </c>
      <c r="P17" s="140">
        <v>12.010701276054302</v>
      </c>
      <c r="Q17" s="140">
        <v>7.1731321881939261</v>
      </c>
      <c r="R17" s="140">
        <v>33.301766522383346</v>
      </c>
      <c r="S17" s="140">
        <v>17.173815659558965</v>
      </c>
      <c r="T17" s="140">
        <v>17.217157125976701</v>
      </c>
      <c r="U17" s="140">
        <v>15.416469030638064</v>
      </c>
      <c r="V17" s="140">
        <v>17.409297721393227</v>
      </c>
      <c r="W17" s="140">
        <v>11.845357878129047</v>
      </c>
      <c r="X17" s="140">
        <v>16.40927289627848</v>
      </c>
      <c r="Y17" s="140">
        <v>10.944256669030548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1120.7674807960423</v>
      </c>
      <c r="D18" s="140">
        <v>1136.85860626115</v>
      </c>
      <c r="E18" s="140">
        <v>949.62137807552199</v>
      </c>
      <c r="F18" s="140">
        <v>1074.3772272344363</v>
      </c>
      <c r="G18" s="140">
        <v>1535.4252165780531</v>
      </c>
      <c r="H18" s="140">
        <v>1419.8783142512116</v>
      </c>
      <c r="I18" s="140">
        <v>2114.927484169847</v>
      </c>
      <c r="J18" s="140">
        <v>853.70972875320149</v>
      </c>
      <c r="K18" s="140">
        <v>189.30814833784012</v>
      </c>
      <c r="L18" s="140">
        <v>184.52174716173101</v>
      </c>
      <c r="M18" s="140">
        <v>501.08998757921051</v>
      </c>
      <c r="N18" s="140">
        <v>183.13264771632757</v>
      </c>
      <c r="O18" s="140">
        <v>414.69258578306864</v>
      </c>
      <c r="P18" s="140">
        <v>885.95115208114203</v>
      </c>
      <c r="Q18" s="140">
        <v>365.08040652012352</v>
      </c>
      <c r="R18" s="140">
        <v>1547.3361145316085</v>
      </c>
      <c r="S18" s="140">
        <v>1032.2509411775432</v>
      </c>
      <c r="T18" s="140">
        <v>1324.4757988636732</v>
      </c>
      <c r="U18" s="140">
        <v>1103.3522905708603</v>
      </c>
      <c r="V18" s="140">
        <v>985.24771083151245</v>
      </c>
      <c r="W18" s="140">
        <v>922.98774372276898</v>
      </c>
      <c r="X18" s="140">
        <v>859.75108171942736</v>
      </c>
      <c r="Y18" s="140">
        <v>820.09366052309758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1124.0454790146205</v>
      </c>
      <c r="D19" s="139">
        <f t="shared" si="10"/>
        <v>1140.4362992821511</v>
      </c>
      <c r="E19" s="139">
        <f t="shared" si="10"/>
        <v>950.97802125069177</v>
      </c>
      <c r="F19" s="139">
        <f t="shared" si="10"/>
        <v>1079.1610961709705</v>
      </c>
      <c r="G19" s="139">
        <f t="shared" si="10"/>
        <v>1540.6837993981881</v>
      </c>
      <c r="H19" s="139">
        <f t="shared" si="10"/>
        <v>1426.9106279890798</v>
      </c>
      <c r="I19" s="139">
        <f t="shared" si="10"/>
        <v>2553.0561680770224</v>
      </c>
      <c r="J19" s="139">
        <f t="shared" si="10"/>
        <v>855.71458166808713</v>
      </c>
      <c r="K19" s="139">
        <f t="shared" si="10"/>
        <v>190.48093167796324</v>
      </c>
      <c r="L19" s="139">
        <f t="shared" si="10"/>
        <v>185.36571484262149</v>
      </c>
      <c r="M19" s="139">
        <f t="shared" si="10"/>
        <v>503.68138609626618</v>
      </c>
      <c r="N19" s="139">
        <f t="shared" si="10"/>
        <v>184.39138782636593</v>
      </c>
      <c r="O19" s="139">
        <f t="shared" si="10"/>
        <v>418.98473114169667</v>
      </c>
      <c r="P19" s="139">
        <f t="shared" si="10"/>
        <v>897.96185335719633</v>
      </c>
      <c r="Q19" s="139">
        <f t="shared" si="10"/>
        <v>372.25353870831748</v>
      </c>
      <c r="R19" s="139">
        <f t="shared" ref="R19:W19" si="11">SUM(R20:R26)</f>
        <v>1580.6378810539916</v>
      </c>
      <c r="S19" s="139">
        <f t="shared" si="11"/>
        <v>1049.424756837102</v>
      </c>
      <c r="T19" s="139">
        <f t="shared" si="11"/>
        <v>1341.6929559896496</v>
      </c>
      <c r="U19" s="139">
        <f t="shared" si="11"/>
        <v>1118.7687596014987</v>
      </c>
      <c r="V19" s="139">
        <f t="shared" si="11"/>
        <v>1002.6570085529056</v>
      </c>
      <c r="W19" s="139">
        <f t="shared" si="11"/>
        <v>934.83310160089809</v>
      </c>
      <c r="X19" s="139">
        <f t="shared" ref="X19:Y19" si="12">SUM(X20:X26)</f>
        <v>876.16035461570573</v>
      </c>
      <c r="Y19" s="139">
        <f t="shared" si="12"/>
        <v>831.03791719212813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211.53480935540796</v>
      </c>
      <c r="D22" s="140">
        <v>161.25979209283113</v>
      </c>
      <c r="E22" s="140">
        <v>119.02412476353517</v>
      </c>
      <c r="F22" s="140">
        <v>131.0953182697676</v>
      </c>
      <c r="G22" s="140">
        <v>132.08880451246202</v>
      </c>
      <c r="H22" s="140">
        <v>153.69787114603761</v>
      </c>
      <c r="I22" s="140">
        <v>255.74388573197615</v>
      </c>
      <c r="J22" s="140">
        <v>137.11423783288862</v>
      </c>
      <c r="K22" s="140">
        <v>51.887377153873842</v>
      </c>
      <c r="L22" s="140">
        <v>42.741556033573893</v>
      </c>
      <c r="M22" s="140">
        <v>94.275165505742194</v>
      </c>
      <c r="N22" s="140">
        <v>37.724420354671487</v>
      </c>
      <c r="O22" s="140">
        <v>66.511077507035111</v>
      </c>
      <c r="P22" s="140">
        <v>38.801308990617613</v>
      </c>
      <c r="Q22" s="140">
        <v>18.763320932672023</v>
      </c>
      <c r="R22" s="140">
        <v>116.43017991596807</v>
      </c>
      <c r="S22" s="140">
        <v>104.54230206503011</v>
      </c>
      <c r="T22" s="140">
        <v>81.945085463949383</v>
      </c>
      <c r="U22" s="140">
        <v>58.529651894096418</v>
      </c>
      <c r="V22" s="140">
        <v>58.340300913172797</v>
      </c>
      <c r="W22" s="140">
        <v>94.109547892940967</v>
      </c>
      <c r="X22" s="140">
        <v>137.87410183552794</v>
      </c>
      <c r="Y22" s="140">
        <v>146.82018976481757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232.7891507416559</v>
      </c>
      <c r="D23" s="140">
        <v>254.71119235085254</v>
      </c>
      <c r="E23" s="140">
        <v>224.98812824778281</v>
      </c>
      <c r="F23" s="140">
        <v>255.44918583304661</v>
      </c>
      <c r="G23" s="140">
        <v>311.03356969249171</v>
      </c>
      <c r="H23" s="140">
        <v>296.08336429680395</v>
      </c>
      <c r="I23" s="140">
        <v>423.68579632840039</v>
      </c>
      <c r="J23" s="140">
        <v>180.57015966501774</v>
      </c>
      <c r="K23" s="140">
        <v>66.471100757768355</v>
      </c>
      <c r="L23" s="140">
        <v>48.918843327906437</v>
      </c>
      <c r="M23" s="140">
        <v>95.188838084210516</v>
      </c>
      <c r="N23" s="140">
        <v>50.408293915095413</v>
      </c>
      <c r="O23" s="140">
        <v>116.72005294047599</v>
      </c>
      <c r="P23" s="140">
        <v>260.53395820337363</v>
      </c>
      <c r="Q23" s="140">
        <v>102.23180243074371</v>
      </c>
      <c r="R23" s="140">
        <v>256.75031635453109</v>
      </c>
      <c r="S23" s="140">
        <v>175.35612746495886</v>
      </c>
      <c r="T23" s="140">
        <v>115.86190185531655</v>
      </c>
      <c r="U23" s="140">
        <v>158.30813458495334</v>
      </c>
      <c r="V23" s="140">
        <v>140.08470357308701</v>
      </c>
      <c r="W23" s="140">
        <v>344.21705118971437</v>
      </c>
      <c r="X23" s="140">
        <v>301.61548597616542</v>
      </c>
      <c r="Y23" s="140">
        <v>251.71097942642407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0</v>
      </c>
      <c r="L25" s="140">
        <v>0</v>
      </c>
      <c r="M25" s="140">
        <v>0</v>
      </c>
      <c r="N25" s="140">
        <v>0</v>
      </c>
      <c r="O25" s="140">
        <v>0</v>
      </c>
      <c r="P25" s="140">
        <v>0</v>
      </c>
      <c r="Q25" s="140">
        <v>0</v>
      </c>
      <c r="R25" s="140">
        <v>0</v>
      </c>
      <c r="S25" s="140">
        <v>0</v>
      </c>
      <c r="T25" s="140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679.72151891755652</v>
      </c>
      <c r="D26" s="141">
        <v>724.46531483846741</v>
      </c>
      <c r="E26" s="141">
        <v>606.9657682393738</v>
      </c>
      <c r="F26" s="141">
        <v>692.61659206815625</v>
      </c>
      <c r="G26" s="141">
        <v>1097.5614251932343</v>
      </c>
      <c r="H26" s="141">
        <v>977.12939254623825</v>
      </c>
      <c r="I26" s="141">
        <v>1873.6264860166459</v>
      </c>
      <c r="J26" s="141">
        <v>538.03018417018075</v>
      </c>
      <c r="K26" s="141">
        <v>72.122453766321044</v>
      </c>
      <c r="L26" s="141">
        <v>93.705315481141156</v>
      </c>
      <c r="M26" s="141">
        <v>314.21738250631347</v>
      </c>
      <c r="N26" s="141">
        <v>96.258673556599021</v>
      </c>
      <c r="O26" s="141">
        <v>235.75360069418556</v>
      </c>
      <c r="P26" s="141">
        <v>598.62658616320516</v>
      </c>
      <c r="Q26" s="141">
        <v>251.25841534490172</v>
      </c>
      <c r="R26" s="141">
        <v>1207.4573847834924</v>
      </c>
      <c r="S26" s="141">
        <v>769.52632730711298</v>
      </c>
      <c r="T26" s="141">
        <v>1143.8859686703836</v>
      </c>
      <c r="U26" s="141">
        <v>901.9309731224489</v>
      </c>
      <c r="V26" s="141">
        <v>804.2320040666458</v>
      </c>
      <c r="W26" s="141">
        <v>496.50650251824283</v>
      </c>
      <c r="X26" s="141">
        <v>436.67076680401232</v>
      </c>
      <c r="Y26" s="141">
        <v>432.50674800088643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78.15574426204256</v>
      </c>
      <c r="I27" s="150">
        <v>12.00530574788047</v>
      </c>
      <c r="J27" s="150">
        <v>125.68615245270095</v>
      </c>
      <c r="K27" s="150">
        <v>2.6504035839731284</v>
      </c>
      <c r="L27" s="150">
        <v>84.893745483528988</v>
      </c>
      <c r="M27" s="150">
        <v>27.862887535980988</v>
      </c>
      <c r="N27" s="150">
        <v>0</v>
      </c>
      <c r="O27" s="150">
        <v>0</v>
      </c>
      <c r="P27" s="150">
        <v>0</v>
      </c>
      <c r="Q27" s="150">
        <v>0</v>
      </c>
      <c r="R27" s="150">
        <v>6.6196414710866787</v>
      </c>
      <c r="S27" s="150">
        <v>16.185656258879252</v>
      </c>
      <c r="T27" s="150">
        <v>20.287602235137044</v>
      </c>
      <c r="U27" s="150">
        <v>20.329888666618267</v>
      </c>
      <c r="V27" s="150">
        <v>65.700542008786073</v>
      </c>
      <c r="W27" s="150">
        <v>9.2487211234054776</v>
      </c>
      <c r="X27" s="150">
        <v>38.659073153290926</v>
      </c>
      <c r="Y27" s="150">
        <v>31.184759951930516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1124.0454790146205</v>
      </c>
      <c r="D29" s="139">
        <f t="shared" si="13"/>
        <v>1140.4362992821511</v>
      </c>
      <c r="E29" s="139">
        <f t="shared" si="13"/>
        <v>950.97802125069165</v>
      </c>
      <c r="F29" s="139">
        <f t="shared" si="13"/>
        <v>1079.1610961709705</v>
      </c>
      <c r="G29" s="139">
        <f t="shared" si="13"/>
        <v>1540.6837993981881</v>
      </c>
      <c r="H29" s="139">
        <f t="shared" si="13"/>
        <v>1426.9106279890798</v>
      </c>
      <c r="I29" s="139">
        <f t="shared" si="13"/>
        <v>2553.0561680770224</v>
      </c>
      <c r="J29" s="139">
        <f t="shared" si="13"/>
        <v>855.71458166808702</v>
      </c>
      <c r="K29" s="139">
        <f t="shared" si="13"/>
        <v>190.48093167796324</v>
      </c>
      <c r="L29" s="139">
        <f t="shared" si="13"/>
        <v>185.36571484262149</v>
      </c>
      <c r="M29" s="139">
        <f t="shared" si="13"/>
        <v>503.68138609626624</v>
      </c>
      <c r="N29" s="139">
        <f t="shared" si="13"/>
        <v>184.39138782636593</v>
      </c>
      <c r="O29" s="139">
        <f t="shared" si="13"/>
        <v>418.98473114169667</v>
      </c>
      <c r="P29" s="139">
        <f t="shared" si="13"/>
        <v>897.96185335719645</v>
      </c>
      <c r="Q29" s="139">
        <f t="shared" si="13"/>
        <v>372.25353870831748</v>
      </c>
      <c r="R29" s="139">
        <f t="shared" ref="R29:W29" si="14">SUM(R30:R33)</f>
        <v>1580.6378810539916</v>
      </c>
      <c r="S29" s="139">
        <f t="shared" si="14"/>
        <v>1049.424756837102</v>
      </c>
      <c r="T29" s="139">
        <f t="shared" si="14"/>
        <v>1341.6929559896496</v>
      </c>
      <c r="U29" s="139">
        <f t="shared" si="14"/>
        <v>1118.7687596014985</v>
      </c>
      <c r="V29" s="139">
        <f t="shared" si="14"/>
        <v>1002.6570085529056</v>
      </c>
      <c r="W29" s="139">
        <f t="shared" si="14"/>
        <v>934.83310160089809</v>
      </c>
      <c r="X29" s="139">
        <f t="shared" ref="X29:Y29" si="15">SUM(X30:X33)</f>
        <v>876.16035461570573</v>
      </c>
      <c r="Y29" s="139">
        <f t="shared" si="15"/>
        <v>831.03791719212825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454.99796019357757</v>
      </c>
      <c r="D30" s="140">
        <v>488.73219817299093</v>
      </c>
      <c r="E30" s="140">
        <v>490.87778506116342</v>
      </c>
      <c r="F30" s="140">
        <v>611.76964651903654</v>
      </c>
      <c r="G30" s="140">
        <v>911.88846294636483</v>
      </c>
      <c r="H30" s="140">
        <v>720.69429245242691</v>
      </c>
      <c r="I30" s="140">
        <v>1300.5679925994116</v>
      </c>
      <c r="J30" s="140">
        <v>222.67724321181461</v>
      </c>
      <c r="K30" s="140">
        <v>43.003011638211994</v>
      </c>
      <c r="L30" s="140">
        <v>89.779703887093007</v>
      </c>
      <c r="M30" s="140">
        <v>229.18115116340451</v>
      </c>
      <c r="N30" s="140">
        <v>54.449316796061005</v>
      </c>
      <c r="O30" s="140">
        <v>174.9682262085519</v>
      </c>
      <c r="P30" s="140">
        <v>130.84684000695952</v>
      </c>
      <c r="Q30" s="140">
        <v>120.91295000356776</v>
      </c>
      <c r="R30" s="140">
        <v>345.72590573700808</v>
      </c>
      <c r="S30" s="140">
        <v>419.53696471743359</v>
      </c>
      <c r="T30" s="140">
        <v>493.37534902528563</v>
      </c>
      <c r="U30" s="140">
        <v>326.53242850284533</v>
      </c>
      <c r="V30" s="140">
        <v>159.95271958777792</v>
      </c>
      <c r="W30" s="140">
        <v>268.95537943227828</v>
      </c>
      <c r="X30" s="140">
        <v>380.28197341264195</v>
      </c>
      <c r="Y30" s="140">
        <v>401.38865863332131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135.8061108046806</v>
      </c>
      <c r="D31" s="140">
        <v>126.16153326816551</v>
      </c>
      <c r="E31" s="140">
        <v>119.21585896433662</v>
      </c>
      <c r="F31" s="140">
        <v>153.5919298003482</v>
      </c>
      <c r="G31" s="140">
        <v>206.24781119996993</v>
      </c>
      <c r="H31" s="140">
        <v>198.97297196148793</v>
      </c>
      <c r="I31" s="140">
        <v>305.39023386804973</v>
      </c>
      <c r="J31" s="140">
        <v>138.46115223120262</v>
      </c>
      <c r="K31" s="140">
        <v>46.512751720029705</v>
      </c>
      <c r="L31" s="140">
        <v>30.568668758713564</v>
      </c>
      <c r="M31" s="140">
        <v>18.488189001411961</v>
      </c>
      <c r="N31" s="140">
        <v>17.913618071121679</v>
      </c>
      <c r="O31" s="140">
        <v>46.64420362507304</v>
      </c>
      <c r="P31" s="140">
        <v>109.19180290146774</v>
      </c>
      <c r="Q31" s="140">
        <v>52.573806187768128</v>
      </c>
      <c r="R31" s="140">
        <v>158.34270928102671</v>
      </c>
      <c r="S31" s="140">
        <v>109.66140547117972</v>
      </c>
      <c r="T31" s="140">
        <v>133.59890742894436</v>
      </c>
      <c r="U31" s="140">
        <v>137.40099978132722</v>
      </c>
      <c r="V31" s="140">
        <v>126.0783119179227</v>
      </c>
      <c r="W31" s="140">
        <v>197.61990975456672</v>
      </c>
      <c r="X31" s="140">
        <v>118.0767624298194</v>
      </c>
      <c r="Y31" s="140">
        <v>106.57299674219976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533.24140801636224</v>
      </c>
      <c r="D33" s="152">
        <v>525.54256784099459</v>
      </c>
      <c r="E33" s="152">
        <v>340.88437722519171</v>
      </c>
      <c r="F33" s="152">
        <v>313.79951985158579</v>
      </c>
      <c r="G33" s="152">
        <v>422.54752525185341</v>
      </c>
      <c r="H33" s="152">
        <v>507.24336357516484</v>
      </c>
      <c r="I33" s="152">
        <v>947.09794160956119</v>
      </c>
      <c r="J33" s="152">
        <v>494.57618622506982</v>
      </c>
      <c r="K33" s="152">
        <v>100.96516831972154</v>
      </c>
      <c r="L33" s="152">
        <v>65.017342196814923</v>
      </c>
      <c r="M33" s="152">
        <v>256.01204593144979</v>
      </c>
      <c r="N33" s="152">
        <v>112.02845295918323</v>
      </c>
      <c r="O33" s="152">
        <v>197.37230130807174</v>
      </c>
      <c r="P33" s="152">
        <v>657.92321044876917</v>
      </c>
      <c r="Q33" s="152">
        <v>198.76678251698158</v>
      </c>
      <c r="R33" s="152">
        <v>1076.5692660359568</v>
      </c>
      <c r="S33" s="152">
        <v>520.22638664848864</v>
      </c>
      <c r="T33" s="152">
        <v>714.71869953541955</v>
      </c>
      <c r="U33" s="152">
        <v>654.83533131732599</v>
      </c>
      <c r="V33" s="152">
        <v>716.62597704720497</v>
      </c>
      <c r="W33" s="152">
        <v>468.25781241405315</v>
      </c>
      <c r="X33" s="152">
        <v>377.80161877324434</v>
      </c>
      <c r="Y33" s="152">
        <v>323.07626181660714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23.828502182246815</v>
      </c>
      <c r="D3" s="125">
        <f t="shared" si="0"/>
        <v>22.420375316497655</v>
      </c>
      <c r="E3" s="125">
        <f t="shared" si="0"/>
        <v>21.269630713145485</v>
      </c>
      <c r="F3" s="125">
        <f t="shared" si="0"/>
        <v>22.122491024921572</v>
      </c>
      <c r="G3" s="125">
        <f t="shared" si="0"/>
        <v>31.991220168700657</v>
      </c>
      <c r="H3" s="125">
        <f t="shared" si="0"/>
        <v>31.024932073986335</v>
      </c>
      <c r="I3" s="125">
        <f t="shared" si="0"/>
        <v>52.713297363925854</v>
      </c>
      <c r="J3" s="125">
        <f t="shared" si="0"/>
        <v>18.722122890184068</v>
      </c>
      <c r="K3" s="125">
        <f t="shared" si="0"/>
        <v>4.0785855276444387</v>
      </c>
      <c r="L3" s="125">
        <f t="shared" si="0"/>
        <v>4.0254892456118556</v>
      </c>
      <c r="M3" s="125">
        <f t="shared" si="0"/>
        <v>9.7778816171578686</v>
      </c>
      <c r="N3" s="125">
        <f t="shared" si="0"/>
        <v>3.6242671425563149</v>
      </c>
      <c r="O3" s="125">
        <f t="shared" si="0"/>
        <v>8.1842691161729473</v>
      </c>
      <c r="P3" s="125">
        <f t="shared" si="0"/>
        <v>14.481203849920517</v>
      </c>
      <c r="Q3" s="125">
        <f t="shared" si="0"/>
        <v>6.2554750102429715</v>
      </c>
      <c r="R3" s="125">
        <f t="shared" ref="R3:W3" si="1">SUM(R4,R16,R19,R29)</f>
        <v>24.266885018394618</v>
      </c>
      <c r="S3" s="125">
        <f t="shared" si="1"/>
        <v>14.906745048447206</v>
      </c>
      <c r="T3" s="125">
        <f t="shared" si="1"/>
        <v>19.732114952126445</v>
      </c>
      <c r="U3" s="125">
        <f t="shared" si="1"/>
        <v>15.614524004709057</v>
      </c>
      <c r="V3" s="125">
        <f t="shared" si="1"/>
        <v>11.119597799050233</v>
      </c>
      <c r="W3" s="125">
        <f t="shared" si="1"/>
        <v>10.057506588333951</v>
      </c>
      <c r="X3" s="125">
        <f t="shared" ref="X3:Y3" si="2">SUM(X4,X16,X19,X29)</f>
        <v>8.1117650539002195</v>
      </c>
      <c r="Y3" s="125">
        <f t="shared" si="2"/>
        <v>7.6475846245975383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16.304782186063036</v>
      </c>
      <c r="D4" s="130">
        <f t="shared" si="3"/>
        <v>14.952169513442536</v>
      </c>
      <c r="E4" s="130">
        <f t="shared" si="3"/>
        <v>15.080424005497921</v>
      </c>
      <c r="F4" s="130">
        <f t="shared" si="3"/>
        <v>15.186721027587126</v>
      </c>
      <c r="G4" s="130">
        <f t="shared" si="3"/>
        <v>22.042025553009442</v>
      </c>
      <c r="H4" s="130">
        <f t="shared" si="3"/>
        <v>22.066546742702513</v>
      </c>
      <c r="I4" s="130">
        <f t="shared" si="3"/>
        <v>37.355142470448683</v>
      </c>
      <c r="J4" s="130">
        <f t="shared" si="3"/>
        <v>13.677922965572524</v>
      </c>
      <c r="K4" s="130">
        <f t="shared" si="3"/>
        <v>2.9060045629672739</v>
      </c>
      <c r="L4" s="130">
        <f t="shared" si="3"/>
        <v>2.8535352984055291</v>
      </c>
      <c r="M4" s="130">
        <f t="shared" si="3"/>
        <v>6.6388041922275214</v>
      </c>
      <c r="N4" s="130">
        <f t="shared" si="3"/>
        <v>2.4711516990451119</v>
      </c>
      <c r="O4" s="130">
        <f t="shared" si="3"/>
        <v>5.5280163623372216</v>
      </c>
      <c r="P4" s="130">
        <f t="shared" si="3"/>
        <v>9.1211527367151302</v>
      </c>
      <c r="Q4" s="130">
        <f t="shared" si="3"/>
        <v>3.9523903918576759</v>
      </c>
      <c r="R4" s="130">
        <f t="shared" ref="R4:W4" si="4">SUM(R5:R15)</f>
        <v>14.978458446032462</v>
      </c>
      <c r="S4" s="130">
        <f t="shared" si="4"/>
        <v>8.689612738780216</v>
      </c>
      <c r="T4" s="130">
        <f t="shared" si="4"/>
        <v>11.935193722245964</v>
      </c>
      <c r="U4" s="130">
        <f t="shared" si="4"/>
        <v>9.2133953473664327</v>
      </c>
      <c r="V4" s="130">
        <f t="shared" si="4"/>
        <v>6.0010156492401929</v>
      </c>
      <c r="W4" s="130">
        <f t="shared" si="4"/>
        <v>4.5966769984568892</v>
      </c>
      <c r="X4" s="130">
        <f t="shared" ref="X4:Y4" si="5">SUM(X5:X15)</f>
        <v>3.1156122286671128</v>
      </c>
      <c r="Y4" s="130">
        <f t="shared" si="5"/>
        <v>2.9392958753351919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6.8832255888301316E-2</v>
      </c>
      <c r="D5" s="132">
        <v>0.28073813582074864</v>
      </c>
      <c r="E5" s="132">
        <v>2.759656345577898</v>
      </c>
      <c r="F5" s="132">
        <v>1.0479721291356627</v>
      </c>
      <c r="G5" s="132">
        <v>0.49689184306689294</v>
      </c>
      <c r="H5" s="132">
        <v>0.19243452268165032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3.2466502046421639E-4</v>
      </c>
      <c r="R5" s="132">
        <v>2.6050087534093332E-2</v>
      </c>
      <c r="S5" s="132">
        <v>4.8103722803839247E-3</v>
      </c>
      <c r="T5" s="132">
        <v>8.2316875945292901E-3</v>
      </c>
      <c r="U5" s="132">
        <v>1.2341012716718978E-2</v>
      </c>
      <c r="V5" s="132">
        <v>0</v>
      </c>
      <c r="W5" s="132">
        <v>0</v>
      </c>
      <c r="X5" s="132">
        <v>8.6098496904922484E-5</v>
      </c>
      <c r="Y5" s="132">
        <v>2.3563065091250897E-4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4.595367640866356</v>
      </c>
      <c r="D7" s="132">
        <v>0</v>
      </c>
      <c r="E7" s="132">
        <v>0</v>
      </c>
      <c r="F7" s="132">
        <v>0</v>
      </c>
      <c r="G7" s="132">
        <v>0</v>
      </c>
      <c r="H7" s="132">
        <v>0</v>
      </c>
      <c r="I7" s="132">
        <v>1.7169147098081177</v>
      </c>
      <c r="J7" s="132">
        <v>2.0698002791084789</v>
      </c>
      <c r="K7" s="132">
        <v>0.69796485196064306</v>
      </c>
      <c r="L7" s="132">
        <v>0.76624017548269852</v>
      </c>
      <c r="M7" s="132">
        <v>1.7895142856605495</v>
      </c>
      <c r="N7" s="132">
        <v>0.8699550820762878</v>
      </c>
      <c r="O7" s="132">
        <v>2.5343063741446721</v>
      </c>
      <c r="P7" s="132">
        <v>2.3150374313357891</v>
      </c>
      <c r="Q7" s="132">
        <v>0.39750118470675305</v>
      </c>
      <c r="R7" s="132">
        <v>0.37908706368320993</v>
      </c>
      <c r="S7" s="132">
        <v>1.5048780906182778E-2</v>
      </c>
      <c r="T7" s="132">
        <v>0</v>
      </c>
      <c r="U7" s="132">
        <v>0</v>
      </c>
      <c r="V7" s="132">
        <v>0.361391245061295</v>
      </c>
      <c r="W7" s="132">
        <v>0.38969532784416661</v>
      </c>
      <c r="X7" s="132">
        <v>0.37128623360148094</v>
      </c>
      <c r="Y7" s="132">
        <v>0.46458026060931923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3.159844907923929</v>
      </c>
      <c r="D9" s="132">
        <v>3.0759060204931257</v>
      </c>
      <c r="E9" s="132">
        <v>3.0704092595733372</v>
      </c>
      <c r="F9" s="132">
        <v>5.2165202913365114</v>
      </c>
      <c r="G9" s="132">
        <v>6.3296046909564634</v>
      </c>
      <c r="H9" s="132">
        <v>7.6495194701152265</v>
      </c>
      <c r="I9" s="132">
        <v>10.771766501647479</v>
      </c>
      <c r="J9" s="132">
        <v>4.8566077671809733</v>
      </c>
      <c r="K9" s="132">
        <v>1.645147826293252</v>
      </c>
      <c r="L9" s="132">
        <v>1.6610292466356094</v>
      </c>
      <c r="M9" s="132">
        <v>2.4488572457282429</v>
      </c>
      <c r="N9" s="132">
        <v>1.1769715130320919</v>
      </c>
      <c r="O9" s="132">
        <v>1.4517693871916315</v>
      </c>
      <c r="P9" s="132">
        <v>2.3510004519253633</v>
      </c>
      <c r="Q9" s="132">
        <v>0.82471458886387095</v>
      </c>
      <c r="R9" s="132">
        <v>3.3856195198708976</v>
      </c>
      <c r="S9" s="132">
        <v>2.4554532431713629</v>
      </c>
      <c r="T9" s="132">
        <v>3.5255704963793604</v>
      </c>
      <c r="U9" s="132">
        <v>4.6322449820206568</v>
      </c>
      <c r="V9" s="132">
        <v>2.5711779126206906</v>
      </c>
      <c r="W9" s="132">
        <v>2.2150895138816309</v>
      </c>
      <c r="X9" s="132">
        <v>1.3066211691327261</v>
      </c>
      <c r="Y9" s="132">
        <v>0.72447729883753575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5.8682772090854068E-2</v>
      </c>
      <c r="H10" s="132">
        <v>0.28878394665132778</v>
      </c>
      <c r="I10" s="132">
        <v>1.3845560968985184</v>
      </c>
      <c r="J10" s="132">
        <v>0.76109931620477111</v>
      </c>
      <c r="K10" s="132">
        <v>0.21327068386097159</v>
      </c>
      <c r="L10" s="132">
        <v>5.930954504661004E-2</v>
      </c>
      <c r="M10" s="132">
        <v>0.24818667494033866</v>
      </c>
      <c r="N10" s="132">
        <v>0.11462401499182293</v>
      </c>
      <c r="O10" s="132">
        <v>0.15399946187190491</v>
      </c>
      <c r="P10" s="132">
        <v>0.20458018671378597</v>
      </c>
      <c r="Q10" s="132">
        <v>5.5851083155292764E-3</v>
      </c>
      <c r="R10" s="132">
        <v>0.11188742601034334</v>
      </c>
      <c r="S10" s="132">
        <v>0</v>
      </c>
      <c r="T10" s="132">
        <v>0</v>
      </c>
      <c r="U10" s="132">
        <v>0</v>
      </c>
      <c r="V10" s="132">
        <v>4.1963656412988881E-2</v>
      </c>
      <c r="W10" s="132">
        <v>0.15271101122978253</v>
      </c>
      <c r="X10" s="132">
        <v>0.18348918700052247</v>
      </c>
      <c r="Y10" s="132">
        <v>0.18973521575729771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3.119851785461499E-4</v>
      </c>
      <c r="D13" s="132">
        <v>2.0116061061359047E-3</v>
      </c>
      <c r="E13" s="132">
        <v>2.1068589589377868E-2</v>
      </c>
      <c r="F13" s="132">
        <v>3.6027253693993344E-2</v>
      </c>
      <c r="G13" s="132">
        <v>0.13567023756147736</v>
      </c>
      <c r="H13" s="132">
        <v>0.20087588309570487</v>
      </c>
      <c r="I13" s="132">
        <v>0.34640724063357448</v>
      </c>
      <c r="J13" s="132">
        <v>0.15364171560044121</v>
      </c>
      <c r="K13" s="132">
        <v>3.6626358370098464E-2</v>
      </c>
      <c r="L13" s="132">
        <v>1.8128930311635625E-2</v>
      </c>
      <c r="M13" s="132">
        <v>3.7834495946622006E-2</v>
      </c>
      <c r="N13" s="132">
        <v>1.2592108552263262E-2</v>
      </c>
      <c r="O13" s="132">
        <v>2.7496637162847785E-2</v>
      </c>
      <c r="P13" s="132">
        <v>0.12210261329516081</v>
      </c>
      <c r="Q13" s="132">
        <v>5.5005109143186744E-2</v>
      </c>
      <c r="R13" s="132">
        <v>0.17765801408165802</v>
      </c>
      <c r="S13" s="132">
        <v>0.11158552107931821</v>
      </c>
      <c r="T13" s="132">
        <v>9.4006071676159583E-2</v>
      </c>
      <c r="U13" s="132">
        <v>0.11345369677287781</v>
      </c>
      <c r="V13" s="132">
        <v>0.13048225035599398</v>
      </c>
      <c r="W13" s="132">
        <v>7.5755369020300486E-2</v>
      </c>
      <c r="X13" s="132">
        <v>4.383238485622859E-2</v>
      </c>
      <c r="Y13" s="132">
        <v>3.2125508521350009E-2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8.3983359709197902</v>
      </c>
      <c r="D14" s="65">
        <v>11.558528632733516</v>
      </c>
      <c r="E14" s="65">
        <v>9.1800986225620651</v>
      </c>
      <c r="F14" s="65">
        <v>8.8247220667380972</v>
      </c>
      <c r="G14" s="65">
        <v>14.951417479219892</v>
      </c>
      <c r="H14" s="65">
        <v>13.652604298583663</v>
      </c>
      <c r="I14" s="65">
        <v>23.0008511060126</v>
      </c>
      <c r="J14" s="65">
        <v>5.7631340685554298</v>
      </c>
      <c r="K14" s="65">
        <v>0.28830075782047448</v>
      </c>
      <c r="L14" s="65">
        <v>0.3239523254065686</v>
      </c>
      <c r="M14" s="65">
        <v>2.0701536515102497</v>
      </c>
      <c r="N14" s="65">
        <v>0.27513251461075877</v>
      </c>
      <c r="O14" s="65">
        <v>1.317245849033686</v>
      </c>
      <c r="P14" s="65">
        <v>4.0749132789958091</v>
      </c>
      <c r="Q14" s="65">
        <v>2.65474352519385</v>
      </c>
      <c r="R14" s="65">
        <v>10.851270130023719</v>
      </c>
      <c r="S14" s="65">
        <v>6.0717117005578105</v>
      </c>
      <c r="T14" s="65">
        <v>8.2627050282451346</v>
      </c>
      <c r="U14" s="65">
        <v>4.3961599663487156</v>
      </c>
      <c r="V14" s="65">
        <v>2.8586825519524668</v>
      </c>
      <c r="W14" s="65">
        <v>1.7297197920739293</v>
      </c>
      <c r="X14" s="65">
        <v>1.1883120236602061</v>
      </c>
      <c r="Y14" s="65">
        <v>1.5125875837924618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8.2089425286114293E-2</v>
      </c>
      <c r="D15" s="134">
        <v>3.4985118289010152E-2</v>
      </c>
      <c r="E15" s="134">
        <v>4.9191188195242264E-2</v>
      </c>
      <c r="F15" s="134">
        <v>6.1479286682860304E-2</v>
      </c>
      <c r="G15" s="134">
        <v>6.9758530113862599E-2</v>
      </c>
      <c r="H15" s="134">
        <v>8.2328621574940225E-2</v>
      </c>
      <c r="I15" s="134">
        <v>0.13464681544838833</v>
      </c>
      <c r="J15" s="134">
        <v>7.3639818922428379E-2</v>
      </c>
      <c r="K15" s="134">
        <v>2.469408466183444E-2</v>
      </c>
      <c r="L15" s="134">
        <v>2.4875075522407412E-2</v>
      </c>
      <c r="M15" s="134">
        <v>4.4257838441518968E-2</v>
      </c>
      <c r="N15" s="134">
        <v>2.1876465781887393E-2</v>
      </c>
      <c r="O15" s="134">
        <v>4.3198652932479195E-2</v>
      </c>
      <c r="P15" s="134">
        <v>5.3518774449220922E-2</v>
      </c>
      <c r="Q15" s="134">
        <v>1.451621061402146E-2</v>
      </c>
      <c r="R15" s="134">
        <v>4.6886204828539765E-2</v>
      </c>
      <c r="S15" s="134">
        <v>3.1003120785158426E-2</v>
      </c>
      <c r="T15" s="134">
        <v>4.4680438350781351E-2</v>
      </c>
      <c r="U15" s="134">
        <v>5.9195689507464018E-2</v>
      </c>
      <c r="V15" s="134">
        <v>3.7318032836758261E-2</v>
      </c>
      <c r="W15" s="134">
        <v>3.3705984407079524E-2</v>
      </c>
      <c r="X15" s="134">
        <v>2.1985131919044054E-2</v>
      </c>
      <c r="Y15" s="134">
        <v>1.5554377166314555E-2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0.77931328293351854</v>
      </c>
      <c r="D16" s="130">
        <f t="shared" si="6"/>
        <v>0.760837372237128</v>
      </c>
      <c r="E16" s="130">
        <f t="shared" si="6"/>
        <v>0.60011212018890792</v>
      </c>
      <c r="F16" s="130">
        <f t="shared" si="6"/>
        <v>0.64726760344812995</v>
      </c>
      <c r="G16" s="130">
        <f t="shared" si="6"/>
        <v>0.86479611677838175</v>
      </c>
      <c r="H16" s="130">
        <f t="shared" si="6"/>
        <v>0.77513678342374459</v>
      </c>
      <c r="I16" s="130">
        <f t="shared" si="6"/>
        <v>1.1140048204584894</v>
      </c>
      <c r="J16" s="130">
        <f t="shared" si="6"/>
        <v>0.41850489075798031</v>
      </c>
      <c r="K16" s="130">
        <f t="shared" si="6"/>
        <v>8.8095639865740191E-2</v>
      </c>
      <c r="L16" s="130">
        <f t="shared" si="6"/>
        <v>8.1299533956484607E-2</v>
      </c>
      <c r="M16" s="130">
        <f t="shared" si="6"/>
        <v>0.20668323113872067</v>
      </c>
      <c r="N16" s="130">
        <f t="shared" si="6"/>
        <v>7.1894570498939214E-2</v>
      </c>
      <c r="O16" s="130">
        <f t="shared" si="6"/>
        <v>0.15040366062766261</v>
      </c>
      <c r="P16" s="130">
        <f t="shared" si="6"/>
        <v>0.3074126200721316</v>
      </c>
      <c r="Q16" s="130">
        <f t="shared" si="6"/>
        <v>0.11669124071735579</v>
      </c>
      <c r="R16" s="130">
        <f t="shared" ref="R16:W16" si="7">SUM(R17:R18)</f>
        <v>0.4893592099722891</v>
      </c>
      <c r="S16" s="130">
        <f t="shared" si="7"/>
        <v>0.30598641923504483</v>
      </c>
      <c r="T16" s="130">
        <f t="shared" si="7"/>
        <v>0.37127098740656955</v>
      </c>
      <c r="U16" s="130">
        <f t="shared" si="7"/>
        <v>0.29677779072766519</v>
      </c>
      <c r="V16" s="130">
        <f t="shared" si="7"/>
        <v>0.23947931756826116</v>
      </c>
      <c r="W16" s="130">
        <f t="shared" si="7"/>
        <v>0.1915645425287707</v>
      </c>
      <c r="X16" s="130">
        <f t="shared" ref="X16:Y16" si="8">SUM(X17:X18)</f>
        <v>0.16275054845261333</v>
      </c>
      <c r="Y16" s="130">
        <f t="shared" si="8"/>
        <v>0.15486516475856596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5.1197406372964459E-3</v>
      </c>
      <c r="D17" s="132">
        <v>5.5348079174173731E-3</v>
      </c>
      <c r="E17" s="132">
        <v>2.0440497849201424E-3</v>
      </c>
      <c r="F17" s="132">
        <v>7.0242498923619029E-3</v>
      </c>
      <c r="G17" s="132">
        <v>7.4335443060835858E-3</v>
      </c>
      <c r="H17" s="132">
        <v>9.86251627707351E-3</v>
      </c>
      <c r="I17" s="132">
        <v>9.0968459864892506E-3</v>
      </c>
      <c r="J17" s="132">
        <v>2.6617501580039823E-3</v>
      </c>
      <c r="K17" s="132">
        <v>1.4962735314444369E-3</v>
      </c>
      <c r="L17" s="132">
        <v>1.0477417257227673E-3</v>
      </c>
      <c r="M17" s="132">
        <v>3.0843497728205637E-3</v>
      </c>
      <c r="N17" s="132">
        <v>1.4579066266369176E-3</v>
      </c>
      <c r="O17" s="132">
        <v>4.6950211537647481E-3</v>
      </c>
      <c r="P17" s="132">
        <v>1.292622043064762E-2</v>
      </c>
      <c r="Q17" s="132">
        <v>7.3165265545271328E-3</v>
      </c>
      <c r="R17" s="132">
        <v>3.3505252770150248E-2</v>
      </c>
      <c r="S17" s="132">
        <v>1.6353892324287595E-2</v>
      </c>
      <c r="T17" s="132">
        <v>1.542341426475495E-2</v>
      </c>
      <c r="U17" s="132">
        <v>1.2992155065593595E-2</v>
      </c>
      <c r="V17" s="132">
        <v>1.2337216336538391E-2</v>
      </c>
      <c r="W17" s="132">
        <v>6.9734415799092807E-3</v>
      </c>
      <c r="X17" s="132">
        <v>8.9705098686138473E-3</v>
      </c>
      <c r="Y17" s="132">
        <v>6.335648054423916E-3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0.77419354229622206</v>
      </c>
      <c r="D18" s="132">
        <v>0.75530256431971066</v>
      </c>
      <c r="E18" s="132">
        <v>0.59806807040398779</v>
      </c>
      <c r="F18" s="132">
        <v>0.640243353555768</v>
      </c>
      <c r="G18" s="132">
        <v>0.85736257247229819</v>
      </c>
      <c r="H18" s="132">
        <v>0.76527426714667113</v>
      </c>
      <c r="I18" s="132">
        <v>1.1049079744720001</v>
      </c>
      <c r="J18" s="132">
        <v>0.41584314059997635</v>
      </c>
      <c r="K18" s="132">
        <v>8.6599366334295755E-2</v>
      </c>
      <c r="L18" s="132">
        <v>8.0251792230761843E-2</v>
      </c>
      <c r="M18" s="132">
        <v>0.2035988813659001</v>
      </c>
      <c r="N18" s="132">
        <v>7.0436663872302296E-2</v>
      </c>
      <c r="O18" s="132">
        <v>0.14570863947389787</v>
      </c>
      <c r="P18" s="132">
        <v>0.29448639964148399</v>
      </c>
      <c r="Q18" s="132">
        <v>0.10937471416282865</v>
      </c>
      <c r="R18" s="132">
        <v>0.45585395720213884</v>
      </c>
      <c r="S18" s="132">
        <v>0.28963252691075725</v>
      </c>
      <c r="T18" s="132">
        <v>0.35584757314181459</v>
      </c>
      <c r="U18" s="132">
        <v>0.2837856356620716</v>
      </c>
      <c r="V18" s="132">
        <v>0.22714210123172277</v>
      </c>
      <c r="W18" s="132">
        <v>0.18459110094886141</v>
      </c>
      <c r="X18" s="132">
        <v>0.1537800385839995</v>
      </c>
      <c r="Y18" s="132">
        <v>0.14852951670414205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3.348862755838228</v>
      </c>
      <c r="D19" s="130">
        <f t="shared" si="9"/>
        <v>3.3059071041894494</v>
      </c>
      <c r="E19" s="130">
        <f t="shared" si="9"/>
        <v>2.7035393575367479</v>
      </c>
      <c r="F19" s="130">
        <f t="shared" si="9"/>
        <v>2.9914254656750585</v>
      </c>
      <c r="G19" s="130">
        <f t="shared" si="9"/>
        <v>4.2207991493647281</v>
      </c>
      <c r="H19" s="130">
        <f t="shared" si="9"/>
        <v>3.8493026077925485</v>
      </c>
      <c r="I19" s="130">
        <f t="shared" si="9"/>
        <v>6.672073511355773</v>
      </c>
      <c r="J19" s="130">
        <f t="shared" si="9"/>
        <v>2.2473322723500542</v>
      </c>
      <c r="K19" s="130">
        <f t="shared" si="9"/>
        <v>0.53990544293055165</v>
      </c>
      <c r="L19" s="130">
        <f t="shared" si="9"/>
        <v>0.51689249510865909</v>
      </c>
      <c r="M19" s="130">
        <f t="shared" si="9"/>
        <v>1.3887281952890114</v>
      </c>
      <c r="N19" s="130">
        <f t="shared" si="9"/>
        <v>0.51121338858078436</v>
      </c>
      <c r="O19" s="130">
        <f t="shared" si="9"/>
        <v>1.1263923206023159</v>
      </c>
      <c r="P19" s="130">
        <f t="shared" si="9"/>
        <v>2.291161868026363</v>
      </c>
      <c r="Q19" s="130">
        <f t="shared" si="9"/>
        <v>0.96209039641185323</v>
      </c>
      <c r="R19" s="130">
        <f t="shared" ref="R19:W19" si="10">SUM(R20:R27)</f>
        <v>3.8789987517003532</v>
      </c>
      <c r="S19" s="130">
        <f t="shared" si="10"/>
        <v>2.4977615815748937</v>
      </c>
      <c r="T19" s="130">
        <f t="shared" si="10"/>
        <v>3.0964888429253579</v>
      </c>
      <c r="U19" s="130">
        <f t="shared" si="10"/>
        <v>2.5534021517413672</v>
      </c>
      <c r="V19" s="130">
        <f t="shared" si="10"/>
        <v>2.1171857707270823</v>
      </c>
      <c r="W19" s="130">
        <f t="shared" si="10"/>
        <v>2.133288954111717</v>
      </c>
      <c r="X19" s="130">
        <f t="shared" ref="X19:Y19" si="11">SUM(X20:X27)</f>
        <v>1.896403065587807</v>
      </c>
      <c r="Y19" s="130">
        <f t="shared" si="11"/>
        <v>1.7387471574351894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0.73579950246163173</v>
      </c>
      <c r="D22" s="132">
        <v>0.55689277019121197</v>
      </c>
      <c r="E22" s="132">
        <v>0.39414167095922231</v>
      </c>
      <c r="F22" s="132">
        <v>0.43639127710764147</v>
      </c>
      <c r="G22" s="132">
        <v>0.4290442253623461</v>
      </c>
      <c r="H22" s="132">
        <v>0.48197862782601136</v>
      </c>
      <c r="I22" s="132">
        <v>0.79539134534131473</v>
      </c>
      <c r="J22" s="132">
        <v>0.43041563682473338</v>
      </c>
      <c r="K22" s="132">
        <v>0.16349458180976817</v>
      </c>
      <c r="L22" s="132">
        <v>0.13676515087935748</v>
      </c>
      <c r="M22" s="132">
        <v>0.30249352273261138</v>
      </c>
      <c r="N22" s="132">
        <v>0.11930175695643531</v>
      </c>
      <c r="O22" s="132">
        <v>0.20171900995511863</v>
      </c>
      <c r="P22" s="132">
        <v>0.11450934905070485</v>
      </c>
      <c r="Q22" s="132">
        <v>5.2684133694549121E-2</v>
      </c>
      <c r="R22" s="132">
        <v>0.3142585066963498</v>
      </c>
      <c r="S22" s="132">
        <v>0.28411312754201334</v>
      </c>
      <c r="T22" s="132">
        <v>0.21052130361717494</v>
      </c>
      <c r="U22" s="132">
        <v>0.14888101964145214</v>
      </c>
      <c r="V22" s="132">
        <v>0.13105741117443218</v>
      </c>
      <c r="W22" s="132">
        <v>0.21995078714989016</v>
      </c>
      <c r="X22" s="132">
        <v>0.32483145686687509</v>
      </c>
      <c r="Y22" s="132">
        <v>0.3375445539245383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0.74710109242009137</v>
      </c>
      <c r="D23" s="132">
        <v>0.79634385106261107</v>
      </c>
      <c r="E23" s="132">
        <v>0.68204628901252384</v>
      </c>
      <c r="F23" s="132">
        <v>0.76906404795134009</v>
      </c>
      <c r="G23" s="132">
        <v>0.91718925509371629</v>
      </c>
      <c r="H23" s="132">
        <v>0.84651632512098518</v>
      </c>
      <c r="I23" s="132">
        <v>1.2084996525205125</v>
      </c>
      <c r="J23" s="132">
        <v>0.49911832854291738</v>
      </c>
      <c r="K23" s="132">
        <v>0.18887901117834635</v>
      </c>
      <c r="L23" s="132">
        <v>0.14292519959481692</v>
      </c>
      <c r="M23" s="132">
        <v>0.26188950834952401</v>
      </c>
      <c r="N23" s="132">
        <v>0.13997518905044895</v>
      </c>
      <c r="O23" s="132">
        <v>0.32029676447977112</v>
      </c>
      <c r="P23" s="132">
        <v>0.70014405484943376</v>
      </c>
      <c r="Q23" s="132">
        <v>0.27398956797408275</v>
      </c>
      <c r="R23" s="132">
        <v>0.65670082659677331</v>
      </c>
      <c r="S23" s="132">
        <v>0.44468737757392673</v>
      </c>
      <c r="T23" s="132">
        <v>0.27926370685495483</v>
      </c>
      <c r="U23" s="132">
        <v>0.39170684229334418</v>
      </c>
      <c r="V23" s="132">
        <v>0.26678892067722282</v>
      </c>
      <c r="W23" s="132">
        <v>0.84554180652703925</v>
      </c>
      <c r="X23" s="132">
        <v>0.69043901943857222</v>
      </c>
      <c r="Y23" s="132">
        <v>0.5582586824145066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1.8659621609565047</v>
      </c>
      <c r="D26" s="65">
        <v>1.9526704829356265</v>
      </c>
      <c r="E26" s="65">
        <v>1.6273513975650018</v>
      </c>
      <c r="F26" s="65">
        <v>1.7859701406160768</v>
      </c>
      <c r="G26" s="65">
        <v>2.8745656689086654</v>
      </c>
      <c r="H26" s="65">
        <v>2.48919896280055</v>
      </c>
      <c r="I26" s="65">
        <v>4.6633742966804146</v>
      </c>
      <c r="J26" s="65">
        <v>1.2659343297449888</v>
      </c>
      <c r="K26" s="65">
        <v>0.18638587940588089</v>
      </c>
      <c r="L26" s="65">
        <v>0.1996130944197255</v>
      </c>
      <c r="M26" s="65">
        <v>0.81222080762971294</v>
      </c>
      <c r="N26" s="65">
        <v>0.25193644257390013</v>
      </c>
      <c r="O26" s="65">
        <v>0.60437654616742598</v>
      </c>
      <c r="P26" s="65">
        <v>1.4765084641262243</v>
      </c>
      <c r="Q26" s="65">
        <v>0.63541669474322138</v>
      </c>
      <c r="R26" s="65">
        <v>2.9049091218762246</v>
      </c>
      <c r="S26" s="65">
        <v>1.7613806899137119</v>
      </c>
      <c r="T26" s="65">
        <v>2.5971729866548574</v>
      </c>
      <c r="U26" s="65">
        <v>2.0031191521643703</v>
      </c>
      <c r="V26" s="65">
        <v>1.6908266181426552</v>
      </c>
      <c r="W26" s="65">
        <v>1.0634524872806743</v>
      </c>
      <c r="X26" s="65">
        <v>0.86286540380052945</v>
      </c>
      <c r="Y26" s="65">
        <v>0.82768072163927364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3.1608692045002093E-2</v>
      </c>
      <c r="I27" s="147">
        <v>4.8082168135310651E-3</v>
      </c>
      <c r="J27" s="147">
        <v>5.1863977237414718E-2</v>
      </c>
      <c r="K27" s="147">
        <v>1.1459705365561637E-3</v>
      </c>
      <c r="L27" s="147">
        <v>3.7589050214759209E-2</v>
      </c>
      <c r="M27" s="147">
        <v>1.2124356577163075E-2</v>
      </c>
      <c r="N27" s="147">
        <v>0</v>
      </c>
      <c r="O27" s="147">
        <v>0</v>
      </c>
      <c r="P27" s="147">
        <v>0</v>
      </c>
      <c r="Q27" s="147">
        <v>0</v>
      </c>
      <c r="R27" s="147">
        <v>3.1302965310054543E-3</v>
      </c>
      <c r="S27" s="147">
        <v>7.5803865452420145E-3</v>
      </c>
      <c r="T27" s="147">
        <v>9.5308457983705758E-3</v>
      </c>
      <c r="U27" s="147">
        <v>9.6951376422003133E-3</v>
      </c>
      <c r="V27" s="147">
        <v>2.8512820732772184E-2</v>
      </c>
      <c r="W27" s="147">
        <v>4.3438731541127849E-3</v>
      </c>
      <c r="X27" s="147">
        <v>1.8267185481830386E-2</v>
      </c>
      <c r="Y27" s="147">
        <v>1.5263199456870758E-2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3.3955439574120287</v>
      </c>
      <c r="D29" s="130">
        <f t="shared" si="12"/>
        <v>3.4014613266285441</v>
      </c>
      <c r="E29" s="130">
        <f t="shared" si="12"/>
        <v>2.8855552299219087</v>
      </c>
      <c r="F29" s="130">
        <f t="shared" si="12"/>
        <v>3.2970769282112591</v>
      </c>
      <c r="G29" s="130">
        <f t="shared" si="12"/>
        <v>4.8635993495481031</v>
      </c>
      <c r="H29" s="130">
        <f t="shared" si="12"/>
        <v>4.3339459400675313</v>
      </c>
      <c r="I29" s="130">
        <f t="shared" si="12"/>
        <v>7.5720765616629029</v>
      </c>
      <c r="J29" s="130">
        <f t="shared" si="12"/>
        <v>2.3783627615035101</v>
      </c>
      <c r="K29" s="130">
        <f t="shared" si="12"/>
        <v>0.54457988188087336</v>
      </c>
      <c r="L29" s="130">
        <f t="shared" si="12"/>
        <v>0.57376191814118249</v>
      </c>
      <c r="M29" s="130">
        <f t="shared" si="12"/>
        <v>1.5436659985026149</v>
      </c>
      <c r="N29" s="130">
        <f t="shared" si="12"/>
        <v>0.57000748443147942</v>
      </c>
      <c r="O29" s="130">
        <f t="shared" si="12"/>
        <v>1.3794567726057476</v>
      </c>
      <c r="P29" s="130">
        <f t="shared" si="12"/>
        <v>2.7614766251068921</v>
      </c>
      <c r="Q29" s="130">
        <f t="shared" si="12"/>
        <v>1.2243029812560855</v>
      </c>
      <c r="R29" s="130">
        <f t="shared" ref="R29:W29" si="13">SUM(R30:R33)</f>
        <v>4.9200686106895137</v>
      </c>
      <c r="S29" s="130">
        <f t="shared" si="13"/>
        <v>3.4133843088570517</v>
      </c>
      <c r="T29" s="130">
        <f t="shared" si="13"/>
        <v>4.3291613995485516</v>
      </c>
      <c r="U29" s="130">
        <f t="shared" si="13"/>
        <v>3.5509487148735919</v>
      </c>
      <c r="V29" s="130">
        <f t="shared" si="13"/>
        <v>2.7619170615146973</v>
      </c>
      <c r="W29" s="130">
        <f t="shared" si="13"/>
        <v>3.1359760932365743</v>
      </c>
      <c r="X29" s="130">
        <f t="shared" ref="X29:Y29" si="14">SUM(X30:X33)</f>
        <v>2.9369992111926866</v>
      </c>
      <c r="Y29" s="130">
        <f t="shared" si="14"/>
        <v>2.8146764270685907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1.5845536686187898</v>
      </c>
      <c r="D30" s="132">
        <v>1.639132718741811</v>
      </c>
      <c r="E30" s="132">
        <v>1.6077404058383096</v>
      </c>
      <c r="F30" s="132">
        <v>1.9844969237472292</v>
      </c>
      <c r="G30" s="132">
        <v>3.1596075305725559</v>
      </c>
      <c r="H30" s="132">
        <v>2.4234666275873158</v>
      </c>
      <c r="I30" s="132">
        <v>4.2010699291247811</v>
      </c>
      <c r="J30" s="132">
        <v>0.82914487469151643</v>
      </c>
      <c r="K30" s="132">
        <v>0.12119707664748246</v>
      </c>
      <c r="L30" s="132">
        <v>0.32399913033680877</v>
      </c>
      <c r="M30" s="132">
        <v>0.81719554792000904</v>
      </c>
      <c r="N30" s="132">
        <v>0.18935166563091974</v>
      </c>
      <c r="O30" s="132">
        <v>0.71716143665144227</v>
      </c>
      <c r="P30" s="132">
        <v>0.45988258771493196</v>
      </c>
      <c r="Q30" s="132">
        <v>0.47922892198567613</v>
      </c>
      <c r="R30" s="132">
        <v>1.2387585479697272</v>
      </c>
      <c r="S30" s="132">
        <v>1.5482426872297692</v>
      </c>
      <c r="T30" s="132">
        <v>1.9611970586138452</v>
      </c>
      <c r="U30" s="132">
        <v>1.3022328078336394</v>
      </c>
      <c r="V30" s="132">
        <v>0.53289026560500619</v>
      </c>
      <c r="W30" s="132">
        <v>1.0166386511834464</v>
      </c>
      <c r="X30" s="132">
        <v>1.4631977995250487</v>
      </c>
      <c r="Y30" s="132">
        <v>1.5869143081715082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0.45948506866179606</v>
      </c>
      <c r="D31" s="132">
        <v>0.41908575632208817</v>
      </c>
      <c r="E31" s="132">
        <v>0.39062921164948328</v>
      </c>
      <c r="F31" s="132">
        <v>0.50750232980553001</v>
      </c>
      <c r="G31" s="132">
        <v>0.67933611877910505</v>
      </c>
      <c r="H31" s="132">
        <v>0.6581805196663254</v>
      </c>
      <c r="I31" s="132">
        <v>0.98850151894942284</v>
      </c>
      <c r="J31" s="132">
        <v>0.44387767542661</v>
      </c>
      <c r="K31" s="132">
        <v>0.15264647053949809</v>
      </c>
      <c r="L31" s="132">
        <v>0.10511714460635918</v>
      </c>
      <c r="M31" s="132">
        <v>6.1157385310073156E-2</v>
      </c>
      <c r="N31" s="132">
        <v>6.4218015040846843E-2</v>
      </c>
      <c r="O31" s="132">
        <v>0.17037410671599842</v>
      </c>
      <c r="P31" s="132">
        <v>0.39771009472497421</v>
      </c>
      <c r="Q31" s="132">
        <v>0.20583178038351141</v>
      </c>
      <c r="R31" s="132">
        <v>0.59971133250696929</v>
      </c>
      <c r="S31" s="132">
        <v>0.40105319186507438</v>
      </c>
      <c r="T31" s="132">
        <v>0.50054100212809394</v>
      </c>
      <c r="U31" s="132">
        <v>0.52852245357473204</v>
      </c>
      <c r="V31" s="132">
        <v>0.37992593813322117</v>
      </c>
      <c r="W31" s="132">
        <v>0.80928848485825144</v>
      </c>
      <c r="X31" s="132">
        <v>0.46213090863810286</v>
      </c>
      <c r="Y31" s="132">
        <v>0.39772698237666154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1.3515052201314426</v>
      </c>
      <c r="D33" s="68">
        <v>1.3432428515646451</v>
      </c>
      <c r="E33" s="68">
        <v>0.88718561243411587</v>
      </c>
      <c r="F33" s="68">
        <v>0.80507767465850011</v>
      </c>
      <c r="G33" s="68">
        <v>1.024655700196442</v>
      </c>
      <c r="H33" s="68">
        <v>1.2522987928138907</v>
      </c>
      <c r="I33" s="68">
        <v>2.3825051135886985</v>
      </c>
      <c r="J33" s="68">
        <v>1.1053402113853839</v>
      </c>
      <c r="K33" s="68">
        <v>0.2707363346938928</v>
      </c>
      <c r="L33" s="68">
        <v>0.14464564319801457</v>
      </c>
      <c r="M33" s="68">
        <v>0.66531306527253264</v>
      </c>
      <c r="N33" s="68">
        <v>0.31643780375971287</v>
      </c>
      <c r="O33" s="68">
        <v>0.49192122923830689</v>
      </c>
      <c r="P33" s="68">
        <v>1.903883942666986</v>
      </c>
      <c r="Q33" s="68">
        <v>0.53924227888689813</v>
      </c>
      <c r="R33" s="68">
        <v>3.0815987302128174</v>
      </c>
      <c r="S33" s="68">
        <v>1.4640884297622081</v>
      </c>
      <c r="T33" s="68">
        <v>1.8674233388066122</v>
      </c>
      <c r="U33" s="68">
        <v>1.7201934534652206</v>
      </c>
      <c r="V33" s="68">
        <v>1.84910085777647</v>
      </c>
      <c r="W33" s="68">
        <v>1.3100489571948764</v>
      </c>
      <c r="X33" s="68">
        <v>1.0116705030295348</v>
      </c>
      <c r="Y33" s="68">
        <v>0.83003513652042071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17.410390777340787</v>
      </c>
      <c r="D3" s="125">
        <f t="shared" si="0"/>
        <v>17.547352399172315</v>
      </c>
      <c r="E3" s="125">
        <f t="shared" si="0"/>
        <v>16.212058527870514</v>
      </c>
      <c r="F3" s="125">
        <f t="shared" si="0"/>
        <v>16.870160324775771</v>
      </c>
      <c r="G3" s="125">
        <f t="shared" si="0"/>
        <v>24.91817681318998</v>
      </c>
      <c r="H3" s="125">
        <f t="shared" si="0"/>
        <v>24.148342950598863</v>
      </c>
      <c r="I3" s="125">
        <f t="shared" si="0"/>
        <v>40.657528592539748</v>
      </c>
      <c r="J3" s="125">
        <f t="shared" si="0"/>
        <v>14.2472520592168</v>
      </c>
      <c r="K3" s="125">
        <f t="shared" si="0"/>
        <v>2.944455839357246</v>
      </c>
      <c r="L3" s="125">
        <f t="shared" si="0"/>
        <v>2.8985898036972122</v>
      </c>
      <c r="M3" s="125">
        <f t="shared" si="0"/>
        <v>7.4584258767201197</v>
      </c>
      <c r="N3" s="125">
        <f t="shared" si="0"/>
        <v>2.7350948149456875</v>
      </c>
      <c r="O3" s="125">
        <f t="shared" si="0"/>
        <v>6.3458139250991117</v>
      </c>
      <c r="P3" s="125">
        <f t="shared" si="0"/>
        <v>12.482064920703511</v>
      </c>
      <c r="Q3" s="125">
        <f t="shared" si="0"/>
        <v>5.4780133731109615</v>
      </c>
      <c r="R3" s="125">
        <f t="shared" ref="R3:W3" si="1">SUM(R4,R16,R19,R29)</f>
        <v>22.033995911947205</v>
      </c>
      <c r="S3" s="125">
        <f t="shared" si="1"/>
        <v>13.685114434698328</v>
      </c>
      <c r="T3" s="125">
        <f t="shared" si="1"/>
        <v>18.18569200388232</v>
      </c>
      <c r="U3" s="125">
        <f t="shared" si="1"/>
        <v>14.659893583682821</v>
      </c>
      <c r="V3" s="125">
        <f t="shared" si="1"/>
        <v>10.952292127673456</v>
      </c>
      <c r="W3" s="125">
        <f t="shared" si="1"/>
        <v>9.3860449613806001</v>
      </c>
      <c r="X3" s="125">
        <f t="shared" ref="X3:Y3" si="2">SUM(X4,X16,X19,X29)</f>
        <v>7.4578323810549234</v>
      </c>
      <c r="Y3" s="125">
        <f t="shared" si="2"/>
        <v>7.0406203471816919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10.621866581494954</v>
      </c>
      <c r="D4" s="130">
        <f t="shared" si="3"/>
        <v>10.696176537678991</v>
      </c>
      <c r="E4" s="130">
        <f t="shared" si="3"/>
        <v>10.546444061110032</v>
      </c>
      <c r="F4" s="130">
        <f t="shared" si="3"/>
        <v>10.529200878150121</v>
      </c>
      <c r="G4" s="130">
        <f t="shared" si="3"/>
        <v>15.840855406289737</v>
      </c>
      <c r="H4" s="130">
        <f t="shared" si="3"/>
        <v>15.788943182017267</v>
      </c>
      <c r="I4" s="130">
        <f t="shared" si="3"/>
        <v>26.734374084852806</v>
      </c>
      <c r="J4" s="130">
        <f t="shared" si="3"/>
        <v>9.3589241303330404</v>
      </c>
      <c r="K4" s="130">
        <f t="shared" si="3"/>
        <v>1.8370416539383392</v>
      </c>
      <c r="L4" s="130">
        <f t="shared" si="3"/>
        <v>1.8101466632778846</v>
      </c>
      <c r="M4" s="130">
        <f t="shared" si="3"/>
        <v>4.4851246412718737</v>
      </c>
      <c r="N4" s="130">
        <f t="shared" si="3"/>
        <v>1.6247227127911377</v>
      </c>
      <c r="O4" s="130">
        <f t="shared" si="3"/>
        <v>3.8394977686895313</v>
      </c>
      <c r="P4" s="130">
        <f t="shared" si="3"/>
        <v>7.0382438132638514</v>
      </c>
      <c r="Q4" s="130">
        <f t="shared" si="3"/>
        <v>3.2321308746200068</v>
      </c>
      <c r="R4" s="130">
        <f t="shared" ref="R4:W4" si="4">SUM(R5:R15)</f>
        <v>12.501882654842129</v>
      </c>
      <c r="S4" s="130">
        <f t="shared" si="4"/>
        <v>7.4654022132695035</v>
      </c>
      <c r="T4" s="130">
        <f t="shared" si="4"/>
        <v>10.294738083618123</v>
      </c>
      <c r="U4" s="130">
        <f t="shared" si="4"/>
        <v>8.0997948009774969</v>
      </c>
      <c r="V4" s="130">
        <f t="shared" si="4"/>
        <v>5.4947526959799493</v>
      </c>
      <c r="W4" s="130">
        <f t="shared" si="4"/>
        <v>4.0972455784321706</v>
      </c>
      <c r="X4" s="130">
        <f t="shared" ref="X4:Y4" si="5">SUM(X5:X15)</f>
        <v>2.747883337419013</v>
      </c>
      <c r="Y4" s="130">
        <f t="shared" si="5"/>
        <v>2.6086977003070113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4.2729872391925598E-2</v>
      </c>
      <c r="D5" s="132">
        <v>0.17511570422639461</v>
      </c>
      <c r="E5" s="132">
        <v>1.7296044710693204</v>
      </c>
      <c r="F5" s="132">
        <v>0.65993174722665082</v>
      </c>
      <c r="G5" s="132">
        <v>0.31437894430889546</v>
      </c>
      <c r="H5" s="132">
        <v>0.12232138967984915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2.1401779822662946E-4</v>
      </c>
      <c r="R5" s="132">
        <v>1.7277594127573986E-2</v>
      </c>
      <c r="S5" s="132">
        <v>3.213712850517499E-3</v>
      </c>
      <c r="T5" s="132">
        <v>5.5415124556736544E-3</v>
      </c>
      <c r="U5" s="132">
        <v>8.3681531337951188E-3</v>
      </c>
      <c r="V5" s="132">
        <v>0</v>
      </c>
      <c r="W5" s="132">
        <v>0</v>
      </c>
      <c r="X5" s="132">
        <v>5.9504507210915153E-5</v>
      </c>
      <c r="Y5" s="132">
        <v>1.6405545125662305E-4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2.4025667934005925</v>
      </c>
      <c r="D7" s="132">
        <v>0</v>
      </c>
      <c r="E7" s="132">
        <v>0</v>
      </c>
      <c r="F7" s="132">
        <v>0</v>
      </c>
      <c r="G7" s="132">
        <v>0</v>
      </c>
      <c r="H7" s="132">
        <v>0</v>
      </c>
      <c r="I7" s="132">
        <v>0.94606932328010807</v>
      </c>
      <c r="J7" s="132">
        <v>1.1520760700729848</v>
      </c>
      <c r="K7" s="132">
        <v>0.3928362572454171</v>
      </c>
      <c r="L7" s="132">
        <v>0.43654800831868695</v>
      </c>
      <c r="M7" s="132">
        <v>1.041865181017223</v>
      </c>
      <c r="N7" s="132">
        <v>0.52348092389150458</v>
      </c>
      <c r="O7" s="132">
        <v>1.5942245853210577</v>
      </c>
      <c r="P7" s="132">
        <v>1.529192285110166</v>
      </c>
      <c r="Q7" s="132">
        <v>0.27256364696816815</v>
      </c>
      <c r="R7" s="132">
        <v>0.26356875859170414</v>
      </c>
      <c r="S7" s="132">
        <v>1.0530857688383728E-2</v>
      </c>
      <c r="T7" s="132">
        <v>0</v>
      </c>
      <c r="U7" s="132">
        <v>0</v>
      </c>
      <c r="V7" s="132">
        <v>0.25404964005782443</v>
      </c>
      <c r="W7" s="132">
        <v>0.27462608312212983</v>
      </c>
      <c r="X7" s="132">
        <v>0.26207385429942026</v>
      </c>
      <c r="Y7" s="132">
        <v>0.3282634314892755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1.7676888790915319</v>
      </c>
      <c r="D9" s="132">
        <v>1.7349454943920442</v>
      </c>
      <c r="E9" s="132">
        <v>1.7469262426246321</v>
      </c>
      <c r="F9" s="132">
        <v>2.9934963226513753</v>
      </c>
      <c r="G9" s="132">
        <v>3.6648624680645501</v>
      </c>
      <c r="H9" s="132">
        <v>4.4702434715387485</v>
      </c>
      <c r="I9" s="132">
        <v>6.3559123623543687</v>
      </c>
      <c r="J9" s="132">
        <v>2.8959630598534947</v>
      </c>
      <c r="K9" s="132">
        <v>0.99257970060793554</v>
      </c>
      <c r="L9" s="132">
        <v>1.0152946929703182</v>
      </c>
      <c r="M9" s="132">
        <v>1.5326639293114768</v>
      </c>
      <c r="N9" s="132">
        <v>0.76389322854217434</v>
      </c>
      <c r="O9" s="132">
        <v>0.99002988885997201</v>
      </c>
      <c r="P9" s="132">
        <v>1.694383601294974</v>
      </c>
      <c r="Q9" s="132">
        <v>0.62132116444598084</v>
      </c>
      <c r="R9" s="132">
        <v>2.606718224290232</v>
      </c>
      <c r="S9" s="132">
        <v>1.9216153833575051</v>
      </c>
      <c r="T9" s="132">
        <v>2.7952484734797793</v>
      </c>
      <c r="U9" s="132">
        <v>3.7139559672922191</v>
      </c>
      <c r="V9" s="132">
        <v>2.0822485263296269</v>
      </c>
      <c r="W9" s="132">
        <v>1.8071864955546653</v>
      </c>
      <c r="X9" s="132">
        <v>1.0709928599561085</v>
      </c>
      <c r="Y9" s="132">
        <v>0.59571520543468803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2.7319266020910771E-2</v>
      </c>
      <c r="H10" s="132">
        <v>0.13706077853852358</v>
      </c>
      <c r="I10" s="132">
        <v>0.66974812348484214</v>
      </c>
      <c r="J10" s="132">
        <v>0.37511103144650315</v>
      </c>
      <c r="K10" s="132">
        <v>0.10705208463441819</v>
      </c>
      <c r="L10" s="132">
        <v>3.0306722873123394E-2</v>
      </c>
      <c r="M10" s="132">
        <v>0.12888203412671928</v>
      </c>
      <c r="N10" s="132">
        <v>6.0348658202654414E-2</v>
      </c>
      <c r="O10" s="132">
        <v>8.1984975326387849E-2</v>
      </c>
      <c r="P10" s="132">
        <v>0.10995013903237541</v>
      </c>
      <c r="Q10" s="132">
        <v>3.0354690344302775E-3</v>
      </c>
      <c r="R10" s="132">
        <v>6.1824099109459407E-2</v>
      </c>
      <c r="S10" s="132">
        <v>0</v>
      </c>
      <c r="T10" s="132">
        <v>0</v>
      </c>
      <c r="U10" s="132">
        <v>0</v>
      </c>
      <c r="V10" s="132">
        <v>2.4780460937578623E-2</v>
      </c>
      <c r="W10" s="132">
        <v>9.1157233380915956E-2</v>
      </c>
      <c r="X10" s="132">
        <v>0.11058281838639278</v>
      </c>
      <c r="Y10" s="132">
        <v>0.11537349496342547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5.4600007368090116E-4</v>
      </c>
      <c r="D13" s="132">
        <v>3.7194466131171338E-3</v>
      </c>
      <c r="E13" s="132">
        <v>4.1074667185290799E-2</v>
      </c>
      <c r="F13" s="132">
        <v>7.3886132115132022E-2</v>
      </c>
      <c r="G13" s="132">
        <v>0.29219165503685268</v>
      </c>
      <c r="H13" s="132">
        <v>0.45358038898317482</v>
      </c>
      <c r="I13" s="132">
        <v>0.81891663284678262</v>
      </c>
      <c r="J13" s="132">
        <v>0.37989941169254321</v>
      </c>
      <c r="K13" s="132">
        <v>9.466401607170917E-2</v>
      </c>
      <c r="L13" s="132">
        <v>4.8949994104845095E-2</v>
      </c>
      <c r="M13" s="132">
        <v>0.10750130171258185</v>
      </c>
      <c r="N13" s="132">
        <v>3.7977708999054401E-2</v>
      </c>
      <c r="O13" s="132">
        <v>8.8721722350291535E-2</v>
      </c>
      <c r="P13" s="132">
        <v>0.42150500906195365</v>
      </c>
      <c r="Q13" s="132">
        <v>0.19952304962429593</v>
      </c>
      <c r="R13" s="132">
        <v>0.67477138347579224</v>
      </c>
      <c r="S13" s="132">
        <v>0.4361609348565445</v>
      </c>
      <c r="T13" s="132">
        <v>0.37392907591175284</v>
      </c>
      <c r="U13" s="132">
        <v>0.45654874509367949</v>
      </c>
      <c r="V13" s="132">
        <v>0.53064111709486883</v>
      </c>
      <c r="W13" s="132">
        <v>0.31131398621026402</v>
      </c>
      <c r="X13" s="132">
        <v>0.18169598203959603</v>
      </c>
      <c r="Y13" s="132">
        <v>0.13415402937005225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6.3262456112511103</v>
      </c>
      <c r="D14" s="65">
        <v>8.7474107741584248</v>
      </c>
      <c r="E14" s="65">
        <v>6.9796474920355456</v>
      </c>
      <c r="F14" s="65">
        <v>6.740407389474103</v>
      </c>
      <c r="G14" s="65">
        <v>11.472344542744665</v>
      </c>
      <c r="H14" s="65">
        <v>10.523408531702032</v>
      </c>
      <c r="I14" s="65">
        <v>17.809080827438319</v>
      </c>
      <c r="J14" s="65">
        <v>4.4822347383450865</v>
      </c>
      <c r="K14" s="65">
        <v>0.22521551071702461</v>
      </c>
      <c r="L14" s="65">
        <v>0.25417216948850374</v>
      </c>
      <c r="M14" s="65">
        <v>1.6299543566623544</v>
      </c>
      <c r="N14" s="65">
        <v>0.21714572737386253</v>
      </c>
      <c r="O14" s="65">
        <v>1.0413379438993431</v>
      </c>
      <c r="P14" s="65">
        <v>3.2296940043151623</v>
      </c>
      <c r="Q14" s="65">
        <v>2.1209573161348834</v>
      </c>
      <c r="R14" s="65">
        <v>8.8308363904188258</v>
      </c>
      <c r="S14" s="65">
        <v>5.0628782037313949</v>
      </c>
      <c r="T14" s="65">
        <v>7.0753385834201366</v>
      </c>
      <c r="U14" s="65">
        <v>3.8617262459503392</v>
      </c>
      <c r="V14" s="65">
        <v>2.5657149187232928</v>
      </c>
      <c r="W14" s="65">
        <v>1.5792557957571158</v>
      </c>
      <c r="X14" s="65">
        <v>1.1004931863112406</v>
      </c>
      <c r="Y14" s="65">
        <v>1.419473106431999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8.2089425286114293E-2</v>
      </c>
      <c r="D15" s="134">
        <v>3.4985118289010152E-2</v>
      </c>
      <c r="E15" s="134">
        <v>4.9191188195242264E-2</v>
      </c>
      <c r="F15" s="134">
        <v>6.1479286682860304E-2</v>
      </c>
      <c r="G15" s="134">
        <v>6.9758530113862599E-2</v>
      </c>
      <c r="H15" s="134">
        <v>8.2328621574940225E-2</v>
      </c>
      <c r="I15" s="134">
        <v>0.13464681544838833</v>
      </c>
      <c r="J15" s="134">
        <v>7.3639818922428379E-2</v>
      </c>
      <c r="K15" s="134">
        <v>2.469408466183444E-2</v>
      </c>
      <c r="L15" s="134">
        <v>2.4875075522407412E-2</v>
      </c>
      <c r="M15" s="134">
        <v>4.4257838441518968E-2</v>
      </c>
      <c r="N15" s="134">
        <v>2.1876465781887393E-2</v>
      </c>
      <c r="O15" s="134">
        <v>4.3198652932479195E-2</v>
      </c>
      <c r="P15" s="134">
        <v>5.3518774449220922E-2</v>
      </c>
      <c r="Q15" s="134">
        <v>1.451621061402146E-2</v>
      </c>
      <c r="R15" s="134">
        <v>4.6886204828539765E-2</v>
      </c>
      <c r="S15" s="134">
        <v>3.1003120785158426E-2</v>
      </c>
      <c r="T15" s="134">
        <v>4.4680438350781351E-2</v>
      </c>
      <c r="U15" s="134">
        <v>5.9195689507464018E-2</v>
      </c>
      <c r="V15" s="134">
        <v>3.7318032836758261E-2</v>
      </c>
      <c r="W15" s="134">
        <v>3.3705984407079524E-2</v>
      </c>
      <c r="X15" s="134">
        <v>2.1985131919044054E-2</v>
      </c>
      <c r="Y15" s="134">
        <v>1.5554377166314555E-2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2.3750677118140637</v>
      </c>
      <c r="D16" s="130">
        <f t="shared" si="6"/>
        <v>2.433101845664412</v>
      </c>
      <c r="E16" s="130">
        <f t="shared" si="6"/>
        <v>2.0159328251150113</v>
      </c>
      <c r="F16" s="130">
        <f t="shared" si="6"/>
        <v>2.2649050037733618</v>
      </c>
      <c r="G16" s="130">
        <f t="shared" si="6"/>
        <v>3.1658685415759855</v>
      </c>
      <c r="H16" s="130">
        <f t="shared" si="6"/>
        <v>2.9532721833192301</v>
      </c>
      <c r="I16" s="130">
        <f t="shared" si="6"/>
        <v>4.4358529080707019</v>
      </c>
      <c r="J16" s="130">
        <f t="shared" si="6"/>
        <v>1.7371389894739955</v>
      </c>
      <c r="K16" s="130">
        <f t="shared" si="6"/>
        <v>0.37787292756072383</v>
      </c>
      <c r="L16" s="130">
        <f t="shared" si="6"/>
        <v>0.36354436043641547</v>
      </c>
      <c r="M16" s="130">
        <f t="shared" si="6"/>
        <v>0.9633924521599132</v>
      </c>
      <c r="N16" s="130">
        <f t="shared" si="6"/>
        <v>0.35014031272060236</v>
      </c>
      <c r="O16" s="130">
        <f t="shared" si="6"/>
        <v>0.7652252235521434</v>
      </c>
      <c r="P16" s="130">
        <f t="shared" si="6"/>
        <v>1.6312533832533624</v>
      </c>
      <c r="Q16" s="130">
        <f t="shared" si="6"/>
        <v>0.63271232964714053</v>
      </c>
      <c r="R16" s="130">
        <f t="shared" ref="R16:W16" si="7">SUM(R17:R18)</f>
        <v>2.7237073560233549</v>
      </c>
      <c r="S16" s="130">
        <f t="shared" si="7"/>
        <v>1.7483777316926432</v>
      </c>
      <c r="T16" s="130">
        <f t="shared" si="7"/>
        <v>2.1608480301827075</v>
      </c>
      <c r="U16" s="130">
        <f t="shared" si="7"/>
        <v>1.7366505820293701</v>
      </c>
      <c r="V16" s="130">
        <f t="shared" si="7"/>
        <v>1.4034165181860503</v>
      </c>
      <c r="W16" s="130">
        <f t="shared" si="7"/>
        <v>1.143165642981226</v>
      </c>
      <c r="X16" s="130">
        <f t="shared" ref="X16:Y16" si="8">SUM(X17:X18)</f>
        <v>0.96318253121270292</v>
      </c>
      <c r="Y16" s="130">
        <f t="shared" si="8"/>
        <v>0.92973595879920801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6.9273962067757083E-3</v>
      </c>
      <c r="D17" s="132">
        <v>7.6366453347819939E-3</v>
      </c>
      <c r="E17" s="132">
        <v>2.8737114033354455E-3</v>
      </c>
      <c r="F17" s="132">
        <v>1.0054042938730655E-2</v>
      </c>
      <c r="G17" s="132">
        <v>1.0825524531458417E-2</v>
      </c>
      <c r="H17" s="132">
        <v>1.4604666482227441E-2</v>
      </c>
      <c r="I17" s="132">
        <v>1.3690396492844344E-2</v>
      </c>
      <c r="J17" s="132">
        <v>4.0695561420021221E-3</v>
      </c>
      <c r="K17" s="132">
        <v>2.3234133482529576E-3</v>
      </c>
      <c r="L17" s="132">
        <v>1.6519661532321858E-3</v>
      </c>
      <c r="M17" s="132">
        <v>4.9480712197202369E-3</v>
      </c>
      <c r="N17" s="132">
        <v>2.3844640487192025E-3</v>
      </c>
      <c r="O17" s="132">
        <v>7.8403446527990257E-3</v>
      </c>
      <c r="P17" s="132">
        <v>2.2024540126210621E-2</v>
      </c>
      <c r="Q17" s="132">
        <v>1.2653118351898902E-2</v>
      </c>
      <c r="R17" s="132">
        <v>5.8910553680104928E-2</v>
      </c>
      <c r="S17" s="132">
        <v>2.9330727524206238E-2</v>
      </c>
      <c r="T17" s="132">
        <v>2.8241583904009795E-2</v>
      </c>
      <c r="U17" s="132">
        <v>2.4236555240259298E-2</v>
      </c>
      <c r="V17" s="132">
        <v>2.3401012052036301E-2</v>
      </c>
      <c r="W17" s="132">
        <v>1.3399505149699351E-2</v>
      </c>
      <c r="X17" s="132">
        <v>1.7319579155749467E-2</v>
      </c>
      <c r="Y17" s="132">
        <v>1.2241883117940182E-2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2.3681403156072882</v>
      </c>
      <c r="D18" s="132">
        <v>2.4254652003296302</v>
      </c>
      <c r="E18" s="132">
        <v>2.0130591137116758</v>
      </c>
      <c r="F18" s="132">
        <v>2.2548509608346312</v>
      </c>
      <c r="G18" s="132">
        <v>3.1550430170445272</v>
      </c>
      <c r="H18" s="132">
        <v>2.9386675168370027</v>
      </c>
      <c r="I18" s="132">
        <v>4.4221625115778576</v>
      </c>
      <c r="J18" s="132">
        <v>1.7330694333319934</v>
      </c>
      <c r="K18" s="132">
        <v>0.37554951421247085</v>
      </c>
      <c r="L18" s="132">
        <v>0.36189239428318326</v>
      </c>
      <c r="M18" s="132">
        <v>0.95844438094019302</v>
      </c>
      <c r="N18" s="132">
        <v>0.34775584867188314</v>
      </c>
      <c r="O18" s="132">
        <v>0.75738487889934436</v>
      </c>
      <c r="P18" s="132">
        <v>1.6092288431271518</v>
      </c>
      <c r="Q18" s="132">
        <v>0.62005921129524166</v>
      </c>
      <c r="R18" s="132">
        <v>2.66479680234325</v>
      </c>
      <c r="S18" s="132">
        <v>1.7190470041684369</v>
      </c>
      <c r="T18" s="132">
        <v>2.1326064462786976</v>
      </c>
      <c r="U18" s="132">
        <v>1.7124140267891108</v>
      </c>
      <c r="V18" s="132">
        <v>1.380015506134014</v>
      </c>
      <c r="W18" s="132">
        <v>1.1297661378315267</v>
      </c>
      <c r="X18" s="132">
        <v>0.94586295205695348</v>
      </c>
      <c r="Y18" s="132">
        <v>0.91749407568126784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2.1556147881450816</v>
      </c>
      <c r="D19" s="130">
        <f t="shared" si="9"/>
        <v>2.1562676355481729</v>
      </c>
      <c r="E19" s="130">
        <f t="shared" si="9"/>
        <v>1.7778972519488763</v>
      </c>
      <c r="F19" s="130">
        <f t="shared" si="9"/>
        <v>1.9755757301099577</v>
      </c>
      <c r="G19" s="130">
        <f t="shared" si="9"/>
        <v>2.8424920425174731</v>
      </c>
      <c r="H19" s="130">
        <f t="shared" si="9"/>
        <v>2.6012209929916148</v>
      </c>
      <c r="I19" s="130">
        <f t="shared" si="9"/>
        <v>4.5440902344677889</v>
      </c>
      <c r="J19" s="130">
        <f t="shared" si="9"/>
        <v>1.5245168470177268</v>
      </c>
      <c r="K19" s="130">
        <f t="shared" si="9"/>
        <v>0.35260816838053544</v>
      </c>
      <c r="L19" s="130">
        <f t="shared" si="9"/>
        <v>0.35596301515748907</v>
      </c>
      <c r="M19" s="130">
        <f t="shared" si="9"/>
        <v>0.9616657794303779</v>
      </c>
      <c r="N19" s="130">
        <f t="shared" si="9"/>
        <v>0.35736132775092727</v>
      </c>
      <c r="O19" s="130">
        <f t="shared" si="9"/>
        <v>0.82027942227754114</v>
      </c>
      <c r="P19" s="130">
        <f t="shared" si="9"/>
        <v>1.7637250167915628</v>
      </c>
      <c r="Q19" s="130">
        <f t="shared" si="9"/>
        <v>0.76548552756824795</v>
      </c>
      <c r="R19" s="130">
        <f t="shared" ref="R19:W19" si="10">SUM(R20:R27)</f>
        <v>3.1622932290436108</v>
      </c>
      <c r="S19" s="130">
        <f t="shared" si="10"/>
        <v>2.0679363457566966</v>
      </c>
      <c r="T19" s="130">
        <f t="shared" si="10"/>
        <v>2.6403000932461254</v>
      </c>
      <c r="U19" s="130">
        <f t="shared" si="10"/>
        <v>2.2093863211632296</v>
      </c>
      <c r="V19" s="130">
        <f t="shared" si="10"/>
        <v>1.8678268806635874</v>
      </c>
      <c r="W19" s="130">
        <f t="shared" si="10"/>
        <v>1.8504534138322053</v>
      </c>
      <c r="X19" s="130">
        <f t="shared" ref="X19:Y19" si="11">SUM(X20:X27)</f>
        <v>1.6507107347767722</v>
      </c>
      <c r="Y19" s="130">
        <f t="shared" si="11"/>
        <v>1.5267936260377175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0.40713021602734478</v>
      </c>
      <c r="D22" s="132">
        <v>0.30941439711780627</v>
      </c>
      <c r="E22" s="132">
        <v>0.22001734077509974</v>
      </c>
      <c r="F22" s="132">
        <v>0.24475996398368008</v>
      </c>
      <c r="G22" s="132">
        <v>0.24190367306712179</v>
      </c>
      <c r="H22" s="132">
        <v>0.27329628048783766</v>
      </c>
      <c r="I22" s="132">
        <v>0.4538218459906932</v>
      </c>
      <c r="J22" s="132">
        <v>0.24734921293558221</v>
      </c>
      <c r="K22" s="132">
        <v>9.4757774813538628E-2</v>
      </c>
      <c r="L22" s="132">
        <v>8.0052507566202191E-2</v>
      </c>
      <c r="M22" s="132">
        <v>0.18060424804979724</v>
      </c>
      <c r="N22" s="132">
        <v>7.3534771613144034E-2</v>
      </c>
      <c r="O22" s="132">
        <v>0.13003367332602614</v>
      </c>
      <c r="P22" s="132">
        <v>7.7738764225110071E-2</v>
      </c>
      <c r="Q22" s="132">
        <v>3.7391526589355628E-2</v>
      </c>
      <c r="R22" s="132">
        <v>0.22932750159833268</v>
      </c>
      <c r="S22" s="132">
        <v>0.21262287582582254</v>
      </c>
      <c r="T22" s="132">
        <v>0.16106524684594478</v>
      </c>
      <c r="U22" s="132">
        <v>0.11602366774141204</v>
      </c>
      <c r="V22" s="132">
        <v>0.10360141781935914</v>
      </c>
      <c r="W22" s="132">
        <v>0.17538608549112622</v>
      </c>
      <c r="X22" s="132">
        <v>0.26014343245025351</v>
      </c>
      <c r="Y22" s="132">
        <v>0.27091770286420463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0.44790429358991962</v>
      </c>
      <c r="D23" s="132">
        <v>0.48187990949041237</v>
      </c>
      <c r="E23" s="132">
        <v>0.41670371540533957</v>
      </c>
      <c r="F23" s="132">
        <v>0.47439850773681747</v>
      </c>
      <c r="G23" s="132">
        <v>0.5713849921158386</v>
      </c>
      <c r="H23" s="132">
        <v>0.53271510435575498</v>
      </c>
      <c r="I23" s="132">
        <v>0.76846361948103969</v>
      </c>
      <c r="J23" s="132">
        <v>0.32088174656872909</v>
      </c>
      <c r="K23" s="132">
        <v>0.12286607143247838</v>
      </c>
      <c r="L23" s="132">
        <v>9.4149398470569662E-2</v>
      </c>
      <c r="M23" s="132">
        <v>0.17584052529127758</v>
      </c>
      <c r="N23" s="132">
        <v>9.6552403150466121E-2</v>
      </c>
      <c r="O23" s="132">
        <v>0.22889519802770078</v>
      </c>
      <c r="P23" s="132">
        <v>0.52057921800858897</v>
      </c>
      <c r="Q23" s="132">
        <v>0.21065180318916016</v>
      </c>
      <c r="R23" s="132">
        <v>0.51504823686532775</v>
      </c>
      <c r="S23" s="132">
        <v>0.35462348042114472</v>
      </c>
      <c r="T23" s="132">
        <v>0.22579843417938267</v>
      </c>
      <c r="U23" s="132">
        <v>0.32031440572632819</v>
      </c>
      <c r="V23" s="132">
        <v>0.22015756078061369</v>
      </c>
      <c r="W23" s="132">
        <v>0.70193313320548734</v>
      </c>
      <c r="X23" s="132">
        <v>0.57503893042623899</v>
      </c>
      <c r="Y23" s="132">
        <v>0.46583567226833272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1.3005802785278169</v>
      </c>
      <c r="D26" s="65">
        <v>1.3649733289399544</v>
      </c>
      <c r="E26" s="65">
        <v>1.141176195768437</v>
      </c>
      <c r="F26" s="65">
        <v>1.2564172583894602</v>
      </c>
      <c r="G26" s="65">
        <v>2.0292033773345128</v>
      </c>
      <c r="H26" s="65">
        <v>1.7636009161030199</v>
      </c>
      <c r="I26" s="65">
        <v>3.3169965521825246</v>
      </c>
      <c r="J26" s="65">
        <v>0.90442191027600072</v>
      </c>
      <c r="K26" s="65">
        <v>0.13383835159796229</v>
      </c>
      <c r="L26" s="65">
        <v>0.14417205890595797</v>
      </c>
      <c r="M26" s="65">
        <v>0.59309664951214003</v>
      </c>
      <c r="N26" s="65">
        <v>0.18727415298731712</v>
      </c>
      <c r="O26" s="65">
        <v>0.46135055092381422</v>
      </c>
      <c r="P26" s="65">
        <v>1.1654070345578638</v>
      </c>
      <c r="Q26" s="65">
        <v>0.51744219778973222</v>
      </c>
      <c r="R26" s="65">
        <v>2.4147871940489449</v>
      </c>
      <c r="S26" s="65">
        <v>1.4931096029644875</v>
      </c>
      <c r="T26" s="65">
        <v>2.2439055664224274</v>
      </c>
      <c r="U26" s="65">
        <v>1.7633531100532889</v>
      </c>
      <c r="V26" s="65">
        <v>1.5155550813308423</v>
      </c>
      <c r="W26" s="65">
        <v>0.96879032198147896</v>
      </c>
      <c r="X26" s="65">
        <v>0.79726118641844934</v>
      </c>
      <c r="Y26" s="65">
        <v>0.77477705144830933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3.1608692045002093E-2</v>
      </c>
      <c r="I27" s="147">
        <v>4.8082168135310651E-3</v>
      </c>
      <c r="J27" s="147">
        <v>5.1863977237414718E-2</v>
      </c>
      <c r="K27" s="147">
        <v>1.1459705365561637E-3</v>
      </c>
      <c r="L27" s="147">
        <v>3.7589050214759209E-2</v>
      </c>
      <c r="M27" s="147">
        <v>1.2124356577163075E-2</v>
      </c>
      <c r="N27" s="147">
        <v>0</v>
      </c>
      <c r="O27" s="147">
        <v>0</v>
      </c>
      <c r="P27" s="147">
        <v>0</v>
      </c>
      <c r="Q27" s="147">
        <v>0</v>
      </c>
      <c r="R27" s="147">
        <v>3.1302965310054543E-3</v>
      </c>
      <c r="S27" s="147">
        <v>7.5803865452420145E-3</v>
      </c>
      <c r="T27" s="147">
        <v>9.5308457983705758E-3</v>
      </c>
      <c r="U27" s="147">
        <v>9.6951376422003133E-3</v>
      </c>
      <c r="V27" s="147">
        <v>2.8512820732772184E-2</v>
      </c>
      <c r="W27" s="147">
        <v>4.3438731541127849E-3</v>
      </c>
      <c r="X27" s="147">
        <v>1.8267185481830386E-2</v>
      </c>
      <c r="Y27" s="147">
        <v>1.5263199456870758E-2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2.2578416958866887</v>
      </c>
      <c r="D29" s="130">
        <f t="shared" si="12"/>
        <v>2.2618063802807371</v>
      </c>
      <c r="E29" s="130">
        <f t="shared" si="12"/>
        <v>1.871784389696598</v>
      </c>
      <c r="F29" s="130">
        <f t="shared" si="12"/>
        <v>2.1004787127423308</v>
      </c>
      <c r="G29" s="130">
        <f t="shared" si="12"/>
        <v>3.0689608228067828</v>
      </c>
      <c r="H29" s="130">
        <f t="shared" si="12"/>
        <v>2.8049065922707501</v>
      </c>
      <c r="I29" s="130">
        <f t="shared" si="12"/>
        <v>4.9432113651484526</v>
      </c>
      <c r="J29" s="130">
        <f t="shared" si="12"/>
        <v>1.6266720923920364</v>
      </c>
      <c r="K29" s="130">
        <f t="shared" si="12"/>
        <v>0.3769330894776477</v>
      </c>
      <c r="L29" s="130">
        <f t="shared" si="12"/>
        <v>0.36893576482542323</v>
      </c>
      <c r="M29" s="130">
        <f t="shared" si="12"/>
        <v>1.0482430038579551</v>
      </c>
      <c r="N29" s="130">
        <f t="shared" si="12"/>
        <v>0.40287046168302038</v>
      </c>
      <c r="O29" s="130">
        <f t="shared" si="12"/>
        <v>0.92081151057989663</v>
      </c>
      <c r="P29" s="130">
        <f t="shared" si="12"/>
        <v>2.0488427073947344</v>
      </c>
      <c r="Q29" s="130">
        <f t="shared" si="12"/>
        <v>0.84768464127556564</v>
      </c>
      <c r="R29" s="130">
        <f t="shared" ref="R29:W29" si="13">SUM(R30:R33)</f>
        <v>3.6461126720381101</v>
      </c>
      <c r="S29" s="130">
        <f t="shared" si="13"/>
        <v>2.4033981439794827</v>
      </c>
      <c r="T29" s="130">
        <f t="shared" si="13"/>
        <v>3.0898057968353627</v>
      </c>
      <c r="U29" s="130">
        <f t="shared" si="13"/>
        <v>2.6140618795127257</v>
      </c>
      <c r="V29" s="130">
        <f t="shared" si="13"/>
        <v>2.1862960328438676</v>
      </c>
      <c r="W29" s="130">
        <f t="shared" si="13"/>
        <v>2.2951803261349983</v>
      </c>
      <c r="X29" s="130">
        <f t="shared" ref="X29:Y29" si="14">SUM(X30:X33)</f>
        <v>2.096055777646435</v>
      </c>
      <c r="Y29" s="130">
        <f t="shared" si="14"/>
        <v>1.9753930620377553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0.92958398854763424</v>
      </c>
      <c r="D30" s="132">
        <v>0.96233525446673085</v>
      </c>
      <c r="E30" s="132">
        <v>0.94462313357512107</v>
      </c>
      <c r="F30" s="132">
        <v>1.166871968879633</v>
      </c>
      <c r="G30" s="132">
        <v>1.8592415681158223</v>
      </c>
      <c r="H30" s="132">
        <v>1.4271492750892523</v>
      </c>
      <c r="I30" s="132">
        <v>2.4758351572417299</v>
      </c>
      <c r="J30" s="132">
        <v>0.48901422983342052</v>
      </c>
      <c r="K30" s="132">
        <v>7.1533966375709759E-2</v>
      </c>
      <c r="L30" s="132">
        <v>0.19137840083668878</v>
      </c>
      <c r="M30" s="132">
        <v>0.48297504831591087</v>
      </c>
      <c r="N30" s="132">
        <v>0.11194566976806009</v>
      </c>
      <c r="O30" s="132">
        <v>0.4240708610358721</v>
      </c>
      <c r="P30" s="132">
        <v>0.27208269183082623</v>
      </c>
      <c r="Q30" s="132">
        <v>0.28414616316789021</v>
      </c>
      <c r="R30" s="132">
        <v>0.73868200213481161</v>
      </c>
      <c r="S30" s="132">
        <v>0.93062193752168954</v>
      </c>
      <c r="T30" s="132">
        <v>1.18911537844211</v>
      </c>
      <c r="U30" s="132">
        <v>0.79579189703693121</v>
      </c>
      <c r="V30" s="132">
        <v>0.32745437380367542</v>
      </c>
      <c r="W30" s="132">
        <v>0.62636776103308189</v>
      </c>
      <c r="X30" s="132">
        <v>0.90207851891726021</v>
      </c>
      <c r="Y30" s="132">
        <v>0.97841391386254306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0.27293915586508782</v>
      </c>
      <c r="D31" s="132">
        <v>0.24917392913700978</v>
      </c>
      <c r="E31" s="132">
        <v>0.23247129501766611</v>
      </c>
      <c r="F31" s="132">
        <v>0.30230630403095965</v>
      </c>
      <c r="G31" s="132">
        <v>0.40504014665066523</v>
      </c>
      <c r="H31" s="132">
        <v>0.39279164998154614</v>
      </c>
      <c r="I31" s="132">
        <v>0.59047033296060147</v>
      </c>
      <c r="J31" s="132">
        <v>0.26539164954982031</v>
      </c>
      <c r="K31" s="132">
        <v>9.1351071042169926E-2</v>
      </c>
      <c r="L31" s="132">
        <v>6.2965561475777213E-2</v>
      </c>
      <c r="M31" s="132">
        <v>3.6659283641736699E-2</v>
      </c>
      <c r="N31" s="132">
        <v>3.8509034555166737E-2</v>
      </c>
      <c r="O31" s="132">
        <v>0.10219068941676762</v>
      </c>
      <c r="P31" s="132">
        <v>0.23870350432677473</v>
      </c>
      <c r="Q31" s="132">
        <v>0.12386837557239601</v>
      </c>
      <c r="R31" s="132">
        <v>0.36342247071270944</v>
      </c>
      <c r="S31" s="132">
        <v>0.24541339007900892</v>
      </c>
      <c r="T31" s="132">
        <v>0.30954705288730572</v>
      </c>
      <c r="U31" s="132">
        <v>0.32998539993582904</v>
      </c>
      <c r="V31" s="132">
        <v>0.23880697737609738</v>
      </c>
      <c r="W31" s="132">
        <v>0.51032438107797273</v>
      </c>
      <c r="X31" s="132">
        <v>0.29160059042666792</v>
      </c>
      <c r="Y31" s="132">
        <v>0.25097847173639681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1.0553185514739669</v>
      </c>
      <c r="D33" s="68">
        <v>1.0502971966769965</v>
      </c>
      <c r="E33" s="68">
        <v>0.69468996110381087</v>
      </c>
      <c r="F33" s="68">
        <v>0.63130043983173789</v>
      </c>
      <c r="G33" s="68">
        <v>0.80467910804029541</v>
      </c>
      <c r="H33" s="68">
        <v>0.9849656671999516</v>
      </c>
      <c r="I33" s="68">
        <v>1.8769058749461214</v>
      </c>
      <c r="J33" s="68">
        <v>0.87226621300879548</v>
      </c>
      <c r="K33" s="68">
        <v>0.21404805205976798</v>
      </c>
      <c r="L33" s="68">
        <v>0.11459180251295727</v>
      </c>
      <c r="M33" s="68">
        <v>0.52860867190030747</v>
      </c>
      <c r="N33" s="68">
        <v>0.25241575735979355</v>
      </c>
      <c r="O33" s="68">
        <v>0.39454996012725679</v>
      </c>
      <c r="P33" s="68">
        <v>1.5380565112371332</v>
      </c>
      <c r="Q33" s="68">
        <v>0.43967010253527949</v>
      </c>
      <c r="R33" s="68">
        <v>2.5440081991905892</v>
      </c>
      <c r="S33" s="68">
        <v>1.2273628163787842</v>
      </c>
      <c r="T33" s="68">
        <v>1.591143365505947</v>
      </c>
      <c r="U33" s="68">
        <v>1.4882845825399655</v>
      </c>
      <c r="V33" s="68">
        <v>1.6200346816640947</v>
      </c>
      <c r="W33" s="68">
        <v>1.1584881840239438</v>
      </c>
      <c r="X33" s="68">
        <v>0.90237666830250685</v>
      </c>
      <c r="Y33" s="68">
        <v>0.74600067643881551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0.73065401443118072</v>
      </c>
      <c r="D3" s="126">
        <f>IF(SER_hh_tes_in!D3=0,"",SER_hh_tes_in!D3/SER_hh_fec_in!D3)</f>
        <v>0.78265203643849757</v>
      </c>
      <c r="E3" s="126">
        <f>IF(SER_hh_tes_in!E3=0,"",SER_hh_tes_in!E3/SER_hh_fec_in!E3)</f>
        <v>0.7622162672458066</v>
      </c>
      <c r="F3" s="126">
        <f>IF(SER_hh_tes_in!F3=0,"",SER_hh_tes_in!F3/SER_hh_fec_in!F3)</f>
        <v>0.76257959855294266</v>
      </c>
      <c r="G3" s="126">
        <f>IF(SER_hh_tes_in!G3=0,"",SER_hh_tes_in!G3/SER_hh_fec_in!G3)</f>
        <v>0.77890673384096953</v>
      </c>
      <c r="H3" s="126">
        <f>IF(SER_hh_tes_in!H3=0,"",SER_hh_tes_in!H3/SER_hh_fec_in!H3)</f>
        <v>0.77835280647871818</v>
      </c>
      <c r="I3" s="126">
        <f>IF(SER_hh_tes_in!I3=0,"",SER_hh_tes_in!I3/SER_hh_fec_in!I3)</f>
        <v>0.77129549137944031</v>
      </c>
      <c r="J3" s="126">
        <f>IF(SER_hh_tes_in!J3=0,"",SER_hh_tes_in!J3/SER_hh_fec_in!J3)</f>
        <v>0.76098485961154416</v>
      </c>
      <c r="K3" s="126">
        <f>IF(SER_hh_tes_in!K3=0,"",SER_hh_tes_in!K3/SER_hh_fec_in!K3)</f>
        <v>0.72193063487326148</v>
      </c>
      <c r="L3" s="126">
        <f>IF(SER_hh_tes_in!L3=0,"",SER_hh_tes_in!L3/SER_hh_fec_in!L3)</f>
        <v>0.72005901067974165</v>
      </c>
      <c r="M3" s="126">
        <f>IF(SER_hh_tes_in!M3=0,"",SER_hh_tes_in!M3/SER_hh_fec_in!M3)</f>
        <v>0.76278545484047866</v>
      </c>
      <c r="N3" s="126">
        <f>IF(SER_hh_tes_in!N3=0,"",SER_hh_tes_in!N3/SER_hh_fec_in!N3)</f>
        <v>0.75466148254638177</v>
      </c>
      <c r="O3" s="126">
        <f>IF(SER_hh_tes_in!O3=0,"",SER_hh_tes_in!O3/SER_hh_fec_in!O3)</f>
        <v>0.77536721178426782</v>
      </c>
      <c r="P3" s="126">
        <f>IF(SER_hh_tes_in!P3=0,"",SER_hh_tes_in!P3/SER_hh_fec_in!P3)</f>
        <v>0.86194939661539405</v>
      </c>
      <c r="Q3" s="126">
        <f>IF(SER_hh_tes_in!Q3=0,"",SER_hh_tes_in!Q3/SER_hh_fec_in!Q3)</f>
        <v>0.87571501191213097</v>
      </c>
      <c r="R3" s="126">
        <f>IF(SER_hh_tes_in!R3=0,"",SER_hh_tes_in!R3/SER_hh_fec_in!R3)</f>
        <v>0.9079861669614846</v>
      </c>
      <c r="S3" s="126">
        <f>IF(SER_hh_tes_in!S3=0,"",SER_hh_tes_in!S3/SER_hh_fec_in!S3)</f>
        <v>0.91804846666535478</v>
      </c>
      <c r="T3" s="126">
        <f>IF(SER_hh_tes_in!T3=0,"",SER_hh_tes_in!T3/SER_hh_fec_in!T3)</f>
        <v>0.92162913342051689</v>
      </c>
      <c r="U3" s="126">
        <f>IF(SER_hh_tes_in!U3=0,"",SER_hh_tes_in!U3/SER_hh_fec_in!U3)</f>
        <v>0.93886266268902363</v>
      </c>
      <c r="V3" s="126">
        <f>IF(SER_hh_tes_in!V3=0,"",SER_hh_tes_in!V3/SER_hh_fec_in!V3)</f>
        <v>0.98495398175363258</v>
      </c>
      <c r="W3" s="126">
        <f>IF(SER_hh_tes_in!W3=0,"",SER_hh_tes_in!W3/SER_hh_fec_in!W3)</f>
        <v>0.93323776414601589</v>
      </c>
      <c r="X3" s="126">
        <f>IF(SER_hh_tes_in!X3=0,"",SER_hh_tes_in!X3/SER_hh_fec_in!X3)</f>
        <v>0.91938466307885991</v>
      </c>
      <c r="Y3" s="126">
        <f>IF(SER_hh_tes_in!Y3=0,"",SER_hh_tes_in!Y3/SER_hh_fec_in!Y3)</f>
        <v>0.92063320548770144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0.6514571283616587</v>
      </c>
      <c r="D4" s="135">
        <f>IF(SER_hh_tes_in!D4=0,"",SER_hh_tes_in!D4/SER_hh_fec_in!D4)</f>
        <v>0.71535950204836463</v>
      </c>
      <c r="E4" s="135">
        <f>IF(SER_hh_tes_in!E4=0,"",SER_hh_tes_in!E4/SER_hh_fec_in!E4)</f>
        <v>0.69934665346710934</v>
      </c>
      <c r="F4" s="135">
        <f>IF(SER_hh_tes_in!F4=0,"",SER_hh_tes_in!F4/SER_hh_fec_in!F4)</f>
        <v>0.69331627670143658</v>
      </c>
      <c r="G4" s="135">
        <f>IF(SER_hh_tes_in!G4=0,"",SER_hh_tes_in!G4/SER_hh_fec_in!G4)</f>
        <v>0.71866604855318994</v>
      </c>
      <c r="H4" s="135">
        <f>IF(SER_hh_tes_in!H4=0,"",SER_hh_tes_in!H4/SER_hh_fec_in!H4)</f>
        <v>0.7155149088852667</v>
      </c>
      <c r="I4" s="135">
        <f>IF(SER_hh_tes_in!I4=0,"",SER_hh_tes_in!I4/SER_hh_fec_in!I4)</f>
        <v>0.71568122397075928</v>
      </c>
      <c r="J4" s="135">
        <f>IF(SER_hh_tes_in!J4=0,"",SER_hh_tes_in!J4/SER_hh_fec_in!J4)</f>
        <v>0.68423576839038724</v>
      </c>
      <c r="K4" s="135">
        <f>IF(SER_hh_tes_in!K4=0,"",SER_hh_tes_in!K4/SER_hh_fec_in!K4)</f>
        <v>0.63215374034463523</v>
      </c>
      <c r="L4" s="135">
        <f>IF(SER_hh_tes_in!L4=0,"",SER_hh_tes_in!L4/SER_hh_fec_in!L4)</f>
        <v>0.63435229425384743</v>
      </c>
      <c r="M4" s="135">
        <f>IF(SER_hh_tes_in!M4=0,"",SER_hh_tes_in!M4/SER_hh_fec_in!M4)</f>
        <v>0.67559224694756026</v>
      </c>
      <c r="N4" s="135">
        <f>IF(SER_hh_tes_in!N4=0,"",SER_hh_tes_in!N4/SER_hh_fec_in!N4)</f>
        <v>0.65747591028869401</v>
      </c>
      <c r="O4" s="135">
        <f>IF(SER_hh_tes_in!O4=0,"",SER_hh_tes_in!O4/SER_hh_fec_in!O4)</f>
        <v>0.69455253331887901</v>
      </c>
      <c r="P4" s="135">
        <f>IF(SER_hh_tes_in!P4=0,"",SER_hh_tes_in!P4/SER_hh_fec_in!P4)</f>
        <v>0.77163972761173028</v>
      </c>
      <c r="Q4" s="135">
        <f>IF(SER_hh_tes_in!Q4=0,"",SER_hh_tes_in!Q4/SER_hh_fec_in!Q4)</f>
        <v>0.81776609954282942</v>
      </c>
      <c r="R4" s="135">
        <f>IF(SER_hh_tes_in!R4=0,"",SER_hh_tes_in!R4/SER_hh_fec_in!R4)</f>
        <v>0.83465749829240032</v>
      </c>
      <c r="S4" s="135">
        <f>IF(SER_hh_tes_in!S4=0,"",SER_hh_tes_in!S4/SER_hh_fec_in!S4)</f>
        <v>0.8591179420404691</v>
      </c>
      <c r="T4" s="135">
        <f>IF(SER_hh_tes_in!T4=0,"",SER_hh_tes_in!T4/SER_hh_fec_in!T4)</f>
        <v>0.86255307816493987</v>
      </c>
      <c r="U4" s="135">
        <f>IF(SER_hh_tes_in!U4=0,"",SER_hh_tes_in!U4/SER_hh_fec_in!U4)</f>
        <v>0.87913244744162111</v>
      </c>
      <c r="V4" s="135">
        <f>IF(SER_hh_tes_in!V4=0,"",SER_hh_tes_in!V4/SER_hh_fec_in!V4)</f>
        <v>0.91563712163884403</v>
      </c>
      <c r="W4" s="135">
        <f>IF(SER_hh_tes_in!W4=0,"",SER_hh_tes_in!W4/SER_hh_fec_in!W4)</f>
        <v>0.89134946392962167</v>
      </c>
      <c r="X4" s="135">
        <f>IF(SER_hh_tes_in!X4=0,"",SER_hh_tes_in!X4/SER_hh_fec_in!X4)</f>
        <v>0.88197218900844487</v>
      </c>
      <c r="Y4" s="135">
        <f>IF(SER_hh_tes_in!Y4=0,"",SER_hh_tes_in!Y4/SER_hh_fec_in!Y4)</f>
        <v>0.8875247035174777</v>
      </c>
      <c r="DA4" s="162" t="s">
        <v>663</v>
      </c>
    </row>
    <row r="5" spans="1:105" ht="12" customHeight="1" x14ac:dyDescent="0.25">
      <c r="A5" s="131" t="s">
        <v>29</v>
      </c>
      <c r="B5" s="136"/>
      <c r="C5" s="136">
        <f>IF(SER_hh_tes_in!C5=0,"",SER_hh_tes_in!C5/SER_hh_fec_in!C5)</f>
        <v>0.62078268161465178</v>
      </c>
      <c r="D5" s="136">
        <f>IF(SER_hh_tes_in!D5=0,"",SER_hh_tes_in!D5/SER_hh_fec_in!D5)</f>
        <v>0.62376885033605134</v>
      </c>
      <c r="E5" s="136">
        <f>IF(SER_hh_tes_in!E5=0,"",SER_hh_tes_in!E5/SER_hh_fec_in!E5)</f>
        <v>0.62674632435334077</v>
      </c>
      <c r="F5" s="136">
        <f>IF(SER_hh_tes_in!F5=0,"",SER_hh_tes_in!F5/SER_hh_fec_in!F5)</f>
        <v>0.62972261272916064</v>
      </c>
      <c r="G5" s="136">
        <f>IF(SER_hh_tes_in!G5=0,"",SER_hh_tes_in!G5/SER_hh_fec_in!G5)</f>
        <v>0.63269089379390941</v>
      </c>
      <c r="H5" s="136">
        <f>IF(SER_hh_tes_in!H5=0,"",SER_hh_tes_in!H5/SER_hh_fec_in!H5)</f>
        <v>0.63565200243310171</v>
      </c>
      <c r="I5" s="136" t="str">
        <f>IF(SER_hh_tes_in!I5=0,"",SER_hh_tes_in!I5/SER_hh_fec_in!I5)</f>
        <v/>
      </c>
      <c r="J5" s="136" t="str">
        <f>IF(SER_hh_tes_in!J5=0,"",SER_hh_tes_in!J5/SER_hh_fec_in!J5)</f>
        <v/>
      </c>
      <c r="K5" s="136" t="str">
        <f>IF(SER_hh_tes_in!K5=0,"",SER_hh_tes_in!K5/SER_hh_fec_in!K5)</f>
        <v/>
      </c>
      <c r="L5" s="136" t="str">
        <f>IF(SER_hh_tes_in!L5=0,"",SER_hh_tes_in!L5/SER_hh_fec_in!L5)</f>
        <v/>
      </c>
      <c r="M5" s="136" t="str">
        <f>IF(SER_hh_tes_in!M5=0,"",SER_hh_tes_in!M5/SER_hh_fec_in!M5)</f>
        <v/>
      </c>
      <c r="N5" s="136" t="str">
        <f>IF(SER_hh_tes_in!N5=0,"",SER_hh_tes_in!N5/SER_hh_fec_in!N5)</f>
        <v/>
      </c>
      <c r="O5" s="136" t="str">
        <f>IF(SER_hh_tes_in!O5=0,"",SER_hh_tes_in!O5/SER_hh_fec_in!O5)</f>
        <v/>
      </c>
      <c r="P5" s="136" t="str">
        <f>IF(SER_hh_tes_in!P5=0,"",SER_hh_tes_in!P5/SER_hh_fec_in!P5)</f>
        <v/>
      </c>
      <c r="Q5" s="136">
        <f>IF(SER_hh_tes_in!Q5=0,"",SER_hh_tes_in!Q5/SER_hh_fec_in!Q5)</f>
        <v>0.65919573941356535</v>
      </c>
      <c r="R5" s="136">
        <f>IF(SER_hh_tes_in!R5=0,"",SER_hh_tes_in!R5/SER_hh_fec_in!R5)</f>
        <v>0.66324514667990075</v>
      </c>
      <c r="S5" s="136">
        <f>IF(SER_hh_tes_in!S5=0,"",SER_hh_tes_in!S5/SER_hh_fec_in!S5)</f>
        <v>0.66807986226400895</v>
      </c>
      <c r="T5" s="136">
        <f>IF(SER_hh_tes_in!T5=0,"",SER_hh_tes_in!T5/SER_hh_fec_in!T5)</f>
        <v>0.67319275568189652</v>
      </c>
      <c r="U5" s="136">
        <f>IF(SER_hh_tes_in!U5=0,"",SER_hh_tes_in!U5/SER_hh_fec_in!U5)</f>
        <v>0.67807669644958468</v>
      </c>
      <c r="V5" s="136" t="str">
        <f>IF(SER_hh_tes_in!V5=0,"",SER_hh_tes_in!V5/SER_hh_fec_in!V5)</f>
        <v/>
      </c>
      <c r="W5" s="136" t="str">
        <f>IF(SER_hh_tes_in!W5=0,"",SER_hh_tes_in!W5/SER_hh_fec_in!W5)</f>
        <v/>
      </c>
      <c r="X5" s="136">
        <f>IF(SER_hh_tes_in!X5=0,"",SER_hh_tes_in!X5/SER_hh_fec_in!X5)</f>
        <v>0.69112132441319218</v>
      </c>
      <c r="Y5" s="136">
        <f>IF(SER_hh_tes_in!Y5=0,"",SER_hh_tes_in!Y5/SER_hh_fec_in!Y5)</f>
        <v>0.69623985937864163</v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0.52282363048272695</v>
      </c>
      <c r="D7" s="136" t="str">
        <f>IF(SER_hh_tes_in!D7=0,"",SER_hh_tes_in!D7/SER_hh_fec_in!D7)</f>
        <v/>
      </c>
      <c r="E7" s="136" t="str">
        <f>IF(SER_hh_tes_in!E7=0,"",SER_hh_tes_in!E7/SER_hh_fec_in!E7)</f>
        <v/>
      </c>
      <c r="F7" s="136" t="str">
        <f>IF(SER_hh_tes_in!F7=0,"",SER_hh_tes_in!F7/SER_hh_fec_in!F7)</f>
        <v/>
      </c>
      <c r="G7" s="136" t="str">
        <f>IF(SER_hh_tes_in!G7=0,"",SER_hh_tes_in!G7/SER_hh_fec_in!G7)</f>
        <v/>
      </c>
      <c r="H7" s="136" t="str">
        <f>IF(SER_hh_tes_in!H7=0,"",SER_hh_tes_in!H7/SER_hh_fec_in!H7)</f>
        <v/>
      </c>
      <c r="I7" s="136">
        <f>IF(SER_hh_tes_in!I7=0,"",SER_hh_tes_in!I7/SER_hh_fec_in!I7)</f>
        <v>0.55102872488397558</v>
      </c>
      <c r="J7" s="136">
        <f>IF(SER_hh_tes_in!J7=0,"",SER_hh_tes_in!J7/SER_hh_fec_in!J7)</f>
        <v>0.55661219186288657</v>
      </c>
      <c r="K7" s="136">
        <f>IF(SER_hh_tes_in!K7=0,"",SER_hh_tes_in!K7/SER_hh_fec_in!K7)</f>
        <v>0.56283100236624584</v>
      </c>
      <c r="L7" s="136">
        <f>IF(SER_hh_tes_in!L7=0,"",SER_hh_tes_in!L7/SER_hh_fec_in!L7)</f>
        <v>0.56972738090074748</v>
      </c>
      <c r="M7" s="136">
        <f>IF(SER_hh_tes_in!M7=0,"",SER_hh_tes_in!M7/SER_hh_fec_in!M7)</f>
        <v>0.58220556793859146</v>
      </c>
      <c r="N7" s="136">
        <f>IF(SER_hh_tes_in!N7=0,"",SER_hh_tes_in!N7/SER_hh_fec_in!N7)</f>
        <v>0.60173327873679772</v>
      </c>
      <c r="O7" s="136">
        <f>IF(SER_hh_tes_in!O7=0,"",SER_hh_tes_in!O7/SER_hh_fec_in!O7)</f>
        <v>0.62905756051657657</v>
      </c>
      <c r="P7" s="136">
        <f>IF(SER_hh_tes_in!P7=0,"",SER_hh_tes_in!P7/SER_hh_fec_in!P7)</f>
        <v>0.6605475420878244</v>
      </c>
      <c r="Q7" s="136">
        <f>IF(SER_hh_tes_in!Q7=0,"",SER_hh_tes_in!Q7/SER_hh_fec_in!Q7)</f>
        <v>0.68569266571933729</v>
      </c>
      <c r="R7" s="136">
        <f>IF(SER_hh_tes_in!R7=0,"",SER_hh_tes_in!R7/SER_hh_fec_in!R7)</f>
        <v>0.69527236311065344</v>
      </c>
      <c r="S7" s="136">
        <f>IF(SER_hh_tes_in!S7=0,"",SER_hh_tes_in!S7/SER_hh_fec_in!S7)</f>
        <v>0.69978144768239237</v>
      </c>
      <c r="T7" s="136" t="str">
        <f>IF(SER_hh_tes_in!T7=0,"",SER_hh_tes_in!T7/SER_hh_fec_in!T7)</f>
        <v/>
      </c>
      <c r="U7" s="136" t="str">
        <f>IF(SER_hh_tes_in!U7=0,"",SER_hh_tes_in!U7/SER_hh_fec_in!U7)</f>
        <v/>
      </c>
      <c r="V7" s="136">
        <f>IF(SER_hh_tes_in!V7=0,"",SER_hh_tes_in!V7/SER_hh_fec_in!V7)</f>
        <v>0.70297674204790295</v>
      </c>
      <c r="W7" s="136">
        <f>IF(SER_hh_tes_in!W7=0,"",SER_hh_tes_in!W7/SER_hh_fec_in!W7)</f>
        <v>0.70471997865971014</v>
      </c>
      <c r="X7" s="136">
        <f>IF(SER_hh_tes_in!X7=0,"",SER_hh_tes_in!X7/SER_hh_fec_in!X7)</f>
        <v>0.70585394927600931</v>
      </c>
      <c r="Y7" s="136">
        <f>IF(SER_hh_tes_in!Y7=0,"",SER_hh_tes_in!Y7/SER_hh_fec_in!Y7)</f>
        <v>0.70658066930941554</v>
      </c>
      <c r="DA7" s="163" t="s">
        <v>666</v>
      </c>
    </row>
    <row r="8" spans="1:105" ht="12" customHeight="1" x14ac:dyDescent="0.25">
      <c r="A8" s="131" t="s">
        <v>73</v>
      </c>
      <c r="B8" s="136"/>
      <c r="C8" s="136" t="str">
        <f>IF(SER_hh_tes_in!C8=0,"",SER_hh_tes_in!C8/SER_hh_fec_in!C8)</f>
        <v/>
      </c>
      <c r="D8" s="136" t="str">
        <f>IF(SER_hh_tes_in!D8=0,"",SER_hh_tes_in!D8/SER_hh_fec_in!D8)</f>
        <v/>
      </c>
      <c r="E8" s="136" t="str">
        <f>IF(SER_hh_tes_in!E8=0,"",SER_hh_tes_in!E8/SER_hh_fec_in!E8)</f>
        <v/>
      </c>
      <c r="F8" s="136" t="str">
        <f>IF(SER_hh_tes_in!F8=0,"",SER_hh_tes_in!F8/SER_hh_fec_in!F8)</f>
        <v/>
      </c>
      <c r="G8" s="136" t="str">
        <f>IF(SER_hh_tes_in!G8=0,"",SER_hh_tes_in!G8/SER_hh_fec_in!G8)</f>
        <v/>
      </c>
      <c r="H8" s="136" t="str">
        <f>IF(SER_hh_tes_in!H8=0,"",SER_hh_tes_in!H8/SER_hh_fec_in!H8)</f>
        <v/>
      </c>
      <c r="I8" s="136" t="str">
        <f>IF(SER_hh_tes_in!I8=0,"",SER_hh_tes_in!I8/SER_hh_fec_in!I8)</f>
        <v/>
      </c>
      <c r="J8" s="136" t="str">
        <f>IF(SER_hh_tes_in!J8=0,"",SER_hh_tes_in!J8/SER_hh_fec_in!J8)</f>
        <v/>
      </c>
      <c r="K8" s="136" t="str">
        <f>IF(SER_hh_tes_in!K8=0,"",SER_hh_tes_in!K8/SER_hh_fec_in!K8)</f>
        <v/>
      </c>
      <c r="L8" s="136" t="str">
        <f>IF(SER_hh_tes_in!L8=0,"",SER_hh_tes_in!L8/SER_hh_fec_in!L8)</f>
        <v/>
      </c>
      <c r="M8" s="136" t="str">
        <f>IF(SER_hh_tes_in!M8=0,"",SER_hh_tes_in!M8/SER_hh_fec_in!M8)</f>
        <v/>
      </c>
      <c r="N8" s="136" t="str">
        <f>IF(SER_hh_tes_in!N8=0,"",SER_hh_tes_in!N8/SER_hh_fec_in!N8)</f>
        <v/>
      </c>
      <c r="O8" s="136" t="str">
        <f>IF(SER_hh_tes_in!O8=0,"",SER_hh_tes_in!O8/SER_hh_fec_in!O8)</f>
        <v/>
      </c>
      <c r="P8" s="136" t="str">
        <f>IF(SER_hh_tes_in!P8=0,"",SER_hh_tes_in!P8/SER_hh_fec_in!P8)</f>
        <v/>
      </c>
      <c r="Q8" s="136" t="str">
        <f>IF(SER_hh_tes_in!Q8=0,"",SER_hh_tes_in!Q8/SER_hh_fec_in!Q8)</f>
        <v/>
      </c>
      <c r="R8" s="136" t="str">
        <f>IF(SER_hh_tes_in!R8=0,"",SER_hh_tes_in!R8/SER_hh_fec_in!R8)</f>
        <v/>
      </c>
      <c r="S8" s="136" t="str">
        <f>IF(SER_hh_tes_in!S8=0,"",SER_hh_tes_in!S8/SER_hh_fec_in!S8)</f>
        <v/>
      </c>
      <c r="T8" s="136" t="str">
        <f>IF(SER_hh_tes_in!T8=0,"",SER_hh_tes_in!T8/SER_hh_fec_in!T8)</f>
        <v/>
      </c>
      <c r="U8" s="136" t="str">
        <f>IF(SER_hh_tes_in!U8=0,"",SER_hh_tes_in!U8/SER_hh_fec_in!U8)</f>
        <v/>
      </c>
      <c r="V8" s="136" t="str">
        <f>IF(SER_hh_tes_in!V8=0,"",SER_hh_tes_in!V8/SER_hh_fec_in!V8)</f>
        <v/>
      </c>
      <c r="W8" s="136" t="str">
        <f>IF(SER_hh_tes_in!W8=0,"",SER_hh_tes_in!W8/SER_hh_fec_in!W8)</f>
        <v/>
      </c>
      <c r="X8" s="136" t="str">
        <f>IF(SER_hh_tes_in!X8=0,"",SER_hh_tes_in!X8/SER_hh_fec_in!X8)</f>
        <v/>
      </c>
      <c r="Y8" s="136" t="str">
        <f>IF(SER_hh_tes_in!Y8=0,"",SER_hh_tes_in!Y8/SER_hh_fec_in!Y8)</f>
        <v/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0.55942267123892897</v>
      </c>
      <c r="D9" s="136">
        <f>IF(SER_hh_tes_in!D9=0,"",SER_hh_tes_in!D9/SER_hh_fec_in!D9)</f>
        <v>0.56404372657455237</v>
      </c>
      <c r="E9" s="136">
        <f>IF(SER_hh_tes_in!E9=0,"",SER_hh_tes_in!E9/SER_hh_fec_in!E9)</f>
        <v>0.56895550232524517</v>
      </c>
      <c r="F9" s="136">
        <f>IF(SER_hh_tes_in!F9=0,"",SER_hh_tes_in!F9/SER_hh_fec_in!F9)</f>
        <v>0.5738492626249172</v>
      </c>
      <c r="G9" s="136">
        <f>IF(SER_hh_tes_in!G9=0,"",SER_hh_tes_in!G9/SER_hh_fec_in!G9)</f>
        <v>0.57900337335454588</v>
      </c>
      <c r="H9" s="136">
        <f>IF(SER_hh_tes_in!H9=0,"",SER_hh_tes_in!H9/SER_hh_fec_in!H9)</f>
        <v>0.58438225943510302</v>
      </c>
      <c r="I9" s="136">
        <f>IF(SER_hh_tes_in!I9=0,"",SER_hh_tes_in!I9/SER_hh_fec_in!I9)</f>
        <v>0.59005292784449692</v>
      </c>
      <c r="J9" s="136">
        <f>IF(SER_hh_tes_in!J9=0,"",SER_hh_tes_in!J9/SER_hh_fec_in!J9)</f>
        <v>0.59629337979963359</v>
      </c>
      <c r="K9" s="136">
        <f>IF(SER_hh_tes_in!K9=0,"",SER_hh_tes_in!K9/SER_hh_fec_in!K9)</f>
        <v>0.60333769691952632</v>
      </c>
      <c r="L9" s="136">
        <f>IF(SER_hh_tes_in!L9=0,"",SER_hh_tes_in!L9/SER_hh_fec_in!L9)</f>
        <v>0.61124432036749676</v>
      </c>
      <c r="M9" s="136">
        <f>IF(SER_hh_tes_in!M9=0,"",SER_hh_tes_in!M9/SER_hh_fec_in!M9)</f>
        <v>0.62586903829736795</v>
      </c>
      <c r="N9" s="136">
        <f>IF(SER_hh_tes_in!N9=0,"",SER_hh_tes_in!N9/SER_hh_fec_in!N9)</f>
        <v>0.64903289509042317</v>
      </c>
      <c r="O9" s="136">
        <f>IF(SER_hh_tes_in!O9=0,"",SER_hh_tes_in!O9/SER_hh_fec_in!O9)</f>
        <v>0.68194707616416317</v>
      </c>
      <c r="P9" s="136">
        <f>IF(SER_hh_tes_in!P9=0,"",SER_hh_tes_in!P9/SER_hh_fec_in!P9)</f>
        <v>0.72070747579284822</v>
      </c>
      <c r="Q9" s="136">
        <f>IF(SER_hh_tes_in!Q9=0,"",SER_hh_tes_in!Q9/SER_hh_fec_in!Q9)</f>
        <v>0.75337719598475217</v>
      </c>
      <c r="R9" s="136">
        <f>IF(SER_hh_tes_in!R9=0,"",SER_hh_tes_in!R9/SER_hh_fec_in!R9)</f>
        <v>0.76993832561245179</v>
      </c>
      <c r="S9" s="136">
        <f>IF(SER_hh_tes_in!S9=0,"",SER_hh_tes_in!S9/SER_hh_fec_in!S9)</f>
        <v>0.78259090809468046</v>
      </c>
      <c r="T9" s="136">
        <f>IF(SER_hh_tes_in!T9=0,"",SER_hh_tes_in!T9/SER_hh_fec_in!T9)</f>
        <v>0.79284997317466877</v>
      </c>
      <c r="U9" s="136">
        <f>IF(SER_hh_tes_in!U9=0,"",SER_hh_tes_in!U9/SER_hh_fec_in!U9)</f>
        <v>0.80176156090780293</v>
      </c>
      <c r="V9" s="136">
        <f>IF(SER_hh_tes_in!V9=0,"",SER_hh_tes_in!V9/SER_hh_fec_in!V9)</f>
        <v>0.80984225794289</v>
      </c>
      <c r="W9" s="136">
        <f>IF(SER_hh_tes_in!W9=0,"",SER_hh_tes_in!W9/SER_hh_fec_in!W9)</f>
        <v>0.81585258032657415</v>
      </c>
      <c r="X9" s="136">
        <f>IF(SER_hh_tes_in!X9=0,"",SER_hh_tes_in!X9/SER_hh_fec_in!X9)</f>
        <v>0.81966593321535064</v>
      </c>
      <c r="Y9" s="136">
        <f>IF(SER_hh_tes_in!Y9=0,"",SER_hh_tes_in!Y9/SER_hh_fec_in!Y9)</f>
        <v>0.82226897432196466</v>
      </c>
      <c r="DA9" s="163" t="s">
        <v>668</v>
      </c>
    </row>
    <row r="10" spans="1:105" ht="12" customHeight="1" x14ac:dyDescent="0.25">
      <c r="A10" s="131" t="s">
        <v>128</v>
      </c>
      <c r="B10" s="136"/>
      <c r="C10" s="136" t="str">
        <f>IF(SER_hh_tes_in!C10=0,"",SER_hh_tes_in!C10/SER_hh_fec_in!C10)</f>
        <v/>
      </c>
      <c r="D10" s="136" t="str">
        <f>IF(SER_hh_tes_in!D10=0,"",SER_hh_tes_in!D10/SER_hh_fec_in!D10)</f>
        <v/>
      </c>
      <c r="E10" s="136" t="str">
        <f>IF(SER_hh_tes_in!E10=0,"",SER_hh_tes_in!E10/SER_hh_fec_in!E10)</f>
        <v/>
      </c>
      <c r="F10" s="136" t="str">
        <f>IF(SER_hh_tes_in!F10=0,"",SER_hh_tes_in!F10/SER_hh_fec_in!F10)</f>
        <v/>
      </c>
      <c r="G10" s="136">
        <f>IF(SER_hh_tes_in!G10=0,"",SER_hh_tes_in!G10/SER_hh_fec_in!G10)</f>
        <v>0.46554150473011791</v>
      </c>
      <c r="H10" s="136">
        <f>IF(SER_hh_tes_in!H10=0,"",SER_hh_tes_in!H10/SER_hh_fec_in!H10)</f>
        <v>0.47461356535863175</v>
      </c>
      <c r="I10" s="136">
        <f>IF(SER_hh_tes_in!I10=0,"",SER_hh_tes_in!I10/SER_hh_fec_in!I10)</f>
        <v>0.48372769076320898</v>
      </c>
      <c r="J10" s="136">
        <f>IF(SER_hh_tes_in!J10=0,"",SER_hh_tes_in!J10/SER_hh_fec_in!J10)</f>
        <v>0.49285424840084974</v>
      </c>
      <c r="K10" s="136">
        <f>IF(SER_hh_tes_in!K10=0,"",SER_hh_tes_in!K10/SER_hh_fec_in!K10)</f>
        <v>0.5019540552709254</v>
      </c>
      <c r="L10" s="136">
        <f>IF(SER_hh_tes_in!L10=0,"",SER_hh_tes_in!L10/SER_hh_fec_in!L10)</f>
        <v>0.51099233435876168</v>
      </c>
      <c r="M10" s="136">
        <f>IF(SER_hh_tes_in!M10=0,"",SER_hh_tes_in!M10/SER_hh_fec_in!M10)</f>
        <v>0.5192947371477582</v>
      </c>
      <c r="N10" s="136">
        <f>IF(SER_hh_tes_in!N10=0,"",SER_hh_tes_in!N10/SER_hh_fec_in!N10)</f>
        <v>0.52649227308046731</v>
      </c>
      <c r="O10" s="136">
        <f>IF(SER_hh_tes_in!O10=0,"",SER_hh_tes_in!O10/SER_hh_fec_in!O10)</f>
        <v>0.53237182993913357</v>
      </c>
      <c r="P10" s="136">
        <f>IF(SER_hh_tes_in!P10=0,"",SER_hh_tes_in!P10/SER_hh_fec_in!P10)</f>
        <v>0.53744275434746314</v>
      </c>
      <c r="Q10" s="136">
        <f>IF(SER_hh_tes_in!Q10=0,"",SER_hh_tes_in!Q10/SER_hh_fec_in!Q10)</f>
        <v>0.54349331524873379</v>
      </c>
      <c r="R10" s="136">
        <f>IF(SER_hh_tes_in!R10=0,"",SER_hh_tes_in!R10/SER_hh_fec_in!R10)</f>
        <v>0.55255627297873611</v>
      </c>
      <c r="S10" s="136" t="str">
        <f>IF(SER_hh_tes_in!S10=0,"",SER_hh_tes_in!S10/SER_hh_fec_in!S10)</f>
        <v/>
      </c>
      <c r="T10" s="136" t="str">
        <f>IF(SER_hh_tes_in!T10=0,"",SER_hh_tes_in!T10/SER_hh_fec_in!T10)</f>
        <v/>
      </c>
      <c r="U10" s="136" t="str">
        <f>IF(SER_hh_tes_in!U10=0,"",SER_hh_tes_in!U10/SER_hh_fec_in!U10)</f>
        <v/>
      </c>
      <c r="V10" s="136">
        <f>IF(SER_hh_tes_in!V10=0,"",SER_hh_tes_in!V10/SER_hh_fec_in!V10)</f>
        <v>0.59052196723992822</v>
      </c>
      <c r="W10" s="136">
        <f>IF(SER_hh_tes_in!W10=0,"",SER_hh_tes_in!W10/SER_hh_fec_in!W10)</f>
        <v>0.59692639480824794</v>
      </c>
      <c r="X10" s="136">
        <f>IF(SER_hh_tes_in!X10=0,"",SER_hh_tes_in!X10/SER_hh_fec_in!X10)</f>
        <v>0.60266667586291012</v>
      </c>
      <c r="Y10" s="136">
        <f>IF(SER_hh_tes_in!Y10=0,"",SER_hh_tes_in!Y10/SER_hh_fec_in!Y10)</f>
        <v>0.60807633681987106</v>
      </c>
      <c r="DA10" s="163" t="s">
        <v>669</v>
      </c>
    </row>
    <row r="11" spans="1:105" ht="12" customHeight="1" x14ac:dyDescent="0.25">
      <c r="A11" s="131" t="s">
        <v>25</v>
      </c>
      <c r="B11" s="136"/>
      <c r="C11" s="136" t="str">
        <f>IF(SER_hh_tes_in!C11=0,"",SER_hh_tes_in!C11/SER_hh_fec_in!C11)</f>
        <v/>
      </c>
      <c r="D11" s="136" t="str">
        <f>IF(SER_hh_tes_in!D11=0,"",SER_hh_tes_in!D11/SER_hh_fec_in!D11)</f>
        <v/>
      </c>
      <c r="E11" s="136" t="str">
        <f>IF(SER_hh_tes_in!E11=0,"",SER_hh_tes_in!E11/SER_hh_fec_in!E11)</f>
        <v/>
      </c>
      <c r="F11" s="136" t="str">
        <f>IF(SER_hh_tes_in!F11=0,"",SER_hh_tes_in!F11/SER_hh_fec_in!F11)</f>
        <v/>
      </c>
      <c r="G11" s="136" t="str">
        <f>IF(SER_hh_tes_in!G11=0,"",SER_hh_tes_in!G11/SER_hh_fec_in!G11)</f>
        <v/>
      </c>
      <c r="H11" s="136" t="str">
        <f>IF(SER_hh_tes_in!H11=0,"",SER_hh_tes_in!H11/SER_hh_fec_in!H11)</f>
        <v/>
      </c>
      <c r="I11" s="136" t="str">
        <f>IF(SER_hh_tes_in!I11=0,"",SER_hh_tes_in!I11/SER_hh_fec_in!I11)</f>
        <v/>
      </c>
      <c r="J11" s="136" t="str">
        <f>IF(SER_hh_tes_in!J11=0,"",SER_hh_tes_in!J11/SER_hh_fec_in!J11)</f>
        <v/>
      </c>
      <c r="K11" s="136" t="str">
        <f>IF(SER_hh_tes_in!K11=0,"",SER_hh_tes_in!K11/SER_hh_fec_in!K11)</f>
        <v/>
      </c>
      <c r="L11" s="136" t="str">
        <f>IF(SER_hh_tes_in!L11=0,"",SER_hh_tes_in!L11/SER_hh_fec_in!L11)</f>
        <v/>
      </c>
      <c r="M11" s="136" t="str">
        <f>IF(SER_hh_tes_in!M11=0,"",SER_hh_tes_in!M11/SER_hh_fec_in!M11)</f>
        <v/>
      </c>
      <c r="N11" s="136" t="str">
        <f>IF(SER_hh_tes_in!N11=0,"",SER_hh_tes_in!N11/SER_hh_fec_in!N11)</f>
        <v/>
      </c>
      <c r="O11" s="136" t="str">
        <f>IF(SER_hh_tes_in!O11=0,"",SER_hh_tes_in!O11/SER_hh_fec_in!O11)</f>
        <v/>
      </c>
      <c r="P11" s="136" t="str">
        <f>IF(SER_hh_tes_in!P11=0,"",SER_hh_tes_in!P11/SER_hh_fec_in!P11)</f>
        <v/>
      </c>
      <c r="Q11" s="136" t="str">
        <f>IF(SER_hh_tes_in!Q11=0,"",SER_hh_tes_in!Q11/SER_hh_fec_in!Q11)</f>
        <v/>
      </c>
      <c r="R11" s="136" t="str">
        <f>IF(SER_hh_tes_in!R11=0,"",SER_hh_tes_in!R11/SER_hh_fec_in!R11)</f>
        <v/>
      </c>
      <c r="S11" s="136" t="str">
        <f>IF(SER_hh_tes_in!S11=0,"",SER_hh_tes_in!S11/SER_hh_fec_in!S11)</f>
        <v/>
      </c>
      <c r="T11" s="136" t="str">
        <f>IF(SER_hh_tes_in!T11=0,"",SER_hh_tes_in!T11/SER_hh_fec_in!T11)</f>
        <v/>
      </c>
      <c r="U11" s="136" t="str">
        <f>IF(SER_hh_tes_in!U11=0,"",SER_hh_tes_in!U11/SER_hh_fec_in!U11)</f>
        <v/>
      </c>
      <c r="V11" s="136" t="str">
        <f>IF(SER_hh_tes_in!V11=0,"",SER_hh_tes_in!V11/SER_hh_fec_in!V11)</f>
        <v/>
      </c>
      <c r="W11" s="136" t="str">
        <f>IF(SER_hh_tes_in!W11=0,"",SER_hh_tes_in!W11/SER_hh_fec_in!W11)</f>
        <v/>
      </c>
      <c r="X11" s="136" t="str">
        <f>IF(SER_hh_tes_in!X11=0,"",SER_hh_tes_in!X11/SER_hh_fec_in!X11)</f>
        <v/>
      </c>
      <c r="Y11" s="136" t="str">
        <f>IF(SER_hh_tes_in!Y11=0,"",SER_hh_tes_in!Y11/SER_hh_fec_in!Y11)</f>
        <v/>
      </c>
      <c r="DA11" s="163" t="s">
        <v>670</v>
      </c>
    </row>
    <row r="12" spans="1:105" ht="12" customHeight="1" x14ac:dyDescent="0.25">
      <c r="A12" s="131" t="s">
        <v>162</v>
      </c>
      <c r="B12" s="136"/>
      <c r="C12" s="136" t="str">
        <f>IF(SER_hh_tes_in!C12=0,"",SER_hh_tes_in!C12/SER_hh_fec_in!C12)</f>
        <v/>
      </c>
      <c r="D12" s="136" t="str">
        <f>IF(SER_hh_tes_in!D12=0,"",SER_hh_tes_in!D12/SER_hh_fec_in!D12)</f>
        <v/>
      </c>
      <c r="E12" s="136" t="str">
        <f>IF(SER_hh_tes_in!E12=0,"",SER_hh_tes_in!E12/SER_hh_fec_in!E12)</f>
        <v/>
      </c>
      <c r="F12" s="136" t="str">
        <f>IF(SER_hh_tes_in!F12=0,"",SER_hh_tes_in!F12/SER_hh_fec_in!F12)</f>
        <v/>
      </c>
      <c r="G12" s="136" t="str">
        <f>IF(SER_hh_tes_in!G12=0,"",SER_hh_tes_in!G12/SER_hh_fec_in!G12)</f>
        <v/>
      </c>
      <c r="H12" s="136" t="str">
        <f>IF(SER_hh_tes_in!H12=0,"",SER_hh_tes_in!H12/SER_hh_fec_in!H12)</f>
        <v/>
      </c>
      <c r="I12" s="136" t="str">
        <f>IF(SER_hh_tes_in!I12=0,"",SER_hh_tes_in!I12/SER_hh_fec_in!I12)</f>
        <v/>
      </c>
      <c r="J12" s="136" t="str">
        <f>IF(SER_hh_tes_in!J12=0,"",SER_hh_tes_in!J12/SER_hh_fec_in!J12)</f>
        <v/>
      </c>
      <c r="K12" s="136" t="str">
        <f>IF(SER_hh_tes_in!K12=0,"",SER_hh_tes_in!K12/SER_hh_fec_in!K12)</f>
        <v/>
      </c>
      <c r="L12" s="136" t="str">
        <f>IF(SER_hh_tes_in!L12=0,"",SER_hh_tes_in!L12/SER_hh_fec_in!L12)</f>
        <v/>
      </c>
      <c r="M12" s="136" t="str">
        <f>IF(SER_hh_tes_in!M12=0,"",SER_hh_tes_in!M12/SER_hh_fec_in!M12)</f>
        <v/>
      </c>
      <c r="N12" s="136" t="str">
        <f>IF(SER_hh_tes_in!N12=0,"",SER_hh_tes_in!N12/SER_hh_fec_in!N12)</f>
        <v/>
      </c>
      <c r="O12" s="136" t="str">
        <f>IF(SER_hh_tes_in!O12=0,"",SER_hh_tes_in!O12/SER_hh_fec_in!O12)</f>
        <v/>
      </c>
      <c r="P12" s="136" t="str">
        <f>IF(SER_hh_tes_in!P12=0,"",SER_hh_tes_in!P12/SER_hh_fec_in!P12)</f>
        <v/>
      </c>
      <c r="Q12" s="136" t="str">
        <f>IF(SER_hh_tes_in!Q12=0,"",SER_hh_tes_in!Q12/SER_hh_fec_in!Q12)</f>
        <v/>
      </c>
      <c r="R12" s="136" t="str">
        <f>IF(SER_hh_tes_in!R12=0,"",SER_hh_tes_in!R12/SER_hh_fec_in!R12)</f>
        <v/>
      </c>
      <c r="S12" s="136" t="str">
        <f>IF(SER_hh_tes_in!S12=0,"",SER_hh_tes_in!S12/SER_hh_fec_in!S12)</f>
        <v/>
      </c>
      <c r="T12" s="136" t="str">
        <f>IF(SER_hh_tes_in!T12=0,"",SER_hh_tes_in!T12/SER_hh_fec_in!T12)</f>
        <v/>
      </c>
      <c r="U12" s="136" t="str">
        <f>IF(SER_hh_tes_in!U12=0,"",SER_hh_tes_in!U12/SER_hh_fec_in!U12)</f>
        <v/>
      </c>
      <c r="V12" s="136" t="str">
        <f>IF(SER_hh_tes_in!V12=0,"",SER_hh_tes_in!V12/SER_hh_fec_in!V12)</f>
        <v/>
      </c>
      <c r="W12" s="136" t="str">
        <f>IF(SER_hh_tes_in!W12=0,"",SER_hh_tes_in!W12/SER_hh_fec_in!W12)</f>
        <v/>
      </c>
      <c r="X12" s="136" t="str">
        <f>IF(SER_hh_tes_in!X12=0,"",SER_hh_tes_in!X12/SER_hh_fec_in!X12)</f>
        <v/>
      </c>
      <c r="Y12" s="136" t="str">
        <f>IF(SER_hh_tes_in!Y12=0,"",SER_hh_tes_in!Y12/SER_hh_fec_in!Y12)</f>
        <v/>
      </c>
      <c r="DA12" s="163" t="s">
        <v>671</v>
      </c>
    </row>
    <row r="13" spans="1:105" ht="12" customHeight="1" x14ac:dyDescent="0.25">
      <c r="A13" s="131" t="s">
        <v>77</v>
      </c>
      <c r="B13" s="136"/>
      <c r="C13" s="136">
        <f>IF(SER_hh_tes_in!C13=0,"",SER_hh_tes_in!C13/SER_hh_fec_in!C13)</f>
        <v>1.7500833732719614</v>
      </c>
      <c r="D13" s="136">
        <f>IF(SER_hh_tes_in!D13=0,"",SER_hh_tes_in!D13/SER_hh_fec_in!D13)</f>
        <v>1.8489934991606387</v>
      </c>
      <c r="E13" s="136">
        <f>IF(SER_hh_tes_in!E13=0,"",SER_hh_tes_in!E13/SER_hh_fec_in!E13)</f>
        <v>1.9495689073557814</v>
      </c>
      <c r="F13" s="136">
        <f>IF(SER_hh_tes_in!F13=0,"",SER_hh_tes_in!F13/SER_hh_fec_in!F13)</f>
        <v>2.0508399763885059</v>
      </c>
      <c r="G13" s="136">
        <f>IF(SER_hh_tes_in!G13=0,"",SER_hh_tes_in!G13/SER_hh_fec_in!G13)</f>
        <v>2.1536901555468235</v>
      </c>
      <c r="H13" s="136">
        <f>IF(SER_hh_tes_in!H13=0,"",SER_hh_tes_in!H13/SER_hh_fec_in!H13)</f>
        <v>2.2580131671011596</v>
      </c>
      <c r="I13" s="136">
        <f>IF(SER_hh_tes_in!I13=0,"",SER_hh_tes_in!I13/SER_hh_fec_in!I13)</f>
        <v>2.3640286252359921</v>
      </c>
      <c r="J13" s="136">
        <f>IF(SER_hh_tes_in!J13=0,"",SER_hh_tes_in!J13/SER_hh_fec_in!J13)</f>
        <v>2.4726319294722341</v>
      </c>
      <c r="K13" s="136">
        <f>IF(SER_hh_tes_in!K13=0,"",SER_hh_tes_in!K13/SER_hh_fec_in!K13)</f>
        <v>2.5845871739460806</v>
      </c>
      <c r="L13" s="136">
        <f>IF(SER_hh_tes_in!L13=0,"",SER_hh_tes_in!L13/SER_hh_fec_in!L13)</f>
        <v>2.7001038265025321</v>
      </c>
      <c r="M13" s="136">
        <f>IF(SER_hh_tes_in!M13=0,"",SER_hh_tes_in!M13/SER_hh_fec_in!M13)</f>
        <v>2.8413567836148199</v>
      </c>
      <c r="N13" s="136">
        <f>IF(SER_hh_tes_in!N13=0,"",SER_hh_tes_in!N13/SER_hh_fec_in!N13)</f>
        <v>3.0159928213316123</v>
      </c>
      <c r="O13" s="136">
        <f>IF(SER_hh_tes_in!O13=0,"",SER_hh_tes_in!O13/SER_hh_fec_in!O13)</f>
        <v>3.2266390186130951</v>
      </c>
      <c r="P13" s="136">
        <f>IF(SER_hh_tes_in!P13=0,"",SER_hh_tes_in!P13/SER_hh_fec_in!P13)</f>
        <v>3.4520555923159657</v>
      </c>
      <c r="Q13" s="136">
        <f>IF(SER_hh_tes_in!Q13=0,"",SER_hh_tes_in!Q13/SER_hh_fec_in!Q13)</f>
        <v>3.6273548536174487</v>
      </c>
      <c r="R13" s="136">
        <f>IF(SER_hh_tes_in!R13=0,"",SER_hh_tes_in!R13/SER_hh_fec_in!R13)</f>
        <v>3.7981477332378772</v>
      </c>
      <c r="S13" s="136">
        <f>IF(SER_hh_tes_in!S13=0,"",SER_hh_tes_in!S13/SER_hh_fec_in!S13)</f>
        <v>3.9087592246534273</v>
      </c>
      <c r="T13" s="136">
        <f>IF(SER_hh_tes_in!T13=0,"",SER_hh_tes_in!T13/SER_hh_fec_in!T13)</f>
        <v>3.9777119631154969</v>
      </c>
      <c r="U13" s="136">
        <f>IF(SER_hh_tes_in!U13=0,"",SER_hh_tes_in!U13/SER_hh_fec_in!U13)</f>
        <v>4.0240975664957075</v>
      </c>
      <c r="V13" s="136">
        <f>IF(SER_hh_tes_in!V13=0,"",SER_hh_tes_in!V13/SER_hh_fec_in!V13)</f>
        <v>4.06676858842581</v>
      </c>
      <c r="W13" s="136">
        <f>IF(SER_hh_tes_in!W13=0,"",SER_hh_tes_in!W13/SER_hh_fec_in!W13)</f>
        <v>4.109464322282423</v>
      </c>
      <c r="X13" s="136">
        <f>IF(SER_hh_tes_in!X13=0,"",SER_hh_tes_in!X13/SER_hh_fec_in!X13)</f>
        <v>4.145245179689943</v>
      </c>
      <c r="Y13" s="136">
        <f>IF(SER_hh_tes_in!Y13=0,"",SER_hh_tes_in!Y13/SER_hh_fec_in!Y13)</f>
        <v>4.1759348114566341</v>
      </c>
      <c r="DA13" s="163" t="s">
        <v>672</v>
      </c>
    </row>
    <row r="14" spans="1:105" ht="12" customHeight="1" x14ac:dyDescent="0.25">
      <c r="A14" s="60" t="s">
        <v>76</v>
      </c>
      <c r="B14" s="137"/>
      <c r="C14" s="137">
        <f>IF(SER_hh_tes_in!C14=0,"",SER_hh_tes_in!C14/SER_hh_fec_in!C14)</f>
        <v>0.75327370007064109</v>
      </c>
      <c r="D14" s="137">
        <f>IF(SER_hh_tes_in!D14=0,"",SER_hh_tes_in!D14/SER_hh_fec_in!D14)</f>
        <v>0.75679275901830068</v>
      </c>
      <c r="E14" s="137">
        <f>IF(SER_hh_tes_in!E14=0,"",SER_hh_tes_in!E14/SER_hh_fec_in!E14)</f>
        <v>0.76030201624213078</v>
      </c>
      <c r="F14" s="137">
        <f>IF(SER_hh_tes_in!F14=0,"",SER_hh_tes_in!F14/SER_hh_fec_in!F14)</f>
        <v>0.76380959519165637</v>
      </c>
      <c r="G14" s="137">
        <f>IF(SER_hh_tes_in!G14=0,"",SER_hh_tes_in!G14/SER_hh_fec_in!G14)</f>
        <v>0.76730815380477546</v>
      </c>
      <c r="H14" s="137">
        <f>IF(SER_hh_tes_in!H14=0,"",SER_hh_tes_in!H14/SER_hh_fec_in!H14)</f>
        <v>0.77079861845799946</v>
      </c>
      <c r="I14" s="137">
        <f>IF(SER_hh_tes_in!I14=0,"",SER_hh_tes_in!I14/SER_hh_fec_in!I14)</f>
        <v>0.77427921016291812</v>
      </c>
      <c r="J14" s="137">
        <f>IF(SER_hh_tes_in!J14=0,"",SER_hh_tes_in!J14/SER_hh_fec_in!J14)</f>
        <v>0.77774257635283339</v>
      </c>
      <c r="K14" s="137">
        <f>IF(SER_hh_tes_in!K14=0,"",SER_hh_tes_in!K14/SER_hh_fec_in!K14)</f>
        <v>0.78118251377357395</v>
      </c>
      <c r="L14" s="137">
        <f>IF(SER_hh_tes_in!L14=0,"",SER_hh_tes_in!L14/SER_hh_fec_in!L14)</f>
        <v>0.78459745325029251</v>
      </c>
      <c r="M14" s="137">
        <f>IF(SER_hh_tes_in!M14=0,"",SER_hh_tes_in!M14/SER_hh_fec_in!M14)</f>
        <v>0.78735911968333638</v>
      </c>
      <c r="N14" s="137">
        <f>IF(SER_hh_tes_in!N14=0,"",SER_hh_tes_in!N14/SER_hh_fec_in!N14)</f>
        <v>0.7892405144519814</v>
      </c>
      <c r="O14" s="137">
        <f>IF(SER_hh_tes_in!O14=0,"",SER_hh_tes_in!O14/SER_hh_fec_in!O14)</f>
        <v>0.79054182988183619</v>
      </c>
      <c r="P14" s="137">
        <f>IF(SER_hh_tes_in!P14=0,"",SER_hh_tes_in!P14/SER_hh_fec_in!P14)</f>
        <v>0.79257981291593615</v>
      </c>
      <c r="Q14" s="137">
        <f>IF(SER_hh_tes_in!Q14=0,"",SER_hh_tes_in!Q14/SER_hh_fec_in!Q14)</f>
        <v>0.79893115700508599</v>
      </c>
      <c r="R14" s="137">
        <f>IF(SER_hh_tes_in!R14=0,"",SER_hh_tes_in!R14/SER_hh_fec_in!R14)</f>
        <v>0.81380670507734587</v>
      </c>
      <c r="S14" s="137">
        <f>IF(SER_hh_tes_in!S14=0,"",SER_hh_tes_in!S14/SER_hh_fec_in!S14)</f>
        <v>0.83384693697928147</v>
      </c>
      <c r="T14" s="137">
        <f>IF(SER_hh_tes_in!T14=0,"",SER_hh_tes_in!T14/SER_hh_fec_in!T14)</f>
        <v>0.8562980959908264</v>
      </c>
      <c r="U14" s="137">
        <f>IF(SER_hh_tes_in!U14=0,"",SER_hh_tes_in!U14/SER_hh_fec_in!U14)</f>
        <v>0.87843169391257236</v>
      </c>
      <c r="V14" s="137">
        <f>IF(SER_hh_tes_in!V14=0,"",SER_hh_tes_in!V14/SER_hh_fec_in!V14)</f>
        <v>0.8975165559991688</v>
      </c>
      <c r="W14" s="137">
        <f>IF(SER_hh_tes_in!W14=0,"",SER_hh_tes_in!W14/SER_hh_fec_in!W14)</f>
        <v>0.91301250236813936</v>
      </c>
      <c r="X14" s="137">
        <f>IF(SER_hh_tes_in!X14=0,"",SER_hh_tes_in!X14/SER_hh_fec_in!X14)</f>
        <v>0.92609782986250677</v>
      </c>
      <c r="Y14" s="137">
        <f>IF(SER_hh_tes_in!Y14=0,"",SER_hh_tes_in!Y14/SER_hh_fec_in!Y14)</f>
        <v>0.93844027390004092</v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3.0476417684987354</v>
      </c>
      <c r="D16" s="135">
        <f>IF(SER_hh_tes_in!D16=0,"",SER_hh_tes_in!D16/SER_hh_fec_in!D16)</f>
        <v>3.1979263038962471</v>
      </c>
      <c r="E16" s="135">
        <f>IF(SER_hh_tes_in!E16=0,"",SER_hh_tes_in!E16/SER_hh_fec_in!E16)</f>
        <v>3.3592603070246612</v>
      </c>
      <c r="F16" s="135">
        <f>IF(SER_hh_tes_in!F16=0,"",SER_hh_tes_in!F16/SER_hh_fec_in!F16)</f>
        <v>3.4991786885481968</v>
      </c>
      <c r="G16" s="135">
        <f>IF(SER_hh_tes_in!G16=0,"",SER_hh_tes_in!G16/SER_hh_fec_in!G16)</f>
        <v>3.6608265002041995</v>
      </c>
      <c r="H16" s="135">
        <f>IF(SER_hh_tes_in!H16=0,"",SER_hh_tes_in!H16/SER_hh_fec_in!H16)</f>
        <v>3.8100013397309809</v>
      </c>
      <c r="I16" s="135">
        <f>IF(SER_hh_tes_in!I16=0,"",SER_hh_tes_in!I16/SER_hh_fec_in!I16)</f>
        <v>3.9818974088864754</v>
      </c>
      <c r="J16" s="135">
        <f>IF(SER_hh_tes_in!J16=0,"",SER_hh_tes_in!J16/SER_hh_fec_in!J16)</f>
        <v>4.1508212396938893</v>
      </c>
      <c r="K16" s="135">
        <f>IF(SER_hh_tes_in!K16=0,"",SER_hh_tes_in!K16/SER_hh_fec_in!K16)</f>
        <v>4.2893488047377941</v>
      </c>
      <c r="L16" s="135">
        <f>IF(SER_hh_tes_in!L16=0,"",SER_hh_tes_in!L16/SER_hh_fec_in!L16)</f>
        <v>4.4716659831162353</v>
      </c>
      <c r="M16" s="135">
        <f>IF(SER_hh_tes_in!M16=0,"",SER_hh_tes_in!M16/SER_hh_fec_in!M16)</f>
        <v>4.6612027828871518</v>
      </c>
      <c r="N16" s="135">
        <f>IF(SER_hh_tes_in!N16=0,"",SER_hh_tes_in!N16/SER_hh_fec_in!N16)</f>
        <v>4.8701913133449848</v>
      </c>
      <c r="O16" s="135">
        <f>IF(SER_hh_tes_in!O16=0,"",SER_hh_tes_in!O16/SER_hh_fec_in!O16)</f>
        <v>5.0878098336085396</v>
      </c>
      <c r="P16" s="135">
        <f>IF(SER_hh_tes_in!P16=0,"",SER_hh_tes_in!P16/SER_hh_fec_in!P16)</f>
        <v>5.306396929542462</v>
      </c>
      <c r="Q16" s="135">
        <f>IF(SER_hh_tes_in!Q16=0,"",SER_hh_tes_in!Q16/SER_hh_fec_in!Q16)</f>
        <v>5.4221064559564294</v>
      </c>
      <c r="R16" s="135">
        <f>IF(SER_hh_tes_in!R16=0,"",SER_hh_tes_in!R16/SER_hh_fec_in!R16)</f>
        <v>5.5658651160925121</v>
      </c>
      <c r="S16" s="135">
        <f>IF(SER_hh_tes_in!S16=0,"",SER_hh_tes_in!S16/SER_hh_fec_in!S16)</f>
        <v>5.7139063101673777</v>
      </c>
      <c r="T16" s="135">
        <f>IF(SER_hh_tes_in!T16=0,"",SER_hh_tes_in!T16/SER_hh_fec_in!T16)</f>
        <v>5.8201370521214928</v>
      </c>
      <c r="U16" s="135">
        <f>IF(SER_hh_tes_in!U16=0,"",SER_hh_tes_in!U16/SER_hh_fec_in!U16)</f>
        <v>5.851686468085437</v>
      </c>
      <c r="V16" s="135">
        <f>IF(SER_hh_tes_in!V16=0,"",SER_hh_tes_in!V16/SER_hh_fec_in!V16)</f>
        <v>5.8602827686195518</v>
      </c>
      <c r="W16" s="135">
        <f>IF(SER_hh_tes_in!W16=0,"",SER_hh_tes_in!W16/SER_hh_fec_in!W16)</f>
        <v>5.9675221097324744</v>
      </c>
      <c r="X16" s="135">
        <f>IF(SER_hh_tes_in!X16=0,"",SER_hh_tes_in!X16/SER_hh_fec_in!X16)</f>
        <v>5.9181522911619835</v>
      </c>
      <c r="Y16" s="135">
        <f>IF(SER_hh_tes_in!Y16=0,"",SER_hh_tes_in!Y16/SER_hh_fec_in!Y16)</f>
        <v>6.0035189982760926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>
        <f>IF(SER_hh_tes_in!C17=0,"",SER_hh_tes_in!C17/SER_hh_fec_in!C17)</f>
        <v>1.3530756140869318</v>
      </c>
      <c r="D17" s="136">
        <f>IF(SER_hh_tes_in!D17=0,"",SER_hh_tes_in!D17/SER_hh_fec_in!D17)</f>
        <v>1.3797489359568182</v>
      </c>
      <c r="E17" s="136">
        <f>IF(SER_hh_tes_in!E17=0,"",SER_hh_tes_in!E17/SER_hh_fec_in!E17)</f>
        <v>1.4058911013499198</v>
      </c>
      <c r="F17" s="136">
        <f>IF(SER_hh_tes_in!F17=0,"",SER_hh_tes_in!F17/SER_hh_fec_in!F17)</f>
        <v>1.4313333228169056</v>
      </c>
      <c r="G17" s="136">
        <f>IF(SER_hh_tes_in!G17=0,"",SER_hh_tes_in!G17/SER_hh_fec_in!G17)</f>
        <v>1.4563072587862087</v>
      </c>
      <c r="H17" s="136">
        <f>IF(SER_hh_tes_in!H17=0,"",SER_hh_tes_in!H17/SER_hh_fec_in!H17)</f>
        <v>1.4808255897308453</v>
      </c>
      <c r="I17" s="136">
        <f>IF(SER_hh_tes_in!I17=0,"",SER_hh_tes_in!I17/SER_hh_fec_in!I17)</f>
        <v>1.5049607867581238</v>
      </c>
      <c r="J17" s="136">
        <f>IF(SER_hh_tes_in!J17=0,"",SER_hh_tes_in!J17/SER_hh_fec_in!J17)</f>
        <v>1.5289023764175667</v>
      </c>
      <c r="K17" s="136">
        <f>IF(SER_hh_tes_in!K17=0,"",SER_hh_tes_in!K17/SER_hh_fec_in!K17)</f>
        <v>1.5527998720996128</v>
      </c>
      <c r="L17" s="136">
        <f>IF(SER_hh_tes_in!L17=0,"",SER_hh_tes_in!L17/SER_hh_fec_in!L17)</f>
        <v>1.5766921491005852</v>
      </c>
      <c r="M17" s="136">
        <f>IF(SER_hh_tes_in!M17=0,"",SER_hh_tes_in!M17/SER_hh_fec_in!M17)</f>
        <v>1.6042510039953557</v>
      </c>
      <c r="N17" s="136">
        <f>IF(SER_hh_tes_in!N17=0,"",SER_hh_tes_in!N17/SER_hh_fec_in!N17)</f>
        <v>1.6355396190355873</v>
      </c>
      <c r="O17" s="136">
        <f>IF(SER_hh_tes_in!O17=0,"",SER_hh_tes_in!O17/SER_hh_fec_in!O17)</f>
        <v>1.6699274393070986</v>
      </c>
      <c r="P17" s="136">
        <f>IF(SER_hh_tes_in!P17=0,"",SER_hh_tes_in!P17/SER_hh_fec_in!P17)</f>
        <v>1.7038654295258031</v>
      </c>
      <c r="Q17" s="136">
        <f>IF(SER_hh_tes_in!Q17=0,"",SER_hh_tes_in!Q17/SER_hh_fec_in!Q17)</f>
        <v>1.7293887007175186</v>
      </c>
      <c r="R17" s="136">
        <f>IF(SER_hh_tes_in!R17=0,"",SER_hh_tes_in!R17/SER_hh_fec_in!R17)</f>
        <v>1.7582482986843246</v>
      </c>
      <c r="S17" s="136">
        <f>IF(SER_hh_tes_in!S17=0,"",SER_hh_tes_in!S17/SER_hh_fec_in!S17)</f>
        <v>1.793501323268859</v>
      </c>
      <c r="T17" s="136">
        <f>IF(SER_hh_tes_in!T17=0,"",SER_hh_tes_in!T17/SER_hh_fec_in!T17)</f>
        <v>1.831085090448908</v>
      </c>
      <c r="U17" s="136">
        <f>IF(SER_hh_tes_in!U17=0,"",SER_hh_tes_in!U17/SER_hh_fec_in!U17)</f>
        <v>1.8654761367837756</v>
      </c>
      <c r="V17" s="136">
        <f>IF(SER_hh_tes_in!V17=0,"",SER_hh_tes_in!V17/SER_hh_fec_in!V17)</f>
        <v>1.8967821762783663</v>
      </c>
      <c r="W17" s="136">
        <f>IF(SER_hh_tes_in!W17=0,"",SER_hh_tes_in!W17/SER_hh_fec_in!W17)</f>
        <v>1.921505327914953</v>
      </c>
      <c r="X17" s="136">
        <f>IF(SER_hh_tes_in!X17=0,"",SER_hh_tes_in!X17/SER_hh_fec_in!X17)</f>
        <v>1.9307240512991872</v>
      </c>
      <c r="Y17" s="136">
        <f>IF(SER_hh_tes_in!Y17=0,"",SER_hh_tes_in!Y17/SER_hh_fec_in!Y17)</f>
        <v>1.9322227201986371</v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3.0588479317245323</v>
      </c>
      <c r="D18" s="136">
        <f>IF(SER_hh_tes_in!D18=0,"",SER_hh_tes_in!D18/SER_hh_fec_in!D18)</f>
        <v>3.2112497890354832</v>
      </c>
      <c r="E18" s="136">
        <f>IF(SER_hh_tes_in!E18=0,"",SER_hh_tes_in!E18/SER_hh_fec_in!E18)</f>
        <v>3.3659364432411154</v>
      </c>
      <c r="F18" s="136">
        <f>IF(SER_hh_tes_in!F18=0,"",SER_hh_tes_in!F18/SER_hh_fec_in!F18)</f>
        <v>3.5218654724202829</v>
      </c>
      <c r="G18" s="136">
        <f>IF(SER_hh_tes_in!G18=0,"",SER_hh_tes_in!G18/SER_hh_fec_in!G18)</f>
        <v>3.6799402240601866</v>
      </c>
      <c r="H18" s="136">
        <f>IF(SER_hh_tes_in!H18=0,"",SER_hh_tes_in!H18/SER_hh_fec_in!H18)</f>
        <v>3.840018726611361</v>
      </c>
      <c r="I18" s="136">
        <f>IF(SER_hh_tes_in!I18=0,"",SER_hh_tes_in!I18/SER_hh_fec_in!I18)</f>
        <v>4.0022903388773772</v>
      </c>
      <c r="J18" s="136">
        <f>IF(SER_hh_tes_in!J18=0,"",SER_hh_tes_in!J18/SER_hh_fec_in!J18)</f>
        <v>4.1676037527793044</v>
      </c>
      <c r="K18" s="136">
        <f>IF(SER_hh_tes_in!K18=0,"",SER_hh_tes_in!K18/SER_hh_fec_in!K18)</f>
        <v>4.3366312030824039</v>
      </c>
      <c r="L18" s="136">
        <f>IF(SER_hh_tes_in!L18=0,"",SER_hh_tes_in!L18/SER_hh_fec_in!L18)</f>
        <v>4.5094618353515585</v>
      </c>
      <c r="M18" s="136">
        <f>IF(SER_hh_tes_in!M18=0,"",SER_hh_tes_in!M18/SER_hh_fec_in!M18)</f>
        <v>4.7075130006127761</v>
      </c>
      <c r="N18" s="136">
        <f>IF(SER_hh_tes_in!N18=0,"",SER_hh_tes_in!N18/SER_hh_fec_in!N18)</f>
        <v>4.9371425271126537</v>
      </c>
      <c r="O18" s="136">
        <f>IF(SER_hh_tes_in!O18=0,"",SER_hh_tes_in!O18/SER_hh_fec_in!O18)</f>
        <v>5.1979407784877552</v>
      </c>
      <c r="P18" s="136">
        <f>IF(SER_hh_tes_in!P18=0,"",SER_hh_tes_in!P18/SER_hh_fec_in!P18)</f>
        <v>5.4645268680871926</v>
      </c>
      <c r="Q18" s="136">
        <f>IF(SER_hh_tes_in!Q18=0,"",SER_hh_tes_in!Q18/SER_hh_fec_in!Q18)</f>
        <v>5.6691276045041388</v>
      </c>
      <c r="R18" s="136">
        <f>IF(SER_hh_tes_in!R18=0,"",SER_hh_tes_in!R18/SER_hh_fec_in!R18)</f>
        <v>5.8457248428834019</v>
      </c>
      <c r="S18" s="136">
        <f>IF(SER_hh_tes_in!S18=0,"",SER_hh_tes_in!S18/SER_hh_fec_in!S18)</f>
        <v>5.9352691581429893</v>
      </c>
      <c r="T18" s="136">
        <f>IF(SER_hh_tes_in!T18=0,"",SER_hh_tes_in!T18/SER_hh_fec_in!T18)</f>
        <v>5.9930335549283003</v>
      </c>
      <c r="U18" s="136">
        <f>IF(SER_hh_tes_in!U18=0,"",SER_hh_tes_in!U18/SER_hh_fec_in!U18)</f>
        <v>6.0341814792494715</v>
      </c>
      <c r="V18" s="136">
        <f>IF(SER_hh_tes_in!V18=0,"",SER_hh_tes_in!V18/SER_hh_fec_in!V18)</f>
        <v>6.0755601830334767</v>
      </c>
      <c r="W18" s="136">
        <f>IF(SER_hh_tes_in!W18=0,"",SER_hh_tes_in!W18/SER_hh_fec_in!W18)</f>
        <v>6.1203716323492419</v>
      </c>
      <c r="X18" s="136">
        <f>IF(SER_hh_tes_in!X18=0,"",SER_hh_tes_in!X18/SER_hh_fec_in!X18)</f>
        <v>6.1507524693479212</v>
      </c>
      <c r="Y18" s="136">
        <f>IF(SER_hh_tes_in!Y18=0,"",SER_hh_tes_in!Y18/SER_hh_fec_in!Y18)</f>
        <v>6.1771834719481156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0.6436856166730327</v>
      </c>
      <c r="D19" s="135">
        <f>IF(SER_hh_tes_in!D19=0,"",SER_hh_tes_in!D19/SER_hh_fec_in!D19)</f>
        <v>0.65224689248394718</v>
      </c>
      <c r="E19" s="135">
        <f>IF(SER_hh_tes_in!E19=0,"",SER_hh_tes_in!E19/SER_hh_fec_in!E19)</f>
        <v>0.65761840936125904</v>
      </c>
      <c r="F19" s="135">
        <f>IF(SER_hh_tes_in!F19=0,"",SER_hh_tes_in!F19/SER_hh_fec_in!F19)</f>
        <v>0.66041282083695185</v>
      </c>
      <c r="G19" s="135">
        <f>IF(SER_hh_tes_in!G19=0,"",SER_hh_tes_in!G19/SER_hh_fec_in!G19)</f>
        <v>0.67344878112603301</v>
      </c>
      <c r="H19" s="135">
        <f>IF(SER_hh_tes_in!H19=0,"",SER_hh_tes_in!H19/SER_hh_fec_in!H19)</f>
        <v>0.67576422485613086</v>
      </c>
      <c r="I19" s="135">
        <f>IF(SER_hh_tes_in!I19=0,"",SER_hh_tes_in!I19/SER_hh_fec_in!I19)</f>
        <v>0.6810611763695068</v>
      </c>
      <c r="J19" s="135">
        <f>IF(SER_hh_tes_in!J19=0,"",SER_hh_tes_in!J19/SER_hh_fec_in!J19)</f>
        <v>0.67836735393984571</v>
      </c>
      <c r="K19" s="135">
        <f>IF(SER_hh_tes_in!K19=0,"",SER_hh_tes_in!K19/SER_hh_fec_in!K19)</f>
        <v>0.65309244979382741</v>
      </c>
      <c r="L19" s="135">
        <f>IF(SER_hh_tes_in!L19=0,"",SER_hh_tes_in!L19/SER_hh_fec_in!L19)</f>
        <v>0.68865967009766693</v>
      </c>
      <c r="M19" s="135">
        <f>IF(SER_hh_tes_in!M19=0,"",SER_hh_tes_in!M19/SER_hh_fec_in!M19)</f>
        <v>0.69247948064469411</v>
      </c>
      <c r="N19" s="135">
        <f>IF(SER_hh_tes_in!N19=0,"",SER_hh_tes_in!N19/SER_hh_fec_in!N19)</f>
        <v>0.69904532184304358</v>
      </c>
      <c r="O19" s="135">
        <f>IF(SER_hh_tes_in!O19=0,"",SER_hh_tes_in!O19/SER_hh_fec_in!O19)</f>
        <v>0.7282359860540536</v>
      </c>
      <c r="P19" s="135">
        <f>IF(SER_hh_tes_in!P19=0,"",SER_hh_tes_in!P19/SER_hh_fec_in!P19)</f>
        <v>0.76979502906569353</v>
      </c>
      <c r="Q19" s="135">
        <f>IF(SER_hh_tes_in!Q19=0,"",SER_hh_tes_in!Q19/SER_hh_fec_in!Q19)</f>
        <v>0.79564823682176911</v>
      </c>
      <c r="R19" s="135">
        <f>IF(SER_hh_tes_in!R19=0,"",SER_hh_tes_in!R19/SER_hh_fec_in!R19)</f>
        <v>0.81523440234607558</v>
      </c>
      <c r="S19" s="135">
        <f>IF(SER_hh_tes_in!S19=0,"",SER_hh_tes_in!S19/SER_hh_fec_in!S19)</f>
        <v>0.82791582711942313</v>
      </c>
      <c r="T19" s="135">
        <f>IF(SER_hh_tes_in!T19=0,"",SER_hh_tes_in!T19/SER_hh_fec_in!T19)</f>
        <v>0.85267547444212477</v>
      </c>
      <c r="U19" s="135">
        <f>IF(SER_hh_tes_in!U19=0,"",SER_hh_tes_in!U19/SER_hh_fec_in!U19)</f>
        <v>0.86527158272208471</v>
      </c>
      <c r="V19" s="135">
        <f>IF(SER_hh_tes_in!V19=0,"",SER_hh_tes_in!V19/SER_hh_fec_in!V19)</f>
        <v>0.88222153506262224</v>
      </c>
      <c r="W19" s="135">
        <f>IF(SER_hh_tes_in!W19=0,"",SER_hh_tes_in!W19/SER_hh_fec_in!W19)</f>
        <v>0.86741808242414964</v>
      </c>
      <c r="X19" s="135">
        <f>IF(SER_hh_tes_in!X19=0,"",SER_hh_tes_in!X19/SER_hh_fec_in!X19)</f>
        <v>0.87044297951771121</v>
      </c>
      <c r="Y19" s="135">
        <f>IF(SER_hh_tes_in!Y19=0,"",SER_hh_tes_in!Y19/SER_hh_fec_in!Y19)</f>
        <v>0.87809985454692407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 t="str">
        <f>IF(SER_hh_tes_in!C21=0,"",SER_hh_tes_in!C21/SER_hh_fec_in!C21)</f>
        <v/>
      </c>
      <c r="D21" s="136" t="str">
        <f>IF(SER_hh_tes_in!D21=0,"",SER_hh_tes_in!D21/SER_hh_fec_in!D21)</f>
        <v/>
      </c>
      <c r="E21" s="136" t="str">
        <f>IF(SER_hh_tes_in!E21=0,"",SER_hh_tes_in!E21/SER_hh_fec_in!E21)</f>
        <v/>
      </c>
      <c r="F21" s="136" t="str">
        <f>IF(SER_hh_tes_in!F21=0,"",SER_hh_tes_in!F21/SER_hh_fec_in!F21)</f>
        <v/>
      </c>
      <c r="G21" s="136" t="str">
        <f>IF(SER_hh_tes_in!G21=0,"",SER_hh_tes_in!G21/SER_hh_fec_in!G21)</f>
        <v/>
      </c>
      <c r="H21" s="136" t="str">
        <f>IF(SER_hh_tes_in!H21=0,"",SER_hh_tes_in!H21/SER_hh_fec_in!H21)</f>
        <v/>
      </c>
      <c r="I21" s="136" t="str">
        <f>IF(SER_hh_tes_in!I21=0,"",SER_hh_tes_in!I21/SER_hh_fec_in!I21)</f>
        <v/>
      </c>
      <c r="J21" s="136" t="str">
        <f>IF(SER_hh_tes_in!J21=0,"",SER_hh_tes_in!J21/SER_hh_fec_in!J21)</f>
        <v/>
      </c>
      <c r="K21" s="136" t="str">
        <f>IF(SER_hh_tes_in!K21=0,"",SER_hh_tes_in!K21/SER_hh_fec_in!K21)</f>
        <v/>
      </c>
      <c r="L21" s="136" t="str">
        <f>IF(SER_hh_tes_in!L21=0,"",SER_hh_tes_in!L21/SER_hh_fec_in!L21)</f>
        <v/>
      </c>
      <c r="M21" s="136" t="str">
        <f>IF(SER_hh_tes_in!M21=0,"",SER_hh_tes_in!M21/SER_hh_fec_in!M21)</f>
        <v/>
      </c>
      <c r="N21" s="136" t="str">
        <f>IF(SER_hh_tes_in!N21=0,"",SER_hh_tes_in!N21/SER_hh_fec_in!N21)</f>
        <v/>
      </c>
      <c r="O21" s="136" t="str">
        <f>IF(SER_hh_tes_in!O21=0,"",SER_hh_tes_in!O21/SER_hh_fec_in!O21)</f>
        <v/>
      </c>
      <c r="P21" s="136" t="str">
        <f>IF(SER_hh_tes_in!P21=0,"",SER_hh_tes_in!P21/SER_hh_fec_in!P21)</f>
        <v/>
      </c>
      <c r="Q21" s="136" t="str">
        <f>IF(SER_hh_tes_in!Q21=0,"",SER_hh_tes_in!Q21/SER_hh_fec_in!Q21)</f>
        <v/>
      </c>
      <c r="R21" s="136" t="str">
        <f>IF(SER_hh_tes_in!R21=0,"",SER_hh_tes_in!R21/SER_hh_fec_in!R21)</f>
        <v/>
      </c>
      <c r="S21" s="136" t="str">
        <f>IF(SER_hh_tes_in!S21=0,"",SER_hh_tes_in!S21/SER_hh_fec_in!S21)</f>
        <v/>
      </c>
      <c r="T21" s="136" t="str">
        <f>IF(SER_hh_tes_in!T21=0,"",SER_hh_tes_in!T21/SER_hh_fec_in!T21)</f>
        <v/>
      </c>
      <c r="U21" s="136" t="str">
        <f>IF(SER_hh_tes_in!U21=0,"",SER_hh_tes_in!U21/SER_hh_fec_in!U21)</f>
        <v/>
      </c>
      <c r="V21" s="136" t="str">
        <f>IF(SER_hh_tes_in!V21=0,"",SER_hh_tes_in!V21/SER_hh_fec_in!V21)</f>
        <v/>
      </c>
      <c r="W21" s="136" t="str">
        <f>IF(SER_hh_tes_in!W21=0,"",SER_hh_tes_in!W21/SER_hh_fec_in!W21)</f>
        <v/>
      </c>
      <c r="X21" s="136" t="str">
        <f>IF(SER_hh_tes_in!X21=0,"",SER_hh_tes_in!X21/SER_hh_fec_in!X21)</f>
        <v/>
      </c>
      <c r="Y21" s="136" t="str">
        <f>IF(SER_hh_tes_in!Y21=0,"",SER_hh_tes_in!Y21/SER_hh_fec_in!Y21)</f>
        <v/>
      </c>
      <c r="DA21" s="163" t="s">
        <v>680</v>
      </c>
    </row>
    <row r="22" spans="1:105" ht="12" customHeight="1" x14ac:dyDescent="0.25">
      <c r="A22" s="131" t="s">
        <v>161</v>
      </c>
      <c r="B22" s="136"/>
      <c r="C22" s="136">
        <f>IF(SER_hh_tes_in!C22=0,"",SER_hh_tes_in!C22/SER_hh_fec_in!C22)</f>
        <v>0.55331678625125813</v>
      </c>
      <c r="D22" s="136">
        <f>IF(SER_hh_tes_in!D22=0,"",SER_hh_tes_in!D22/SER_hh_fec_in!D22)</f>
        <v>0.55560857256517671</v>
      </c>
      <c r="E22" s="136">
        <f>IF(SER_hh_tes_in!E22=0,"",SER_hh_tes_in!E22/SER_hh_fec_in!E22)</f>
        <v>0.55821892732033052</v>
      </c>
      <c r="F22" s="136">
        <f>IF(SER_hh_tes_in!F22=0,"",SER_hh_tes_in!F22/SER_hh_fec_in!F22)</f>
        <v>0.5608727232265619</v>
      </c>
      <c r="G22" s="136">
        <f>IF(SER_hh_tes_in!G22=0,"",SER_hh_tes_in!G22/SER_hh_fec_in!G22)</f>
        <v>0.56381990192927978</v>
      </c>
      <c r="H22" s="136">
        <f>IF(SER_hh_tes_in!H22=0,"",SER_hh_tes_in!H22/SER_hh_fec_in!H22)</f>
        <v>0.56702987375302127</v>
      </c>
      <c r="I22" s="136">
        <f>IF(SER_hh_tes_in!I22=0,"",SER_hh_tes_in!I22/SER_hh_fec_in!I22)</f>
        <v>0.57056422432651843</v>
      </c>
      <c r="J22" s="136">
        <f>IF(SER_hh_tes_in!J22=0,"",SER_hh_tes_in!J22/SER_hh_fec_in!J22)</f>
        <v>0.57467524823291583</v>
      </c>
      <c r="K22" s="136">
        <f>IF(SER_hh_tes_in!K22=0,"",SER_hh_tes_in!K22/SER_hh_fec_in!K22)</f>
        <v>0.57957746222925421</v>
      </c>
      <c r="L22" s="136">
        <f>IF(SER_hh_tes_in!L22=0,"",SER_hh_tes_in!L22/SER_hh_fec_in!L22)</f>
        <v>0.58532825834278257</v>
      </c>
      <c r="M22" s="136">
        <f>IF(SER_hh_tes_in!M22=0,"",SER_hh_tes_in!M22/SER_hh_fec_in!M22)</f>
        <v>0.59705162086872865</v>
      </c>
      <c r="N22" s="136">
        <f>IF(SER_hh_tes_in!N22=0,"",SER_hh_tes_in!N22/SER_hh_fec_in!N22)</f>
        <v>0.61637626711563243</v>
      </c>
      <c r="O22" s="136">
        <f>IF(SER_hh_tes_in!O22=0,"",SER_hh_tes_in!O22/SER_hh_fec_in!O22)</f>
        <v>0.64462775895518187</v>
      </c>
      <c r="P22" s="136">
        <f>IF(SER_hh_tes_in!P22=0,"",SER_hh_tes_in!P22/SER_hh_fec_in!P22)</f>
        <v>0.67888574050567063</v>
      </c>
      <c r="Q22" s="136">
        <f>IF(SER_hh_tes_in!Q22=0,"",SER_hh_tes_in!Q22/SER_hh_fec_in!Q22)</f>
        <v>0.70973031095364258</v>
      </c>
      <c r="R22" s="136">
        <f>IF(SER_hh_tes_in!R22=0,"",SER_hh_tes_in!R22/SER_hh_fec_in!R22)</f>
        <v>0.72974158761569774</v>
      </c>
      <c r="S22" s="136">
        <f>IF(SER_hh_tes_in!S22=0,"",SER_hh_tes_in!S22/SER_hh_fec_in!S22)</f>
        <v>0.74837399336424837</v>
      </c>
      <c r="T22" s="136">
        <f>IF(SER_hh_tes_in!T22=0,"",SER_hh_tes_in!T22/SER_hh_fec_in!T22)</f>
        <v>0.76507813735960828</v>
      </c>
      <c r="U22" s="136">
        <f>IF(SER_hh_tes_in!U22=0,"",SER_hh_tes_in!U22/SER_hh_fec_in!U22)</f>
        <v>0.77930462876214879</v>
      </c>
      <c r="V22" s="136">
        <f>IF(SER_hh_tes_in!V22=0,"",SER_hh_tes_in!V22/SER_hh_fec_in!V22)</f>
        <v>0.79050407673221768</v>
      </c>
      <c r="W22" s="136">
        <f>IF(SER_hh_tes_in!W22=0,"",SER_hh_tes_in!W22/SER_hh_fec_in!W22)</f>
        <v>0.79738785099962217</v>
      </c>
      <c r="X22" s="136">
        <f>IF(SER_hh_tes_in!X22=0,"",SER_hh_tes_in!X22/SER_hh_fec_in!X22)</f>
        <v>0.80085665027469144</v>
      </c>
      <c r="Y22" s="136">
        <f>IF(SER_hh_tes_in!Y22=0,"",SER_hh_tes_in!Y22/SER_hh_fec_in!Y22)</f>
        <v>0.80261316532682436</v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0.59952300717299067</v>
      </c>
      <c r="D23" s="136">
        <f>IF(SER_hh_tes_in!D23=0,"",SER_hh_tes_in!D23/SER_hh_fec_in!D23)</f>
        <v>0.60511537679032756</v>
      </c>
      <c r="E23" s="136">
        <f>IF(SER_hh_tes_in!E23=0,"",SER_hh_tes_in!E23/SER_hh_fec_in!E23)</f>
        <v>0.61096104783247052</v>
      </c>
      <c r="F23" s="136">
        <f>IF(SER_hh_tes_in!F23=0,"",SER_hh_tes_in!F23/SER_hh_fec_in!F23)</f>
        <v>0.61685175506583223</v>
      </c>
      <c r="G23" s="136">
        <f>IF(SER_hh_tes_in!G23=0,"",SER_hh_tes_in!G23/SER_hh_fec_in!G23)</f>
        <v>0.6229739270740321</v>
      </c>
      <c r="H23" s="136">
        <f>IF(SER_hh_tes_in!H23=0,"",SER_hh_tes_in!H23/SER_hh_fec_in!H23)</f>
        <v>0.62930281265351695</v>
      </c>
      <c r="I23" s="136">
        <f>IF(SER_hh_tes_in!I23=0,"",SER_hh_tes_in!I23/SER_hh_fec_in!I23)</f>
        <v>0.63588236693183176</v>
      </c>
      <c r="J23" s="136">
        <f>IF(SER_hh_tes_in!J23=0,"",SER_hh_tes_in!J23/SER_hh_fec_in!J23)</f>
        <v>0.64289714125602904</v>
      </c>
      <c r="K23" s="136">
        <f>IF(SER_hh_tes_in!K23=0,"",SER_hh_tes_in!K23/SER_hh_fec_in!K23)</f>
        <v>0.65050145416350058</v>
      </c>
      <c r="L23" s="136">
        <f>IF(SER_hh_tes_in!L23=0,"",SER_hh_tes_in!L23/SER_hh_fec_in!L23)</f>
        <v>0.65873197125123284</v>
      </c>
      <c r="M23" s="136">
        <f>IF(SER_hh_tes_in!M23=0,"",SER_hh_tes_in!M23/SER_hh_fec_in!M23)</f>
        <v>0.6714302012304999</v>
      </c>
      <c r="N23" s="136">
        <f>IF(SER_hh_tes_in!N23=0,"",SER_hh_tes_in!N23/SER_hh_fec_in!N23)</f>
        <v>0.68978226645343077</v>
      </c>
      <c r="O23" s="136">
        <f>IF(SER_hh_tes_in!O23=0,"",SER_hh_tes_in!O23/SER_hh_fec_in!O23)</f>
        <v>0.71463474943143557</v>
      </c>
      <c r="P23" s="136">
        <f>IF(SER_hh_tes_in!P23=0,"",SER_hh_tes_in!P23/SER_hh_fec_in!P23)</f>
        <v>0.74353158382604523</v>
      </c>
      <c r="Q23" s="136">
        <f>IF(SER_hh_tes_in!Q23=0,"",SER_hh_tes_in!Q23/SER_hh_fec_in!Q23)</f>
        <v>0.76883147320808276</v>
      </c>
      <c r="R23" s="136">
        <f>IF(SER_hh_tes_in!R23=0,"",SER_hh_tes_in!R23/SER_hh_fec_in!R23)</f>
        <v>0.78429661728075928</v>
      </c>
      <c r="S23" s="136">
        <f>IF(SER_hh_tes_in!S23=0,"",SER_hh_tes_in!S23/SER_hh_fec_in!S23)</f>
        <v>0.79746693588619033</v>
      </c>
      <c r="T23" s="136">
        <f>IF(SER_hh_tes_in!T23=0,"",SER_hh_tes_in!T23/SER_hh_fec_in!T23)</f>
        <v>0.80854915492709845</v>
      </c>
      <c r="U23" s="136">
        <f>IF(SER_hh_tes_in!U23=0,"",SER_hh_tes_in!U23/SER_hh_fec_in!U23)</f>
        <v>0.81774013405272328</v>
      </c>
      <c r="V23" s="136">
        <f>IF(SER_hh_tes_in!V23=0,"",SER_hh_tes_in!V23/SER_hh_fec_in!V23)</f>
        <v>0.82521253214624102</v>
      </c>
      <c r="W23" s="136">
        <f>IF(SER_hh_tes_in!W23=0,"",SER_hh_tes_in!W23/SER_hh_fec_in!W23)</f>
        <v>0.83015780862284361</v>
      </c>
      <c r="X23" s="136">
        <f>IF(SER_hh_tes_in!X23=0,"",SER_hh_tes_in!X23/SER_hh_fec_in!X23)</f>
        <v>0.83285983879333714</v>
      </c>
      <c r="Y23" s="136">
        <f>IF(SER_hh_tes_in!Y23=0,"",SER_hh_tes_in!Y23/SER_hh_fec_in!Y23)</f>
        <v>0.83444411514311234</v>
      </c>
      <c r="DA23" s="163" t="s">
        <v>682</v>
      </c>
    </row>
    <row r="24" spans="1:105" ht="12" customHeight="1" x14ac:dyDescent="0.25">
      <c r="A24" s="131" t="s">
        <v>128</v>
      </c>
      <c r="B24" s="136"/>
      <c r="C24" s="136" t="str">
        <f>IF(SER_hh_tes_in!C24=0,"",SER_hh_tes_in!C24/SER_hh_fec_in!C24)</f>
        <v/>
      </c>
      <c r="D24" s="136" t="str">
        <f>IF(SER_hh_tes_in!D24=0,"",SER_hh_tes_in!D24/SER_hh_fec_in!D24)</f>
        <v/>
      </c>
      <c r="E24" s="136" t="str">
        <f>IF(SER_hh_tes_in!E24=0,"",SER_hh_tes_in!E24/SER_hh_fec_in!E24)</f>
        <v/>
      </c>
      <c r="F24" s="136" t="str">
        <f>IF(SER_hh_tes_in!F24=0,"",SER_hh_tes_in!F24/SER_hh_fec_in!F24)</f>
        <v/>
      </c>
      <c r="G24" s="136" t="str">
        <f>IF(SER_hh_tes_in!G24=0,"",SER_hh_tes_in!G24/SER_hh_fec_in!G24)</f>
        <v/>
      </c>
      <c r="H24" s="136" t="str">
        <f>IF(SER_hh_tes_in!H24=0,"",SER_hh_tes_in!H24/SER_hh_fec_in!H24)</f>
        <v/>
      </c>
      <c r="I24" s="136" t="str">
        <f>IF(SER_hh_tes_in!I24=0,"",SER_hh_tes_in!I24/SER_hh_fec_in!I24)</f>
        <v/>
      </c>
      <c r="J24" s="136" t="str">
        <f>IF(SER_hh_tes_in!J24=0,"",SER_hh_tes_in!J24/SER_hh_fec_in!J24)</f>
        <v/>
      </c>
      <c r="K24" s="136" t="str">
        <f>IF(SER_hh_tes_in!K24=0,"",SER_hh_tes_in!K24/SER_hh_fec_in!K24)</f>
        <v/>
      </c>
      <c r="L24" s="136" t="str">
        <f>IF(SER_hh_tes_in!L24=0,"",SER_hh_tes_in!L24/SER_hh_fec_in!L24)</f>
        <v/>
      </c>
      <c r="M24" s="136" t="str">
        <f>IF(SER_hh_tes_in!M24=0,"",SER_hh_tes_in!M24/SER_hh_fec_in!M24)</f>
        <v/>
      </c>
      <c r="N24" s="136" t="str">
        <f>IF(SER_hh_tes_in!N24=0,"",SER_hh_tes_in!N24/SER_hh_fec_in!N24)</f>
        <v/>
      </c>
      <c r="O24" s="136" t="str">
        <f>IF(SER_hh_tes_in!O24=0,"",SER_hh_tes_in!O24/SER_hh_fec_in!O24)</f>
        <v/>
      </c>
      <c r="P24" s="136" t="str">
        <f>IF(SER_hh_tes_in!P24=0,"",SER_hh_tes_in!P24/SER_hh_fec_in!P24)</f>
        <v/>
      </c>
      <c r="Q24" s="136" t="str">
        <f>IF(SER_hh_tes_in!Q24=0,"",SER_hh_tes_in!Q24/SER_hh_fec_in!Q24)</f>
        <v/>
      </c>
      <c r="R24" s="136" t="str">
        <f>IF(SER_hh_tes_in!R24=0,"",SER_hh_tes_in!R24/SER_hh_fec_in!R24)</f>
        <v/>
      </c>
      <c r="S24" s="136" t="str">
        <f>IF(SER_hh_tes_in!S24=0,"",SER_hh_tes_in!S24/SER_hh_fec_in!S24)</f>
        <v/>
      </c>
      <c r="T24" s="136" t="str">
        <f>IF(SER_hh_tes_in!T24=0,"",SER_hh_tes_in!T24/SER_hh_fec_in!T24)</f>
        <v/>
      </c>
      <c r="U24" s="136" t="str">
        <f>IF(SER_hh_tes_in!U24=0,"",SER_hh_tes_in!U24/SER_hh_fec_in!U24)</f>
        <v/>
      </c>
      <c r="V24" s="136" t="str">
        <f>IF(SER_hh_tes_in!V24=0,"",SER_hh_tes_in!V24/SER_hh_fec_in!V24)</f>
        <v/>
      </c>
      <c r="W24" s="136" t="str">
        <f>IF(SER_hh_tes_in!W24=0,"",SER_hh_tes_in!W24/SER_hh_fec_in!W24)</f>
        <v/>
      </c>
      <c r="X24" s="136" t="str">
        <f>IF(SER_hh_tes_in!X24=0,"",SER_hh_tes_in!X24/SER_hh_fec_in!X24)</f>
        <v/>
      </c>
      <c r="Y24" s="136" t="str">
        <f>IF(SER_hh_tes_in!Y24=0,"",SER_hh_tes_in!Y24/SER_hh_fec_in!Y24)</f>
        <v/>
      </c>
      <c r="DA24" s="163" t="s">
        <v>683</v>
      </c>
    </row>
    <row r="25" spans="1:105" ht="12" customHeight="1" x14ac:dyDescent="0.25">
      <c r="A25" s="131" t="s">
        <v>162</v>
      </c>
      <c r="B25" s="136"/>
      <c r="C25" s="136" t="str">
        <f>IF(SER_hh_tes_in!C25=0,"",SER_hh_tes_in!C25/SER_hh_fec_in!C25)</f>
        <v/>
      </c>
      <c r="D25" s="136" t="str">
        <f>IF(SER_hh_tes_in!D25=0,"",SER_hh_tes_in!D25/SER_hh_fec_in!D25)</f>
        <v/>
      </c>
      <c r="E25" s="136" t="str">
        <f>IF(SER_hh_tes_in!E25=0,"",SER_hh_tes_in!E25/SER_hh_fec_in!E25)</f>
        <v/>
      </c>
      <c r="F25" s="136" t="str">
        <f>IF(SER_hh_tes_in!F25=0,"",SER_hh_tes_in!F25/SER_hh_fec_in!F25)</f>
        <v/>
      </c>
      <c r="G25" s="136" t="str">
        <f>IF(SER_hh_tes_in!G25=0,"",SER_hh_tes_in!G25/SER_hh_fec_in!G25)</f>
        <v/>
      </c>
      <c r="H25" s="136" t="str">
        <f>IF(SER_hh_tes_in!H25=0,"",SER_hh_tes_in!H25/SER_hh_fec_in!H25)</f>
        <v/>
      </c>
      <c r="I25" s="136" t="str">
        <f>IF(SER_hh_tes_in!I25=0,"",SER_hh_tes_in!I25/SER_hh_fec_in!I25)</f>
        <v/>
      </c>
      <c r="J25" s="136" t="str">
        <f>IF(SER_hh_tes_in!J25=0,"",SER_hh_tes_in!J25/SER_hh_fec_in!J25)</f>
        <v/>
      </c>
      <c r="K25" s="136" t="str">
        <f>IF(SER_hh_tes_in!K25=0,"",SER_hh_tes_in!K25/SER_hh_fec_in!K25)</f>
        <v/>
      </c>
      <c r="L25" s="136" t="str">
        <f>IF(SER_hh_tes_in!L25=0,"",SER_hh_tes_in!L25/SER_hh_fec_in!L25)</f>
        <v/>
      </c>
      <c r="M25" s="136" t="str">
        <f>IF(SER_hh_tes_in!M25=0,"",SER_hh_tes_in!M25/SER_hh_fec_in!M25)</f>
        <v/>
      </c>
      <c r="N25" s="136" t="str">
        <f>IF(SER_hh_tes_in!N25=0,"",SER_hh_tes_in!N25/SER_hh_fec_in!N25)</f>
        <v/>
      </c>
      <c r="O25" s="136" t="str">
        <f>IF(SER_hh_tes_in!O25=0,"",SER_hh_tes_in!O25/SER_hh_fec_in!O25)</f>
        <v/>
      </c>
      <c r="P25" s="136" t="str">
        <f>IF(SER_hh_tes_in!P25=0,"",SER_hh_tes_in!P25/SER_hh_fec_in!P25)</f>
        <v/>
      </c>
      <c r="Q25" s="136" t="str">
        <f>IF(SER_hh_tes_in!Q25=0,"",SER_hh_tes_in!Q25/SER_hh_fec_in!Q25)</f>
        <v/>
      </c>
      <c r="R25" s="136" t="str">
        <f>IF(SER_hh_tes_in!R25=0,"",SER_hh_tes_in!R25/SER_hh_fec_in!R25)</f>
        <v/>
      </c>
      <c r="S25" s="136" t="str">
        <f>IF(SER_hh_tes_in!S25=0,"",SER_hh_tes_in!S25/SER_hh_fec_in!S25)</f>
        <v/>
      </c>
      <c r="T25" s="136" t="str">
        <f>IF(SER_hh_tes_in!T25=0,"",SER_hh_tes_in!T25/SER_hh_fec_in!T25)</f>
        <v/>
      </c>
      <c r="U25" s="136" t="str">
        <f>IF(SER_hh_tes_in!U25=0,"",SER_hh_tes_in!U25/SER_hh_fec_in!U25)</f>
        <v/>
      </c>
      <c r="V25" s="136" t="str">
        <f>IF(SER_hh_tes_in!V25=0,"",SER_hh_tes_in!V25/SER_hh_fec_in!V25)</f>
        <v/>
      </c>
      <c r="W25" s="136" t="str">
        <f>IF(SER_hh_tes_in!W25=0,"",SER_hh_tes_in!W25/SER_hh_fec_in!W25)</f>
        <v/>
      </c>
      <c r="X25" s="136" t="str">
        <f>IF(SER_hh_tes_in!X25=0,"",SER_hh_tes_in!X25/SER_hh_fec_in!X25)</f>
        <v/>
      </c>
      <c r="Y25" s="136" t="str">
        <f>IF(SER_hh_tes_in!Y25=0,"",SER_hh_tes_in!Y25/SER_hh_fec_in!Y25)</f>
        <v/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0.69700249326660013</v>
      </c>
      <c r="D26" s="137">
        <f>IF(SER_hh_tes_in!D26=0,"",SER_hh_tes_in!D26/SER_hh_fec_in!D26)</f>
        <v>0.69902901737310341</v>
      </c>
      <c r="E26" s="137">
        <f>IF(SER_hh_tes_in!E26=0,"",SER_hh_tes_in!E26/SER_hh_fec_in!E26)</f>
        <v>0.70124755936300764</v>
      </c>
      <c r="F26" s="137">
        <f>IF(SER_hh_tes_in!F26=0,"",SER_hh_tes_in!F26/SER_hh_fec_in!F26)</f>
        <v>0.70349286912269127</v>
      </c>
      <c r="G26" s="137">
        <f>IF(SER_hh_tes_in!G26=0,"",SER_hh_tes_in!G26/SER_hh_fec_in!G26)</f>
        <v>0.70591651437377112</v>
      </c>
      <c r="H26" s="137">
        <f>IF(SER_hh_tes_in!H26=0,"",SER_hh_tes_in!H26/SER_hh_fec_in!H26)</f>
        <v>0.70850138637323967</v>
      </c>
      <c r="I26" s="137">
        <f>IF(SER_hh_tes_in!I26=0,"",SER_hh_tes_in!I26/SER_hh_fec_in!I26)</f>
        <v>0.71128679388735794</v>
      </c>
      <c r="J26" s="137">
        <f>IF(SER_hh_tes_in!J26=0,"",SER_hh_tes_in!J26/SER_hh_fec_in!J26)</f>
        <v>0.71443035315914727</v>
      </c>
      <c r="K26" s="137">
        <f>IF(SER_hh_tes_in!K26=0,"",SER_hh_tes_in!K26/SER_hh_fec_in!K26)</f>
        <v>0.71807130467491509</v>
      </c>
      <c r="L26" s="137">
        <f>IF(SER_hh_tes_in!L26=0,"",SER_hh_tes_in!L26/SER_hh_fec_in!L26)</f>
        <v>0.7222575218577999</v>
      </c>
      <c r="M26" s="137">
        <f>IF(SER_hh_tes_in!M26=0,"",SER_hh_tes_in!M26/SER_hh_fec_in!M26)</f>
        <v>0.73021602492918347</v>
      </c>
      <c r="N26" s="137">
        <f>IF(SER_hh_tes_in!N26=0,"",SER_hh_tes_in!N26/SER_hh_fec_in!N26)</f>
        <v>0.74333887973505175</v>
      </c>
      <c r="O26" s="137">
        <f>IF(SER_hh_tes_in!O26=0,"",SER_hh_tes_in!O26/SER_hh_fec_in!O26)</f>
        <v>0.76334952745834994</v>
      </c>
      <c r="P26" s="137">
        <f>IF(SER_hh_tes_in!P26=0,"",SER_hh_tes_in!P26/SER_hh_fec_in!P26)</f>
        <v>0.78929925758843134</v>
      </c>
      <c r="Q26" s="137">
        <f>IF(SER_hh_tes_in!Q26=0,"",SER_hh_tes_in!Q26/SER_hh_fec_in!Q26)</f>
        <v>0.81433522611305653</v>
      </c>
      <c r="R26" s="137">
        <f>IF(SER_hh_tes_in!R26=0,"",SER_hh_tes_in!R26/SER_hh_fec_in!R26)</f>
        <v>0.83127805130415944</v>
      </c>
      <c r="S26" s="137">
        <f>IF(SER_hh_tes_in!S26=0,"",SER_hh_tes_in!S26/SER_hh_fec_in!S26)</f>
        <v>0.84769272850245292</v>
      </c>
      <c r="T26" s="137">
        <f>IF(SER_hh_tes_in!T26=0,"",SER_hh_tes_in!T26/SER_hh_fec_in!T26)</f>
        <v>0.86398001902544186</v>
      </c>
      <c r="U26" s="137">
        <f>IF(SER_hh_tes_in!U26=0,"",SER_hh_tes_in!U26/SER_hh_fec_in!U26)</f>
        <v>0.88030365450202286</v>
      </c>
      <c r="V26" s="137">
        <f>IF(SER_hh_tes_in!V26=0,"",SER_hh_tes_in!V26/SER_hh_fec_in!V26)</f>
        <v>0.89633973410925727</v>
      </c>
      <c r="W26" s="137">
        <f>IF(SER_hh_tes_in!W26=0,"",SER_hh_tes_in!W26/SER_hh_fec_in!W26)</f>
        <v>0.91098599473752384</v>
      </c>
      <c r="X26" s="137">
        <f>IF(SER_hh_tes_in!X26=0,"",SER_hh_tes_in!X26/SER_hh_fec_in!X26)</f>
        <v>0.92396935015226778</v>
      </c>
      <c r="Y26" s="137">
        <f>IF(SER_hh_tes_in!Y26=0,"",SER_hh_tes_in!Y26/SER_hh_fec_in!Y26)</f>
        <v>0.9360820316242412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 t="str">
        <f>IF(SER_hh_tes_in!C27=0,"",SER_hh_tes_in!C27/SER_hh_fec_in!C27)</f>
        <v/>
      </c>
      <c r="D27" s="148" t="str">
        <f>IF(SER_hh_tes_in!D27=0,"",SER_hh_tes_in!D27/SER_hh_fec_in!D27)</f>
        <v/>
      </c>
      <c r="E27" s="148" t="str">
        <f>IF(SER_hh_tes_in!E27=0,"",SER_hh_tes_in!E27/SER_hh_fec_in!E27)</f>
        <v/>
      </c>
      <c r="F27" s="148" t="str">
        <f>IF(SER_hh_tes_in!F27=0,"",SER_hh_tes_in!F27/SER_hh_fec_in!F27)</f>
        <v/>
      </c>
      <c r="G27" s="148" t="str">
        <f>IF(SER_hh_tes_in!G27=0,"",SER_hh_tes_in!G27/SER_hh_fec_in!G27)</f>
        <v/>
      </c>
      <c r="H27" s="148">
        <f>IF(SER_hh_tes_in!H27=0,"",SER_hh_tes_in!H27/SER_hh_fec_in!H27)</f>
        <v>1</v>
      </c>
      <c r="I27" s="148">
        <f>IF(SER_hh_tes_in!I27=0,"",SER_hh_tes_in!I27/SER_hh_fec_in!I27)</f>
        <v>1</v>
      </c>
      <c r="J27" s="148">
        <f>IF(SER_hh_tes_in!J27=0,"",SER_hh_tes_in!J27/SER_hh_fec_in!J27)</f>
        <v>1</v>
      </c>
      <c r="K27" s="148">
        <f>IF(SER_hh_tes_in!K27=0,"",SER_hh_tes_in!K27/SER_hh_fec_in!K27)</f>
        <v>1</v>
      </c>
      <c r="L27" s="148">
        <f>IF(SER_hh_tes_in!L27=0,"",SER_hh_tes_in!L27/SER_hh_fec_in!L27)</f>
        <v>1</v>
      </c>
      <c r="M27" s="148">
        <f>IF(SER_hh_tes_in!M27=0,"",SER_hh_tes_in!M27/SER_hh_fec_in!M27)</f>
        <v>1</v>
      </c>
      <c r="N27" s="148" t="str">
        <f>IF(SER_hh_tes_in!N27=0,"",SER_hh_tes_in!N27/SER_hh_fec_in!N27)</f>
        <v/>
      </c>
      <c r="O27" s="148" t="str">
        <f>IF(SER_hh_tes_in!O27=0,"",SER_hh_tes_in!O27/SER_hh_fec_in!O27)</f>
        <v/>
      </c>
      <c r="P27" s="148" t="str">
        <f>IF(SER_hh_tes_in!P27=0,"",SER_hh_tes_in!P27/SER_hh_fec_in!P27)</f>
        <v/>
      </c>
      <c r="Q27" s="148" t="str">
        <f>IF(SER_hh_tes_in!Q27=0,"",SER_hh_tes_in!Q27/SER_hh_fec_in!Q27)</f>
        <v/>
      </c>
      <c r="R27" s="148">
        <f>IF(SER_hh_tes_in!R27=0,"",SER_hh_tes_in!R27/SER_hh_fec_in!R27)</f>
        <v>1</v>
      </c>
      <c r="S27" s="148">
        <f>IF(SER_hh_tes_in!S27=0,"",SER_hh_tes_in!S27/SER_hh_fec_in!S27)</f>
        <v>1</v>
      </c>
      <c r="T27" s="148">
        <f>IF(SER_hh_tes_in!T27=0,"",SER_hh_tes_in!T27/SER_hh_fec_in!T27)</f>
        <v>1</v>
      </c>
      <c r="U27" s="148">
        <f>IF(SER_hh_tes_in!U27=0,"",SER_hh_tes_in!U27/SER_hh_fec_in!U27)</f>
        <v>1</v>
      </c>
      <c r="V27" s="148">
        <f>IF(SER_hh_tes_in!V27=0,"",SER_hh_tes_in!V27/SER_hh_fec_in!V27)</f>
        <v>1</v>
      </c>
      <c r="W27" s="148">
        <f>IF(SER_hh_tes_in!W27=0,"",SER_hh_tes_in!W27/SER_hh_fec_in!W27)</f>
        <v>1</v>
      </c>
      <c r="X27" s="148">
        <f>IF(SER_hh_tes_in!X27=0,"",SER_hh_tes_in!X27/SER_hh_fec_in!X27)</f>
        <v>1</v>
      </c>
      <c r="Y27" s="148">
        <f>IF(SER_hh_tes_in!Y27=0,"",SER_hh_tes_in!Y27/SER_hh_fec_in!Y27)</f>
        <v>1</v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0.66494256125240714</v>
      </c>
      <c r="D29" s="135">
        <f>IF(SER_hh_tes_in!D29=0,"",SER_hh_tes_in!D29/SER_hh_fec_in!D29)</f>
        <v>0.6649513732742014</v>
      </c>
      <c r="E29" s="135">
        <f>IF(SER_hh_tes_in!E29=0,"",SER_hh_tes_in!E29/SER_hh_fec_in!E29)</f>
        <v>0.64867390867692865</v>
      </c>
      <c r="F29" s="135">
        <f>IF(SER_hh_tes_in!F29=0,"",SER_hh_tes_in!F29/SER_hh_fec_in!F29)</f>
        <v>0.63707300693220081</v>
      </c>
      <c r="G29" s="135">
        <f>IF(SER_hh_tes_in!G29=0,"",SER_hh_tes_in!G29/SER_hh_fec_in!G29)</f>
        <v>0.63100609286246667</v>
      </c>
      <c r="H29" s="135">
        <f>IF(SER_hh_tes_in!H29=0,"",SER_hh_tes_in!H29/SER_hh_fec_in!H29)</f>
        <v>0.64719464226336065</v>
      </c>
      <c r="I29" s="135">
        <f>IF(SER_hh_tes_in!I29=0,"",SER_hh_tes_in!I29/SER_hh_fec_in!I29)</f>
        <v>0.65282110196504328</v>
      </c>
      <c r="J29" s="135">
        <f>IF(SER_hh_tes_in!J29=0,"",SER_hh_tes_in!J29/SER_hh_fec_in!J29)</f>
        <v>0.68394616612804537</v>
      </c>
      <c r="K29" s="135">
        <f>IF(SER_hh_tes_in!K29=0,"",SER_hh_tes_in!K29/SER_hh_fec_in!K29)</f>
        <v>0.69215390068357618</v>
      </c>
      <c r="L29" s="135">
        <f>IF(SER_hh_tes_in!L29=0,"",SER_hh_tes_in!L29/SER_hh_fec_in!L29)</f>
        <v>0.64301194129555528</v>
      </c>
      <c r="M29" s="135">
        <f>IF(SER_hh_tes_in!M29=0,"",SER_hh_tes_in!M29/SER_hh_fec_in!M29)</f>
        <v>0.67906075852857462</v>
      </c>
      <c r="N29" s="135">
        <f>IF(SER_hh_tes_in!N29=0,"",SER_hh_tes_in!N29/SER_hh_fec_in!N29)</f>
        <v>0.7067810032088262</v>
      </c>
      <c r="O29" s="135">
        <f>IF(SER_hh_tes_in!O29=0,"",SER_hh_tes_in!O29/SER_hh_fec_in!O29)</f>
        <v>0.66751748142170086</v>
      </c>
      <c r="P29" s="135">
        <f>IF(SER_hh_tes_in!P29=0,"",SER_hh_tes_in!P29/SER_hh_fec_in!P29)</f>
        <v>0.74193737103077129</v>
      </c>
      <c r="Q29" s="135">
        <f>IF(SER_hh_tes_in!Q29=0,"",SER_hh_tes_in!Q29/SER_hh_fec_in!Q29)</f>
        <v>0.69238142375988943</v>
      </c>
      <c r="R29" s="135">
        <f>IF(SER_hh_tes_in!R29=0,"",SER_hh_tes_in!R29/SER_hh_fec_in!R29)</f>
        <v>0.74106947698177172</v>
      </c>
      <c r="S29" s="135">
        <f>IF(SER_hh_tes_in!S29=0,"",SER_hh_tes_in!S29/SER_hh_fec_in!S29)</f>
        <v>0.70411003464893884</v>
      </c>
      <c r="T29" s="135">
        <f>IF(SER_hh_tes_in!T29=0,"",SER_hh_tes_in!T29/SER_hh_fec_in!T29)</f>
        <v>0.71371924298261791</v>
      </c>
      <c r="U29" s="135">
        <f>IF(SER_hh_tes_in!U29=0,"",SER_hh_tes_in!U29/SER_hh_fec_in!U29)</f>
        <v>0.73615872529034321</v>
      </c>
      <c r="V29" s="135">
        <f>IF(SER_hh_tes_in!V29=0,"",SER_hh_tes_in!V29/SER_hh_fec_in!V29)</f>
        <v>0.79158641774885663</v>
      </c>
      <c r="W29" s="135">
        <f>IF(SER_hh_tes_in!W29=0,"",SER_hh_tes_in!W29/SER_hh_fec_in!W29)</f>
        <v>0.73188706096486578</v>
      </c>
      <c r="X29" s="135">
        <f>IF(SER_hh_tes_in!X29=0,"",SER_hh_tes_in!X29/SER_hh_fec_in!X29)</f>
        <v>0.71367257085344848</v>
      </c>
      <c r="Y29" s="135">
        <f>IF(SER_hh_tes_in!Y29=0,"",SER_hh_tes_in!Y29/SER_hh_fec_in!Y29)</f>
        <v>0.70181888157391992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>
        <f>IF(SER_hh_tes_in!C30=0,"",SER_hh_tes_in!C30/SER_hh_fec_in!C30)</f>
        <v>0.58665352077214661</v>
      </c>
      <c r="D30" s="136">
        <f>IF(SER_hh_tes_in!D30=0,"",SER_hh_tes_in!D30/SER_hh_fec_in!D30)</f>
        <v>0.58710026556325101</v>
      </c>
      <c r="E30" s="136">
        <f>IF(SER_hh_tes_in!E30=0,"",SER_hh_tes_in!E30/SER_hh_fec_in!E30)</f>
        <v>0.58754705059650147</v>
      </c>
      <c r="F30" s="136">
        <f>IF(SER_hh_tes_in!F30=0,"",SER_hh_tes_in!F30/SER_hh_fec_in!F30)</f>
        <v>0.58799384111731712</v>
      </c>
      <c r="G30" s="136">
        <f>IF(SER_hh_tes_in!G30=0,"",SER_hh_tes_in!G30/SER_hh_fec_in!G30)</f>
        <v>0.58844066869878209</v>
      </c>
      <c r="H30" s="136">
        <f>IF(SER_hh_tes_in!H30=0,"",SER_hh_tes_in!H30/SER_hh_fec_in!H30)</f>
        <v>0.58888752947675282</v>
      </c>
      <c r="I30" s="136">
        <f>IF(SER_hh_tes_in!I30=0,"",SER_hh_tes_in!I30/SER_hh_fec_in!I30)</f>
        <v>0.58933443123083806</v>
      </c>
      <c r="J30" s="136">
        <f>IF(SER_hh_tes_in!J30=0,"",SER_hh_tes_in!J30/SER_hh_fec_in!J30)</f>
        <v>0.5897814058313493</v>
      </c>
      <c r="K30" s="136">
        <f>IF(SER_hh_tes_in!K30=0,"",SER_hh_tes_in!K30/SER_hh_fec_in!K30)</f>
        <v>0.59022848037643394</v>
      </c>
      <c r="L30" s="136">
        <f>IF(SER_hh_tes_in!L30=0,"",SER_hh_tes_in!L30/SER_hh_fec_in!L30)</f>
        <v>0.59067566211595701</v>
      </c>
      <c r="M30" s="136">
        <f>IF(SER_hh_tes_in!M30=0,"",SER_hh_tes_in!M30/SER_hh_fec_in!M30)</f>
        <v>0.59101527112478436</v>
      </c>
      <c r="N30" s="136">
        <f>IF(SER_hh_tes_in!N30=0,"",SER_hh_tes_in!N30/SER_hh_fec_in!N30)</f>
        <v>0.59120509658606446</v>
      </c>
      <c r="O30" s="136">
        <f>IF(SER_hh_tes_in!O30=0,"",SER_hh_tes_in!O30/SER_hh_fec_in!O30)</f>
        <v>0.59131855027779578</v>
      </c>
      <c r="P30" s="136">
        <f>IF(SER_hh_tes_in!P30=0,"",SER_hh_tes_in!P30/SER_hh_fec_in!P30)</f>
        <v>0.59163512404927687</v>
      </c>
      <c r="Q30" s="136">
        <f>IF(SER_hh_tes_in!Q30=0,"",SER_hh_tes_in!Q30/SER_hh_fec_in!Q30)</f>
        <v>0.59292365325226171</v>
      </c>
      <c r="R30" s="136">
        <f>IF(SER_hh_tes_in!R30=0,"",SER_hh_tes_in!R30/SER_hh_fec_in!R30)</f>
        <v>0.59630829861515799</v>
      </c>
      <c r="S30" s="136">
        <f>IF(SER_hh_tes_in!S30=0,"",SER_hh_tes_in!S30/SER_hh_fec_in!S30)</f>
        <v>0.60108272766127346</v>
      </c>
      <c r="T30" s="136">
        <f>IF(SER_hh_tes_in!T30=0,"",SER_hh_tes_in!T30/SER_hh_fec_in!T30)</f>
        <v>0.60632121245509363</v>
      </c>
      <c r="U30" s="136">
        <f>IF(SER_hh_tes_in!U30=0,"",SER_hh_tes_in!U30/SER_hh_fec_in!U30)</f>
        <v>0.61109802506111788</v>
      </c>
      <c r="V30" s="136">
        <f>IF(SER_hh_tes_in!V30=0,"",SER_hh_tes_in!V30/SER_hh_fec_in!V30)</f>
        <v>0.61448743754383794</v>
      </c>
      <c r="W30" s="136">
        <f>IF(SER_hh_tes_in!W30=0,"",SER_hh_tes_in!W30/SER_hh_fec_in!W30)</f>
        <v>0.61611641491688429</v>
      </c>
      <c r="X30" s="136">
        <f>IF(SER_hh_tes_in!X30=0,"",SER_hh_tes_in!X30/SER_hh_fec_in!X30)</f>
        <v>0.6165116699943598</v>
      </c>
      <c r="Y30" s="136">
        <f>IF(SER_hh_tes_in!Y30=0,"",SER_hh_tes_in!Y30/SER_hh_fec_in!Y30)</f>
        <v>0.61655119550210735</v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0.59401093632921653</v>
      </c>
      <c r="D31" s="136">
        <f>IF(SER_hh_tes_in!D31=0,"",SER_hh_tes_in!D31/SER_hh_fec_in!D31)</f>
        <v>0.59456549257070734</v>
      </c>
      <c r="E31" s="136">
        <f>IF(SER_hh_tes_in!E31=0,"",SER_hh_tes_in!E31/SER_hh_fec_in!E31)</f>
        <v>0.5951200987658487</v>
      </c>
      <c r="F31" s="136">
        <f>IF(SER_hh_tes_in!F31=0,"",SER_hh_tes_in!F31/SER_hh_fec_in!F31)</f>
        <v>0.59567471177285136</v>
      </c>
      <c r="G31" s="136">
        <f>IF(SER_hh_tes_in!G31=0,"",SER_hh_tes_in!G31/SER_hh_fec_in!G31)</f>
        <v>0.59622937078422777</v>
      </c>
      <c r="H31" s="136">
        <f>IF(SER_hh_tes_in!H31=0,"",SER_hh_tes_in!H31/SER_hh_fec_in!H31)</f>
        <v>0.59678407100331354</v>
      </c>
      <c r="I31" s="136">
        <f>IF(SER_hh_tes_in!I31=0,"",SER_hh_tes_in!I31/SER_hh_fec_in!I31)</f>
        <v>0.59733882208714462</v>
      </c>
      <c r="J31" s="136">
        <f>IF(SER_hh_tes_in!J31=0,"",SER_hh_tes_in!J31/SER_hh_fec_in!J31)</f>
        <v>0.59789366359719009</v>
      </c>
      <c r="K31" s="136">
        <f>IF(SER_hh_tes_in!K31=0,"",SER_hh_tes_in!K31/SER_hh_fec_in!K31)</f>
        <v>0.59844862917110386</v>
      </c>
      <c r="L31" s="136">
        <f>IF(SER_hh_tes_in!L31=0,"",SER_hh_tes_in!L31/SER_hh_fec_in!L31)</f>
        <v>0.59900372780833733</v>
      </c>
      <c r="M31" s="136">
        <f>IF(SER_hh_tes_in!M31=0,"",SER_hh_tes_in!M31/SER_hh_fec_in!M31)</f>
        <v>0.59942529354175311</v>
      </c>
      <c r="N31" s="136">
        <f>IF(SER_hh_tes_in!N31=0,"",SER_hh_tes_in!N31/SER_hh_fec_in!N31)</f>
        <v>0.59966092895696765</v>
      </c>
      <c r="O31" s="136">
        <f>IF(SER_hh_tes_in!O31=0,"",SER_hh_tes_in!O31/SER_hh_fec_in!O31)</f>
        <v>0.59980176205479552</v>
      </c>
      <c r="P31" s="136">
        <f>IF(SER_hh_tes_in!P31=0,"",SER_hh_tes_in!P31/SER_hh_fec_in!P31)</f>
        <v>0.6001947335328357</v>
      </c>
      <c r="Q31" s="136">
        <f>IF(SER_hh_tes_in!Q31=0,"",SER_hh_tes_in!Q31/SER_hh_fec_in!Q31)</f>
        <v>0.60179421924836418</v>
      </c>
      <c r="R31" s="136">
        <f>IF(SER_hh_tes_in!R31=0,"",SER_hh_tes_in!R31/SER_hh_fec_in!R31)</f>
        <v>0.60599566993923049</v>
      </c>
      <c r="S31" s="136">
        <f>IF(SER_hh_tes_in!S31=0,"",SER_hh_tes_in!S31/SER_hh_fec_in!S31)</f>
        <v>0.61192229623638783</v>
      </c>
      <c r="T31" s="136">
        <f>IF(SER_hh_tes_in!T31=0,"",SER_hh_tes_in!T31/SER_hh_fec_in!T31)</f>
        <v>0.61842496732782992</v>
      </c>
      <c r="U31" s="136">
        <f>IF(SER_hh_tes_in!U31=0,"",SER_hh_tes_in!U31/SER_hh_fec_in!U31)</f>
        <v>0.62435455240156557</v>
      </c>
      <c r="V31" s="136">
        <f>IF(SER_hh_tes_in!V31=0,"",SER_hh_tes_in!V31/SER_hh_fec_in!V31)</f>
        <v>0.62856192064559602</v>
      </c>
      <c r="W31" s="136">
        <f>IF(SER_hh_tes_in!W31=0,"",SER_hh_tes_in!W31/SER_hh_fec_in!W31)</f>
        <v>0.63058401376779394</v>
      </c>
      <c r="X31" s="136">
        <f>IF(SER_hh_tes_in!X31=0,"",SER_hh_tes_in!X31/SER_hh_fec_in!X31)</f>
        <v>0.63099131647786377</v>
      </c>
      <c r="Y31" s="136">
        <f>IF(SER_hh_tes_in!Y31=0,"",SER_hh_tes_in!Y31/SER_hh_fec_in!Y31)</f>
        <v>0.63103204674887081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 t="str">
        <f>IF(SER_hh_tes_in!G32=0,"",SER_hh_tes_in!G32/SER_hh_fec_in!G32)</f>
        <v/>
      </c>
      <c r="H32" s="136" t="str">
        <f>IF(SER_hh_tes_in!H32=0,"",SER_hh_tes_in!H32/SER_hh_fec_in!H32)</f>
        <v/>
      </c>
      <c r="I32" s="136" t="str">
        <f>IF(SER_hh_tes_in!I32=0,"",SER_hh_tes_in!I32/SER_hh_fec_in!I32)</f>
        <v/>
      </c>
      <c r="J32" s="136" t="str">
        <f>IF(SER_hh_tes_in!J32=0,"",SER_hh_tes_in!J32/SER_hh_fec_in!J32)</f>
        <v/>
      </c>
      <c r="K32" s="136" t="str">
        <f>IF(SER_hh_tes_in!K32=0,"",SER_hh_tes_in!K32/SER_hh_fec_in!K32)</f>
        <v/>
      </c>
      <c r="L32" s="136" t="str">
        <f>IF(SER_hh_tes_in!L32=0,"",SER_hh_tes_in!L32/SER_hh_fec_in!L32)</f>
        <v/>
      </c>
      <c r="M32" s="136" t="str">
        <f>IF(SER_hh_tes_in!M32=0,"",SER_hh_tes_in!M32/SER_hh_fec_in!M32)</f>
        <v/>
      </c>
      <c r="N32" s="136" t="str">
        <f>IF(SER_hh_tes_in!N32=0,"",SER_hh_tes_in!N32/SER_hh_fec_in!N32)</f>
        <v/>
      </c>
      <c r="O32" s="136" t="str">
        <f>IF(SER_hh_tes_in!O32=0,"",SER_hh_tes_in!O32/SER_hh_fec_in!O32)</f>
        <v/>
      </c>
      <c r="P32" s="136" t="str">
        <f>IF(SER_hh_tes_in!P32=0,"",SER_hh_tes_in!P32/SER_hh_fec_in!P32)</f>
        <v/>
      </c>
      <c r="Q32" s="136" t="str">
        <f>IF(SER_hh_tes_in!Q32=0,"",SER_hh_tes_in!Q32/SER_hh_fec_in!Q32)</f>
        <v/>
      </c>
      <c r="R32" s="136" t="str">
        <f>IF(SER_hh_tes_in!R32=0,"",SER_hh_tes_in!R32/SER_hh_fec_in!R32)</f>
        <v/>
      </c>
      <c r="S32" s="136" t="str">
        <f>IF(SER_hh_tes_in!S32=0,"",SER_hh_tes_in!S32/SER_hh_fec_in!S32)</f>
        <v/>
      </c>
      <c r="T32" s="136" t="str">
        <f>IF(SER_hh_tes_in!T32=0,"",SER_hh_tes_in!T32/SER_hh_fec_in!T32)</f>
        <v/>
      </c>
      <c r="U32" s="136" t="str">
        <f>IF(SER_hh_tes_in!U32=0,"",SER_hh_tes_in!U32/SER_hh_fec_in!U32)</f>
        <v/>
      </c>
      <c r="V32" s="136" t="str">
        <f>IF(SER_hh_tes_in!V32=0,"",SER_hh_tes_in!V32/SER_hh_fec_in!V32)</f>
        <v/>
      </c>
      <c r="W32" s="136" t="str">
        <f>IF(SER_hh_tes_in!W32=0,"",SER_hh_tes_in!W32/SER_hh_fec_in!W32)</f>
        <v/>
      </c>
      <c r="X32" s="136" t="str">
        <f>IF(SER_hh_tes_in!X32=0,"",SER_hh_tes_in!X32/SER_hh_fec_in!X32)</f>
        <v/>
      </c>
      <c r="Y32" s="136" t="str">
        <f>IF(SER_hh_tes_in!Y32=0,"",SER_hh_tes_in!Y32/SER_hh_fec_in!Y32)</f>
        <v/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0.78084681860964655</v>
      </c>
      <c r="D33" s="149">
        <f>IF(SER_hh_tes_in!D33=0,"",SER_hh_tes_in!D33/SER_hh_fec_in!D33)</f>
        <v>0.78191162190335306</v>
      </c>
      <c r="E33" s="149">
        <f>IF(SER_hh_tes_in!E33=0,"",SER_hh_tes_in!E33/SER_hh_fec_in!E33)</f>
        <v>0.7830266309186793</v>
      </c>
      <c r="F33" s="149">
        <f>IF(SER_hh_tes_in!F33=0,"",SER_hh_tes_in!F33/SER_hh_fec_in!F33)</f>
        <v>0.78414848616877186</v>
      </c>
      <c r="G33" s="149">
        <f>IF(SER_hh_tes_in!G33=0,"",SER_hh_tes_in!G33/SER_hh_fec_in!G33)</f>
        <v>0.78531657793542375</v>
      </c>
      <c r="H33" s="149">
        <f>IF(SER_hh_tes_in!H33=0,"",SER_hh_tes_in!H33/SER_hh_fec_in!H33)</f>
        <v>0.78652608534960988</v>
      </c>
      <c r="I33" s="149">
        <f>IF(SER_hh_tes_in!I33=0,"",SER_hh_tes_in!I33/SER_hh_fec_in!I33)</f>
        <v>0.78778671417791513</v>
      </c>
      <c r="J33" s="149">
        <f>IF(SER_hh_tes_in!J33=0,"",SER_hh_tes_in!J33/SER_hh_fec_in!J33)</f>
        <v>0.78913822552020985</v>
      </c>
      <c r="K33" s="149">
        <f>IF(SER_hh_tes_in!K33=0,"",SER_hh_tes_in!K33/SER_hh_fec_in!K33)</f>
        <v>0.7906144267697971</v>
      </c>
      <c r="L33" s="149">
        <f>IF(SER_hh_tes_in!L33=0,"",SER_hh_tes_in!L33/SER_hh_fec_in!L33)</f>
        <v>0.79222436279041808</v>
      </c>
      <c r="M33" s="149">
        <f>IF(SER_hh_tes_in!M33=0,"",SER_hh_tes_in!M33/SER_hh_fec_in!M33)</f>
        <v>0.79452621554000769</v>
      </c>
      <c r="N33" s="149">
        <f>IF(SER_hh_tes_in!N33=0,"",SER_hh_tes_in!N33/SER_hh_fec_in!N33)</f>
        <v>0.79767889411678994</v>
      </c>
      <c r="O33" s="149">
        <f>IF(SER_hh_tes_in!O33=0,"",SER_hh_tes_in!O33/SER_hh_fec_in!O33)</f>
        <v>0.80205922549465858</v>
      </c>
      <c r="P33" s="149">
        <f>IF(SER_hh_tes_in!P33=0,"",SER_hh_tes_in!P33/SER_hh_fec_in!P33)</f>
        <v>0.80785203171712405</v>
      </c>
      <c r="Q33" s="149">
        <f>IF(SER_hh_tes_in!Q33=0,"",SER_hh_tes_in!Q33/SER_hh_fec_in!Q33)</f>
        <v>0.81534797947009063</v>
      </c>
      <c r="R33" s="149">
        <f>IF(SER_hh_tes_in!R33=0,"",SER_hh_tes_in!R33/SER_hh_fec_in!R33)</f>
        <v>0.82554817220310128</v>
      </c>
      <c r="S33" s="149">
        <f>IF(SER_hh_tes_in!S33=0,"",SER_hh_tes_in!S33/SER_hh_fec_in!S33)</f>
        <v>0.83831194306899071</v>
      </c>
      <c r="T33" s="149">
        <f>IF(SER_hh_tes_in!T33=0,"",SER_hh_tes_in!T33/SER_hh_fec_in!T33)</f>
        <v>0.85205284331659714</v>
      </c>
      <c r="U33" s="149">
        <f>IF(SER_hh_tes_in!U33=0,"",SER_hh_tes_in!U33/SER_hh_fec_in!U33)</f>
        <v>0.86518442419479658</v>
      </c>
      <c r="V33" s="149">
        <f>IF(SER_hh_tes_in!V33=0,"",SER_hh_tes_in!V33/SER_hh_fec_in!V33)</f>
        <v>0.87612023695244745</v>
      </c>
      <c r="W33" s="149">
        <f>IF(SER_hh_tes_in!W33=0,"",SER_hh_tes_in!W33/SER_hh_fec_in!W33)</f>
        <v>0.88430907689475979</v>
      </c>
      <c r="X33" s="149">
        <f>IF(SER_hh_tes_in!X33=0,"",SER_hh_tes_in!X33/SER_hh_fec_in!X33)</f>
        <v>0.89196696513366946</v>
      </c>
      <c r="Y33" s="149">
        <f>IF(SER_hh_tes_in!Y33=0,"",SER_hh_tes_in!Y33/SER_hh_fec_in!Y33)</f>
        <v>0.89875794844795975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31.314725258082934</v>
      </c>
      <c r="D3" s="125">
        <f t="shared" si="0"/>
        <v>17.415613308522996</v>
      </c>
      <c r="E3" s="125">
        <f t="shared" si="0"/>
        <v>26.131917107214552</v>
      </c>
      <c r="F3" s="125">
        <f t="shared" si="0"/>
        <v>25.909791420079046</v>
      </c>
      <c r="G3" s="125">
        <f t="shared" si="0"/>
        <v>30.097367994440617</v>
      </c>
      <c r="H3" s="125">
        <f t="shared" si="0"/>
        <v>29.871750477865842</v>
      </c>
      <c r="I3" s="125">
        <f t="shared" si="0"/>
        <v>49.000081480993153</v>
      </c>
      <c r="J3" s="125">
        <f t="shared" si="0"/>
        <v>23.397314180654991</v>
      </c>
      <c r="K3" s="125">
        <f t="shared" si="0"/>
        <v>7.5916126921163176</v>
      </c>
      <c r="L3" s="125">
        <f t="shared" si="0"/>
        <v>8.0794223038313682</v>
      </c>
      <c r="M3" s="125">
        <f t="shared" si="0"/>
        <v>15.034325868919762</v>
      </c>
      <c r="N3" s="125">
        <f t="shared" si="0"/>
        <v>6.75671059397067</v>
      </c>
      <c r="O3" s="125">
        <f t="shared" si="0"/>
        <v>14.818657648629395</v>
      </c>
      <c r="P3" s="125">
        <f t="shared" si="0"/>
        <v>16.695946672027521</v>
      </c>
      <c r="Q3" s="125">
        <f t="shared" si="0"/>
        <v>5.6899645388063949</v>
      </c>
      <c r="R3" s="125">
        <f t="shared" ref="R3:W3" si="1">SUM(R4,R16,R19,R29)</f>
        <v>16.318758547184036</v>
      </c>
      <c r="S3" s="125">
        <f t="shared" si="1"/>
        <v>12.68102878098512</v>
      </c>
      <c r="T3" s="125">
        <f t="shared" si="1"/>
        <v>15.85037176386324</v>
      </c>
      <c r="U3" s="125">
        <f t="shared" si="1"/>
        <v>16.798555951213579</v>
      </c>
      <c r="V3" s="125">
        <f t="shared" si="1"/>
        <v>10.361770359082822</v>
      </c>
      <c r="W3" s="125">
        <f t="shared" si="1"/>
        <v>13.505302043089896</v>
      </c>
      <c r="X3" s="125">
        <f t="shared" ref="X3:Y3" si="2">SUM(X4,X16,X19,X29)</f>
        <v>11.687936143251578</v>
      </c>
      <c r="Y3" s="125">
        <f t="shared" si="2"/>
        <v>10.53329355656914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21.9981980272687</v>
      </c>
      <c r="D4" s="130">
        <f t="shared" si="3"/>
        <v>8.4893235240904428</v>
      </c>
      <c r="E4" s="130">
        <f t="shared" si="3"/>
        <v>18.159525576692552</v>
      </c>
      <c r="F4" s="130">
        <f t="shared" si="3"/>
        <v>16.325217178514347</v>
      </c>
      <c r="G4" s="130">
        <f t="shared" si="3"/>
        <v>16.69274155057002</v>
      </c>
      <c r="H4" s="130">
        <f t="shared" si="3"/>
        <v>18.47054724516514</v>
      </c>
      <c r="I4" s="130">
        <f t="shared" si="3"/>
        <v>30.318517856428656</v>
      </c>
      <c r="J4" s="130">
        <f t="shared" si="3"/>
        <v>17.679602262023444</v>
      </c>
      <c r="K4" s="130">
        <f t="shared" si="3"/>
        <v>5.9710004939605543</v>
      </c>
      <c r="L4" s="130">
        <f t="shared" si="3"/>
        <v>6.2228046141995383</v>
      </c>
      <c r="M4" s="130">
        <f t="shared" si="3"/>
        <v>11.187724148170171</v>
      </c>
      <c r="N4" s="130">
        <f t="shared" si="3"/>
        <v>5.4115862869770925</v>
      </c>
      <c r="O4" s="130">
        <f t="shared" si="3"/>
        <v>11.155597980047769</v>
      </c>
      <c r="P4" s="130">
        <f t="shared" si="3"/>
        <v>12.557656126503147</v>
      </c>
      <c r="Q4" s="130">
        <f t="shared" si="3"/>
        <v>3.1334194857876105</v>
      </c>
      <c r="R4" s="130">
        <f t="shared" ref="R4:W4" si="4">SUM(R5:R15)</f>
        <v>9.0977363062493932</v>
      </c>
      <c r="S4" s="130">
        <f t="shared" si="4"/>
        <v>5.7301168470273751</v>
      </c>
      <c r="T4" s="130">
        <f t="shared" si="4"/>
        <v>8.1843090017628182</v>
      </c>
      <c r="U4" s="130">
        <f t="shared" si="4"/>
        <v>10.746580222420615</v>
      </c>
      <c r="V4" s="130">
        <f t="shared" si="4"/>
        <v>7.0332653399042657</v>
      </c>
      <c r="W4" s="130">
        <f t="shared" si="4"/>
        <v>6.3088007091257312</v>
      </c>
      <c r="X4" s="130">
        <f t="shared" ref="X4:Y4" si="5">SUM(X5:X15)</f>
        <v>4.1497537620989533</v>
      </c>
      <c r="Y4" s="130">
        <f t="shared" si="5"/>
        <v>3.0923840120554171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0.31003262322262737</v>
      </c>
      <c r="D5" s="132">
        <v>1.2646514578674946</v>
      </c>
      <c r="E5" s="132">
        <v>11.01020915637894</v>
      </c>
      <c r="F5" s="132">
        <v>4.1768006135199673</v>
      </c>
      <c r="G5" s="132">
        <v>1.9803562017232259</v>
      </c>
      <c r="H5" s="132">
        <v>0.76638534145502724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1.2859049022648837E-3</v>
      </c>
      <c r="R5" s="132">
        <v>0.1031769151374039</v>
      </c>
      <c r="S5" s="132">
        <v>1.9052503063681805E-2</v>
      </c>
      <c r="T5" s="132">
        <v>3.2603350421253376E-2</v>
      </c>
      <c r="U5" s="132">
        <v>4.8879207032071631E-2</v>
      </c>
      <c r="V5" s="132">
        <v>0</v>
      </c>
      <c r="W5" s="132">
        <v>0</v>
      </c>
      <c r="X5" s="132">
        <v>3.4101141875208688E-4</v>
      </c>
      <c r="Y5" s="132">
        <v>9.3326533514150609E-4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14.266338115507869</v>
      </c>
      <c r="D7" s="132">
        <v>0</v>
      </c>
      <c r="E7" s="132">
        <v>0</v>
      </c>
      <c r="F7" s="132">
        <v>0</v>
      </c>
      <c r="G7" s="132">
        <v>0</v>
      </c>
      <c r="H7" s="132">
        <v>0</v>
      </c>
      <c r="I7" s="132">
        <v>5.3142157375781567</v>
      </c>
      <c r="J7" s="132">
        <v>6.4015587551145376</v>
      </c>
      <c r="K7" s="132">
        <v>2.153917712807548</v>
      </c>
      <c r="L7" s="132">
        <v>2.3652423361642922</v>
      </c>
      <c r="M7" s="132">
        <v>5.5139846832800465</v>
      </c>
      <c r="N7" s="132">
        <v>2.6781123288672979</v>
      </c>
      <c r="O7" s="132">
        <v>7.7901125000964377</v>
      </c>
      <c r="P7" s="132">
        <v>7.1152132393166641</v>
      </c>
      <c r="Q7" s="132">
        <v>1.2214430576683475</v>
      </c>
      <c r="R7" s="132">
        <v>1.1640129424881451</v>
      </c>
      <c r="S7" s="132">
        <v>4.6174311654304905E-2</v>
      </c>
      <c r="T7" s="132">
        <v>0</v>
      </c>
      <c r="U7" s="132">
        <v>0</v>
      </c>
      <c r="V7" s="132">
        <v>1.1087820895963645</v>
      </c>
      <c r="W7" s="132">
        <v>1.1965027495201204</v>
      </c>
      <c r="X7" s="132">
        <v>1.1417439733874577</v>
      </c>
      <c r="Y7" s="132">
        <v>1.4256656097800633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7.4218272885382044</v>
      </c>
      <c r="D9" s="132">
        <v>7.224672066222948</v>
      </c>
      <c r="E9" s="132">
        <v>7.1493164203136121</v>
      </c>
      <c r="F9" s="132">
        <v>12.148416564994379</v>
      </c>
      <c r="G9" s="132">
        <v>14.712385348846793</v>
      </c>
      <c r="H9" s="132">
        <v>17.704161903710112</v>
      </c>
      <c r="I9" s="132">
        <v>25.0043021188505</v>
      </c>
      <c r="J9" s="132">
        <v>11.278043506908906</v>
      </c>
      <c r="K9" s="132">
        <v>3.8170827811530068</v>
      </c>
      <c r="L9" s="132">
        <v>3.8575622780352461</v>
      </c>
      <c r="M9" s="132">
        <v>5.673739464890124</v>
      </c>
      <c r="N9" s="132">
        <v>2.7334739581097951</v>
      </c>
      <c r="O9" s="132">
        <v>3.3654854799513325</v>
      </c>
      <c r="P9" s="132">
        <v>5.4424428871864841</v>
      </c>
      <c r="Q9" s="132">
        <v>1.9106905232169982</v>
      </c>
      <c r="R9" s="132">
        <v>7.8305464486238439</v>
      </c>
      <c r="S9" s="132">
        <v>5.6648900323093887</v>
      </c>
      <c r="T9" s="132">
        <v>8.1517056513415653</v>
      </c>
      <c r="U9" s="132">
        <v>10.697701015388544</v>
      </c>
      <c r="V9" s="132">
        <v>5.924483250307901</v>
      </c>
      <c r="W9" s="132">
        <v>5.1122979596056108</v>
      </c>
      <c r="X9" s="132">
        <v>3.0076687772927433</v>
      </c>
      <c r="Y9" s="132">
        <v>1.6657851369402121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1.2025220186230579E-2</v>
      </c>
      <c r="D16" s="130">
        <f t="shared" si="6"/>
        <v>1.3000128055428757E-2</v>
      </c>
      <c r="E16" s="130">
        <f t="shared" si="6"/>
        <v>4.7594823542509686E-3</v>
      </c>
      <c r="F16" s="130">
        <f t="shared" si="6"/>
        <v>1.635832106140744E-2</v>
      </c>
      <c r="G16" s="130">
        <f t="shared" si="6"/>
        <v>1.7278356813512398E-2</v>
      </c>
      <c r="H16" s="130">
        <f t="shared" si="6"/>
        <v>2.2825954705969993E-2</v>
      </c>
      <c r="I16" s="130">
        <f t="shared" si="6"/>
        <v>2.1116340141613833E-2</v>
      </c>
      <c r="J16" s="130">
        <f t="shared" si="6"/>
        <v>6.1811320834573684E-3</v>
      </c>
      <c r="K16" s="130">
        <f t="shared" si="6"/>
        <v>3.4716636654106301E-3</v>
      </c>
      <c r="L16" s="130">
        <f t="shared" si="6"/>
        <v>2.4332677864993416E-3</v>
      </c>
      <c r="M16" s="130">
        <f t="shared" si="6"/>
        <v>7.146107458939616E-3</v>
      </c>
      <c r="N16" s="130">
        <f t="shared" si="6"/>
        <v>3.3859356434220288E-3</v>
      </c>
      <c r="O16" s="130">
        <f t="shared" si="6"/>
        <v>1.0883977621008963E-2</v>
      </c>
      <c r="P16" s="130">
        <f t="shared" si="6"/>
        <v>2.9923523146654054E-2</v>
      </c>
      <c r="Q16" s="130">
        <f t="shared" si="6"/>
        <v>1.6950855652813016E-2</v>
      </c>
      <c r="R16" s="130">
        <f t="shared" ref="R16:W16" si="7">SUM(R17:R18)</f>
        <v>7.7493775230699544E-2</v>
      </c>
      <c r="S16" s="130">
        <f t="shared" si="7"/>
        <v>3.7729491235460835E-2</v>
      </c>
      <c r="T16" s="130">
        <f t="shared" si="7"/>
        <v>3.566150027466547E-2</v>
      </c>
      <c r="U16" s="130">
        <f t="shared" si="7"/>
        <v>3.0004067353246525E-2</v>
      </c>
      <c r="V16" s="130">
        <f t="shared" si="7"/>
        <v>2.8427294425047218E-2</v>
      </c>
      <c r="W16" s="130">
        <f t="shared" si="7"/>
        <v>1.6094298192910056E-2</v>
      </c>
      <c r="X16" s="130">
        <f t="shared" ref="X16:Y16" si="8">SUM(X17:X18)</f>
        <v>2.0648924941369631E-2</v>
      </c>
      <c r="Y16" s="130">
        <f t="shared" si="8"/>
        <v>1.4567507330978814E-2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1.2025220186230579E-2</v>
      </c>
      <c r="D17" s="132">
        <v>1.3000128055428757E-2</v>
      </c>
      <c r="E17" s="132">
        <v>4.7594823542509686E-3</v>
      </c>
      <c r="F17" s="132">
        <v>1.635832106140744E-2</v>
      </c>
      <c r="G17" s="132">
        <v>1.7278356813512398E-2</v>
      </c>
      <c r="H17" s="132">
        <v>2.2825954705969993E-2</v>
      </c>
      <c r="I17" s="132">
        <v>2.1116340141613833E-2</v>
      </c>
      <c r="J17" s="132">
        <v>6.1811320834573684E-3</v>
      </c>
      <c r="K17" s="132">
        <v>3.4716636654106301E-3</v>
      </c>
      <c r="L17" s="132">
        <v>2.4332677864993416E-3</v>
      </c>
      <c r="M17" s="132">
        <v>7.146107458939616E-3</v>
      </c>
      <c r="N17" s="132">
        <v>3.3859356434220288E-3</v>
      </c>
      <c r="O17" s="132">
        <v>1.0883977621008963E-2</v>
      </c>
      <c r="P17" s="132">
        <v>2.9923523146654054E-2</v>
      </c>
      <c r="Q17" s="132">
        <v>1.6950855652813016E-2</v>
      </c>
      <c r="R17" s="132">
        <v>7.7493775230699544E-2</v>
      </c>
      <c r="S17" s="132">
        <v>3.7729491235460835E-2</v>
      </c>
      <c r="T17" s="132">
        <v>3.566150027466547E-2</v>
      </c>
      <c r="U17" s="132">
        <v>3.0004067353246525E-2</v>
      </c>
      <c r="V17" s="132">
        <v>2.8427294425047218E-2</v>
      </c>
      <c r="W17" s="132">
        <v>1.6094298192910056E-2</v>
      </c>
      <c r="X17" s="132">
        <v>2.0648924941369631E-2</v>
      </c>
      <c r="Y17" s="132">
        <v>1.4567507330978814E-2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4.0390798025206731</v>
      </c>
      <c r="D19" s="130">
        <f t="shared" si="9"/>
        <v>3.5985663442051319</v>
      </c>
      <c r="E19" s="130">
        <f t="shared" si="9"/>
        <v>2.8106262317762489</v>
      </c>
      <c r="F19" s="130">
        <f t="shared" si="9"/>
        <v>3.1435421076574106</v>
      </c>
      <c r="G19" s="130">
        <f t="shared" si="9"/>
        <v>3.4610402004291756</v>
      </c>
      <c r="H19" s="130">
        <f t="shared" si="9"/>
        <v>3.4525887526648997</v>
      </c>
      <c r="I19" s="130">
        <f t="shared" si="9"/>
        <v>5.267173038112599</v>
      </c>
      <c r="J19" s="130">
        <f t="shared" si="9"/>
        <v>2.4902617693257905</v>
      </c>
      <c r="K19" s="130">
        <f t="shared" si="9"/>
        <v>0.94278217411909149</v>
      </c>
      <c r="L19" s="130">
        <f t="shared" si="9"/>
        <v>0.75409728576817137</v>
      </c>
      <c r="M19" s="130">
        <f t="shared" si="9"/>
        <v>1.5388354580514874</v>
      </c>
      <c r="N19" s="130">
        <f t="shared" si="9"/>
        <v>0.69235170744659269</v>
      </c>
      <c r="O19" s="130">
        <f t="shared" si="9"/>
        <v>1.3625673193168482</v>
      </c>
      <c r="P19" s="130">
        <f t="shared" si="9"/>
        <v>1.9727386075351963</v>
      </c>
      <c r="Q19" s="130">
        <f t="shared" si="9"/>
        <v>0.79666428866562922</v>
      </c>
      <c r="R19" s="130">
        <f t="shared" ref="R19:W19" si="10">SUM(R20:R27)</f>
        <v>2.4838254659404861</v>
      </c>
      <c r="S19" s="130">
        <f t="shared" si="10"/>
        <v>1.8976695472700094</v>
      </c>
      <c r="T19" s="130">
        <f t="shared" si="10"/>
        <v>1.2918379314382376</v>
      </c>
      <c r="U19" s="130">
        <f t="shared" si="10"/>
        <v>1.3610717101253968</v>
      </c>
      <c r="V19" s="130">
        <f t="shared" si="10"/>
        <v>1.01682882451094</v>
      </c>
      <c r="W19" s="130">
        <f t="shared" si="10"/>
        <v>2.6267882443782482</v>
      </c>
      <c r="X19" s="130">
        <f t="shared" ref="X19:Y19" si="11">SUM(X20:X27)</f>
        <v>2.5881898051418455</v>
      </c>
      <c r="Y19" s="130">
        <f t="shared" si="11"/>
        <v>2.3194288420954408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2.2842926415700426</v>
      </c>
      <c r="D22" s="132">
        <v>1.7281180478172964</v>
      </c>
      <c r="E22" s="132">
        <v>1.2225106676221758</v>
      </c>
      <c r="F22" s="132">
        <v>1.3525186096389703</v>
      </c>
      <c r="G22" s="132">
        <v>1.3291469120473041</v>
      </c>
      <c r="H22" s="132">
        <v>1.493398749603194</v>
      </c>
      <c r="I22" s="132">
        <v>2.4619051725747476</v>
      </c>
      <c r="J22" s="132">
        <v>1.3312062115676058</v>
      </c>
      <c r="K22" s="132">
        <v>0.50454385305920768</v>
      </c>
      <c r="L22" s="132">
        <v>0.42216883859942889</v>
      </c>
      <c r="M22" s="132">
        <v>0.93206556913479377</v>
      </c>
      <c r="N22" s="132">
        <v>0.36726437116501787</v>
      </c>
      <c r="O22" s="132">
        <v>0.62005675280235184</v>
      </c>
      <c r="P22" s="132">
        <v>0.35194179815960397</v>
      </c>
      <c r="Q22" s="132">
        <v>0.16188799386334221</v>
      </c>
      <c r="R22" s="132">
        <v>0.96495239253860665</v>
      </c>
      <c r="S22" s="132">
        <v>0.87174689949897444</v>
      </c>
      <c r="T22" s="132">
        <v>0.64613377101313996</v>
      </c>
      <c r="U22" s="132">
        <v>0.4564643975155514</v>
      </c>
      <c r="V22" s="132">
        <v>0.40209637672442883</v>
      </c>
      <c r="W22" s="132">
        <v>0.67532685865096331</v>
      </c>
      <c r="X22" s="132">
        <v>0.99889067969726963</v>
      </c>
      <c r="Y22" s="132">
        <v>1.0358289042836557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1.7547871609506303</v>
      </c>
      <c r="D23" s="132">
        <v>1.8704482963878355</v>
      </c>
      <c r="E23" s="132">
        <v>1.588115564154073</v>
      </c>
      <c r="F23" s="132">
        <v>1.7910234980184403</v>
      </c>
      <c r="G23" s="132">
        <v>2.1318932883818715</v>
      </c>
      <c r="H23" s="132">
        <v>1.959190003061706</v>
      </c>
      <c r="I23" s="132">
        <v>2.8052678655378513</v>
      </c>
      <c r="J23" s="132">
        <v>1.1590555577581847</v>
      </c>
      <c r="K23" s="132">
        <v>0.43823832105988381</v>
      </c>
      <c r="L23" s="132">
        <v>0.33192844716874254</v>
      </c>
      <c r="M23" s="132">
        <v>0.60676988891669359</v>
      </c>
      <c r="N23" s="132">
        <v>0.32508733628157482</v>
      </c>
      <c r="O23" s="132">
        <v>0.74251056651449632</v>
      </c>
      <c r="P23" s="132">
        <v>1.6207968093755922</v>
      </c>
      <c r="Q23" s="132">
        <v>0.63477629480228703</v>
      </c>
      <c r="R23" s="132">
        <v>1.5188730734018796</v>
      </c>
      <c r="S23" s="132">
        <v>1.0259226477710348</v>
      </c>
      <c r="T23" s="132">
        <v>0.6457041604250976</v>
      </c>
      <c r="U23" s="132">
        <v>0.9046073126098455</v>
      </c>
      <c r="V23" s="132">
        <v>0.61473244778651126</v>
      </c>
      <c r="W23" s="132">
        <v>1.9514613857272849</v>
      </c>
      <c r="X23" s="132">
        <v>1.5892991254445761</v>
      </c>
      <c r="Y23" s="132">
        <v>1.2835999378117853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5.265422208107327</v>
      </c>
      <c r="D29" s="130">
        <f t="shared" si="12"/>
        <v>5.3147233121719921</v>
      </c>
      <c r="E29" s="130">
        <f t="shared" si="12"/>
        <v>5.1570058163915009</v>
      </c>
      <c r="F29" s="130">
        <f t="shared" si="12"/>
        <v>6.4246738128458816</v>
      </c>
      <c r="G29" s="130">
        <f t="shared" si="12"/>
        <v>9.9263078866279102</v>
      </c>
      <c r="H29" s="130">
        <f t="shared" si="12"/>
        <v>7.9257885253298328</v>
      </c>
      <c r="I29" s="130">
        <f t="shared" si="12"/>
        <v>13.393274246310284</v>
      </c>
      <c r="J29" s="130">
        <f t="shared" si="12"/>
        <v>3.2212690172222973</v>
      </c>
      <c r="K29" s="130">
        <f t="shared" si="12"/>
        <v>0.67435836037126107</v>
      </c>
      <c r="L29" s="130">
        <f t="shared" si="12"/>
        <v>1.1000871360771594</v>
      </c>
      <c r="M29" s="130">
        <f t="shared" si="12"/>
        <v>2.300620155239165</v>
      </c>
      <c r="N29" s="130">
        <f t="shared" si="12"/>
        <v>0.64938666390356325</v>
      </c>
      <c r="O29" s="130">
        <f t="shared" si="12"/>
        <v>2.2896083716437672</v>
      </c>
      <c r="P29" s="130">
        <f t="shared" si="12"/>
        <v>2.1356284148425235</v>
      </c>
      <c r="Q29" s="130">
        <f t="shared" si="12"/>
        <v>1.7429299087003416</v>
      </c>
      <c r="R29" s="130">
        <f t="shared" ref="R29:W29" si="13">SUM(R30:R33)</f>
        <v>4.659702999763458</v>
      </c>
      <c r="S29" s="130">
        <f t="shared" si="13"/>
        <v>5.0155128954522734</v>
      </c>
      <c r="T29" s="130">
        <f t="shared" si="13"/>
        <v>6.338563330387518</v>
      </c>
      <c r="U29" s="130">
        <f t="shared" si="13"/>
        <v>4.6608999513143186</v>
      </c>
      <c r="V29" s="130">
        <f t="shared" si="13"/>
        <v>2.283248900242568</v>
      </c>
      <c r="W29" s="130">
        <f t="shared" si="13"/>
        <v>4.5536187913930064</v>
      </c>
      <c r="X29" s="130">
        <f t="shared" ref="X29:Y29" si="14">SUM(X30:X33)</f>
        <v>4.9293436510694102</v>
      </c>
      <c r="Y29" s="130">
        <f t="shared" si="14"/>
        <v>5.1069131950873032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4.1861860681568572</v>
      </c>
      <c r="D30" s="132">
        <v>4.3303768669686038</v>
      </c>
      <c r="E30" s="132">
        <v>4.2474424321643802</v>
      </c>
      <c r="F30" s="132">
        <v>5.2427844755376327</v>
      </c>
      <c r="G30" s="132">
        <v>8.3472748744797443</v>
      </c>
      <c r="H30" s="132">
        <v>6.4024857181974051</v>
      </c>
      <c r="I30" s="132">
        <v>11.098683974512831</v>
      </c>
      <c r="J30" s="132">
        <v>2.1904936334171765</v>
      </c>
      <c r="K30" s="132">
        <v>0.32018701784034587</v>
      </c>
      <c r="L30" s="132">
        <v>0.8559638416622094</v>
      </c>
      <c r="M30" s="132">
        <v>2.1589250559398732</v>
      </c>
      <c r="N30" s="132">
        <v>0.50024263636169053</v>
      </c>
      <c r="O30" s="132">
        <v>1.8946478583754953</v>
      </c>
      <c r="P30" s="132">
        <v>1.2149503799125176</v>
      </c>
      <c r="Q30" s="132">
        <v>1.2660608955094359</v>
      </c>
      <c r="R30" s="132">
        <v>3.2726400361316221</v>
      </c>
      <c r="S30" s="132">
        <v>4.090257146705861</v>
      </c>
      <c r="T30" s="132">
        <v>5.1812292421978068</v>
      </c>
      <c r="U30" s="132">
        <v>3.4403308298177038</v>
      </c>
      <c r="V30" s="132">
        <v>1.4078272323061103</v>
      </c>
      <c r="W30" s="132">
        <v>2.685827966712933</v>
      </c>
      <c r="X30" s="132">
        <v>3.8655795411894807</v>
      </c>
      <c r="Y30" s="132">
        <v>4.1924225728605098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1.0792361399504697</v>
      </c>
      <c r="D31" s="132">
        <v>0.98434644520338788</v>
      </c>
      <c r="E31" s="132">
        <v>0.90956338422712057</v>
      </c>
      <c r="F31" s="132">
        <v>1.1818893373082486</v>
      </c>
      <c r="G31" s="132">
        <v>1.5790330121481666</v>
      </c>
      <c r="H31" s="132">
        <v>1.5233028071324275</v>
      </c>
      <c r="I31" s="132">
        <v>2.2945902717974533</v>
      </c>
      <c r="J31" s="132">
        <v>1.0307753838051208</v>
      </c>
      <c r="K31" s="132">
        <v>0.3541713425309152</v>
      </c>
      <c r="L31" s="132">
        <v>0.2441232944149499</v>
      </c>
      <c r="M31" s="132">
        <v>0.1416950992992918</v>
      </c>
      <c r="N31" s="132">
        <v>0.14914402754187278</v>
      </c>
      <c r="O31" s="132">
        <v>0.39496051326827203</v>
      </c>
      <c r="P31" s="132">
        <v>0.92067803493000566</v>
      </c>
      <c r="Q31" s="132">
        <v>0.47686901319090574</v>
      </c>
      <c r="R31" s="132">
        <v>1.3870629636318361</v>
      </c>
      <c r="S31" s="132">
        <v>0.92525574874641192</v>
      </c>
      <c r="T31" s="132">
        <v>1.157334088189711</v>
      </c>
      <c r="U31" s="132">
        <v>1.220569121496615</v>
      </c>
      <c r="V31" s="132">
        <v>0.8754216679364577</v>
      </c>
      <c r="W31" s="132">
        <v>1.8677908246800738</v>
      </c>
      <c r="X31" s="132">
        <v>1.0637641098799295</v>
      </c>
      <c r="Y31" s="132">
        <v>0.91449062222679312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246542.94292653431</v>
      </c>
      <c r="D3" s="125">
        <f>IF(SER_hh_fec_in!D3=0,0,11630*1000*SER_hh_fec_in!D3/SER_hh_num_in!D3)</f>
        <v>228639.65755474151</v>
      </c>
      <c r="E3" s="125">
        <f>IF(SER_hh_fec_in!E3=0,0,11630*1000*SER_hh_fec_in!E3/SER_hh_num_in!E3)</f>
        <v>260117.26839759713</v>
      </c>
      <c r="F3" s="125">
        <f>IF(SER_hh_fec_in!F3=0,0,11630*1000*SER_hh_fec_in!F3/SER_hh_num_in!F3)</f>
        <v>238411.64357455351</v>
      </c>
      <c r="G3" s="125">
        <f>IF(SER_hh_fec_in!G3=0,0,11630*1000*SER_hh_fec_in!G3/SER_hh_num_in!G3)</f>
        <v>241488.80562469698</v>
      </c>
      <c r="H3" s="125">
        <f>IF(SER_hh_fec_in!H3=0,0,11630*1000*SER_hh_fec_in!H3/SER_hh_num_in!H3)</f>
        <v>252867.94627702673</v>
      </c>
      <c r="I3" s="125">
        <f>IF(SER_hh_fec_in!I3=0,0,11630*1000*SER_hh_fec_in!I3/SER_hh_num_in!I3)</f>
        <v>240126.18915635333</v>
      </c>
      <c r="J3" s="125">
        <f>IF(SER_hh_fec_in!J3=0,0,11630*1000*SER_hh_fec_in!J3/SER_hh_num_in!J3)</f>
        <v>254452.00289609726</v>
      </c>
      <c r="K3" s="125">
        <f>IF(SER_hh_fec_in!K3=0,0,11630*1000*SER_hh_fec_in!K3/SER_hh_num_in!K3)</f>
        <v>249022.03736959395</v>
      </c>
      <c r="L3" s="125">
        <f>IF(SER_hh_fec_in!L3=0,0,11630*1000*SER_hh_fec_in!L3/SER_hh_num_in!L3)</f>
        <v>252562.56242538596</v>
      </c>
      <c r="M3" s="125">
        <f>IF(SER_hh_fec_in!M3=0,0,11630*1000*SER_hh_fec_in!M3/SER_hh_num_in!M3)</f>
        <v>225771.22432277427</v>
      </c>
      <c r="N3" s="125">
        <f>IF(SER_hh_fec_in!N3=0,0,11630*1000*SER_hh_fec_in!N3/SER_hh_num_in!N3)</f>
        <v>228591.08207169166</v>
      </c>
      <c r="O3" s="125">
        <f>IF(SER_hh_fec_in!O3=0,0,11630*1000*SER_hh_fec_in!O3/SER_hh_num_in!O3)</f>
        <v>227175.4618878972</v>
      </c>
      <c r="P3" s="125">
        <f>IF(SER_hh_fec_in!P3=0,0,11630*1000*SER_hh_fec_in!P3/SER_hh_num_in!P3)</f>
        <v>187554.07052640349</v>
      </c>
      <c r="Q3" s="125">
        <f>IF(SER_hh_fec_in!Q3=0,0,11630*1000*SER_hh_fec_in!Q3/SER_hh_num_in!Q3)</f>
        <v>195434.47356219916</v>
      </c>
      <c r="R3" s="125">
        <f>IF(SER_hh_fec_in!R3=0,0,11630*1000*SER_hh_fec_in!R3/SER_hh_num_in!R3)</f>
        <v>178550.61943456563</v>
      </c>
      <c r="S3" s="125">
        <f>IF(SER_hh_fec_in!S3=0,0,11630*1000*SER_hh_fec_in!S3/SER_hh_num_in!S3)</f>
        <v>165200.45270892329</v>
      </c>
      <c r="T3" s="125">
        <f>IF(SER_hh_fec_in!T3=0,0,11630*1000*SER_hh_fec_in!T3/SER_hh_num_in!T3)</f>
        <v>171040.99404320115</v>
      </c>
      <c r="U3" s="125">
        <f>IF(SER_hh_fec_in!U3=0,0,11630*1000*SER_hh_fec_in!U3/SER_hh_num_in!U3)</f>
        <v>162318.54225126069</v>
      </c>
      <c r="V3" s="125">
        <f>IF(SER_hh_fec_in!V3=0,0,11630*1000*SER_hh_fec_in!V3/SER_hh_num_in!V3)</f>
        <v>128978.22615292728</v>
      </c>
      <c r="W3" s="125">
        <f>IF(SER_hh_fec_in!W3=0,0,11630*1000*SER_hh_fec_in!W3/SER_hh_num_in!W3)</f>
        <v>125122.65710533274</v>
      </c>
      <c r="X3" s="125">
        <f>IF(SER_hh_fec_in!X3=0,0,11630*1000*SER_hh_fec_in!X3/SER_hh_num_in!X3)</f>
        <v>107674.15699633899</v>
      </c>
      <c r="Y3" s="125">
        <f>IF(SER_hh_fec_in!Y3=0,0,11630*1000*SER_hh_fec_in!Y3/SER_hh_num_in!Y3)</f>
        <v>107024.48991085798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168698.34927866532</v>
      </c>
      <c r="D4" s="130">
        <f>IF(SER_hh_fec_in!D4=0,0,11630*1000*SER_hh_fec_in!D4/SER_hh_num_in!D4)</f>
        <v>152480.00396935304</v>
      </c>
      <c r="E4" s="130">
        <f>IF(SER_hh_fec_in!E4=0,0,11630*1000*SER_hh_fec_in!E4/SER_hh_num_in!E4)</f>
        <v>184426.27196923061</v>
      </c>
      <c r="F4" s="130">
        <f>IF(SER_hh_fec_in!F4=0,0,11630*1000*SER_hh_fec_in!F4/SER_hh_num_in!F4)</f>
        <v>163665.61598404421</v>
      </c>
      <c r="G4" s="130">
        <f>IF(SER_hh_fec_in!G4=0,0,11630*1000*SER_hh_fec_in!G4/SER_hh_num_in!G4)</f>
        <v>166386.35213898731</v>
      </c>
      <c r="H4" s="130">
        <f>IF(SER_hh_fec_in!H4=0,0,11630*1000*SER_hh_fec_in!H4/SER_hh_num_in!H4)</f>
        <v>179852.8468312693</v>
      </c>
      <c r="I4" s="130">
        <f>IF(SER_hh_fec_in!I4=0,0,11630*1000*SER_hh_fec_in!I4/SER_hh_num_in!I4)</f>
        <v>170164.80575848094</v>
      </c>
      <c r="J4" s="130">
        <f>IF(SER_hh_fec_in!J4=0,0,11630*1000*SER_hh_fec_in!J4/SER_hh_num_in!J4)</f>
        <v>185896.38122037976</v>
      </c>
      <c r="K4" s="130">
        <f>IF(SER_hh_fec_in!K4=0,0,11630*1000*SER_hh_fec_in!K4/SER_hh_num_in!K4)</f>
        <v>177428.95716432156</v>
      </c>
      <c r="L4" s="130">
        <f>IF(SER_hh_fec_in!L4=0,0,11630*1000*SER_hh_fec_in!L4/SER_hh_num_in!L4)</f>
        <v>179033.19148652858</v>
      </c>
      <c r="M4" s="130">
        <f>IF(SER_hh_fec_in!M4=0,0,11630*1000*SER_hh_fec_in!M4/SER_hh_num_in!M4)</f>
        <v>153289.94655531985</v>
      </c>
      <c r="N4" s="130">
        <f>IF(SER_hh_fec_in!N4=0,0,11630*1000*SER_hh_fec_in!N4/SER_hh_num_in!N4)</f>
        <v>155861.36965874725</v>
      </c>
      <c r="O4" s="130">
        <f>IF(SER_hh_fec_in!O4=0,0,11630*1000*SER_hh_fec_in!O4/SER_hh_num_in!O4)</f>
        <v>153444.32747893938</v>
      </c>
      <c r="P4" s="130">
        <f>IF(SER_hh_fec_in!P4=0,0,11630*1000*SER_hh_fec_in!P4/SER_hh_num_in!P4)</f>
        <v>118133.08764888061</v>
      </c>
      <c r="Q4" s="130">
        <f>IF(SER_hh_fec_in!Q4=0,0,11630*1000*SER_hh_fec_in!Q4/SER_hh_num_in!Q4)</f>
        <v>123481.16398517857</v>
      </c>
      <c r="R4" s="130">
        <f>IF(SER_hh_fec_in!R4=0,0,11630*1000*SER_hh_fec_in!R4/SER_hh_num_in!R4)</f>
        <v>110208.33665659012</v>
      </c>
      <c r="S4" s="130">
        <f>IF(SER_hh_fec_in!S4=0,0,11630*1000*SER_hh_fec_in!S4/SER_hh_num_in!S4)</f>
        <v>96300.564183946612</v>
      </c>
      <c r="T4" s="130">
        <f>IF(SER_hh_fec_in!T4=0,0,11630*1000*SER_hh_fec_in!T4/SER_hh_num_in!T4)</f>
        <v>103456.08685657539</v>
      </c>
      <c r="U4" s="130">
        <f>IF(SER_hh_fec_in!U4=0,0,11630*1000*SER_hh_fec_in!U4/SER_hh_num_in!U4)</f>
        <v>95776.528411500069</v>
      </c>
      <c r="V4" s="130">
        <f>IF(SER_hh_fec_in!V4=0,0,11630*1000*SER_hh_fec_in!V4/SER_hh_num_in!V4)</f>
        <v>69606.86596246023</v>
      </c>
      <c r="W4" s="130">
        <f>IF(SER_hh_fec_in!W4=0,0,11630*1000*SER_hh_fec_in!W4/SER_hh_num_in!W4)</f>
        <v>57185.98688953642</v>
      </c>
      <c r="X4" s="130">
        <f>IF(SER_hh_fec_in!X4=0,0,11630*1000*SER_hh_fec_in!X4/SER_hh_num_in!X4)</f>
        <v>41356.094268030916</v>
      </c>
      <c r="Y4" s="130">
        <f>IF(SER_hh_fec_in!Y4=0,0,11630*1000*SER_hh_fec_in!Y4/SER_hh_num_in!Y4)</f>
        <v>41134.117135891473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104978.51417275333</v>
      </c>
      <c r="D5" s="132">
        <f>IF(SER_hh_fec_in!D5=0,0,11630*1000*SER_hh_fec_in!D5/SER_hh_num_in!D5)</f>
        <v>52647.111641590309</v>
      </c>
      <c r="E5" s="132">
        <f>IF(SER_hh_fec_in!E5=0,0,11630*1000*SER_hh_fec_in!E5/SER_hh_num_in!E5)</f>
        <v>283705.35865639924</v>
      </c>
      <c r="F5" s="132">
        <f>IF(SER_hh_fec_in!F5=0,0,11630*1000*SER_hh_fec_in!F5/SER_hh_num_in!F5)</f>
        <v>237175.30006351936</v>
      </c>
      <c r="G5" s="132">
        <f>IF(SER_hh_fec_in!G5=0,0,11630*1000*SER_hh_fec_in!G5/SER_hh_num_in!G5)</f>
        <v>229207.66648380045</v>
      </c>
      <c r="H5" s="132">
        <f>IF(SER_hh_fec_in!H5=0,0,11630*1000*SER_hh_fec_in!H5/SER_hh_num_in!H5)</f>
        <v>225953.56569570964</v>
      </c>
      <c r="I5" s="132">
        <f>IF(SER_hh_fec_in!I5=0,0,11630*1000*SER_hh_fec_in!I5/SER_hh_num_in!I5)</f>
        <v>0</v>
      </c>
      <c r="J5" s="132">
        <f>IF(SER_hh_fec_in!J5=0,0,11630*1000*SER_hh_fec_in!J5/SER_hh_num_in!J5)</f>
        <v>0</v>
      </c>
      <c r="K5" s="132">
        <f>IF(SER_hh_fec_in!K5=0,0,11630*1000*SER_hh_fec_in!K5/SER_hh_num_in!K5)</f>
        <v>0</v>
      </c>
      <c r="L5" s="132">
        <f>IF(SER_hh_fec_in!L5=0,0,11630*1000*SER_hh_fec_in!L5/SER_hh_num_in!L5)</f>
        <v>0</v>
      </c>
      <c r="M5" s="132">
        <f>IF(SER_hh_fec_in!M5=0,0,11630*1000*SER_hh_fec_in!M5/SER_hh_num_in!M5)</f>
        <v>0</v>
      </c>
      <c r="N5" s="132">
        <f>IF(SER_hh_fec_in!N5=0,0,11630*1000*SER_hh_fec_in!N5/SER_hh_num_in!N5)</f>
        <v>0</v>
      </c>
      <c r="O5" s="132">
        <f>IF(SER_hh_fec_in!O5=0,0,11630*1000*SER_hh_fec_in!O5/SER_hh_num_in!O5)</f>
        <v>0</v>
      </c>
      <c r="P5" s="132">
        <f>IF(SER_hh_fec_in!P5=0,0,11630*1000*SER_hh_fec_in!P5/SER_hh_num_in!P5)</f>
        <v>0</v>
      </c>
      <c r="Q5" s="132">
        <f>IF(SER_hh_fec_in!Q5=0,0,11630*1000*SER_hh_fec_in!Q5/SER_hh_num_in!Q5)</f>
        <v>100138.11705073294</v>
      </c>
      <c r="R5" s="132">
        <f>IF(SER_hh_fec_in!R5=0,0,11630*1000*SER_hh_fec_in!R5/SER_hh_num_in!R5)</f>
        <v>169130.28281109667</v>
      </c>
      <c r="S5" s="132">
        <f>IF(SER_hh_fec_in!S5=0,0,11630*1000*SER_hh_fec_in!S5/SER_hh_num_in!S5)</f>
        <v>132111.64124339953</v>
      </c>
      <c r="T5" s="132">
        <f>IF(SER_hh_fec_in!T5=0,0,11630*1000*SER_hh_fec_in!T5/SER_hh_num_in!T5)</f>
        <v>138932.54785780303</v>
      </c>
      <c r="U5" s="132">
        <f>IF(SER_hh_fec_in!U5=0,0,11630*1000*SER_hh_fec_in!U5/SER_hh_num_in!U5)</f>
        <v>135842.44651367157</v>
      </c>
      <c r="V5" s="132">
        <f>IF(SER_hh_fec_in!V5=0,0,11630*1000*SER_hh_fec_in!V5/SER_hh_num_in!V5)</f>
        <v>0</v>
      </c>
      <c r="W5" s="132">
        <f>IF(SER_hh_fec_in!W5=0,0,11630*1000*SER_hh_fec_in!W5/SER_hh_num_in!W5)</f>
        <v>0</v>
      </c>
      <c r="X5" s="132">
        <f>IF(SER_hh_fec_in!X5=0,0,11630*1000*SER_hh_fec_in!X5/SER_hh_num_in!X5)</f>
        <v>54803.234876137118</v>
      </c>
      <c r="Y5" s="132">
        <f>IF(SER_hh_fec_in!Y5=0,0,11630*1000*SER_hh_fec_in!Y5/SER_hh_num_in!Y5)</f>
        <v>53273.646173722052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209282.38862736378</v>
      </c>
      <c r="D7" s="132">
        <f>IF(SER_hh_fec_in!D7=0,0,11630*1000*SER_hh_fec_in!D7/SER_hh_num_in!D7)</f>
        <v>0</v>
      </c>
      <c r="E7" s="132">
        <f>IF(SER_hh_fec_in!E7=0,0,11630*1000*SER_hh_fec_in!E7/SER_hh_num_in!E7)</f>
        <v>0</v>
      </c>
      <c r="F7" s="132">
        <f>IF(SER_hh_fec_in!F7=0,0,11630*1000*SER_hh_fec_in!F7/SER_hh_num_in!F7)</f>
        <v>0</v>
      </c>
      <c r="G7" s="132">
        <f>IF(SER_hh_fec_in!G7=0,0,11630*1000*SER_hh_fec_in!G7/SER_hh_num_in!G7)</f>
        <v>0</v>
      </c>
      <c r="H7" s="132">
        <f>IF(SER_hh_fec_in!H7=0,0,11630*1000*SER_hh_fec_in!H7/SER_hh_num_in!H7)</f>
        <v>0</v>
      </c>
      <c r="I7" s="132">
        <f>IF(SER_hh_fec_in!I7=0,0,11630*1000*SER_hh_fec_in!I7/SER_hh_num_in!I7)</f>
        <v>209743.55307171374</v>
      </c>
      <c r="J7" s="132">
        <f>IF(SER_hh_fec_in!J7=0,0,11630*1000*SER_hh_fec_in!J7/SER_hh_num_in!J7)</f>
        <v>226962.68425712298</v>
      </c>
      <c r="K7" s="132">
        <f>IF(SER_hh_fec_in!K7=0,0,11630*1000*SER_hh_fec_in!K7/SER_hh_num_in!K7)</f>
        <v>188456.00679805293</v>
      </c>
      <c r="L7" s="132">
        <f>IF(SER_hh_fec_in!L7=0,0,11630*1000*SER_hh_fec_in!L7/SER_hh_num_in!L7)</f>
        <v>192095.46332099361</v>
      </c>
      <c r="M7" s="132">
        <f>IF(SER_hh_fec_in!M7=0,0,11630*1000*SER_hh_fec_in!M7/SER_hh_num_in!M7)</f>
        <v>167472.35392598834</v>
      </c>
      <c r="N7" s="132">
        <f>IF(SER_hh_fec_in!N7=0,0,11630*1000*SER_hh_fec_in!N7/SER_hh_num_in!N7)</f>
        <v>151943.16147291815</v>
      </c>
      <c r="O7" s="132">
        <f>IF(SER_hh_fec_in!O7=0,0,11630*1000*SER_hh_fec_in!O7/SER_hh_num_in!O7)</f>
        <v>173711.95230929257</v>
      </c>
      <c r="P7" s="132">
        <f>IF(SER_hh_fec_in!P7=0,0,11630*1000*SER_hh_fec_in!P7/SER_hh_num_in!P7)</f>
        <v>144037.75494118844</v>
      </c>
      <c r="Q7" s="132">
        <f>IF(SER_hh_fec_in!Q7=0,0,11630*1000*SER_hh_fec_in!Q7/SER_hh_num_in!Q7)</f>
        <v>142949.32891816029</v>
      </c>
      <c r="R7" s="132">
        <f>IF(SER_hh_fec_in!R7=0,0,11630*1000*SER_hh_fec_in!R7/SER_hh_num_in!R7)</f>
        <v>129764.77248051968</v>
      </c>
      <c r="S7" s="132">
        <f>IF(SER_hh_fec_in!S7=0,0,11630*1000*SER_hh_fec_in!S7/SER_hh_num_in!S7)</f>
        <v>114956.50294747807</v>
      </c>
      <c r="T7" s="132">
        <f>IF(SER_hh_fec_in!T7=0,0,11630*1000*SER_hh_fec_in!T7/SER_hh_num_in!T7)</f>
        <v>0</v>
      </c>
      <c r="U7" s="132">
        <f>IF(SER_hh_fec_in!U7=0,0,11630*1000*SER_hh_fec_in!U7/SER_hh_num_in!U7)</f>
        <v>0</v>
      </c>
      <c r="V7" s="132">
        <f>IF(SER_hh_fec_in!V7=0,0,11630*1000*SER_hh_fec_in!V7/SER_hh_num_in!V7)</f>
        <v>86872.582363889582</v>
      </c>
      <c r="W7" s="132">
        <f>IF(SER_hh_fec_in!W7=0,0,11630*1000*SER_hh_fec_in!W7/SER_hh_num_in!W7)</f>
        <v>67398.954419115587</v>
      </c>
      <c r="X7" s="132">
        <f>IF(SER_hh_fec_in!X7=0,0,11630*1000*SER_hh_fec_in!X7/SER_hh_num_in!X7)</f>
        <v>48180.484536568649</v>
      </c>
      <c r="Y7" s="132">
        <f>IF(SER_hh_fec_in!Y7=0,0,11630*1000*SER_hh_fec_in!Y7/SER_hh_num_in!Y7)</f>
        <v>48300.12859908527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0</v>
      </c>
      <c r="D8" s="132">
        <f>IF(SER_hh_fec_in!D8=0,0,11630*1000*SER_hh_fec_in!D8/SER_hh_num_in!D8)</f>
        <v>0</v>
      </c>
      <c r="E8" s="132">
        <f>IF(SER_hh_fec_in!E8=0,0,11630*1000*SER_hh_fec_in!E8/SER_hh_num_in!E8)</f>
        <v>0</v>
      </c>
      <c r="F8" s="132">
        <f>IF(SER_hh_fec_in!F8=0,0,11630*1000*SER_hh_fec_in!F8/SER_hh_num_in!F8)</f>
        <v>0</v>
      </c>
      <c r="G8" s="132">
        <f>IF(SER_hh_fec_in!G8=0,0,11630*1000*SER_hh_fec_in!G8/SER_hh_num_in!G8)</f>
        <v>0</v>
      </c>
      <c r="H8" s="132">
        <f>IF(SER_hh_fec_in!H8=0,0,11630*1000*SER_hh_fec_in!H8/SER_hh_num_in!H8)</f>
        <v>0</v>
      </c>
      <c r="I8" s="132">
        <f>IF(SER_hh_fec_in!I8=0,0,11630*1000*SER_hh_fec_in!I8/SER_hh_num_in!I8)</f>
        <v>0</v>
      </c>
      <c r="J8" s="132">
        <f>IF(SER_hh_fec_in!J8=0,0,11630*1000*SER_hh_fec_in!J8/SER_hh_num_in!J8)</f>
        <v>0</v>
      </c>
      <c r="K8" s="132">
        <f>IF(SER_hh_fec_in!K8=0,0,11630*1000*SER_hh_fec_in!K8/SER_hh_num_in!K8)</f>
        <v>0</v>
      </c>
      <c r="L8" s="132">
        <f>IF(SER_hh_fec_in!L8=0,0,11630*1000*SER_hh_fec_in!L8/SER_hh_num_in!L8)</f>
        <v>0</v>
      </c>
      <c r="M8" s="132">
        <f>IF(SER_hh_fec_in!M8=0,0,11630*1000*SER_hh_fec_in!M8/SER_hh_num_in!M8)</f>
        <v>0</v>
      </c>
      <c r="N8" s="132">
        <f>IF(SER_hh_fec_in!N8=0,0,11630*1000*SER_hh_fec_in!N8/SER_hh_num_in!N8)</f>
        <v>0</v>
      </c>
      <c r="O8" s="132">
        <f>IF(SER_hh_fec_in!O8=0,0,11630*1000*SER_hh_fec_in!O8/SER_hh_num_in!O8)</f>
        <v>0</v>
      </c>
      <c r="P8" s="132">
        <f>IF(SER_hh_fec_in!P8=0,0,11630*1000*SER_hh_fec_in!P8/SER_hh_num_in!P8)</f>
        <v>0</v>
      </c>
      <c r="Q8" s="132">
        <f>IF(SER_hh_fec_in!Q8=0,0,11630*1000*SER_hh_fec_in!Q8/SER_hh_num_in!Q8)</f>
        <v>0</v>
      </c>
      <c r="R8" s="132">
        <f>IF(SER_hh_fec_in!R8=0,0,11630*1000*SER_hh_fec_in!R8/SER_hh_num_in!R8)</f>
        <v>0</v>
      </c>
      <c r="S8" s="132">
        <f>IF(SER_hh_fec_in!S8=0,0,11630*1000*SER_hh_fec_in!S8/SER_hh_num_in!S8)</f>
        <v>0</v>
      </c>
      <c r="T8" s="132">
        <f>IF(SER_hh_fec_in!T8=0,0,11630*1000*SER_hh_fec_in!T8/SER_hh_num_in!T8)</f>
        <v>0</v>
      </c>
      <c r="U8" s="132">
        <f>IF(SER_hh_fec_in!U8=0,0,11630*1000*SER_hh_fec_in!U8/SER_hh_num_in!U8)</f>
        <v>0</v>
      </c>
      <c r="V8" s="132">
        <f>IF(SER_hh_fec_in!V8=0,0,11630*1000*SER_hh_fec_in!V8/SER_hh_num_in!V8)</f>
        <v>0</v>
      </c>
      <c r="W8" s="132">
        <f>IF(SER_hh_fec_in!W8=0,0,11630*1000*SER_hh_fec_in!W8/SER_hh_num_in!W8)</f>
        <v>0</v>
      </c>
      <c r="X8" s="132">
        <f>IF(SER_hh_fec_in!X8=0,0,11630*1000*SER_hh_fec_in!X8/SER_hh_num_in!X8)</f>
        <v>0</v>
      </c>
      <c r="Y8" s="132">
        <f>IF(SER_hh_fec_in!Y8=0,0,11630*1000*SER_hh_fec_in!Y8/SER_hh_num_in!Y8)</f>
        <v>0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199533.44194944549</v>
      </c>
      <c r="D9" s="132">
        <f>IF(SER_hh_fec_in!D9=0,0,11630*1000*SER_hh_fec_in!D9/SER_hh_num_in!D9)</f>
        <v>191273.45071168873</v>
      </c>
      <c r="E9" s="132">
        <f>IF(SER_hh_fec_in!E9=0,0,11630*1000*SER_hh_fec_in!E9/SER_hh_num_in!E9)</f>
        <v>199423.21265616789</v>
      </c>
      <c r="F9" s="132">
        <f>IF(SER_hh_fec_in!F9=0,0,11630*1000*SER_hh_fec_in!F9/SER_hh_num_in!F9)</f>
        <v>196362.22440064477</v>
      </c>
      <c r="G9" s="132">
        <f>IF(SER_hh_fec_in!G9=0,0,11630*1000*SER_hh_fec_in!G9/SER_hh_num_in!G9)</f>
        <v>194334.04275490876</v>
      </c>
      <c r="H9" s="132">
        <f>IF(SER_hh_fec_in!H9=0,0,11630*1000*SER_hh_fec_in!H9/SER_hh_num_in!H9)</f>
        <v>210206.76888305045</v>
      </c>
      <c r="I9" s="132">
        <f>IF(SER_hh_fec_in!I9=0,0,11630*1000*SER_hh_fec_in!I9/SER_hh_num_in!I9)</f>
        <v>207189.10025472342</v>
      </c>
      <c r="J9" s="132">
        <f>IF(SER_hh_fec_in!J9=0,0,11630*1000*SER_hh_fec_in!J9/SER_hh_num_in!J9)</f>
        <v>206432.06201149136</v>
      </c>
      <c r="K9" s="132">
        <f>IF(SER_hh_fec_in!K9=0,0,11630*1000*SER_hh_fec_in!K9/SER_hh_num_in!K9)</f>
        <v>179593.51175483537</v>
      </c>
      <c r="L9" s="132">
        <f>IF(SER_hh_fec_in!L9=0,0,11630*1000*SER_hh_fec_in!L9/SER_hh_num_in!L9)</f>
        <v>186724.93818880065</v>
      </c>
      <c r="M9" s="132">
        <f>IF(SER_hh_fec_in!M9=0,0,11630*1000*SER_hh_fec_in!M9/SER_hh_num_in!M9)</f>
        <v>159734.95217507437</v>
      </c>
      <c r="N9" s="132">
        <f>IF(SER_hh_fec_in!N9=0,0,11630*1000*SER_hh_fec_in!N9/SER_hh_num_in!N9)</f>
        <v>166180.71837347877</v>
      </c>
      <c r="O9" s="132">
        <f>IF(SER_hh_fec_in!O9=0,0,11630*1000*SER_hh_fec_in!O9/SER_hh_num_in!O9)</f>
        <v>147450.61098502792</v>
      </c>
      <c r="P9" s="132">
        <f>IF(SER_hh_fec_in!P9=0,0,11630*1000*SER_hh_fec_in!P9/SER_hh_num_in!P9)</f>
        <v>123635.79026982698</v>
      </c>
      <c r="Q9" s="132">
        <f>IF(SER_hh_fec_in!Q9=0,0,11630*1000*SER_hh_fec_in!Q9/SER_hh_num_in!Q9)</f>
        <v>129798.88397161514</v>
      </c>
      <c r="R9" s="132">
        <f>IF(SER_hh_fec_in!R9=0,0,11630*1000*SER_hh_fec_in!R9/SER_hh_num_in!R9)</f>
        <v>115721.41936386949</v>
      </c>
      <c r="S9" s="132">
        <f>IF(SER_hh_fec_in!S9=0,0,11630*1000*SER_hh_fec_in!S9/SER_hh_num_in!S9)</f>
        <v>103735.50308815872</v>
      </c>
      <c r="T9" s="132">
        <f>IF(SER_hh_fec_in!T9=0,0,11630*1000*SER_hh_fec_in!T9/SER_hh_num_in!T9)</f>
        <v>106385.7523292049</v>
      </c>
      <c r="U9" s="132">
        <f>IF(SER_hh_fec_in!U9=0,0,11630*1000*SER_hh_fec_in!U9/SER_hh_num_in!U9)</f>
        <v>97573.30532835341</v>
      </c>
      <c r="V9" s="132">
        <f>IF(SER_hh_fec_in!V9=0,0,11630*1000*SER_hh_fec_in!V9/SER_hh_num_in!V9)</f>
        <v>77407.36806157681</v>
      </c>
      <c r="W9" s="132">
        <f>IF(SER_hh_fec_in!W9=0,0,11630*1000*SER_hh_fec_in!W9/SER_hh_num_in!W9)</f>
        <v>62063.603903465744</v>
      </c>
      <c r="X9" s="132">
        <f>IF(SER_hh_fec_in!X9=0,0,11630*1000*SER_hh_fec_in!X9/SER_hh_num_in!X9)</f>
        <v>43953.213085392475</v>
      </c>
      <c r="Y9" s="132">
        <f>IF(SER_hh_fec_in!Y9=0,0,11630*1000*SER_hh_fec_in!Y9/SER_hh_num_in!Y9)</f>
        <v>43008.103002229022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0</v>
      </c>
      <c r="D10" s="132">
        <f>IF(SER_hh_fec_in!D10=0,0,11630*1000*SER_hh_fec_in!D10/SER_hh_num_in!D10)</f>
        <v>0</v>
      </c>
      <c r="E10" s="132">
        <f>IF(SER_hh_fec_in!E10=0,0,11630*1000*SER_hh_fec_in!E10/SER_hh_num_in!E10)</f>
        <v>0</v>
      </c>
      <c r="F10" s="132">
        <f>IF(SER_hh_fec_in!F10=0,0,11630*1000*SER_hh_fec_in!F10/SER_hh_num_in!F10)</f>
        <v>0</v>
      </c>
      <c r="G10" s="132">
        <f>IF(SER_hh_fec_in!G10=0,0,11630*1000*SER_hh_fec_in!G10/SER_hh_num_in!G10)</f>
        <v>50179.818403985329</v>
      </c>
      <c r="H10" s="132">
        <f>IF(SER_hh_fec_in!H10=0,0,11630*1000*SER_hh_fec_in!H10/SER_hh_num_in!H10)</f>
        <v>129059.75170571184</v>
      </c>
      <c r="I10" s="132">
        <f>IF(SER_hh_fec_in!I10=0,0,11630*1000*SER_hh_fec_in!I10/SER_hh_num_in!I10)</f>
        <v>238490.37475244206</v>
      </c>
      <c r="J10" s="132">
        <f>IF(SER_hh_fec_in!J10=0,0,11630*1000*SER_hh_fec_in!J10/SER_hh_num_in!J10)</f>
        <v>283360.74618915393</v>
      </c>
      <c r="K10" s="132">
        <f>IF(SER_hh_fec_in!K10=0,0,11630*1000*SER_hh_fec_in!K10/SER_hh_num_in!K10)</f>
        <v>265415.61048191466</v>
      </c>
      <c r="L10" s="132">
        <f>IF(SER_hh_fec_in!L10=0,0,11630*1000*SER_hh_fec_in!L10/SER_hh_num_in!L10)</f>
        <v>188150.54871376784</v>
      </c>
      <c r="M10" s="132">
        <f>IF(SER_hh_fec_in!M10=0,0,11630*1000*SER_hh_fec_in!M10/SER_hh_num_in!M10)</f>
        <v>197552.9631496692</v>
      </c>
      <c r="N10" s="132">
        <f>IF(SER_hh_fec_in!N10=0,0,11630*1000*SER_hh_fec_in!N10/SER_hh_num_in!N10)</f>
        <v>190482.29899898352</v>
      </c>
      <c r="O10" s="132">
        <f>IF(SER_hh_fec_in!O10=0,0,11630*1000*SER_hh_fec_in!O10/SER_hh_num_in!O10)</f>
        <v>220629.70076992366</v>
      </c>
      <c r="P10" s="132">
        <f>IF(SER_hh_fec_in!P10=0,0,11630*1000*SER_hh_fec_in!P10/SER_hh_num_in!P10)</f>
        <v>228579.86099057543</v>
      </c>
      <c r="Q10" s="132">
        <f>IF(SER_hh_fec_in!Q10=0,0,11630*1000*SER_hh_fec_in!Q10/SER_hh_num_in!Q10)</f>
        <v>131371.50324435279</v>
      </c>
      <c r="R10" s="132">
        <f>IF(SER_hh_fec_in!R10=0,0,11630*1000*SER_hh_fec_in!R10/SER_hh_num_in!R10)</f>
        <v>183225.41204058498</v>
      </c>
      <c r="S10" s="132">
        <f>IF(SER_hh_fec_in!S10=0,0,11630*1000*SER_hh_fec_in!S10/SER_hh_num_in!S10)</f>
        <v>0</v>
      </c>
      <c r="T10" s="132">
        <f>IF(SER_hh_fec_in!T10=0,0,11630*1000*SER_hh_fec_in!T10/SER_hh_num_in!T10)</f>
        <v>0</v>
      </c>
      <c r="U10" s="132">
        <f>IF(SER_hh_fec_in!U10=0,0,11630*1000*SER_hh_fec_in!U10/SER_hh_num_in!U10)</f>
        <v>0</v>
      </c>
      <c r="V10" s="132">
        <f>IF(SER_hh_fec_in!V10=0,0,11630*1000*SER_hh_fec_in!V10/SER_hh_num_in!V10)</f>
        <v>108892.91271833237</v>
      </c>
      <c r="W10" s="132">
        <f>IF(SER_hh_fec_in!W10=0,0,11630*1000*SER_hh_fec_in!W10/SER_hh_num_in!W10)</f>
        <v>95577.566556300517</v>
      </c>
      <c r="X10" s="132">
        <f>IF(SER_hh_fec_in!X10=0,0,11630*1000*SER_hh_fec_in!X10/SER_hh_num_in!X10)</f>
        <v>68034.436763426027</v>
      </c>
      <c r="Y10" s="132">
        <f>IF(SER_hh_fec_in!Y10=0,0,11630*1000*SER_hh_fec_in!Y10/SER_hh_num_in!Y10)</f>
        <v>58560.183103213363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0</v>
      </c>
      <c r="D11" s="132">
        <f>IF(SER_hh_fec_in!D11=0,0,11630*1000*SER_hh_fec_in!D11/SER_hh_num_in!D11)</f>
        <v>0</v>
      </c>
      <c r="E11" s="132">
        <f>IF(SER_hh_fec_in!E11=0,0,11630*1000*SER_hh_fec_in!E11/SER_hh_num_in!E11)</f>
        <v>0</v>
      </c>
      <c r="F11" s="132">
        <f>IF(SER_hh_fec_in!F11=0,0,11630*1000*SER_hh_fec_in!F11/SER_hh_num_in!F11)</f>
        <v>0</v>
      </c>
      <c r="G11" s="132">
        <f>IF(SER_hh_fec_in!G11=0,0,11630*1000*SER_hh_fec_in!G11/SER_hh_num_in!G11)</f>
        <v>0</v>
      </c>
      <c r="H11" s="132">
        <f>IF(SER_hh_fec_in!H11=0,0,11630*1000*SER_hh_fec_in!H11/SER_hh_num_in!H11)</f>
        <v>0</v>
      </c>
      <c r="I11" s="132">
        <f>IF(SER_hh_fec_in!I11=0,0,11630*1000*SER_hh_fec_in!I11/SER_hh_num_in!I11)</f>
        <v>0</v>
      </c>
      <c r="J11" s="132">
        <f>IF(SER_hh_fec_in!J11=0,0,11630*1000*SER_hh_fec_in!J11/SER_hh_num_in!J11)</f>
        <v>0</v>
      </c>
      <c r="K11" s="132">
        <f>IF(SER_hh_fec_in!K11=0,0,11630*1000*SER_hh_fec_in!K11/SER_hh_num_in!K11)</f>
        <v>0</v>
      </c>
      <c r="L11" s="132">
        <f>IF(SER_hh_fec_in!L11=0,0,11630*1000*SER_hh_fec_in!L11/SER_hh_num_in!L11)</f>
        <v>0</v>
      </c>
      <c r="M11" s="132">
        <f>IF(SER_hh_fec_in!M11=0,0,11630*1000*SER_hh_fec_in!M11/SER_hh_num_in!M11)</f>
        <v>0</v>
      </c>
      <c r="N11" s="132">
        <f>IF(SER_hh_fec_in!N11=0,0,11630*1000*SER_hh_fec_in!N11/SER_hh_num_in!N11)</f>
        <v>0</v>
      </c>
      <c r="O11" s="132">
        <f>IF(SER_hh_fec_in!O11=0,0,11630*1000*SER_hh_fec_in!O11/SER_hh_num_in!O11)</f>
        <v>0</v>
      </c>
      <c r="P11" s="132">
        <f>IF(SER_hh_fec_in!P11=0,0,11630*1000*SER_hh_fec_in!P11/SER_hh_num_in!P11)</f>
        <v>0</v>
      </c>
      <c r="Q11" s="132">
        <f>IF(SER_hh_fec_in!Q11=0,0,11630*1000*SER_hh_fec_in!Q11/SER_hh_num_in!Q11)</f>
        <v>0</v>
      </c>
      <c r="R11" s="132">
        <f>IF(SER_hh_fec_in!R11=0,0,11630*1000*SER_hh_fec_in!R11/SER_hh_num_in!R11)</f>
        <v>0</v>
      </c>
      <c r="S11" s="132">
        <f>IF(SER_hh_fec_in!S11=0,0,11630*1000*SER_hh_fec_in!S11/SER_hh_num_in!S11)</f>
        <v>0</v>
      </c>
      <c r="T11" s="132">
        <f>IF(SER_hh_fec_in!T11=0,0,11630*1000*SER_hh_fec_in!T11/SER_hh_num_in!T11)</f>
        <v>0</v>
      </c>
      <c r="U11" s="132">
        <f>IF(SER_hh_fec_in!U11=0,0,11630*1000*SER_hh_fec_in!U11/SER_hh_num_in!U11)</f>
        <v>0</v>
      </c>
      <c r="V11" s="132">
        <f>IF(SER_hh_fec_in!V11=0,0,11630*1000*SER_hh_fec_in!V11/SER_hh_num_in!V11)</f>
        <v>0</v>
      </c>
      <c r="W11" s="132">
        <f>IF(SER_hh_fec_in!W11=0,0,11630*1000*SER_hh_fec_in!W11/SER_hh_num_in!W11)</f>
        <v>0</v>
      </c>
      <c r="X11" s="132">
        <f>IF(SER_hh_fec_in!X11=0,0,11630*1000*SER_hh_fec_in!X11/SER_hh_num_in!X11)</f>
        <v>0</v>
      </c>
      <c r="Y11" s="132">
        <f>IF(SER_hh_fec_in!Y11=0,0,11630*1000*SER_hh_fec_in!Y11/SER_hh_num_in!Y11)</f>
        <v>0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0</v>
      </c>
      <c r="D12" s="132">
        <f>IF(SER_hh_fec_in!D12=0,0,11630*1000*SER_hh_fec_in!D12/SER_hh_num_in!D12)</f>
        <v>0</v>
      </c>
      <c r="E12" s="132">
        <f>IF(SER_hh_fec_in!E12=0,0,11630*1000*SER_hh_fec_in!E12/SER_hh_num_in!E12)</f>
        <v>0</v>
      </c>
      <c r="F12" s="132">
        <f>IF(SER_hh_fec_in!F12=0,0,11630*1000*SER_hh_fec_in!F12/SER_hh_num_in!F12)</f>
        <v>0</v>
      </c>
      <c r="G12" s="132">
        <f>IF(SER_hh_fec_in!G12=0,0,11630*1000*SER_hh_fec_in!G12/SER_hh_num_in!G12)</f>
        <v>0</v>
      </c>
      <c r="H12" s="132">
        <f>IF(SER_hh_fec_in!H12=0,0,11630*1000*SER_hh_fec_in!H12/SER_hh_num_in!H12)</f>
        <v>0</v>
      </c>
      <c r="I12" s="132">
        <f>IF(SER_hh_fec_in!I12=0,0,11630*1000*SER_hh_fec_in!I12/SER_hh_num_in!I12)</f>
        <v>0</v>
      </c>
      <c r="J12" s="132">
        <f>IF(SER_hh_fec_in!J12=0,0,11630*1000*SER_hh_fec_in!J12/SER_hh_num_in!J12)</f>
        <v>0</v>
      </c>
      <c r="K12" s="132">
        <f>IF(SER_hh_fec_in!K12=0,0,11630*1000*SER_hh_fec_in!K12/SER_hh_num_in!K12)</f>
        <v>0</v>
      </c>
      <c r="L12" s="132">
        <f>IF(SER_hh_fec_in!L12=0,0,11630*1000*SER_hh_fec_in!L12/SER_hh_num_in!L12)</f>
        <v>0</v>
      </c>
      <c r="M12" s="132">
        <f>IF(SER_hh_fec_in!M12=0,0,11630*1000*SER_hh_fec_in!M12/SER_hh_num_in!M12)</f>
        <v>0</v>
      </c>
      <c r="N12" s="132">
        <f>IF(SER_hh_fec_in!N12=0,0,11630*1000*SER_hh_fec_in!N12/SER_hh_num_in!N12)</f>
        <v>0</v>
      </c>
      <c r="O12" s="132">
        <f>IF(SER_hh_fec_in!O12=0,0,11630*1000*SER_hh_fec_in!O12/SER_hh_num_in!O12)</f>
        <v>0</v>
      </c>
      <c r="P12" s="132">
        <f>IF(SER_hh_fec_in!P12=0,0,11630*1000*SER_hh_fec_in!P12/SER_hh_num_in!P12)</f>
        <v>0</v>
      </c>
      <c r="Q12" s="132">
        <f>IF(SER_hh_fec_in!Q12=0,0,11630*1000*SER_hh_fec_in!Q12/SER_hh_num_in!Q12)</f>
        <v>0</v>
      </c>
      <c r="R12" s="132">
        <f>IF(SER_hh_fec_in!R12=0,0,11630*1000*SER_hh_fec_in!R12/SER_hh_num_in!R12)</f>
        <v>0</v>
      </c>
      <c r="S12" s="132">
        <f>IF(SER_hh_fec_in!S12=0,0,11630*1000*SER_hh_fec_in!S12/SER_hh_num_in!S12)</f>
        <v>0</v>
      </c>
      <c r="T12" s="132">
        <f>IF(SER_hh_fec_in!T12=0,0,11630*1000*SER_hh_fec_in!T12/SER_hh_num_in!T12)</f>
        <v>0</v>
      </c>
      <c r="U12" s="132">
        <f>IF(SER_hh_fec_in!U12=0,0,11630*1000*SER_hh_fec_in!U12/SER_hh_num_in!U12)</f>
        <v>0</v>
      </c>
      <c r="V12" s="132">
        <f>IF(SER_hh_fec_in!V12=0,0,11630*1000*SER_hh_fec_in!V12/SER_hh_num_in!V12)</f>
        <v>0</v>
      </c>
      <c r="W12" s="132">
        <f>IF(SER_hh_fec_in!W12=0,0,11630*1000*SER_hh_fec_in!W12/SER_hh_num_in!W12)</f>
        <v>0</v>
      </c>
      <c r="X12" s="132">
        <f>IF(SER_hh_fec_in!X12=0,0,11630*1000*SER_hh_fec_in!X12/SER_hh_num_in!X12)</f>
        <v>0</v>
      </c>
      <c r="Y12" s="132">
        <f>IF(SER_hh_fec_in!Y12=0,0,11630*1000*SER_hh_fec_in!Y12/SER_hh_num_in!Y12)</f>
        <v>0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33798.037815752519</v>
      </c>
      <c r="D13" s="132">
        <f>IF(SER_hh_fec_in!D13=0,0,11630*1000*SER_hh_fec_in!D13/SER_hh_num_in!D13)</f>
        <v>8869.1360044862031</v>
      </c>
      <c r="E13" s="132">
        <f>IF(SER_hh_fec_in!E13=0,0,11630*1000*SER_hh_fec_in!E13/SER_hh_num_in!E13)</f>
        <v>43244.158861110969</v>
      </c>
      <c r="F13" s="132">
        <f>IF(SER_hh_fec_in!F13=0,0,11630*1000*SER_hh_fec_in!F13/SER_hh_num_in!F13)</f>
        <v>32430.61667125754</v>
      </c>
      <c r="G13" s="132">
        <f>IF(SER_hh_fec_in!G13=0,0,11630*1000*SER_hh_fec_in!G13/SER_hh_num_in!G13)</f>
        <v>47942.363139456218</v>
      </c>
      <c r="H13" s="132">
        <f>IF(SER_hh_fec_in!H13=0,0,11630*1000*SER_hh_fec_in!H13/SER_hh_num_in!H13)</f>
        <v>52941.329854554242</v>
      </c>
      <c r="I13" s="132">
        <f>IF(SER_hh_fec_in!I13=0,0,11630*1000*SER_hh_fec_in!I13/SER_hh_num_in!I13)</f>
        <v>52878.517735381349</v>
      </c>
      <c r="J13" s="132">
        <f>IF(SER_hh_fec_in!J13=0,0,11630*1000*SER_hh_fec_in!J13/SER_hh_num_in!J13)</f>
        <v>55265.50782267777</v>
      </c>
      <c r="K13" s="132">
        <f>IF(SER_hh_fec_in!K13=0,0,11630*1000*SER_hh_fec_in!K13/SER_hh_num_in!K13)</f>
        <v>46351.963848409796</v>
      </c>
      <c r="L13" s="132">
        <f>IF(SER_hh_fec_in!L13=0,0,11630*1000*SER_hh_fec_in!L13/SER_hh_num_in!L13)</f>
        <v>40398.433587494095</v>
      </c>
      <c r="M13" s="132">
        <f>IF(SER_hh_fec_in!M13=0,0,11630*1000*SER_hh_fec_in!M13/SER_hh_num_in!M13)</f>
        <v>38402.006767427825</v>
      </c>
      <c r="N13" s="132">
        <f>IF(SER_hh_fec_in!N13=0,0,11630*1000*SER_hh_fec_in!N13/SER_hh_num_in!N13)</f>
        <v>34650.175362343485</v>
      </c>
      <c r="O13" s="132">
        <f>IF(SER_hh_fec_in!O13=0,0,11630*1000*SER_hh_fec_in!O13/SER_hh_num_in!O13)</f>
        <v>30891.454924859809</v>
      </c>
      <c r="P13" s="132">
        <f>IF(SER_hh_fec_in!P13=0,0,11630*1000*SER_hh_fec_in!P13/SER_hh_num_in!P13)</f>
        <v>27462.535060343584</v>
      </c>
      <c r="Q13" s="132">
        <f>IF(SER_hh_fec_in!Q13=0,0,11630*1000*SER_hh_fec_in!Q13/SER_hh_num_in!Q13)</f>
        <v>25895.41260573297</v>
      </c>
      <c r="R13" s="132">
        <f>IF(SER_hh_fec_in!R13=0,0,11630*1000*SER_hh_fec_in!R13/SER_hh_num_in!R13)</f>
        <v>24429.398260365753</v>
      </c>
      <c r="S13" s="132">
        <f>IF(SER_hh_fec_in!S13=0,0,11630*1000*SER_hh_fec_in!S13/SER_hh_num_in!S13)</f>
        <v>23738.903501340366</v>
      </c>
      <c r="T13" s="132">
        <f>IF(SER_hh_fec_in!T13=0,0,11630*1000*SER_hh_fec_in!T13/SER_hh_num_in!T13)</f>
        <v>20885.769616795289</v>
      </c>
      <c r="U13" s="132">
        <f>IF(SER_hh_fec_in!U13=0,0,11630*1000*SER_hh_fec_in!U13/SER_hh_num_in!U13)</f>
        <v>19371.165403009389</v>
      </c>
      <c r="V13" s="132">
        <f>IF(SER_hh_fec_in!V13=0,0,11630*1000*SER_hh_fec_in!V13/SER_hh_num_in!V13)</f>
        <v>16982.074994270097</v>
      </c>
      <c r="W13" s="132">
        <f>IF(SER_hh_fec_in!W13=0,0,11630*1000*SER_hh_fec_in!W13/SER_hh_num_in!W13)</f>
        <v>12791.925934835164</v>
      </c>
      <c r="X13" s="132">
        <f>IF(SER_hh_fec_in!X13=0,0,11630*1000*SER_hh_fec_in!X13/SER_hh_num_in!X13)</f>
        <v>8907.1463448462146</v>
      </c>
      <c r="Y13" s="132">
        <f>IF(SER_hh_fec_in!Y13=0,0,11630*1000*SER_hh_fec_in!Y13/SER_hh_num_in!Y13)</f>
        <v>9015.4569775540131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144321.88779654892</v>
      </c>
      <c r="D14" s="65">
        <f>IF(SER_hh_fec_in!D14=0,0,11630*1000*SER_hh_fec_in!D14/SER_hh_num_in!D14)</f>
        <v>151251.20832709662</v>
      </c>
      <c r="E14" s="65">
        <f>IF(SER_hh_fec_in!E14=0,0,11630*1000*SER_hh_fec_in!E14/SER_hh_num_in!E14)</f>
        <v>163467.51408370683</v>
      </c>
      <c r="F14" s="65">
        <f>IF(SER_hh_fec_in!F14=0,0,11630*1000*SER_hh_fec_in!F14/SER_hh_num_in!F14)</f>
        <v>145392.41411200716</v>
      </c>
      <c r="G14" s="65">
        <f>IF(SER_hh_fec_in!G14=0,0,11630*1000*SER_hh_fec_in!G14/SER_hh_num_in!G14)</f>
        <v>159503.84117002101</v>
      </c>
      <c r="H14" s="65">
        <f>IF(SER_hh_fec_in!H14=0,0,11630*1000*SER_hh_fec_in!H14/SER_hh_num_in!H14)</f>
        <v>171907.72790502798</v>
      </c>
      <c r="I14" s="65">
        <f>IF(SER_hh_fec_in!I14=0,0,11630*1000*SER_hh_fec_in!I14/SER_hh_num_in!I14)</f>
        <v>156477.94625558023</v>
      </c>
      <c r="J14" s="65">
        <f>IF(SER_hh_fec_in!J14=0,0,11630*1000*SER_hh_fec_in!J14/SER_hh_num_in!J14)</f>
        <v>162496.57530291038</v>
      </c>
      <c r="K14" s="65">
        <f>IF(SER_hh_fec_in!K14=0,0,11630*1000*SER_hh_fec_in!K14/SER_hh_num_in!K14)</f>
        <v>150101.48819727098</v>
      </c>
      <c r="L14" s="65">
        <f>IF(SER_hh_fec_in!L14=0,0,11630*1000*SER_hh_fec_in!L14/SER_hh_num_in!L14)</f>
        <v>141453.9926628549</v>
      </c>
      <c r="M14" s="65">
        <f>IF(SER_hh_fec_in!M14=0,0,11630*1000*SER_hh_fec_in!M14/SER_hh_num_in!M14)</f>
        <v>137541.75481828756</v>
      </c>
      <c r="N14" s="65">
        <f>IF(SER_hh_fec_in!N14=0,0,11630*1000*SER_hh_fec_in!N14/SER_hh_num_in!N14)</f>
        <v>132171.48957756846</v>
      </c>
      <c r="O14" s="65">
        <f>IF(SER_hh_fec_in!O14=0,0,11630*1000*SER_hh_fec_in!O14/SER_hh_num_in!O14)</f>
        <v>131682.89757635814</v>
      </c>
      <c r="P14" s="65">
        <f>IF(SER_hh_fec_in!P14=0,0,11630*1000*SER_hh_fec_in!P14/SER_hh_num_in!P14)</f>
        <v>110786.44335734913</v>
      </c>
      <c r="Q14" s="65">
        <f>IF(SER_hh_fec_in!Q14=0,0,11630*1000*SER_hh_fec_in!Q14/SER_hh_num_in!Q14)</f>
        <v>128225.81153511662</v>
      </c>
      <c r="R14" s="65">
        <f>IF(SER_hh_fec_in!R14=0,0,11630*1000*SER_hh_fec_in!R14/SER_hh_num_in!R14)</f>
        <v>113393.81227053123</v>
      </c>
      <c r="S14" s="65">
        <f>IF(SER_hh_fec_in!S14=0,0,11630*1000*SER_hh_fec_in!S14/SER_hh_num_in!S14)</f>
        <v>98413.207083523026</v>
      </c>
      <c r="T14" s="65">
        <f>IF(SER_hh_fec_in!T14=0,0,11630*1000*SER_hh_fec_in!T14/SER_hh_num_in!T14)</f>
        <v>106388.88197583554</v>
      </c>
      <c r="U14" s="65">
        <f>IF(SER_hh_fec_in!U14=0,0,11630*1000*SER_hh_fec_in!U14/SER_hh_num_in!U14)</f>
        <v>102774.99893458643</v>
      </c>
      <c r="V14" s="65">
        <f>IF(SER_hh_fec_in!V14=0,0,11630*1000*SER_hh_fec_in!V14/SER_hh_num_in!V14)</f>
        <v>70120.94473442981</v>
      </c>
      <c r="W14" s="65">
        <f>IF(SER_hh_fec_in!W14=0,0,11630*1000*SER_hh_fec_in!W14/SER_hh_num_in!W14)</f>
        <v>55106.399547344678</v>
      </c>
      <c r="X14" s="65">
        <f>IF(SER_hh_fec_in!X14=0,0,11630*1000*SER_hh_fec_in!X14/SER_hh_num_in!X14)</f>
        <v>39240.340093133578</v>
      </c>
      <c r="Y14" s="65">
        <f>IF(SER_hh_fec_in!Y14=0,0,11630*1000*SER_hh_fec_in!Y14/SER_hh_num_in!Y14)</f>
        <v>39612.251392210026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2134.9886780324582</v>
      </c>
      <c r="D15" s="134">
        <f>IF(SER_hh_fec_in!D15=0,0,11630*1000*SER_hh_fec_in!D15/SER_hh_num_in!D15)</f>
        <v>1633.7766781832402</v>
      </c>
      <c r="E15" s="134">
        <f>IF(SER_hh_fec_in!E15=0,0,11630*1000*SER_hh_fec_in!E15/SER_hh_num_in!E15)</f>
        <v>1957.9642079147598</v>
      </c>
      <c r="F15" s="134">
        <f>IF(SER_hh_fec_in!F15=0,0,11630*1000*SER_hh_fec_in!F15/SER_hh_num_in!F15)</f>
        <v>1984.2039418865602</v>
      </c>
      <c r="G15" s="134">
        <f>IF(SER_hh_fec_in!G15=0,0,11630*1000*SER_hh_fec_in!G15/SER_hh_num_in!G15)</f>
        <v>1942.6982290015844</v>
      </c>
      <c r="H15" s="134">
        <f>IF(SER_hh_fec_in!H15=0,0,11630*1000*SER_hh_fec_in!H15/SER_hh_num_in!H15)</f>
        <v>2085.3402570413136</v>
      </c>
      <c r="I15" s="134">
        <f>IF(SER_hh_fec_in!I15=0,0,11630*1000*SER_hh_fec_in!I15/SER_hh_num_in!I15)</f>
        <v>2040.6812546463038</v>
      </c>
      <c r="J15" s="134">
        <f>IF(SER_hh_fec_in!J15=0,0,11630*1000*SER_hh_fec_in!J15/SER_hh_num_in!J15)</f>
        <v>2084.2270132422154</v>
      </c>
      <c r="K15" s="134">
        <f>IF(SER_hh_fec_in!K15=0,0,11630*1000*SER_hh_fec_in!K15/SER_hh_num_in!K15)</f>
        <v>1806.770469438115</v>
      </c>
      <c r="L15" s="134">
        <f>IF(SER_hh_fec_in!L15=0,0,11630*1000*SER_hh_fec_in!L15/SER_hh_num_in!L15)</f>
        <v>1884.5226908949091</v>
      </c>
      <c r="M15" s="134">
        <f>IF(SER_hh_fec_in!M15=0,0,11630*1000*SER_hh_fec_in!M15/SER_hh_num_in!M15)</f>
        <v>1622.8015611434084</v>
      </c>
      <c r="N15" s="134">
        <f>IF(SER_hh_fec_in!N15=0,0,11630*1000*SER_hh_fec_in!N15/SER_hh_num_in!N15)</f>
        <v>1631.3831284960618</v>
      </c>
      <c r="O15" s="134">
        <f>IF(SER_hh_fec_in!O15=0,0,11630*1000*SER_hh_fec_in!O15/SER_hh_num_in!O15)</f>
        <v>1718.8067769234681</v>
      </c>
      <c r="P15" s="134">
        <f>IF(SER_hh_fec_in!P15=0,0,11630*1000*SER_hh_fec_in!P15/SER_hh_num_in!P15)</f>
        <v>1487.3360856744409</v>
      </c>
      <c r="Q15" s="134">
        <f>IF(SER_hh_fec_in!Q15=0,0,11630*1000*SER_hh_fec_in!Q15/SER_hh_num_in!Q15)</f>
        <v>1581.2421374259441</v>
      </c>
      <c r="R15" s="134">
        <f>IF(SER_hh_fec_in!R15=0,0,11630*1000*SER_hh_fec_in!R15/SER_hh_num_in!R15)</f>
        <v>1423.2673230787427</v>
      </c>
      <c r="S15" s="134">
        <f>IF(SER_hh_fec_in!S15=0,0,11630*1000*SER_hh_fec_in!S15/SER_hh_num_in!S15)</f>
        <v>1300.5948689303889</v>
      </c>
      <c r="T15" s="134">
        <f>IF(SER_hh_fec_in!T15=0,0,11630*1000*SER_hh_fec_in!T15/SER_hh_num_in!T15)</f>
        <v>1345.8470815027354</v>
      </c>
      <c r="U15" s="134">
        <f>IF(SER_hh_fec_in!U15=0,0,11630*1000*SER_hh_fec_in!U15/SER_hh_num_in!U15)</f>
        <v>1244.5126127799983</v>
      </c>
      <c r="V15" s="134">
        <f>IF(SER_hh_fec_in!V15=0,0,11630*1000*SER_hh_fec_in!V15/SER_hh_num_in!V15)</f>
        <v>988.25421500462835</v>
      </c>
      <c r="W15" s="134">
        <f>IF(SER_hh_fec_in!W15=0,0,11630*1000*SER_hh_fec_in!W15/SER_hh_num_in!W15)</f>
        <v>782.58019759899014</v>
      </c>
      <c r="X15" s="134">
        <f>IF(SER_hh_fec_in!X15=0,0,11630*1000*SER_hh_fec_in!X15/SER_hh_num_in!X15)</f>
        <v>547.8167264135725</v>
      </c>
      <c r="Y15" s="134">
        <f>IF(SER_hh_fec_in!Y15=0,0,11630*1000*SER_hh_fec_in!Y15/SER_hh_num_in!Y15)</f>
        <v>523.57228661175054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8063.2088734186646</v>
      </c>
      <c r="D16" s="130">
        <f>IF(SER_hh_fec_in!D16=0,0,11630*1000*SER_hh_fec_in!D16/SER_hh_num_in!D16)</f>
        <v>7758.9065208530455</v>
      </c>
      <c r="E16" s="130">
        <f>IF(SER_hh_fec_in!E16=0,0,11630*1000*SER_hh_fec_in!E16/SER_hh_num_in!E16)</f>
        <v>7339.0801909575921</v>
      </c>
      <c r="F16" s="130">
        <f>IF(SER_hh_fec_in!F16=0,0,11630*1000*SER_hh_fec_in!F16/SER_hh_num_in!F16)</f>
        <v>6975.5315075860935</v>
      </c>
      <c r="G16" s="130">
        <f>IF(SER_hh_fec_in!G16=0,0,11630*1000*SER_hh_fec_in!G16/SER_hh_num_in!G16)</f>
        <v>6527.9967518716076</v>
      </c>
      <c r="H16" s="130">
        <f>IF(SER_hh_fec_in!H16=0,0,11630*1000*SER_hh_fec_in!H16/SER_hh_num_in!H16)</f>
        <v>6317.7333004538677</v>
      </c>
      <c r="I16" s="130">
        <f>IF(SER_hh_fec_in!I16=0,0,11630*1000*SER_hh_fec_in!I16/SER_hh_num_in!I16)</f>
        <v>6106.7291951429115</v>
      </c>
      <c r="J16" s="130">
        <f>IF(SER_hh_fec_in!J16=0,0,11630*1000*SER_hh_fec_in!J16/SER_hh_num_in!J16)</f>
        <v>5687.8917150475709</v>
      </c>
      <c r="K16" s="130">
        <f>IF(SER_hh_fec_in!K16=0,0,11630*1000*SER_hh_fec_in!K16/SER_hh_num_in!K16)</f>
        <v>5378.7656465830323</v>
      </c>
      <c r="L16" s="130">
        <f>IF(SER_hh_fec_in!L16=0,0,11630*1000*SER_hh_fec_in!L16/SER_hh_num_in!L16)</f>
        <v>5100.8007641363047</v>
      </c>
      <c r="M16" s="130">
        <f>IF(SER_hh_fec_in!M16=0,0,11630*1000*SER_hh_fec_in!M16/SER_hh_num_in!M16)</f>
        <v>4772.3144918520147</v>
      </c>
      <c r="N16" s="130">
        <f>IF(SER_hh_fec_in!N16=0,0,11630*1000*SER_hh_fec_in!N16/SER_hh_num_in!N16)</f>
        <v>4534.5602349390483</v>
      </c>
      <c r="O16" s="130">
        <f>IF(SER_hh_fec_in!O16=0,0,11630*1000*SER_hh_fec_in!O16/SER_hh_num_in!O16)</f>
        <v>4174.8408547808267</v>
      </c>
      <c r="P16" s="130">
        <f>IF(SER_hh_fec_in!P16=0,0,11630*1000*SER_hh_fec_in!P16/SER_hh_num_in!P16)</f>
        <v>3981.4706583273132</v>
      </c>
      <c r="Q16" s="130">
        <f>IF(SER_hh_fec_in!Q16=0,0,11630*1000*SER_hh_fec_in!Q16/SER_hh_num_in!Q16)</f>
        <v>3645.6849658217234</v>
      </c>
      <c r="R16" s="130">
        <f>IF(SER_hh_fec_in!R16=0,0,11630*1000*SER_hh_fec_in!R16/SER_hh_num_in!R16)</f>
        <v>3600.6018077858021</v>
      </c>
      <c r="S16" s="130">
        <f>IF(SER_hh_fec_in!S16=0,0,11630*1000*SER_hh_fec_in!S16/SER_hh_num_in!S16)</f>
        <v>3391.0216359189262</v>
      </c>
      <c r="T16" s="130">
        <f>IF(SER_hh_fec_in!T16=0,0,11630*1000*SER_hh_fec_in!T16/SER_hh_num_in!T16)</f>
        <v>3218.2337726842125</v>
      </c>
      <c r="U16" s="130">
        <f>IF(SER_hh_fec_in!U16=0,0,11630*1000*SER_hh_fec_in!U16/SER_hh_num_in!U16)</f>
        <v>3085.1109101331785</v>
      </c>
      <c r="V16" s="130">
        <f>IF(SER_hh_fec_in!V16=0,0,11630*1000*SER_hh_fec_in!V16/SER_hh_num_in!V16)</f>
        <v>2777.7639208232968</v>
      </c>
      <c r="W16" s="130">
        <f>IF(SER_hh_fec_in!W16=0,0,11630*1000*SER_hh_fec_in!W16/SER_hh_num_in!W16)</f>
        <v>2383.2014782043352</v>
      </c>
      <c r="X16" s="130">
        <f>IF(SER_hh_fec_in!X16=0,0,11630*1000*SER_hh_fec_in!X16/SER_hh_num_in!X16)</f>
        <v>2160.3224438682714</v>
      </c>
      <c r="Y16" s="130">
        <f>IF(SER_hh_fec_in!Y16=0,0,11630*1000*SER_hh_fec_in!Y16/SER_hh_num_in!Y16)</f>
        <v>2167.2679776484001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18164.312376466722</v>
      </c>
      <c r="D17" s="132">
        <f>IF(SER_hh_fec_in!D17=0,0,11630*1000*SER_hh_fec_in!D17/SER_hh_num_in!D17)</f>
        <v>17991.989726819458</v>
      </c>
      <c r="E17" s="132">
        <f>IF(SER_hh_fec_in!E17=0,0,11630*1000*SER_hh_fec_in!E17/SER_hh_num_in!E17)</f>
        <v>17522.882533682689</v>
      </c>
      <c r="F17" s="132">
        <f>IF(SER_hh_fec_in!F17=0,0,11630*1000*SER_hh_fec_in!F17/SER_hh_num_in!F17)</f>
        <v>17076.560276200486</v>
      </c>
      <c r="G17" s="132">
        <f>IF(SER_hh_fec_in!G17=0,0,11630*1000*SER_hh_fec_in!G17/SER_hh_num_in!G17)</f>
        <v>16440.193724577352</v>
      </c>
      <c r="H17" s="132">
        <f>IF(SER_hh_fec_in!H17=0,0,11630*1000*SER_hh_fec_in!H17/SER_hh_num_in!H17)</f>
        <v>16310.572676061216</v>
      </c>
      <c r="I17" s="132">
        <f>IF(SER_hh_fec_in!I17=0,0,11630*1000*SER_hh_fec_in!I17/SER_hh_num_in!I17)</f>
        <v>15918.27581035066</v>
      </c>
      <c r="J17" s="132">
        <f>IF(SER_hh_fec_in!J17=0,0,11630*1000*SER_hh_fec_in!J17/SER_hh_num_in!J17)</f>
        <v>15440.611182866638</v>
      </c>
      <c r="K17" s="132">
        <f>IF(SER_hh_fec_in!K17=0,0,11630*1000*SER_hh_fec_in!K17/SER_hh_num_in!K17)</f>
        <v>14837.916412482451</v>
      </c>
      <c r="L17" s="132">
        <f>IF(SER_hh_fec_in!L17=0,0,11630*1000*SER_hh_fec_in!L17/SER_hh_num_in!L17)</f>
        <v>14438.036605026191</v>
      </c>
      <c r="M17" s="132">
        <f>IF(SER_hh_fec_in!M17=0,0,11630*1000*SER_hh_fec_in!M17/SER_hh_num_in!M17)</f>
        <v>13842.327847998835</v>
      </c>
      <c r="N17" s="132">
        <f>IF(SER_hh_fec_in!N17=0,0,11630*1000*SER_hh_fec_in!N17/SER_hh_num_in!N17)</f>
        <v>13470.17857981085</v>
      </c>
      <c r="O17" s="132">
        <f>IF(SER_hh_fec_in!O17=0,0,11630*1000*SER_hh_fec_in!O17/SER_hh_num_in!O17)</f>
        <v>12721.632530110064</v>
      </c>
      <c r="P17" s="132">
        <f>IF(SER_hh_fec_in!P17=0,0,11630*1000*SER_hh_fec_in!P17/SER_hh_num_in!P17)</f>
        <v>12516.500090477493</v>
      </c>
      <c r="Q17" s="132">
        <f>IF(SER_hh_fec_in!Q17=0,0,11630*1000*SER_hh_fec_in!Q17/SER_hh_num_in!Q17)</f>
        <v>11862.489299890498</v>
      </c>
      <c r="R17" s="132">
        <f>IF(SER_hh_fec_in!R17=0,0,11630*1000*SER_hh_fec_in!R17/SER_hh_num_in!R17)</f>
        <v>11701.063649429481</v>
      </c>
      <c r="S17" s="132">
        <f>IF(SER_hh_fec_in!S17=0,0,11630*1000*SER_hh_fec_in!S17/SER_hh_num_in!S17)</f>
        <v>11074.753071872035</v>
      </c>
      <c r="T17" s="132">
        <f>IF(SER_hh_fec_in!T17=0,0,11630*1000*SER_hh_fec_in!T17/SER_hh_num_in!T17)</f>
        <v>10418.346454448383</v>
      </c>
      <c r="U17" s="132">
        <f>IF(SER_hh_fec_in!U17=0,0,11630*1000*SER_hh_fec_in!U17/SER_hh_num_in!U17)</f>
        <v>9801.1265168804839</v>
      </c>
      <c r="V17" s="132">
        <f>IF(SER_hh_fec_in!V17=0,0,11630*1000*SER_hh_fec_in!V17/SER_hh_num_in!V17)</f>
        <v>8241.6779981667732</v>
      </c>
      <c r="W17" s="132">
        <f>IF(SER_hh_fec_in!W17=0,0,11630*1000*SER_hh_fec_in!W17/SER_hh_num_in!W17)</f>
        <v>6846.6589535541079</v>
      </c>
      <c r="X17" s="132">
        <f>IF(SER_hh_fec_in!X17=0,0,11630*1000*SER_hh_fec_in!X17/SER_hh_num_in!X17)</f>
        <v>6357.8094185781838</v>
      </c>
      <c r="Y17" s="132">
        <f>IF(SER_hh_fec_in!Y17=0,0,11630*1000*SER_hh_fec_in!Y17/SER_hh_num_in!Y17)</f>
        <v>6732.625988337415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8033.6653687613471</v>
      </c>
      <c r="D18" s="132">
        <f>IF(SER_hh_fec_in!D18=0,0,11630*1000*SER_hh_fec_in!D18/SER_hh_num_in!D18)</f>
        <v>7726.7030171212045</v>
      </c>
      <c r="E18" s="132">
        <f>IF(SER_hh_fec_in!E18=0,0,11630*1000*SER_hh_fec_in!E18/SER_hh_num_in!E18)</f>
        <v>7324.5314599954327</v>
      </c>
      <c r="F18" s="132">
        <f>IF(SER_hh_fec_in!F18=0,0,11630*1000*SER_hh_fec_in!F18/SER_hh_num_in!F18)</f>
        <v>6930.5547559123834</v>
      </c>
      <c r="G18" s="132">
        <f>IF(SER_hh_fec_in!G18=0,0,11630*1000*SER_hh_fec_in!G18/SER_hh_num_in!G18)</f>
        <v>6494.0490817749615</v>
      </c>
      <c r="H18" s="132">
        <f>IF(SER_hh_fec_in!H18=0,0,11630*1000*SER_hh_fec_in!H18/SER_hh_num_in!H18)</f>
        <v>6268.2411848858837</v>
      </c>
      <c r="I18" s="132">
        <f>IF(SER_hh_fec_in!I18=0,0,11630*1000*SER_hh_fec_in!I18/SER_hh_num_in!I18)</f>
        <v>6075.8961426771011</v>
      </c>
      <c r="J18" s="132">
        <f>IF(SER_hh_fec_in!J18=0,0,11630*1000*SER_hh_fec_in!J18/SER_hh_num_in!J18)</f>
        <v>5664.9884173638548</v>
      </c>
      <c r="K18" s="132">
        <f>IF(SER_hh_fec_in!K18=0,0,11630*1000*SER_hh_fec_in!K18/SER_hh_num_in!K18)</f>
        <v>5320.1652401696647</v>
      </c>
      <c r="L18" s="132">
        <f>IF(SER_hh_fec_in!L18=0,0,11630*1000*SER_hh_fec_in!L18/SER_hh_num_in!L18)</f>
        <v>5058.094007887913</v>
      </c>
      <c r="M18" s="132">
        <f>IF(SER_hh_fec_in!M18=0,0,11630*1000*SER_hh_fec_in!M18/SER_hh_num_in!M18)</f>
        <v>4725.4087069762418</v>
      </c>
      <c r="N18" s="132">
        <f>IF(SER_hh_fec_in!N18=0,0,11630*1000*SER_hh_fec_in!N18/SER_hh_num_in!N18)</f>
        <v>4473.1423427229802</v>
      </c>
      <c r="O18" s="132">
        <f>IF(SER_hh_fec_in!O18=0,0,11630*1000*SER_hh_fec_in!O18/SER_hh_num_in!O18)</f>
        <v>4086.3799720014676</v>
      </c>
      <c r="P18" s="132">
        <f>IF(SER_hh_fec_in!P18=0,0,11630*1000*SER_hh_fec_in!P18/SER_hh_num_in!P18)</f>
        <v>3865.7625985194081</v>
      </c>
      <c r="Q18" s="132">
        <f>IF(SER_hh_fec_in!Q18=0,0,11630*1000*SER_hh_fec_in!Q18/SER_hh_num_in!Q18)</f>
        <v>3484.2404659248182</v>
      </c>
      <c r="R18" s="132">
        <f>IF(SER_hh_fec_in!R18=0,0,11630*1000*SER_hh_fec_in!R18/SER_hh_num_in!R18)</f>
        <v>3426.2636750165348</v>
      </c>
      <c r="S18" s="132">
        <f>IF(SER_hh_fec_in!S18=0,0,11630*1000*SER_hh_fec_in!S18/SER_hh_num_in!S18)</f>
        <v>3263.1854848488342</v>
      </c>
      <c r="T18" s="132">
        <f>IF(SER_hh_fec_in!T18=0,0,11630*1000*SER_hh_fec_in!T18/SER_hh_num_in!T18)</f>
        <v>3124.6378976421565</v>
      </c>
      <c r="U18" s="132">
        <f>IF(SER_hh_fec_in!U18=0,0,11630*1000*SER_hh_fec_in!U18/SER_hh_num_in!U18)</f>
        <v>2991.2721176681425</v>
      </c>
      <c r="V18" s="132">
        <f>IF(SER_hh_fec_in!V18=0,0,11630*1000*SER_hh_fec_in!V18/SER_hh_num_in!V18)</f>
        <v>2681.2167217272404</v>
      </c>
      <c r="W18" s="132">
        <f>IF(SER_hh_fec_in!W18=0,0,11630*1000*SER_hh_fec_in!W18/SER_hh_num_in!W18)</f>
        <v>2325.9187552983099</v>
      </c>
      <c r="X18" s="132">
        <f>IF(SER_hh_fec_in!X18=0,0,11630*1000*SER_hh_fec_in!X18/SER_hh_num_in!X18)</f>
        <v>2080.2088962251096</v>
      </c>
      <c r="Y18" s="132">
        <f>IF(SER_hh_fec_in!Y18=0,0,11630*1000*SER_hh_fec_in!Y18/SER_hh_num_in!Y18)</f>
        <v>2106.3426806242464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34649.197543627153</v>
      </c>
      <c r="D19" s="130">
        <f>IF(SER_hh_fec_in!D19=0,0,11630*1000*SER_hh_fec_in!D19/SER_hh_num_in!D19)</f>
        <v>33713.14964801124</v>
      </c>
      <c r="E19" s="130">
        <f>IF(SER_hh_fec_in!E19=0,0,11630*1000*SER_hh_fec_in!E19/SER_hh_num_in!E19)</f>
        <v>33062.975195578954</v>
      </c>
      <c r="F19" s="130">
        <f>IF(SER_hh_fec_in!F19=0,0,11630*1000*SER_hh_fec_in!F19/SER_hh_num_in!F19)</f>
        <v>32238.262006703342</v>
      </c>
      <c r="G19" s="130">
        <f>IF(SER_hh_fec_in!G19=0,0,11630*1000*SER_hh_fec_in!G19/SER_hh_num_in!G19)</f>
        <v>31861.108766306355</v>
      </c>
      <c r="H19" s="130">
        <f>IF(SER_hh_fec_in!H19=0,0,11630*1000*SER_hh_fec_in!H19/SER_hh_num_in!H19)</f>
        <v>31373.64628905823</v>
      </c>
      <c r="I19" s="130">
        <f>IF(SER_hh_fec_in!I19=0,0,11630*1000*SER_hh_fec_in!I19/SER_hh_num_in!I19)</f>
        <v>30393.461729247261</v>
      </c>
      <c r="J19" s="130">
        <f>IF(SER_hh_fec_in!J19=0,0,11630*1000*SER_hh_fec_in!J19/SER_hh_num_in!J19)</f>
        <v>30543.448583617679</v>
      </c>
      <c r="K19" s="130">
        <f>IF(SER_hh_fec_in!K19=0,0,11630*1000*SER_hh_fec_in!K19/SER_hh_num_in!K19)</f>
        <v>32964.456053260394</v>
      </c>
      <c r="L19" s="130">
        <f>IF(SER_hh_fec_in!L19=0,0,11630*1000*SER_hh_fec_in!L19/SER_hh_num_in!L19)</f>
        <v>32430.267502367053</v>
      </c>
      <c r="M19" s="130">
        <f>IF(SER_hh_fec_in!M19=0,0,11630*1000*SER_hh_fec_in!M19/SER_hh_num_in!M19)</f>
        <v>32065.725192640646</v>
      </c>
      <c r="N19" s="130">
        <f>IF(SER_hh_fec_in!N19=0,0,11630*1000*SER_hh_fec_in!N19/SER_hh_num_in!N19)</f>
        <v>32243.434898342872</v>
      </c>
      <c r="O19" s="130">
        <f>IF(SER_hh_fec_in!O19=0,0,11630*1000*SER_hh_fec_in!O19/SER_hh_num_in!O19)</f>
        <v>31265.919053681835</v>
      </c>
      <c r="P19" s="130">
        <f>IF(SER_hh_fec_in!P19=0,0,11630*1000*SER_hh_fec_in!P19/SER_hh_num_in!P19)</f>
        <v>29674.102998389979</v>
      </c>
      <c r="Q19" s="130">
        <f>IF(SER_hh_fec_in!Q19=0,0,11630*1000*SER_hh_fec_in!Q19/SER_hh_num_in!Q19)</f>
        <v>30057.770166792638</v>
      </c>
      <c r="R19" s="130">
        <f>IF(SER_hh_fec_in!R19=0,0,11630*1000*SER_hh_fec_in!R19/SER_hh_num_in!R19)</f>
        <v>28540.854311420961</v>
      </c>
      <c r="S19" s="130">
        <f>IF(SER_hh_fec_in!S19=0,0,11630*1000*SER_hh_fec_in!S19/SER_hh_num_in!S19)</f>
        <v>27680.848011693291</v>
      </c>
      <c r="T19" s="130">
        <f>IF(SER_hh_fec_in!T19=0,0,11630*1000*SER_hh_fec_in!T19/SER_hh_num_in!T19)</f>
        <v>26840.839465135959</v>
      </c>
      <c r="U19" s="130">
        <f>IF(SER_hh_fec_in!U19=0,0,11630*1000*SER_hh_fec_in!U19/SER_hh_num_in!U19)</f>
        <v>26543.525433557628</v>
      </c>
      <c r="V19" s="130">
        <f>IF(SER_hh_fec_in!V19=0,0,11630*1000*SER_hh_fec_in!V19/SER_hh_num_in!V19)</f>
        <v>24557.620705302965</v>
      </c>
      <c r="W19" s="130">
        <f>IF(SER_hh_fec_in!W19=0,0,11630*1000*SER_hh_fec_in!W19/SER_hh_num_in!W19)</f>
        <v>26539.65771412243</v>
      </c>
      <c r="X19" s="130">
        <f>IF(SER_hh_fec_in!X19=0,0,11630*1000*SER_hh_fec_in!X19/SER_hh_num_in!X19)</f>
        <v>25172.524112278341</v>
      </c>
      <c r="Y19" s="130">
        <f>IF(SER_hh_fec_in!Y19=0,0,11630*1000*SER_hh_fec_in!Y19/SER_hh_num_in!Y19)</f>
        <v>24332.980508633278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0</v>
      </c>
      <c r="D21" s="132">
        <f>IF(SER_hh_fec_in!D21=0,0,11630*1000*SER_hh_fec_in!D21/SER_hh_num_in!D21)</f>
        <v>0</v>
      </c>
      <c r="E21" s="132">
        <f>IF(SER_hh_fec_in!E21=0,0,11630*1000*SER_hh_fec_in!E21/SER_hh_num_in!E21)</f>
        <v>0</v>
      </c>
      <c r="F21" s="132">
        <f>IF(SER_hh_fec_in!F21=0,0,11630*1000*SER_hh_fec_in!F21/SER_hh_num_in!F21)</f>
        <v>0</v>
      </c>
      <c r="G21" s="132">
        <f>IF(SER_hh_fec_in!G21=0,0,11630*1000*SER_hh_fec_in!G21/SER_hh_num_in!G21)</f>
        <v>0</v>
      </c>
      <c r="H21" s="132">
        <f>IF(SER_hh_fec_in!H21=0,0,11630*1000*SER_hh_fec_in!H21/SER_hh_num_in!H21)</f>
        <v>0</v>
      </c>
      <c r="I21" s="132">
        <f>IF(SER_hh_fec_in!I21=0,0,11630*1000*SER_hh_fec_in!I21/SER_hh_num_in!I21)</f>
        <v>0</v>
      </c>
      <c r="J21" s="132">
        <f>IF(SER_hh_fec_in!J21=0,0,11630*1000*SER_hh_fec_in!J21/SER_hh_num_in!J21)</f>
        <v>0</v>
      </c>
      <c r="K21" s="132">
        <f>IF(SER_hh_fec_in!K21=0,0,11630*1000*SER_hh_fec_in!K21/SER_hh_num_in!K21)</f>
        <v>0</v>
      </c>
      <c r="L21" s="132">
        <f>IF(SER_hh_fec_in!L21=0,0,11630*1000*SER_hh_fec_in!L21/SER_hh_num_in!L21)</f>
        <v>0</v>
      </c>
      <c r="M21" s="132">
        <f>IF(SER_hh_fec_in!M21=0,0,11630*1000*SER_hh_fec_in!M21/SER_hh_num_in!M21)</f>
        <v>0</v>
      </c>
      <c r="N21" s="132">
        <f>IF(SER_hh_fec_in!N21=0,0,11630*1000*SER_hh_fec_in!N21/SER_hh_num_in!N21)</f>
        <v>0</v>
      </c>
      <c r="O21" s="132">
        <f>IF(SER_hh_fec_in!O21=0,0,11630*1000*SER_hh_fec_in!O21/SER_hh_num_in!O21)</f>
        <v>0</v>
      </c>
      <c r="P21" s="132">
        <f>IF(SER_hh_fec_in!P21=0,0,11630*1000*SER_hh_fec_in!P21/SER_hh_num_in!P21)</f>
        <v>0</v>
      </c>
      <c r="Q21" s="132">
        <f>IF(SER_hh_fec_in!Q21=0,0,11630*1000*SER_hh_fec_in!Q21/SER_hh_num_in!Q21)</f>
        <v>0</v>
      </c>
      <c r="R21" s="132">
        <f>IF(SER_hh_fec_in!R21=0,0,11630*1000*SER_hh_fec_in!R21/SER_hh_num_in!R21)</f>
        <v>0</v>
      </c>
      <c r="S21" s="132">
        <f>IF(SER_hh_fec_in!S21=0,0,11630*1000*SER_hh_fec_in!S21/SER_hh_num_in!S21)</f>
        <v>0</v>
      </c>
      <c r="T21" s="132">
        <f>IF(SER_hh_fec_in!T21=0,0,11630*1000*SER_hh_fec_in!T21/SER_hh_num_in!T21)</f>
        <v>0</v>
      </c>
      <c r="U21" s="132">
        <f>IF(SER_hh_fec_in!U21=0,0,11630*1000*SER_hh_fec_in!U21/SER_hh_num_in!U21)</f>
        <v>0</v>
      </c>
      <c r="V21" s="132">
        <f>IF(SER_hh_fec_in!V21=0,0,11630*1000*SER_hh_fec_in!V21/SER_hh_num_in!V21)</f>
        <v>0</v>
      </c>
      <c r="W21" s="132">
        <f>IF(SER_hh_fec_in!W21=0,0,11630*1000*SER_hh_fec_in!W21/SER_hh_num_in!W21)</f>
        <v>0</v>
      </c>
      <c r="X21" s="132">
        <f>IF(SER_hh_fec_in!X21=0,0,11630*1000*SER_hh_fec_in!X21/SER_hh_num_in!X21)</f>
        <v>0</v>
      </c>
      <c r="Y21" s="132">
        <f>IF(SER_hh_fec_in!Y21=0,0,11630*1000*SER_hh_fec_in!Y21/SER_hh_num_in!Y21)</f>
        <v>0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40453.617254317891</v>
      </c>
      <c r="D22" s="132">
        <f>IF(SER_hh_fec_in!D22=0,0,11630*1000*SER_hh_fec_in!D22/SER_hh_num_in!D22)</f>
        <v>40162.912485930938</v>
      </c>
      <c r="E22" s="132">
        <f>IF(SER_hh_fec_in!E22=0,0,11630*1000*SER_hh_fec_in!E22/SER_hh_num_in!E22)</f>
        <v>38512.08855652171</v>
      </c>
      <c r="F22" s="132">
        <f>IF(SER_hh_fec_in!F22=0,0,11630*1000*SER_hh_fec_in!F22/SER_hh_num_in!F22)</f>
        <v>38714.048829097577</v>
      </c>
      <c r="G22" s="132">
        <f>IF(SER_hh_fec_in!G22=0,0,11630*1000*SER_hh_fec_in!G22/SER_hh_num_in!G22)</f>
        <v>37775.982297525603</v>
      </c>
      <c r="H22" s="132">
        <f>IF(SER_hh_fec_in!H22=0,0,11630*1000*SER_hh_fec_in!H22/SER_hh_num_in!H22)</f>
        <v>36470.325840040248</v>
      </c>
      <c r="I22" s="132">
        <f>IF(SER_hh_fec_in!I22=0,0,11630*1000*SER_hh_fec_in!I22/SER_hh_num_in!I22)</f>
        <v>36170.566971106658</v>
      </c>
      <c r="J22" s="132">
        <f>IF(SER_hh_fec_in!J22=0,0,11630*1000*SER_hh_fec_in!J22/SER_hh_num_in!J22)</f>
        <v>36507.761231714765</v>
      </c>
      <c r="K22" s="132">
        <f>IF(SER_hh_fec_in!K22=0,0,11630*1000*SER_hh_fec_in!K22/SER_hh_num_in!K22)</f>
        <v>36645.559878827771</v>
      </c>
      <c r="L22" s="132">
        <f>IF(SER_hh_fec_in!L22=0,0,11630*1000*SER_hh_fec_in!L22/SER_hh_num_in!L22)</f>
        <v>37213.869880579754</v>
      </c>
      <c r="M22" s="132">
        <f>IF(SER_hh_fec_in!M22=0,0,11630*1000*SER_hh_fec_in!M22/SER_hh_num_in!M22)</f>
        <v>37316.292689679693</v>
      </c>
      <c r="N22" s="132">
        <f>IF(SER_hh_fec_in!N22=0,0,11630*1000*SER_hh_fec_in!N22/SER_hh_num_in!N22)</f>
        <v>36779.343999424193</v>
      </c>
      <c r="O22" s="132">
        <f>IF(SER_hh_fec_in!O22=0,0,11630*1000*SER_hh_fec_in!O22/SER_hh_num_in!O22)</f>
        <v>35272.200868041655</v>
      </c>
      <c r="P22" s="132">
        <f>IF(SER_hh_fec_in!P22=0,0,11630*1000*SER_hh_fec_in!P22/SER_hh_num_in!P22)</f>
        <v>34322.13407495404</v>
      </c>
      <c r="Q22" s="132">
        <f>IF(SER_hh_fec_in!Q22=0,0,11630*1000*SER_hh_fec_in!Q22/SER_hh_num_in!Q22)</f>
        <v>32655.012247895891</v>
      </c>
      <c r="R22" s="132">
        <f>IF(SER_hh_fec_in!R22=0,0,11630*1000*SER_hh_fec_in!R22/SER_hh_num_in!R22)</f>
        <v>31390.713606355075</v>
      </c>
      <c r="S22" s="132">
        <f>IF(SER_hh_fec_in!S22=0,0,11630*1000*SER_hh_fec_in!S22/SER_hh_num_in!S22)</f>
        <v>31606.685600420671</v>
      </c>
      <c r="T22" s="132">
        <f>IF(SER_hh_fec_in!T22=0,0,11630*1000*SER_hh_fec_in!T22/SER_hh_num_in!T22)</f>
        <v>29878.091495125336</v>
      </c>
      <c r="U22" s="132">
        <f>IF(SER_hh_fec_in!U22=0,0,11630*1000*SER_hh_fec_in!U22/SER_hh_num_in!U22)</f>
        <v>29583.060934020938</v>
      </c>
      <c r="V22" s="132">
        <f>IF(SER_hh_fec_in!V22=0,0,11630*1000*SER_hh_fec_in!V22/SER_hh_num_in!V22)</f>
        <v>26125.982692943122</v>
      </c>
      <c r="W22" s="132">
        <f>IF(SER_hh_fec_in!W22=0,0,11630*1000*SER_hh_fec_in!W22/SER_hh_num_in!W22)</f>
        <v>27181.382886497711</v>
      </c>
      <c r="X22" s="132">
        <f>IF(SER_hh_fec_in!X22=0,0,11630*1000*SER_hh_fec_in!X22/SER_hh_num_in!X22)</f>
        <v>27400.286152858054</v>
      </c>
      <c r="Y22" s="132">
        <f>IF(SER_hh_fec_in!Y22=0,0,11630*1000*SER_hh_fec_in!Y22/SER_hh_num_in!Y22)</f>
        <v>26737.761124206638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37324.702105590302</v>
      </c>
      <c r="D23" s="132">
        <f>IF(SER_hh_fec_in!D23=0,0,11630*1000*SER_hh_fec_in!D23/SER_hh_num_in!D23)</f>
        <v>36360.70681613755</v>
      </c>
      <c r="E23" s="132">
        <f>IF(SER_hh_fec_in!E23=0,0,11630*1000*SER_hh_fec_in!E23/SER_hh_num_in!E23)</f>
        <v>35256.075078236143</v>
      </c>
      <c r="F23" s="132">
        <f>IF(SER_hh_fec_in!F23=0,0,11630*1000*SER_hh_fec_in!F23/SER_hh_num_in!F23)</f>
        <v>35013.675414568504</v>
      </c>
      <c r="G23" s="132">
        <f>IF(SER_hh_fec_in!G23=0,0,11630*1000*SER_hh_fec_in!G23/SER_hh_num_in!G23)</f>
        <v>34295.047467982098</v>
      </c>
      <c r="H23" s="132">
        <f>IF(SER_hh_fec_in!H23=0,0,11630*1000*SER_hh_fec_in!H23/SER_hh_num_in!H23)</f>
        <v>33250.719386206758</v>
      </c>
      <c r="I23" s="132">
        <f>IF(SER_hh_fec_in!I23=0,0,11630*1000*SER_hh_fec_in!I23/SER_hh_num_in!I23)</f>
        <v>33172.815989138318</v>
      </c>
      <c r="J23" s="132">
        <f>IF(SER_hh_fec_in!J23=0,0,11630*1000*SER_hh_fec_in!J23/SER_hh_num_in!J23)</f>
        <v>32146.763184585561</v>
      </c>
      <c r="K23" s="132">
        <f>IF(SER_hh_fec_in!K23=0,0,11630*1000*SER_hh_fec_in!K23/SER_hh_num_in!K23)</f>
        <v>33046.886164999276</v>
      </c>
      <c r="L23" s="132">
        <f>IF(SER_hh_fec_in!L23=0,0,11630*1000*SER_hh_fec_in!L23/SER_hh_num_in!L23)</f>
        <v>33979.136835794401</v>
      </c>
      <c r="M23" s="132">
        <f>IF(SER_hh_fec_in!M23=0,0,11630*1000*SER_hh_fec_in!M23/SER_hh_num_in!M23)</f>
        <v>31997.186260541017</v>
      </c>
      <c r="N23" s="132">
        <f>IF(SER_hh_fec_in!N23=0,0,11630*1000*SER_hh_fec_in!N23/SER_hh_num_in!N23)</f>
        <v>32294.515886585526</v>
      </c>
      <c r="O23" s="132">
        <f>IF(SER_hh_fec_in!O23=0,0,11630*1000*SER_hh_fec_in!O23/SER_hh_num_in!O23)</f>
        <v>31914.407825015394</v>
      </c>
      <c r="P23" s="132">
        <f>IF(SER_hh_fec_in!P23=0,0,11630*1000*SER_hh_fec_in!P23/SER_hh_num_in!P23)</f>
        <v>31253.796679904262</v>
      </c>
      <c r="Q23" s="132">
        <f>IF(SER_hh_fec_in!Q23=0,0,11630*1000*SER_hh_fec_in!Q23/SER_hh_num_in!Q23)</f>
        <v>31169.348478397958</v>
      </c>
      <c r="R23" s="132">
        <f>IF(SER_hh_fec_in!R23=0,0,11630*1000*SER_hh_fec_in!R23/SER_hh_num_in!R23)</f>
        <v>29746.528540881736</v>
      </c>
      <c r="S23" s="132">
        <f>IF(SER_hh_fec_in!S23=0,0,11630*1000*SER_hh_fec_in!S23/SER_hh_num_in!S23)</f>
        <v>29492.63465126546</v>
      </c>
      <c r="T23" s="132">
        <f>IF(SER_hh_fec_in!T23=0,0,11630*1000*SER_hh_fec_in!T23/SER_hh_num_in!T23)</f>
        <v>28031.966148621366</v>
      </c>
      <c r="U23" s="132">
        <f>IF(SER_hh_fec_in!U23=0,0,11630*1000*SER_hh_fec_in!U23/SER_hh_num_in!U23)</f>
        <v>28776.478150129009</v>
      </c>
      <c r="V23" s="132">
        <f>IF(SER_hh_fec_in!V23=0,0,11630*1000*SER_hh_fec_in!V23/SER_hh_num_in!V23)</f>
        <v>22149.135975130128</v>
      </c>
      <c r="W23" s="132">
        <f>IF(SER_hh_fec_in!W23=0,0,11630*1000*SER_hh_fec_in!W23/SER_hh_num_in!W23)</f>
        <v>28568.169926276183</v>
      </c>
      <c r="X23" s="132">
        <f>IF(SER_hh_fec_in!X23=0,0,11630*1000*SER_hh_fec_in!X23/SER_hh_num_in!X23)</f>
        <v>26622.65755381385</v>
      </c>
      <c r="Y23" s="132">
        <f>IF(SER_hh_fec_in!Y23=0,0,11630*1000*SER_hh_fec_in!Y23/SER_hh_num_in!Y23)</f>
        <v>25793.664190872154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0</v>
      </c>
      <c r="D24" s="132">
        <f>IF(SER_hh_fec_in!D24=0,0,11630*1000*SER_hh_fec_in!D24/SER_hh_num_in!D24)</f>
        <v>0</v>
      </c>
      <c r="E24" s="132">
        <f>IF(SER_hh_fec_in!E24=0,0,11630*1000*SER_hh_fec_in!E24/SER_hh_num_in!E24)</f>
        <v>0</v>
      </c>
      <c r="F24" s="132">
        <f>IF(SER_hh_fec_in!F24=0,0,11630*1000*SER_hh_fec_in!F24/SER_hh_num_in!F24)</f>
        <v>0</v>
      </c>
      <c r="G24" s="132">
        <f>IF(SER_hh_fec_in!G24=0,0,11630*1000*SER_hh_fec_in!G24/SER_hh_num_in!G24)</f>
        <v>0</v>
      </c>
      <c r="H24" s="132">
        <f>IF(SER_hh_fec_in!H24=0,0,11630*1000*SER_hh_fec_in!H24/SER_hh_num_in!H24)</f>
        <v>0</v>
      </c>
      <c r="I24" s="132">
        <f>IF(SER_hh_fec_in!I24=0,0,11630*1000*SER_hh_fec_in!I24/SER_hh_num_in!I24)</f>
        <v>0</v>
      </c>
      <c r="J24" s="132">
        <f>IF(SER_hh_fec_in!J24=0,0,11630*1000*SER_hh_fec_in!J24/SER_hh_num_in!J24)</f>
        <v>0</v>
      </c>
      <c r="K24" s="132">
        <f>IF(SER_hh_fec_in!K24=0,0,11630*1000*SER_hh_fec_in!K24/SER_hh_num_in!K24)</f>
        <v>0</v>
      </c>
      <c r="L24" s="132">
        <f>IF(SER_hh_fec_in!L24=0,0,11630*1000*SER_hh_fec_in!L24/SER_hh_num_in!L24)</f>
        <v>0</v>
      </c>
      <c r="M24" s="132">
        <f>IF(SER_hh_fec_in!M24=0,0,11630*1000*SER_hh_fec_in!M24/SER_hh_num_in!M24)</f>
        <v>0</v>
      </c>
      <c r="N24" s="132">
        <f>IF(SER_hh_fec_in!N24=0,0,11630*1000*SER_hh_fec_in!N24/SER_hh_num_in!N24)</f>
        <v>0</v>
      </c>
      <c r="O24" s="132">
        <f>IF(SER_hh_fec_in!O24=0,0,11630*1000*SER_hh_fec_in!O24/SER_hh_num_in!O24)</f>
        <v>0</v>
      </c>
      <c r="P24" s="132">
        <f>IF(SER_hh_fec_in!P24=0,0,11630*1000*SER_hh_fec_in!P24/SER_hh_num_in!P24)</f>
        <v>0</v>
      </c>
      <c r="Q24" s="132">
        <f>IF(SER_hh_fec_in!Q24=0,0,11630*1000*SER_hh_fec_in!Q24/SER_hh_num_in!Q24)</f>
        <v>0</v>
      </c>
      <c r="R24" s="132">
        <f>IF(SER_hh_fec_in!R24=0,0,11630*1000*SER_hh_fec_in!R24/SER_hh_num_in!R24)</f>
        <v>0</v>
      </c>
      <c r="S24" s="132">
        <f>IF(SER_hh_fec_in!S24=0,0,11630*1000*SER_hh_fec_in!S24/SER_hh_num_in!S24)</f>
        <v>0</v>
      </c>
      <c r="T24" s="132">
        <f>IF(SER_hh_fec_in!T24=0,0,11630*1000*SER_hh_fec_in!T24/SER_hh_num_in!T24)</f>
        <v>0</v>
      </c>
      <c r="U24" s="132">
        <f>IF(SER_hh_fec_in!U24=0,0,11630*1000*SER_hh_fec_in!U24/SER_hh_num_in!U24)</f>
        <v>0</v>
      </c>
      <c r="V24" s="132">
        <f>IF(SER_hh_fec_in!V24=0,0,11630*1000*SER_hh_fec_in!V24/SER_hh_num_in!V24)</f>
        <v>0</v>
      </c>
      <c r="W24" s="132">
        <f>IF(SER_hh_fec_in!W24=0,0,11630*1000*SER_hh_fec_in!W24/SER_hh_num_in!W24)</f>
        <v>0</v>
      </c>
      <c r="X24" s="132">
        <f>IF(SER_hh_fec_in!X24=0,0,11630*1000*SER_hh_fec_in!X24/SER_hh_num_in!X24)</f>
        <v>0</v>
      </c>
      <c r="Y24" s="132">
        <f>IF(SER_hh_fec_in!Y24=0,0,11630*1000*SER_hh_fec_in!Y24/SER_hh_num_in!Y24)</f>
        <v>0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0</v>
      </c>
      <c r="D25" s="132">
        <f>IF(SER_hh_fec_in!D25=0,0,11630*1000*SER_hh_fec_in!D25/SER_hh_num_in!D25)</f>
        <v>0</v>
      </c>
      <c r="E25" s="132">
        <f>IF(SER_hh_fec_in!E25=0,0,11630*1000*SER_hh_fec_in!E25/SER_hh_num_in!E25)</f>
        <v>0</v>
      </c>
      <c r="F25" s="132">
        <f>IF(SER_hh_fec_in!F25=0,0,11630*1000*SER_hh_fec_in!F25/SER_hh_num_in!F25)</f>
        <v>0</v>
      </c>
      <c r="G25" s="132">
        <f>IF(SER_hh_fec_in!G25=0,0,11630*1000*SER_hh_fec_in!G25/SER_hh_num_in!G25)</f>
        <v>0</v>
      </c>
      <c r="H25" s="132">
        <f>IF(SER_hh_fec_in!H25=0,0,11630*1000*SER_hh_fec_in!H25/SER_hh_num_in!H25)</f>
        <v>0</v>
      </c>
      <c r="I25" s="132">
        <f>IF(SER_hh_fec_in!I25=0,0,11630*1000*SER_hh_fec_in!I25/SER_hh_num_in!I25)</f>
        <v>0</v>
      </c>
      <c r="J25" s="132">
        <f>IF(SER_hh_fec_in!J25=0,0,11630*1000*SER_hh_fec_in!J25/SER_hh_num_in!J25)</f>
        <v>0</v>
      </c>
      <c r="K25" s="132">
        <f>IF(SER_hh_fec_in!K25=0,0,11630*1000*SER_hh_fec_in!K25/SER_hh_num_in!K25)</f>
        <v>0</v>
      </c>
      <c r="L25" s="132">
        <f>IF(SER_hh_fec_in!L25=0,0,11630*1000*SER_hh_fec_in!L25/SER_hh_num_in!L25)</f>
        <v>0</v>
      </c>
      <c r="M25" s="132">
        <f>IF(SER_hh_fec_in!M25=0,0,11630*1000*SER_hh_fec_in!M25/SER_hh_num_in!M25)</f>
        <v>0</v>
      </c>
      <c r="N25" s="132">
        <f>IF(SER_hh_fec_in!N25=0,0,11630*1000*SER_hh_fec_in!N25/SER_hh_num_in!N25)</f>
        <v>0</v>
      </c>
      <c r="O25" s="132">
        <f>IF(SER_hh_fec_in!O25=0,0,11630*1000*SER_hh_fec_in!O25/SER_hh_num_in!O25)</f>
        <v>0</v>
      </c>
      <c r="P25" s="132">
        <f>IF(SER_hh_fec_in!P25=0,0,11630*1000*SER_hh_fec_in!P25/SER_hh_num_in!P25)</f>
        <v>0</v>
      </c>
      <c r="Q25" s="132">
        <f>IF(SER_hh_fec_in!Q25=0,0,11630*1000*SER_hh_fec_in!Q25/SER_hh_num_in!Q25)</f>
        <v>0</v>
      </c>
      <c r="R25" s="132">
        <f>IF(SER_hh_fec_in!R25=0,0,11630*1000*SER_hh_fec_in!R25/SER_hh_num_in!R25)</f>
        <v>0</v>
      </c>
      <c r="S25" s="132">
        <f>IF(SER_hh_fec_in!S25=0,0,11630*1000*SER_hh_fec_in!S25/SER_hh_num_in!S25)</f>
        <v>0</v>
      </c>
      <c r="T25" s="132">
        <f>IF(SER_hh_fec_in!T25=0,0,11630*1000*SER_hh_fec_in!T25/SER_hh_num_in!T25)</f>
        <v>0</v>
      </c>
      <c r="U25" s="132">
        <f>IF(SER_hh_fec_in!U25=0,0,11630*1000*SER_hh_fec_in!U25/SER_hh_num_in!U25)</f>
        <v>0</v>
      </c>
      <c r="V25" s="132">
        <f>IF(SER_hh_fec_in!V25=0,0,11630*1000*SER_hh_fec_in!V25/SER_hh_num_in!V25)</f>
        <v>0</v>
      </c>
      <c r="W25" s="132">
        <f>IF(SER_hh_fec_in!W25=0,0,11630*1000*SER_hh_fec_in!W25/SER_hh_num_in!W25)</f>
        <v>0</v>
      </c>
      <c r="X25" s="132">
        <f>IF(SER_hh_fec_in!X25=0,0,11630*1000*SER_hh_fec_in!X25/SER_hh_num_in!X25)</f>
        <v>0</v>
      </c>
      <c r="Y25" s="132">
        <f>IF(SER_hh_fec_in!Y25=0,0,11630*1000*SER_hh_fec_in!Y25/SER_hh_num_in!Y25)</f>
        <v>0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31926.515974487313</v>
      </c>
      <c r="D26" s="65">
        <f>IF(SER_hh_fec_in!D26=0,0,11630*1000*SER_hh_fec_in!D26/SER_hh_num_in!D26)</f>
        <v>31346.64593515404</v>
      </c>
      <c r="E26" s="65">
        <f>IF(SER_hh_fec_in!E26=0,0,11630*1000*SER_hh_fec_in!E26/SER_hh_num_in!E26)</f>
        <v>31181.489540307881</v>
      </c>
      <c r="F26" s="65">
        <f>IF(SER_hh_fec_in!F26=0,0,11630*1000*SER_hh_fec_in!F26/SER_hh_num_in!F26)</f>
        <v>29988.933232660762</v>
      </c>
      <c r="G26" s="65">
        <f>IF(SER_hh_fec_in!G26=0,0,11630*1000*SER_hh_fec_in!G26/SER_hh_num_in!G26)</f>
        <v>30459.524143281506</v>
      </c>
      <c r="H26" s="65">
        <f>IF(SER_hh_fec_in!H26=0,0,11630*1000*SER_hh_fec_in!H26/SER_hh_num_in!H26)</f>
        <v>29626.970755565002</v>
      </c>
      <c r="I26" s="65">
        <f>IF(SER_hh_fec_in!I26=0,0,11630*1000*SER_hh_fec_in!I26/SER_hh_num_in!I26)</f>
        <v>28946.560840788294</v>
      </c>
      <c r="J26" s="65">
        <f>IF(SER_hh_fec_in!J26=0,0,11630*1000*SER_hh_fec_in!J26/SER_hh_num_in!J26)</f>
        <v>27364.29421267812</v>
      </c>
      <c r="K26" s="65">
        <f>IF(SER_hh_fec_in!K26=0,0,11630*1000*SER_hh_fec_in!K26/SER_hh_num_in!K26)</f>
        <v>30055.380319057149</v>
      </c>
      <c r="L26" s="65">
        <f>IF(SER_hh_fec_in!L26=0,0,11630*1000*SER_hh_fec_in!L26/SER_hh_num_in!L26)</f>
        <v>24774.478119852505</v>
      </c>
      <c r="M26" s="65">
        <f>IF(SER_hh_fec_in!M26=0,0,11630*1000*SER_hh_fec_in!M26/SER_hh_num_in!M26)</f>
        <v>30062.397940520572</v>
      </c>
      <c r="N26" s="65">
        <f>IF(SER_hh_fec_in!N26=0,0,11630*1000*SER_hh_fec_in!N26/SER_hh_num_in!N26)</f>
        <v>30439.031817861473</v>
      </c>
      <c r="O26" s="65">
        <f>IF(SER_hh_fec_in!O26=0,0,11630*1000*SER_hh_fec_in!O26/SER_hh_num_in!O26)</f>
        <v>29814.599697439611</v>
      </c>
      <c r="P26" s="65">
        <f>IF(SER_hh_fec_in!P26=0,0,11630*1000*SER_hh_fec_in!P26/SER_hh_num_in!P26)</f>
        <v>28685.317081968686</v>
      </c>
      <c r="Q26" s="65">
        <f>IF(SER_hh_fec_in!Q26=0,0,11630*1000*SER_hh_fec_in!Q26/SER_hh_num_in!Q26)</f>
        <v>29411.536921935829</v>
      </c>
      <c r="R26" s="65">
        <f>IF(SER_hh_fec_in!R26=0,0,11630*1000*SER_hh_fec_in!R26/SER_hh_num_in!R26)</f>
        <v>27979.532456524976</v>
      </c>
      <c r="S26" s="65">
        <f>IF(SER_hh_fec_in!S26=0,0,11630*1000*SER_hh_fec_in!S26/SER_hh_num_in!S26)</f>
        <v>26620.086534766593</v>
      </c>
      <c r="T26" s="65">
        <f>IF(SER_hh_fec_in!T26=0,0,11630*1000*SER_hh_fec_in!T26/SER_hh_num_in!T26)</f>
        <v>26405.710588360009</v>
      </c>
      <c r="U26" s="65">
        <f>IF(SER_hh_fec_in!U26=0,0,11630*1000*SER_hh_fec_in!U26/SER_hh_num_in!U26)</f>
        <v>25829.333323614392</v>
      </c>
      <c r="V26" s="65">
        <f>IF(SER_hh_fec_in!V26=0,0,11630*1000*SER_hh_fec_in!V26/SER_hh_num_in!V26)</f>
        <v>24451.045804650075</v>
      </c>
      <c r="W26" s="65">
        <f>IF(SER_hh_fec_in!W26=0,0,11630*1000*SER_hh_fec_in!W26/SER_hh_num_in!W26)</f>
        <v>24909.950553205119</v>
      </c>
      <c r="X26" s="65">
        <f>IF(SER_hh_fec_in!X26=0,0,11630*1000*SER_hh_fec_in!X26/SER_hh_num_in!X26)</f>
        <v>22980.985696952204</v>
      </c>
      <c r="Y26" s="65">
        <f>IF(SER_hh_fec_in!Y26=0,0,11630*1000*SER_hh_fec_in!Y26/SER_hh_num_in!Y26)</f>
        <v>22256.130886182207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0</v>
      </c>
      <c r="D27" s="145">
        <f>IF(SER_hh_fec_in!D27=0,0,11630*1000*SER_hh_fec_in!D27/SER_hh_num_in!D19)</f>
        <v>0</v>
      </c>
      <c r="E27" s="145">
        <f>IF(SER_hh_fec_in!E27=0,0,11630*1000*SER_hh_fec_in!E27/SER_hh_num_in!E19)</f>
        <v>0</v>
      </c>
      <c r="F27" s="145">
        <f>IF(SER_hh_fec_in!F27=0,0,11630*1000*SER_hh_fec_in!F27/SER_hh_num_in!F19)</f>
        <v>0</v>
      </c>
      <c r="G27" s="145">
        <f>IF(SER_hh_fec_in!G27=0,0,11630*1000*SER_hh_fec_in!G27/SER_hh_num_in!G19)</f>
        <v>0</v>
      </c>
      <c r="H27" s="145">
        <f>IF(SER_hh_fec_in!H27=0,0,11630*1000*SER_hh_fec_in!H27/SER_hh_num_in!H19)</f>
        <v>257.62586757198619</v>
      </c>
      <c r="I27" s="145">
        <f>IF(SER_hh_fec_in!I27=0,0,11630*1000*SER_hh_fec_in!I27/SER_hh_num_in!I19)</f>
        <v>21.9029891471151</v>
      </c>
      <c r="J27" s="145">
        <f>IF(SER_hh_fec_in!J27=0,0,11630*1000*SER_hh_fec_in!J27/SER_hh_num_in!J19)</f>
        <v>704.88229158760873</v>
      </c>
      <c r="K27" s="145">
        <f>IF(SER_hh_fec_in!K27=0,0,11630*1000*SER_hh_fec_in!K27/SER_hh_num_in!K19)</f>
        <v>69.9683544318261</v>
      </c>
      <c r="L27" s="145">
        <f>IF(SER_hh_fec_in!L27=0,0,11630*1000*SER_hh_fec_in!L27/SER_hh_num_in!L19)</f>
        <v>2358.3684521639084</v>
      </c>
      <c r="M27" s="145">
        <f>IF(SER_hh_fec_in!M27=0,0,11630*1000*SER_hh_fec_in!M27/SER_hh_num_in!M19)</f>
        <v>279.95131621849674</v>
      </c>
      <c r="N27" s="145">
        <f>IF(SER_hh_fec_in!N27=0,0,11630*1000*SER_hh_fec_in!N27/SER_hh_num_in!N19)</f>
        <v>0</v>
      </c>
      <c r="O27" s="145">
        <f>IF(SER_hh_fec_in!O27=0,0,11630*1000*SER_hh_fec_in!O27/SER_hh_num_in!O19)</f>
        <v>0</v>
      </c>
      <c r="P27" s="145">
        <f>IF(SER_hh_fec_in!P27=0,0,11630*1000*SER_hh_fec_in!P27/SER_hh_num_in!P19)</f>
        <v>0</v>
      </c>
      <c r="Q27" s="145">
        <f>IF(SER_hh_fec_in!Q27=0,0,11630*1000*SER_hh_fec_in!Q27/SER_hh_num_in!Q19)</f>
        <v>0</v>
      </c>
      <c r="R27" s="145">
        <f>IF(SER_hh_fec_in!R27=0,0,11630*1000*SER_hh_fec_in!R27/SER_hh_num_in!R19)</f>
        <v>23.032061354443712</v>
      </c>
      <c r="S27" s="145">
        <f>IF(SER_hh_fec_in!S27=0,0,11630*1000*SER_hh_fec_in!S27/SER_hh_num_in!S19)</f>
        <v>84.007829000406673</v>
      </c>
      <c r="T27" s="145">
        <f>IF(SER_hh_fec_in!T27=0,0,11630*1000*SER_hh_fec_in!T27/SER_hh_num_in!T19)</f>
        <v>82.614830867387283</v>
      </c>
      <c r="U27" s="145">
        <f>IF(SER_hh_fec_in!U27=0,0,11630*1000*SER_hh_fec_in!U27/SER_hh_num_in!U19)</f>
        <v>100.78441126560628</v>
      </c>
      <c r="V27" s="145">
        <f>IF(SER_hh_fec_in!V27=0,0,11630*1000*SER_hh_fec_in!V27/SER_hh_num_in!V19)</f>
        <v>330.72536499867618</v>
      </c>
      <c r="W27" s="145">
        <f>IF(SER_hh_fec_in!W27=0,0,11630*1000*SER_hh_fec_in!W27/SER_hh_num_in!W19)</f>
        <v>54.040924199001594</v>
      </c>
      <c r="X27" s="145">
        <f>IF(SER_hh_fec_in!X27=0,0,11630*1000*SER_hh_fec_in!X27/SER_hh_num_in!X19)</f>
        <v>242.47543960930454</v>
      </c>
      <c r="Y27" s="145">
        <f>IF(SER_hh_fec_in!Y27=0,0,11630*1000*SER_hh_fec_in!Y27/SER_hh_num_in!Y19)</f>
        <v>213.6015770293283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0</v>
      </c>
      <c r="D28" s="146">
        <f>IF(SER_hh_fec_in!D27=0,0,11630*1000*SER_hh_fec_in!D27/SER_hh_num_in!D27)</f>
        <v>0</v>
      </c>
      <c r="E28" s="146">
        <f>IF(SER_hh_fec_in!E27=0,0,11630*1000*SER_hh_fec_in!E27/SER_hh_num_in!E27)</f>
        <v>0</v>
      </c>
      <c r="F28" s="146">
        <f>IF(SER_hh_fec_in!F27=0,0,11630*1000*SER_hh_fec_in!F27/SER_hh_num_in!F27)</f>
        <v>0</v>
      </c>
      <c r="G28" s="146">
        <f>IF(SER_hh_fec_in!G27=0,0,11630*1000*SER_hh_fec_in!G27/SER_hh_num_in!G27)</f>
        <v>0</v>
      </c>
      <c r="H28" s="146">
        <f>IF(SER_hh_fec_in!H27=0,0,11630*1000*SER_hh_fec_in!H27/SER_hh_num_in!H27)</f>
        <v>4703.5453625883883</v>
      </c>
      <c r="I28" s="146">
        <f>IF(SER_hh_fec_in!I27=0,0,11630*1000*SER_hh_fec_in!I27/SER_hh_num_in!I27)</f>
        <v>4657.9039897620978</v>
      </c>
      <c r="J28" s="146">
        <f>IF(SER_hh_fec_in!J27=0,0,11630*1000*SER_hh_fec_in!J27/SER_hh_num_in!J27)</f>
        <v>4799.081231308478</v>
      </c>
      <c r="K28" s="146">
        <f>IF(SER_hh_fec_in!K27=0,0,11630*1000*SER_hh_fec_in!K27/SER_hh_num_in!K27)</f>
        <v>5028.5312850992987</v>
      </c>
      <c r="L28" s="146">
        <f>IF(SER_hh_fec_in!L27=0,0,11630*1000*SER_hh_fec_in!L27/SER_hh_num_in!L27)</f>
        <v>5149.5036708265761</v>
      </c>
      <c r="M28" s="146">
        <f>IF(SER_hh_fec_in!M27=0,0,11630*1000*SER_hh_fec_in!M27/SER_hh_num_in!M27)</f>
        <v>5060.7198127012816</v>
      </c>
      <c r="N28" s="146">
        <f>IF(SER_hh_fec_in!N27=0,0,11630*1000*SER_hh_fec_in!N27/SER_hh_num_in!N27)</f>
        <v>0</v>
      </c>
      <c r="O28" s="146">
        <f>IF(SER_hh_fec_in!O27=0,0,11630*1000*SER_hh_fec_in!O27/SER_hh_num_in!O27)</f>
        <v>0</v>
      </c>
      <c r="P28" s="146">
        <f>IF(SER_hh_fec_in!P27=0,0,11630*1000*SER_hh_fec_in!P27/SER_hh_num_in!P27)</f>
        <v>0</v>
      </c>
      <c r="Q28" s="146">
        <f>IF(SER_hh_fec_in!Q27=0,0,11630*1000*SER_hh_fec_in!Q27/SER_hh_num_in!Q27)</f>
        <v>0</v>
      </c>
      <c r="R28" s="146">
        <f>IF(SER_hh_fec_in!R27=0,0,11630*1000*SER_hh_fec_in!R27/SER_hh_num_in!R27)</f>
        <v>5499.5952295309344</v>
      </c>
      <c r="S28" s="146">
        <f>IF(SER_hh_fec_in!S27=0,0,11630*1000*SER_hh_fec_in!S27/SER_hh_num_in!S27)</f>
        <v>5446.7915363518978</v>
      </c>
      <c r="T28" s="146">
        <f>IF(SER_hh_fec_in!T27=0,0,11630*1000*SER_hh_fec_in!T27/SER_hh_num_in!T27)</f>
        <v>5463.6193745495639</v>
      </c>
      <c r="U28" s="146">
        <f>IF(SER_hh_fec_in!U27=0,0,11630*1000*SER_hh_fec_in!U27/SER_hh_num_in!U27)</f>
        <v>5546.2404456711447</v>
      </c>
      <c r="V28" s="146">
        <f>IF(SER_hh_fec_in!V27=0,0,11630*1000*SER_hh_fec_in!V27/SER_hh_num_in!V27)</f>
        <v>5047.2050151092417</v>
      </c>
      <c r="W28" s="146">
        <f>IF(SER_hh_fec_in!W27=0,0,11630*1000*SER_hh_fec_in!W27/SER_hh_num_in!W27)</f>
        <v>5462.2951766254537</v>
      </c>
      <c r="X28" s="146">
        <f>IF(SER_hh_fec_in!X27=0,0,11630*1000*SER_hh_fec_in!X27/SER_hh_num_in!X27)</f>
        <v>5495.4076708277844</v>
      </c>
      <c r="Y28" s="146">
        <f>IF(SER_hh_fec_in!Y27=0,0,11630*1000*SER_hh_fec_in!Y27/SER_hh_num_in!Y27)</f>
        <v>5692.2358856386818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35132.18723082311</v>
      </c>
      <c r="D29" s="130">
        <f>IF(SER_hh_fec_in!D29=0,0,11630*1000*SER_hh_fec_in!D29/SER_hh_num_in!D29)</f>
        <v>34687.597416524201</v>
      </c>
      <c r="E29" s="130">
        <f>IF(SER_hh_fec_in!E29=0,0,11630*1000*SER_hh_fec_in!E29/SER_hh_num_in!E29)</f>
        <v>35288.941041829981</v>
      </c>
      <c r="F29" s="130">
        <f>IF(SER_hh_fec_in!F29=0,0,11630*1000*SER_hh_fec_in!F29/SER_hh_num_in!F29)</f>
        <v>35532.234076219866</v>
      </c>
      <c r="G29" s="130">
        <f>IF(SER_hh_fec_in!G29=0,0,11630*1000*SER_hh_fec_in!G29/SER_hh_num_in!G29)</f>
        <v>36713.34796753167</v>
      </c>
      <c r="H29" s="130">
        <f>IF(SER_hh_fec_in!H29=0,0,11630*1000*SER_hh_fec_in!H29/SER_hh_num_in!H29)</f>
        <v>35323.719856245356</v>
      </c>
      <c r="I29" s="130">
        <f>IF(SER_hh_fec_in!I29=0,0,11630*1000*SER_hh_fec_in!I29/SER_hh_num_in!I29)</f>
        <v>34493.267916807854</v>
      </c>
      <c r="J29" s="130">
        <f>IF(SER_hh_fec_in!J29=0,0,11630*1000*SER_hh_fec_in!J29/SER_hh_num_in!J29)</f>
        <v>32324.281377052277</v>
      </c>
      <c r="K29" s="130">
        <f>IF(SER_hh_fec_in!K29=0,0,11630*1000*SER_hh_fec_in!K29/SER_hh_num_in!K29)</f>
        <v>33249.858505428951</v>
      </c>
      <c r="L29" s="130">
        <f>IF(SER_hh_fec_in!L29=0,0,11630*1000*SER_hh_fec_in!L29/SER_hh_num_in!L29)</f>
        <v>35998.30267235401</v>
      </c>
      <c r="M29" s="130">
        <f>IF(SER_hh_fec_in!M29=0,0,11630*1000*SER_hh_fec_in!M29/SER_hh_num_in!M29)</f>
        <v>35643.238082961776</v>
      </c>
      <c r="N29" s="130">
        <f>IF(SER_hh_fec_in!N29=0,0,11630*1000*SER_hh_fec_in!N29/SER_hh_num_in!N29)</f>
        <v>35951.71727966248</v>
      </c>
      <c r="O29" s="130">
        <f>IF(SER_hh_fec_in!O29=0,0,11630*1000*SER_hh_fec_in!O29/SER_hh_num_in!O29)</f>
        <v>38290.374500495163</v>
      </c>
      <c r="P29" s="130">
        <f>IF(SER_hh_fec_in!P29=0,0,11630*1000*SER_hh_fec_in!P29/SER_hh_num_in!P29)</f>
        <v>35765.409220805595</v>
      </c>
      <c r="Q29" s="130">
        <f>IF(SER_hh_fec_in!Q29=0,0,11630*1000*SER_hh_fec_in!Q29/SER_hh_num_in!Q29)</f>
        <v>38249.854444406206</v>
      </c>
      <c r="R29" s="130">
        <f>IF(SER_hh_fec_in!R29=0,0,11630*1000*SER_hh_fec_in!R29/SER_hh_num_in!R29)</f>
        <v>36200.826658768725</v>
      </c>
      <c r="S29" s="130">
        <f>IF(SER_hh_fec_in!S29=0,0,11630*1000*SER_hh_fec_in!S29/SER_hh_num_in!S29)</f>
        <v>37828.01887736447</v>
      </c>
      <c r="T29" s="130">
        <f>IF(SER_hh_fec_in!T29=0,0,11630*1000*SER_hh_fec_in!T29/SER_hh_num_in!T29)</f>
        <v>37525.833948805543</v>
      </c>
      <c r="U29" s="130">
        <f>IF(SER_hh_fec_in!U29=0,0,11630*1000*SER_hh_fec_in!U29/SER_hh_num_in!U29)</f>
        <v>36913.377496069799</v>
      </c>
      <c r="V29" s="130">
        <f>IF(SER_hh_fec_in!V29=0,0,11630*1000*SER_hh_fec_in!V29/SER_hh_num_in!V29)</f>
        <v>32035.975564340803</v>
      </c>
      <c r="W29" s="130">
        <f>IF(SER_hh_fec_in!W29=0,0,11630*1000*SER_hh_fec_in!W29/SER_hh_num_in!W29)</f>
        <v>39013.811023469563</v>
      </c>
      <c r="X29" s="130">
        <f>IF(SER_hh_fec_in!X29=0,0,11630*1000*SER_hh_fec_in!X29/SER_hh_num_in!X29)</f>
        <v>38985.216172161476</v>
      </c>
      <c r="Y29" s="130">
        <f>IF(SER_hh_fec_in!Y29=0,0,11630*1000*SER_hh_fec_in!Y29/SER_hh_num_in!Y29)</f>
        <v>39390.124288684841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40502.069851469736</v>
      </c>
      <c r="D30" s="132">
        <f>IF(SER_hh_fec_in!D30=0,0,11630*1000*SER_hh_fec_in!D30/SER_hh_num_in!D30)</f>
        <v>39005.233520996117</v>
      </c>
      <c r="E30" s="132">
        <f>IF(SER_hh_fec_in!E30=0,0,11630*1000*SER_hh_fec_in!E30/SER_hh_num_in!E30)</f>
        <v>38090.990240207684</v>
      </c>
      <c r="F30" s="132">
        <f>IF(SER_hh_fec_in!F30=0,0,11630*1000*SER_hh_fec_in!F30/SER_hh_num_in!F30)</f>
        <v>37726.126744769936</v>
      </c>
      <c r="G30" s="132">
        <f>IF(SER_hh_fec_in!G30=0,0,11630*1000*SER_hh_fec_in!G30/SER_hh_num_in!G30)</f>
        <v>40296.853259695381</v>
      </c>
      <c r="H30" s="132">
        <f>IF(SER_hh_fec_in!H30=0,0,11630*1000*SER_hh_fec_in!H30/SER_hh_num_in!H30)</f>
        <v>39108.00622956366</v>
      </c>
      <c r="I30" s="132">
        <f>IF(SER_hh_fec_in!I30=0,0,11630*1000*SER_hh_fec_in!I30/SER_hh_num_in!I30)</f>
        <v>37567.004227183155</v>
      </c>
      <c r="J30" s="132">
        <f>IF(SER_hh_fec_in!J30=0,0,11630*1000*SER_hh_fec_in!J30/SER_hh_num_in!J30)</f>
        <v>43304.626703545917</v>
      </c>
      <c r="K30" s="132">
        <f>IF(SER_hh_fec_in!K30=0,0,11630*1000*SER_hh_fec_in!K30/SER_hh_num_in!K30)</f>
        <v>32777.285769393311</v>
      </c>
      <c r="L30" s="132">
        <f>IF(SER_hh_fec_in!L30=0,0,11630*1000*SER_hh_fec_in!L30/SER_hh_num_in!L30)</f>
        <v>41970.620559807845</v>
      </c>
      <c r="M30" s="132">
        <f>IF(SER_hh_fec_in!M30=0,0,11630*1000*SER_hh_fec_in!M30/SER_hh_num_in!M30)</f>
        <v>41469.310080973599</v>
      </c>
      <c r="N30" s="132">
        <f>IF(SER_hh_fec_in!N30=0,0,11630*1000*SER_hh_fec_in!N30/SER_hh_num_in!N30)</f>
        <v>40444.214929927388</v>
      </c>
      <c r="O30" s="132">
        <f>IF(SER_hh_fec_in!O30=0,0,11630*1000*SER_hh_fec_in!O30/SER_hh_num_in!O30)</f>
        <v>47669.155074560687</v>
      </c>
      <c r="P30" s="132">
        <f>IF(SER_hh_fec_in!P30=0,0,11630*1000*SER_hh_fec_in!P30/SER_hh_num_in!P30)</f>
        <v>40875.534287569986</v>
      </c>
      <c r="Q30" s="132">
        <f>IF(SER_hh_fec_in!Q30=0,0,11630*1000*SER_hh_fec_in!Q30/SER_hh_num_in!Q30)</f>
        <v>46094.585919282916</v>
      </c>
      <c r="R30" s="132">
        <f>IF(SER_hh_fec_in!R30=0,0,11630*1000*SER_hh_fec_in!R30/SER_hh_num_in!R30)</f>
        <v>41671.051181935662</v>
      </c>
      <c r="S30" s="132">
        <f>IF(SER_hh_fec_in!S30=0,0,11630*1000*SER_hh_fec_in!S30/SER_hh_num_in!S30)</f>
        <v>42918.893844335391</v>
      </c>
      <c r="T30" s="132">
        <f>IF(SER_hh_fec_in!T30=0,0,11630*1000*SER_hh_fec_in!T30/SER_hh_num_in!T30)</f>
        <v>46229.958259446939</v>
      </c>
      <c r="U30" s="132">
        <f>IF(SER_hh_fec_in!U30=0,0,11630*1000*SER_hh_fec_in!U30/SER_hh_num_in!U30)</f>
        <v>46381.205151797825</v>
      </c>
      <c r="V30" s="132">
        <f>IF(SER_hh_fec_in!V30=0,0,11630*1000*SER_hh_fec_in!V30/SER_hh_num_in!V30)</f>
        <v>38745.910697599524</v>
      </c>
      <c r="W30" s="132">
        <f>IF(SER_hh_fec_in!W30=0,0,11630*1000*SER_hh_fec_in!W30/SER_hh_num_in!W30)</f>
        <v>43960.851566609352</v>
      </c>
      <c r="X30" s="132">
        <f>IF(SER_hh_fec_in!X30=0,0,11630*1000*SER_hh_fec_in!X30/SER_hh_num_in!X30)</f>
        <v>44748.348852211486</v>
      </c>
      <c r="Y30" s="132">
        <f>IF(SER_hh_fec_in!Y30=0,0,11630*1000*SER_hh_fec_in!Y30/SER_hh_num_in!Y30)</f>
        <v>45979.907521239889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39348.828391251685</v>
      </c>
      <c r="D31" s="132">
        <f>IF(SER_hh_fec_in!D31=0,0,11630*1000*SER_hh_fec_in!D31/SER_hh_num_in!D31)</f>
        <v>38632.752945907159</v>
      </c>
      <c r="E31" s="132">
        <f>IF(SER_hh_fec_in!E31=0,0,11630*1000*SER_hh_fec_in!E31/SER_hh_num_in!E31)</f>
        <v>38107.494849678784</v>
      </c>
      <c r="F31" s="132">
        <f>IF(SER_hh_fec_in!F31=0,0,11630*1000*SER_hh_fec_in!F31/SER_hh_num_in!F31)</f>
        <v>38428.139442681408</v>
      </c>
      <c r="G31" s="132">
        <f>IF(SER_hh_fec_in!G31=0,0,11630*1000*SER_hh_fec_in!G31/SER_hh_num_in!G31)</f>
        <v>38306.729246890274</v>
      </c>
      <c r="H31" s="132">
        <f>IF(SER_hh_fec_in!H31=0,0,11630*1000*SER_hh_fec_in!H31/SER_hh_num_in!H31)</f>
        <v>38470.74991271153</v>
      </c>
      <c r="I31" s="132">
        <f>IF(SER_hh_fec_in!I31=0,0,11630*1000*SER_hh_fec_in!I31/SER_hh_num_in!I31)</f>
        <v>37644.532766391581</v>
      </c>
      <c r="J31" s="132">
        <f>IF(SER_hh_fec_in!J31=0,0,11630*1000*SER_hh_fec_in!J31/SER_hh_num_in!J31)</f>
        <v>37283.362748501931</v>
      </c>
      <c r="K31" s="132">
        <f>IF(SER_hh_fec_in!K31=0,0,11630*1000*SER_hh_fec_in!K31/SER_hh_num_in!K31)</f>
        <v>38167.564522093795</v>
      </c>
      <c r="L31" s="132">
        <f>IF(SER_hh_fec_in!L31=0,0,11630*1000*SER_hh_fec_in!L31/SER_hh_num_in!L31)</f>
        <v>39992.333373152913</v>
      </c>
      <c r="M31" s="132">
        <f>IF(SER_hh_fec_in!M31=0,0,11630*1000*SER_hh_fec_in!M31/SER_hh_num_in!M31)</f>
        <v>38471.068805161565</v>
      </c>
      <c r="N31" s="132">
        <f>IF(SER_hh_fec_in!N31=0,0,11630*1000*SER_hh_fec_in!N31/SER_hh_num_in!N31)</f>
        <v>41692.053049241083</v>
      </c>
      <c r="O31" s="132">
        <f>IF(SER_hh_fec_in!O31=0,0,11630*1000*SER_hh_fec_in!O31/SER_hh_num_in!O31)</f>
        <v>42480.109147837531</v>
      </c>
      <c r="P31" s="132">
        <f>IF(SER_hh_fec_in!P31=0,0,11630*1000*SER_hh_fec_in!P31/SER_hh_num_in!P31)</f>
        <v>42360.033251079112</v>
      </c>
      <c r="Q31" s="132">
        <f>IF(SER_hh_fec_in!Q31=0,0,11630*1000*SER_hh_fec_in!Q31/SER_hh_num_in!Q31)</f>
        <v>45532.62887816532</v>
      </c>
      <c r="R31" s="132">
        <f>IF(SER_hh_fec_in!R31=0,0,11630*1000*SER_hh_fec_in!R31/SER_hh_num_in!R31)</f>
        <v>44047.767205229851</v>
      </c>
      <c r="S31" s="132">
        <f>IF(SER_hh_fec_in!S31=0,0,11630*1000*SER_hh_fec_in!S31/SER_hh_num_in!S31)</f>
        <v>42533.182949370763</v>
      </c>
      <c r="T31" s="132">
        <f>IF(SER_hh_fec_in!T31=0,0,11630*1000*SER_hh_fec_in!T31/SER_hh_num_in!T31)</f>
        <v>43572.900158976474</v>
      </c>
      <c r="U31" s="132">
        <f>IF(SER_hh_fec_in!U31=0,0,11630*1000*SER_hh_fec_in!U31/SER_hh_num_in!U31)</f>
        <v>44735.599776250478</v>
      </c>
      <c r="V31" s="132">
        <f>IF(SER_hh_fec_in!V31=0,0,11630*1000*SER_hh_fec_in!V31/SER_hh_num_in!V31)</f>
        <v>35045.985255305786</v>
      </c>
      <c r="W31" s="132">
        <f>IF(SER_hh_fec_in!W31=0,0,11630*1000*SER_hh_fec_in!W31/SER_hh_num_in!W31)</f>
        <v>47626.907079305383</v>
      </c>
      <c r="X31" s="132">
        <f>IF(SER_hh_fec_in!X31=0,0,11630*1000*SER_hh_fec_in!X31/SER_hh_num_in!X31)</f>
        <v>45517.698460402789</v>
      </c>
      <c r="Y31" s="132">
        <f>IF(SER_hh_fec_in!Y31=0,0,11630*1000*SER_hh_fec_in!Y31/SER_hh_num_in!Y31)</f>
        <v>43402.784442946853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0</v>
      </c>
      <c r="H32" s="132">
        <f>IF(SER_hh_fec_in!H32=0,0,11630*1000*SER_hh_fec_in!H32/SER_hh_num_in!H32)</f>
        <v>0</v>
      </c>
      <c r="I32" s="132">
        <f>IF(SER_hh_fec_in!I32=0,0,11630*1000*SER_hh_fec_in!I32/SER_hh_num_in!I32)</f>
        <v>0</v>
      </c>
      <c r="J32" s="132">
        <f>IF(SER_hh_fec_in!J32=0,0,11630*1000*SER_hh_fec_in!J32/SER_hh_num_in!J32)</f>
        <v>0</v>
      </c>
      <c r="K32" s="132">
        <f>IF(SER_hh_fec_in!K32=0,0,11630*1000*SER_hh_fec_in!K32/SER_hh_num_in!K32)</f>
        <v>0</v>
      </c>
      <c r="L32" s="132">
        <f>IF(SER_hh_fec_in!L32=0,0,11630*1000*SER_hh_fec_in!L32/SER_hh_num_in!L32)</f>
        <v>0</v>
      </c>
      <c r="M32" s="132">
        <f>IF(SER_hh_fec_in!M32=0,0,11630*1000*SER_hh_fec_in!M32/SER_hh_num_in!M32)</f>
        <v>0</v>
      </c>
      <c r="N32" s="132">
        <f>IF(SER_hh_fec_in!N32=0,0,11630*1000*SER_hh_fec_in!N32/SER_hh_num_in!N32)</f>
        <v>0</v>
      </c>
      <c r="O32" s="132">
        <f>IF(SER_hh_fec_in!O32=0,0,11630*1000*SER_hh_fec_in!O32/SER_hh_num_in!O32)</f>
        <v>0</v>
      </c>
      <c r="P32" s="132">
        <f>IF(SER_hh_fec_in!P32=0,0,11630*1000*SER_hh_fec_in!P32/SER_hh_num_in!P32)</f>
        <v>0</v>
      </c>
      <c r="Q32" s="132">
        <f>IF(SER_hh_fec_in!Q32=0,0,11630*1000*SER_hh_fec_in!Q32/SER_hh_num_in!Q32)</f>
        <v>0</v>
      </c>
      <c r="R32" s="132">
        <f>IF(SER_hh_fec_in!R32=0,0,11630*1000*SER_hh_fec_in!R32/SER_hh_num_in!R32)</f>
        <v>0</v>
      </c>
      <c r="S32" s="132">
        <f>IF(SER_hh_fec_in!S32=0,0,11630*1000*SER_hh_fec_in!S32/SER_hh_num_in!S32)</f>
        <v>0</v>
      </c>
      <c r="T32" s="132">
        <f>IF(SER_hh_fec_in!T32=0,0,11630*1000*SER_hh_fec_in!T32/SER_hh_num_in!T32)</f>
        <v>0</v>
      </c>
      <c r="U32" s="132">
        <f>IF(SER_hh_fec_in!U32=0,0,11630*1000*SER_hh_fec_in!U32/SER_hh_num_in!U32)</f>
        <v>0</v>
      </c>
      <c r="V32" s="132">
        <f>IF(SER_hh_fec_in!V32=0,0,11630*1000*SER_hh_fec_in!V32/SER_hh_num_in!V32)</f>
        <v>0</v>
      </c>
      <c r="W32" s="132">
        <f>IF(SER_hh_fec_in!W32=0,0,11630*1000*SER_hh_fec_in!W32/SER_hh_num_in!W32)</f>
        <v>0</v>
      </c>
      <c r="X32" s="132">
        <f>IF(SER_hh_fec_in!X32=0,0,11630*1000*SER_hh_fec_in!X32/SER_hh_num_in!X32)</f>
        <v>0</v>
      </c>
      <c r="Y32" s="132">
        <f>IF(SER_hh_fec_in!Y32=0,0,11630*1000*SER_hh_fec_in!Y32/SER_hh_num_in!Y32)</f>
        <v>0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29476.341247764427</v>
      </c>
      <c r="D33" s="68">
        <f>IF(SER_hh_fec_in!D33=0,0,11630*1000*SER_hh_fec_in!D33/SER_hh_num_in!D33)</f>
        <v>29725.307367344041</v>
      </c>
      <c r="E33" s="68">
        <f>IF(SER_hh_fec_in!E33=0,0,11630*1000*SER_hh_fec_in!E33/SER_hh_num_in!E33)</f>
        <v>30268.235689172139</v>
      </c>
      <c r="F33" s="68">
        <f>IF(SER_hh_fec_in!F33=0,0,11630*1000*SER_hh_fec_in!F33/SER_hh_num_in!F33)</f>
        <v>29837.691787121581</v>
      </c>
      <c r="G33" s="68">
        <f>IF(SER_hh_fec_in!G33=0,0,11630*1000*SER_hh_fec_in!G33/SER_hh_num_in!G33)</f>
        <v>28202.143146340321</v>
      </c>
      <c r="H33" s="68">
        <f>IF(SER_hh_fec_in!H33=0,0,11630*1000*SER_hh_fec_in!H33/SER_hh_num_in!H33)</f>
        <v>28712.519485269473</v>
      </c>
      <c r="I33" s="68">
        <f>IF(SER_hh_fec_in!I33=0,0,11630*1000*SER_hh_fec_in!I33/SER_hh_num_in!I33)</f>
        <v>29256.250334518561</v>
      </c>
      <c r="J33" s="68">
        <f>IF(SER_hh_fec_in!J33=0,0,11630*1000*SER_hh_fec_in!J33/SER_hh_num_in!J33)</f>
        <v>25992.166659965231</v>
      </c>
      <c r="K33" s="68">
        <f>IF(SER_hh_fec_in!K33=0,0,11630*1000*SER_hh_fec_in!K33/SER_hh_num_in!K33)</f>
        <v>31185.641790040419</v>
      </c>
      <c r="L33" s="68">
        <f>IF(SER_hh_fec_in!L33=0,0,11630*1000*SER_hh_fec_in!L33/SER_hh_num_in!L33)</f>
        <v>25873.540405583029</v>
      </c>
      <c r="M33" s="68">
        <f>IF(SER_hh_fec_in!M33=0,0,11630*1000*SER_hh_fec_in!M33/SER_hh_num_in!M33)</f>
        <v>30223.54249374416</v>
      </c>
      <c r="N33" s="68">
        <f>IF(SER_hh_fec_in!N33=0,0,11630*1000*SER_hh_fec_in!N33/SER_hh_num_in!N33)</f>
        <v>32850.330077005572</v>
      </c>
      <c r="O33" s="68">
        <f>IF(SER_hh_fec_in!O33=0,0,11630*1000*SER_hh_fec_in!O33/SER_hh_num_in!O33)</f>
        <v>28986.052541950783</v>
      </c>
      <c r="P33" s="68">
        <f>IF(SER_hh_fec_in!P33=0,0,11630*1000*SER_hh_fec_in!P33/SER_hh_num_in!P33)</f>
        <v>33654.642215941712</v>
      </c>
      <c r="Q33" s="68">
        <f>IF(SER_hh_fec_in!Q33=0,0,11630*1000*SER_hh_fec_in!Q33/SER_hh_num_in!Q33)</f>
        <v>31551.487748808486</v>
      </c>
      <c r="R33" s="68">
        <f>IF(SER_hh_fec_in!R33=0,0,11630*1000*SER_hh_fec_in!R33/SER_hh_num_in!R33)</f>
        <v>33290.002197757392</v>
      </c>
      <c r="S33" s="68">
        <f>IF(SER_hh_fec_in!S33=0,0,11630*1000*SER_hh_fec_in!S33/SER_hh_num_in!S33)</f>
        <v>32730.65126094743</v>
      </c>
      <c r="T33" s="68">
        <f>IF(SER_hh_fec_in!T33=0,0,11630*1000*SER_hh_fec_in!T33/SER_hh_num_in!T33)</f>
        <v>30386.966850647801</v>
      </c>
      <c r="U33" s="68">
        <f>IF(SER_hh_fec_in!U33=0,0,11630*1000*SER_hh_fec_in!U33/SER_hh_num_in!U33)</f>
        <v>30550.962825348684</v>
      </c>
      <c r="V33" s="68">
        <f>IF(SER_hh_fec_in!V33=0,0,11630*1000*SER_hh_fec_in!V33/SER_hh_num_in!V33)</f>
        <v>30008.740493262616</v>
      </c>
      <c r="W33" s="68">
        <f>IF(SER_hh_fec_in!W33=0,0,11630*1000*SER_hh_fec_in!W33/SER_hh_num_in!W33)</f>
        <v>32537.35221977294</v>
      </c>
      <c r="X33" s="68">
        <f>IF(SER_hh_fec_in!X33=0,0,11630*1000*SER_hh_fec_in!X33/SER_hh_num_in!X33)</f>
        <v>31142.608622053714</v>
      </c>
      <c r="Y33" s="68">
        <f>IF(SER_hh_fec_in!Y33=0,0,11630*1000*SER_hh_fec_in!Y33/SER_hh_num_in!Y33)</f>
        <v>29879.34979640241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180137.59097894977</v>
      </c>
      <c r="D3" s="125">
        <f>IF(SER_hh_tes_in!D3=0,0,11630*1000*SER_hh_tes_in!D3/SER_hh_num_in!D3)</f>
        <v>178945.29359581915</v>
      </c>
      <c r="E3" s="125">
        <f>IF(SER_hh_tes_in!E3=0,0,11630*1000*SER_hh_tes_in!E3/SER_hh_num_in!E3)</f>
        <v>198265.61336419208</v>
      </c>
      <c r="F3" s="125">
        <f>IF(SER_hh_tes_in!F3=0,0,11630*1000*SER_hh_tes_in!F3/SER_hh_num_in!F3)</f>
        <v>181807.85544743028</v>
      </c>
      <c r="G3" s="125">
        <f>IF(SER_hh_tes_in!G3=0,0,11630*1000*SER_hh_tes_in!G3/SER_hh_num_in!G3)</f>
        <v>188097.25684828949</v>
      </c>
      <c r="H3" s="125">
        <f>IF(SER_hh_tes_in!H3=0,0,11630*1000*SER_hh_tes_in!H3/SER_hh_num_in!H3)</f>
        <v>196820.47565323347</v>
      </c>
      <c r="I3" s="125">
        <f>IF(SER_hh_tes_in!I3=0,0,11630*1000*SER_hh_tes_in!I3/SER_hh_num_in!I3)</f>
        <v>185208.24705842196</v>
      </c>
      <c r="J3" s="125">
        <f>IF(SER_hh_tes_in!J3=0,0,11630*1000*SER_hh_tes_in!J3/SER_hh_num_in!J3)</f>
        <v>193634.12170176281</v>
      </c>
      <c r="K3" s="125">
        <f>IF(SER_hh_tes_in!K3=0,0,11630*1000*SER_hh_tes_in!K3/SER_hh_num_in!K3)</f>
        <v>179776.63753566399</v>
      </c>
      <c r="L3" s="125">
        <f>IF(SER_hh_tes_in!L3=0,0,11630*1000*SER_hh_tes_in!L3/SER_hh_num_in!L3)</f>
        <v>181859.9488347639</v>
      </c>
      <c r="M3" s="125">
        <f>IF(SER_hh_tes_in!M3=0,0,11630*1000*SER_hh_tes_in!M3/SER_hh_num_in!M3)</f>
        <v>172215.00603493914</v>
      </c>
      <c r="N3" s="125">
        <f>IF(SER_hh_tes_in!N3=0,0,11630*1000*SER_hh_tes_in!N3/SER_hh_num_in!N3)</f>
        <v>172508.88489310449</v>
      </c>
      <c r="O3" s="125">
        <f>IF(SER_hh_tes_in!O3=0,0,11630*1000*SER_hh_tes_in!O3/SER_hh_num_in!O3)</f>
        <v>176144.40446982204</v>
      </c>
      <c r="P3" s="125">
        <f>IF(SER_hh_tes_in!P3=0,0,11630*1000*SER_hh_tes_in!P3/SER_hh_num_in!P3)</f>
        <v>161662.11792299457</v>
      </c>
      <c r="Q3" s="125">
        <f>IF(SER_hh_tes_in!Q3=0,0,11630*1000*SER_hh_tes_in!Q3/SER_hh_num_in!Q3)</f>
        <v>171144.90234356231</v>
      </c>
      <c r="R3" s="125">
        <f>IF(SER_hh_tes_in!R3=0,0,11630*1000*SER_hh_tes_in!R3/SER_hh_num_in!R3)</f>
        <v>162121.49254899001</v>
      </c>
      <c r="S3" s="125">
        <f>IF(SER_hh_tes_in!S3=0,0,11630*1000*SER_hh_tes_in!S3/SER_hh_num_in!S3)</f>
        <v>151662.0223018495</v>
      </c>
      <c r="T3" s="125">
        <f>IF(SER_hh_tes_in!T3=0,0,11630*1000*SER_hh_tes_in!T3/SER_hh_num_in!T3)</f>
        <v>157636.36311941929</v>
      </c>
      <c r="U3" s="125">
        <f>IF(SER_hh_tes_in!U3=0,0,11630*1000*SER_hh_tes_in!U3/SER_hh_num_in!U3)</f>
        <v>152394.8187818194</v>
      </c>
      <c r="V3" s="125">
        <f>IF(SER_hh_tes_in!V3=0,0,11630*1000*SER_hh_tes_in!V3/SER_hh_num_in!V3)</f>
        <v>127037.61740884624</v>
      </c>
      <c r="W3" s="125">
        <f>IF(SER_hh_tes_in!W3=0,0,11630*1000*SER_hh_tes_in!W3/SER_hh_num_in!W3)</f>
        <v>116769.18876098933</v>
      </c>
      <c r="X3" s="125">
        <f>IF(SER_hh_tes_in!X3=0,0,11630*1000*SER_hh_tes_in!X3/SER_hh_num_in!X3)</f>
        <v>98993.968552379403</v>
      </c>
      <c r="Y3" s="125">
        <f>IF(SER_hh_tes_in!Y3=0,0,11630*1000*SER_hh_tes_in!Y3/SER_hh_num_in!Y3)</f>
        <v>98530.299212319354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109899.74218043141</v>
      </c>
      <c r="D4" s="130">
        <f>IF(SER_hh_tes_in!D4=0,0,11630*1000*SER_hh_tes_in!D4/SER_hh_num_in!D4)</f>
        <v>109078.01971184905</v>
      </c>
      <c r="E4" s="130">
        <f>IF(SER_hh_tes_in!E4=0,0,11630*1000*SER_hh_tes_in!E4/SER_hh_num_in!E4)</f>
        <v>128977.89611309639</v>
      </c>
      <c r="F4" s="130">
        <f>IF(SER_hh_tes_in!F4=0,0,11630*1000*SER_hh_tes_in!F4/SER_hh_num_in!F4)</f>
        <v>113472.03549810465</v>
      </c>
      <c r="G4" s="130">
        <f>IF(SER_hh_tes_in!G4=0,0,11630*1000*SER_hh_tes_in!G4/SER_hh_num_in!G4)</f>
        <v>119576.22222490562</v>
      </c>
      <c r="H4" s="130">
        <f>IF(SER_hh_tes_in!H4=0,0,11630*1000*SER_hh_tes_in!H4/SER_hh_num_in!H4)</f>
        <v>128687.39331323146</v>
      </c>
      <c r="I4" s="130">
        <f>IF(SER_hh_tes_in!I4=0,0,11630*1000*SER_hh_tes_in!I4/SER_hh_num_in!I4)</f>
        <v>121783.75646197615</v>
      </c>
      <c r="J4" s="130">
        <f>IF(SER_hh_tes_in!J4=0,0,11630*1000*SER_hh_tes_in!J4/SER_hh_num_in!J4)</f>
        <v>127196.95324531889</v>
      </c>
      <c r="K4" s="130">
        <f>IF(SER_hh_tes_in!K4=0,0,11630*1000*SER_hh_tes_in!K4/SER_hh_num_in!K4)</f>
        <v>112162.37891687392</v>
      </c>
      <c r="L4" s="130">
        <f>IF(SER_hh_tes_in!L4=0,0,11630*1000*SER_hh_tes_in!L4/SER_hh_num_in!L4)</f>
        <v>113570.11576706778</v>
      </c>
      <c r="M4" s="130">
        <f>IF(SER_hh_tes_in!M4=0,0,11630*1000*SER_hh_tes_in!M4/SER_hh_num_in!M4)</f>
        <v>103561.49942777996</v>
      </c>
      <c r="N4" s="130">
        <f>IF(SER_hh_tes_in!N4=0,0,11630*1000*SER_hh_tes_in!N4/SER_hh_num_in!N4)</f>
        <v>102475.0958952275</v>
      </c>
      <c r="O4" s="130">
        <f>IF(SER_hh_tes_in!O4=0,0,11630*1000*SER_hh_tes_in!O4/SER_hh_num_in!O4)</f>
        <v>106575.14637390902</v>
      </c>
      <c r="P4" s="130">
        <f>IF(SER_hh_tes_in!P4=0,0,11630*1000*SER_hh_tes_in!P4/SER_hh_num_in!P4)</f>
        <v>91156.183575314892</v>
      </c>
      <c r="Q4" s="130">
        <f>IF(SER_hh_tes_in!Q4=0,0,11630*1000*SER_hh_tes_in!Q4/SER_hh_num_in!Q4)</f>
        <v>100978.70983916799</v>
      </c>
      <c r="R4" s="130">
        <f>IF(SER_hh_tes_in!R4=0,0,11630*1000*SER_hh_tes_in!R4/SER_hh_num_in!R4)</f>
        <v>91986.214564756156</v>
      </c>
      <c r="S4" s="130">
        <f>IF(SER_hh_tes_in!S4=0,0,11630*1000*SER_hh_tes_in!S4/SER_hh_num_in!S4)</f>
        <v>82733.542519048322</v>
      </c>
      <c r="T4" s="130">
        <f>IF(SER_hh_tes_in!T4=0,0,11630*1000*SER_hh_tes_in!T4/SER_hh_num_in!T4)</f>
        <v>89236.366173038492</v>
      </c>
      <c r="U4" s="130">
        <f>IF(SER_hh_tes_in!U4=0,0,11630*1000*SER_hh_tes_in!U4/SER_hh_num_in!U4)</f>
        <v>84200.253829864028</v>
      </c>
      <c r="V4" s="130">
        <f>IF(SER_hh_tes_in!V4=0,0,11630*1000*SER_hh_tes_in!V4/SER_hh_num_in!V4)</f>
        <v>63734.630396167915</v>
      </c>
      <c r="W4" s="130">
        <f>IF(SER_hh_tes_in!W4=0,0,11630*1000*SER_hh_tes_in!W4/SER_hh_num_in!W4)</f>
        <v>50972.698758274666</v>
      </c>
      <c r="X4" s="130">
        <f>IF(SER_hh_tes_in!X4=0,0,11630*1000*SER_hh_tes_in!X4/SER_hh_num_in!X4)</f>
        <v>36474.924990414824</v>
      </c>
      <c r="Y4" s="130">
        <f>IF(SER_hh_tes_in!Y4=0,0,11630*1000*SER_hh_tes_in!Y4/SER_hh_num_in!Y4)</f>
        <v>36507.545115485278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65168.843540083544</v>
      </c>
      <c r="D5" s="132">
        <f>IF(SER_hh_tes_in!D5=0,0,11630*1000*SER_hh_tes_in!D5/SER_hh_num_in!D5)</f>
        <v>32839.628302188532</v>
      </c>
      <c r="E5" s="132">
        <f>IF(SER_hh_tes_in!E5=0,0,11630*1000*SER_hh_tes_in!E5/SER_hh_num_in!E5)</f>
        <v>177811.29073724448</v>
      </c>
      <c r="F5" s="132">
        <f>IF(SER_hh_tes_in!F5=0,0,11630*1000*SER_hh_tes_in!F5/SER_hh_num_in!F5)</f>
        <v>149354.64963082204</v>
      </c>
      <c r="G5" s="132">
        <f>IF(SER_hh_tes_in!G5=0,0,11630*1000*SER_hh_tes_in!G5/SER_hh_num_in!G5)</f>
        <v>145017.60337205199</v>
      </c>
      <c r="H5" s="132">
        <f>IF(SER_hh_tes_in!H5=0,0,11630*1000*SER_hh_tes_in!H5/SER_hh_num_in!H5)</f>
        <v>143627.83649137724</v>
      </c>
      <c r="I5" s="132">
        <f>IF(SER_hh_tes_in!I5=0,0,11630*1000*SER_hh_tes_in!I5/SER_hh_num_in!I5)</f>
        <v>0</v>
      </c>
      <c r="J5" s="132">
        <f>IF(SER_hh_tes_in!J5=0,0,11630*1000*SER_hh_tes_in!J5/SER_hh_num_in!J5)</f>
        <v>0</v>
      </c>
      <c r="K5" s="132">
        <f>IF(SER_hh_tes_in!K5=0,0,11630*1000*SER_hh_tes_in!K5/SER_hh_num_in!K5)</f>
        <v>0</v>
      </c>
      <c r="L5" s="132">
        <f>IF(SER_hh_tes_in!L5=0,0,11630*1000*SER_hh_tes_in!L5/SER_hh_num_in!L5)</f>
        <v>0</v>
      </c>
      <c r="M5" s="132">
        <f>IF(SER_hh_tes_in!M5=0,0,11630*1000*SER_hh_tes_in!M5/SER_hh_num_in!M5)</f>
        <v>0</v>
      </c>
      <c r="N5" s="132">
        <f>IF(SER_hh_tes_in!N5=0,0,11630*1000*SER_hh_tes_in!N5/SER_hh_num_in!N5)</f>
        <v>0</v>
      </c>
      <c r="O5" s="132">
        <f>IF(SER_hh_tes_in!O5=0,0,11630*1000*SER_hh_tes_in!O5/SER_hh_num_in!O5)</f>
        <v>0</v>
      </c>
      <c r="P5" s="132">
        <f>IF(SER_hh_tes_in!P5=0,0,11630*1000*SER_hh_tes_in!P5/SER_hh_num_in!P5)</f>
        <v>0</v>
      </c>
      <c r="Q5" s="132">
        <f>IF(SER_hh_tes_in!Q5=0,0,11630*1000*SER_hh_tes_in!Q5/SER_hh_num_in!Q5)</f>
        <v>66010.620112740056</v>
      </c>
      <c r="R5" s="132">
        <f>IF(SER_hh_tes_in!R5=0,0,11630*1000*SER_hh_tes_in!R5/SER_hh_num_in!R5)</f>
        <v>112174.83923105891</v>
      </c>
      <c r="S5" s="132">
        <f>IF(SER_hh_tes_in!S5=0,0,11630*1000*SER_hh_tes_in!S5/SER_hh_num_in!S5)</f>
        <v>88261.127085362503</v>
      </c>
      <c r="T5" s="132">
        <f>IF(SER_hh_tes_in!T5=0,0,11630*1000*SER_hh_tes_in!T5/SER_hh_num_in!T5)</f>
        <v>93528.384746301395</v>
      </c>
      <c r="U5" s="132">
        <f>IF(SER_hh_tes_in!U5=0,0,11630*1000*SER_hh_tes_in!U5/SER_hh_num_in!U5)</f>
        <v>92111.597369619834</v>
      </c>
      <c r="V5" s="132">
        <f>IF(SER_hh_tes_in!V5=0,0,11630*1000*SER_hh_tes_in!V5/SER_hh_num_in!V5)</f>
        <v>0</v>
      </c>
      <c r="W5" s="132">
        <f>IF(SER_hh_tes_in!W5=0,0,11630*1000*SER_hh_tes_in!W5/SER_hh_num_in!W5)</f>
        <v>0</v>
      </c>
      <c r="X5" s="132">
        <f>IF(SER_hh_tes_in!X5=0,0,11630*1000*SER_hh_tes_in!X5/SER_hh_num_in!X5)</f>
        <v>37875.684269723126</v>
      </c>
      <c r="Y5" s="132">
        <f>IF(SER_hh_tes_in!Y5=0,0,11630*1000*SER_hh_tes_in!Y5/SER_hh_num_in!Y5)</f>
        <v>37091.235920579755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109417.77821825529</v>
      </c>
      <c r="D7" s="132">
        <f>IF(SER_hh_tes_in!D7=0,0,11630*1000*SER_hh_tes_in!D7/SER_hh_num_in!D7)</f>
        <v>0</v>
      </c>
      <c r="E7" s="132">
        <f>IF(SER_hh_tes_in!E7=0,0,11630*1000*SER_hh_tes_in!E7/SER_hh_num_in!E7)</f>
        <v>0</v>
      </c>
      <c r="F7" s="132">
        <f>IF(SER_hh_tes_in!F7=0,0,11630*1000*SER_hh_tes_in!F7/SER_hh_num_in!F7)</f>
        <v>0</v>
      </c>
      <c r="G7" s="132">
        <f>IF(SER_hh_tes_in!G7=0,0,11630*1000*SER_hh_tes_in!G7/SER_hh_num_in!G7)</f>
        <v>0</v>
      </c>
      <c r="H7" s="132">
        <f>IF(SER_hh_tes_in!H7=0,0,11630*1000*SER_hh_tes_in!H7/SER_hh_num_in!H7)</f>
        <v>0</v>
      </c>
      <c r="I7" s="132">
        <f>IF(SER_hh_tes_in!I7=0,0,11630*1000*SER_hh_tes_in!I7/SER_hh_num_in!I7)</f>
        <v>115574.7226017409</v>
      </c>
      <c r="J7" s="132">
        <f>IF(SER_hh_tes_in!J7=0,0,11630*1000*SER_hh_tes_in!J7/SER_hh_num_in!J7)</f>
        <v>126330.19715544149</v>
      </c>
      <c r="K7" s="132">
        <f>IF(SER_hh_tes_in!K7=0,0,11630*1000*SER_hh_tes_in!K7/SER_hh_num_in!K7)</f>
        <v>106068.88320808817</v>
      </c>
      <c r="L7" s="132">
        <f>IF(SER_hh_tes_in!L7=0,0,11630*1000*SER_hh_tes_in!L7/SER_hh_num_in!L7)</f>
        <v>109442.0452007853</v>
      </c>
      <c r="M7" s="132">
        <f>IF(SER_hh_tes_in!M7=0,0,11630*1000*SER_hh_tes_in!M7/SER_hh_num_in!M7)</f>
        <v>97503.336931492842</v>
      </c>
      <c r="N7" s="132">
        <f>IF(SER_hh_tes_in!N7=0,0,11630*1000*SER_hh_tes_in!N7/SER_hh_num_in!N7)</f>
        <v>91429.256734733703</v>
      </c>
      <c r="O7" s="132">
        <f>IF(SER_hh_tes_in!O7=0,0,11630*1000*SER_hh_tes_in!O7/SER_hh_num_in!O7)</f>
        <v>109274.81695225547</v>
      </c>
      <c r="P7" s="132">
        <f>IF(SER_hh_tes_in!P7=0,0,11630*1000*SER_hh_tes_in!P7/SER_hh_num_in!P7)</f>
        <v>95143.784994250411</v>
      </c>
      <c r="Q7" s="132">
        <f>IF(SER_hh_tes_in!Q7=0,0,11630*1000*SER_hh_tes_in!Q7/SER_hh_num_in!Q7)</f>
        <v>98019.306408683668</v>
      </c>
      <c r="R7" s="132">
        <f>IF(SER_hh_tes_in!R7=0,0,11630*1000*SER_hh_tes_in!R7/SER_hh_num_in!R7)</f>
        <v>90221.860011047203</v>
      </c>
      <c r="S7" s="132">
        <f>IF(SER_hh_tes_in!S7=0,0,11630*1000*SER_hh_tes_in!S7/SER_hh_num_in!S7)</f>
        <v>80444.428053091411</v>
      </c>
      <c r="T7" s="132">
        <f>IF(SER_hh_tes_in!T7=0,0,11630*1000*SER_hh_tes_in!T7/SER_hh_num_in!T7)</f>
        <v>0</v>
      </c>
      <c r="U7" s="132">
        <f>IF(SER_hh_tes_in!U7=0,0,11630*1000*SER_hh_tes_in!U7/SER_hh_num_in!U7)</f>
        <v>0</v>
      </c>
      <c r="V7" s="132">
        <f>IF(SER_hh_tes_in!V7=0,0,11630*1000*SER_hh_tes_in!V7/SER_hh_num_in!V7)</f>
        <v>61069.404923455193</v>
      </c>
      <c r="W7" s="132">
        <f>IF(SER_hh_tes_in!W7=0,0,11630*1000*SER_hh_tes_in!W7/SER_hh_num_in!W7)</f>
        <v>47497.389719925915</v>
      </c>
      <c r="X7" s="132">
        <f>IF(SER_hh_tes_in!X7=0,0,11630*1000*SER_hh_tes_in!X7/SER_hh_num_in!X7)</f>
        <v>34008.385288168676</v>
      </c>
      <c r="Y7" s="132">
        <f>IF(SER_hh_tes_in!Y7=0,0,11630*1000*SER_hh_tes_in!Y7/SER_hh_num_in!Y7)</f>
        <v>34127.937193272519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0</v>
      </c>
      <c r="D8" s="132">
        <f>IF(SER_hh_tes_in!D8=0,0,11630*1000*SER_hh_tes_in!D8/SER_hh_num_in!D8)</f>
        <v>0</v>
      </c>
      <c r="E8" s="132">
        <f>IF(SER_hh_tes_in!E8=0,0,11630*1000*SER_hh_tes_in!E8/SER_hh_num_in!E8)</f>
        <v>0</v>
      </c>
      <c r="F8" s="132">
        <f>IF(SER_hh_tes_in!F8=0,0,11630*1000*SER_hh_tes_in!F8/SER_hh_num_in!F8)</f>
        <v>0</v>
      </c>
      <c r="G8" s="132">
        <f>IF(SER_hh_tes_in!G8=0,0,11630*1000*SER_hh_tes_in!G8/SER_hh_num_in!G8)</f>
        <v>0</v>
      </c>
      <c r="H8" s="132">
        <f>IF(SER_hh_tes_in!H8=0,0,11630*1000*SER_hh_tes_in!H8/SER_hh_num_in!H8)</f>
        <v>0</v>
      </c>
      <c r="I8" s="132">
        <f>IF(SER_hh_tes_in!I8=0,0,11630*1000*SER_hh_tes_in!I8/SER_hh_num_in!I8)</f>
        <v>0</v>
      </c>
      <c r="J8" s="132">
        <f>IF(SER_hh_tes_in!J8=0,0,11630*1000*SER_hh_tes_in!J8/SER_hh_num_in!J8)</f>
        <v>0</v>
      </c>
      <c r="K8" s="132">
        <f>IF(SER_hh_tes_in!K8=0,0,11630*1000*SER_hh_tes_in!K8/SER_hh_num_in!K8)</f>
        <v>0</v>
      </c>
      <c r="L8" s="132">
        <f>IF(SER_hh_tes_in!L8=0,0,11630*1000*SER_hh_tes_in!L8/SER_hh_num_in!L8)</f>
        <v>0</v>
      </c>
      <c r="M8" s="132">
        <f>IF(SER_hh_tes_in!M8=0,0,11630*1000*SER_hh_tes_in!M8/SER_hh_num_in!M8)</f>
        <v>0</v>
      </c>
      <c r="N8" s="132">
        <f>IF(SER_hh_tes_in!N8=0,0,11630*1000*SER_hh_tes_in!N8/SER_hh_num_in!N8)</f>
        <v>0</v>
      </c>
      <c r="O8" s="132">
        <f>IF(SER_hh_tes_in!O8=0,0,11630*1000*SER_hh_tes_in!O8/SER_hh_num_in!O8)</f>
        <v>0</v>
      </c>
      <c r="P8" s="132">
        <f>IF(SER_hh_tes_in!P8=0,0,11630*1000*SER_hh_tes_in!P8/SER_hh_num_in!P8)</f>
        <v>0</v>
      </c>
      <c r="Q8" s="132">
        <f>IF(SER_hh_tes_in!Q8=0,0,11630*1000*SER_hh_tes_in!Q8/SER_hh_num_in!Q8)</f>
        <v>0</v>
      </c>
      <c r="R8" s="132">
        <f>IF(SER_hh_tes_in!R8=0,0,11630*1000*SER_hh_tes_in!R8/SER_hh_num_in!R8)</f>
        <v>0</v>
      </c>
      <c r="S8" s="132">
        <f>IF(SER_hh_tes_in!S8=0,0,11630*1000*SER_hh_tes_in!S8/SER_hh_num_in!S8)</f>
        <v>0</v>
      </c>
      <c r="T8" s="132">
        <f>IF(SER_hh_tes_in!T8=0,0,11630*1000*SER_hh_tes_in!T8/SER_hh_num_in!T8)</f>
        <v>0</v>
      </c>
      <c r="U8" s="132">
        <f>IF(SER_hh_tes_in!U8=0,0,11630*1000*SER_hh_tes_in!U8/SER_hh_num_in!U8)</f>
        <v>0</v>
      </c>
      <c r="V8" s="132">
        <f>IF(SER_hh_tes_in!V8=0,0,11630*1000*SER_hh_tes_in!V8/SER_hh_num_in!V8)</f>
        <v>0</v>
      </c>
      <c r="W8" s="132">
        <f>IF(SER_hh_tes_in!W8=0,0,11630*1000*SER_hh_tes_in!W8/SER_hh_num_in!W8)</f>
        <v>0</v>
      </c>
      <c r="X8" s="132">
        <f>IF(SER_hh_tes_in!X8=0,0,11630*1000*SER_hh_tes_in!X8/SER_hh_num_in!X8)</f>
        <v>0</v>
      </c>
      <c r="Y8" s="132">
        <f>IF(SER_hh_tes_in!Y8=0,0,11630*1000*SER_hh_tes_in!Y8/SER_hh_num_in!Y8)</f>
        <v>0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111623.53109685658</v>
      </c>
      <c r="D9" s="132">
        <f>IF(SER_hh_tes_in!D9=0,0,11630*1000*SER_hh_tes_in!D9/SER_hh_num_in!D9)</f>
        <v>107886.58993419487</v>
      </c>
      <c r="E9" s="132">
        <f>IF(SER_hh_tes_in!E9=0,0,11630*1000*SER_hh_tes_in!E9/SER_hh_num_in!E9)</f>
        <v>113462.93413210422</v>
      </c>
      <c r="F9" s="132">
        <f>IF(SER_hh_tes_in!F9=0,0,11630*1000*SER_hh_tes_in!F9/SER_hh_num_in!F9)</f>
        <v>112682.31767969854</v>
      </c>
      <c r="G9" s="132">
        <f>IF(SER_hh_tes_in!G9=0,0,11630*1000*SER_hh_tes_in!G9/SER_hh_num_in!G9)</f>
        <v>112520.06631271873</v>
      </c>
      <c r="H9" s="132">
        <f>IF(SER_hh_tes_in!H9=0,0,11630*1000*SER_hh_tes_in!H9/SER_hh_num_in!H9)</f>
        <v>122841.10654842954</v>
      </c>
      <c r="I9" s="132">
        <f>IF(SER_hh_tes_in!I9=0,0,11630*1000*SER_hh_tes_in!I9/SER_hh_num_in!I9)</f>
        <v>122252.53522276656</v>
      </c>
      <c r="J9" s="132">
        <f>IF(SER_hh_tes_in!J9=0,0,11630*1000*SER_hh_tes_in!J9/SER_hh_num_in!J9)</f>
        <v>123094.07195583972</v>
      </c>
      <c r="K9" s="132">
        <f>IF(SER_hh_tes_in!K9=0,0,11630*1000*SER_hh_tes_in!K9/SER_hh_num_in!K9)</f>
        <v>108355.53576385224</v>
      </c>
      <c r="L9" s="132">
        <f>IF(SER_hh_tes_in!L9=0,0,11630*1000*SER_hh_tes_in!L9/SER_hh_num_in!L9)</f>
        <v>114134.5579388763</v>
      </c>
      <c r="M9" s="132">
        <f>IF(SER_hh_tes_in!M9=0,0,11630*1000*SER_hh_tes_in!M9/SER_hh_num_in!M9)</f>
        <v>99973.160900289891</v>
      </c>
      <c r="N9" s="132">
        <f>IF(SER_hh_tes_in!N9=0,0,11630*1000*SER_hh_tes_in!N9/SER_hh_num_in!N9)</f>
        <v>107856.7527541452</v>
      </c>
      <c r="O9" s="132">
        <f>IF(SER_hh_tes_in!O9=0,0,11630*1000*SER_hh_tes_in!O9/SER_hh_num_in!O9)</f>
        <v>100553.51303985923</v>
      </c>
      <c r="P9" s="132">
        <f>IF(SER_hh_tes_in!P9=0,0,11630*1000*SER_hh_tes_in!P9/SER_hh_num_in!P9)</f>
        <v>89105.238323020982</v>
      </c>
      <c r="Q9" s="132">
        <f>IF(SER_hh_tes_in!Q9=0,0,11630*1000*SER_hh_tes_in!Q9/SER_hh_num_in!Q9)</f>
        <v>97787.519248485609</v>
      </c>
      <c r="R9" s="132">
        <f>IF(SER_hh_tes_in!R9=0,0,11630*1000*SER_hh_tes_in!R9/SER_hh_num_in!R9)</f>
        <v>89098.355862514043</v>
      </c>
      <c r="S9" s="132">
        <f>IF(SER_hh_tes_in!S9=0,0,11630*1000*SER_hh_tes_in!S9/SER_hh_num_in!S9)</f>
        <v>81182.461563420657</v>
      </c>
      <c r="T9" s="132">
        <f>IF(SER_hh_tes_in!T9=0,0,11630*1000*SER_hh_tes_in!T9/SER_hh_num_in!T9)</f>
        <v>84347.940880377049</v>
      </c>
      <c r="U9" s="132">
        <f>IF(SER_hh_tes_in!U9=0,0,11630*1000*SER_hh_tes_in!U9/SER_hh_num_in!U9)</f>
        <v>78230.525582994262</v>
      </c>
      <c r="V9" s="132">
        <f>IF(SER_hh_tes_in!V9=0,0,11630*1000*SER_hh_tes_in!V9/SER_hh_num_in!V9)</f>
        <v>62687.757732403719</v>
      </c>
      <c r="W9" s="132">
        <f>IF(SER_hh_tes_in!W9=0,0,11630*1000*SER_hh_tes_in!W9/SER_hh_num_in!W9)</f>
        <v>50634.751389008969</v>
      </c>
      <c r="X9" s="132">
        <f>IF(SER_hh_tes_in!X9=0,0,11630*1000*SER_hh_tes_in!X9/SER_hh_num_in!X9)</f>
        <v>36026.951421451391</v>
      </c>
      <c r="Y9" s="132">
        <f>IF(SER_hh_tes_in!Y9=0,0,11630*1000*SER_hh_tes_in!Y9/SER_hh_num_in!Y9)</f>
        <v>35364.228743176267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0</v>
      </c>
      <c r="D10" s="132">
        <f>IF(SER_hh_tes_in!D10=0,0,11630*1000*SER_hh_tes_in!D10/SER_hh_num_in!D10)</f>
        <v>0</v>
      </c>
      <c r="E10" s="132">
        <f>IF(SER_hh_tes_in!E10=0,0,11630*1000*SER_hh_tes_in!E10/SER_hh_num_in!E10)</f>
        <v>0</v>
      </c>
      <c r="F10" s="132">
        <f>IF(SER_hh_tes_in!F10=0,0,11630*1000*SER_hh_tes_in!F10/SER_hh_num_in!F10)</f>
        <v>0</v>
      </c>
      <c r="G10" s="132">
        <f>IF(SER_hh_tes_in!G10=0,0,11630*1000*SER_hh_tes_in!G10/SER_hh_num_in!G10)</f>
        <v>23360.788166875394</v>
      </c>
      <c r="H10" s="132">
        <f>IF(SER_hh_tes_in!H10=0,0,11630*1000*SER_hh_tes_in!H10/SER_hh_num_in!H10)</f>
        <v>61253.508901347646</v>
      </c>
      <c r="I10" s="132">
        <f>IF(SER_hh_tes_in!I10=0,0,11630*1000*SER_hh_tes_in!I10/SER_hh_num_in!I10)</f>
        <v>115364.39824825112</v>
      </c>
      <c r="J10" s="132">
        <f>IF(SER_hh_tes_in!J10=0,0,11630*1000*SER_hh_tes_in!J10/SER_hh_num_in!J10)</f>
        <v>139655.54758935943</v>
      </c>
      <c r="K10" s="132">
        <f>IF(SER_hh_tes_in!K10=0,0,11630*1000*SER_hh_tes_in!K10/SER_hh_num_in!K10)</f>
        <v>133226.44201360538</v>
      </c>
      <c r="L10" s="132">
        <f>IF(SER_hh_tes_in!L10=0,0,11630*1000*SER_hh_tes_in!L10/SER_hh_num_in!L10)</f>
        <v>96143.48809813011</v>
      </c>
      <c r="M10" s="132">
        <f>IF(SER_hh_tes_in!M10=0,0,11630*1000*SER_hh_tes_in!M10/SER_hh_num_in!M10)</f>
        <v>102588.21407156825</v>
      </c>
      <c r="N10" s="132">
        <f>IF(SER_hh_tes_in!N10=0,0,11630*1000*SER_hh_tes_in!N10/SER_hh_num_in!N10)</f>
        <v>100287.45858156805</v>
      </c>
      <c r="O10" s="132">
        <f>IF(SER_hh_tes_in!O10=0,0,11630*1000*SER_hh_tes_in!O10/SER_hh_num_in!O10)</f>
        <v>117457.03753780774</v>
      </c>
      <c r="P10" s="132">
        <f>IF(SER_hh_tes_in!P10=0,0,11630*1000*SER_hh_tes_in!P10/SER_hh_num_in!P10)</f>
        <v>122848.5900791351</v>
      </c>
      <c r="Q10" s="132">
        <f>IF(SER_hh_tes_in!Q10=0,0,11630*1000*SER_hh_tes_in!Q10/SER_hh_num_in!Q10)</f>
        <v>71399.533827483086</v>
      </c>
      <c r="R10" s="132">
        <f>IF(SER_hh_tes_in!R10=0,0,11630*1000*SER_hh_tes_in!R10/SER_hh_num_in!R10)</f>
        <v>101242.35079213888</v>
      </c>
      <c r="S10" s="132">
        <f>IF(SER_hh_tes_in!S10=0,0,11630*1000*SER_hh_tes_in!S10/SER_hh_num_in!S10)</f>
        <v>0</v>
      </c>
      <c r="T10" s="132">
        <f>IF(SER_hh_tes_in!T10=0,0,11630*1000*SER_hh_tes_in!T10/SER_hh_num_in!T10)</f>
        <v>0</v>
      </c>
      <c r="U10" s="132">
        <f>IF(SER_hh_tes_in!U10=0,0,11630*1000*SER_hh_tes_in!U10/SER_hh_num_in!U10)</f>
        <v>0</v>
      </c>
      <c r="V10" s="132">
        <f>IF(SER_hh_tes_in!V10=0,0,11630*1000*SER_hh_tes_in!V10/SER_hh_num_in!V10)</f>
        <v>64303.657036915429</v>
      </c>
      <c r="W10" s="132">
        <f>IF(SER_hh_tes_in!W10=0,0,11630*1000*SER_hh_tes_in!W10/SER_hh_num_in!W10)</f>
        <v>57052.772228997834</v>
      </c>
      <c r="X10" s="132">
        <f>IF(SER_hh_tes_in!X10=0,0,11630*1000*SER_hh_tes_in!X10/SER_hh_num_in!X10)</f>
        <v>41002.087848419331</v>
      </c>
      <c r="Y10" s="132">
        <f>IF(SER_hh_tes_in!Y10=0,0,11630*1000*SER_hh_tes_in!Y10/SER_hh_num_in!Y10)</f>
        <v>35609.06162490289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0</v>
      </c>
      <c r="D11" s="132">
        <f>IF(SER_hh_tes_in!D11=0,0,11630*1000*SER_hh_tes_in!D11/SER_hh_num_in!D11)</f>
        <v>0</v>
      </c>
      <c r="E11" s="132">
        <f>IF(SER_hh_tes_in!E11=0,0,11630*1000*SER_hh_tes_in!E11/SER_hh_num_in!E11)</f>
        <v>0</v>
      </c>
      <c r="F11" s="132">
        <f>IF(SER_hh_tes_in!F11=0,0,11630*1000*SER_hh_tes_in!F11/SER_hh_num_in!F11)</f>
        <v>0</v>
      </c>
      <c r="G11" s="132">
        <f>IF(SER_hh_tes_in!G11=0,0,11630*1000*SER_hh_tes_in!G11/SER_hh_num_in!G11)</f>
        <v>0</v>
      </c>
      <c r="H11" s="132">
        <f>IF(SER_hh_tes_in!H11=0,0,11630*1000*SER_hh_tes_in!H11/SER_hh_num_in!H11)</f>
        <v>0</v>
      </c>
      <c r="I11" s="132">
        <f>IF(SER_hh_tes_in!I11=0,0,11630*1000*SER_hh_tes_in!I11/SER_hh_num_in!I11)</f>
        <v>0</v>
      </c>
      <c r="J11" s="132">
        <f>IF(SER_hh_tes_in!J11=0,0,11630*1000*SER_hh_tes_in!J11/SER_hh_num_in!J11)</f>
        <v>0</v>
      </c>
      <c r="K11" s="132">
        <f>IF(SER_hh_tes_in!K11=0,0,11630*1000*SER_hh_tes_in!K11/SER_hh_num_in!K11)</f>
        <v>0</v>
      </c>
      <c r="L11" s="132">
        <f>IF(SER_hh_tes_in!L11=0,0,11630*1000*SER_hh_tes_in!L11/SER_hh_num_in!L11)</f>
        <v>0</v>
      </c>
      <c r="M11" s="132">
        <f>IF(SER_hh_tes_in!M11=0,0,11630*1000*SER_hh_tes_in!M11/SER_hh_num_in!M11)</f>
        <v>0</v>
      </c>
      <c r="N11" s="132">
        <f>IF(SER_hh_tes_in!N11=0,0,11630*1000*SER_hh_tes_in!N11/SER_hh_num_in!N11)</f>
        <v>0</v>
      </c>
      <c r="O11" s="132">
        <f>IF(SER_hh_tes_in!O11=0,0,11630*1000*SER_hh_tes_in!O11/SER_hh_num_in!O11)</f>
        <v>0</v>
      </c>
      <c r="P11" s="132">
        <f>IF(SER_hh_tes_in!P11=0,0,11630*1000*SER_hh_tes_in!P11/SER_hh_num_in!P11)</f>
        <v>0</v>
      </c>
      <c r="Q11" s="132">
        <f>IF(SER_hh_tes_in!Q11=0,0,11630*1000*SER_hh_tes_in!Q11/SER_hh_num_in!Q11)</f>
        <v>0</v>
      </c>
      <c r="R11" s="132">
        <f>IF(SER_hh_tes_in!R11=0,0,11630*1000*SER_hh_tes_in!R11/SER_hh_num_in!R11)</f>
        <v>0</v>
      </c>
      <c r="S11" s="132">
        <f>IF(SER_hh_tes_in!S11=0,0,11630*1000*SER_hh_tes_in!S11/SER_hh_num_in!S11)</f>
        <v>0</v>
      </c>
      <c r="T11" s="132">
        <f>IF(SER_hh_tes_in!T11=0,0,11630*1000*SER_hh_tes_in!T11/SER_hh_num_in!T11)</f>
        <v>0</v>
      </c>
      <c r="U11" s="132">
        <f>IF(SER_hh_tes_in!U11=0,0,11630*1000*SER_hh_tes_in!U11/SER_hh_num_in!U11)</f>
        <v>0</v>
      </c>
      <c r="V11" s="132">
        <f>IF(SER_hh_tes_in!V11=0,0,11630*1000*SER_hh_tes_in!V11/SER_hh_num_in!V11)</f>
        <v>0</v>
      </c>
      <c r="W11" s="132">
        <f>IF(SER_hh_tes_in!W11=0,0,11630*1000*SER_hh_tes_in!W11/SER_hh_num_in!W11)</f>
        <v>0</v>
      </c>
      <c r="X11" s="132">
        <f>IF(SER_hh_tes_in!X11=0,0,11630*1000*SER_hh_tes_in!X11/SER_hh_num_in!X11)</f>
        <v>0</v>
      </c>
      <c r="Y11" s="132">
        <f>IF(SER_hh_tes_in!Y11=0,0,11630*1000*SER_hh_tes_in!Y11/SER_hh_num_in!Y11)</f>
        <v>0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0</v>
      </c>
      <c r="D12" s="132">
        <f>IF(SER_hh_tes_in!D12=0,0,11630*1000*SER_hh_tes_in!D12/SER_hh_num_in!D12)</f>
        <v>0</v>
      </c>
      <c r="E12" s="132">
        <f>IF(SER_hh_tes_in!E12=0,0,11630*1000*SER_hh_tes_in!E12/SER_hh_num_in!E12)</f>
        <v>0</v>
      </c>
      <c r="F12" s="132">
        <f>IF(SER_hh_tes_in!F12=0,0,11630*1000*SER_hh_tes_in!F12/SER_hh_num_in!F12)</f>
        <v>0</v>
      </c>
      <c r="G12" s="132">
        <f>IF(SER_hh_tes_in!G12=0,0,11630*1000*SER_hh_tes_in!G12/SER_hh_num_in!G12)</f>
        <v>0</v>
      </c>
      <c r="H12" s="132">
        <f>IF(SER_hh_tes_in!H12=0,0,11630*1000*SER_hh_tes_in!H12/SER_hh_num_in!H12)</f>
        <v>0</v>
      </c>
      <c r="I12" s="132">
        <f>IF(SER_hh_tes_in!I12=0,0,11630*1000*SER_hh_tes_in!I12/SER_hh_num_in!I12)</f>
        <v>0</v>
      </c>
      <c r="J12" s="132">
        <f>IF(SER_hh_tes_in!J12=0,0,11630*1000*SER_hh_tes_in!J12/SER_hh_num_in!J12)</f>
        <v>0</v>
      </c>
      <c r="K12" s="132">
        <f>IF(SER_hh_tes_in!K12=0,0,11630*1000*SER_hh_tes_in!K12/SER_hh_num_in!K12)</f>
        <v>0</v>
      </c>
      <c r="L12" s="132">
        <f>IF(SER_hh_tes_in!L12=0,0,11630*1000*SER_hh_tes_in!L12/SER_hh_num_in!L12)</f>
        <v>0</v>
      </c>
      <c r="M12" s="132">
        <f>IF(SER_hh_tes_in!M12=0,0,11630*1000*SER_hh_tes_in!M12/SER_hh_num_in!M12)</f>
        <v>0</v>
      </c>
      <c r="N12" s="132">
        <f>IF(SER_hh_tes_in!N12=0,0,11630*1000*SER_hh_tes_in!N12/SER_hh_num_in!N12)</f>
        <v>0</v>
      </c>
      <c r="O12" s="132">
        <f>IF(SER_hh_tes_in!O12=0,0,11630*1000*SER_hh_tes_in!O12/SER_hh_num_in!O12)</f>
        <v>0</v>
      </c>
      <c r="P12" s="132">
        <f>IF(SER_hh_tes_in!P12=0,0,11630*1000*SER_hh_tes_in!P12/SER_hh_num_in!P12)</f>
        <v>0</v>
      </c>
      <c r="Q12" s="132">
        <f>IF(SER_hh_tes_in!Q12=0,0,11630*1000*SER_hh_tes_in!Q12/SER_hh_num_in!Q12)</f>
        <v>0</v>
      </c>
      <c r="R12" s="132">
        <f>IF(SER_hh_tes_in!R12=0,0,11630*1000*SER_hh_tes_in!R12/SER_hh_num_in!R12)</f>
        <v>0</v>
      </c>
      <c r="S12" s="132">
        <f>IF(SER_hh_tes_in!S12=0,0,11630*1000*SER_hh_tes_in!S12/SER_hh_num_in!S12)</f>
        <v>0</v>
      </c>
      <c r="T12" s="132">
        <f>IF(SER_hh_tes_in!T12=0,0,11630*1000*SER_hh_tes_in!T12/SER_hh_num_in!T12)</f>
        <v>0</v>
      </c>
      <c r="U12" s="132">
        <f>IF(SER_hh_tes_in!U12=0,0,11630*1000*SER_hh_tes_in!U12/SER_hh_num_in!U12)</f>
        <v>0</v>
      </c>
      <c r="V12" s="132">
        <f>IF(SER_hh_tes_in!V12=0,0,11630*1000*SER_hh_tes_in!V12/SER_hh_num_in!V12)</f>
        <v>0</v>
      </c>
      <c r="W12" s="132">
        <f>IF(SER_hh_tes_in!W12=0,0,11630*1000*SER_hh_tes_in!W12/SER_hh_num_in!W12)</f>
        <v>0</v>
      </c>
      <c r="X12" s="132">
        <f>IF(SER_hh_tes_in!X12=0,0,11630*1000*SER_hh_tes_in!X12/SER_hh_num_in!X12)</f>
        <v>0</v>
      </c>
      <c r="Y12" s="132">
        <f>IF(SER_hh_tes_in!Y12=0,0,11630*1000*SER_hh_tes_in!Y12/SER_hh_num_in!Y12)</f>
        <v>0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59149.384030565489</v>
      </c>
      <c r="D13" s="132">
        <f>IF(SER_hh_tes_in!D13=0,0,11630*1000*SER_hh_tes_in!D13/SER_hh_num_in!D13)</f>
        <v>16398.974815466554</v>
      </c>
      <c r="E13" s="132">
        <f>IF(SER_hh_tes_in!E13=0,0,11630*1000*SER_hh_tes_in!E13/SER_hh_num_in!E13)</f>
        <v>84307.467540375947</v>
      </c>
      <c r="F13" s="132">
        <f>IF(SER_hh_tes_in!F13=0,0,11630*1000*SER_hh_tes_in!F13/SER_hh_num_in!F13)</f>
        <v>66510.0051283465</v>
      </c>
      <c r="G13" s="132">
        <f>IF(SER_hh_tes_in!G13=0,0,11630*1000*SER_hh_tes_in!G13/SER_hh_num_in!G13)</f>
        <v>103252.99552709777</v>
      </c>
      <c r="H13" s="132">
        <f>IF(SER_hh_tes_in!H13=0,0,11630*1000*SER_hh_tes_in!H13/SER_hh_num_in!H13)</f>
        <v>119542.2198954292</v>
      </c>
      <c r="I13" s="132">
        <f>IF(SER_hh_tes_in!I13=0,0,11630*1000*SER_hh_tes_in!I13/SER_hh_num_in!I13)</f>
        <v>125006.32958649061</v>
      </c>
      <c r="J13" s="132">
        <f>IF(SER_hh_tes_in!J13=0,0,11630*1000*SER_hh_tes_in!J13/SER_hh_num_in!J13)</f>
        <v>136651.25924085057</v>
      </c>
      <c r="K13" s="132">
        <f>IF(SER_hh_tes_in!K13=0,0,11630*1000*SER_hh_tes_in!K13/SER_hh_num_in!K13)</f>
        <v>119800.69124981237</v>
      </c>
      <c r="L13" s="132">
        <f>IF(SER_hh_tes_in!L13=0,0,11630*1000*SER_hh_tes_in!L13/SER_hh_num_in!L13)</f>
        <v>109079.96511430123</v>
      </c>
      <c r="M13" s="132">
        <f>IF(SER_hh_tes_in!M13=0,0,11630*1000*SER_hh_tes_in!M13/SER_hh_num_in!M13)</f>
        <v>109113.80243305328</v>
      </c>
      <c r="N13" s="132">
        <f>IF(SER_hh_tes_in!N13=0,0,11630*1000*SER_hh_tes_in!N13/SER_hh_num_in!N13)</f>
        <v>104504.68015070945</v>
      </c>
      <c r="O13" s="132">
        <f>IF(SER_hh_tes_in!O13=0,0,11630*1000*SER_hh_tes_in!O13/SER_hh_num_in!O13)</f>
        <v>99675.573802280313</v>
      </c>
      <c r="P13" s="132">
        <f>IF(SER_hh_tes_in!P13=0,0,11630*1000*SER_hh_tes_in!P13/SER_hh_num_in!P13)</f>
        <v>94802.197734232352</v>
      </c>
      <c r="Q13" s="132">
        <f>IF(SER_hh_tes_in!Q13=0,0,11630*1000*SER_hh_tes_in!Q13/SER_hh_num_in!Q13)</f>
        <v>93931.850601831946</v>
      </c>
      <c r="R13" s="132">
        <f>IF(SER_hh_tes_in!R13=0,0,11630*1000*SER_hh_tes_in!R13/SER_hh_num_in!R13)</f>
        <v>92786.46362697352</v>
      </c>
      <c r="S13" s="132">
        <f>IF(SER_hh_tes_in!S13=0,0,11630*1000*SER_hh_tes_in!S13/SER_hh_num_in!S13)</f>
        <v>92789.658044021693</v>
      </c>
      <c r="T13" s="132">
        <f>IF(SER_hh_tes_in!T13=0,0,11630*1000*SER_hh_tes_in!T13/SER_hh_num_in!T13)</f>
        <v>83077.575663600786</v>
      </c>
      <c r="U13" s="132">
        <f>IF(SER_hh_tes_in!U13=0,0,11630*1000*SER_hh_tes_in!U13/SER_hh_num_in!U13)</f>
        <v>77951.459558435919</v>
      </c>
      <c r="V13" s="132">
        <f>IF(SER_hh_tes_in!V13=0,0,11630*1000*SER_hh_tes_in!V13/SER_hh_num_in!V13)</f>
        <v>69062.169152989052</v>
      </c>
      <c r="W13" s="132">
        <f>IF(SER_hh_tes_in!W13=0,0,11630*1000*SER_hh_tes_in!W13/SER_hh_num_in!W13)</f>
        <v>52567.963242484344</v>
      </c>
      <c r="X13" s="132">
        <f>IF(SER_hh_tes_in!X13=0,0,11630*1000*SER_hh_tes_in!X13/SER_hh_num_in!X13)</f>
        <v>36922.305450766667</v>
      </c>
      <c r="Y13" s="132">
        <f>IF(SER_hh_tes_in!Y13=0,0,11630*1000*SER_hh_tes_in!Y13/SER_hh_num_in!Y13)</f>
        <v>37647.960633757415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108713.8824216863</v>
      </c>
      <c r="D14" s="65">
        <f>IF(SER_hh_tes_in!D14=0,0,11630*1000*SER_hh_tes_in!D14/SER_hh_num_in!D14)</f>
        <v>114465.81925471523</v>
      </c>
      <c r="E14" s="65">
        <f>IF(SER_hh_tes_in!E14=0,0,11630*1000*SER_hh_tes_in!E14/SER_hh_num_in!E14)</f>
        <v>124284.6805479312</v>
      </c>
      <c r="F14" s="65">
        <f>IF(SER_hh_tes_in!F14=0,0,11630*1000*SER_hh_tes_in!F14/SER_hh_num_in!F14)</f>
        <v>111052.12096682987</v>
      </c>
      <c r="G14" s="65">
        <f>IF(SER_hh_tes_in!G14=0,0,11630*1000*SER_hh_tes_in!G14/SER_hh_num_in!G14)</f>
        <v>122388.59789293897</v>
      </c>
      <c r="H14" s="65">
        <f>IF(SER_hh_tes_in!H14=0,0,11630*1000*SER_hh_tes_in!H14/SER_hh_num_in!H14)</f>
        <v>132506.23917144924</v>
      </c>
      <c r="I14" s="65">
        <f>IF(SER_hh_tes_in!I14=0,0,11630*1000*SER_hh_tes_in!I14/SER_hh_num_in!I14)</f>
        <v>121157.62063468622</v>
      </c>
      <c r="J14" s="65">
        <f>IF(SER_hh_tes_in!J14=0,0,11630*1000*SER_hh_tes_in!J14/SER_hh_num_in!J14)</f>
        <v>126380.50512459772</v>
      </c>
      <c r="K14" s="65">
        <f>IF(SER_hh_tes_in!K14=0,0,11630*1000*SER_hh_tes_in!K14/SER_hh_num_in!K14)</f>
        <v>117256.65787109861</v>
      </c>
      <c r="L14" s="65">
        <f>IF(SER_hh_tes_in!L14=0,0,11630*1000*SER_hh_tes_in!L14/SER_hh_num_in!L14)</f>
        <v>110984.44239536152</v>
      </c>
      <c r="M14" s="65">
        <f>IF(SER_hh_tes_in!M14=0,0,11630*1000*SER_hh_tes_in!M14/SER_hh_num_in!M14)</f>
        <v>108294.75499342819</v>
      </c>
      <c r="N14" s="65">
        <f>IF(SER_hh_tes_in!N14=0,0,11630*1000*SER_hh_tes_in!N14/SER_hh_num_in!N14)</f>
        <v>104315.09443008482</v>
      </c>
      <c r="O14" s="65">
        <f>IF(SER_hh_tes_in!O14=0,0,11630*1000*SER_hh_tes_in!O14/SER_hh_num_in!O14)</f>
        <v>104100.83881415658</v>
      </c>
      <c r="P14" s="65">
        <f>IF(SER_hh_tes_in!P14=0,0,11630*1000*SER_hh_tes_in!P14/SER_hh_num_in!P14)</f>
        <v>87807.09854978972</v>
      </c>
      <c r="Q14" s="65">
        <f>IF(SER_hh_tes_in!Q14=0,0,11630*1000*SER_hh_tes_in!Q14/SER_hh_num_in!Q14)</f>
        <v>102443.59596766683</v>
      </c>
      <c r="R14" s="65">
        <f>IF(SER_hh_tes_in!R14=0,0,11630*1000*SER_hh_tes_in!R14/SER_hh_num_in!R14)</f>
        <v>92280.644740040152</v>
      </c>
      <c r="S14" s="65">
        <f>IF(SER_hh_tes_in!S14=0,0,11630*1000*SER_hh_tes_in!S14/SER_hh_num_in!S14)</f>
        <v>82061.551284903398</v>
      </c>
      <c r="T14" s="65">
        <f>IF(SER_hh_tes_in!T14=0,0,11630*1000*SER_hh_tes_in!T14/SER_hh_num_in!T14)</f>
        <v>91100.59707050072</v>
      </c>
      <c r="U14" s="65">
        <f>IF(SER_hh_tes_in!U14=0,0,11630*1000*SER_hh_tes_in!U14/SER_hh_num_in!U14)</f>
        <v>90280.816405971564</v>
      </c>
      <c r="V14" s="65">
        <f>IF(SER_hh_tes_in!V14=0,0,11630*1000*SER_hh_tes_in!V14/SER_hh_num_in!V14)</f>
        <v>62934.708821453496</v>
      </c>
      <c r="W14" s="65">
        <f>IF(SER_hh_tes_in!W14=0,0,11630*1000*SER_hh_tes_in!W14/SER_hh_num_in!W14)</f>
        <v>50312.831747219658</v>
      </c>
      <c r="X14" s="65">
        <f>IF(SER_hh_tes_in!X14=0,0,11630*1000*SER_hh_tes_in!X14/SER_hh_num_in!X14)</f>
        <v>36340.393803317726</v>
      </c>
      <c r="Y14" s="65">
        <f>IF(SER_hh_tes_in!Y14=0,0,11630*1000*SER_hh_tes_in!Y14/SER_hh_num_in!Y14)</f>
        <v>37173.732046302859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2134.9886780324582</v>
      </c>
      <c r="D15" s="134">
        <f>IF(SER_hh_tes_in!D15=0,0,11630*1000*SER_hh_tes_in!D15/SER_hh_num_in!D15)</f>
        <v>1633.7766781832402</v>
      </c>
      <c r="E15" s="134">
        <f>IF(SER_hh_tes_in!E15=0,0,11630*1000*SER_hh_tes_in!E15/SER_hh_num_in!E15)</f>
        <v>1957.9642079147598</v>
      </c>
      <c r="F15" s="134">
        <f>IF(SER_hh_tes_in!F15=0,0,11630*1000*SER_hh_tes_in!F15/SER_hh_num_in!F15)</f>
        <v>1984.2039418865602</v>
      </c>
      <c r="G15" s="134">
        <f>IF(SER_hh_tes_in!G15=0,0,11630*1000*SER_hh_tes_in!G15/SER_hh_num_in!G15)</f>
        <v>1942.6982290015844</v>
      </c>
      <c r="H15" s="134">
        <f>IF(SER_hh_tes_in!H15=0,0,11630*1000*SER_hh_tes_in!H15/SER_hh_num_in!H15)</f>
        <v>2085.3402570413136</v>
      </c>
      <c r="I15" s="134">
        <f>IF(SER_hh_tes_in!I15=0,0,11630*1000*SER_hh_tes_in!I15/SER_hh_num_in!I15)</f>
        <v>2040.6812546463038</v>
      </c>
      <c r="J15" s="134">
        <f>IF(SER_hh_tes_in!J15=0,0,11630*1000*SER_hh_tes_in!J15/SER_hh_num_in!J15)</f>
        <v>2084.2270132422154</v>
      </c>
      <c r="K15" s="134">
        <f>IF(SER_hh_tes_in!K15=0,0,11630*1000*SER_hh_tes_in!K15/SER_hh_num_in!K15)</f>
        <v>1806.770469438115</v>
      </c>
      <c r="L15" s="134">
        <f>IF(SER_hh_tes_in!L15=0,0,11630*1000*SER_hh_tes_in!L15/SER_hh_num_in!L15)</f>
        <v>1884.5226908949091</v>
      </c>
      <c r="M15" s="134">
        <f>IF(SER_hh_tes_in!M15=0,0,11630*1000*SER_hh_tes_in!M15/SER_hh_num_in!M15)</f>
        <v>1622.8015611434084</v>
      </c>
      <c r="N15" s="134">
        <f>IF(SER_hh_tes_in!N15=0,0,11630*1000*SER_hh_tes_in!N15/SER_hh_num_in!N15)</f>
        <v>1631.3831284960618</v>
      </c>
      <c r="O15" s="134">
        <f>IF(SER_hh_tes_in!O15=0,0,11630*1000*SER_hh_tes_in!O15/SER_hh_num_in!O15)</f>
        <v>1718.8067769234681</v>
      </c>
      <c r="P15" s="134">
        <f>IF(SER_hh_tes_in!P15=0,0,11630*1000*SER_hh_tes_in!P15/SER_hh_num_in!P15)</f>
        <v>1487.3360856744409</v>
      </c>
      <c r="Q15" s="134">
        <f>IF(SER_hh_tes_in!Q15=0,0,11630*1000*SER_hh_tes_in!Q15/SER_hh_num_in!Q15)</f>
        <v>1581.2421374259441</v>
      </c>
      <c r="R15" s="134">
        <f>IF(SER_hh_tes_in!R15=0,0,11630*1000*SER_hh_tes_in!R15/SER_hh_num_in!R15)</f>
        <v>1423.2673230787427</v>
      </c>
      <c r="S15" s="134">
        <f>IF(SER_hh_tes_in!S15=0,0,11630*1000*SER_hh_tes_in!S15/SER_hh_num_in!S15)</f>
        <v>1300.5948689303889</v>
      </c>
      <c r="T15" s="134">
        <f>IF(SER_hh_tes_in!T15=0,0,11630*1000*SER_hh_tes_in!T15/SER_hh_num_in!T15)</f>
        <v>1345.8470815027354</v>
      </c>
      <c r="U15" s="134">
        <f>IF(SER_hh_tes_in!U15=0,0,11630*1000*SER_hh_tes_in!U15/SER_hh_num_in!U15)</f>
        <v>1244.5126127799983</v>
      </c>
      <c r="V15" s="134">
        <f>IF(SER_hh_tes_in!V15=0,0,11630*1000*SER_hh_tes_in!V15/SER_hh_num_in!V15)</f>
        <v>988.25421500462835</v>
      </c>
      <c r="W15" s="134">
        <f>IF(SER_hh_tes_in!W15=0,0,11630*1000*SER_hh_tes_in!W15/SER_hh_num_in!W15)</f>
        <v>782.58019759899014</v>
      </c>
      <c r="X15" s="134">
        <f>IF(SER_hh_tes_in!X15=0,0,11630*1000*SER_hh_tes_in!X15/SER_hh_num_in!X15)</f>
        <v>547.8167264135725</v>
      </c>
      <c r="Y15" s="134">
        <f>IF(SER_hh_tes_in!Y15=0,0,11630*1000*SER_hh_tes_in!Y15/SER_hh_num_in!Y15)</f>
        <v>523.57228661175054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24573.772150760353</v>
      </c>
      <c r="D16" s="130">
        <f>IF(SER_hh_tes_in!D16=0,0,11630*1000*SER_hh_tes_in!D16/SER_hh_num_in!D16)</f>
        <v>24812.411252508075</v>
      </c>
      <c r="E16" s="130">
        <f>IF(SER_hh_tes_in!E16=0,0,11630*1000*SER_hh_tes_in!E16/SER_hh_num_in!E16)</f>
        <v>24653.880775554811</v>
      </c>
      <c r="F16" s="130">
        <f>IF(SER_hh_tes_in!F16=0,0,11630*1000*SER_hh_tes_in!F16/SER_hh_num_in!F16)</f>
        <v>24408.631192641737</v>
      </c>
      <c r="G16" s="130">
        <f>IF(SER_hh_tes_in!G16=0,0,11630*1000*SER_hh_tes_in!G16/SER_hh_num_in!G16)</f>
        <v>23897.863502498523</v>
      </c>
      <c r="H16" s="130">
        <f>IF(SER_hh_tes_in!H16=0,0,11630*1000*SER_hh_tes_in!H16/SER_hh_num_in!H16)</f>
        <v>24070.572338792266</v>
      </c>
      <c r="I16" s="130">
        <f>IF(SER_hh_tes_in!I16=0,0,11630*1000*SER_hh_tes_in!I16/SER_hh_num_in!I16)</f>
        <v>24316.369158910948</v>
      </c>
      <c r="J16" s="130">
        <f>IF(SER_hh_tes_in!J16=0,0,11630*1000*SER_hh_tes_in!J16/SER_hh_num_in!J16)</f>
        <v>23609.421739898364</v>
      </c>
      <c r="K16" s="130">
        <f>IF(SER_hh_tes_in!K16=0,0,11630*1000*SER_hh_tes_in!K16/SER_hh_num_in!K16)</f>
        <v>23071.401997135636</v>
      </c>
      <c r="L16" s="130">
        <f>IF(SER_hh_tes_in!L16=0,0,11630*1000*SER_hh_tes_in!L16/SER_hh_num_in!L16)</f>
        <v>22809.077263641608</v>
      </c>
      <c r="M16" s="130">
        <f>IF(SER_hh_tes_in!M16=0,0,11630*1000*SER_hh_tes_in!M16/SER_hh_num_in!M16)</f>
        <v>22244.725590233294</v>
      </c>
      <c r="N16" s="130">
        <f>IF(SER_hh_tes_in!N16=0,0,11630*1000*SER_hh_tes_in!N16/SER_hh_num_in!N16)</f>
        <v>22084.175866039746</v>
      </c>
      <c r="O16" s="130">
        <f>IF(SER_hh_tes_in!O16=0,0,11630*1000*SER_hh_tes_in!O16/SER_hh_num_in!O16)</f>
        <v>21240.796354704573</v>
      </c>
      <c r="P16" s="130">
        <f>IF(SER_hh_tes_in!P16=0,0,11630*1000*SER_hh_tes_in!P16/SER_hh_num_in!P16)</f>
        <v>21127.263676411454</v>
      </c>
      <c r="Q16" s="130">
        <f>IF(SER_hh_tes_in!Q16=0,0,11630*1000*SER_hh_tes_in!Q16/SER_hh_num_in!Q16)</f>
        <v>19767.291989565259</v>
      </c>
      <c r="R16" s="130">
        <f>IF(SER_hh_tes_in!R16=0,0,11630*1000*SER_hh_tes_in!R16/SER_hh_num_in!R16)</f>
        <v>20040.463998894629</v>
      </c>
      <c r="S16" s="130">
        <f>IF(SER_hh_tes_in!S16=0,0,11630*1000*SER_hh_tes_in!S16/SER_hh_num_in!S16)</f>
        <v>19375.979923391256</v>
      </c>
      <c r="T16" s="130">
        <f>IF(SER_hh_tes_in!T16=0,0,11630*1000*SER_hh_tes_in!T16/SER_hh_num_in!T16)</f>
        <v>18730.561622788126</v>
      </c>
      <c r="U16" s="130">
        <f>IF(SER_hh_tes_in!U16=0,0,11630*1000*SER_hh_tes_in!U16/SER_hh_num_in!U16)</f>
        <v>18053.101765369069</v>
      </c>
      <c r="V16" s="130">
        <f>IF(SER_hh_tes_in!V16=0,0,11630*1000*SER_hh_tes_in!V16/SER_hh_num_in!V16)</f>
        <v>16278.482040493849</v>
      </c>
      <c r="W16" s="130">
        <f>IF(SER_hh_tes_in!W16=0,0,11630*1000*SER_hh_tes_in!W16/SER_hh_num_in!W16)</f>
        <v>14221.807513131485</v>
      </c>
      <c r="X16" s="130">
        <f>IF(SER_hh_tes_in!X16=0,0,11630*1000*SER_hh_tes_in!X16/SER_hh_num_in!X16)</f>
        <v>12785.117220827664</v>
      </c>
      <c r="Y16" s="130">
        <f>IF(SER_hh_tes_in!Y16=0,0,11630*1000*SER_hh_tes_in!Y16/SER_hh_num_in!Y16)</f>
        <v>13011.234478167577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24577.68812325456</v>
      </c>
      <c r="D17" s="132">
        <f>IF(SER_hh_tes_in!D17=0,0,11630*1000*SER_hh_tes_in!D17/SER_hh_num_in!D17)</f>
        <v>24824.428681325149</v>
      </c>
      <c r="E17" s="132">
        <f>IF(SER_hh_tes_in!E17=0,0,11630*1000*SER_hh_tes_in!E17/SER_hh_num_in!E17)</f>
        <v>24635.264624104424</v>
      </c>
      <c r="F17" s="132">
        <f>IF(SER_hh_tes_in!F17=0,0,11630*1000*SER_hh_tes_in!F17/SER_hh_num_in!F17)</f>
        <v>24442.249762417217</v>
      </c>
      <c r="G17" s="132">
        <f>IF(SER_hh_tes_in!G17=0,0,11630*1000*SER_hh_tes_in!G17/SER_hh_num_in!G17)</f>
        <v>23941.973456953474</v>
      </c>
      <c r="H17" s="132">
        <f>IF(SER_hh_tes_in!H17=0,0,11630*1000*SER_hh_tes_in!H17/SER_hh_num_in!H17)</f>
        <v>24153.113401876162</v>
      </c>
      <c r="I17" s="132">
        <f>IF(SER_hh_tes_in!I17=0,0,11630*1000*SER_hh_tes_in!I17/SER_hh_num_in!I17)</f>
        <v>23956.380887378138</v>
      </c>
      <c r="J17" s="132">
        <f>IF(SER_hh_tes_in!J17=0,0,11630*1000*SER_hh_tes_in!J17/SER_hh_num_in!J17)</f>
        <v>23607.187130824459</v>
      </c>
      <c r="K17" s="132">
        <f>IF(SER_hh_tes_in!K17=0,0,11630*1000*SER_hh_tes_in!K17/SER_hh_num_in!K17)</f>
        <v>23040.314707527494</v>
      </c>
      <c r="L17" s="132">
        <f>IF(SER_hh_tes_in!L17=0,0,11630*1000*SER_hh_tes_in!L17/SER_hh_num_in!L17)</f>
        <v>22764.338963571663</v>
      </c>
      <c r="M17" s="132">
        <f>IF(SER_hh_tes_in!M17=0,0,11630*1000*SER_hh_tes_in!M17/SER_hh_num_in!M17)</f>
        <v>22206.568347785</v>
      </c>
      <c r="N17" s="132">
        <f>IF(SER_hh_tes_in!N17=0,0,11630*1000*SER_hh_tes_in!N17/SER_hh_num_in!N17)</f>
        <v>22031.010742765164</v>
      </c>
      <c r="O17" s="132">
        <f>IF(SER_hh_tes_in!O17=0,0,11630*1000*SER_hh_tes_in!O17/SER_hh_num_in!O17)</f>
        <v>21244.203234812587</v>
      </c>
      <c r="P17" s="132">
        <f>IF(SER_hh_tes_in!P17=0,0,11630*1000*SER_hh_tes_in!P17/SER_hh_num_in!P17)</f>
        <v>21326.431802821189</v>
      </c>
      <c r="Q17" s="132">
        <f>IF(SER_hh_tes_in!Q17=0,0,11630*1000*SER_hh_tes_in!Q17/SER_hh_num_in!Q17)</f>
        <v>20514.854957613094</v>
      </c>
      <c r="R17" s="132">
        <f>IF(SER_hh_tes_in!R17=0,0,11630*1000*SER_hh_tes_in!R17/SER_hh_num_in!R17)</f>
        <v>20573.375254406379</v>
      </c>
      <c r="S17" s="132">
        <f>IF(SER_hh_tes_in!S17=0,0,11630*1000*SER_hh_tes_in!S17/SER_hh_num_in!S17)</f>
        <v>19862.584289278358</v>
      </c>
      <c r="T17" s="132">
        <f>IF(SER_hh_tes_in!T17=0,0,11630*1000*SER_hh_tes_in!T17/SER_hh_num_in!T17)</f>
        <v>19076.878859871678</v>
      </c>
      <c r="U17" s="132">
        <f>IF(SER_hh_tes_in!U17=0,0,11630*1000*SER_hh_tes_in!U17/SER_hh_num_in!U17)</f>
        <v>18283.767630839229</v>
      </c>
      <c r="V17" s="132">
        <f>IF(SER_hh_tes_in!V17=0,0,11630*1000*SER_hh_tes_in!V17/SER_hh_num_in!V17)</f>
        <v>15632.667929548299</v>
      </c>
      <c r="W17" s="132">
        <f>IF(SER_hh_tes_in!W17=0,0,11630*1000*SER_hh_tes_in!W17/SER_hh_num_in!W17)</f>
        <v>13155.891657670836</v>
      </c>
      <c r="X17" s="132">
        <f>IF(SER_hh_tes_in!X17=0,0,11630*1000*SER_hh_tes_in!X17/SER_hh_num_in!X17)</f>
        <v>12275.175558025401</v>
      </c>
      <c r="Y17" s="132">
        <f>IF(SER_hh_tes_in!Y17=0,0,11630*1000*SER_hh_tes_in!Y17/SER_hh_num_in!Y17)</f>
        <v>13008.932901265358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24573.760697402649</v>
      </c>
      <c r="D18" s="132">
        <f>IF(SER_hh_tes_in!D18=0,0,11630*1000*SER_hh_tes_in!D18/SER_hh_num_in!D18)</f>
        <v>24812.373433670298</v>
      </c>
      <c r="E18" s="132">
        <f>IF(SER_hh_tes_in!E18=0,0,11630*1000*SER_hh_tes_in!E18/SER_hh_num_in!E18)</f>
        <v>24653.907370864683</v>
      </c>
      <c r="F18" s="132">
        <f>IF(SER_hh_tes_in!F18=0,0,11630*1000*SER_hh_tes_in!F18/SER_hh_num_in!F18)</f>
        <v>24408.481499566005</v>
      </c>
      <c r="G18" s="132">
        <f>IF(SER_hh_tes_in!G18=0,0,11630*1000*SER_hh_tes_in!G18/SER_hh_num_in!G18)</f>
        <v>23897.712433044802</v>
      </c>
      <c r="H18" s="132">
        <f>IF(SER_hh_tes_in!H18=0,0,11630*1000*SER_hh_tes_in!H18/SER_hh_num_in!H18)</f>
        <v>24070.163532878378</v>
      </c>
      <c r="I18" s="132">
        <f>IF(SER_hh_tes_in!I18=0,0,11630*1000*SER_hh_tes_in!I18/SER_hh_num_in!I18)</f>
        <v>24317.500431858887</v>
      </c>
      <c r="J18" s="132">
        <f>IF(SER_hh_tes_in!J18=0,0,11630*1000*SER_hh_tes_in!J18/SER_hh_num_in!J18)</f>
        <v>23609.426987656894</v>
      </c>
      <c r="K18" s="132">
        <f>IF(SER_hh_tes_in!K18=0,0,11630*1000*SER_hh_tes_in!K18/SER_hh_num_in!K18)</f>
        <v>23071.594586074159</v>
      </c>
      <c r="L18" s="132">
        <f>IF(SER_hh_tes_in!L18=0,0,11630*1000*SER_hh_tes_in!L18/SER_hh_num_in!L18)</f>
        <v>22809.281888190952</v>
      </c>
      <c r="M18" s="132">
        <f>IF(SER_hh_tes_in!M18=0,0,11630*1000*SER_hh_tes_in!M18/SER_hh_num_in!M18)</f>
        <v>22244.922921299465</v>
      </c>
      <c r="N18" s="132">
        <f>IF(SER_hh_tes_in!N18=0,0,11630*1000*SER_hh_tes_in!N18/SER_hh_num_in!N18)</f>
        <v>22084.541290085952</v>
      </c>
      <c r="O18" s="132">
        <f>IF(SER_hh_tes_in!O18=0,0,11630*1000*SER_hh_tes_in!O18/SER_hh_num_in!O18)</f>
        <v>21240.761092862082</v>
      </c>
      <c r="P18" s="132">
        <f>IF(SER_hh_tes_in!P18=0,0,11630*1000*SER_hh_tes_in!P18/SER_hh_num_in!P18)</f>
        <v>21124.563585255866</v>
      </c>
      <c r="Q18" s="132">
        <f>IF(SER_hh_tes_in!Q18=0,0,11630*1000*SER_hh_tes_in!Q18/SER_hh_num_in!Q18)</f>
        <v>19752.603806104747</v>
      </c>
      <c r="R18" s="132">
        <f>IF(SER_hh_tes_in!R18=0,0,11630*1000*SER_hh_tes_in!R18/SER_hh_num_in!R18)</f>
        <v>20028.99468331314</v>
      </c>
      <c r="S18" s="132">
        <f>IF(SER_hh_tes_in!S18=0,0,11630*1000*SER_hh_tes_in!S18/SER_hh_num_in!S18)</f>
        <v>19367.884165523166</v>
      </c>
      <c r="T18" s="132">
        <f>IF(SER_hh_tes_in!T18=0,0,11630*1000*SER_hh_tes_in!T18/SER_hh_num_in!T18)</f>
        <v>18726.059767570066</v>
      </c>
      <c r="U18" s="132">
        <f>IF(SER_hh_tes_in!U18=0,0,11630*1000*SER_hh_tes_in!U18/SER_hh_num_in!U18)</f>
        <v>18049.87881182845</v>
      </c>
      <c r="V18" s="132">
        <f>IF(SER_hh_tes_in!V18=0,0,11630*1000*SER_hh_tes_in!V18/SER_hh_num_in!V18)</f>
        <v>16289.89355660957</v>
      </c>
      <c r="W18" s="132">
        <f>IF(SER_hh_tes_in!W18=0,0,11630*1000*SER_hh_tes_in!W18/SER_hh_num_in!W18)</f>
        <v>14235.487169076834</v>
      </c>
      <c r="X18" s="132">
        <f>IF(SER_hh_tes_in!X18=0,0,11630*1000*SER_hh_tes_in!X18/SER_hh_num_in!X18)</f>
        <v>12794.850005216107</v>
      </c>
      <c r="Y18" s="132">
        <f>IF(SER_hh_tes_in!Y18=0,0,11630*1000*SER_hh_tes_in!Y18/SER_hh_num_in!Y18)</f>
        <v>13011.265193010984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22303.190088095373</v>
      </c>
      <c r="D19" s="130">
        <f>IF(SER_hh_tes_in!D19=0,0,11630*1000*SER_hh_tes_in!D19/SER_hh_num_in!D19)</f>
        <v>21989.297093761608</v>
      </c>
      <c r="E19" s="130">
        <f>IF(SER_hh_tes_in!E19=0,0,11630*1000*SER_hh_tes_in!E19/SER_hh_num_in!E19)</f>
        <v>21742.821156867394</v>
      </c>
      <c r="F19" s="130">
        <f>IF(SER_hh_tes_in!F19=0,0,11630*1000*SER_hh_tes_in!F19/SER_hh_num_in!F19)</f>
        <v>21290.561550727685</v>
      </c>
      <c r="G19" s="130">
        <f>IF(SER_hh_tes_in!G19=0,0,11630*1000*SER_hh_tes_in!G19/SER_hh_num_in!G19)</f>
        <v>21456.824863992977</v>
      </c>
      <c r="H19" s="130">
        <f>IF(SER_hh_tes_in!H19=0,0,11630*1000*SER_hh_tes_in!H19/SER_hh_num_in!H19)</f>
        <v>21201.187765435861</v>
      </c>
      <c r="I19" s="130">
        <f>IF(SER_hh_tes_in!I19=0,0,11630*1000*SER_hh_tes_in!I19/SER_hh_num_in!I19)</f>
        <v>20699.806799262722</v>
      </c>
      <c r="J19" s="130">
        <f>IF(SER_hh_tes_in!J19=0,0,11630*1000*SER_hh_tes_in!J19/SER_hh_num_in!J19)</f>
        <v>20719.678395866449</v>
      </c>
      <c r="K19" s="130">
        <f>IF(SER_hh_tes_in!K19=0,0,11630*1000*SER_hh_tes_in!K19/SER_hh_num_in!K19)</f>
        <v>21528.837359944795</v>
      </c>
      <c r="L19" s="130">
        <f>IF(SER_hh_tes_in!L19=0,0,11630*1000*SER_hh_tes_in!L19/SER_hh_num_in!L19)</f>
        <v>22333.417319359181</v>
      </c>
      <c r="M19" s="130">
        <f>IF(SER_hh_tes_in!M19=0,0,11630*1000*SER_hh_tes_in!M19/SER_hh_num_in!M19)</f>
        <v>22204.856727895276</v>
      </c>
      <c r="N19" s="130">
        <f>IF(SER_hh_tes_in!N19=0,0,11630*1000*SER_hh_tes_in!N19/SER_hh_num_in!N19)</f>
        <v>22539.622325837314</v>
      </c>
      <c r="O19" s="130">
        <f>IF(SER_hh_tes_in!O19=0,0,11630*1000*SER_hh_tes_in!O19/SER_hh_num_in!O19)</f>
        <v>22768.96739194421</v>
      </c>
      <c r="P19" s="130">
        <f>IF(SER_hh_tes_in!P19=0,0,11630*1000*SER_hh_tes_in!P19/SER_hh_num_in!P19)</f>
        <v>22842.976980143998</v>
      </c>
      <c r="Q19" s="130">
        <f>IF(SER_hh_tes_in!Q19=0,0,11630*1000*SER_hh_tes_in!Q19/SER_hh_num_in!Q19)</f>
        <v>23915.411836002531</v>
      </c>
      <c r="R19" s="130">
        <f>IF(SER_hh_tes_in!R19=0,0,11630*1000*SER_hh_tes_in!R19/SER_hh_num_in!R19)</f>
        <v>23267.48630701768</v>
      </c>
      <c r="S19" s="130">
        <f>IF(SER_hh_tes_in!S19=0,0,11630*1000*SER_hh_tes_in!S19/SER_hh_num_in!S19)</f>
        <v>22917.412176968093</v>
      </c>
      <c r="T19" s="130">
        <f>IF(SER_hh_tes_in!T19=0,0,11630*1000*SER_hh_tes_in!T19/SER_hh_num_in!T19)</f>
        <v>22886.52552535971</v>
      </c>
      <c r="U19" s="130">
        <f>IF(SER_hh_tes_in!U19=0,0,11630*1000*SER_hh_tes_in!U19/SER_hh_num_in!U19)</f>
        <v>22967.358262918322</v>
      </c>
      <c r="V19" s="130">
        <f>IF(SER_hh_tes_in!V19=0,0,11630*1000*SER_hh_tes_in!V19/SER_hh_num_in!V19)</f>
        <v>21665.261836118014</v>
      </c>
      <c r="W19" s="130">
        <f>IF(SER_hh_tes_in!W19=0,0,11630*1000*SER_hh_tes_in!W19/SER_hh_num_in!W19)</f>
        <v>23020.979002577365</v>
      </c>
      <c r="X19" s="130">
        <f>IF(SER_hh_tes_in!X19=0,0,11630*1000*SER_hh_tes_in!X19/SER_hh_num_in!X19)</f>
        <v>21911.246890272989</v>
      </c>
      <c r="Y19" s="130">
        <f>IF(SER_hh_tes_in!Y19=0,0,11630*1000*SER_hh_tes_in!Y19/SER_hh_num_in!Y19)</f>
        <v>21366.786645324024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0</v>
      </c>
      <c r="D21" s="132">
        <f>IF(SER_hh_tes_in!D21=0,0,11630*1000*SER_hh_tes_in!D21/SER_hh_num_in!D21)</f>
        <v>0</v>
      </c>
      <c r="E21" s="132">
        <f>IF(SER_hh_tes_in!E21=0,0,11630*1000*SER_hh_tes_in!E21/SER_hh_num_in!E21)</f>
        <v>0</v>
      </c>
      <c r="F21" s="132">
        <f>IF(SER_hh_tes_in!F21=0,0,11630*1000*SER_hh_tes_in!F21/SER_hh_num_in!F21)</f>
        <v>0</v>
      </c>
      <c r="G21" s="132">
        <f>IF(SER_hh_tes_in!G21=0,0,11630*1000*SER_hh_tes_in!G21/SER_hh_num_in!G21)</f>
        <v>0</v>
      </c>
      <c r="H21" s="132">
        <f>IF(SER_hh_tes_in!H21=0,0,11630*1000*SER_hh_tes_in!H21/SER_hh_num_in!H21)</f>
        <v>0</v>
      </c>
      <c r="I21" s="132">
        <f>IF(SER_hh_tes_in!I21=0,0,11630*1000*SER_hh_tes_in!I21/SER_hh_num_in!I21)</f>
        <v>0</v>
      </c>
      <c r="J21" s="132">
        <f>IF(SER_hh_tes_in!J21=0,0,11630*1000*SER_hh_tes_in!J21/SER_hh_num_in!J21)</f>
        <v>0</v>
      </c>
      <c r="K21" s="132">
        <f>IF(SER_hh_tes_in!K21=0,0,11630*1000*SER_hh_tes_in!K21/SER_hh_num_in!K21)</f>
        <v>0</v>
      </c>
      <c r="L21" s="132">
        <f>IF(SER_hh_tes_in!L21=0,0,11630*1000*SER_hh_tes_in!L21/SER_hh_num_in!L21)</f>
        <v>0</v>
      </c>
      <c r="M21" s="132">
        <f>IF(SER_hh_tes_in!M21=0,0,11630*1000*SER_hh_tes_in!M21/SER_hh_num_in!M21)</f>
        <v>0</v>
      </c>
      <c r="N21" s="132">
        <f>IF(SER_hh_tes_in!N21=0,0,11630*1000*SER_hh_tes_in!N21/SER_hh_num_in!N21)</f>
        <v>0</v>
      </c>
      <c r="O21" s="132">
        <f>IF(SER_hh_tes_in!O21=0,0,11630*1000*SER_hh_tes_in!O21/SER_hh_num_in!O21)</f>
        <v>0</v>
      </c>
      <c r="P21" s="132">
        <f>IF(SER_hh_tes_in!P21=0,0,11630*1000*SER_hh_tes_in!P21/SER_hh_num_in!P21)</f>
        <v>0</v>
      </c>
      <c r="Q21" s="132">
        <f>IF(SER_hh_tes_in!Q21=0,0,11630*1000*SER_hh_tes_in!Q21/SER_hh_num_in!Q21)</f>
        <v>0</v>
      </c>
      <c r="R21" s="132">
        <f>IF(SER_hh_tes_in!R21=0,0,11630*1000*SER_hh_tes_in!R21/SER_hh_num_in!R21)</f>
        <v>0</v>
      </c>
      <c r="S21" s="132">
        <f>IF(SER_hh_tes_in!S21=0,0,11630*1000*SER_hh_tes_in!S21/SER_hh_num_in!S21)</f>
        <v>0</v>
      </c>
      <c r="T21" s="132">
        <f>IF(SER_hh_tes_in!T21=0,0,11630*1000*SER_hh_tes_in!T21/SER_hh_num_in!T21)</f>
        <v>0</v>
      </c>
      <c r="U21" s="132">
        <f>IF(SER_hh_tes_in!U21=0,0,11630*1000*SER_hh_tes_in!U21/SER_hh_num_in!U21)</f>
        <v>0</v>
      </c>
      <c r="V21" s="132">
        <f>IF(SER_hh_tes_in!V21=0,0,11630*1000*SER_hh_tes_in!V21/SER_hh_num_in!V21)</f>
        <v>0</v>
      </c>
      <c r="W21" s="132">
        <f>IF(SER_hh_tes_in!W21=0,0,11630*1000*SER_hh_tes_in!W21/SER_hh_num_in!W21)</f>
        <v>0</v>
      </c>
      <c r="X21" s="132">
        <f>IF(SER_hh_tes_in!X21=0,0,11630*1000*SER_hh_tes_in!X21/SER_hh_num_in!X21)</f>
        <v>0</v>
      </c>
      <c r="Y21" s="132">
        <f>IF(SER_hh_tes_in!Y21=0,0,11630*1000*SER_hh_tes_in!Y21/SER_hh_num_in!Y21)</f>
        <v>0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22383.66549139762</v>
      </c>
      <c r="D22" s="132">
        <f>IF(SER_hh_tes_in!D22=0,0,11630*1000*SER_hh_tes_in!D22/SER_hh_num_in!D22)</f>
        <v>22314.858476368205</v>
      </c>
      <c r="E22" s="132">
        <f>IF(SER_hh_tes_in!E22=0,0,11630*1000*SER_hh_tes_in!E22/SER_hh_num_in!E22)</f>
        <v>21498.176762887128</v>
      </c>
      <c r="F22" s="132">
        <f>IF(SER_hh_tes_in!F22=0,0,11630*1000*SER_hh_tes_in!F22/SER_hh_num_in!F22)</f>
        <v>21713.653993902048</v>
      </c>
      <c r="G22" s="132">
        <f>IF(SER_hh_tes_in!G22=0,0,11630*1000*SER_hh_tes_in!G22/SER_hh_num_in!G22)</f>
        <v>21298.850634273094</v>
      </c>
      <c r="H22" s="132">
        <f>IF(SER_hh_tes_in!H22=0,0,11630*1000*SER_hh_tes_in!H22/SER_hh_num_in!H22)</f>
        <v>20679.764256809573</v>
      </c>
      <c r="I22" s="132">
        <f>IF(SER_hh_tes_in!I22=0,0,11630*1000*SER_hh_tes_in!I22/SER_hh_num_in!I22)</f>
        <v>20637.631487319853</v>
      </c>
      <c r="J22" s="132">
        <f>IF(SER_hh_tes_in!J22=0,0,11630*1000*SER_hh_tes_in!J22/SER_hh_num_in!J22)</f>
        <v>20980.106748263705</v>
      </c>
      <c r="K22" s="132">
        <f>IF(SER_hh_tes_in!K22=0,0,11630*1000*SER_hh_tes_in!K22/SER_hh_num_in!K22)</f>
        <v>21238.940596541175</v>
      </c>
      <c r="L22" s="132">
        <f>IF(SER_hh_tes_in!L22=0,0,11630*1000*SER_hh_tes_in!L22/SER_hh_num_in!L22)</f>
        <v>21782.329643394682</v>
      </c>
      <c r="M22" s="132">
        <f>IF(SER_hh_tes_in!M22=0,0,11630*1000*SER_hh_tes_in!M22/SER_hh_num_in!M22)</f>
        <v>22279.753035185149</v>
      </c>
      <c r="N22" s="132">
        <f>IF(SER_hh_tes_in!N22=0,0,11630*1000*SER_hh_tes_in!N22/SER_hh_num_in!N22)</f>
        <v>22669.914761326821</v>
      </c>
      <c r="O22" s="132">
        <f>IF(SER_hh_tes_in!O22=0,0,11630*1000*SER_hh_tes_in!O22/SER_hh_num_in!O22)</f>
        <v>22737.439798982712</v>
      </c>
      <c r="P22" s="132">
        <f>IF(SER_hh_tes_in!P22=0,0,11630*1000*SER_hh_tes_in!P22/SER_hh_num_in!P22)</f>
        <v>23300.807407210083</v>
      </c>
      <c r="Q22" s="132">
        <f>IF(SER_hh_tes_in!Q22=0,0,11630*1000*SER_hh_tes_in!Q22/SER_hh_num_in!Q22)</f>
        <v>23176.25199689416</v>
      </c>
      <c r="R22" s="132">
        <f>IF(SER_hh_tes_in!R22=0,0,11630*1000*SER_hh_tes_in!R22/SER_hh_num_in!R22)</f>
        <v>22907.109183491237</v>
      </c>
      <c r="S22" s="132">
        <f>IF(SER_hh_tes_in!S22=0,0,11630*1000*SER_hh_tes_in!S22/SER_hh_num_in!S22)</f>
        <v>23653.621519795102</v>
      </c>
      <c r="T22" s="132">
        <f>IF(SER_hh_tes_in!T22=0,0,11630*1000*SER_hh_tes_in!T22/SER_hh_num_in!T22)</f>
        <v>22859.074588950447</v>
      </c>
      <c r="U22" s="132">
        <f>IF(SER_hh_tes_in!U22=0,0,11630*1000*SER_hh_tes_in!U22/SER_hh_num_in!U22)</f>
        <v>23054.216318835213</v>
      </c>
      <c r="V22" s="132">
        <f>IF(SER_hh_tes_in!V22=0,0,11630*1000*SER_hh_tes_in!V22/SER_hh_num_in!V22)</f>
        <v>20652.6958274069</v>
      </c>
      <c r="W22" s="132">
        <f>IF(SER_hh_tes_in!W22=0,0,11630*1000*SER_hh_tes_in!W22/SER_hh_num_in!W22)</f>
        <v>21674.104487062319</v>
      </c>
      <c r="X22" s="132">
        <f>IF(SER_hh_tes_in!X22=0,0,11630*1000*SER_hh_tes_in!X22/SER_hh_num_in!X22)</f>
        <v>21943.701384945911</v>
      </c>
      <c r="Y22" s="132">
        <f>IF(SER_hh_tes_in!Y22=0,0,11630*1000*SER_hh_tes_in!Y22/SER_hh_num_in!Y22)</f>
        <v>21460.079089651997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22377.017648179557</v>
      </c>
      <c r="D23" s="132">
        <f>IF(SER_hh_tes_in!D23=0,0,11630*1000*SER_hh_tes_in!D23/SER_hh_num_in!D23)</f>
        <v>22002.422805409704</v>
      </c>
      <c r="E23" s="132">
        <f>IF(SER_hh_tes_in!E23=0,0,11630*1000*SER_hh_tes_in!E23/SER_hh_num_in!E23)</f>
        <v>21540.088572259399</v>
      </c>
      <c r="F23" s="132">
        <f>IF(SER_hh_tes_in!F23=0,0,11630*1000*SER_hh_tes_in!F23/SER_hh_num_in!F23)</f>
        <v>21598.247130781961</v>
      </c>
      <c r="G23" s="132">
        <f>IF(SER_hh_tes_in!G23=0,0,11630*1000*SER_hh_tes_in!G23/SER_hh_num_in!G23)</f>
        <v>21364.920400319144</v>
      </c>
      <c r="H23" s="132">
        <f>IF(SER_hh_tes_in!H23=0,0,11630*1000*SER_hh_tes_in!H23/SER_hh_num_in!H23)</f>
        <v>20924.771232492738</v>
      </c>
      <c r="I23" s="132">
        <f>IF(SER_hh_tes_in!I23=0,0,11630*1000*SER_hh_tes_in!I23/SER_hh_num_in!I23)</f>
        <v>21094.008748967382</v>
      </c>
      <c r="J23" s="132">
        <f>IF(SER_hh_tes_in!J23=0,0,11630*1000*SER_hh_tes_in!J23/SER_hh_num_in!J23)</f>
        <v>20667.062152004619</v>
      </c>
      <c r="K23" s="132">
        <f>IF(SER_hh_tes_in!K23=0,0,11630*1000*SER_hh_tes_in!K23/SER_hh_num_in!K23)</f>
        <v>21497.0475059077</v>
      </c>
      <c r="L23" s="132">
        <f>IF(SER_hh_tes_in!L23=0,0,11630*1000*SER_hh_tes_in!L23/SER_hh_num_in!L23)</f>
        <v>22383.143789258225</v>
      </c>
      <c r="M23" s="132">
        <f>IF(SER_hh_tes_in!M23=0,0,11630*1000*SER_hh_tes_in!M23/SER_hh_num_in!M23)</f>
        <v>21483.87720972484</v>
      </c>
      <c r="N23" s="132">
        <f>IF(SER_hh_tes_in!N23=0,0,11630*1000*SER_hh_tes_in!N23/SER_hh_num_in!N23)</f>
        <v>22276.184362265289</v>
      </c>
      <c r="O23" s="132">
        <f>IF(SER_hh_tes_in!O23=0,0,11630*1000*SER_hh_tes_in!O23/SER_hh_num_in!O23)</f>
        <v>22807.144839282526</v>
      </c>
      <c r="P23" s="132">
        <f>IF(SER_hh_tes_in!P23=0,0,11630*1000*SER_hh_tes_in!P23/SER_hh_num_in!P23)</f>
        <v>23238.18494598641</v>
      </c>
      <c r="Q23" s="132">
        <f>IF(SER_hh_tes_in!Q23=0,0,11630*1000*SER_hh_tes_in!Q23/SER_hh_num_in!Q23)</f>
        <v>23963.976109582814</v>
      </c>
      <c r="R23" s="132">
        <f>IF(SER_hh_tes_in!R23=0,0,11630*1000*SER_hh_tes_in!R23/SER_hh_num_in!R23)</f>
        <v>23330.101710459101</v>
      </c>
      <c r="S23" s="132">
        <f>IF(SER_hh_tes_in!S23=0,0,11630*1000*SER_hh_tes_in!S23/SER_hh_num_in!S23)</f>
        <v>23519.400986555542</v>
      </c>
      <c r="T23" s="132">
        <f>IF(SER_hh_tes_in!T23=0,0,11630*1000*SER_hh_tes_in!T23/SER_hh_num_in!T23)</f>
        <v>22665.222540412837</v>
      </c>
      <c r="U23" s="132">
        <f>IF(SER_hh_tes_in!U23=0,0,11630*1000*SER_hh_tes_in!U23/SER_hh_num_in!U23)</f>
        <v>23531.681100051759</v>
      </c>
      <c r="V23" s="132">
        <f>IF(SER_hh_tes_in!V23=0,0,11630*1000*SER_hh_tes_in!V23/SER_hh_num_in!V23)</f>
        <v>18277.744582888536</v>
      </c>
      <c r="W23" s="132">
        <f>IF(SER_hh_tes_in!W23=0,0,11630*1000*SER_hh_tes_in!W23/SER_hh_num_in!W23)</f>
        <v>23716.089342362458</v>
      </c>
      <c r="X23" s="132">
        <f>IF(SER_hh_tes_in!X23=0,0,11630*1000*SER_hh_tes_in!X23/SER_hh_num_in!X23)</f>
        <v>22172.942278519618</v>
      </c>
      <c r="Y23" s="132">
        <f>IF(SER_hh_tes_in!Y23=0,0,11630*1000*SER_hh_tes_in!Y23/SER_hh_num_in!Y23)</f>
        <v>21523.371292050895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0</v>
      </c>
      <c r="D24" s="132">
        <f>IF(SER_hh_tes_in!D24=0,0,11630*1000*SER_hh_tes_in!D24/SER_hh_num_in!D24)</f>
        <v>0</v>
      </c>
      <c r="E24" s="132">
        <f>IF(SER_hh_tes_in!E24=0,0,11630*1000*SER_hh_tes_in!E24/SER_hh_num_in!E24)</f>
        <v>0</v>
      </c>
      <c r="F24" s="132">
        <f>IF(SER_hh_tes_in!F24=0,0,11630*1000*SER_hh_tes_in!F24/SER_hh_num_in!F24)</f>
        <v>0</v>
      </c>
      <c r="G24" s="132">
        <f>IF(SER_hh_tes_in!G24=0,0,11630*1000*SER_hh_tes_in!G24/SER_hh_num_in!G24)</f>
        <v>0</v>
      </c>
      <c r="H24" s="132">
        <f>IF(SER_hh_tes_in!H24=0,0,11630*1000*SER_hh_tes_in!H24/SER_hh_num_in!H24)</f>
        <v>0</v>
      </c>
      <c r="I24" s="132">
        <f>IF(SER_hh_tes_in!I24=0,0,11630*1000*SER_hh_tes_in!I24/SER_hh_num_in!I24)</f>
        <v>0</v>
      </c>
      <c r="J24" s="132">
        <f>IF(SER_hh_tes_in!J24=0,0,11630*1000*SER_hh_tes_in!J24/SER_hh_num_in!J24)</f>
        <v>0</v>
      </c>
      <c r="K24" s="132">
        <f>IF(SER_hh_tes_in!K24=0,0,11630*1000*SER_hh_tes_in!K24/SER_hh_num_in!K24)</f>
        <v>0</v>
      </c>
      <c r="L24" s="132">
        <f>IF(SER_hh_tes_in!L24=0,0,11630*1000*SER_hh_tes_in!L24/SER_hh_num_in!L24)</f>
        <v>0</v>
      </c>
      <c r="M24" s="132">
        <f>IF(SER_hh_tes_in!M24=0,0,11630*1000*SER_hh_tes_in!M24/SER_hh_num_in!M24)</f>
        <v>0</v>
      </c>
      <c r="N24" s="132">
        <f>IF(SER_hh_tes_in!N24=0,0,11630*1000*SER_hh_tes_in!N24/SER_hh_num_in!N24)</f>
        <v>0</v>
      </c>
      <c r="O24" s="132">
        <f>IF(SER_hh_tes_in!O24=0,0,11630*1000*SER_hh_tes_in!O24/SER_hh_num_in!O24)</f>
        <v>0</v>
      </c>
      <c r="P24" s="132">
        <f>IF(SER_hh_tes_in!P24=0,0,11630*1000*SER_hh_tes_in!P24/SER_hh_num_in!P24)</f>
        <v>0</v>
      </c>
      <c r="Q24" s="132">
        <f>IF(SER_hh_tes_in!Q24=0,0,11630*1000*SER_hh_tes_in!Q24/SER_hh_num_in!Q24)</f>
        <v>0</v>
      </c>
      <c r="R24" s="132">
        <f>IF(SER_hh_tes_in!R24=0,0,11630*1000*SER_hh_tes_in!R24/SER_hh_num_in!R24)</f>
        <v>0</v>
      </c>
      <c r="S24" s="132">
        <f>IF(SER_hh_tes_in!S24=0,0,11630*1000*SER_hh_tes_in!S24/SER_hh_num_in!S24)</f>
        <v>0</v>
      </c>
      <c r="T24" s="132">
        <f>IF(SER_hh_tes_in!T24=0,0,11630*1000*SER_hh_tes_in!T24/SER_hh_num_in!T24)</f>
        <v>0</v>
      </c>
      <c r="U24" s="132">
        <f>IF(SER_hh_tes_in!U24=0,0,11630*1000*SER_hh_tes_in!U24/SER_hh_num_in!U24)</f>
        <v>0</v>
      </c>
      <c r="V24" s="132">
        <f>IF(SER_hh_tes_in!V24=0,0,11630*1000*SER_hh_tes_in!V24/SER_hh_num_in!V24)</f>
        <v>0</v>
      </c>
      <c r="W24" s="132">
        <f>IF(SER_hh_tes_in!W24=0,0,11630*1000*SER_hh_tes_in!W24/SER_hh_num_in!W24)</f>
        <v>0</v>
      </c>
      <c r="X24" s="132">
        <f>IF(SER_hh_tes_in!X24=0,0,11630*1000*SER_hh_tes_in!X24/SER_hh_num_in!X24)</f>
        <v>0</v>
      </c>
      <c r="Y24" s="132">
        <f>IF(SER_hh_tes_in!Y24=0,0,11630*1000*SER_hh_tes_in!Y24/SER_hh_num_in!Y24)</f>
        <v>0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0</v>
      </c>
      <c r="D25" s="132">
        <f>IF(SER_hh_tes_in!D25=0,0,11630*1000*SER_hh_tes_in!D25/SER_hh_num_in!D25)</f>
        <v>0</v>
      </c>
      <c r="E25" s="132">
        <f>IF(SER_hh_tes_in!E25=0,0,11630*1000*SER_hh_tes_in!E25/SER_hh_num_in!E25)</f>
        <v>0</v>
      </c>
      <c r="F25" s="132">
        <f>IF(SER_hh_tes_in!F25=0,0,11630*1000*SER_hh_tes_in!F25/SER_hh_num_in!F25)</f>
        <v>0</v>
      </c>
      <c r="G25" s="132">
        <f>IF(SER_hh_tes_in!G25=0,0,11630*1000*SER_hh_tes_in!G25/SER_hh_num_in!G25)</f>
        <v>0</v>
      </c>
      <c r="H25" s="132">
        <f>IF(SER_hh_tes_in!H25=0,0,11630*1000*SER_hh_tes_in!H25/SER_hh_num_in!H25)</f>
        <v>0</v>
      </c>
      <c r="I25" s="132">
        <f>IF(SER_hh_tes_in!I25=0,0,11630*1000*SER_hh_tes_in!I25/SER_hh_num_in!I25)</f>
        <v>0</v>
      </c>
      <c r="J25" s="132">
        <f>IF(SER_hh_tes_in!J25=0,0,11630*1000*SER_hh_tes_in!J25/SER_hh_num_in!J25)</f>
        <v>0</v>
      </c>
      <c r="K25" s="132">
        <f>IF(SER_hh_tes_in!K25=0,0,11630*1000*SER_hh_tes_in!K25/SER_hh_num_in!K25)</f>
        <v>0</v>
      </c>
      <c r="L25" s="132">
        <f>IF(SER_hh_tes_in!L25=0,0,11630*1000*SER_hh_tes_in!L25/SER_hh_num_in!L25)</f>
        <v>0</v>
      </c>
      <c r="M25" s="132">
        <f>IF(SER_hh_tes_in!M25=0,0,11630*1000*SER_hh_tes_in!M25/SER_hh_num_in!M25)</f>
        <v>0</v>
      </c>
      <c r="N25" s="132">
        <f>IF(SER_hh_tes_in!N25=0,0,11630*1000*SER_hh_tes_in!N25/SER_hh_num_in!N25)</f>
        <v>0</v>
      </c>
      <c r="O25" s="132">
        <f>IF(SER_hh_tes_in!O25=0,0,11630*1000*SER_hh_tes_in!O25/SER_hh_num_in!O25)</f>
        <v>0</v>
      </c>
      <c r="P25" s="132">
        <f>IF(SER_hh_tes_in!P25=0,0,11630*1000*SER_hh_tes_in!P25/SER_hh_num_in!P25)</f>
        <v>0</v>
      </c>
      <c r="Q25" s="132">
        <f>IF(SER_hh_tes_in!Q25=0,0,11630*1000*SER_hh_tes_in!Q25/SER_hh_num_in!Q25)</f>
        <v>0</v>
      </c>
      <c r="R25" s="132">
        <f>IF(SER_hh_tes_in!R25=0,0,11630*1000*SER_hh_tes_in!R25/SER_hh_num_in!R25)</f>
        <v>0</v>
      </c>
      <c r="S25" s="132">
        <f>IF(SER_hh_tes_in!S25=0,0,11630*1000*SER_hh_tes_in!S25/SER_hh_num_in!S25)</f>
        <v>0</v>
      </c>
      <c r="T25" s="132">
        <f>IF(SER_hh_tes_in!T25=0,0,11630*1000*SER_hh_tes_in!T25/SER_hh_num_in!T25)</f>
        <v>0</v>
      </c>
      <c r="U25" s="132">
        <f>IF(SER_hh_tes_in!U25=0,0,11630*1000*SER_hh_tes_in!U25/SER_hh_num_in!U25)</f>
        <v>0</v>
      </c>
      <c r="V25" s="132">
        <f>IF(SER_hh_tes_in!V25=0,0,11630*1000*SER_hh_tes_in!V25/SER_hh_num_in!V25)</f>
        <v>0</v>
      </c>
      <c r="W25" s="132">
        <f>IF(SER_hh_tes_in!W25=0,0,11630*1000*SER_hh_tes_in!W25/SER_hh_num_in!W25)</f>
        <v>0</v>
      </c>
      <c r="X25" s="132">
        <f>IF(SER_hh_tes_in!X25=0,0,11630*1000*SER_hh_tes_in!X25/SER_hh_num_in!X25)</f>
        <v>0</v>
      </c>
      <c r="Y25" s="132">
        <f>IF(SER_hh_tes_in!Y25=0,0,11630*1000*SER_hh_tes_in!Y25/SER_hh_num_in!Y25)</f>
        <v>0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22252.861235533597</v>
      </c>
      <c r="D26" s="65">
        <f>IF(SER_hh_tes_in!D26=0,0,11630*1000*SER_hh_tes_in!D26/SER_hh_num_in!D26)</f>
        <v>21912.215105993317</v>
      </c>
      <c r="E26" s="65">
        <f>IF(SER_hh_tes_in!E26=0,0,11630*1000*SER_hh_tes_in!E26/SER_hh_num_in!E26)</f>
        <v>21865.94343744405</v>
      </c>
      <c r="F26" s="65">
        <f>IF(SER_hh_tes_in!F26=0,0,11630*1000*SER_hh_tes_in!F26/SER_hh_num_in!F26)</f>
        <v>21097.000681773345</v>
      </c>
      <c r="G26" s="65">
        <f>IF(SER_hh_tes_in!G26=0,0,11630*1000*SER_hh_tes_in!G26/SER_hh_num_in!G26)</f>
        <v>21501.881112709008</v>
      </c>
      <c r="H26" s="65">
        <f>IF(SER_hh_tes_in!H26=0,0,11630*1000*SER_hh_tes_in!H26/SER_hh_num_in!H26)</f>
        <v>20990.749854357233</v>
      </c>
      <c r="I26" s="65">
        <f>IF(SER_hh_tes_in!I26=0,0,11630*1000*SER_hh_tes_in!I26/SER_hh_num_in!I26)</f>
        <v>20589.306454509649</v>
      </c>
      <c r="J26" s="65">
        <f>IF(SER_hh_tes_in!J26=0,0,11630*1000*SER_hh_tes_in!J26/SER_hh_num_in!J26)</f>
        <v>19549.882378314436</v>
      </c>
      <c r="K26" s="65">
        <f>IF(SER_hh_tes_in!K26=0,0,11630*1000*SER_hh_tes_in!K26/SER_hh_num_in!K26)</f>
        <v>21581.906158206133</v>
      </c>
      <c r="L26" s="65">
        <f>IF(SER_hh_tes_in!L26=0,0,11630*1000*SER_hh_tes_in!L26/SER_hh_num_in!L26)</f>
        <v>17893.553172164953</v>
      </c>
      <c r="M26" s="65">
        <f>IF(SER_hh_tes_in!M26=0,0,11630*1000*SER_hh_tes_in!M26/SER_hh_num_in!M26)</f>
        <v>21952.044723966199</v>
      </c>
      <c r="N26" s="65">
        <f>IF(SER_hh_tes_in!N26=0,0,11630*1000*SER_hh_tes_in!N26/SER_hh_num_in!N26)</f>
        <v>22626.515811708741</v>
      </c>
      <c r="O26" s="65">
        <f>IF(SER_hh_tes_in!O26=0,0,11630*1000*SER_hh_tes_in!O26/SER_hh_num_in!O26)</f>
        <v>22758.960590400391</v>
      </c>
      <c r="P26" s="65">
        <f>IF(SER_hh_tes_in!P26=0,0,11630*1000*SER_hh_tes_in!P26/SER_hh_num_in!P26)</f>
        <v>22641.299476486631</v>
      </c>
      <c r="Q26" s="65">
        <f>IF(SER_hh_tes_in!Q26=0,0,11630*1000*SER_hh_tes_in!Q26/SER_hh_num_in!Q26)</f>
        <v>23950.850569657123</v>
      </c>
      <c r="R26" s="65">
        <f>IF(SER_hh_tes_in!R26=0,0,11630*1000*SER_hh_tes_in!R26/SER_hh_num_in!R26)</f>
        <v>23258.771216861562</v>
      </c>
      <c r="S26" s="65">
        <f>IF(SER_hh_tes_in!S26=0,0,11630*1000*SER_hh_tes_in!S26/SER_hh_num_in!S26)</f>
        <v>22565.653787627703</v>
      </c>
      <c r="T26" s="65">
        <f>IF(SER_hh_tes_in!T26=0,0,11630*1000*SER_hh_tes_in!T26/SER_hh_num_in!T26)</f>
        <v>22814.006336511589</v>
      </c>
      <c r="U26" s="65">
        <f>IF(SER_hh_tes_in!U26=0,0,11630*1000*SER_hh_tes_in!U26/SER_hh_num_in!U26)</f>
        <v>22737.656518128628</v>
      </c>
      <c r="V26" s="65">
        <f>IF(SER_hh_tes_in!V26=0,0,11630*1000*SER_hh_tes_in!V26/SER_hh_num_in!V26)</f>
        <v>21916.443895233318</v>
      </c>
      <c r="W26" s="65">
        <f>IF(SER_hh_tes_in!W26=0,0,11630*1000*SER_hh_tes_in!W26/SER_hh_num_in!W26)</f>
        <v>22692.616083574096</v>
      </c>
      <c r="X26" s="65">
        <f>IF(SER_hh_tes_in!X26=0,0,11630*1000*SER_hh_tes_in!X26/SER_hh_num_in!X26)</f>
        <v>21233.726420271487</v>
      </c>
      <c r="Y26" s="65">
        <f>IF(SER_hh_tes_in!Y26=0,0,11630*1000*SER_hh_tes_in!Y26/SER_hh_num_in!Y26)</f>
        <v>20833.564216032464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0</v>
      </c>
      <c r="D27" s="145">
        <f>IF(SER_hh_tes_in!D27=0,0,11630*1000*SER_hh_tes_in!D27/SER_hh_num_in!D19)</f>
        <v>0</v>
      </c>
      <c r="E27" s="145">
        <f>IF(SER_hh_tes_in!E27=0,0,11630*1000*SER_hh_tes_in!E27/SER_hh_num_in!E19)</f>
        <v>0</v>
      </c>
      <c r="F27" s="145">
        <f>IF(SER_hh_tes_in!F27=0,0,11630*1000*SER_hh_tes_in!F27/SER_hh_num_in!F19)</f>
        <v>0</v>
      </c>
      <c r="G27" s="145">
        <f>IF(SER_hh_tes_in!G27=0,0,11630*1000*SER_hh_tes_in!G27/SER_hh_num_in!G19)</f>
        <v>0</v>
      </c>
      <c r="H27" s="145">
        <f>IF(SER_hh_tes_in!H27=0,0,11630*1000*SER_hh_tes_in!H27/SER_hh_num_in!H19)</f>
        <v>257.62586757198619</v>
      </c>
      <c r="I27" s="145">
        <f>IF(SER_hh_tes_in!I27=0,0,11630*1000*SER_hh_tes_in!I27/SER_hh_num_in!I19)</f>
        <v>21.9029891471151</v>
      </c>
      <c r="J27" s="145">
        <f>IF(SER_hh_tes_in!J27=0,0,11630*1000*SER_hh_tes_in!J27/SER_hh_num_in!J19)</f>
        <v>704.88229158760873</v>
      </c>
      <c r="K27" s="145">
        <f>IF(SER_hh_tes_in!K27=0,0,11630*1000*SER_hh_tes_in!K27/SER_hh_num_in!K19)</f>
        <v>69.9683544318261</v>
      </c>
      <c r="L27" s="145">
        <f>IF(SER_hh_tes_in!L27=0,0,11630*1000*SER_hh_tes_in!L27/SER_hh_num_in!L19)</f>
        <v>2358.3684521639084</v>
      </c>
      <c r="M27" s="145">
        <f>IF(SER_hh_tes_in!M27=0,0,11630*1000*SER_hh_tes_in!M27/SER_hh_num_in!M19)</f>
        <v>279.95131621849674</v>
      </c>
      <c r="N27" s="145">
        <f>IF(SER_hh_tes_in!N27=0,0,11630*1000*SER_hh_tes_in!N27/SER_hh_num_in!N19)</f>
        <v>0</v>
      </c>
      <c r="O27" s="145">
        <f>IF(SER_hh_tes_in!O27=0,0,11630*1000*SER_hh_tes_in!O27/SER_hh_num_in!O19)</f>
        <v>0</v>
      </c>
      <c r="P27" s="145">
        <f>IF(SER_hh_tes_in!P27=0,0,11630*1000*SER_hh_tes_in!P27/SER_hh_num_in!P19)</f>
        <v>0</v>
      </c>
      <c r="Q27" s="145">
        <f>IF(SER_hh_tes_in!Q27=0,0,11630*1000*SER_hh_tes_in!Q27/SER_hh_num_in!Q19)</f>
        <v>0</v>
      </c>
      <c r="R27" s="145">
        <f>IF(SER_hh_tes_in!R27=0,0,11630*1000*SER_hh_tes_in!R27/SER_hh_num_in!R19)</f>
        <v>23.032061354443712</v>
      </c>
      <c r="S27" s="145">
        <f>IF(SER_hh_tes_in!S27=0,0,11630*1000*SER_hh_tes_in!S27/SER_hh_num_in!S19)</f>
        <v>84.007829000406673</v>
      </c>
      <c r="T27" s="145">
        <f>IF(SER_hh_tes_in!T27=0,0,11630*1000*SER_hh_tes_in!T27/SER_hh_num_in!T19)</f>
        <v>82.614830867387283</v>
      </c>
      <c r="U27" s="145">
        <f>IF(SER_hh_tes_in!U27=0,0,11630*1000*SER_hh_tes_in!U27/SER_hh_num_in!U19)</f>
        <v>100.78441126560628</v>
      </c>
      <c r="V27" s="145">
        <f>IF(SER_hh_tes_in!V27=0,0,11630*1000*SER_hh_tes_in!V27/SER_hh_num_in!V19)</f>
        <v>330.72536499867618</v>
      </c>
      <c r="W27" s="145">
        <f>IF(SER_hh_tes_in!W27=0,0,11630*1000*SER_hh_tes_in!W27/SER_hh_num_in!W19)</f>
        <v>54.040924199001594</v>
      </c>
      <c r="X27" s="145">
        <f>IF(SER_hh_tes_in!X27=0,0,11630*1000*SER_hh_tes_in!X27/SER_hh_num_in!X19)</f>
        <v>242.47543960930454</v>
      </c>
      <c r="Y27" s="145">
        <f>IF(SER_hh_tes_in!Y27=0,0,11630*1000*SER_hh_tes_in!Y27/SER_hh_num_in!Y19)</f>
        <v>213.6015770293283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0</v>
      </c>
      <c r="D28" s="146">
        <f>IF(SER_hh_tes_in!D27=0,0,11630*1000*SER_hh_tes_in!D27/SER_hh_num_in!D27)</f>
        <v>0</v>
      </c>
      <c r="E28" s="146">
        <f>IF(SER_hh_tes_in!E27=0,0,11630*1000*SER_hh_tes_in!E27/SER_hh_num_in!E27)</f>
        <v>0</v>
      </c>
      <c r="F28" s="146">
        <f>IF(SER_hh_tes_in!F27=0,0,11630*1000*SER_hh_tes_in!F27/SER_hh_num_in!F27)</f>
        <v>0</v>
      </c>
      <c r="G28" s="146">
        <f>IF(SER_hh_tes_in!G27=0,0,11630*1000*SER_hh_tes_in!G27/SER_hh_num_in!G27)</f>
        <v>0</v>
      </c>
      <c r="H28" s="146">
        <f>IF(SER_hh_tes_in!H27=0,0,11630*1000*SER_hh_tes_in!H27/SER_hh_num_in!H27)</f>
        <v>4703.5453625883883</v>
      </c>
      <c r="I28" s="146">
        <f>IF(SER_hh_tes_in!I27=0,0,11630*1000*SER_hh_tes_in!I27/SER_hh_num_in!I27)</f>
        <v>4657.9039897620978</v>
      </c>
      <c r="J28" s="146">
        <f>IF(SER_hh_tes_in!J27=0,0,11630*1000*SER_hh_tes_in!J27/SER_hh_num_in!J27)</f>
        <v>4799.081231308478</v>
      </c>
      <c r="K28" s="146">
        <f>IF(SER_hh_tes_in!K27=0,0,11630*1000*SER_hh_tes_in!K27/SER_hh_num_in!K27)</f>
        <v>5028.5312850992987</v>
      </c>
      <c r="L28" s="146">
        <f>IF(SER_hh_tes_in!L27=0,0,11630*1000*SER_hh_tes_in!L27/SER_hh_num_in!L27)</f>
        <v>5149.5036708265761</v>
      </c>
      <c r="M28" s="146">
        <f>IF(SER_hh_tes_in!M27=0,0,11630*1000*SER_hh_tes_in!M27/SER_hh_num_in!M27)</f>
        <v>5060.7198127012816</v>
      </c>
      <c r="N28" s="146">
        <f>IF(SER_hh_tes_in!N27=0,0,11630*1000*SER_hh_tes_in!N27/SER_hh_num_in!N27)</f>
        <v>0</v>
      </c>
      <c r="O28" s="146">
        <f>IF(SER_hh_tes_in!O27=0,0,11630*1000*SER_hh_tes_in!O27/SER_hh_num_in!O27)</f>
        <v>0</v>
      </c>
      <c r="P28" s="146">
        <f>IF(SER_hh_tes_in!P27=0,0,11630*1000*SER_hh_tes_in!P27/SER_hh_num_in!P27)</f>
        <v>0</v>
      </c>
      <c r="Q28" s="146">
        <f>IF(SER_hh_tes_in!Q27=0,0,11630*1000*SER_hh_tes_in!Q27/SER_hh_num_in!Q27)</f>
        <v>0</v>
      </c>
      <c r="R28" s="146">
        <f>IF(SER_hh_tes_in!R27=0,0,11630*1000*SER_hh_tes_in!R27/SER_hh_num_in!R27)</f>
        <v>5499.5952295309344</v>
      </c>
      <c r="S28" s="146">
        <f>IF(SER_hh_tes_in!S27=0,0,11630*1000*SER_hh_tes_in!S27/SER_hh_num_in!S27)</f>
        <v>5446.7915363518978</v>
      </c>
      <c r="T28" s="146">
        <f>IF(SER_hh_tes_in!T27=0,0,11630*1000*SER_hh_tes_in!T27/SER_hh_num_in!T27)</f>
        <v>5463.6193745495639</v>
      </c>
      <c r="U28" s="146">
        <f>IF(SER_hh_tes_in!U27=0,0,11630*1000*SER_hh_tes_in!U27/SER_hh_num_in!U27)</f>
        <v>5546.2404456711447</v>
      </c>
      <c r="V28" s="146">
        <f>IF(SER_hh_tes_in!V27=0,0,11630*1000*SER_hh_tes_in!V27/SER_hh_num_in!V27)</f>
        <v>5047.2050151092417</v>
      </c>
      <c r="W28" s="146">
        <f>IF(SER_hh_tes_in!W27=0,0,11630*1000*SER_hh_tes_in!W27/SER_hh_num_in!W27)</f>
        <v>5462.2951766254537</v>
      </c>
      <c r="X28" s="146">
        <f>IF(SER_hh_tes_in!X27=0,0,11630*1000*SER_hh_tes_in!X27/SER_hh_num_in!X27)</f>
        <v>5495.4076708277844</v>
      </c>
      <c r="Y28" s="146">
        <f>IF(SER_hh_tes_in!Y27=0,0,11630*1000*SER_hh_tes_in!Y27/SER_hh_num_in!Y27)</f>
        <v>5692.2358856386818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23360.886559662627</v>
      </c>
      <c r="D29" s="130">
        <f>IF(SER_hh_tes_in!D29=0,0,11630*1000*SER_hh_tes_in!D29/SER_hh_num_in!D29)</f>
        <v>23065.565537700404</v>
      </c>
      <c r="E29" s="130">
        <f>IF(SER_hh_tes_in!E29=0,0,11630*1000*SER_hh_tes_in!E29/SER_hh_num_in!E29)</f>
        <v>22891.015318673541</v>
      </c>
      <c r="F29" s="130">
        <f>IF(SER_hh_tes_in!F29=0,0,11630*1000*SER_hh_tes_in!F29/SER_hh_num_in!F29)</f>
        <v>22636.6272059562</v>
      </c>
      <c r="G29" s="130">
        <f>IF(SER_hh_tes_in!G29=0,0,11630*1000*SER_hh_tes_in!G29/SER_hh_num_in!G29)</f>
        <v>23166.346256892342</v>
      </c>
      <c r="H29" s="130">
        <f>IF(SER_hh_tes_in!H29=0,0,11630*1000*SER_hh_tes_in!H29/SER_hh_num_in!H29)</f>
        <v>22861.322235773881</v>
      </c>
      <c r="I29" s="130">
        <f>IF(SER_hh_tes_in!I29=0,0,11630*1000*SER_hh_tes_in!I29/SER_hh_num_in!I29)</f>
        <v>22517.933171825978</v>
      </c>
      <c r="J29" s="130">
        <f>IF(SER_hh_tes_in!J29=0,0,11630*1000*SER_hh_tes_in!J29/SER_hh_num_in!J29)</f>
        <v>22108.068320679078</v>
      </c>
      <c r="K29" s="130">
        <f>IF(SER_hh_tes_in!K29=0,0,11630*1000*SER_hh_tes_in!K29/SER_hh_num_in!K29)</f>
        <v>23014.019261709633</v>
      </c>
      <c r="L29" s="130">
        <f>IF(SER_hh_tes_in!L29=0,0,11630*1000*SER_hh_tes_in!L29/SER_hh_num_in!L29)</f>
        <v>23147.338484695327</v>
      </c>
      <c r="M29" s="130">
        <f>IF(SER_hh_tes_in!M29=0,0,11630*1000*SER_hh_tes_in!M29/SER_hh_num_in!M29)</f>
        <v>24203.924289030601</v>
      </c>
      <c r="N29" s="130">
        <f>IF(SER_hh_tes_in!N29=0,0,11630*1000*SER_hh_tes_in!N29/SER_hh_num_in!N29)</f>
        <v>25409.990805999936</v>
      </c>
      <c r="O29" s="130">
        <f>IF(SER_hh_tes_in!O29=0,0,11630*1000*SER_hh_tes_in!O29/SER_hh_num_in!O29)</f>
        <v>25559.494349264252</v>
      </c>
      <c r="P29" s="130">
        <f>IF(SER_hh_tes_in!P29=0,0,11630*1000*SER_hh_tes_in!P29/SER_hh_num_in!P29)</f>
        <v>26535.693691124212</v>
      </c>
      <c r="Q29" s="130">
        <f>IF(SER_hh_tes_in!Q29=0,0,11630*1000*SER_hh_tes_in!Q29/SER_hh_num_in!Q29)</f>
        <v>26483.488678826499</v>
      </c>
      <c r="R29" s="130">
        <f>IF(SER_hh_tes_in!R29=0,0,11630*1000*SER_hh_tes_in!R29/SER_hh_num_in!R29)</f>
        <v>26827.327678321515</v>
      </c>
      <c r="S29" s="130">
        <f>IF(SER_hh_tes_in!S29=0,0,11630*1000*SER_hh_tes_in!S29/SER_hh_num_in!S29)</f>
        <v>26635.087682441805</v>
      </c>
      <c r="T29" s="130">
        <f>IF(SER_hh_tes_in!T29=0,0,11630*1000*SER_hh_tes_in!T29/SER_hh_num_in!T29)</f>
        <v>26782.909798232915</v>
      </c>
      <c r="U29" s="130">
        <f>IF(SER_hh_tes_in!U29=0,0,11630*1000*SER_hh_tes_in!U29/SER_hh_num_in!U29)</f>
        <v>27174.104923667983</v>
      </c>
      <c r="V29" s="130">
        <f>IF(SER_hh_tes_in!V29=0,0,11630*1000*SER_hh_tes_in!V29/SER_hh_num_in!V29)</f>
        <v>25359.243136066438</v>
      </c>
      <c r="W29" s="130">
        <f>IF(SER_hh_tes_in!W29=0,0,11630*1000*SER_hh_tes_in!W29/SER_hh_num_in!W29)</f>
        <v>28553.70348700582</v>
      </c>
      <c r="X29" s="130">
        <f>IF(SER_hh_tes_in!X29=0,0,11630*1000*SER_hh_tes_in!X29/SER_hh_num_in!X29)</f>
        <v>27822.679450863918</v>
      </c>
      <c r="Y29" s="130">
        <f>IF(SER_hh_tes_in!Y29=0,0,11630*1000*SER_hh_tes_in!Y29/SER_hh_num_in!Y29)</f>
        <v>27644.732973342489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23760.681876924133</v>
      </c>
      <c r="D30" s="132">
        <f>IF(SER_hh_tes_in!D30=0,0,11630*1000*SER_hh_tes_in!D30/SER_hh_num_in!D30)</f>
        <v>22899.982958533437</v>
      </c>
      <c r="E30" s="132">
        <f>IF(SER_hh_tes_in!E30=0,0,11630*1000*SER_hh_tes_in!E30/SER_hh_num_in!E30)</f>
        <v>22380.248969934146</v>
      </c>
      <c r="F30" s="132">
        <f>IF(SER_hh_tes_in!F30=0,0,11630*1000*SER_hh_tes_in!F30/SER_hh_num_in!F30)</f>
        <v>22182.730175136025</v>
      </c>
      <c r="G30" s="132">
        <f>IF(SER_hh_tes_in!G30=0,0,11630*1000*SER_hh_tes_in!G30/SER_hh_num_in!G30)</f>
        <v>23712.307278591841</v>
      </c>
      <c r="H30" s="132">
        <f>IF(SER_hh_tes_in!H30=0,0,11630*1000*SER_hh_tes_in!H30/SER_hh_num_in!H30)</f>
        <v>23030.217171289201</v>
      </c>
      <c r="I30" s="132">
        <f>IF(SER_hh_tes_in!I30=0,0,11630*1000*SER_hh_tes_in!I30/SER_hh_num_in!I30)</f>
        <v>22139.529069273471</v>
      </c>
      <c r="J30" s="132">
        <f>IF(SER_hh_tes_in!J30=0,0,11630*1000*SER_hh_tes_in!J30/SER_hh_num_in!J30)</f>
        <v>25540.263616219101</v>
      </c>
      <c r="K30" s="132">
        <f>IF(SER_hh_tes_in!K30=0,0,11630*1000*SER_hh_tes_in!K30/SER_hh_num_in!K30)</f>
        <v>19346.087570533127</v>
      </c>
      <c r="L30" s="132">
        <f>IF(SER_hh_tes_in!L30=0,0,11630*1000*SER_hh_tes_in!L30/SER_hh_num_in!L30)</f>
        <v>24791.024088582097</v>
      </c>
      <c r="M30" s="132">
        <f>IF(SER_hh_tes_in!M30=0,0,11630*1000*SER_hh_tes_in!M30/SER_hh_num_in!M30)</f>
        <v>24508.995540864365</v>
      </c>
      <c r="N30" s="132">
        <f>IF(SER_hh_tes_in!N30=0,0,11630*1000*SER_hh_tes_in!N30/SER_hh_num_in!N30)</f>
        <v>23910.82599399527</v>
      </c>
      <c r="O30" s="132">
        <f>IF(SER_hh_tes_in!O30=0,0,11630*1000*SER_hh_tes_in!O30/SER_hh_num_in!O30)</f>
        <v>28187.655671656656</v>
      </c>
      <c r="P30" s="132">
        <f>IF(SER_hh_tes_in!P30=0,0,11630*1000*SER_hh_tes_in!P30/SER_hh_num_in!P30)</f>
        <v>24183.401798806943</v>
      </c>
      <c r="Q30" s="132">
        <f>IF(SER_hh_tes_in!Q30=0,0,11630*1000*SER_hh_tes_in!Q30/SER_hh_num_in!Q30)</f>
        <v>27330.570278411487</v>
      </c>
      <c r="R30" s="132">
        <f>IF(SER_hh_tes_in!R30=0,0,11630*1000*SER_hh_tes_in!R30/SER_hh_num_in!R30)</f>
        <v>24848.79363180522</v>
      </c>
      <c r="S30" s="132">
        <f>IF(SER_hh_tes_in!S30=0,0,11630*1000*SER_hh_tes_in!S30/SER_hh_num_in!S30)</f>
        <v>25797.805780157756</v>
      </c>
      <c r="T30" s="132">
        <f>IF(SER_hh_tes_in!T30=0,0,11630*1000*SER_hh_tes_in!T30/SER_hh_num_in!T30)</f>
        <v>28030.204343616238</v>
      </c>
      <c r="U30" s="132">
        <f>IF(SER_hh_tes_in!U30=0,0,11630*1000*SER_hh_tes_in!U30/SER_hh_num_in!U30)</f>
        <v>28343.462868218197</v>
      </c>
      <c r="V30" s="132">
        <f>IF(SER_hh_tes_in!V30=0,0,11630*1000*SER_hh_tes_in!V30/SER_hh_num_in!V30)</f>
        <v>23808.875379870311</v>
      </c>
      <c r="W30" s="132">
        <f>IF(SER_hh_tes_in!W30=0,0,11630*1000*SER_hh_tes_in!W30/SER_hh_num_in!W30)</f>
        <v>27085.002263912647</v>
      </c>
      <c r="X30" s="132">
        <f>IF(SER_hh_tes_in!X30=0,0,11630*1000*SER_hh_tes_in!X30/SER_hh_num_in!X30)</f>
        <v>27587.879280367099</v>
      </c>
      <c r="Y30" s="132">
        <f>IF(SER_hh_tes_in!Y30=0,0,11630*1000*SER_hh_tes_in!Y30/SER_hh_num_in!Y30)</f>
        <v>28348.966951296792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23373.634396145073</v>
      </c>
      <c r="D31" s="132">
        <f>IF(SER_hh_tes_in!D31=0,0,11630*1000*SER_hh_tes_in!D31/SER_hh_num_in!D31)</f>
        <v>22969.701784645738</v>
      </c>
      <c r="E31" s="132">
        <f>IF(SER_hh_tes_in!E31=0,0,11630*1000*SER_hh_tes_in!E31/SER_hh_num_in!E31)</f>
        <v>22678.536098659912</v>
      </c>
      <c r="F31" s="132">
        <f>IF(SER_hh_tes_in!F31=0,0,11630*1000*SER_hh_tes_in!F31/SER_hh_num_in!F31)</f>
        <v>22890.670886486187</v>
      </c>
      <c r="G31" s="132">
        <f>IF(SER_hh_tes_in!G31=0,0,11630*1000*SER_hh_tes_in!G31/SER_hh_num_in!G31)</f>
        <v>22839.597075675167</v>
      </c>
      <c r="H31" s="132">
        <f>IF(SER_hh_tes_in!H31=0,0,11630*1000*SER_hh_tes_in!H31/SER_hh_num_in!H31)</f>
        <v>22958.730747458354</v>
      </c>
      <c r="I31" s="132">
        <f>IF(SER_hh_tes_in!I31=0,0,11630*1000*SER_hh_tes_in!I31/SER_hh_num_in!I31)</f>
        <v>22486.540860697267</v>
      </c>
      <c r="J31" s="132">
        <f>IF(SER_hh_tes_in!J31=0,0,11630*1000*SER_hh_tes_in!J31/SER_hh_num_in!J31)</f>
        <v>22291.486344924822</v>
      </c>
      <c r="K31" s="132">
        <f>IF(SER_hh_tes_in!K31=0,0,11630*1000*SER_hh_tes_in!K31/SER_hh_num_in!K31)</f>
        <v>22841.326667046687</v>
      </c>
      <c r="L31" s="132">
        <f>IF(SER_hh_tes_in!L31=0,0,11630*1000*SER_hh_tes_in!L31/SER_hh_num_in!L31)</f>
        <v>23955.556774272372</v>
      </c>
      <c r="M31" s="132">
        <f>IF(SER_hh_tes_in!M31=0,0,11630*1000*SER_hh_tes_in!M31/SER_hh_num_in!M31)</f>
        <v>23060.531711398951</v>
      </c>
      <c r="N31" s="132">
        <f>IF(SER_hh_tes_in!N31=0,0,11630*1000*SER_hh_tes_in!N31/SER_hh_num_in!N31)</f>
        <v>25001.095261631082</v>
      </c>
      <c r="O31" s="132">
        <f>IF(SER_hh_tes_in!O31=0,0,11630*1000*SER_hh_tes_in!O31/SER_hh_num_in!O31)</f>
        <v>25479.644319152987</v>
      </c>
      <c r="P31" s="132">
        <f>IF(SER_hh_tes_in!P31=0,0,11630*1000*SER_hh_tes_in!P31/SER_hh_num_in!P31)</f>
        <v>25424.268869573487</v>
      </c>
      <c r="Q31" s="132">
        <f>IF(SER_hh_tes_in!Q31=0,0,11630*1000*SER_hh_tes_in!Q31/SER_hh_num_in!Q31)</f>
        <v>27401.27284606102</v>
      </c>
      <c r="R31" s="132">
        <f>IF(SER_hh_tes_in!R31=0,0,11630*1000*SER_hh_tes_in!R31/SER_hh_num_in!R31)</f>
        <v>26692.75619686053</v>
      </c>
      <c r="S31" s="132">
        <f>IF(SER_hh_tes_in!S31=0,0,11630*1000*SER_hh_tes_in!S31/SER_hh_num_in!S31)</f>
        <v>26027.002976621337</v>
      </c>
      <c r="T31" s="132">
        <f>IF(SER_hh_tes_in!T31=0,0,11630*1000*SER_hh_tes_in!T31/SER_hh_num_in!T31)</f>
        <v>26946.569357193817</v>
      </c>
      <c r="U31" s="132">
        <f>IF(SER_hh_tes_in!U31=0,0,11630*1000*SER_hh_tes_in!U31/SER_hh_num_in!U31)</f>
        <v>27930.875374716445</v>
      </c>
      <c r="V31" s="132">
        <f>IF(SER_hh_tes_in!V31=0,0,11630*1000*SER_hh_tes_in!V31/SER_hh_num_in!V31)</f>
        <v>22028.571802992239</v>
      </c>
      <c r="W31" s="132">
        <f>IF(SER_hh_tes_in!W31=0,0,11630*1000*SER_hh_tes_in!W31/SER_hh_num_in!W31)</f>
        <v>30032.766229414148</v>
      </c>
      <c r="X31" s="132">
        <f>IF(SER_hh_tes_in!X31=0,0,11630*1000*SER_hh_tes_in!X31/SER_hh_num_in!X31)</f>
        <v>28721.27247457199</v>
      </c>
      <c r="Y31" s="132">
        <f>IF(SER_hh_tes_in!Y31=0,0,11630*1000*SER_hh_tes_in!Y31/SER_hh_num_in!Y31)</f>
        <v>27388.547901632803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0</v>
      </c>
      <c r="H32" s="132">
        <f>IF(SER_hh_tes_in!H32=0,0,11630*1000*SER_hh_tes_in!H32/SER_hh_num_in!H32)</f>
        <v>0</v>
      </c>
      <c r="I32" s="132">
        <f>IF(SER_hh_tes_in!I32=0,0,11630*1000*SER_hh_tes_in!I32/SER_hh_num_in!I32)</f>
        <v>0</v>
      </c>
      <c r="J32" s="132">
        <f>IF(SER_hh_tes_in!J32=0,0,11630*1000*SER_hh_tes_in!J32/SER_hh_num_in!J32)</f>
        <v>0</v>
      </c>
      <c r="K32" s="132">
        <f>IF(SER_hh_tes_in!K32=0,0,11630*1000*SER_hh_tes_in!K32/SER_hh_num_in!K32)</f>
        <v>0</v>
      </c>
      <c r="L32" s="132">
        <f>IF(SER_hh_tes_in!L32=0,0,11630*1000*SER_hh_tes_in!L32/SER_hh_num_in!L32)</f>
        <v>0</v>
      </c>
      <c r="M32" s="132">
        <f>IF(SER_hh_tes_in!M32=0,0,11630*1000*SER_hh_tes_in!M32/SER_hh_num_in!M32)</f>
        <v>0</v>
      </c>
      <c r="N32" s="132">
        <f>IF(SER_hh_tes_in!N32=0,0,11630*1000*SER_hh_tes_in!N32/SER_hh_num_in!N32)</f>
        <v>0</v>
      </c>
      <c r="O32" s="132">
        <f>IF(SER_hh_tes_in!O32=0,0,11630*1000*SER_hh_tes_in!O32/SER_hh_num_in!O32)</f>
        <v>0</v>
      </c>
      <c r="P32" s="132">
        <f>IF(SER_hh_tes_in!P32=0,0,11630*1000*SER_hh_tes_in!P32/SER_hh_num_in!P32)</f>
        <v>0</v>
      </c>
      <c r="Q32" s="132">
        <f>IF(SER_hh_tes_in!Q32=0,0,11630*1000*SER_hh_tes_in!Q32/SER_hh_num_in!Q32)</f>
        <v>0</v>
      </c>
      <c r="R32" s="132">
        <f>IF(SER_hh_tes_in!R32=0,0,11630*1000*SER_hh_tes_in!R32/SER_hh_num_in!R32)</f>
        <v>0</v>
      </c>
      <c r="S32" s="132">
        <f>IF(SER_hh_tes_in!S32=0,0,11630*1000*SER_hh_tes_in!S32/SER_hh_num_in!S32)</f>
        <v>0</v>
      </c>
      <c r="T32" s="132">
        <f>IF(SER_hh_tes_in!T32=0,0,11630*1000*SER_hh_tes_in!T32/SER_hh_num_in!T32)</f>
        <v>0</v>
      </c>
      <c r="U32" s="132">
        <f>IF(SER_hh_tes_in!U32=0,0,11630*1000*SER_hh_tes_in!U32/SER_hh_num_in!U32)</f>
        <v>0</v>
      </c>
      <c r="V32" s="132">
        <f>IF(SER_hh_tes_in!V32=0,0,11630*1000*SER_hh_tes_in!V32/SER_hh_num_in!V32)</f>
        <v>0</v>
      </c>
      <c r="W32" s="132">
        <f>IF(SER_hh_tes_in!W32=0,0,11630*1000*SER_hh_tes_in!W32/SER_hh_num_in!W32)</f>
        <v>0</v>
      </c>
      <c r="X32" s="132">
        <f>IF(SER_hh_tes_in!X32=0,0,11630*1000*SER_hh_tes_in!X32/SER_hh_num_in!X32)</f>
        <v>0</v>
      </c>
      <c r="Y32" s="132">
        <f>IF(SER_hh_tes_in!Y32=0,0,11630*1000*SER_hh_tes_in!Y32/SER_hh_num_in!Y32)</f>
        <v>0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23016.507287569148</v>
      </c>
      <c r="D33" s="68">
        <f>IF(SER_hh_tes_in!D33=0,0,11630*1000*SER_hh_tes_in!D33/SER_hh_num_in!D33)</f>
        <v>23242.563295175667</v>
      </c>
      <c r="E33" s="68">
        <f>IF(SER_hh_tes_in!E33=0,0,11630*1000*SER_hh_tes_in!E33/SER_hh_num_in!E33)</f>
        <v>23700.834615544991</v>
      </c>
      <c r="F33" s="68">
        <f>IF(SER_hh_tes_in!F33=0,0,11630*1000*SER_hh_tes_in!F33/SER_hh_num_in!F33)</f>
        <v>23397.180845641786</v>
      </c>
      <c r="G33" s="68">
        <f>IF(SER_hh_tes_in!G33=0,0,11630*1000*SER_hh_tes_in!G33/SER_hh_num_in!G33)</f>
        <v>22147.610546128944</v>
      </c>
      <c r="H33" s="68">
        <f>IF(SER_hh_tes_in!H33=0,0,11630*1000*SER_hh_tes_in!H33/SER_hh_num_in!H33)</f>
        <v>22583.145551273396</v>
      </c>
      <c r="I33" s="68">
        <f>IF(SER_hh_tes_in!I33=0,0,11630*1000*SER_hh_tes_in!I33/SER_hh_num_in!I33)</f>
        <v>23047.68532019691</v>
      </c>
      <c r="J33" s="68">
        <f>IF(SER_hh_tes_in!J33=0,0,11630*1000*SER_hh_tes_in!J33/SER_hh_num_in!J33)</f>
        <v>20511.41227547052</v>
      </c>
      <c r="K33" s="68">
        <f>IF(SER_hh_tes_in!K33=0,0,11630*1000*SER_hh_tes_in!K33/SER_hh_num_in!K33)</f>
        <v>24655.818307281035</v>
      </c>
      <c r="L33" s="68">
        <f>IF(SER_hh_tes_in!L33=0,0,11630*1000*SER_hh_tes_in!L33/SER_hh_num_in!L33)</f>
        <v>20497.64906094515</v>
      </c>
      <c r="M33" s="68">
        <f>IF(SER_hh_tes_in!M33=0,0,11630*1000*SER_hh_tes_in!M33/SER_hh_num_in!M33)</f>
        <v>24013.396837767152</v>
      </c>
      <c r="N33" s="68">
        <f>IF(SER_hh_tes_in!N33=0,0,11630*1000*SER_hh_tes_in!N33/SER_hh_num_in!N33)</f>
        <v>26204.014967197327</v>
      </c>
      <c r="O33" s="68">
        <f>IF(SER_hh_tes_in!O33=0,0,11630*1000*SER_hh_tes_in!O33/SER_hh_num_in!O33)</f>
        <v>23248.530851944528</v>
      </c>
      <c r="P33" s="68">
        <f>IF(SER_hh_tes_in!P33=0,0,11630*1000*SER_hh_tes_in!P33/SER_hh_num_in!P33)</f>
        <v>27187.9710908614</v>
      </c>
      <c r="Q33" s="68">
        <f>IF(SER_hh_tes_in!Q33=0,0,11630*1000*SER_hh_tes_in!Q33/SER_hh_num_in!Q33)</f>
        <v>25725.441785266317</v>
      </c>
      <c r="R33" s="68">
        <f>IF(SER_hh_tes_in!R33=0,0,11630*1000*SER_hh_tes_in!R33/SER_hh_num_in!R33)</f>
        <v>27482.50046699584</v>
      </c>
      <c r="S33" s="68">
        <f>IF(SER_hh_tes_in!S33=0,0,11630*1000*SER_hh_tes_in!S33/SER_hh_num_in!S33)</f>
        <v>27438.495856478348</v>
      </c>
      <c r="T33" s="68">
        <f>IF(SER_hh_tes_in!T33=0,0,11630*1000*SER_hh_tes_in!T33/SER_hh_num_in!T33)</f>
        <v>25891.30150486164</v>
      </c>
      <c r="U33" s="68">
        <f>IF(SER_hh_tes_in!U33=0,0,11630*1000*SER_hh_tes_in!U33/SER_hh_num_in!U33)</f>
        <v>26432.217180645937</v>
      </c>
      <c r="V33" s="68">
        <f>IF(SER_hh_tes_in!V33=0,0,11630*1000*SER_hh_tes_in!V33/SER_hh_num_in!V33)</f>
        <v>26291.264831601748</v>
      </c>
      <c r="W33" s="68">
        <f>IF(SER_hh_tes_in!W33=0,0,11630*1000*SER_hh_tes_in!W33/SER_hh_num_in!W33)</f>
        <v>28773.075906067072</v>
      </c>
      <c r="X33" s="68">
        <f>IF(SER_hh_tes_in!X33=0,0,11630*1000*SER_hh_tes_in!X33/SER_hh_num_in!X33)</f>
        <v>27778.178098958895</v>
      </c>
      <c r="Y33" s="68">
        <f>IF(SER_hh_tes_in!Y33=0,0,11630*1000*SER_hh_tes_in!Y33/SER_hh_num_in!Y33)</f>
        <v>26854.303123973597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27858.948630383329</v>
      </c>
      <c r="D3" s="125">
        <f>IF(SER_hh_emi_in!D3=0,0,1000000*SER_hh_emi_in!D3/SER_hh_num_in!D3)</f>
        <v>15271.009279067383</v>
      </c>
      <c r="E3" s="125">
        <f>IF(SER_hh_emi_in!E3=0,0,1000000*SER_hh_emi_in!E3/SER_hh_num_in!E3)</f>
        <v>27478.991652032932</v>
      </c>
      <c r="F3" s="125">
        <f>IF(SER_hh_emi_in!F3=0,0,1000000*SER_hh_emi_in!F3/SER_hh_num_in!F3)</f>
        <v>24009.197062432078</v>
      </c>
      <c r="G3" s="125">
        <f>IF(SER_hh_emi_in!G3=0,0,1000000*SER_hh_emi_in!G3/SER_hh_num_in!G3)</f>
        <v>19535.071379472582</v>
      </c>
      <c r="H3" s="125">
        <f>IF(SER_hh_emi_in!H3=0,0,1000000*SER_hh_emi_in!H3/SER_hh_num_in!H3)</f>
        <v>20934.563028634511</v>
      </c>
      <c r="I3" s="125">
        <f>IF(SER_hh_emi_in!I3=0,0,1000000*SER_hh_emi_in!I3/SER_hh_num_in!I3)</f>
        <v>19192.715810048281</v>
      </c>
      <c r="J3" s="125">
        <f>IF(SER_hh_emi_in!J3=0,0,1000000*SER_hh_emi_in!J3/SER_hh_num_in!J3)</f>
        <v>27342.427816346713</v>
      </c>
      <c r="K3" s="125">
        <f>IF(SER_hh_emi_in!K3=0,0,1000000*SER_hh_emi_in!K3/SER_hh_num_in!K3)</f>
        <v>39854.974591110702</v>
      </c>
      <c r="L3" s="125">
        <f>IF(SER_hh_emi_in!L3=0,0,1000000*SER_hh_emi_in!L3/SER_hh_num_in!L3)</f>
        <v>43586.389806178173</v>
      </c>
      <c r="M3" s="125">
        <f>IF(SER_hh_emi_in!M3=0,0,1000000*SER_hh_emi_in!M3/SER_hh_num_in!M3)</f>
        <v>29848.881225176588</v>
      </c>
      <c r="N3" s="125">
        <f>IF(SER_hh_emi_in!N3=0,0,1000000*SER_hh_emi_in!N3/SER_hh_num_in!N3)</f>
        <v>36643.308961550836</v>
      </c>
      <c r="O3" s="125">
        <f>IF(SER_hh_emi_in!O3=0,0,1000000*SER_hh_emi_in!O3/SER_hh_num_in!O3)</f>
        <v>35368.013550875352</v>
      </c>
      <c r="P3" s="125">
        <f>IF(SER_hh_emi_in!P3=0,0,1000000*SER_hh_emi_in!P3/SER_hh_num_in!P3)</f>
        <v>18593.158060786922</v>
      </c>
      <c r="Q3" s="125">
        <f>IF(SER_hh_emi_in!Q3=0,0,1000000*SER_hh_emi_in!Q3/SER_hh_num_in!Q3)</f>
        <v>15285.185893866857</v>
      </c>
      <c r="R3" s="125">
        <f>IF(SER_hh_emi_in!R3=0,0,1000000*SER_hh_emi_in!R3/SER_hh_num_in!R3)</f>
        <v>10324.160101934582</v>
      </c>
      <c r="S3" s="125">
        <f>IF(SER_hh_emi_in!S3=0,0,1000000*SER_hh_emi_in!S3/SER_hh_num_in!S3)</f>
        <v>12083.790379793321</v>
      </c>
      <c r="T3" s="125">
        <f>IF(SER_hh_emi_in!T3=0,0,1000000*SER_hh_emi_in!T3/SER_hh_num_in!T3)</f>
        <v>11813.710203294469</v>
      </c>
      <c r="U3" s="125">
        <f>IF(SER_hh_emi_in!U3=0,0,1000000*SER_hh_emi_in!U3/SER_hh_num_in!U3)</f>
        <v>15015.217226120229</v>
      </c>
      <c r="V3" s="125">
        <f>IF(SER_hh_emi_in!V3=0,0,1000000*SER_hh_emi_in!V3/SER_hh_num_in!V3)</f>
        <v>10334.312003700594</v>
      </c>
      <c r="W3" s="125">
        <f>IF(SER_hh_emi_in!W3=0,0,1000000*SER_hh_emi_in!W3/SER_hh_num_in!W3)</f>
        <v>14446.75206725363</v>
      </c>
      <c r="X3" s="125">
        <f>IF(SER_hh_emi_in!X3=0,0,1000000*SER_hh_emi_in!X3/SER_hh_num_in!X3)</f>
        <v>13339.950936695879</v>
      </c>
      <c r="Y3" s="125">
        <f>IF(SER_hh_emi_in!Y3=0,0,1000000*SER_hh_emi_in!Y3/SER_hh_num_in!Y3)</f>
        <v>12674.865176018126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19570.55869888212</v>
      </c>
      <c r="D4" s="130">
        <f>IF(SER_hh_emi_in!D4=0,0,1000000*SER_hh_emi_in!D4/SER_hh_num_in!D4)</f>
        <v>7443.9260916493595</v>
      </c>
      <c r="E4" s="130">
        <f>IF(SER_hh_emi_in!E4=0,0,1000000*SER_hh_emi_in!E4/SER_hh_num_in!E4)</f>
        <v>19095.631203768309</v>
      </c>
      <c r="F4" s="130">
        <f>IF(SER_hh_emi_in!F4=0,0,1000000*SER_hh_emi_in!F4/SER_hh_num_in!F4)</f>
        <v>15127.692460781553</v>
      </c>
      <c r="G4" s="130">
        <f>IF(SER_hh_emi_in!G4=0,0,1000000*SER_hh_emi_in!G4/SER_hh_num_in!G4)</f>
        <v>10834.631711640268</v>
      </c>
      <c r="H4" s="130">
        <f>IF(SER_hh_emi_in!H4=0,0,1000000*SER_hh_emi_in!H4/SER_hh_num_in!H4)</f>
        <v>12944.431755473963</v>
      </c>
      <c r="I4" s="130">
        <f>IF(SER_hh_emi_in!I4=0,0,1000000*SER_hh_emi_in!I4/SER_hh_num_in!I4)</f>
        <v>11875.382232293287</v>
      </c>
      <c r="J4" s="130">
        <f>IF(SER_hh_emi_in!J4=0,0,1000000*SER_hh_emi_in!J4/SER_hh_num_in!J4)</f>
        <v>20660.629888484218</v>
      </c>
      <c r="K4" s="130">
        <f>IF(SER_hh_emi_in!K4=0,0,1000000*SER_hh_emi_in!K4/SER_hh_num_in!K4)</f>
        <v>31346.972326108909</v>
      </c>
      <c r="L4" s="130">
        <f>IF(SER_hh_emi_in!L4=0,0,1000000*SER_hh_emi_in!L4/SER_hh_num_in!L4)</f>
        <v>33570.418453503124</v>
      </c>
      <c r="M4" s="130">
        <f>IF(SER_hh_emi_in!M4=0,0,1000000*SER_hh_emi_in!M4/SER_hh_num_in!M4)</f>
        <v>22211.907084515358</v>
      </c>
      <c r="N4" s="130">
        <f>IF(SER_hh_emi_in!N4=0,0,1000000*SER_hh_emi_in!N4/SER_hh_num_in!N4)</f>
        <v>29348.367897056934</v>
      </c>
      <c r="O4" s="130">
        <f>IF(SER_hh_emi_in!O4=0,0,1000000*SER_hh_emi_in!O4/SER_hh_num_in!O4)</f>
        <v>26625.30911245797</v>
      </c>
      <c r="P4" s="130">
        <f>IF(SER_hh_emi_in!P4=0,0,1000000*SER_hh_emi_in!P4/SER_hh_num_in!P4)</f>
        <v>13984.620927441436</v>
      </c>
      <c r="Q4" s="130">
        <f>IF(SER_hh_emi_in!Q4=0,0,1000000*SER_hh_emi_in!Q4/SER_hh_num_in!Q4)</f>
        <v>8417.4337110676297</v>
      </c>
      <c r="R4" s="130">
        <f>IF(SER_hh_emi_in!R4=0,0,1000000*SER_hh_emi_in!R4/SER_hh_num_in!R4)</f>
        <v>5755.7372345036401</v>
      </c>
      <c r="S4" s="130">
        <f>IF(SER_hh_emi_in!S4=0,0,1000000*SER_hh_emi_in!S4/SER_hh_num_in!S4)</f>
        <v>5460.2455389918332</v>
      </c>
      <c r="T4" s="130">
        <f>IF(SER_hh_emi_in!T4=0,0,1000000*SER_hh_emi_in!T4/SER_hh_num_in!T4)</f>
        <v>6099.9865619224111</v>
      </c>
      <c r="U4" s="130">
        <f>IF(SER_hh_emi_in!U4=0,0,1000000*SER_hh_emi_in!U4/SER_hh_num_in!U4)</f>
        <v>9605.7206908856733</v>
      </c>
      <c r="V4" s="130">
        <f>IF(SER_hh_emi_in!V4=0,0,1000000*SER_hh_emi_in!V4/SER_hh_num_in!V4)</f>
        <v>7014.6274148675166</v>
      </c>
      <c r="W4" s="130">
        <f>IF(SER_hh_emi_in!W4=0,0,1000000*SER_hh_emi_in!W4/SER_hh_num_in!W4)</f>
        <v>6748.5850664914788</v>
      </c>
      <c r="X4" s="130">
        <f>IF(SER_hh_emi_in!X4=0,0,1000000*SER_hh_emi_in!X4/SER_hh_num_in!X4)</f>
        <v>4736.2948348867985</v>
      </c>
      <c r="Y4" s="130">
        <f>IF(SER_hh_emi_in!Y4=0,0,1000000*SER_hh_emi_in!Y4/SER_hh_num_in!Y4)</f>
        <v>3721.1106112989628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40657.071977561362</v>
      </c>
      <c r="D5" s="132">
        <f>IF(SER_hh_emi_in!D5=0,0,1000000*SER_hh_emi_in!D5/SER_hh_num_in!D5)</f>
        <v>20392.208934057217</v>
      </c>
      <c r="E5" s="132">
        <f>IF(SER_hh_emi_in!E5=0,0,1000000*SER_hh_emi_in!E5/SER_hh_num_in!E5)</f>
        <v>97325.891312843101</v>
      </c>
      <c r="F5" s="132">
        <f>IF(SER_hh_emi_in!F5=0,0,1000000*SER_hh_emi_in!F5/SER_hh_num_in!F5)</f>
        <v>81280.011287090078</v>
      </c>
      <c r="G5" s="132">
        <f>IF(SER_hh_emi_in!G5=0,0,1000000*SER_hh_emi_in!G5/SER_hh_num_in!G5)</f>
        <v>78547.229313053525</v>
      </c>
      <c r="H5" s="132">
        <f>IF(SER_hh_emi_in!H5=0,0,1000000*SER_hh_emi_in!H5/SER_hh_num_in!H5)</f>
        <v>77375.538928830414</v>
      </c>
      <c r="I5" s="132">
        <f>IF(SER_hh_emi_in!I5=0,0,1000000*SER_hh_emi_in!I5/SER_hh_num_in!I5)</f>
        <v>0</v>
      </c>
      <c r="J5" s="132">
        <f>IF(SER_hh_emi_in!J5=0,0,1000000*SER_hh_emi_in!J5/SER_hh_num_in!J5)</f>
        <v>0</v>
      </c>
      <c r="K5" s="132">
        <f>IF(SER_hh_emi_in!K5=0,0,1000000*SER_hh_emi_in!K5/SER_hh_num_in!K5)</f>
        <v>0</v>
      </c>
      <c r="L5" s="132">
        <f>IF(SER_hh_emi_in!L5=0,0,1000000*SER_hh_emi_in!L5/SER_hh_num_in!L5)</f>
        <v>0</v>
      </c>
      <c r="M5" s="132">
        <f>IF(SER_hh_emi_in!M5=0,0,1000000*SER_hh_emi_in!M5/SER_hh_num_in!M5)</f>
        <v>0</v>
      </c>
      <c r="N5" s="132">
        <f>IF(SER_hh_emi_in!N5=0,0,1000000*SER_hh_emi_in!N5/SER_hh_num_in!N5)</f>
        <v>0</v>
      </c>
      <c r="O5" s="132">
        <f>IF(SER_hh_emi_in!O5=0,0,1000000*SER_hh_emi_in!O5/SER_hh_num_in!O5)</f>
        <v>0</v>
      </c>
      <c r="P5" s="132">
        <f>IF(SER_hh_emi_in!P5=0,0,1000000*SER_hh_emi_in!P5/SER_hh_num_in!P5)</f>
        <v>0</v>
      </c>
      <c r="Q5" s="132">
        <f>IF(SER_hh_emi_in!Q5=0,0,1000000*SER_hh_emi_in!Q5/SER_hh_num_in!Q5)</f>
        <v>34103.037142797606</v>
      </c>
      <c r="R5" s="132">
        <f>IF(SER_hh_emi_in!R5=0,0,1000000*SER_hh_emi_in!R5/SER_hh_num_in!R5)</f>
        <v>57599.009114147084</v>
      </c>
      <c r="S5" s="132">
        <f>IF(SER_hh_emi_in!S5=0,0,1000000*SER_hh_emi_in!S5/SER_hh_num_in!S5)</f>
        <v>44991.940541852156</v>
      </c>
      <c r="T5" s="132">
        <f>IF(SER_hh_emi_in!T5=0,0,1000000*SER_hh_emi_in!T5/SER_hh_num_in!T5)</f>
        <v>47314.868498453419</v>
      </c>
      <c r="U5" s="132">
        <f>IF(SER_hh_emi_in!U5=0,0,1000000*SER_hh_emi_in!U5/SER_hh_num_in!U5)</f>
        <v>46262.503584695995</v>
      </c>
      <c r="V5" s="132">
        <f>IF(SER_hh_emi_in!V5=0,0,1000000*SER_hh_emi_in!V5/SER_hh_num_in!V5)</f>
        <v>0</v>
      </c>
      <c r="W5" s="132">
        <f>IF(SER_hh_emi_in!W5=0,0,1000000*SER_hh_emi_in!W5/SER_hh_num_in!W5)</f>
        <v>0</v>
      </c>
      <c r="X5" s="132">
        <f>IF(SER_hh_emi_in!X5=0,0,1000000*SER_hh_emi_in!X5/SER_hh_num_in!X5)</f>
        <v>18663.78966941726</v>
      </c>
      <c r="Y5" s="132">
        <f>IF(SER_hh_emi_in!Y5=0,0,1000000*SER_hh_emi_in!Y5/SER_hh_num_in!Y5)</f>
        <v>18142.872940922785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55865.696757589918</v>
      </c>
      <c r="D7" s="132">
        <f>IF(SER_hh_emi_in!D7=0,0,1000000*SER_hh_emi_in!D7/SER_hh_num_in!D7)</f>
        <v>0</v>
      </c>
      <c r="E7" s="132">
        <f>IF(SER_hh_emi_in!E7=0,0,1000000*SER_hh_emi_in!E7/SER_hh_num_in!E7)</f>
        <v>0</v>
      </c>
      <c r="F7" s="132">
        <f>IF(SER_hh_emi_in!F7=0,0,1000000*SER_hh_emi_in!F7/SER_hh_num_in!F7)</f>
        <v>0</v>
      </c>
      <c r="G7" s="132">
        <f>IF(SER_hh_emi_in!G7=0,0,1000000*SER_hh_emi_in!G7/SER_hh_num_in!G7)</f>
        <v>0</v>
      </c>
      <c r="H7" s="132">
        <f>IF(SER_hh_emi_in!H7=0,0,1000000*SER_hh_emi_in!H7/SER_hh_num_in!H7)</f>
        <v>0</v>
      </c>
      <c r="I7" s="132">
        <f>IF(SER_hh_emi_in!I7=0,0,1000000*SER_hh_emi_in!I7/SER_hh_num_in!I7)</f>
        <v>55821.225359795746</v>
      </c>
      <c r="J7" s="132">
        <f>IF(SER_hh_emi_in!J7=0,0,1000000*SER_hh_emi_in!J7/SER_hh_num_in!J7)</f>
        <v>60357.610642562955</v>
      </c>
      <c r="K7" s="132">
        <f>IF(SER_hh_emi_in!K7=0,0,1000000*SER_hh_emi_in!K7/SER_hh_num_in!K7)</f>
        <v>50006.42695372711</v>
      </c>
      <c r="L7" s="132">
        <f>IF(SER_hh_emi_in!L7=0,0,1000000*SER_hh_emi_in!L7/SER_hh_num_in!L7)</f>
        <v>50985.668555373915</v>
      </c>
      <c r="M7" s="132">
        <f>IF(SER_hh_emi_in!M7=0,0,1000000*SER_hh_emi_in!M7/SER_hh_num_in!M7)</f>
        <v>44370.44614727539</v>
      </c>
      <c r="N7" s="132">
        <f>IF(SER_hh_emi_in!N7=0,0,1000000*SER_hh_emi_in!N7/SER_hh_num_in!N7)</f>
        <v>40219.197710409542</v>
      </c>
      <c r="O7" s="132">
        <f>IF(SER_hh_emi_in!O7=0,0,1000000*SER_hh_emi_in!O7/SER_hh_num_in!O7)</f>
        <v>45912.886801634435</v>
      </c>
      <c r="P7" s="132">
        <f>IF(SER_hh_emi_in!P7=0,0,1000000*SER_hh_emi_in!P7/SER_hh_num_in!P7)</f>
        <v>38065.061134127427</v>
      </c>
      <c r="Q7" s="132">
        <f>IF(SER_hh_emi_in!Q7=0,0,1000000*SER_hh_emi_in!Q7/SER_hh_num_in!Q7)</f>
        <v>37769.149405803742</v>
      </c>
      <c r="R7" s="132">
        <f>IF(SER_hh_emi_in!R7=0,0,1000000*SER_hh_emi_in!R7/SER_hh_num_in!R7)</f>
        <v>34260.67693553491</v>
      </c>
      <c r="S7" s="132">
        <f>IF(SER_hh_emi_in!S7=0,0,1000000*SER_hh_emi_in!S7/SER_hh_num_in!S7)</f>
        <v>30328.640245328286</v>
      </c>
      <c r="T7" s="132">
        <f>IF(SER_hh_emi_in!T7=0,0,1000000*SER_hh_emi_in!T7/SER_hh_num_in!T7)</f>
        <v>0</v>
      </c>
      <c r="U7" s="132">
        <f>IF(SER_hh_emi_in!U7=0,0,1000000*SER_hh_emi_in!U7/SER_hh_num_in!U7)</f>
        <v>0</v>
      </c>
      <c r="V7" s="132">
        <f>IF(SER_hh_emi_in!V7=0,0,1000000*SER_hh_emi_in!V7/SER_hh_num_in!V7)</f>
        <v>22917.729628842819</v>
      </c>
      <c r="W7" s="132">
        <f>IF(SER_hh_emi_in!W7=0,0,1000000*SER_hh_emi_in!W7/SER_hh_num_in!W7)</f>
        <v>17793.5231009731</v>
      </c>
      <c r="X7" s="132">
        <f>IF(SER_hh_emi_in!X7=0,0,1000000*SER_hh_emi_in!X7/SER_hh_num_in!X7)</f>
        <v>12739.469092343646</v>
      </c>
      <c r="Y7" s="132">
        <f>IF(SER_hh_emi_in!Y7=0,0,1000000*SER_hh_emi_in!Y7/SER_hh_num_in!Y7)</f>
        <v>12744.578968875619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0</v>
      </c>
      <c r="D8" s="132">
        <f>IF(SER_hh_emi_in!D8=0,0,1000000*SER_hh_emi_in!D8/SER_hh_num_in!D8)</f>
        <v>0</v>
      </c>
      <c r="E8" s="132">
        <f>IF(SER_hh_emi_in!E8=0,0,1000000*SER_hh_emi_in!E8/SER_hh_num_in!E8)</f>
        <v>0</v>
      </c>
      <c r="F8" s="132">
        <f>IF(SER_hh_emi_in!F8=0,0,1000000*SER_hh_emi_in!F8/SER_hh_num_in!F8)</f>
        <v>0</v>
      </c>
      <c r="G8" s="132">
        <f>IF(SER_hh_emi_in!G8=0,0,1000000*SER_hh_emi_in!G8/SER_hh_num_in!G8)</f>
        <v>0</v>
      </c>
      <c r="H8" s="132">
        <f>IF(SER_hh_emi_in!H8=0,0,1000000*SER_hh_emi_in!H8/SER_hh_num_in!H8)</f>
        <v>0</v>
      </c>
      <c r="I8" s="132">
        <f>IF(SER_hh_emi_in!I8=0,0,1000000*SER_hh_emi_in!I8/SER_hh_num_in!I8)</f>
        <v>0</v>
      </c>
      <c r="J8" s="132">
        <f>IF(SER_hh_emi_in!J8=0,0,1000000*SER_hh_emi_in!J8/SER_hh_num_in!J8)</f>
        <v>0</v>
      </c>
      <c r="K8" s="132">
        <f>IF(SER_hh_emi_in!K8=0,0,1000000*SER_hh_emi_in!K8/SER_hh_num_in!K8)</f>
        <v>0</v>
      </c>
      <c r="L8" s="132">
        <f>IF(SER_hh_emi_in!L8=0,0,1000000*SER_hh_emi_in!L8/SER_hh_num_in!L8)</f>
        <v>0</v>
      </c>
      <c r="M8" s="132">
        <f>IF(SER_hh_emi_in!M8=0,0,1000000*SER_hh_emi_in!M8/SER_hh_num_in!M8)</f>
        <v>0</v>
      </c>
      <c r="N8" s="132">
        <f>IF(SER_hh_emi_in!N8=0,0,1000000*SER_hh_emi_in!N8/SER_hh_num_in!N8)</f>
        <v>0</v>
      </c>
      <c r="O8" s="132">
        <f>IF(SER_hh_emi_in!O8=0,0,1000000*SER_hh_emi_in!O8/SER_hh_num_in!O8)</f>
        <v>0</v>
      </c>
      <c r="P8" s="132">
        <f>IF(SER_hh_emi_in!P8=0,0,1000000*SER_hh_emi_in!P8/SER_hh_num_in!P8)</f>
        <v>0</v>
      </c>
      <c r="Q8" s="132">
        <f>IF(SER_hh_emi_in!Q8=0,0,1000000*SER_hh_emi_in!Q8/SER_hh_num_in!Q8)</f>
        <v>0</v>
      </c>
      <c r="R8" s="132">
        <f>IF(SER_hh_emi_in!R8=0,0,1000000*SER_hh_emi_in!R8/SER_hh_num_in!R8)</f>
        <v>0</v>
      </c>
      <c r="S8" s="132">
        <f>IF(SER_hh_emi_in!S8=0,0,1000000*SER_hh_emi_in!S8/SER_hh_num_in!S8)</f>
        <v>0</v>
      </c>
      <c r="T8" s="132">
        <f>IF(SER_hh_emi_in!T8=0,0,1000000*SER_hh_emi_in!T8/SER_hh_num_in!T8)</f>
        <v>0</v>
      </c>
      <c r="U8" s="132">
        <f>IF(SER_hh_emi_in!U8=0,0,1000000*SER_hh_emi_in!U8/SER_hh_num_in!U8)</f>
        <v>0</v>
      </c>
      <c r="V8" s="132">
        <f>IF(SER_hh_emi_in!V8=0,0,1000000*SER_hh_emi_in!V8/SER_hh_num_in!V8)</f>
        <v>0</v>
      </c>
      <c r="W8" s="132">
        <f>IF(SER_hh_emi_in!W8=0,0,1000000*SER_hh_emi_in!W8/SER_hh_num_in!W8)</f>
        <v>0</v>
      </c>
      <c r="X8" s="132">
        <f>IF(SER_hh_emi_in!X8=0,0,1000000*SER_hh_emi_in!X8/SER_hh_num_in!X8)</f>
        <v>0</v>
      </c>
      <c r="Y8" s="132">
        <f>IF(SER_hh_emi_in!Y8=0,0,1000000*SER_hh_emi_in!Y8/SER_hh_num_in!Y8)</f>
        <v>0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40297.773936110025</v>
      </c>
      <c r="D9" s="132">
        <f>IF(SER_hh_emi_in!D9=0,0,1000000*SER_hh_emi_in!D9/SER_hh_num_in!D9)</f>
        <v>38629.586105732655</v>
      </c>
      <c r="E9" s="132">
        <f>IF(SER_hh_emi_in!E9=0,0,1000000*SER_hh_emi_in!E9/SER_hh_num_in!E9)</f>
        <v>39926.776191066689</v>
      </c>
      <c r="F9" s="132">
        <f>IF(SER_hh_emi_in!F9=0,0,1000000*SER_hh_emi_in!F9/SER_hh_num_in!F9)</f>
        <v>39320.316297698388</v>
      </c>
      <c r="G9" s="132">
        <f>IF(SER_hh_emi_in!G9=0,0,1000000*SER_hh_emi_in!G9/SER_hh_num_in!G9)</f>
        <v>38839.68283098442</v>
      </c>
      <c r="H9" s="132">
        <f>IF(SER_hh_emi_in!H9=0,0,1000000*SER_hh_emi_in!H9/SER_hh_num_in!H9)</f>
        <v>41831.958705843346</v>
      </c>
      <c r="I9" s="132">
        <f>IF(SER_hh_emi_in!I9=0,0,1000000*SER_hh_emi_in!I9/SER_hh_num_in!I9)</f>
        <v>41353.759405737554</v>
      </c>
      <c r="J9" s="132">
        <f>IF(SER_hh_emi_in!J9=0,0,1000000*SER_hh_emi_in!J9/SER_hh_num_in!J9)</f>
        <v>41219.068351917907</v>
      </c>
      <c r="K9" s="132">
        <f>IF(SER_hh_emi_in!K9=0,0,1000000*SER_hh_emi_in!K9/SER_hh_num_in!K9)</f>
        <v>35829.238552960596</v>
      </c>
      <c r="L9" s="132">
        <f>IF(SER_hh_emi_in!L9=0,0,1000000*SER_hh_emi_in!L9/SER_hh_num_in!L9)</f>
        <v>37287.071580523458</v>
      </c>
      <c r="M9" s="132">
        <f>IF(SER_hh_emi_in!M9=0,0,1000000*SER_hh_emi_in!M9/SER_hh_num_in!M9)</f>
        <v>31821.904033238618</v>
      </c>
      <c r="N9" s="132">
        <f>IF(SER_hh_emi_in!N9=0,0,1000000*SER_hh_emi_in!N9/SER_hh_num_in!N9)</f>
        <v>33185.617757016385</v>
      </c>
      <c r="O9" s="132">
        <f>IF(SER_hh_emi_in!O9=0,0,1000000*SER_hh_emi_in!O9/SER_hh_num_in!O9)</f>
        <v>29391.174991757853</v>
      </c>
      <c r="P9" s="132">
        <f>IF(SER_hh_emi_in!P9=0,0,1000000*SER_hh_emi_in!P9/SER_hh_num_in!P9)</f>
        <v>24609.662744269404</v>
      </c>
      <c r="Q9" s="132">
        <f>IF(SER_hh_emi_in!Q9=0,0,1000000*SER_hh_emi_in!Q9/SER_hh_num_in!Q9)</f>
        <v>25856.986939763188</v>
      </c>
      <c r="R9" s="132">
        <f>IF(SER_hh_emi_in!R9=0,0,1000000*SER_hh_emi_in!R9/SER_hh_num_in!R9)</f>
        <v>23013.779998350987</v>
      </c>
      <c r="S9" s="132">
        <f>IF(SER_hh_emi_in!S9=0,0,1000000*SER_hh_emi_in!S9/SER_hh_num_in!S9)</f>
        <v>20578.206346298826</v>
      </c>
      <c r="T9" s="132">
        <f>IF(SER_hh_emi_in!T9=0,0,1000000*SER_hh_emi_in!T9/SER_hh_num_in!T9)</f>
        <v>21150.607243276601</v>
      </c>
      <c r="U9" s="132">
        <f>IF(SER_hh_emi_in!U9=0,0,1000000*SER_hh_emi_in!U9/SER_hh_num_in!U9)</f>
        <v>19375.380438763816</v>
      </c>
      <c r="V9" s="132">
        <f>IF(SER_hh_emi_in!V9=0,0,1000000*SER_hh_emi_in!V9/SER_hh_num_in!V9)</f>
        <v>15336.311949691495</v>
      </c>
      <c r="W9" s="132">
        <f>IF(SER_hh_emi_in!W9=0,0,1000000*SER_hh_emi_in!W9/SER_hh_num_in!W9)</f>
        <v>12316.353701322871</v>
      </c>
      <c r="X9" s="132">
        <f>IF(SER_hh_emi_in!X9=0,0,1000000*SER_hh_emi_in!X9/SER_hh_num_in!X9)</f>
        <v>8699.4386777419932</v>
      </c>
      <c r="Y9" s="132">
        <f>IF(SER_hh_emi_in!Y9=0,0,1000000*SER_hh_emi_in!Y9/SER_hh_num_in!Y9)</f>
        <v>8502.8550097153893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0</v>
      </c>
      <c r="D10" s="132">
        <f>IF(SER_hh_emi_in!D10=0,0,1000000*SER_hh_emi_in!D10/SER_hh_num_in!D10)</f>
        <v>0</v>
      </c>
      <c r="E10" s="132">
        <f>IF(SER_hh_emi_in!E10=0,0,1000000*SER_hh_emi_in!E10/SER_hh_num_in!E10)</f>
        <v>0</v>
      </c>
      <c r="F10" s="132">
        <f>IF(SER_hh_emi_in!F10=0,0,1000000*SER_hh_emi_in!F10/SER_hh_num_in!F10)</f>
        <v>0</v>
      </c>
      <c r="G10" s="132">
        <f>IF(SER_hh_emi_in!G10=0,0,1000000*SER_hh_emi_in!G10/SER_hh_num_in!G10)</f>
        <v>0</v>
      </c>
      <c r="H10" s="132">
        <f>IF(SER_hh_emi_in!H10=0,0,1000000*SER_hh_emi_in!H10/SER_hh_num_in!H10)</f>
        <v>0</v>
      </c>
      <c r="I10" s="132">
        <f>IF(SER_hh_emi_in!I10=0,0,1000000*SER_hh_emi_in!I10/SER_hh_num_in!I10)</f>
        <v>0</v>
      </c>
      <c r="J10" s="132">
        <f>IF(SER_hh_emi_in!J10=0,0,1000000*SER_hh_emi_in!J10/SER_hh_num_in!J10)</f>
        <v>0</v>
      </c>
      <c r="K10" s="132">
        <f>IF(SER_hh_emi_in!K10=0,0,1000000*SER_hh_emi_in!K10/SER_hh_num_in!K10)</f>
        <v>0</v>
      </c>
      <c r="L10" s="132">
        <f>IF(SER_hh_emi_in!L10=0,0,1000000*SER_hh_emi_in!L10/SER_hh_num_in!L10)</f>
        <v>0</v>
      </c>
      <c r="M10" s="132">
        <f>IF(SER_hh_emi_in!M10=0,0,1000000*SER_hh_emi_in!M10/SER_hh_num_in!M10)</f>
        <v>0</v>
      </c>
      <c r="N10" s="132">
        <f>IF(SER_hh_emi_in!N10=0,0,1000000*SER_hh_emi_in!N10/SER_hh_num_in!N10)</f>
        <v>0</v>
      </c>
      <c r="O10" s="132">
        <f>IF(SER_hh_emi_in!O10=0,0,1000000*SER_hh_emi_in!O10/SER_hh_num_in!O10)</f>
        <v>0</v>
      </c>
      <c r="P10" s="132">
        <f>IF(SER_hh_emi_in!P10=0,0,1000000*SER_hh_emi_in!P10/SER_hh_num_in!P10)</f>
        <v>0</v>
      </c>
      <c r="Q10" s="132">
        <f>IF(SER_hh_emi_in!Q10=0,0,1000000*SER_hh_emi_in!Q10/SER_hh_num_in!Q10)</f>
        <v>0</v>
      </c>
      <c r="R10" s="132">
        <f>IF(SER_hh_emi_in!R10=0,0,1000000*SER_hh_emi_in!R10/SER_hh_num_in!R10)</f>
        <v>0</v>
      </c>
      <c r="S10" s="132">
        <f>IF(SER_hh_emi_in!S10=0,0,1000000*SER_hh_emi_in!S10/SER_hh_num_in!S10)</f>
        <v>0</v>
      </c>
      <c r="T10" s="132">
        <f>IF(SER_hh_emi_in!T10=0,0,1000000*SER_hh_emi_in!T10/SER_hh_num_in!T10)</f>
        <v>0</v>
      </c>
      <c r="U10" s="132">
        <f>IF(SER_hh_emi_in!U10=0,0,1000000*SER_hh_emi_in!U10/SER_hh_num_in!U10)</f>
        <v>0</v>
      </c>
      <c r="V10" s="132">
        <f>IF(SER_hh_emi_in!V10=0,0,1000000*SER_hh_emi_in!V10/SER_hh_num_in!V10)</f>
        <v>0</v>
      </c>
      <c r="W10" s="132">
        <f>IF(SER_hh_emi_in!W10=0,0,1000000*SER_hh_emi_in!W10/SER_hh_num_in!W10)</f>
        <v>0</v>
      </c>
      <c r="X10" s="132">
        <f>IF(SER_hh_emi_in!X10=0,0,1000000*SER_hh_emi_in!X10/SER_hh_num_in!X10)</f>
        <v>0</v>
      </c>
      <c r="Y10" s="132">
        <f>IF(SER_hh_emi_in!Y10=0,0,1000000*SER_hh_emi_in!Y10/SER_hh_num_in!Y10)</f>
        <v>0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10.698161605322525</v>
      </c>
      <c r="D16" s="130">
        <f>IF(SER_hh_emi_in!D16=0,0,1000000*SER_hh_emi_in!D16/SER_hh_num_in!D16)</f>
        <v>11.399258392258911</v>
      </c>
      <c r="E16" s="130">
        <f>IF(SER_hh_emi_in!E16=0,0,1000000*SER_hh_emi_in!E16/SER_hh_num_in!E16)</f>
        <v>5.0048289738510157</v>
      </c>
      <c r="F16" s="130">
        <f>IF(SER_hh_emi_in!F16=0,0,1000000*SER_hh_emi_in!F16/SER_hh_num_in!F16)</f>
        <v>15.158368031843697</v>
      </c>
      <c r="G16" s="130">
        <f>IF(SER_hh_emi_in!G16=0,0,1000000*SER_hh_emi_in!G16/SER_hh_num_in!G16)</f>
        <v>11.214732588388063</v>
      </c>
      <c r="H16" s="130">
        <f>IF(SER_hh_emi_in!H16=0,0,1000000*SER_hh_emi_in!H16/SER_hh_num_in!H16)</f>
        <v>15.996765500400128</v>
      </c>
      <c r="I16" s="130">
        <f>IF(SER_hh_emi_in!I16=0,0,1000000*SER_hh_emi_in!I16/SER_hh_num_in!I16)</f>
        <v>9.9531494605953803</v>
      </c>
      <c r="J16" s="130">
        <f>IF(SER_hh_emi_in!J16=0,0,1000000*SER_hh_emi_in!J16/SER_hh_num_in!J16)</f>
        <v>7.2233571986212723</v>
      </c>
      <c r="K16" s="130">
        <f>IF(SER_hh_emi_in!K16=0,0,1000000*SER_hh_emi_in!K16/SER_hh_num_in!K16)</f>
        <v>18.225780579864033</v>
      </c>
      <c r="L16" s="130">
        <f>IF(SER_hh_emi_in!L16=0,0,1000000*SER_hh_emi_in!L16/SER_hh_num_in!L16)</f>
        <v>13.126849204909471</v>
      </c>
      <c r="M16" s="130">
        <f>IF(SER_hh_emi_in!M16=0,0,1000000*SER_hh_emi_in!M16/SER_hh_num_in!M16)</f>
        <v>14.187753719320122</v>
      </c>
      <c r="N16" s="130">
        <f>IF(SER_hh_emi_in!N16=0,0,1000000*SER_hh_emi_in!N16/SER_hh_num_in!N16)</f>
        <v>18.36276457016762</v>
      </c>
      <c r="O16" s="130">
        <f>IF(SER_hh_emi_in!O16=0,0,1000000*SER_hh_emi_in!O16/SER_hh_num_in!O16)</f>
        <v>25.977026874824475</v>
      </c>
      <c r="P16" s="130">
        <f>IF(SER_hh_emi_in!P16=0,0,1000000*SER_hh_emi_in!P16/SER_hh_num_in!P16)</f>
        <v>33.323824430602961</v>
      </c>
      <c r="Q16" s="130">
        <f>IF(SER_hh_emi_in!Q16=0,0,1000000*SER_hh_emi_in!Q16/SER_hh_num_in!Q16)</f>
        <v>45.535781101318186</v>
      </c>
      <c r="R16" s="130">
        <f>IF(SER_hh_emi_in!R16=0,0,1000000*SER_hh_emi_in!R16/SER_hh_num_in!R16)</f>
        <v>49.026899936768302</v>
      </c>
      <c r="S16" s="130">
        <f>IF(SER_hh_emi_in!S16=0,0,1000000*SER_hh_emi_in!S16/SER_hh_num_in!S16)</f>
        <v>35.952545420383508</v>
      </c>
      <c r="T16" s="130">
        <f>IF(SER_hh_emi_in!T16=0,0,1000000*SER_hh_emi_in!T16/SER_hh_num_in!T16)</f>
        <v>26.579479392407702</v>
      </c>
      <c r="U16" s="130">
        <f>IF(SER_hh_emi_in!U16=0,0,1000000*SER_hh_emi_in!U16/SER_hh_num_in!U16)</f>
        <v>26.818828373375272</v>
      </c>
      <c r="V16" s="130">
        <f>IF(SER_hh_emi_in!V16=0,0,1000000*SER_hh_emi_in!V16/SER_hh_num_in!V16)</f>
        <v>28.351963016819859</v>
      </c>
      <c r="W16" s="130">
        <f>IF(SER_hh_emi_in!W16=0,0,1000000*SER_hh_emi_in!W16/SER_hh_num_in!W16)</f>
        <v>17.216226260440109</v>
      </c>
      <c r="X16" s="130">
        <f>IF(SER_hh_emi_in!X16=0,0,1000000*SER_hh_emi_in!X16/SER_hh_num_in!X16)</f>
        <v>23.567518014926033</v>
      </c>
      <c r="Y16" s="130">
        <f>IF(SER_hh_emi_in!Y16=0,0,1000000*SER_hh_emi_in!Y16/SER_hh_num_in!Y16)</f>
        <v>17.529293224307771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3668.4645275512189</v>
      </c>
      <c r="D17" s="132">
        <f>IF(SER_hh_emi_in!D17=0,0,1000000*SER_hh_emi_in!D17/SER_hh_num_in!D17)</f>
        <v>3633.6622452284578</v>
      </c>
      <c r="E17" s="132">
        <f>IF(SER_hh_emi_in!E17=0,0,1000000*SER_hh_emi_in!E17/SER_hh_num_in!E17)</f>
        <v>3508.2786994859971</v>
      </c>
      <c r="F17" s="132">
        <f>IF(SER_hh_emi_in!F17=0,0,1000000*SER_hh_emi_in!F17/SER_hh_num_in!F17)</f>
        <v>3419.4751734270435</v>
      </c>
      <c r="G17" s="132">
        <f>IF(SER_hh_emi_in!G17=0,0,1000000*SER_hh_emi_in!G17/SER_hh_num_in!G17)</f>
        <v>3285.7439740901791</v>
      </c>
      <c r="H17" s="132">
        <f>IF(SER_hh_emi_in!H17=0,0,1000000*SER_hh_emi_in!H17/SER_hh_num_in!H17)</f>
        <v>3245.8669446237118</v>
      </c>
      <c r="I17" s="132">
        <f>IF(SER_hh_emi_in!I17=0,0,1000000*SER_hh_emi_in!I17/SER_hh_num_in!I17)</f>
        <v>3177.196808162721</v>
      </c>
      <c r="J17" s="132">
        <f>IF(SER_hh_emi_in!J17=0,0,1000000*SER_hh_emi_in!J17/SER_hh_num_in!J17)</f>
        <v>3083.0850670209315</v>
      </c>
      <c r="K17" s="132">
        <f>IF(SER_hh_emi_in!K17=0,0,1000000*SER_hh_emi_in!K17/SER_hh_num_in!K17)</f>
        <v>2960.191833085024</v>
      </c>
      <c r="L17" s="132">
        <f>IF(SER_hh_emi_in!L17=0,0,1000000*SER_hh_emi_in!L17/SER_hh_num_in!L17)</f>
        <v>2883.1291074226665</v>
      </c>
      <c r="M17" s="132">
        <f>IF(SER_hh_emi_in!M17=0,0,1000000*SER_hh_emi_in!M17/SER_hh_num_in!M17)</f>
        <v>2757.6258193814442</v>
      </c>
      <c r="N17" s="132">
        <f>IF(SER_hh_emi_in!N17=0,0,1000000*SER_hh_emi_in!N17/SER_hh_num_in!N17)</f>
        <v>2689.9402159504289</v>
      </c>
      <c r="O17" s="132">
        <f>IF(SER_hh_emi_in!O17=0,0,1000000*SER_hh_emi_in!O17/SER_hh_num_in!O17)</f>
        <v>2535.7896137254402</v>
      </c>
      <c r="P17" s="132">
        <f>IF(SER_hh_emi_in!P17=0,0,1000000*SER_hh_emi_in!P17/SER_hh_num_in!P17)</f>
        <v>2491.405161021904</v>
      </c>
      <c r="Q17" s="132">
        <f>IF(SER_hh_emi_in!Q17=0,0,1000000*SER_hh_emi_in!Q17/SER_hh_num_in!Q17)</f>
        <v>2363.1037611034126</v>
      </c>
      <c r="R17" s="132">
        <f>IF(SER_hh_emi_in!R17=0,0,1000000*SER_hh_emi_in!R17/SER_hh_num_in!R17)</f>
        <v>2327.0169520470668</v>
      </c>
      <c r="S17" s="132">
        <f>IF(SER_hh_emi_in!S17=0,0,1000000*SER_hh_emi_in!S17/SER_hh_num_in!S17)</f>
        <v>2196.9195421321856</v>
      </c>
      <c r="T17" s="132">
        <f>IF(SER_hh_emi_in!T17=0,0,1000000*SER_hh_emi_in!T17/SER_hh_num_in!T17)</f>
        <v>2071.2769253212268</v>
      </c>
      <c r="U17" s="132">
        <f>IF(SER_hh_emi_in!U17=0,0,1000000*SER_hh_emi_in!U17/SER_hh_num_in!U17)</f>
        <v>1946.2347242820429</v>
      </c>
      <c r="V17" s="132">
        <f>IF(SER_hh_emi_in!V17=0,0,1000000*SER_hh_emi_in!V17/SER_hh_num_in!V17)</f>
        <v>1632.8800207784743</v>
      </c>
      <c r="W17" s="132">
        <f>IF(SER_hh_emi_in!W17=0,0,1000000*SER_hh_emi_in!W17/SER_hh_num_in!W17)</f>
        <v>1358.700881686837</v>
      </c>
      <c r="X17" s="132">
        <f>IF(SER_hh_emi_in!X17=0,0,1000000*SER_hh_emi_in!X17/SER_hh_num_in!X17)</f>
        <v>1258.3692813136574</v>
      </c>
      <c r="Y17" s="132">
        <f>IF(SER_hh_emi_in!Y17=0,0,1000000*SER_hh_emi_in!Y17/SER_hh_num_in!Y17)</f>
        <v>1331.0641162319541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3593.3419758615805</v>
      </c>
      <c r="D19" s="130">
        <f>IF(SER_hh_emi_in!D19=0,0,1000000*SER_hh_emi_in!D19/SER_hh_num_in!D19)</f>
        <v>3155.4295022617689</v>
      </c>
      <c r="E19" s="130">
        <f>IF(SER_hh_emi_in!E19=0,0,1000000*SER_hh_emi_in!E19/SER_hh_num_in!E19)</f>
        <v>2955.5112410272277</v>
      </c>
      <c r="F19" s="130">
        <f>IF(SER_hh_emi_in!F19=0,0,1000000*SER_hh_emi_in!F19/SER_hh_num_in!F19)</f>
        <v>2912.9498077823428</v>
      </c>
      <c r="G19" s="130">
        <f>IF(SER_hh_emi_in!G19=0,0,1000000*SER_hh_emi_in!G19/SER_hh_num_in!G19)</f>
        <v>2246.4312286408831</v>
      </c>
      <c r="H19" s="130">
        <f>IF(SER_hh_emi_in!H19=0,0,1000000*SER_hh_emi_in!H19/SER_hh_num_in!H19)</f>
        <v>2419.6250871931434</v>
      </c>
      <c r="I19" s="130">
        <f>IF(SER_hh_emi_in!I19=0,0,1000000*SER_hh_emi_in!I19/SER_hh_num_in!I19)</f>
        <v>2063.0854518488195</v>
      </c>
      <c r="J19" s="130">
        <f>IF(SER_hh_emi_in!J19=0,0,1000000*SER_hh_emi_in!J19/SER_hh_num_in!J19)</f>
        <v>2910.154650481004</v>
      </c>
      <c r="K19" s="130">
        <f>IF(SER_hh_emi_in!K19=0,0,1000000*SER_hh_emi_in!K19/SER_hh_num_in!K19)</f>
        <v>4949.4832150076154</v>
      </c>
      <c r="L19" s="130">
        <f>IF(SER_hh_emi_in!L19=0,0,1000000*SER_hh_emi_in!L19/SER_hh_num_in!L19)</f>
        <v>4068.1594566093968</v>
      </c>
      <c r="M19" s="130">
        <f>IF(SER_hh_emi_in!M19=0,0,1000000*SER_hh_emi_in!M19/SER_hh_num_in!M19)</f>
        <v>3055.1763486399259</v>
      </c>
      <c r="N19" s="130">
        <f>IF(SER_hh_emi_in!N19=0,0,1000000*SER_hh_emi_in!N19/SER_hh_num_in!N19)</f>
        <v>3754.7941669518368</v>
      </c>
      <c r="O19" s="130">
        <f>IF(SER_hh_emi_in!O19=0,0,1000000*SER_hh_emi_in!O19/SER_hh_num_in!O19)</f>
        <v>3252.0691520284563</v>
      </c>
      <c r="P19" s="130">
        <f>IF(SER_hh_emi_in!P19=0,0,1000000*SER_hh_emi_in!P19/SER_hh_num_in!P19)</f>
        <v>2196.9069177713377</v>
      </c>
      <c r="Q19" s="130">
        <f>IF(SER_hh_emi_in!Q19=0,0,1000000*SER_hh_emi_in!Q19/SER_hh_num_in!Q19)</f>
        <v>2140.1120629503607</v>
      </c>
      <c r="R19" s="130">
        <f>IF(SER_hh_emi_in!R19=0,0,1000000*SER_hh_emi_in!R19/SER_hh_num_in!R19)</f>
        <v>1571.4070222613141</v>
      </c>
      <c r="S19" s="130">
        <f>IF(SER_hh_emi_in!S19=0,0,1000000*SER_hh_emi_in!S19/SER_hh_num_in!S19)</f>
        <v>1808.2950062941738</v>
      </c>
      <c r="T19" s="130">
        <f>IF(SER_hh_emi_in!T19=0,0,1000000*SER_hh_emi_in!T19/SER_hh_num_in!T19)</f>
        <v>962.84170358885262</v>
      </c>
      <c r="U19" s="130">
        <f>IF(SER_hh_emi_in!U19=0,0,1000000*SER_hh_emi_in!U19/SER_hh_num_in!U19)</f>
        <v>1216.5800112350346</v>
      </c>
      <c r="V19" s="130">
        <f>IF(SER_hh_emi_in!V19=0,0,1000000*SER_hh_emi_in!V19/SER_hh_num_in!V19)</f>
        <v>1014.1342611053884</v>
      </c>
      <c r="W19" s="130">
        <f>IF(SER_hh_emi_in!W19=0,0,1000000*SER_hh_emi_in!W19/SER_hh_num_in!W19)</f>
        <v>2809.9007618363999</v>
      </c>
      <c r="X19" s="130">
        <f>IF(SER_hh_emi_in!X19=0,0,1000000*SER_hh_emi_in!X19/SER_hh_num_in!X19)</f>
        <v>2954.0138303530707</v>
      </c>
      <c r="Y19" s="130">
        <f>IF(SER_hh_emi_in!Y19=0,0,1000000*SER_hh_emi_in!Y19/SER_hh_num_in!Y19)</f>
        <v>2791.0024249341327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0</v>
      </c>
      <c r="D21" s="132">
        <f>IF(SER_hh_emi_in!D21=0,0,1000000*SER_hh_emi_in!D21/SER_hh_num_in!D21)</f>
        <v>0</v>
      </c>
      <c r="E21" s="132">
        <f>IF(SER_hh_emi_in!E21=0,0,1000000*SER_hh_emi_in!E21/SER_hh_num_in!E21)</f>
        <v>0</v>
      </c>
      <c r="F21" s="132">
        <f>IF(SER_hh_emi_in!F21=0,0,1000000*SER_hh_emi_in!F21/SER_hh_num_in!F21)</f>
        <v>0</v>
      </c>
      <c r="G21" s="132">
        <f>IF(SER_hh_emi_in!G21=0,0,1000000*SER_hh_emi_in!G21/SER_hh_num_in!G21)</f>
        <v>0</v>
      </c>
      <c r="H21" s="132">
        <f>IF(SER_hh_emi_in!H21=0,0,1000000*SER_hh_emi_in!H21/SER_hh_num_in!H21)</f>
        <v>0</v>
      </c>
      <c r="I21" s="132">
        <f>IF(SER_hh_emi_in!I21=0,0,1000000*SER_hh_emi_in!I21/SER_hh_num_in!I21)</f>
        <v>0</v>
      </c>
      <c r="J21" s="132">
        <f>IF(SER_hh_emi_in!J21=0,0,1000000*SER_hh_emi_in!J21/SER_hh_num_in!J21)</f>
        <v>0</v>
      </c>
      <c r="K21" s="132">
        <f>IF(SER_hh_emi_in!K21=0,0,1000000*SER_hh_emi_in!K21/SER_hh_num_in!K21)</f>
        <v>0</v>
      </c>
      <c r="L21" s="132">
        <f>IF(SER_hh_emi_in!L21=0,0,1000000*SER_hh_emi_in!L21/SER_hh_num_in!L21)</f>
        <v>0</v>
      </c>
      <c r="M21" s="132">
        <f>IF(SER_hh_emi_in!M21=0,0,1000000*SER_hh_emi_in!M21/SER_hh_num_in!M21)</f>
        <v>0</v>
      </c>
      <c r="N21" s="132">
        <f>IF(SER_hh_emi_in!N21=0,0,1000000*SER_hh_emi_in!N21/SER_hh_num_in!N21)</f>
        <v>0</v>
      </c>
      <c r="O21" s="132">
        <f>IF(SER_hh_emi_in!O21=0,0,1000000*SER_hh_emi_in!O21/SER_hh_num_in!O21)</f>
        <v>0</v>
      </c>
      <c r="P21" s="132">
        <f>IF(SER_hh_emi_in!P21=0,0,1000000*SER_hh_emi_in!P21/SER_hh_num_in!P21)</f>
        <v>0</v>
      </c>
      <c r="Q21" s="132">
        <f>IF(SER_hh_emi_in!Q21=0,0,1000000*SER_hh_emi_in!Q21/SER_hh_num_in!Q21)</f>
        <v>0</v>
      </c>
      <c r="R21" s="132">
        <f>IF(SER_hh_emi_in!R21=0,0,1000000*SER_hh_emi_in!R21/SER_hh_num_in!R21)</f>
        <v>0</v>
      </c>
      <c r="S21" s="132">
        <f>IF(SER_hh_emi_in!S21=0,0,1000000*SER_hh_emi_in!S21/SER_hh_num_in!S21)</f>
        <v>0</v>
      </c>
      <c r="T21" s="132">
        <f>IF(SER_hh_emi_in!T21=0,0,1000000*SER_hh_emi_in!T21/SER_hh_num_in!T21)</f>
        <v>0</v>
      </c>
      <c r="U21" s="132">
        <f>IF(SER_hh_emi_in!U21=0,0,1000000*SER_hh_emi_in!U21/SER_hh_num_in!U21)</f>
        <v>0</v>
      </c>
      <c r="V21" s="132">
        <f>IF(SER_hh_emi_in!V21=0,0,1000000*SER_hh_emi_in!V21/SER_hh_num_in!V21)</f>
        <v>0</v>
      </c>
      <c r="W21" s="132">
        <f>IF(SER_hh_emi_in!W21=0,0,1000000*SER_hh_emi_in!W21/SER_hh_num_in!W21)</f>
        <v>0</v>
      </c>
      <c r="X21" s="132">
        <f>IF(SER_hh_emi_in!X21=0,0,1000000*SER_hh_emi_in!X21/SER_hh_num_in!X21)</f>
        <v>0</v>
      </c>
      <c r="Y21" s="132">
        <f>IF(SER_hh_emi_in!Y21=0,0,1000000*SER_hh_emi_in!Y21/SER_hh_num_in!Y21)</f>
        <v>0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10798.660743027465</v>
      </c>
      <c r="D22" s="132">
        <f>IF(SER_hh_emi_in!D22=0,0,1000000*SER_hh_emi_in!D22/SER_hh_num_in!D22)</f>
        <v>10716.360385870301</v>
      </c>
      <c r="E22" s="132">
        <f>IF(SER_hh_emi_in!E22=0,0,1000000*SER_hh_emi_in!E22/SER_hh_num_in!E22)</f>
        <v>10271.116633295424</v>
      </c>
      <c r="F22" s="132">
        <f>IF(SER_hh_emi_in!F22=0,0,1000000*SER_hh_emi_in!F22/SER_hh_num_in!F22)</f>
        <v>10317.062634195381</v>
      </c>
      <c r="G22" s="132">
        <f>IF(SER_hh_emi_in!G22=0,0,1000000*SER_hh_emi_in!G22/SER_hh_num_in!G22)</f>
        <v>10062.525109173084</v>
      </c>
      <c r="H22" s="132">
        <f>IF(SER_hh_emi_in!H22=0,0,1000000*SER_hh_emi_in!H22/SER_hh_num_in!H22)</f>
        <v>9716.4569584976598</v>
      </c>
      <c r="I22" s="132">
        <f>IF(SER_hh_emi_in!I22=0,0,1000000*SER_hh_emi_in!I22/SER_hh_num_in!I22)</f>
        <v>9626.4478250512911</v>
      </c>
      <c r="J22" s="132">
        <f>IF(SER_hh_emi_in!J22=0,0,1000000*SER_hh_emi_in!J22/SER_hh_num_in!J22)</f>
        <v>9708.738002759761</v>
      </c>
      <c r="K22" s="132">
        <f>IF(SER_hh_emi_in!K22=0,0,1000000*SER_hh_emi_in!K22/SER_hh_num_in!K22)</f>
        <v>9723.8265014430217</v>
      </c>
      <c r="L22" s="132">
        <f>IF(SER_hh_emi_in!L22=0,0,1000000*SER_hh_emi_in!L22/SER_hh_num_in!L22)</f>
        <v>9877.2454205413414</v>
      </c>
      <c r="M22" s="132">
        <f>IF(SER_hh_emi_in!M22=0,0,1000000*SER_hh_emi_in!M22/SER_hh_num_in!M22)</f>
        <v>9886.6500433565689</v>
      </c>
      <c r="N22" s="132">
        <f>IF(SER_hh_emi_in!N22=0,0,1000000*SER_hh_emi_in!N22/SER_hh_num_in!N22)</f>
        <v>9735.4543214217701</v>
      </c>
      <c r="O22" s="132">
        <f>IF(SER_hh_emi_in!O22=0,0,1000000*SER_hh_emi_in!O22/SER_hh_num_in!O22)</f>
        <v>9322.6087449382594</v>
      </c>
      <c r="P22" s="132">
        <f>IF(SER_hh_emi_in!P22=0,0,1000000*SER_hh_emi_in!P22/SER_hh_num_in!P22)</f>
        <v>9070.3588954874067</v>
      </c>
      <c r="Q22" s="132">
        <f>IF(SER_hh_emi_in!Q22=0,0,1000000*SER_hh_emi_in!Q22/SER_hh_num_in!Q22)</f>
        <v>8627.8966524231528</v>
      </c>
      <c r="R22" s="132">
        <f>IF(SER_hh_emi_in!R22=0,0,1000000*SER_hh_emi_in!R22/SER_hh_num_in!R22)</f>
        <v>8287.8201617059094</v>
      </c>
      <c r="S22" s="132">
        <f>IF(SER_hh_emi_in!S22=0,0,1000000*SER_hh_emi_in!S22/SER_hh_num_in!S22)</f>
        <v>8338.700050403595</v>
      </c>
      <c r="T22" s="132">
        <f>IF(SER_hh_emi_in!T22=0,0,1000000*SER_hh_emi_in!T22/SER_hh_num_in!T22)</f>
        <v>7884.9606093509738</v>
      </c>
      <c r="U22" s="132">
        <f>IF(SER_hh_emi_in!U22=0,0,1000000*SER_hh_emi_in!U22/SER_hh_num_in!U22)</f>
        <v>7798.8572073088417</v>
      </c>
      <c r="V22" s="132">
        <f>IF(SER_hh_emi_in!V22=0,0,1000000*SER_hh_emi_in!V22/SER_hh_num_in!V22)</f>
        <v>6892.2575034857</v>
      </c>
      <c r="W22" s="132">
        <f>IF(SER_hh_emi_in!W22=0,0,1000000*SER_hh_emi_in!W22/SER_hh_num_in!W22)</f>
        <v>7175.9653910909783</v>
      </c>
      <c r="X22" s="132">
        <f>IF(SER_hh_emi_in!X22=0,0,1000000*SER_hh_emi_in!X22/SER_hh_num_in!X22)</f>
        <v>7244.9478647473707</v>
      </c>
      <c r="Y22" s="132">
        <f>IF(SER_hh_emi_in!Y22=0,0,1000000*SER_hh_emi_in!Y22/SER_hh_num_in!Y22)</f>
        <v>7055.0849031246162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7538.0968372450188</v>
      </c>
      <c r="D23" s="132">
        <f>IF(SER_hh_emi_in!D23=0,0,1000000*SER_hh_emi_in!D23/SER_hh_num_in!D23)</f>
        <v>7343.4083485871397</v>
      </c>
      <c r="E23" s="132">
        <f>IF(SER_hh_emi_in!E23=0,0,1000000*SER_hh_emi_in!E23/SER_hh_num_in!E23)</f>
        <v>7058.6638349426921</v>
      </c>
      <c r="F23" s="132">
        <f>IF(SER_hh_emi_in!F23=0,0,1000000*SER_hh_emi_in!F23/SER_hh_num_in!F23)</f>
        <v>7011.2711151445819</v>
      </c>
      <c r="G23" s="132">
        <f>IF(SER_hh_emi_in!G23=0,0,1000000*SER_hh_emi_in!G23/SER_hh_num_in!G23)</f>
        <v>6854.2224895197051</v>
      </c>
      <c r="H23" s="132">
        <f>IF(SER_hh_emi_in!H23=0,0,1000000*SER_hh_emi_in!H23/SER_hh_num_in!H23)</f>
        <v>6617.021553084448</v>
      </c>
      <c r="I23" s="132">
        <f>IF(SER_hh_emi_in!I23=0,0,1000000*SER_hh_emi_in!I23/SER_hh_num_in!I23)</f>
        <v>6621.1043415849554</v>
      </c>
      <c r="J23" s="132">
        <f>IF(SER_hh_emi_in!J23=0,0,1000000*SER_hh_emi_in!J23/SER_hh_num_in!J23)</f>
        <v>6418.8654421549536</v>
      </c>
      <c r="K23" s="132">
        <f>IF(SER_hh_emi_in!K23=0,0,1000000*SER_hh_emi_in!K23/SER_hh_num_in!K23)</f>
        <v>6592.9150572802528</v>
      </c>
      <c r="L23" s="132">
        <f>IF(SER_hh_emi_in!L23=0,0,1000000*SER_hh_emi_in!L23/SER_hh_num_in!L23)</f>
        <v>6785.2881341409256</v>
      </c>
      <c r="M23" s="132">
        <f>IF(SER_hh_emi_in!M23=0,0,1000000*SER_hh_emi_in!M23/SER_hh_num_in!M23)</f>
        <v>6374.3806640428129</v>
      </c>
      <c r="N23" s="132">
        <f>IF(SER_hh_emi_in!N23=0,0,1000000*SER_hh_emi_in!N23/SER_hh_num_in!N23)</f>
        <v>6449.0842881755061</v>
      </c>
      <c r="O23" s="132">
        <f>IF(SER_hh_emi_in!O23=0,0,1000000*SER_hh_emi_in!O23/SER_hh_num_in!O23)</f>
        <v>6361.4652993102754</v>
      </c>
      <c r="P23" s="132">
        <f>IF(SER_hh_emi_in!P23=0,0,1000000*SER_hh_emi_in!P23/SER_hh_num_in!P23)</f>
        <v>6221.057786679743</v>
      </c>
      <c r="Q23" s="132">
        <f>IF(SER_hh_emi_in!Q23=0,0,1000000*SER_hh_emi_in!Q23/SER_hh_num_in!Q23)</f>
        <v>6209.186179929794</v>
      </c>
      <c r="R23" s="132">
        <f>IF(SER_hh_emi_in!R23=0,0,1000000*SER_hh_emi_in!R23/SER_hh_num_in!R23)</f>
        <v>5915.7593064249977</v>
      </c>
      <c r="S23" s="132">
        <f>IF(SER_hh_emi_in!S23=0,0,1000000*SER_hh_emi_in!S23/SER_hh_num_in!S23)</f>
        <v>5850.5092613660927</v>
      </c>
      <c r="T23" s="132">
        <f>IF(SER_hh_emi_in!T23=0,0,1000000*SER_hh_emi_in!T23/SER_hh_num_in!T23)</f>
        <v>5573.0498989342132</v>
      </c>
      <c r="U23" s="132">
        <f>IF(SER_hh_emi_in!U23=0,0,1000000*SER_hh_emi_in!U23/SER_hh_num_in!U23)</f>
        <v>5714.2187606563175</v>
      </c>
      <c r="V23" s="132">
        <f>IF(SER_hh_emi_in!V23=0,0,1000000*SER_hh_emi_in!V23/SER_hh_num_in!V23)</f>
        <v>4388.2910275480881</v>
      </c>
      <c r="W23" s="132">
        <f>IF(SER_hh_emi_in!W23=0,0,1000000*SER_hh_emi_in!W23/SER_hh_num_in!W23)</f>
        <v>5669.27576359877</v>
      </c>
      <c r="X23" s="132">
        <f>IF(SER_hh_emi_in!X23=0,0,1000000*SER_hh_emi_in!X23/SER_hh_num_in!X23)</f>
        <v>5269.2888771970001</v>
      </c>
      <c r="Y23" s="132">
        <f>IF(SER_hh_emi_in!Y23=0,0,1000000*SER_hh_emi_in!Y23/SER_hh_num_in!Y23)</f>
        <v>5099.4991983930749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0</v>
      </c>
      <c r="D24" s="132">
        <f>IF(SER_hh_emi_in!D24=0,0,1000000*SER_hh_emi_in!D24/SER_hh_num_in!D24)</f>
        <v>0</v>
      </c>
      <c r="E24" s="132">
        <f>IF(SER_hh_emi_in!E24=0,0,1000000*SER_hh_emi_in!E24/SER_hh_num_in!E24)</f>
        <v>0</v>
      </c>
      <c r="F24" s="132">
        <f>IF(SER_hh_emi_in!F24=0,0,1000000*SER_hh_emi_in!F24/SER_hh_num_in!F24)</f>
        <v>0</v>
      </c>
      <c r="G24" s="132">
        <f>IF(SER_hh_emi_in!G24=0,0,1000000*SER_hh_emi_in!G24/SER_hh_num_in!G24)</f>
        <v>0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0</v>
      </c>
      <c r="K24" s="132">
        <f>IF(SER_hh_emi_in!K24=0,0,1000000*SER_hh_emi_in!K24/SER_hh_num_in!K24)</f>
        <v>0</v>
      </c>
      <c r="L24" s="132">
        <f>IF(SER_hh_emi_in!L24=0,0,1000000*SER_hh_emi_in!L24/SER_hh_num_in!L24)</f>
        <v>0</v>
      </c>
      <c r="M24" s="132">
        <f>IF(SER_hh_emi_in!M24=0,0,1000000*SER_hh_emi_in!M24/SER_hh_num_in!M24)</f>
        <v>0</v>
      </c>
      <c r="N24" s="132">
        <f>IF(SER_hh_emi_in!N24=0,0,1000000*SER_hh_emi_in!N24/SER_hh_num_in!N24)</f>
        <v>0</v>
      </c>
      <c r="O24" s="132">
        <f>IF(SER_hh_emi_in!O24=0,0,1000000*SER_hh_emi_in!O24/SER_hh_num_in!O24)</f>
        <v>0</v>
      </c>
      <c r="P24" s="132">
        <f>IF(SER_hh_emi_in!P24=0,0,1000000*SER_hh_emi_in!P24/SER_hh_num_in!P24)</f>
        <v>0</v>
      </c>
      <c r="Q24" s="132">
        <f>IF(SER_hh_emi_in!Q24=0,0,1000000*SER_hh_emi_in!Q24/SER_hh_num_in!Q24)</f>
        <v>0</v>
      </c>
      <c r="R24" s="132">
        <f>IF(SER_hh_emi_in!R24=0,0,1000000*SER_hh_emi_in!R24/SER_hh_num_in!R24)</f>
        <v>0</v>
      </c>
      <c r="S24" s="132">
        <f>IF(SER_hh_emi_in!S24=0,0,1000000*SER_hh_emi_in!S24/SER_hh_num_in!S24)</f>
        <v>0</v>
      </c>
      <c r="T24" s="132">
        <f>IF(SER_hh_emi_in!T24=0,0,1000000*SER_hh_emi_in!T24/SER_hh_num_in!T24)</f>
        <v>0</v>
      </c>
      <c r="U24" s="132">
        <f>IF(SER_hh_emi_in!U24=0,0,1000000*SER_hh_emi_in!U24/SER_hh_num_in!U24)</f>
        <v>0</v>
      </c>
      <c r="V24" s="132">
        <f>IF(SER_hh_emi_in!V24=0,0,1000000*SER_hh_emi_in!V24/SER_hh_num_in!V24)</f>
        <v>0</v>
      </c>
      <c r="W24" s="132">
        <f>IF(SER_hh_emi_in!W24=0,0,1000000*SER_hh_emi_in!W24/SER_hh_num_in!W24)</f>
        <v>0</v>
      </c>
      <c r="X24" s="132">
        <f>IF(SER_hh_emi_in!X24=0,0,1000000*SER_hh_emi_in!X24/SER_hh_num_in!X24)</f>
        <v>0</v>
      </c>
      <c r="Y24" s="132">
        <f>IF(SER_hh_emi_in!Y24=0,0,1000000*SER_hh_emi_in!Y24/SER_hh_num_in!Y24)</f>
        <v>0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4684.3497940343032</v>
      </c>
      <c r="D29" s="130">
        <f>IF(SER_hh_emi_in!D29=0,0,1000000*SER_hh_emi_in!D29/SER_hh_num_in!D29)</f>
        <v>4660.2544267639942</v>
      </c>
      <c r="E29" s="130">
        <f>IF(SER_hh_emi_in!E29=0,0,1000000*SER_hh_emi_in!E29/SER_hh_num_in!E29)</f>
        <v>5422.8443782635422</v>
      </c>
      <c r="F29" s="130">
        <f>IF(SER_hh_emi_in!F29=0,0,1000000*SER_hh_emi_in!F29/SER_hh_num_in!F29)</f>
        <v>5953.3964258363394</v>
      </c>
      <c r="G29" s="130">
        <f>IF(SER_hh_emi_in!G29=0,0,1000000*SER_hh_emi_in!G29/SER_hh_num_in!G29)</f>
        <v>6442.7937066030427</v>
      </c>
      <c r="H29" s="130">
        <f>IF(SER_hh_emi_in!H29=0,0,1000000*SER_hh_emi_in!H29/SER_hh_num_in!H29)</f>
        <v>5554.509420467004</v>
      </c>
      <c r="I29" s="130">
        <f>IF(SER_hh_emi_in!I29=0,0,1000000*SER_hh_emi_in!I29/SER_hh_num_in!I29)</f>
        <v>5245.9771209805303</v>
      </c>
      <c r="J29" s="130">
        <f>IF(SER_hh_emi_in!J29=0,0,1000000*SER_hh_emi_in!J29/SER_hh_num_in!J29)</f>
        <v>3764.4199201828692</v>
      </c>
      <c r="K29" s="130">
        <f>IF(SER_hh_emi_in!K29=0,0,1000000*SER_hh_emi_in!K29/SER_hh_num_in!K29)</f>
        <v>3540.2932694143137</v>
      </c>
      <c r="L29" s="130">
        <f>IF(SER_hh_emi_in!L29=0,0,1000000*SER_hh_emi_in!L29/SER_hh_num_in!L29)</f>
        <v>5934.685046860749</v>
      </c>
      <c r="M29" s="130">
        <f>IF(SER_hh_emi_in!M29=0,0,1000000*SER_hh_emi_in!M29/SER_hh_num_in!M29)</f>
        <v>4567.6100383019875</v>
      </c>
      <c r="N29" s="130">
        <f>IF(SER_hh_emi_in!N29=0,0,1000000*SER_hh_emi_in!N29/SER_hh_num_in!N29)</f>
        <v>3521.784132971899</v>
      </c>
      <c r="O29" s="130">
        <f>IF(SER_hh_emi_in!O29=0,0,1000000*SER_hh_emi_in!O29/SER_hh_num_in!O29)</f>
        <v>5464.6582595140999</v>
      </c>
      <c r="P29" s="130">
        <f>IF(SER_hh_emi_in!P29=0,0,1000000*SER_hh_emi_in!P29/SER_hh_num_in!P29)</f>
        <v>2378.3063911435456</v>
      </c>
      <c r="Q29" s="130">
        <f>IF(SER_hh_emi_in!Q29=0,0,1000000*SER_hh_emi_in!Q29/SER_hh_num_in!Q29)</f>
        <v>4682.1043387475484</v>
      </c>
      <c r="R29" s="130">
        <f>IF(SER_hh_emi_in!R29=0,0,1000000*SER_hh_emi_in!R29/SER_hh_num_in!R29)</f>
        <v>2947.9889452328589</v>
      </c>
      <c r="S29" s="130">
        <f>IF(SER_hh_emi_in!S29=0,0,1000000*SER_hh_emi_in!S29/SER_hh_num_in!S29)</f>
        <v>4779.2972890869305</v>
      </c>
      <c r="T29" s="130">
        <f>IF(SER_hh_emi_in!T29=0,0,1000000*SER_hh_emi_in!T29/SER_hh_num_in!T29)</f>
        <v>4724.3024583907973</v>
      </c>
      <c r="U29" s="130">
        <f>IF(SER_hh_emi_in!U29=0,0,1000000*SER_hh_emi_in!U29/SER_hh_num_in!U29)</f>
        <v>4166.0976956261411</v>
      </c>
      <c r="V29" s="130">
        <f>IF(SER_hh_emi_in!V29=0,0,1000000*SER_hh_emi_in!V29/SER_hh_num_in!V29)</f>
        <v>2277.1983647108686</v>
      </c>
      <c r="W29" s="130">
        <f>IF(SER_hh_emi_in!W29=0,0,1000000*SER_hh_emi_in!W29/SER_hh_num_in!W29)</f>
        <v>4871.0500126653105</v>
      </c>
      <c r="X29" s="130">
        <f>IF(SER_hh_emi_in!X29=0,0,1000000*SER_hh_emi_in!X29/SER_hh_num_in!X29)</f>
        <v>5626.0747534410848</v>
      </c>
      <c r="Y29" s="130">
        <f>IF(SER_hh_emi_in!Y29=0,0,1000000*SER_hh_emi_in!Y29/SER_hh_num_in!Y29)</f>
        <v>6145.2228465607213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9200.4501874598645</v>
      </c>
      <c r="D30" s="132">
        <f>IF(SER_hh_emi_in!D30=0,0,1000000*SER_hh_emi_in!D30/SER_hh_num_in!D30)</f>
        <v>8860.4288466294784</v>
      </c>
      <c r="E30" s="132">
        <f>IF(SER_hh_emi_in!E30=0,0,1000000*SER_hh_emi_in!E30/SER_hh_num_in!E30)</f>
        <v>8652.7493429655788</v>
      </c>
      <c r="F30" s="132">
        <f>IF(SER_hh_emi_in!F30=0,0,1000000*SER_hh_emi_in!F30/SER_hh_num_in!F30)</f>
        <v>8569.8669513419409</v>
      </c>
      <c r="G30" s="132">
        <f>IF(SER_hh_emi_in!G30=0,0,1000000*SER_hh_emi_in!G30/SER_hh_num_in!G30)</f>
        <v>9153.8331864724023</v>
      </c>
      <c r="H30" s="132">
        <f>IF(SER_hh_emi_in!H30=0,0,1000000*SER_hh_emi_in!H30/SER_hh_num_in!H30)</f>
        <v>8883.7746951076824</v>
      </c>
      <c r="I30" s="132">
        <f>IF(SER_hh_emi_in!I30=0,0,1000000*SER_hh_emi_in!I30/SER_hh_num_in!I30)</f>
        <v>8533.7206802469263</v>
      </c>
      <c r="J30" s="132">
        <f>IF(SER_hh_emi_in!J30=0,0,1000000*SER_hh_emi_in!J30/SER_hh_num_in!J30)</f>
        <v>9837.0790019774922</v>
      </c>
      <c r="K30" s="132">
        <f>IF(SER_hh_emi_in!K30=0,0,1000000*SER_hh_emi_in!K30/SER_hh_num_in!K30)</f>
        <v>7445.6882353753863</v>
      </c>
      <c r="L30" s="132">
        <f>IF(SER_hh_emi_in!L30=0,0,1000000*SER_hh_emi_in!L30/SER_hh_num_in!L30)</f>
        <v>9534.0461663659516</v>
      </c>
      <c r="M30" s="132">
        <f>IF(SER_hh_emi_in!M30=0,0,1000000*SER_hh_emi_in!M30/SER_hh_num_in!M30)</f>
        <v>9420.168477993966</v>
      </c>
      <c r="N30" s="132">
        <f>IF(SER_hh_emi_in!N30=0,0,1000000*SER_hh_emi_in!N30/SER_hh_num_in!N30)</f>
        <v>9187.3078634823069</v>
      </c>
      <c r="O30" s="132">
        <f>IF(SER_hh_emi_in!O30=0,0,1000000*SER_hh_emi_in!O30/SER_hh_num_in!O30)</f>
        <v>10828.525266737206</v>
      </c>
      <c r="P30" s="132">
        <f>IF(SER_hh_emi_in!P30=0,0,1000000*SER_hh_emi_in!P30/SER_hh_num_in!P30)</f>
        <v>9285.2863687644003</v>
      </c>
      <c r="Q30" s="132">
        <f>IF(SER_hh_emi_in!Q30=0,0,1000000*SER_hh_emi_in!Q30/SER_hh_num_in!Q30)</f>
        <v>10470.846137424307</v>
      </c>
      <c r="R30" s="132">
        <f>IF(SER_hh_emi_in!R30=0,0,1000000*SER_hh_emi_in!R30/SER_hh_num_in!R30)</f>
        <v>9465.9959864885059</v>
      </c>
      <c r="S30" s="132">
        <f>IF(SER_hh_emi_in!S30=0,0,1000000*SER_hh_emi_in!S30/SER_hh_num_in!S30)</f>
        <v>9749.4559256792309</v>
      </c>
      <c r="T30" s="132">
        <f>IF(SER_hh_emi_in!T30=0,0,1000000*SER_hh_emi_in!T30/SER_hh_num_in!T30)</f>
        <v>10501.597318215969</v>
      </c>
      <c r="U30" s="132">
        <f>IF(SER_hh_emi_in!U30=0,0,1000000*SER_hh_emi_in!U30/SER_hh_num_in!U30)</f>
        <v>10535.954562282397</v>
      </c>
      <c r="V30" s="132">
        <f>IF(SER_hh_emi_in!V30=0,0,1000000*SER_hh_emi_in!V30/SER_hh_num_in!V30)</f>
        <v>8801.521074066708</v>
      </c>
      <c r="W30" s="132">
        <f>IF(SER_hh_emi_in!W30=0,0,1000000*SER_hh_emi_in!W30/SER_hh_num_in!W30)</f>
        <v>9986.1470418709814</v>
      </c>
      <c r="X30" s="132">
        <f>IF(SER_hh_emi_in!X30=0,0,1000000*SER_hh_emi_in!X30/SER_hh_num_in!X30)</f>
        <v>10165.034925268363</v>
      </c>
      <c r="Y30" s="132">
        <f>IF(SER_hh_emi_in!Y30=0,0,1000000*SER_hh_emi_in!Y30/SER_hh_num_in!Y30)</f>
        <v>10444.795792524854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7946.8893818971928</v>
      </c>
      <c r="D31" s="132">
        <f>IF(SER_hh_emi_in!D31=0,0,1000000*SER_hh_emi_in!D31/SER_hh_num_in!D31)</f>
        <v>7802.2707849554108</v>
      </c>
      <c r="E31" s="132">
        <f>IF(SER_hh_emi_in!E31=0,0,1000000*SER_hh_emi_in!E31/SER_hh_num_in!E31)</f>
        <v>7629.5502303868489</v>
      </c>
      <c r="F31" s="132">
        <f>IF(SER_hh_emi_in!F31=0,0,1000000*SER_hh_emi_in!F31/SER_hh_num_in!F31)</f>
        <v>7694.9963376628484</v>
      </c>
      <c r="G31" s="132">
        <f>IF(SER_hh_emi_in!G31=0,0,1000000*SER_hh_emi_in!G31/SER_hh_num_in!G31)</f>
        <v>7655.9988829030381</v>
      </c>
      <c r="H31" s="132">
        <f>IF(SER_hh_emi_in!H31=0,0,1000000*SER_hh_emi_in!H31/SER_hh_num_in!H31)</f>
        <v>7655.8277846262927</v>
      </c>
      <c r="I31" s="132">
        <f>IF(SER_hh_emi_in!I31=0,0,1000000*SER_hh_emi_in!I31/SER_hh_num_in!I31)</f>
        <v>7513.6334346201766</v>
      </c>
      <c r="J31" s="132">
        <f>IF(SER_hh_emi_in!J31=0,0,1000000*SER_hh_emi_in!J31/SER_hh_num_in!J31)</f>
        <v>7444.5096490597643</v>
      </c>
      <c r="K31" s="132">
        <f>IF(SER_hh_emi_in!K31=0,0,1000000*SER_hh_emi_in!K31/SER_hh_num_in!K31)</f>
        <v>7614.4998830159311</v>
      </c>
      <c r="L31" s="132">
        <f>IF(SER_hh_emi_in!L31=0,0,1000000*SER_hh_emi_in!L31/SER_hh_num_in!L31)</f>
        <v>7986.0623418663863</v>
      </c>
      <c r="M31" s="132">
        <f>IF(SER_hh_emi_in!M31=0,0,1000000*SER_hh_emi_in!M31/SER_hh_num_in!M31)</f>
        <v>7664.0875581956907</v>
      </c>
      <c r="N31" s="132">
        <f>IF(SER_hh_emi_in!N31=0,0,1000000*SER_hh_emi_in!N31/SER_hh_num_in!N31)</f>
        <v>8325.7344747293682</v>
      </c>
      <c r="O31" s="132">
        <f>IF(SER_hh_emi_in!O31=0,0,1000000*SER_hh_emi_in!O31/SER_hh_num_in!O31)</f>
        <v>8467.515416126982</v>
      </c>
      <c r="P31" s="132">
        <f>IF(SER_hh_emi_in!P31=0,0,1000000*SER_hh_emi_in!P31/SER_hh_num_in!P31)</f>
        <v>8431.7504653788437</v>
      </c>
      <c r="Q31" s="132">
        <f>IF(SER_hh_emi_in!Q31=0,0,1000000*SER_hh_emi_in!Q31/SER_hh_num_in!Q31)</f>
        <v>9070.4677437231949</v>
      </c>
      <c r="R31" s="132">
        <f>IF(SER_hh_emi_in!R31=0,0,1000000*SER_hh_emi_in!R31/SER_hh_num_in!R31)</f>
        <v>8759.8789355692807</v>
      </c>
      <c r="S31" s="132">
        <f>IF(SER_hh_emi_in!S31=0,0,1000000*SER_hh_emi_in!S31/SER_hh_num_in!S31)</f>
        <v>8437.3872901855138</v>
      </c>
      <c r="T31" s="132">
        <f>IF(SER_hh_emi_in!T31=0,0,1000000*SER_hh_emi_in!T31/SER_hh_num_in!T31)</f>
        <v>8662.7511441682127</v>
      </c>
      <c r="U31" s="132">
        <f>IF(SER_hh_emi_in!U31=0,0,1000000*SER_hh_emi_in!U31/SER_hh_num_in!U31)</f>
        <v>8883.2623011414962</v>
      </c>
      <c r="V31" s="132">
        <f>IF(SER_hh_emi_in!V31=0,0,1000000*SER_hh_emi_in!V31/SER_hh_num_in!V31)</f>
        <v>6943.4754845572434</v>
      </c>
      <c r="W31" s="132">
        <f>IF(SER_hh_emi_in!W31=0,0,1000000*SER_hh_emi_in!W31/SER_hh_num_in!W31)</f>
        <v>9451.4304100217905</v>
      </c>
      <c r="X31" s="132">
        <f>IF(SER_hh_emi_in!X31=0,0,1000000*SER_hh_emi_in!X31/SER_hh_num_in!X31)</f>
        <v>9009.0894092069375</v>
      </c>
      <c r="Y31" s="132">
        <f>IF(SER_hh_emi_in!Y31=0,0,1000000*SER_hh_emi_in!Y31/SER_hh_num_in!Y31)</f>
        <v>8580.8849350360979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273.93660325170481</v>
      </c>
      <c r="D3" s="125">
        <f>IF(SER_hh_fech_in!D3=0,0,SER_hh_fech_in!D3/SER_summary!D$27)</f>
        <v>254.04406394971284</v>
      </c>
      <c r="E3" s="125">
        <f>IF(SER_hh_fech_in!E3=0,0,SER_hh_fech_in!E3/SER_summary!E$27)</f>
        <v>289.0191871084412</v>
      </c>
      <c r="F3" s="125">
        <f>IF(SER_hh_fech_in!F3=0,0,SER_hh_fech_in!F3/SER_summary!F$27)</f>
        <v>264.90182619394835</v>
      </c>
      <c r="G3" s="125">
        <f>IF(SER_hh_fech_in!G3=0,0,SER_hh_fech_in!G3/SER_summary!G$27)</f>
        <v>268.32089513855215</v>
      </c>
      <c r="H3" s="125">
        <f>IF(SER_hh_fech_in!H3=0,0,SER_hh_fech_in!H3/SER_summary!H$27)</f>
        <v>280.96438475225193</v>
      </c>
      <c r="I3" s="125">
        <f>IF(SER_hh_fech_in!I3=0,0,SER_hh_fech_in!I3/SER_summary!I$27)</f>
        <v>266.80687684039259</v>
      </c>
      <c r="J3" s="125">
        <f>IF(SER_hh_fech_in!J3=0,0,SER_hh_fech_in!J3/SER_summary!J$27)</f>
        <v>282.72444766233019</v>
      </c>
      <c r="K3" s="125">
        <f>IF(SER_hh_fech_in!K3=0,0,SER_hh_fech_in!K3/SER_summary!K$27)</f>
        <v>276.69115263288217</v>
      </c>
      <c r="L3" s="125">
        <f>IF(SER_hh_fech_in!L3=0,0,SER_hh_fech_in!L3/SER_summary!L$27)</f>
        <v>280.62506936153994</v>
      </c>
      <c r="M3" s="125">
        <f>IF(SER_hh_fech_in!M3=0,0,SER_hh_fech_in!M3/SER_summary!M$27)</f>
        <v>250.85691591419359</v>
      </c>
      <c r="N3" s="125">
        <f>IF(SER_hh_fech_in!N3=0,0,SER_hh_fech_in!N3/SER_summary!N$27)</f>
        <v>253.99009119076848</v>
      </c>
      <c r="O3" s="125">
        <f>IF(SER_hh_fech_in!O3=0,0,SER_hh_fech_in!O3/SER_summary!O$27)</f>
        <v>252.41717987544135</v>
      </c>
      <c r="P3" s="125">
        <f>IF(SER_hh_fech_in!P3=0,0,SER_hh_fech_in!P3/SER_summary!P$27)</f>
        <v>208.39341169600388</v>
      </c>
      <c r="Q3" s="125">
        <f>IF(SER_hh_fech_in!Q3=0,0,SER_hh_fech_in!Q3/SER_summary!Q$27)</f>
        <v>217.14941506911018</v>
      </c>
      <c r="R3" s="125">
        <f>IF(SER_hh_fech_in!R3=0,0,SER_hh_fech_in!R3/SER_summary!R$27)</f>
        <v>198.38957714951738</v>
      </c>
      <c r="S3" s="125">
        <f>IF(SER_hh_fech_in!S3=0,0,SER_hh_fech_in!S3/SER_summary!S$27)</f>
        <v>183.55605856547032</v>
      </c>
      <c r="T3" s="125">
        <f>IF(SER_hh_fech_in!T3=0,0,SER_hh_fech_in!T3/SER_summary!T$27)</f>
        <v>190.04554893689016</v>
      </c>
      <c r="U3" s="125">
        <f>IF(SER_hh_fech_in!U3=0,0,SER_hh_fech_in!U3/SER_summary!U$27)</f>
        <v>180.35393583473413</v>
      </c>
      <c r="V3" s="125">
        <f>IF(SER_hh_fech_in!V3=0,0,SER_hh_fech_in!V3/SER_summary!V$27)</f>
        <v>143.30914016991923</v>
      </c>
      <c r="W3" s="125">
        <f>IF(SER_hh_fech_in!W3=0,0,SER_hh_fech_in!W3/SER_summary!W$27)</f>
        <v>139.02517456148081</v>
      </c>
      <c r="X3" s="125">
        <f>IF(SER_hh_fech_in!X3=0,0,SER_hh_fech_in!X3/SER_summary!X$27)</f>
        <v>119.63795221815445</v>
      </c>
      <c r="Y3" s="125">
        <f>IF(SER_hh_fech_in!Y3=0,0,SER_hh_fech_in!Y3/SER_summary!Y$27)</f>
        <v>118.91609990095333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187.44261030962815</v>
      </c>
      <c r="D4" s="130">
        <f>IF(SER_hh_fech_in!D4=0,0,SER_hh_fech_in!D4/SER_summary!D$27)</f>
        <v>169.42222663261452</v>
      </c>
      <c r="E4" s="130">
        <f>IF(SER_hh_fech_in!E4=0,0,SER_hh_fech_in!E4/SER_summary!E$27)</f>
        <v>204.91807996581176</v>
      </c>
      <c r="F4" s="130">
        <f>IF(SER_hh_fech_in!F4=0,0,SER_hh_fech_in!F4/SER_summary!F$27)</f>
        <v>181.85068442671579</v>
      </c>
      <c r="G4" s="130">
        <f>IF(SER_hh_fech_in!G4=0,0,SER_hh_fech_in!G4/SER_summary!G$27)</f>
        <v>184.87372459887476</v>
      </c>
      <c r="H4" s="130">
        <f>IF(SER_hh_fech_in!H4=0,0,SER_hh_fech_in!H4/SER_summary!H$27)</f>
        <v>199.8364964791881</v>
      </c>
      <c r="I4" s="130">
        <f>IF(SER_hh_fech_in!I4=0,0,SER_hh_fech_in!I4/SER_summary!I$27)</f>
        <v>189.07200639831217</v>
      </c>
      <c r="J4" s="130">
        <f>IF(SER_hh_fech_in!J4=0,0,SER_hh_fech_in!J4/SER_summary!J$27)</f>
        <v>206.55153468931078</v>
      </c>
      <c r="K4" s="130">
        <f>IF(SER_hh_fech_in!K4=0,0,SER_hh_fech_in!K4/SER_summary!K$27)</f>
        <v>197.14328573813506</v>
      </c>
      <c r="L4" s="130">
        <f>IF(SER_hh_fech_in!L4=0,0,SER_hh_fech_in!L4/SER_summary!L$27)</f>
        <v>198.9257683183651</v>
      </c>
      <c r="M4" s="130">
        <f>IF(SER_hh_fech_in!M4=0,0,SER_hh_fech_in!M4/SER_summary!M$27)</f>
        <v>170.32216283924427</v>
      </c>
      <c r="N4" s="130">
        <f>IF(SER_hh_fech_in!N4=0,0,SER_hh_fech_in!N4/SER_summary!N$27)</f>
        <v>173.17929962083025</v>
      </c>
      <c r="O4" s="130">
        <f>IF(SER_hh_fech_in!O4=0,0,SER_hh_fech_in!O4/SER_summary!O$27)</f>
        <v>170.49369719882156</v>
      </c>
      <c r="P4" s="130">
        <f>IF(SER_hh_fech_in!P4=0,0,SER_hh_fech_in!P4/SER_summary!P$27)</f>
        <v>131.25898627653402</v>
      </c>
      <c r="Q4" s="130">
        <f>IF(SER_hh_fech_in!Q4=0,0,SER_hh_fech_in!Q4/SER_summary!Q$27)</f>
        <v>137.20129331686508</v>
      </c>
      <c r="R4" s="130">
        <f>IF(SER_hh_fech_in!R4=0,0,SER_hh_fech_in!R4/SER_summary!R$27)</f>
        <v>122.45370739621126</v>
      </c>
      <c r="S4" s="130">
        <f>IF(SER_hh_fech_in!S4=0,0,SER_hh_fech_in!S4/SER_summary!S$27)</f>
        <v>107.00062687105179</v>
      </c>
      <c r="T4" s="130">
        <f>IF(SER_hh_fech_in!T4=0,0,SER_hh_fech_in!T4/SER_summary!T$27)</f>
        <v>114.9512076184171</v>
      </c>
      <c r="U4" s="130">
        <f>IF(SER_hh_fech_in!U4=0,0,SER_hh_fech_in!U4/SER_summary!U$27)</f>
        <v>106.41836490166676</v>
      </c>
      <c r="V4" s="130">
        <f>IF(SER_hh_fech_in!V4=0,0,SER_hh_fech_in!V4/SER_summary!V$27)</f>
        <v>77.340962180511383</v>
      </c>
      <c r="W4" s="130">
        <f>IF(SER_hh_fech_in!W4=0,0,SER_hh_fech_in!W4/SER_summary!W$27)</f>
        <v>63.539985432818241</v>
      </c>
      <c r="X4" s="130">
        <f>IF(SER_hh_fech_in!X4=0,0,SER_hh_fech_in!X4/SER_summary!X$27)</f>
        <v>45.951215853367692</v>
      </c>
      <c r="Y4" s="130">
        <f>IF(SER_hh_fech_in!Y4=0,0,SER_hh_fech_in!Y4/SER_summary!Y$27)</f>
        <v>45.704574595434977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116.64279352528149</v>
      </c>
      <c r="D5" s="132">
        <f>IF(SER_hh_fech_in!D5=0,0,SER_hh_fech_in!D5/SER_summary!D$27)</f>
        <v>58.496790712878131</v>
      </c>
      <c r="E5" s="132">
        <f>IF(SER_hh_fech_in!E5=0,0,SER_hh_fech_in!E5/SER_summary!E$27)</f>
        <v>315.22817628488804</v>
      </c>
      <c r="F5" s="132">
        <f>IF(SER_hh_fech_in!F5=0,0,SER_hh_fech_in!F5/SER_summary!F$27)</f>
        <v>263.52811118168819</v>
      </c>
      <c r="G5" s="132">
        <f>IF(SER_hh_fech_in!G5=0,0,SER_hh_fech_in!G5/SER_summary!G$27)</f>
        <v>254.67518498200047</v>
      </c>
      <c r="H5" s="132">
        <f>IF(SER_hh_fech_in!H5=0,0,SER_hh_fech_in!H5/SER_summary!H$27)</f>
        <v>251.05951743967736</v>
      </c>
      <c r="I5" s="132">
        <f>IF(SER_hh_fech_in!I5=0,0,SER_hh_fech_in!I5/SER_summary!I$27)</f>
        <v>0</v>
      </c>
      <c r="J5" s="132">
        <f>IF(SER_hh_fech_in!J5=0,0,SER_hh_fech_in!J5/SER_summary!J$27)</f>
        <v>0</v>
      </c>
      <c r="K5" s="132">
        <f>IF(SER_hh_fech_in!K5=0,0,SER_hh_fech_in!K5/SER_summary!K$27)</f>
        <v>0</v>
      </c>
      <c r="L5" s="132">
        <f>IF(SER_hh_fech_in!L5=0,0,SER_hh_fech_in!L5/SER_summary!L$27)</f>
        <v>0</v>
      </c>
      <c r="M5" s="132">
        <f>IF(SER_hh_fech_in!M5=0,0,SER_hh_fech_in!M5/SER_summary!M$27)</f>
        <v>0</v>
      </c>
      <c r="N5" s="132">
        <f>IF(SER_hh_fech_in!N5=0,0,SER_hh_fech_in!N5/SER_summary!N$27)</f>
        <v>0</v>
      </c>
      <c r="O5" s="132">
        <f>IF(SER_hh_fech_in!O5=0,0,SER_hh_fech_in!O5/SER_summary!O$27)</f>
        <v>0</v>
      </c>
      <c r="P5" s="132">
        <f>IF(SER_hh_fech_in!P5=0,0,SER_hh_fech_in!P5/SER_summary!P$27)</f>
        <v>0</v>
      </c>
      <c r="Q5" s="132">
        <f>IF(SER_hh_fech_in!Q5=0,0,SER_hh_fech_in!Q5/SER_summary!Q$27)</f>
        <v>111.26457450081438</v>
      </c>
      <c r="R5" s="132">
        <f>IF(SER_hh_fech_in!R5=0,0,SER_hh_fech_in!R5/SER_summary!R$27)</f>
        <v>187.92253645677408</v>
      </c>
      <c r="S5" s="132">
        <f>IF(SER_hh_fech_in!S5=0,0,SER_hh_fech_in!S5/SER_summary!S$27)</f>
        <v>146.79071249266613</v>
      </c>
      <c r="T5" s="132">
        <f>IF(SER_hh_fech_in!T5=0,0,SER_hh_fech_in!T5/SER_summary!T$27)</f>
        <v>154.36949761978116</v>
      </c>
      <c r="U5" s="132">
        <f>IF(SER_hh_fech_in!U5=0,0,SER_hh_fech_in!U5/SER_summary!U$27)</f>
        <v>150.93605168185732</v>
      </c>
      <c r="V5" s="132">
        <f>IF(SER_hh_fech_in!V5=0,0,SER_hh_fech_in!V5/SER_summary!V$27)</f>
        <v>0</v>
      </c>
      <c r="W5" s="132">
        <f>IF(SER_hh_fech_in!W5=0,0,SER_hh_fech_in!W5/SER_summary!W$27)</f>
        <v>0</v>
      </c>
      <c r="X5" s="132">
        <f>IF(SER_hh_fech_in!X5=0,0,SER_hh_fech_in!X5/SER_summary!X$27)</f>
        <v>60.892483195707918</v>
      </c>
      <c r="Y5" s="132">
        <f>IF(SER_hh_fech_in!Y5=0,0,SER_hh_fech_in!Y5/SER_summary!Y$27)</f>
        <v>59.192940193024512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232.53598736373755</v>
      </c>
      <c r="D7" s="132">
        <f>IF(SER_hh_fech_in!D7=0,0,SER_hh_fech_in!D7/SER_summary!D$27)</f>
        <v>0</v>
      </c>
      <c r="E7" s="132">
        <f>IF(SER_hh_fech_in!E7=0,0,SER_hh_fech_in!E7/SER_summary!E$27)</f>
        <v>0</v>
      </c>
      <c r="F7" s="132">
        <f>IF(SER_hh_fech_in!F7=0,0,SER_hh_fech_in!F7/SER_summary!F$27)</f>
        <v>0</v>
      </c>
      <c r="G7" s="132">
        <f>IF(SER_hh_fech_in!G7=0,0,SER_hh_fech_in!G7/SER_summary!G$27)</f>
        <v>0</v>
      </c>
      <c r="H7" s="132">
        <f>IF(SER_hh_fech_in!H7=0,0,SER_hh_fech_in!H7/SER_summary!H$27)</f>
        <v>0</v>
      </c>
      <c r="I7" s="132">
        <f>IF(SER_hh_fech_in!I7=0,0,SER_hh_fech_in!I7/SER_summary!I$27)</f>
        <v>233.04839230190416</v>
      </c>
      <c r="J7" s="132">
        <f>IF(SER_hh_fech_in!J7=0,0,SER_hh_fech_in!J7/SER_summary!J$27)</f>
        <v>252.18076028569214</v>
      </c>
      <c r="K7" s="132">
        <f>IF(SER_hh_fech_in!K7=0,0,SER_hh_fech_in!K7/SER_summary!K$27)</f>
        <v>209.3955631089477</v>
      </c>
      <c r="L7" s="132">
        <f>IF(SER_hh_fech_in!L7=0,0,SER_hh_fech_in!L7/SER_summary!L$27)</f>
        <v>213.4394036899929</v>
      </c>
      <c r="M7" s="132">
        <f>IF(SER_hh_fech_in!M7=0,0,SER_hh_fech_in!M7/SER_summary!M$27)</f>
        <v>186.08039325109814</v>
      </c>
      <c r="N7" s="132">
        <f>IF(SER_hh_fech_in!N7=0,0,SER_hh_fech_in!N7/SER_summary!N$27)</f>
        <v>168.82573496990904</v>
      </c>
      <c r="O7" s="132">
        <f>IF(SER_hh_fech_in!O7=0,0,SER_hh_fech_in!O7/SER_summary!O$27)</f>
        <v>193.01328034365844</v>
      </c>
      <c r="P7" s="132">
        <f>IF(SER_hh_fech_in!P7=0,0,SER_hh_fech_in!P7/SER_summary!P$27)</f>
        <v>160.04194993465381</v>
      </c>
      <c r="Q7" s="132">
        <f>IF(SER_hh_fech_in!Q7=0,0,SER_hh_fech_in!Q7/SER_summary!Q$27)</f>
        <v>158.83258768684476</v>
      </c>
      <c r="R7" s="132">
        <f>IF(SER_hh_fech_in!R7=0,0,SER_hh_fech_in!R7/SER_summary!R$27)</f>
        <v>144.18308053391078</v>
      </c>
      <c r="S7" s="132">
        <f>IF(SER_hh_fech_in!S7=0,0,SER_hh_fech_in!S7/SER_summary!S$27)</f>
        <v>127.72944771942008</v>
      </c>
      <c r="T7" s="132">
        <f>IF(SER_hh_fech_in!T7=0,0,SER_hh_fech_in!T7/SER_summary!T$27)</f>
        <v>0</v>
      </c>
      <c r="U7" s="132">
        <f>IF(SER_hh_fech_in!U7=0,0,SER_hh_fech_in!U7/SER_summary!U$27)</f>
        <v>0</v>
      </c>
      <c r="V7" s="132">
        <f>IF(SER_hh_fech_in!V7=0,0,SER_hh_fech_in!V7/SER_summary!V$27)</f>
        <v>96.525091515432877</v>
      </c>
      <c r="W7" s="132">
        <f>IF(SER_hh_fech_in!W7=0,0,SER_hh_fech_in!W7/SER_summary!W$27)</f>
        <v>74.887727132350648</v>
      </c>
      <c r="X7" s="132">
        <f>IF(SER_hh_fech_in!X7=0,0,SER_hh_fech_in!X7/SER_summary!X$27)</f>
        <v>53.533871707298502</v>
      </c>
      <c r="Y7" s="132">
        <f>IF(SER_hh_fech_in!Y7=0,0,SER_hh_fech_in!Y7/SER_summary!Y$27)</f>
        <v>53.666809554539199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0</v>
      </c>
      <c r="D8" s="132">
        <f>IF(SER_hh_fech_in!D8=0,0,SER_hh_fech_in!D8/SER_summary!D$27)</f>
        <v>0</v>
      </c>
      <c r="E8" s="132">
        <f>IF(SER_hh_fech_in!E8=0,0,SER_hh_fech_in!E8/SER_summary!E$27)</f>
        <v>0</v>
      </c>
      <c r="F8" s="132">
        <f>IF(SER_hh_fech_in!F8=0,0,SER_hh_fech_in!F8/SER_summary!F$27)</f>
        <v>0</v>
      </c>
      <c r="G8" s="132">
        <f>IF(SER_hh_fech_in!G8=0,0,SER_hh_fech_in!G8/SER_summary!G$27)</f>
        <v>0</v>
      </c>
      <c r="H8" s="132">
        <f>IF(SER_hh_fech_in!H8=0,0,SER_hh_fech_in!H8/SER_summary!H$27)</f>
        <v>0</v>
      </c>
      <c r="I8" s="132">
        <f>IF(SER_hh_fech_in!I8=0,0,SER_hh_fech_in!I8/SER_summary!I$27)</f>
        <v>0</v>
      </c>
      <c r="J8" s="132">
        <f>IF(SER_hh_fech_in!J8=0,0,SER_hh_fech_in!J8/SER_summary!J$27)</f>
        <v>0</v>
      </c>
      <c r="K8" s="132">
        <f>IF(SER_hh_fech_in!K8=0,0,SER_hh_fech_in!K8/SER_summary!K$27)</f>
        <v>0</v>
      </c>
      <c r="L8" s="132">
        <f>IF(SER_hh_fech_in!L8=0,0,SER_hh_fech_in!L8/SER_summary!L$27)</f>
        <v>0</v>
      </c>
      <c r="M8" s="132">
        <f>IF(SER_hh_fech_in!M8=0,0,SER_hh_fech_in!M8/SER_summary!M$27)</f>
        <v>0</v>
      </c>
      <c r="N8" s="132">
        <f>IF(SER_hh_fech_in!N8=0,0,SER_hh_fech_in!N8/SER_summary!N$27)</f>
        <v>0</v>
      </c>
      <c r="O8" s="132">
        <f>IF(SER_hh_fech_in!O8=0,0,SER_hh_fech_in!O8/SER_summary!O$27)</f>
        <v>0</v>
      </c>
      <c r="P8" s="132">
        <f>IF(SER_hh_fech_in!P8=0,0,SER_hh_fech_in!P8/SER_summary!P$27)</f>
        <v>0</v>
      </c>
      <c r="Q8" s="132">
        <f>IF(SER_hh_fech_in!Q8=0,0,SER_hh_fech_in!Q8/SER_summary!Q$27)</f>
        <v>0</v>
      </c>
      <c r="R8" s="132">
        <f>IF(SER_hh_fech_in!R8=0,0,SER_hh_fech_in!R8/SER_summary!R$27)</f>
        <v>0</v>
      </c>
      <c r="S8" s="132">
        <f>IF(SER_hh_fech_in!S8=0,0,SER_hh_fech_in!S8/SER_summary!S$27)</f>
        <v>0</v>
      </c>
      <c r="T8" s="132">
        <f>IF(SER_hh_fech_in!T8=0,0,SER_hh_fech_in!T8/SER_summary!T$27)</f>
        <v>0</v>
      </c>
      <c r="U8" s="132">
        <f>IF(SER_hh_fech_in!U8=0,0,SER_hh_fech_in!U8/SER_summary!U$27)</f>
        <v>0</v>
      </c>
      <c r="V8" s="132">
        <f>IF(SER_hh_fech_in!V8=0,0,SER_hh_fech_in!V8/SER_summary!V$27)</f>
        <v>0</v>
      </c>
      <c r="W8" s="132">
        <f>IF(SER_hh_fech_in!W8=0,0,SER_hh_fech_in!W8/SER_summary!W$27)</f>
        <v>0</v>
      </c>
      <c r="X8" s="132">
        <f>IF(SER_hh_fech_in!X8=0,0,SER_hh_fech_in!X8/SER_summary!X$27)</f>
        <v>0</v>
      </c>
      <c r="Y8" s="132">
        <f>IF(SER_hh_fech_in!Y8=0,0,SER_hh_fech_in!Y8/SER_summary!Y$27)</f>
        <v>0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221.70382438827281</v>
      </c>
      <c r="D9" s="132">
        <f>IF(SER_hh_fech_in!D9=0,0,SER_hh_fech_in!D9/SER_summary!D$27)</f>
        <v>212.52605634632084</v>
      </c>
      <c r="E9" s="132">
        <f>IF(SER_hh_fech_in!E9=0,0,SER_hh_fech_in!E9/SER_summary!E$27)</f>
        <v>221.58134739574206</v>
      </c>
      <c r="F9" s="132">
        <f>IF(SER_hh_fech_in!F9=0,0,SER_hh_fech_in!F9/SER_summary!F$27)</f>
        <v>218.18024933404973</v>
      </c>
      <c r="G9" s="132">
        <f>IF(SER_hh_fech_in!G9=0,0,SER_hh_fech_in!G9/SER_summary!G$27)</f>
        <v>215.92671417212082</v>
      </c>
      <c r="H9" s="132">
        <f>IF(SER_hh_fech_in!H9=0,0,SER_hh_fech_in!H9/SER_summary!H$27)</f>
        <v>233.56307653672272</v>
      </c>
      <c r="I9" s="132">
        <f>IF(SER_hh_fech_in!I9=0,0,SER_hh_fech_in!I9/SER_summary!I$27)</f>
        <v>230.21011139413713</v>
      </c>
      <c r="J9" s="132">
        <f>IF(SER_hh_fech_in!J9=0,0,SER_hh_fech_in!J9/SER_summary!J$27)</f>
        <v>229.36895779054589</v>
      </c>
      <c r="K9" s="132">
        <f>IF(SER_hh_fech_in!K9=0,0,SER_hh_fech_in!K9/SER_summary!K$27)</f>
        <v>199.54834639426153</v>
      </c>
      <c r="L9" s="132">
        <f>IF(SER_hh_fech_in!L9=0,0,SER_hh_fech_in!L9/SER_summary!L$27)</f>
        <v>207.47215354311183</v>
      </c>
      <c r="M9" s="132">
        <f>IF(SER_hh_fech_in!M9=0,0,SER_hh_fech_in!M9/SER_summary!M$27)</f>
        <v>177.48328019452705</v>
      </c>
      <c r="N9" s="132">
        <f>IF(SER_hh_fech_in!N9=0,0,SER_hh_fech_in!N9/SER_summary!N$27)</f>
        <v>184.64524263719861</v>
      </c>
      <c r="O9" s="132">
        <f>IF(SER_hh_fech_in!O9=0,0,SER_hh_fech_in!O9/SER_summary!O$27)</f>
        <v>163.83401220558659</v>
      </c>
      <c r="P9" s="132">
        <f>IF(SER_hh_fech_in!P9=0,0,SER_hh_fech_in!P9/SER_summary!P$27)</f>
        <v>137.37310029980776</v>
      </c>
      <c r="Q9" s="132">
        <f>IF(SER_hh_fech_in!Q9=0,0,SER_hh_fech_in!Q9/SER_summary!Q$27)</f>
        <v>144.22098219068349</v>
      </c>
      <c r="R9" s="132">
        <f>IF(SER_hh_fech_in!R9=0,0,SER_hh_fech_in!R9/SER_summary!R$27)</f>
        <v>128.57935484874389</v>
      </c>
      <c r="S9" s="132">
        <f>IF(SER_hh_fech_in!S9=0,0,SER_hh_fech_in!S9/SER_summary!S$27)</f>
        <v>115.26167009795412</v>
      </c>
      <c r="T9" s="132">
        <f>IF(SER_hh_fech_in!T9=0,0,SER_hh_fech_in!T9/SER_summary!T$27)</f>
        <v>118.20639147689434</v>
      </c>
      <c r="U9" s="132">
        <f>IF(SER_hh_fech_in!U9=0,0,SER_hh_fech_in!U9/SER_summary!U$27)</f>
        <v>108.41478369817047</v>
      </c>
      <c r="V9" s="132">
        <f>IF(SER_hh_fech_in!V9=0,0,SER_hh_fech_in!V9/SER_summary!V$27)</f>
        <v>86.00818673508536</v>
      </c>
      <c r="W9" s="132">
        <f>IF(SER_hh_fech_in!W9=0,0,SER_hh_fech_in!W9/SER_summary!W$27)</f>
        <v>68.959559892739719</v>
      </c>
      <c r="X9" s="132">
        <f>IF(SER_hh_fech_in!X9=0,0,SER_hh_fech_in!X9/SER_summary!X$27)</f>
        <v>48.836903428213866</v>
      </c>
      <c r="Y9" s="132">
        <f>IF(SER_hh_fech_in!Y9=0,0,SER_hh_fech_in!Y9/SER_summary!Y$27)</f>
        <v>47.786781113587807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0</v>
      </c>
      <c r="D10" s="132">
        <f>IF(SER_hh_fech_in!D10=0,0,SER_hh_fech_in!D10/SER_summary!D$27)</f>
        <v>0</v>
      </c>
      <c r="E10" s="132">
        <f>IF(SER_hh_fech_in!E10=0,0,SER_hh_fech_in!E10/SER_summary!E$27)</f>
        <v>0</v>
      </c>
      <c r="F10" s="132">
        <f>IF(SER_hh_fech_in!F10=0,0,SER_hh_fech_in!F10/SER_summary!F$27)</f>
        <v>0</v>
      </c>
      <c r="G10" s="132">
        <f>IF(SER_hh_fech_in!G10=0,0,SER_hh_fech_in!G10/SER_summary!G$27)</f>
        <v>55.755353782205916</v>
      </c>
      <c r="H10" s="132">
        <f>IF(SER_hh_fech_in!H10=0,0,SER_hh_fech_in!H10/SER_summary!H$27)</f>
        <v>143.39972411745759</v>
      </c>
      <c r="I10" s="132">
        <f>IF(SER_hh_fech_in!I10=0,0,SER_hh_fech_in!I10/SER_summary!I$27)</f>
        <v>264.98930528049118</v>
      </c>
      <c r="J10" s="132">
        <f>IF(SER_hh_fech_in!J10=0,0,SER_hh_fech_in!J10/SER_summary!J$27)</f>
        <v>314.84527354350428</v>
      </c>
      <c r="K10" s="132">
        <f>IF(SER_hh_fech_in!K10=0,0,SER_hh_fech_in!K10/SER_summary!K$27)</f>
        <v>294.90623386879406</v>
      </c>
      <c r="L10" s="132">
        <f>IF(SER_hh_fech_in!L10=0,0,SER_hh_fech_in!L10/SER_summary!L$27)</f>
        <v>209.05616523751982</v>
      </c>
      <c r="M10" s="132">
        <f>IF(SER_hh_fech_in!M10=0,0,SER_hh_fech_in!M10/SER_summary!M$27)</f>
        <v>219.50329238852132</v>
      </c>
      <c r="N10" s="132">
        <f>IF(SER_hh_fech_in!N10=0,0,SER_hh_fech_in!N10/SER_summary!N$27)</f>
        <v>211.64699888775945</v>
      </c>
      <c r="O10" s="132">
        <f>IF(SER_hh_fech_in!O10=0,0,SER_hh_fech_in!O10/SER_summary!O$27)</f>
        <v>245.14411196658187</v>
      </c>
      <c r="P10" s="132">
        <f>IF(SER_hh_fech_in!P10=0,0,SER_hh_fech_in!P10/SER_summary!P$27)</f>
        <v>253.97762332286158</v>
      </c>
      <c r="Q10" s="132">
        <f>IF(SER_hh_fech_in!Q10=0,0,SER_hh_fech_in!Q10/SER_summary!Q$27)</f>
        <v>145.96833693816976</v>
      </c>
      <c r="R10" s="132">
        <f>IF(SER_hh_fech_in!R10=0,0,SER_hh_fech_in!R10/SER_summary!R$27)</f>
        <v>203.58379115620556</v>
      </c>
      <c r="S10" s="132">
        <f>IF(SER_hh_fech_in!S10=0,0,SER_hh_fech_in!S10/SER_summary!S$27)</f>
        <v>0</v>
      </c>
      <c r="T10" s="132">
        <f>IF(SER_hh_fech_in!T10=0,0,SER_hh_fech_in!T10/SER_summary!T$27)</f>
        <v>0</v>
      </c>
      <c r="U10" s="132">
        <f>IF(SER_hh_fech_in!U10=0,0,SER_hh_fech_in!U10/SER_summary!U$27)</f>
        <v>0</v>
      </c>
      <c r="V10" s="132">
        <f>IF(SER_hh_fech_in!V10=0,0,SER_hh_fech_in!V10/SER_summary!V$27)</f>
        <v>120.99212524259154</v>
      </c>
      <c r="W10" s="132">
        <f>IF(SER_hh_fech_in!W10=0,0,SER_hh_fech_in!W10/SER_summary!W$27)</f>
        <v>106.19729617366724</v>
      </c>
      <c r="X10" s="132">
        <f>IF(SER_hh_fech_in!X10=0,0,SER_hh_fech_in!X10/SER_summary!X$27)</f>
        <v>75.593818626028934</v>
      </c>
      <c r="Y10" s="132">
        <f>IF(SER_hh_fech_in!Y10=0,0,SER_hh_fech_in!Y10/SER_summary!Y$27)</f>
        <v>65.066870114681521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0</v>
      </c>
      <c r="D11" s="132">
        <f>IF(SER_hh_fech_in!D11=0,0,SER_hh_fech_in!D11/SER_summary!D$27)</f>
        <v>0</v>
      </c>
      <c r="E11" s="132">
        <f>IF(SER_hh_fech_in!E11=0,0,SER_hh_fech_in!E11/SER_summary!E$27)</f>
        <v>0</v>
      </c>
      <c r="F11" s="132">
        <f>IF(SER_hh_fech_in!F11=0,0,SER_hh_fech_in!F11/SER_summary!F$27)</f>
        <v>0</v>
      </c>
      <c r="G11" s="132">
        <f>IF(SER_hh_fech_in!G11=0,0,SER_hh_fech_in!G11/SER_summary!G$27)</f>
        <v>0</v>
      </c>
      <c r="H11" s="132">
        <f>IF(SER_hh_fech_in!H11=0,0,SER_hh_fech_in!H11/SER_summary!H$27)</f>
        <v>0</v>
      </c>
      <c r="I11" s="132">
        <f>IF(SER_hh_fech_in!I11=0,0,SER_hh_fech_in!I11/SER_summary!I$27)</f>
        <v>0</v>
      </c>
      <c r="J11" s="132">
        <f>IF(SER_hh_fech_in!J11=0,0,SER_hh_fech_in!J11/SER_summary!J$27)</f>
        <v>0</v>
      </c>
      <c r="K11" s="132">
        <f>IF(SER_hh_fech_in!K11=0,0,SER_hh_fech_in!K11/SER_summary!K$27)</f>
        <v>0</v>
      </c>
      <c r="L11" s="132">
        <f>IF(SER_hh_fech_in!L11=0,0,SER_hh_fech_in!L11/SER_summary!L$27)</f>
        <v>0</v>
      </c>
      <c r="M11" s="132">
        <f>IF(SER_hh_fech_in!M11=0,0,SER_hh_fech_in!M11/SER_summary!M$27)</f>
        <v>0</v>
      </c>
      <c r="N11" s="132">
        <f>IF(SER_hh_fech_in!N11=0,0,SER_hh_fech_in!N11/SER_summary!N$27)</f>
        <v>0</v>
      </c>
      <c r="O11" s="132">
        <f>IF(SER_hh_fech_in!O11=0,0,SER_hh_fech_in!O11/SER_summary!O$27)</f>
        <v>0</v>
      </c>
      <c r="P11" s="132">
        <f>IF(SER_hh_fech_in!P11=0,0,SER_hh_fech_in!P11/SER_summary!P$27)</f>
        <v>0</v>
      </c>
      <c r="Q11" s="132">
        <f>IF(SER_hh_fech_in!Q11=0,0,SER_hh_fech_in!Q11/SER_summary!Q$27)</f>
        <v>0</v>
      </c>
      <c r="R11" s="132">
        <f>IF(SER_hh_fech_in!R11=0,0,SER_hh_fech_in!R11/SER_summary!R$27)</f>
        <v>0</v>
      </c>
      <c r="S11" s="132">
        <f>IF(SER_hh_fech_in!S11=0,0,SER_hh_fech_in!S11/SER_summary!S$27)</f>
        <v>0</v>
      </c>
      <c r="T11" s="132">
        <f>IF(SER_hh_fech_in!T11=0,0,SER_hh_fech_in!T11/SER_summary!T$27)</f>
        <v>0</v>
      </c>
      <c r="U11" s="132">
        <f>IF(SER_hh_fech_in!U11=0,0,SER_hh_fech_in!U11/SER_summary!U$27)</f>
        <v>0</v>
      </c>
      <c r="V11" s="132">
        <f>IF(SER_hh_fech_in!V11=0,0,SER_hh_fech_in!V11/SER_summary!V$27)</f>
        <v>0</v>
      </c>
      <c r="W11" s="132">
        <f>IF(SER_hh_fech_in!W11=0,0,SER_hh_fech_in!W11/SER_summary!W$27)</f>
        <v>0</v>
      </c>
      <c r="X11" s="132">
        <f>IF(SER_hh_fech_in!X11=0,0,SER_hh_fech_in!X11/SER_summary!X$27)</f>
        <v>0</v>
      </c>
      <c r="Y11" s="132">
        <f>IF(SER_hh_fech_in!Y11=0,0,SER_hh_fech_in!Y11/SER_summary!Y$27)</f>
        <v>0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0</v>
      </c>
      <c r="D12" s="132">
        <f>IF(SER_hh_fech_in!D12=0,0,SER_hh_fech_in!D12/SER_summary!D$27)</f>
        <v>0</v>
      </c>
      <c r="E12" s="132">
        <f>IF(SER_hh_fech_in!E12=0,0,SER_hh_fech_in!E12/SER_summary!E$27)</f>
        <v>0</v>
      </c>
      <c r="F12" s="132">
        <f>IF(SER_hh_fech_in!F12=0,0,SER_hh_fech_in!F12/SER_summary!F$27)</f>
        <v>0</v>
      </c>
      <c r="G12" s="132">
        <f>IF(SER_hh_fech_in!G12=0,0,SER_hh_fech_in!G12/SER_summary!G$27)</f>
        <v>0</v>
      </c>
      <c r="H12" s="132">
        <f>IF(SER_hh_fech_in!H12=0,0,SER_hh_fech_in!H12/SER_summary!H$27)</f>
        <v>0</v>
      </c>
      <c r="I12" s="132">
        <f>IF(SER_hh_fech_in!I12=0,0,SER_hh_fech_in!I12/SER_summary!I$27)</f>
        <v>0</v>
      </c>
      <c r="J12" s="132">
        <f>IF(SER_hh_fech_in!J12=0,0,SER_hh_fech_in!J12/SER_summary!J$27)</f>
        <v>0</v>
      </c>
      <c r="K12" s="132">
        <f>IF(SER_hh_fech_in!K12=0,0,SER_hh_fech_in!K12/SER_summary!K$27)</f>
        <v>0</v>
      </c>
      <c r="L12" s="132">
        <f>IF(SER_hh_fech_in!L12=0,0,SER_hh_fech_in!L12/SER_summary!L$27)</f>
        <v>0</v>
      </c>
      <c r="M12" s="132">
        <f>IF(SER_hh_fech_in!M12=0,0,SER_hh_fech_in!M12/SER_summary!M$27)</f>
        <v>0</v>
      </c>
      <c r="N12" s="132">
        <f>IF(SER_hh_fech_in!N12=0,0,SER_hh_fech_in!N12/SER_summary!N$27)</f>
        <v>0</v>
      </c>
      <c r="O12" s="132">
        <f>IF(SER_hh_fech_in!O12=0,0,SER_hh_fech_in!O12/SER_summary!O$27)</f>
        <v>0</v>
      </c>
      <c r="P12" s="132">
        <f>IF(SER_hh_fech_in!P12=0,0,SER_hh_fech_in!P12/SER_summary!P$27)</f>
        <v>0</v>
      </c>
      <c r="Q12" s="132">
        <f>IF(SER_hh_fech_in!Q12=0,0,SER_hh_fech_in!Q12/SER_summary!Q$27)</f>
        <v>0</v>
      </c>
      <c r="R12" s="132">
        <f>IF(SER_hh_fech_in!R12=0,0,SER_hh_fech_in!R12/SER_summary!R$27)</f>
        <v>0</v>
      </c>
      <c r="S12" s="132">
        <f>IF(SER_hh_fech_in!S12=0,0,SER_hh_fech_in!S12/SER_summary!S$27)</f>
        <v>0</v>
      </c>
      <c r="T12" s="132">
        <f>IF(SER_hh_fech_in!T12=0,0,SER_hh_fech_in!T12/SER_summary!T$27)</f>
        <v>0</v>
      </c>
      <c r="U12" s="132">
        <f>IF(SER_hh_fech_in!U12=0,0,SER_hh_fech_in!U12/SER_summary!U$27)</f>
        <v>0</v>
      </c>
      <c r="V12" s="132">
        <f>IF(SER_hh_fech_in!V12=0,0,SER_hh_fech_in!V12/SER_summary!V$27)</f>
        <v>0</v>
      </c>
      <c r="W12" s="132">
        <f>IF(SER_hh_fech_in!W12=0,0,SER_hh_fech_in!W12/SER_summary!W$27)</f>
        <v>0</v>
      </c>
      <c r="X12" s="132">
        <f>IF(SER_hh_fech_in!X12=0,0,SER_hh_fech_in!X12/SER_summary!X$27)</f>
        <v>0</v>
      </c>
      <c r="Y12" s="132">
        <f>IF(SER_hh_fech_in!Y12=0,0,SER_hh_fech_in!Y12/SER_summary!Y$27)</f>
        <v>0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37.553375350836134</v>
      </c>
      <c r="D13" s="132">
        <f>IF(SER_hh_fech_in!D13=0,0,SER_hh_fech_in!D13/SER_summary!D$27)</f>
        <v>9.8545955605402273</v>
      </c>
      <c r="E13" s="132">
        <f>IF(SER_hh_fech_in!E13=0,0,SER_hh_fech_in!E13/SER_summary!E$27)</f>
        <v>48.049065401234401</v>
      </c>
      <c r="F13" s="132">
        <f>IF(SER_hh_fech_in!F13=0,0,SER_hh_fech_in!F13/SER_summary!F$27)</f>
        <v>36.034018523619487</v>
      </c>
      <c r="G13" s="132">
        <f>IF(SER_hh_fech_in!G13=0,0,SER_hh_fech_in!G13/SER_summary!G$27)</f>
        <v>53.269292377173571</v>
      </c>
      <c r="H13" s="132">
        <f>IF(SER_hh_fech_in!H13=0,0,SER_hh_fech_in!H13/SER_summary!H$27)</f>
        <v>58.823699838393601</v>
      </c>
      <c r="I13" s="132">
        <f>IF(SER_hh_fech_in!I13=0,0,SER_hh_fech_in!I13/SER_summary!I$27)</f>
        <v>58.753908594868165</v>
      </c>
      <c r="J13" s="132">
        <f>IF(SER_hh_fech_in!J13=0,0,SER_hh_fech_in!J13/SER_summary!J$27)</f>
        <v>61.406119802975283</v>
      </c>
      <c r="K13" s="132">
        <f>IF(SER_hh_fech_in!K13=0,0,SER_hh_fech_in!K13/SER_summary!K$27)</f>
        <v>51.502182053788665</v>
      </c>
      <c r="L13" s="132">
        <f>IF(SER_hh_fech_in!L13=0,0,SER_hh_fech_in!L13/SER_summary!L$27)</f>
        <v>44.887148430548997</v>
      </c>
      <c r="M13" s="132">
        <f>IF(SER_hh_fech_in!M13=0,0,SER_hh_fech_in!M13/SER_summary!M$27)</f>
        <v>42.668896408253133</v>
      </c>
      <c r="N13" s="132">
        <f>IF(SER_hh_fech_in!N13=0,0,SER_hh_fech_in!N13/SER_summary!N$27)</f>
        <v>38.500194847048313</v>
      </c>
      <c r="O13" s="132">
        <f>IF(SER_hh_fech_in!O13=0,0,SER_hh_fech_in!O13/SER_summary!O$27)</f>
        <v>34.323838805399795</v>
      </c>
      <c r="P13" s="132">
        <f>IF(SER_hh_fech_in!P13=0,0,SER_hh_fech_in!P13/SER_summary!P$27)</f>
        <v>30.513927844826203</v>
      </c>
      <c r="Q13" s="132">
        <f>IF(SER_hh_fech_in!Q13=0,0,SER_hh_fech_in!Q13/SER_summary!Q$27)</f>
        <v>28.772680673036632</v>
      </c>
      <c r="R13" s="132">
        <f>IF(SER_hh_fech_in!R13=0,0,SER_hh_fech_in!R13/SER_summary!R$27)</f>
        <v>27.14377584485084</v>
      </c>
      <c r="S13" s="132">
        <f>IF(SER_hh_fech_in!S13=0,0,SER_hh_fech_in!S13/SER_summary!S$27)</f>
        <v>26.37655944593374</v>
      </c>
      <c r="T13" s="132">
        <f>IF(SER_hh_fech_in!T13=0,0,SER_hh_fech_in!T13/SER_summary!T$27)</f>
        <v>23.206410685328098</v>
      </c>
      <c r="U13" s="132">
        <f>IF(SER_hh_fech_in!U13=0,0,SER_hh_fech_in!U13/SER_summary!U$27)</f>
        <v>21.523517114454879</v>
      </c>
      <c r="V13" s="132">
        <f>IF(SER_hh_fech_in!V13=0,0,SER_hh_fech_in!V13/SER_summary!V$27)</f>
        <v>18.868972215855667</v>
      </c>
      <c r="W13" s="132">
        <f>IF(SER_hh_fech_in!W13=0,0,SER_hh_fech_in!W13/SER_summary!W$27)</f>
        <v>14.213251038705739</v>
      </c>
      <c r="X13" s="132">
        <f>IF(SER_hh_fech_in!X13=0,0,SER_hh_fech_in!X13/SER_summary!X$27)</f>
        <v>9.8968292720513507</v>
      </c>
      <c r="Y13" s="132">
        <f>IF(SER_hh_fech_in!Y13=0,0,SER_hh_fech_in!Y13/SER_summary!Y$27)</f>
        <v>10.01717441950446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160.3576531072766</v>
      </c>
      <c r="D14" s="65">
        <f>IF(SER_hh_fech_in!D14=0,0,SER_hh_fech_in!D14/SER_summary!D$27)</f>
        <v>168.05689814121848</v>
      </c>
      <c r="E14" s="65">
        <f>IF(SER_hh_fech_in!E14=0,0,SER_hh_fech_in!E14/SER_summary!E$27)</f>
        <v>181.63057120411867</v>
      </c>
      <c r="F14" s="65">
        <f>IF(SER_hh_fech_in!F14=0,0,SER_hh_fech_in!F14/SER_summary!F$27)</f>
        <v>161.54712679111907</v>
      </c>
      <c r="G14" s="65">
        <f>IF(SER_hh_fech_in!G14=0,0,SER_hh_fech_in!G14/SER_summary!G$27)</f>
        <v>177.22649018891221</v>
      </c>
      <c r="H14" s="65">
        <f>IF(SER_hh_fech_in!H14=0,0,SER_hh_fech_in!H14/SER_summary!H$27)</f>
        <v>191.00858656114221</v>
      </c>
      <c r="I14" s="65">
        <f>IF(SER_hh_fech_in!I14=0,0,SER_hh_fech_in!I14/SER_summary!I$27)</f>
        <v>173.86438472842246</v>
      </c>
      <c r="J14" s="65">
        <f>IF(SER_hh_fech_in!J14=0,0,SER_hh_fech_in!J14/SER_summary!J$27)</f>
        <v>180.55175033656704</v>
      </c>
      <c r="K14" s="65">
        <f>IF(SER_hh_fech_in!K14=0,0,SER_hh_fech_in!K14/SER_summary!K$27)</f>
        <v>166.77943133030109</v>
      </c>
      <c r="L14" s="65">
        <f>IF(SER_hh_fech_in!L14=0,0,SER_hh_fech_in!L14/SER_summary!L$27)</f>
        <v>157.17110295872766</v>
      </c>
      <c r="M14" s="65">
        <f>IF(SER_hh_fech_in!M14=0,0,SER_hh_fech_in!M14/SER_summary!M$27)</f>
        <v>152.82417202031948</v>
      </c>
      <c r="N14" s="65">
        <f>IF(SER_hh_fech_in!N14=0,0,SER_hh_fech_in!N14/SER_summary!N$27)</f>
        <v>146.85721064174271</v>
      </c>
      <c r="O14" s="65">
        <f>IF(SER_hh_fech_in!O14=0,0,SER_hh_fech_in!O14/SER_summary!O$27)</f>
        <v>146.31433064039794</v>
      </c>
      <c r="P14" s="65">
        <f>IF(SER_hh_fech_in!P14=0,0,SER_hh_fech_in!P14/SER_summary!P$27)</f>
        <v>123.09604817483236</v>
      </c>
      <c r="Q14" s="65">
        <f>IF(SER_hh_fech_in!Q14=0,0,SER_hh_fech_in!Q14/SER_summary!Q$27)</f>
        <v>142.47312392790735</v>
      </c>
      <c r="R14" s="65">
        <f>IF(SER_hh_fech_in!R14=0,0,SER_hh_fech_in!R14/SER_summary!R$27)</f>
        <v>125.99312474503471</v>
      </c>
      <c r="S14" s="65">
        <f>IF(SER_hh_fech_in!S14=0,0,SER_hh_fech_in!S14/SER_summary!S$27)</f>
        <v>109.34800787058114</v>
      </c>
      <c r="T14" s="65">
        <f>IF(SER_hh_fech_in!T14=0,0,SER_hh_fech_in!T14/SER_summary!T$27)</f>
        <v>118.20986886203949</v>
      </c>
      <c r="U14" s="65">
        <f>IF(SER_hh_fech_in!U14=0,0,SER_hh_fech_in!U14/SER_summary!U$27)</f>
        <v>114.19444326065161</v>
      </c>
      <c r="V14" s="65">
        <f>IF(SER_hh_fech_in!V14=0,0,SER_hh_fech_in!V14/SER_summary!V$27)</f>
        <v>77.912160816033136</v>
      </c>
      <c r="W14" s="65">
        <f>IF(SER_hh_fech_in!W14=0,0,SER_hh_fech_in!W14/SER_summary!W$27)</f>
        <v>61.229332830382972</v>
      </c>
      <c r="X14" s="65">
        <f>IF(SER_hh_fech_in!X14=0,0,SER_hh_fech_in!X14/SER_summary!X$27)</f>
        <v>43.60037788125954</v>
      </c>
      <c r="Y14" s="65">
        <f>IF(SER_hh_fech_in!Y14=0,0,SER_hh_fech_in!Y14/SER_summary!Y$27)</f>
        <v>44.013612658011148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2.3722096422582872</v>
      </c>
      <c r="D15" s="134">
        <f>IF(SER_hh_fech_in!D15=0,0,SER_hh_fech_in!D15/SER_summary!D$27)</f>
        <v>1.8153074202036004</v>
      </c>
      <c r="E15" s="134">
        <f>IF(SER_hh_fech_in!E15=0,0,SER_hh_fech_in!E15/SER_summary!E$27)</f>
        <v>2.175515786571955</v>
      </c>
      <c r="F15" s="134">
        <f>IF(SER_hh_fech_in!F15=0,0,SER_hh_fech_in!F15/SER_summary!F$27)</f>
        <v>2.2046710465406223</v>
      </c>
      <c r="G15" s="134">
        <f>IF(SER_hh_fech_in!G15=0,0,SER_hh_fech_in!G15/SER_summary!G$27)</f>
        <v>2.1585535877795379</v>
      </c>
      <c r="H15" s="134">
        <f>IF(SER_hh_fech_in!H15=0,0,SER_hh_fech_in!H15/SER_summary!H$27)</f>
        <v>2.3170447300459038</v>
      </c>
      <c r="I15" s="134">
        <f>IF(SER_hh_fech_in!I15=0,0,SER_hh_fech_in!I15/SER_summary!I$27)</f>
        <v>2.2674236162736707</v>
      </c>
      <c r="J15" s="134">
        <f>IF(SER_hh_fech_in!J15=0,0,SER_hh_fech_in!J15/SER_summary!J$27)</f>
        <v>2.3158077924913498</v>
      </c>
      <c r="K15" s="134">
        <f>IF(SER_hh_fech_in!K15=0,0,SER_hh_fech_in!K15/SER_summary!K$27)</f>
        <v>2.007522743820128</v>
      </c>
      <c r="L15" s="134">
        <f>IF(SER_hh_fech_in!L15=0,0,SER_hh_fech_in!L15/SER_summary!L$27)</f>
        <v>2.0939141009943434</v>
      </c>
      <c r="M15" s="134">
        <f>IF(SER_hh_fech_in!M15=0,0,SER_hh_fech_in!M15/SER_summary!M$27)</f>
        <v>1.8031128457148979</v>
      </c>
      <c r="N15" s="134">
        <f>IF(SER_hh_fech_in!N15=0,0,SER_hh_fech_in!N15/SER_summary!N$27)</f>
        <v>1.8126479205511796</v>
      </c>
      <c r="O15" s="134">
        <f>IF(SER_hh_fech_in!O15=0,0,SER_hh_fech_in!O15/SER_summary!O$27)</f>
        <v>1.9097853076927425</v>
      </c>
      <c r="P15" s="134">
        <f>IF(SER_hh_fech_in!P15=0,0,SER_hh_fech_in!P15/SER_summary!P$27)</f>
        <v>1.6525956507493789</v>
      </c>
      <c r="Q15" s="134">
        <f>IF(SER_hh_fech_in!Q15=0,0,SER_hh_fech_in!Q15/SER_summary!Q$27)</f>
        <v>1.7569357082510491</v>
      </c>
      <c r="R15" s="134">
        <f>IF(SER_hh_fech_in!R15=0,0,SER_hh_fech_in!R15/SER_summary!R$27)</f>
        <v>1.5814081367541588</v>
      </c>
      <c r="S15" s="134">
        <f>IF(SER_hh_fech_in!S15=0,0,SER_hh_fech_in!S15/SER_summary!S$27)</f>
        <v>1.4451054099226543</v>
      </c>
      <c r="T15" s="134">
        <f>IF(SER_hh_fech_in!T15=0,0,SER_hh_fech_in!T15/SER_summary!T$27)</f>
        <v>1.4953856461141504</v>
      </c>
      <c r="U15" s="134">
        <f>IF(SER_hh_fech_in!U15=0,0,SER_hh_fech_in!U15/SER_summary!U$27)</f>
        <v>1.3827917919777761</v>
      </c>
      <c r="V15" s="134">
        <f>IF(SER_hh_fech_in!V15=0,0,SER_hh_fech_in!V15/SER_summary!V$27)</f>
        <v>1.0980602388940317</v>
      </c>
      <c r="W15" s="134">
        <f>IF(SER_hh_fech_in!W15=0,0,SER_hh_fech_in!W15/SER_summary!W$27)</f>
        <v>0.86953355288776679</v>
      </c>
      <c r="X15" s="134">
        <f>IF(SER_hh_fech_in!X15=0,0,SER_hh_fech_in!X15/SER_summary!X$27)</f>
        <v>0.60868525157063613</v>
      </c>
      <c r="Y15" s="134">
        <f>IF(SER_hh_fech_in!Y15=0,0,SER_hh_fech_in!Y15/SER_summary!Y$27)</f>
        <v>0.58174698512416734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8.9591209704651842</v>
      </c>
      <c r="D16" s="130">
        <f>IF(SER_hh_fech_in!D16=0,0,SER_hh_fech_in!D16/SER_summary!D$27)</f>
        <v>8.6210072453922741</v>
      </c>
      <c r="E16" s="130">
        <f>IF(SER_hh_fech_in!E16=0,0,SER_hh_fech_in!E16/SER_summary!E$27)</f>
        <v>8.1545335455084338</v>
      </c>
      <c r="F16" s="130">
        <f>IF(SER_hh_fech_in!F16=0,0,SER_hh_fech_in!F16/SER_summary!F$27)</f>
        <v>7.7505905639845487</v>
      </c>
      <c r="G16" s="130">
        <f>IF(SER_hh_fech_in!G16=0,0,SER_hh_fech_in!G16/SER_summary!G$27)</f>
        <v>7.2533297243017856</v>
      </c>
      <c r="H16" s="130">
        <f>IF(SER_hh_fech_in!H16=0,0,SER_hh_fech_in!H16/SER_summary!H$27)</f>
        <v>7.0197036671709645</v>
      </c>
      <c r="I16" s="130">
        <f>IF(SER_hh_fech_in!I16=0,0,SER_hh_fech_in!I16/SER_summary!I$27)</f>
        <v>6.7852546612699021</v>
      </c>
      <c r="J16" s="130">
        <f>IF(SER_hh_fech_in!J16=0,0,SER_hh_fech_in!J16/SER_summary!J$27)</f>
        <v>6.3198796833861879</v>
      </c>
      <c r="K16" s="130">
        <f>IF(SER_hh_fech_in!K16=0,0,SER_hh_fech_in!K16/SER_summary!K$27)</f>
        <v>5.976406273981147</v>
      </c>
      <c r="L16" s="130">
        <f>IF(SER_hh_fech_in!L16=0,0,SER_hh_fech_in!L16/SER_summary!L$27)</f>
        <v>5.6675564045958939</v>
      </c>
      <c r="M16" s="130">
        <f>IF(SER_hh_fech_in!M16=0,0,SER_hh_fech_in!M16/SER_summary!M$27)</f>
        <v>5.302571657613349</v>
      </c>
      <c r="N16" s="130">
        <f>IF(SER_hh_fech_in!N16=0,0,SER_hh_fech_in!N16/SER_summary!N$27)</f>
        <v>5.0384002610433862</v>
      </c>
      <c r="O16" s="130">
        <f>IF(SER_hh_fech_in!O16=0,0,SER_hh_fech_in!O16/SER_summary!O$27)</f>
        <v>4.6387120608675856</v>
      </c>
      <c r="P16" s="130">
        <f>IF(SER_hh_fech_in!P16=0,0,SER_hh_fech_in!P16/SER_summary!P$27)</f>
        <v>4.4238562870303477</v>
      </c>
      <c r="Q16" s="130">
        <f>IF(SER_hh_fech_in!Q16=0,0,SER_hh_fech_in!Q16/SER_summary!Q$27)</f>
        <v>4.0507610731352486</v>
      </c>
      <c r="R16" s="130">
        <f>IF(SER_hh_fech_in!R16=0,0,SER_hh_fech_in!R16/SER_summary!R$27)</f>
        <v>4.0006686753175584</v>
      </c>
      <c r="S16" s="130">
        <f>IF(SER_hh_fech_in!S16=0,0,SER_hh_fech_in!S16/SER_summary!S$27)</f>
        <v>3.7678018176876957</v>
      </c>
      <c r="T16" s="130">
        <f>IF(SER_hh_fech_in!T16=0,0,SER_hh_fech_in!T16/SER_summary!T$27)</f>
        <v>3.5758153029824582</v>
      </c>
      <c r="U16" s="130">
        <f>IF(SER_hh_fech_in!U16=0,0,SER_hh_fech_in!U16/SER_summary!U$27)</f>
        <v>3.4279010112590877</v>
      </c>
      <c r="V16" s="130">
        <f>IF(SER_hh_fech_in!V16=0,0,SER_hh_fech_in!V16/SER_summary!V$27)</f>
        <v>3.0864043564703301</v>
      </c>
      <c r="W16" s="130">
        <f>IF(SER_hh_fech_in!W16=0,0,SER_hh_fech_in!W16/SER_summary!W$27)</f>
        <v>2.6480016424492612</v>
      </c>
      <c r="X16" s="130">
        <f>IF(SER_hh_fech_in!X16=0,0,SER_hh_fech_in!X16/SER_summary!X$27)</f>
        <v>2.4003582709647464</v>
      </c>
      <c r="Y16" s="130">
        <f>IF(SER_hh_fech_in!Y16=0,0,SER_hh_fech_in!Y16/SER_summary!Y$27)</f>
        <v>2.4080755307204447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20.182569307185251</v>
      </c>
      <c r="D17" s="132">
        <f>IF(SER_hh_fech_in!D17=0,0,SER_hh_fech_in!D17/SER_summary!D$27)</f>
        <v>19.991099696466065</v>
      </c>
      <c r="E17" s="132">
        <f>IF(SER_hh_fech_in!E17=0,0,SER_hh_fech_in!E17/SER_summary!E$27)</f>
        <v>19.469869481869651</v>
      </c>
      <c r="F17" s="132">
        <f>IF(SER_hh_fech_in!F17=0,0,SER_hh_fech_in!F17/SER_summary!F$27)</f>
        <v>18.973955862444985</v>
      </c>
      <c r="G17" s="132">
        <f>IF(SER_hh_fech_in!G17=0,0,SER_hh_fech_in!G17/SER_summary!G$27)</f>
        <v>18.266881916197054</v>
      </c>
      <c r="H17" s="132">
        <f>IF(SER_hh_fech_in!H17=0,0,SER_hh_fech_in!H17/SER_summary!H$27)</f>
        <v>18.122858528956908</v>
      </c>
      <c r="I17" s="132">
        <f>IF(SER_hh_fech_in!I17=0,0,SER_hh_fech_in!I17/SER_summary!I$27)</f>
        <v>17.686973122611846</v>
      </c>
      <c r="J17" s="132">
        <f>IF(SER_hh_fech_in!J17=0,0,SER_hh_fech_in!J17/SER_summary!J$27)</f>
        <v>17.156234647629592</v>
      </c>
      <c r="K17" s="132">
        <f>IF(SER_hh_fech_in!K17=0,0,SER_hh_fech_in!K17/SER_summary!K$27)</f>
        <v>16.486573791647167</v>
      </c>
      <c r="L17" s="132">
        <f>IF(SER_hh_fech_in!L17=0,0,SER_hh_fech_in!L17/SER_summary!L$27)</f>
        <v>16.042262894473545</v>
      </c>
      <c r="M17" s="132">
        <f>IF(SER_hh_fech_in!M17=0,0,SER_hh_fech_in!M17/SER_summary!M$27)</f>
        <v>15.380364275554259</v>
      </c>
      <c r="N17" s="132">
        <f>IF(SER_hh_fech_in!N17=0,0,SER_hh_fech_in!N17/SER_summary!N$27)</f>
        <v>14.966865088678722</v>
      </c>
      <c r="O17" s="132">
        <f>IF(SER_hh_fech_in!O17=0,0,SER_hh_fech_in!O17/SER_summary!O$27)</f>
        <v>14.13514725567785</v>
      </c>
      <c r="P17" s="132">
        <f>IF(SER_hh_fech_in!P17=0,0,SER_hh_fech_in!P17/SER_summary!P$27)</f>
        <v>13.907222322752771</v>
      </c>
      <c r="Q17" s="132">
        <f>IF(SER_hh_fech_in!Q17=0,0,SER_hh_fech_in!Q17/SER_summary!Q$27)</f>
        <v>13.180543666544997</v>
      </c>
      <c r="R17" s="132">
        <f>IF(SER_hh_fech_in!R17=0,0,SER_hh_fech_in!R17/SER_summary!R$27)</f>
        <v>13.001181832699425</v>
      </c>
      <c r="S17" s="132">
        <f>IF(SER_hh_fech_in!S17=0,0,SER_hh_fech_in!S17/SER_summary!S$27)</f>
        <v>12.305281190968929</v>
      </c>
      <c r="T17" s="132">
        <f>IF(SER_hh_fech_in!T17=0,0,SER_hh_fech_in!T17/SER_summary!T$27)</f>
        <v>11.575940504942649</v>
      </c>
      <c r="U17" s="132">
        <f>IF(SER_hh_fech_in!U17=0,0,SER_hh_fech_in!U17/SER_summary!U$27)</f>
        <v>10.89014057431165</v>
      </c>
      <c r="V17" s="132">
        <f>IF(SER_hh_fech_in!V17=0,0,SER_hh_fech_in!V17/SER_summary!V$27)</f>
        <v>9.1574199979630819</v>
      </c>
      <c r="W17" s="132">
        <f>IF(SER_hh_fech_in!W17=0,0,SER_hh_fech_in!W17/SER_summary!W$27)</f>
        <v>7.607398837282342</v>
      </c>
      <c r="X17" s="132">
        <f>IF(SER_hh_fech_in!X17=0,0,SER_hh_fech_in!X17/SER_summary!X$27)</f>
        <v>7.0642326873090937</v>
      </c>
      <c r="Y17" s="132">
        <f>IF(SER_hh_fech_in!Y17=0,0,SER_hh_fech_in!Y17/SER_summary!Y$27)</f>
        <v>7.4806955425971289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8.9262948541792753</v>
      </c>
      <c r="D18" s="132">
        <f>IF(SER_hh_fech_in!D18=0,0,SER_hh_fech_in!D18/SER_summary!D$27)</f>
        <v>8.5852255745791179</v>
      </c>
      <c r="E18" s="132">
        <f>IF(SER_hh_fech_in!E18=0,0,SER_hh_fech_in!E18/SER_summary!E$27)</f>
        <v>8.1383682888838127</v>
      </c>
      <c r="F18" s="132">
        <f>IF(SER_hh_fech_in!F18=0,0,SER_hh_fech_in!F18/SER_summary!F$27)</f>
        <v>7.7006163954582041</v>
      </c>
      <c r="G18" s="132">
        <f>IF(SER_hh_fech_in!G18=0,0,SER_hh_fech_in!G18/SER_summary!G$27)</f>
        <v>7.215610090861067</v>
      </c>
      <c r="H18" s="132">
        <f>IF(SER_hh_fech_in!H18=0,0,SER_hh_fech_in!H18/SER_summary!H$27)</f>
        <v>6.9647124276509818</v>
      </c>
      <c r="I18" s="132">
        <f>IF(SER_hh_fech_in!I18=0,0,SER_hh_fech_in!I18/SER_summary!I$27)</f>
        <v>6.7509957140856676</v>
      </c>
      <c r="J18" s="132">
        <f>IF(SER_hh_fech_in!J18=0,0,SER_hh_fech_in!J18/SER_summary!J$27)</f>
        <v>6.2944315748487263</v>
      </c>
      <c r="K18" s="132">
        <f>IF(SER_hh_fech_in!K18=0,0,SER_hh_fech_in!K18/SER_summary!K$27)</f>
        <v>5.911294711299627</v>
      </c>
      <c r="L18" s="132">
        <f>IF(SER_hh_fech_in!L18=0,0,SER_hh_fech_in!L18/SER_summary!L$27)</f>
        <v>5.6201044532087918</v>
      </c>
      <c r="M18" s="132">
        <f>IF(SER_hh_fech_in!M18=0,0,SER_hh_fech_in!M18/SER_summary!M$27)</f>
        <v>5.25045411886249</v>
      </c>
      <c r="N18" s="132">
        <f>IF(SER_hh_fech_in!N18=0,0,SER_hh_fech_in!N18/SER_summary!N$27)</f>
        <v>4.9701581585810883</v>
      </c>
      <c r="O18" s="132">
        <f>IF(SER_hh_fech_in!O18=0,0,SER_hh_fech_in!O18/SER_summary!O$27)</f>
        <v>4.540422191112742</v>
      </c>
      <c r="P18" s="132">
        <f>IF(SER_hh_fech_in!P18=0,0,SER_hh_fech_in!P18/SER_summary!P$27)</f>
        <v>4.2952917761326761</v>
      </c>
      <c r="Q18" s="132">
        <f>IF(SER_hh_fech_in!Q18=0,0,SER_hh_fech_in!Q18/SER_summary!Q$27)</f>
        <v>3.8713782954720202</v>
      </c>
      <c r="R18" s="132">
        <f>IF(SER_hh_fech_in!R18=0,0,SER_hh_fech_in!R18/SER_summary!R$27)</f>
        <v>3.8069596389072613</v>
      </c>
      <c r="S18" s="132">
        <f>IF(SER_hh_fech_in!S18=0,0,SER_hh_fech_in!S18/SER_summary!S$27)</f>
        <v>3.6257616498320382</v>
      </c>
      <c r="T18" s="132">
        <f>IF(SER_hh_fech_in!T18=0,0,SER_hh_fech_in!T18/SER_summary!T$27)</f>
        <v>3.471819886269063</v>
      </c>
      <c r="U18" s="132">
        <f>IF(SER_hh_fech_in!U18=0,0,SER_hh_fech_in!U18/SER_summary!U$27)</f>
        <v>3.3236356862979366</v>
      </c>
      <c r="V18" s="132">
        <f>IF(SER_hh_fech_in!V18=0,0,SER_hh_fech_in!V18/SER_summary!V$27)</f>
        <v>2.9791296908080453</v>
      </c>
      <c r="W18" s="132">
        <f>IF(SER_hh_fech_in!W18=0,0,SER_hh_fech_in!W18/SER_summary!W$27)</f>
        <v>2.5843541725536778</v>
      </c>
      <c r="X18" s="132">
        <f>IF(SER_hh_fech_in!X18=0,0,SER_hh_fech_in!X18/SER_summary!X$27)</f>
        <v>2.3113432180278997</v>
      </c>
      <c r="Y18" s="132">
        <f>IF(SER_hh_fech_in!Y18=0,0,SER_hh_fech_in!Y18/SER_summary!Y$27)</f>
        <v>2.340380756249163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38.49910838180795</v>
      </c>
      <c r="D19" s="130">
        <f>IF(SER_hh_fech_in!D19=0,0,SER_hh_fech_in!D19/SER_summary!D$27)</f>
        <v>37.459055164456942</v>
      </c>
      <c r="E19" s="130">
        <f>IF(SER_hh_fech_in!E19=0,0,SER_hh_fech_in!E19/SER_summary!E$27)</f>
        <v>36.736639106198837</v>
      </c>
      <c r="F19" s="130">
        <f>IF(SER_hh_fech_in!F19=0,0,SER_hh_fech_in!F19/SER_summary!F$27)</f>
        <v>35.820291118559268</v>
      </c>
      <c r="G19" s="130">
        <f>IF(SER_hh_fech_in!G19=0,0,SER_hh_fech_in!G19/SER_summary!G$27)</f>
        <v>35.401231962562612</v>
      </c>
      <c r="H19" s="130">
        <f>IF(SER_hh_fech_in!H19=0,0,SER_hh_fech_in!H19/SER_summary!H$27)</f>
        <v>34.859606987842476</v>
      </c>
      <c r="I19" s="130">
        <f>IF(SER_hh_fech_in!I19=0,0,SER_hh_fech_in!I19/SER_summary!I$27)</f>
        <v>33.770513032496957</v>
      </c>
      <c r="J19" s="130">
        <f>IF(SER_hh_fech_in!J19=0,0,SER_hh_fech_in!J19/SER_summary!J$27)</f>
        <v>33.937165092908522</v>
      </c>
      <c r="K19" s="130">
        <f>IF(SER_hh_fech_in!K19=0,0,SER_hh_fech_in!K19/SER_summary!K$27)</f>
        <v>36.627173392511551</v>
      </c>
      <c r="L19" s="130">
        <f>IF(SER_hh_fech_in!L19=0,0,SER_hh_fech_in!L19/SER_summary!L$27)</f>
        <v>36.033630558185614</v>
      </c>
      <c r="M19" s="130">
        <f>IF(SER_hh_fech_in!M19=0,0,SER_hh_fech_in!M19/SER_summary!M$27)</f>
        <v>35.62858354737849</v>
      </c>
      <c r="N19" s="130">
        <f>IF(SER_hh_fech_in!N19=0,0,SER_hh_fech_in!N19/SER_summary!N$27)</f>
        <v>35.826038775936517</v>
      </c>
      <c r="O19" s="130">
        <f>IF(SER_hh_fech_in!O19=0,0,SER_hh_fech_in!O19/SER_summary!O$27)</f>
        <v>34.73991005964649</v>
      </c>
      <c r="P19" s="130">
        <f>IF(SER_hh_fech_in!P19=0,0,SER_hh_fech_in!P19/SER_summary!P$27)</f>
        <v>32.971225553766644</v>
      </c>
      <c r="Q19" s="130">
        <f>IF(SER_hh_fech_in!Q19=0,0,SER_hh_fech_in!Q19/SER_summary!Q$27)</f>
        <v>33.397522407547378</v>
      </c>
      <c r="R19" s="130">
        <f>IF(SER_hh_fech_in!R19=0,0,SER_hh_fech_in!R19/SER_summary!R$27)</f>
        <v>31.712060346023293</v>
      </c>
      <c r="S19" s="130">
        <f>IF(SER_hh_fech_in!S19=0,0,SER_hh_fech_in!S19/SER_summary!S$27)</f>
        <v>30.756497790770325</v>
      </c>
      <c r="T19" s="130">
        <f>IF(SER_hh_fech_in!T19=0,0,SER_hh_fech_in!T19/SER_summary!T$27)</f>
        <v>29.823154961262176</v>
      </c>
      <c r="U19" s="130">
        <f>IF(SER_hh_fech_in!U19=0,0,SER_hh_fech_in!U19/SER_summary!U$27)</f>
        <v>29.492806037286257</v>
      </c>
      <c r="V19" s="130">
        <f>IF(SER_hh_fech_in!V19=0,0,SER_hh_fech_in!V19/SER_summary!V$27)</f>
        <v>27.28624522811441</v>
      </c>
      <c r="W19" s="130">
        <f>IF(SER_hh_fech_in!W19=0,0,SER_hh_fech_in!W19/SER_summary!W$27)</f>
        <v>29.488508571247145</v>
      </c>
      <c r="X19" s="130">
        <f>IF(SER_hh_fech_in!X19=0,0,SER_hh_fech_in!X19/SER_summary!X$27)</f>
        <v>27.969471235864827</v>
      </c>
      <c r="Y19" s="130">
        <f>IF(SER_hh_fech_in!Y19=0,0,SER_hh_fech_in!Y19/SER_summary!Y$27)</f>
        <v>27.036645009592533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0</v>
      </c>
      <c r="D21" s="132">
        <f>IF(SER_hh_fech_in!D21=0,0,SER_hh_fech_in!D21/SER_summary!D$27)</f>
        <v>0</v>
      </c>
      <c r="E21" s="132">
        <f>IF(SER_hh_fech_in!E21=0,0,SER_hh_fech_in!E21/SER_summary!E$27)</f>
        <v>0</v>
      </c>
      <c r="F21" s="132">
        <f>IF(SER_hh_fech_in!F21=0,0,SER_hh_fech_in!F21/SER_summary!F$27)</f>
        <v>0</v>
      </c>
      <c r="G21" s="132">
        <f>IF(SER_hh_fech_in!G21=0,0,SER_hh_fech_in!G21/SER_summary!G$27)</f>
        <v>0</v>
      </c>
      <c r="H21" s="132">
        <f>IF(SER_hh_fech_in!H21=0,0,SER_hh_fech_in!H21/SER_summary!H$27)</f>
        <v>0</v>
      </c>
      <c r="I21" s="132">
        <f>IF(SER_hh_fech_in!I21=0,0,SER_hh_fech_in!I21/SER_summary!I$27)</f>
        <v>0</v>
      </c>
      <c r="J21" s="132">
        <f>IF(SER_hh_fech_in!J21=0,0,SER_hh_fech_in!J21/SER_summary!J$27)</f>
        <v>0</v>
      </c>
      <c r="K21" s="132">
        <f>IF(SER_hh_fech_in!K21=0,0,SER_hh_fech_in!K21/SER_summary!K$27)</f>
        <v>0</v>
      </c>
      <c r="L21" s="132">
        <f>IF(SER_hh_fech_in!L21=0,0,SER_hh_fech_in!L21/SER_summary!L$27)</f>
        <v>0</v>
      </c>
      <c r="M21" s="132">
        <f>IF(SER_hh_fech_in!M21=0,0,SER_hh_fech_in!M21/SER_summary!M$27)</f>
        <v>0</v>
      </c>
      <c r="N21" s="132">
        <f>IF(SER_hh_fech_in!N21=0,0,SER_hh_fech_in!N21/SER_summary!N$27)</f>
        <v>0</v>
      </c>
      <c r="O21" s="132">
        <f>IF(SER_hh_fech_in!O21=0,0,SER_hh_fech_in!O21/SER_summary!O$27)</f>
        <v>0</v>
      </c>
      <c r="P21" s="132">
        <f>IF(SER_hh_fech_in!P21=0,0,SER_hh_fech_in!P21/SER_summary!P$27)</f>
        <v>0</v>
      </c>
      <c r="Q21" s="132">
        <f>IF(SER_hh_fech_in!Q21=0,0,SER_hh_fech_in!Q21/SER_summary!Q$27)</f>
        <v>0</v>
      </c>
      <c r="R21" s="132">
        <f>IF(SER_hh_fech_in!R21=0,0,SER_hh_fech_in!R21/SER_summary!R$27)</f>
        <v>0</v>
      </c>
      <c r="S21" s="132">
        <f>IF(SER_hh_fech_in!S21=0,0,SER_hh_fech_in!S21/SER_summary!S$27)</f>
        <v>0</v>
      </c>
      <c r="T21" s="132">
        <f>IF(SER_hh_fech_in!T21=0,0,SER_hh_fech_in!T21/SER_summary!T$27)</f>
        <v>0</v>
      </c>
      <c r="U21" s="132">
        <f>IF(SER_hh_fech_in!U21=0,0,SER_hh_fech_in!U21/SER_summary!U$27)</f>
        <v>0</v>
      </c>
      <c r="V21" s="132">
        <f>IF(SER_hh_fech_in!V21=0,0,SER_hh_fech_in!V21/SER_summary!V$27)</f>
        <v>0</v>
      </c>
      <c r="W21" s="132">
        <f>IF(SER_hh_fech_in!W21=0,0,SER_hh_fech_in!W21/SER_summary!W$27)</f>
        <v>0</v>
      </c>
      <c r="X21" s="132">
        <f>IF(SER_hh_fech_in!X21=0,0,SER_hh_fech_in!X21/SER_summary!X$27)</f>
        <v>0</v>
      </c>
      <c r="Y21" s="132">
        <f>IF(SER_hh_fech_in!Y21=0,0,SER_hh_fech_in!Y21/SER_summary!Y$27)</f>
        <v>0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44.948463615908771</v>
      </c>
      <c r="D22" s="132">
        <f>IF(SER_hh_fech_in!D22=0,0,SER_hh_fech_in!D22/SER_summary!D$27)</f>
        <v>44.625458317701046</v>
      </c>
      <c r="E22" s="132">
        <f>IF(SER_hh_fech_in!E22=0,0,SER_hh_fech_in!E22/SER_summary!E$27)</f>
        <v>42.791209507246343</v>
      </c>
      <c r="F22" s="132">
        <f>IF(SER_hh_fech_in!F22=0,0,SER_hh_fech_in!F22/SER_summary!F$27)</f>
        <v>43.015609810108423</v>
      </c>
      <c r="G22" s="132">
        <f>IF(SER_hh_fech_in!G22=0,0,SER_hh_fech_in!G22/SER_summary!G$27)</f>
        <v>41.973313663917331</v>
      </c>
      <c r="H22" s="132">
        <f>IF(SER_hh_fech_in!H22=0,0,SER_hh_fech_in!H22/SER_summary!H$27)</f>
        <v>40.522584266711384</v>
      </c>
      <c r="I22" s="132">
        <f>IF(SER_hh_fech_in!I22=0,0,SER_hh_fech_in!I22/SER_summary!I$27)</f>
        <v>40.189518856785178</v>
      </c>
      <c r="J22" s="132">
        <f>IF(SER_hh_fech_in!J22=0,0,SER_hh_fech_in!J22/SER_summary!J$27)</f>
        <v>40.56417914634973</v>
      </c>
      <c r="K22" s="132">
        <f>IF(SER_hh_fech_in!K22=0,0,SER_hh_fech_in!K22/SER_summary!K$27)</f>
        <v>40.717288754253076</v>
      </c>
      <c r="L22" s="132">
        <f>IF(SER_hh_fech_in!L22=0,0,SER_hh_fech_in!L22/SER_summary!L$27)</f>
        <v>41.348744311755283</v>
      </c>
      <c r="M22" s="132">
        <f>IF(SER_hh_fech_in!M22=0,0,SER_hh_fech_in!M22/SER_summary!M$27)</f>
        <v>41.462547432977431</v>
      </c>
      <c r="N22" s="132">
        <f>IF(SER_hh_fech_in!N22=0,0,SER_hh_fech_in!N22/SER_summary!N$27)</f>
        <v>40.865937777137987</v>
      </c>
      <c r="O22" s="132">
        <f>IF(SER_hh_fech_in!O22=0,0,SER_hh_fech_in!O22/SER_summary!O$27)</f>
        <v>39.191334297824064</v>
      </c>
      <c r="P22" s="132">
        <f>IF(SER_hh_fech_in!P22=0,0,SER_hh_fech_in!P22/SER_summary!P$27)</f>
        <v>38.135704527726709</v>
      </c>
      <c r="Q22" s="132">
        <f>IF(SER_hh_fech_in!Q22=0,0,SER_hh_fech_in!Q22/SER_summary!Q$27)</f>
        <v>36.283346942106547</v>
      </c>
      <c r="R22" s="132">
        <f>IF(SER_hh_fech_in!R22=0,0,SER_hh_fech_in!R22/SER_summary!R$27)</f>
        <v>34.878570673727864</v>
      </c>
      <c r="S22" s="132">
        <f>IF(SER_hh_fech_in!S22=0,0,SER_hh_fech_in!S22/SER_summary!S$27)</f>
        <v>35.118539556022967</v>
      </c>
      <c r="T22" s="132">
        <f>IF(SER_hh_fech_in!T22=0,0,SER_hh_fech_in!T22/SER_summary!T$27)</f>
        <v>33.197879439028149</v>
      </c>
      <c r="U22" s="132">
        <f>IF(SER_hh_fech_in!U22=0,0,SER_hh_fech_in!U22/SER_summary!U$27)</f>
        <v>32.870067704467715</v>
      </c>
      <c r="V22" s="132">
        <f>IF(SER_hh_fech_in!V22=0,0,SER_hh_fech_in!V22/SER_summary!V$27)</f>
        <v>29.028869658825695</v>
      </c>
      <c r="W22" s="132">
        <f>IF(SER_hh_fech_in!W22=0,0,SER_hh_fech_in!W22/SER_summary!W$27)</f>
        <v>30.201536540553011</v>
      </c>
      <c r="X22" s="132">
        <f>IF(SER_hh_fech_in!X22=0,0,SER_hh_fech_in!X22/SER_summary!X$27)</f>
        <v>30.444762392064508</v>
      </c>
      <c r="Y22" s="132">
        <f>IF(SER_hh_fech_in!Y22=0,0,SER_hh_fech_in!Y22/SER_summary!Y$27)</f>
        <v>29.708623471340712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41.471891228433677</v>
      </c>
      <c r="D23" s="132">
        <f>IF(SER_hh_fech_in!D23=0,0,SER_hh_fech_in!D23/SER_summary!D$27)</f>
        <v>40.400785351263949</v>
      </c>
      <c r="E23" s="132">
        <f>IF(SER_hh_fech_in!E23=0,0,SER_hh_fech_in!E23/SER_summary!E$27)</f>
        <v>39.17341675359571</v>
      </c>
      <c r="F23" s="132">
        <f>IF(SER_hh_fech_in!F23=0,0,SER_hh_fech_in!F23/SER_summary!F$27)</f>
        <v>38.904083793965007</v>
      </c>
      <c r="G23" s="132">
        <f>IF(SER_hh_fech_in!G23=0,0,SER_hh_fech_in!G23/SER_summary!G$27)</f>
        <v>38.105608297757882</v>
      </c>
      <c r="H23" s="132">
        <f>IF(SER_hh_fech_in!H23=0,0,SER_hh_fech_in!H23/SER_summary!H$27)</f>
        <v>36.945243762451952</v>
      </c>
      <c r="I23" s="132">
        <f>IF(SER_hh_fech_in!I23=0,0,SER_hh_fech_in!I23/SER_summary!I$27)</f>
        <v>36.85868443237591</v>
      </c>
      <c r="J23" s="132">
        <f>IF(SER_hh_fech_in!J23=0,0,SER_hh_fech_in!J23/SER_summary!J$27)</f>
        <v>35.718625760650617</v>
      </c>
      <c r="K23" s="132">
        <f>IF(SER_hh_fech_in!K23=0,0,SER_hh_fech_in!K23/SER_summary!K$27)</f>
        <v>36.718762405554749</v>
      </c>
      <c r="L23" s="132">
        <f>IF(SER_hh_fech_in!L23=0,0,SER_hh_fech_in!L23/SER_summary!L$27)</f>
        <v>37.754596484216002</v>
      </c>
      <c r="M23" s="132">
        <f>IF(SER_hh_fech_in!M23=0,0,SER_hh_fech_in!M23/SER_summary!M$27)</f>
        <v>35.552429178378901</v>
      </c>
      <c r="N23" s="132">
        <f>IF(SER_hh_fech_in!N23=0,0,SER_hh_fech_in!N23/SER_summary!N$27)</f>
        <v>35.88279542953947</v>
      </c>
      <c r="O23" s="132">
        <f>IF(SER_hh_fech_in!O23=0,0,SER_hh_fech_in!O23/SER_summary!O$27)</f>
        <v>35.460453138905997</v>
      </c>
      <c r="P23" s="132">
        <f>IF(SER_hh_fech_in!P23=0,0,SER_hh_fech_in!P23/SER_summary!P$27)</f>
        <v>34.726440755449183</v>
      </c>
      <c r="Q23" s="132">
        <f>IF(SER_hh_fech_in!Q23=0,0,SER_hh_fech_in!Q23/SER_summary!Q$27)</f>
        <v>34.632609420442179</v>
      </c>
      <c r="R23" s="132">
        <f>IF(SER_hh_fech_in!R23=0,0,SER_hh_fech_in!R23/SER_summary!R$27)</f>
        <v>33.051698378757486</v>
      </c>
      <c r="S23" s="132">
        <f>IF(SER_hh_fech_in!S23=0,0,SER_hh_fech_in!S23/SER_summary!S$27)</f>
        <v>32.769594056961623</v>
      </c>
      <c r="T23" s="132">
        <f>IF(SER_hh_fech_in!T23=0,0,SER_hh_fech_in!T23/SER_summary!T$27)</f>
        <v>31.146629054023741</v>
      </c>
      <c r="U23" s="132">
        <f>IF(SER_hh_fech_in!U23=0,0,SER_hh_fech_in!U23/SER_summary!U$27)</f>
        <v>31.973864611254459</v>
      </c>
      <c r="V23" s="132">
        <f>IF(SER_hh_fech_in!V23=0,0,SER_hh_fech_in!V23/SER_summary!V$27)</f>
        <v>24.610151083477923</v>
      </c>
      <c r="W23" s="132">
        <f>IF(SER_hh_fech_in!W23=0,0,SER_hh_fech_in!W23/SER_summary!W$27)</f>
        <v>31.742411029195758</v>
      </c>
      <c r="X23" s="132">
        <f>IF(SER_hh_fech_in!X23=0,0,SER_hh_fech_in!X23/SER_summary!X$27)</f>
        <v>29.580730615348724</v>
      </c>
      <c r="Y23" s="132">
        <f>IF(SER_hh_fech_in!Y23=0,0,SER_hh_fech_in!Y23/SER_summary!Y$27)</f>
        <v>28.659626878746842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0</v>
      </c>
      <c r="D24" s="132">
        <f>IF(SER_hh_fech_in!D24=0,0,SER_hh_fech_in!D24/SER_summary!D$27)</f>
        <v>0</v>
      </c>
      <c r="E24" s="132">
        <f>IF(SER_hh_fech_in!E24=0,0,SER_hh_fech_in!E24/SER_summary!E$27)</f>
        <v>0</v>
      </c>
      <c r="F24" s="132">
        <f>IF(SER_hh_fech_in!F24=0,0,SER_hh_fech_in!F24/SER_summary!F$27)</f>
        <v>0</v>
      </c>
      <c r="G24" s="132">
        <f>IF(SER_hh_fech_in!G24=0,0,SER_hh_fech_in!G24/SER_summary!G$27)</f>
        <v>0</v>
      </c>
      <c r="H24" s="132">
        <f>IF(SER_hh_fech_in!H24=0,0,SER_hh_fech_in!H24/SER_summary!H$27)</f>
        <v>0</v>
      </c>
      <c r="I24" s="132">
        <f>IF(SER_hh_fech_in!I24=0,0,SER_hh_fech_in!I24/SER_summary!I$27)</f>
        <v>0</v>
      </c>
      <c r="J24" s="132">
        <f>IF(SER_hh_fech_in!J24=0,0,SER_hh_fech_in!J24/SER_summary!J$27)</f>
        <v>0</v>
      </c>
      <c r="K24" s="132">
        <f>IF(SER_hh_fech_in!K24=0,0,SER_hh_fech_in!K24/SER_summary!K$27)</f>
        <v>0</v>
      </c>
      <c r="L24" s="132">
        <f>IF(SER_hh_fech_in!L24=0,0,SER_hh_fech_in!L24/SER_summary!L$27)</f>
        <v>0</v>
      </c>
      <c r="M24" s="132">
        <f>IF(SER_hh_fech_in!M24=0,0,SER_hh_fech_in!M24/SER_summary!M$27)</f>
        <v>0</v>
      </c>
      <c r="N24" s="132">
        <f>IF(SER_hh_fech_in!N24=0,0,SER_hh_fech_in!N24/SER_summary!N$27)</f>
        <v>0</v>
      </c>
      <c r="O24" s="132">
        <f>IF(SER_hh_fech_in!O24=0,0,SER_hh_fech_in!O24/SER_summary!O$27)</f>
        <v>0</v>
      </c>
      <c r="P24" s="132">
        <f>IF(SER_hh_fech_in!P24=0,0,SER_hh_fech_in!P24/SER_summary!P$27)</f>
        <v>0</v>
      </c>
      <c r="Q24" s="132">
        <f>IF(SER_hh_fech_in!Q24=0,0,SER_hh_fech_in!Q24/SER_summary!Q$27)</f>
        <v>0</v>
      </c>
      <c r="R24" s="132">
        <f>IF(SER_hh_fech_in!R24=0,0,SER_hh_fech_in!R24/SER_summary!R$27)</f>
        <v>0</v>
      </c>
      <c r="S24" s="132">
        <f>IF(SER_hh_fech_in!S24=0,0,SER_hh_fech_in!S24/SER_summary!S$27)</f>
        <v>0</v>
      </c>
      <c r="T24" s="132">
        <f>IF(SER_hh_fech_in!T24=0,0,SER_hh_fech_in!T24/SER_summary!T$27)</f>
        <v>0</v>
      </c>
      <c r="U24" s="132">
        <f>IF(SER_hh_fech_in!U24=0,0,SER_hh_fech_in!U24/SER_summary!U$27)</f>
        <v>0</v>
      </c>
      <c r="V24" s="132">
        <f>IF(SER_hh_fech_in!V24=0,0,SER_hh_fech_in!V24/SER_summary!V$27)</f>
        <v>0</v>
      </c>
      <c r="W24" s="132">
        <f>IF(SER_hh_fech_in!W24=0,0,SER_hh_fech_in!W24/SER_summary!W$27)</f>
        <v>0</v>
      </c>
      <c r="X24" s="132">
        <f>IF(SER_hh_fech_in!X24=0,0,SER_hh_fech_in!X24/SER_summary!X$27)</f>
        <v>0</v>
      </c>
      <c r="Y24" s="132">
        <f>IF(SER_hh_fech_in!Y24=0,0,SER_hh_fech_in!Y24/SER_summary!Y$27)</f>
        <v>0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0</v>
      </c>
      <c r="D25" s="132">
        <f>IF(SER_hh_fech_in!D25=0,0,SER_hh_fech_in!D25/SER_summary!D$27)</f>
        <v>0</v>
      </c>
      <c r="E25" s="132">
        <f>IF(SER_hh_fech_in!E25=0,0,SER_hh_fech_in!E25/SER_summary!E$27)</f>
        <v>0</v>
      </c>
      <c r="F25" s="132">
        <f>IF(SER_hh_fech_in!F25=0,0,SER_hh_fech_in!F25/SER_summary!F$27)</f>
        <v>0</v>
      </c>
      <c r="G25" s="132">
        <f>IF(SER_hh_fech_in!G25=0,0,SER_hh_fech_in!G25/SER_summary!G$27)</f>
        <v>0</v>
      </c>
      <c r="H25" s="132">
        <f>IF(SER_hh_fech_in!H25=0,0,SER_hh_fech_in!H25/SER_summary!H$27)</f>
        <v>0</v>
      </c>
      <c r="I25" s="132">
        <f>IF(SER_hh_fech_in!I25=0,0,SER_hh_fech_in!I25/SER_summary!I$27)</f>
        <v>0</v>
      </c>
      <c r="J25" s="132">
        <f>IF(SER_hh_fech_in!J25=0,0,SER_hh_fech_in!J25/SER_summary!J$27)</f>
        <v>0</v>
      </c>
      <c r="K25" s="132">
        <f>IF(SER_hh_fech_in!K25=0,0,SER_hh_fech_in!K25/SER_summary!K$27)</f>
        <v>0</v>
      </c>
      <c r="L25" s="132">
        <f>IF(SER_hh_fech_in!L25=0,0,SER_hh_fech_in!L25/SER_summary!L$27)</f>
        <v>0</v>
      </c>
      <c r="M25" s="132">
        <f>IF(SER_hh_fech_in!M25=0,0,SER_hh_fech_in!M25/SER_summary!M$27)</f>
        <v>0</v>
      </c>
      <c r="N25" s="132">
        <f>IF(SER_hh_fech_in!N25=0,0,SER_hh_fech_in!N25/SER_summary!N$27)</f>
        <v>0</v>
      </c>
      <c r="O25" s="132">
        <f>IF(SER_hh_fech_in!O25=0,0,SER_hh_fech_in!O25/SER_summary!O$27)</f>
        <v>0</v>
      </c>
      <c r="P25" s="132">
        <f>IF(SER_hh_fech_in!P25=0,0,SER_hh_fech_in!P25/SER_summary!P$27)</f>
        <v>0</v>
      </c>
      <c r="Q25" s="132">
        <f>IF(SER_hh_fech_in!Q25=0,0,SER_hh_fech_in!Q25/SER_summary!Q$27)</f>
        <v>0</v>
      </c>
      <c r="R25" s="132">
        <f>IF(SER_hh_fech_in!R25=0,0,SER_hh_fech_in!R25/SER_summary!R$27)</f>
        <v>0</v>
      </c>
      <c r="S25" s="132">
        <f>IF(SER_hh_fech_in!S25=0,0,SER_hh_fech_in!S25/SER_summary!S$27)</f>
        <v>0</v>
      </c>
      <c r="T25" s="132">
        <f>IF(SER_hh_fech_in!T25=0,0,SER_hh_fech_in!T25/SER_summary!T$27)</f>
        <v>0</v>
      </c>
      <c r="U25" s="132">
        <f>IF(SER_hh_fech_in!U25=0,0,SER_hh_fech_in!U25/SER_summary!U$27)</f>
        <v>0</v>
      </c>
      <c r="V25" s="132">
        <f>IF(SER_hh_fech_in!V25=0,0,SER_hh_fech_in!V25/SER_summary!V$27)</f>
        <v>0</v>
      </c>
      <c r="W25" s="132">
        <f>IF(SER_hh_fech_in!W25=0,0,SER_hh_fech_in!W25/SER_summary!W$27)</f>
        <v>0</v>
      </c>
      <c r="X25" s="132">
        <f>IF(SER_hh_fech_in!X25=0,0,SER_hh_fech_in!X25/SER_summary!X$27)</f>
        <v>0</v>
      </c>
      <c r="Y25" s="132">
        <f>IF(SER_hh_fech_in!Y25=0,0,SER_hh_fech_in!Y25/SER_summary!Y$27)</f>
        <v>0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35.473906638319242</v>
      </c>
      <c r="D26" s="65">
        <f>IF(SER_hh_fech_in!D26=0,0,SER_hh_fech_in!D26/SER_summary!D$27)</f>
        <v>34.829606594615605</v>
      </c>
      <c r="E26" s="65">
        <f>IF(SER_hh_fech_in!E26=0,0,SER_hh_fech_in!E26/SER_summary!E$27)</f>
        <v>34.646099489230977</v>
      </c>
      <c r="F26" s="65">
        <f>IF(SER_hh_fech_in!F26=0,0,SER_hh_fech_in!F26/SER_summary!F$27)</f>
        <v>33.321036925178625</v>
      </c>
      <c r="G26" s="65">
        <f>IF(SER_hh_fech_in!G26=0,0,SER_hh_fech_in!G26/SER_summary!G$27)</f>
        <v>33.843915714757223</v>
      </c>
      <c r="H26" s="65">
        <f>IF(SER_hh_fech_in!H26=0,0,SER_hh_fech_in!H26/SER_summary!H$27)</f>
        <v>32.918856395072225</v>
      </c>
      <c r="I26" s="65">
        <f>IF(SER_hh_fech_in!I26=0,0,SER_hh_fech_in!I26/SER_summary!I$27)</f>
        <v>32.162845378653657</v>
      </c>
      <c r="J26" s="65">
        <f>IF(SER_hh_fech_in!J26=0,0,SER_hh_fech_in!J26/SER_summary!J$27)</f>
        <v>30.404771347420127</v>
      </c>
      <c r="K26" s="65">
        <f>IF(SER_hh_fech_in!K26=0,0,SER_hh_fech_in!K26/SER_summary!K$27)</f>
        <v>33.394867021174612</v>
      </c>
      <c r="L26" s="65">
        <f>IF(SER_hh_fech_in!L26=0,0,SER_hh_fech_in!L26/SER_summary!L$27)</f>
        <v>27.527197910947226</v>
      </c>
      <c r="M26" s="65">
        <f>IF(SER_hh_fech_in!M26=0,0,SER_hh_fech_in!M26/SER_summary!M$27)</f>
        <v>33.402664378356185</v>
      </c>
      <c r="N26" s="65">
        <f>IF(SER_hh_fech_in!N26=0,0,SER_hh_fech_in!N26/SER_summary!N$27)</f>
        <v>33.821146464290521</v>
      </c>
      <c r="O26" s="65">
        <f>IF(SER_hh_fech_in!O26=0,0,SER_hh_fech_in!O26/SER_summary!O$27)</f>
        <v>33.127332997155129</v>
      </c>
      <c r="P26" s="65">
        <f>IF(SER_hh_fech_in!P26=0,0,SER_hh_fech_in!P26/SER_summary!P$27)</f>
        <v>31.872574535520762</v>
      </c>
      <c r="Q26" s="65">
        <f>IF(SER_hh_fech_in!Q26=0,0,SER_hh_fech_in!Q26/SER_summary!Q$27)</f>
        <v>32.679485468817589</v>
      </c>
      <c r="R26" s="65">
        <f>IF(SER_hh_fech_in!R26=0,0,SER_hh_fech_in!R26/SER_summary!R$27)</f>
        <v>31.088369396138866</v>
      </c>
      <c r="S26" s="65">
        <f>IF(SER_hh_fech_in!S26=0,0,SER_hh_fech_in!S26/SER_summary!S$27)</f>
        <v>29.577873927518436</v>
      </c>
      <c r="T26" s="65">
        <f>IF(SER_hh_fech_in!T26=0,0,SER_hh_fech_in!T26/SER_summary!T$27)</f>
        <v>29.339678431511121</v>
      </c>
      <c r="U26" s="65">
        <f>IF(SER_hh_fech_in!U26=0,0,SER_hh_fech_in!U26/SER_summary!U$27)</f>
        <v>28.699259248460439</v>
      </c>
      <c r="V26" s="65">
        <f>IF(SER_hh_fech_in!V26=0,0,SER_hh_fech_in!V26/SER_summary!V$27)</f>
        <v>27.167828671833419</v>
      </c>
      <c r="W26" s="65">
        <f>IF(SER_hh_fech_in!W26=0,0,SER_hh_fech_in!W26/SER_summary!W$27)</f>
        <v>27.677722836894578</v>
      </c>
      <c r="X26" s="65">
        <f>IF(SER_hh_fech_in!X26=0,0,SER_hh_fech_in!X26/SER_summary!X$27)</f>
        <v>25.534428552169118</v>
      </c>
      <c r="Y26" s="65">
        <f>IF(SER_hh_fech_in!Y26=0,0,SER_hh_fech_in!Y26/SER_summary!Y$27)</f>
        <v>24.729034317980233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</v>
      </c>
      <c r="D27" s="145">
        <f>IF(SER_hh_fech_in!D27=0,0,SER_hh_fech_in!D27/SER_summary!D$27)</f>
        <v>0</v>
      </c>
      <c r="E27" s="145">
        <f>IF(SER_hh_fech_in!E27=0,0,SER_hh_fech_in!E27/SER_summary!E$27)</f>
        <v>0</v>
      </c>
      <c r="F27" s="145">
        <f>IF(SER_hh_fech_in!F27=0,0,SER_hh_fech_in!F27/SER_summary!F$27)</f>
        <v>0</v>
      </c>
      <c r="G27" s="145">
        <f>IF(SER_hh_fech_in!G27=0,0,SER_hh_fech_in!G27/SER_summary!G$27)</f>
        <v>0</v>
      </c>
      <c r="H27" s="145">
        <f>IF(SER_hh_fech_in!H27=0,0,SER_hh_fech_in!H27/SER_summary!H$27)</f>
        <v>0.28625096396887356</v>
      </c>
      <c r="I27" s="145">
        <f>IF(SER_hh_fech_in!I27=0,0,SER_hh_fech_in!I27/SER_summary!I$27)</f>
        <v>2.4336654607905666E-2</v>
      </c>
      <c r="J27" s="145">
        <f>IF(SER_hh_fech_in!J27=0,0,SER_hh_fech_in!J27/SER_summary!J$27)</f>
        <v>0.78320254620845398</v>
      </c>
      <c r="K27" s="145">
        <f>IF(SER_hh_fech_in!K27=0,0,SER_hh_fech_in!K27/SER_summary!K$27)</f>
        <v>7.7742616035362339E-2</v>
      </c>
      <c r="L27" s="145">
        <f>IF(SER_hh_fech_in!L27=0,0,SER_hh_fech_in!L27/SER_summary!L$27)</f>
        <v>2.6204093912932316</v>
      </c>
      <c r="M27" s="145">
        <f>IF(SER_hh_fech_in!M27=0,0,SER_hh_fech_in!M27/SER_summary!M$27)</f>
        <v>0.31105701802055191</v>
      </c>
      <c r="N27" s="145">
        <f>IF(SER_hh_fech_in!N27=0,0,SER_hh_fech_in!N27/SER_summary!N$27)</f>
        <v>0</v>
      </c>
      <c r="O27" s="145">
        <f>IF(SER_hh_fech_in!O27=0,0,SER_hh_fech_in!O27/SER_summary!O$27)</f>
        <v>0</v>
      </c>
      <c r="P27" s="145">
        <f>IF(SER_hh_fech_in!P27=0,0,SER_hh_fech_in!P27/SER_summary!P$27)</f>
        <v>0</v>
      </c>
      <c r="Q27" s="145">
        <f>IF(SER_hh_fech_in!Q27=0,0,SER_hh_fech_in!Q27/SER_summary!Q$27)</f>
        <v>0</v>
      </c>
      <c r="R27" s="145">
        <f>IF(SER_hh_fech_in!R27=0,0,SER_hh_fech_in!R27/SER_summary!R$27)</f>
        <v>2.5591179282715239E-2</v>
      </c>
      <c r="S27" s="145">
        <f>IF(SER_hh_fech_in!S27=0,0,SER_hh_fech_in!S27/SER_summary!S$27)</f>
        <v>9.3342032222674079E-2</v>
      </c>
      <c r="T27" s="145">
        <f>IF(SER_hh_fech_in!T27=0,0,SER_hh_fech_in!T27/SER_summary!T$27)</f>
        <v>9.1794256519319203E-2</v>
      </c>
      <c r="U27" s="145">
        <f>IF(SER_hh_fech_in!U27=0,0,SER_hh_fech_in!U27/SER_summary!U$27)</f>
        <v>0.11198267918400699</v>
      </c>
      <c r="V27" s="145">
        <f>IF(SER_hh_fech_in!V27=0,0,SER_hh_fech_in!V27/SER_summary!V$27)</f>
        <v>0.3674726277763069</v>
      </c>
      <c r="W27" s="145">
        <f>IF(SER_hh_fech_in!W27=0,0,SER_hh_fech_in!W27/SER_summary!W$27)</f>
        <v>6.0045471332223994E-2</v>
      </c>
      <c r="X27" s="145">
        <f>IF(SER_hh_fech_in!X27=0,0,SER_hh_fech_in!X27/SER_summary!X$27)</f>
        <v>0.26941715512144954</v>
      </c>
      <c r="Y27" s="145">
        <f>IF(SER_hh_fech_in!Y27=0,0,SER_hh_fech_in!Y27/SER_summary!Y$27)</f>
        <v>0.23733508558814259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0</v>
      </c>
      <c r="D28" s="146">
        <f>IF(SER_hh_fech_in!D28=0,0,SER_hh_fech_in!D28/SER_summary!D$27)</f>
        <v>0</v>
      </c>
      <c r="E28" s="146">
        <f>IF(SER_hh_fech_in!E28=0,0,SER_hh_fech_in!E28/SER_summary!E$27)</f>
        <v>0</v>
      </c>
      <c r="F28" s="146">
        <f>IF(SER_hh_fech_in!F28=0,0,SER_hh_fech_in!F28/SER_summary!F$27)</f>
        <v>0</v>
      </c>
      <c r="G28" s="146">
        <f>IF(SER_hh_fech_in!G28=0,0,SER_hh_fech_in!G28/SER_summary!G$27)</f>
        <v>0</v>
      </c>
      <c r="H28" s="146">
        <f>IF(SER_hh_fech_in!H28=0,0,SER_hh_fech_in!H28/SER_summary!H$27)</f>
        <v>5.2261615139870985</v>
      </c>
      <c r="I28" s="146">
        <f>IF(SER_hh_fech_in!I28=0,0,SER_hh_fech_in!I28/SER_summary!I$27)</f>
        <v>5.1754488775134417</v>
      </c>
      <c r="J28" s="146">
        <f>IF(SER_hh_fech_in!J28=0,0,SER_hh_fech_in!J28/SER_summary!J$27)</f>
        <v>5.332312479231641</v>
      </c>
      <c r="K28" s="146">
        <f>IF(SER_hh_fech_in!K28=0,0,SER_hh_fech_in!K28/SER_summary!K$27)</f>
        <v>5.5872569834436652</v>
      </c>
      <c r="L28" s="146">
        <f>IF(SER_hh_fech_in!L28=0,0,SER_hh_fech_in!L28/SER_summary!L$27)</f>
        <v>5.7216707453628626</v>
      </c>
      <c r="M28" s="146">
        <f>IF(SER_hh_fech_in!M28=0,0,SER_hh_fech_in!M28/SER_summary!M$27)</f>
        <v>5.623022014112534</v>
      </c>
      <c r="N28" s="146">
        <f>IF(SER_hh_fech_in!N28=0,0,SER_hh_fech_in!N28/SER_summary!N$27)</f>
        <v>0</v>
      </c>
      <c r="O28" s="146">
        <f>IF(SER_hh_fech_in!O28=0,0,SER_hh_fech_in!O28/SER_summary!O$27)</f>
        <v>0</v>
      </c>
      <c r="P28" s="146">
        <f>IF(SER_hh_fech_in!P28=0,0,SER_hh_fech_in!P28/SER_summary!P$27)</f>
        <v>0</v>
      </c>
      <c r="Q28" s="146">
        <f>IF(SER_hh_fech_in!Q28=0,0,SER_hh_fech_in!Q28/SER_summary!Q$27)</f>
        <v>0</v>
      </c>
      <c r="R28" s="146">
        <f>IF(SER_hh_fech_in!R28=0,0,SER_hh_fech_in!R28/SER_summary!R$27)</f>
        <v>6.1106613661454832</v>
      </c>
      <c r="S28" s="146">
        <f>IF(SER_hh_fech_in!S28=0,0,SER_hh_fech_in!S28/SER_summary!S$27)</f>
        <v>6.0519905959465534</v>
      </c>
      <c r="T28" s="146">
        <f>IF(SER_hh_fech_in!T28=0,0,SER_hh_fech_in!T28/SER_summary!T$27)</f>
        <v>6.0706881939439601</v>
      </c>
      <c r="U28" s="146">
        <f>IF(SER_hh_fech_in!U28=0,0,SER_hh_fech_in!U28/SER_summary!U$27)</f>
        <v>6.1624893840790502</v>
      </c>
      <c r="V28" s="146">
        <f>IF(SER_hh_fech_in!V28=0,0,SER_hh_fech_in!V28/SER_summary!V$27)</f>
        <v>5.6080055723436022</v>
      </c>
      <c r="W28" s="146">
        <f>IF(SER_hh_fech_in!W28=0,0,SER_hh_fech_in!W28/SER_summary!W$27)</f>
        <v>6.0692168629171706</v>
      </c>
      <c r="X28" s="146">
        <f>IF(SER_hh_fech_in!X28=0,0,SER_hh_fech_in!X28/SER_summary!X$27)</f>
        <v>6.1060085231419832</v>
      </c>
      <c r="Y28" s="146">
        <f>IF(SER_hh_fech_in!Y28=0,0,SER_hh_fech_in!Y28/SER_summary!Y$27)</f>
        <v>6.3247065395985365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39.035763589803459</v>
      </c>
      <c r="D29" s="130">
        <f>IF(SER_hh_fech_in!D29=0,0,SER_hh_fech_in!D29/SER_summary!D$27)</f>
        <v>38.541774907249113</v>
      </c>
      <c r="E29" s="130">
        <f>IF(SER_hh_fech_in!E29=0,0,SER_hh_fech_in!E29/SER_summary!E$27)</f>
        <v>39.209934490922194</v>
      </c>
      <c r="F29" s="130">
        <f>IF(SER_hh_fech_in!F29=0,0,SER_hh_fech_in!F29/SER_summary!F$27)</f>
        <v>39.480260084688737</v>
      </c>
      <c r="G29" s="130">
        <f>IF(SER_hh_fech_in!G29=0,0,SER_hh_fech_in!G29/SER_summary!G$27)</f>
        <v>40.792608852812961</v>
      </c>
      <c r="H29" s="130">
        <f>IF(SER_hh_fech_in!H29=0,0,SER_hh_fech_in!H29/SER_summary!H$27)</f>
        <v>39.248577618050398</v>
      </c>
      <c r="I29" s="130">
        <f>IF(SER_hh_fech_in!I29=0,0,SER_hh_fech_in!I29/SER_summary!I$27)</f>
        <v>38.325853240897615</v>
      </c>
      <c r="J29" s="130">
        <f>IF(SER_hh_fech_in!J29=0,0,SER_hh_fech_in!J29/SER_summary!J$27)</f>
        <v>35.915868196724745</v>
      </c>
      <c r="K29" s="130">
        <f>IF(SER_hh_fech_in!K29=0,0,SER_hh_fech_in!K29/SER_summary!K$27)</f>
        <v>36.944287228254389</v>
      </c>
      <c r="L29" s="130">
        <f>IF(SER_hh_fech_in!L29=0,0,SER_hh_fech_in!L29/SER_summary!L$27)</f>
        <v>39.998114080393343</v>
      </c>
      <c r="M29" s="130">
        <f>IF(SER_hh_fech_in!M29=0,0,SER_hh_fech_in!M29/SER_summary!M$27)</f>
        <v>39.603597869957525</v>
      </c>
      <c r="N29" s="130">
        <f>IF(SER_hh_fech_in!N29=0,0,SER_hh_fech_in!N29/SER_summary!N$27)</f>
        <v>39.946352532958308</v>
      </c>
      <c r="O29" s="130">
        <f>IF(SER_hh_fech_in!O29=0,0,SER_hh_fech_in!O29/SER_summary!O$27)</f>
        <v>42.544860556105739</v>
      </c>
      <c r="P29" s="130">
        <f>IF(SER_hh_fech_in!P29=0,0,SER_hh_fech_in!P29/SER_summary!P$27)</f>
        <v>39.739343578672887</v>
      </c>
      <c r="Q29" s="130">
        <f>IF(SER_hh_fech_in!Q29=0,0,SER_hh_fech_in!Q29/SER_summary!Q$27)</f>
        <v>42.499838271562453</v>
      </c>
      <c r="R29" s="130">
        <f>IF(SER_hh_fech_in!R29=0,0,SER_hh_fech_in!R29/SER_summary!R$27)</f>
        <v>40.223140731965252</v>
      </c>
      <c r="S29" s="130">
        <f>IF(SER_hh_fech_in!S29=0,0,SER_hh_fech_in!S29/SER_summary!S$27)</f>
        <v>42.031132085960522</v>
      </c>
      <c r="T29" s="130">
        <f>IF(SER_hh_fech_in!T29=0,0,SER_hh_fech_in!T29/SER_summary!T$27)</f>
        <v>41.695371054228382</v>
      </c>
      <c r="U29" s="130">
        <f>IF(SER_hh_fech_in!U29=0,0,SER_hh_fech_in!U29/SER_summary!U$27)</f>
        <v>41.014863884522008</v>
      </c>
      <c r="V29" s="130">
        <f>IF(SER_hh_fech_in!V29=0,0,SER_hh_fech_in!V29/SER_summary!V$27)</f>
        <v>35.595528404823121</v>
      </c>
      <c r="W29" s="130">
        <f>IF(SER_hh_fech_in!W29=0,0,SER_hh_fech_in!W29/SER_summary!W$27)</f>
        <v>43.348678914966179</v>
      </c>
      <c r="X29" s="130">
        <f>IF(SER_hh_fech_in!X29=0,0,SER_hh_fech_in!X29/SER_summary!X$27)</f>
        <v>43.3169068579572</v>
      </c>
      <c r="Y29" s="130">
        <f>IF(SER_hh_fech_in!Y29=0,0,SER_hh_fech_in!Y29/SER_summary!Y$27)</f>
        <v>43.766804765205386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45.002299834966379</v>
      </c>
      <c r="D30" s="132">
        <f>IF(SER_hh_fech_in!D30=0,0,SER_hh_fech_in!D30/SER_summary!D$27)</f>
        <v>43.339148356662356</v>
      </c>
      <c r="E30" s="132">
        <f>IF(SER_hh_fech_in!E30=0,0,SER_hh_fech_in!E30/SER_summary!E$27)</f>
        <v>42.323322489119647</v>
      </c>
      <c r="F30" s="132">
        <f>IF(SER_hh_fech_in!F30=0,0,SER_hh_fech_in!F30/SER_summary!F$27)</f>
        <v>41.917918605299931</v>
      </c>
      <c r="G30" s="132">
        <f>IF(SER_hh_fech_in!G30=0,0,SER_hh_fech_in!G30/SER_summary!G$27)</f>
        <v>44.774281399661525</v>
      </c>
      <c r="H30" s="132">
        <f>IF(SER_hh_fech_in!H30=0,0,SER_hh_fech_in!H30/SER_summary!H$27)</f>
        <v>43.453340255070735</v>
      </c>
      <c r="I30" s="132">
        <f>IF(SER_hh_fech_in!I30=0,0,SER_hh_fech_in!I30/SER_summary!I$27)</f>
        <v>41.741115807981281</v>
      </c>
      <c r="J30" s="132">
        <f>IF(SER_hh_fech_in!J30=0,0,SER_hh_fech_in!J30/SER_summary!J$27)</f>
        <v>48.116251892828785</v>
      </c>
      <c r="K30" s="132">
        <f>IF(SER_hh_fech_in!K30=0,0,SER_hh_fech_in!K30/SER_summary!K$27)</f>
        <v>36.419206410437013</v>
      </c>
      <c r="L30" s="132">
        <f>IF(SER_hh_fech_in!L30=0,0,SER_hh_fech_in!L30/SER_summary!L$27)</f>
        <v>46.634022844230941</v>
      </c>
      <c r="M30" s="132">
        <f>IF(SER_hh_fech_in!M30=0,0,SER_hh_fech_in!M30/SER_summary!M$27)</f>
        <v>46.077011201081774</v>
      </c>
      <c r="N30" s="132">
        <f>IF(SER_hh_fech_in!N30=0,0,SER_hh_fech_in!N30/SER_summary!N$27)</f>
        <v>44.938016588808203</v>
      </c>
      <c r="O30" s="132">
        <f>IF(SER_hh_fech_in!O30=0,0,SER_hh_fech_in!O30/SER_summary!O$27)</f>
        <v>52.965727860622991</v>
      </c>
      <c r="P30" s="132">
        <f>IF(SER_hh_fech_in!P30=0,0,SER_hh_fech_in!P30/SER_summary!P$27)</f>
        <v>45.417260319522207</v>
      </c>
      <c r="Q30" s="132">
        <f>IF(SER_hh_fech_in!Q30=0,0,SER_hh_fech_in!Q30/SER_summary!Q$27)</f>
        <v>51.216206576981016</v>
      </c>
      <c r="R30" s="132">
        <f>IF(SER_hh_fech_in!R30=0,0,SER_hh_fech_in!R30/SER_summary!R$27)</f>
        <v>46.301167979928522</v>
      </c>
      <c r="S30" s="132">
        <f>IF(SER_hh_fech_in!S30=0,0,SER_hh_fech_in!S30/SER_summary!S$27)</f>
        <v>47.687659827039326</v>
      </c>
      <c r="T30" s="132">
        <f>IF(SER_hh_fech_in!T30=0,0,SER_hh_fech_in!T30/SER_summary!T$27)</f>
        <v>51.366620288274376</v>
      </c>
      <c r="U30" s="132">
        <f>IF(SER_hh_fech_in!U30=0,0,SER_hh_fech_in!U30/SER_summary!U$27)</f>
        <v>51.534672390886477</v>
      </c>
      <c r="V30" s="132">
        <f>IF(SER_hh_fech_in!V30=0,0,SER_hh_fech_in!V30/SER_summary!V$27)</f>
        <v>43.051011886221701</v>
      </c>
      <c r="W30" s="132">
        <f>IF(SER_hh_fech_in!W30=0,0,SER_hh_fech_in!W30/SER_summary!W$27)</f>
        <v>48.845390629565948</v>
      </c>
      <c r="X30" s="132">
        <f>IF(SER_hh_fech_in!X30=0,0,SER_hh_fech_in!X30/SER_summary!X$27)</f>
        <v>49.720387613568327</v>
      </c>
      <c r="Y30" s="132">
        <f>IF(SER_hh_fech_in!Y30=0,0,SER_hh_fech_in!Y30/SER_summary!Y$27)</f>
        <v>51.088786134710993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43.7209204347241</v>
      </c>
      <c r="D31" s="132">
        <f>IF(SER_hh_fech_in!D31=0,0,SER_hh_fech_in!D31/SER_summary!D$27)</f>
        <v>42.925281051007957</v>
      </c>
      <c r="E31" s="132">
        <f>IF(SER_hh_fech_in!E31=0,0,SER_hh_fech_in!E31/SER_summary!E$27)</f>
        <v>42.341660944087529</v>
      </c>
      <c r="F31" s="132">
        <f>IF(SER_hh_fech_in!F31=0,0,SER_hh_fech_in!F31/SER_summary!F$27)</f>
        <v>42.697932714090456</v>
      </c>
      <c r="G31" s="132">
        <f>IF(SER_hh_fech_in!G31=0,0,SER_hh_fech_in!G31/SER_summary!G$27)</f>
        <v>42.563032496544743</v>
      </c>
      <c r="H31" s="132">
        <f>IF(SER_hh_fech_in!H31=0,0,SER_hh_fech_in!H31/SER_summary!H$27)</f>
        <v>42.745277680790586</v>
      </c>
      <c r="I31" s="132">
        <f>IF(SER_hh_fech_in!I31=0,0,SER_hh_fech_in!I31/SER_summary!I$27)</f>
        <v>41.827258629323978</v>
      </c>
      <c r="J31" s="132">
        <f>IF(SER_hh_fech_in!J31=0,0,SER_hh_fech_in!J31/SER_summary!J$27)</f>
        <v>41.425958609446582</v>
      </c>
      <c r="K31" s="132">
        <f>IF(SER_hh_fech_in!K31=0,0,SER_hh_fech_in!K31/SER_summary!K$27)</f>
        <v>42.408405024548664</v>
      </c>
      <c r="L31" s="132">
        <f>IF(SER_hh_fech_in!L31=0,0,SER_hh_fech_in!L31/SER_summary!L$27)</f>
        <v>44.435925970169905</v>
      </c>
      <c r="M31" s="132">
        <f>IF(SER_hh_fech_in!M31=0,0,SER_hh_fech_in!M31/SER_summary!M$27)</f>
        <v>42.745632005735068</v>
      </c>
      <c r="N31" s="132">
        <f>IF(SER_hh_fech_in!N31=0,0,SER_hh_fech_in!N31/SER_summary!N$27)</f>
        <v>46.324503388045642</v>
      </c>
      <c r="O31" s="132">
        <f>IF(SER_hh_fech_in!O31=0,0,SER_hh_fech_in!O31/SER_summary!O$27)</f>
        <v>47.200121275375039</v>
      </c>
      <c r="P31" s="132">
        <f>IF(SER_hh_fech_in!P31=0,0,SER_hh_fech_in!P31/SER_summary!P$27)</f>
        <v>47.066703612310121</v>
      </c>
      <c r="Q31" s="132">
        <f>IF(SER_hh_fech_in!Q31=0,0,SER_hh_fech_in!Q31/SER_summary!Q$27)</f>
        <v>50.591809864628132</v>
      </c>
      <c r="R31" s="132">
        <f>IF(SER_hh_fech_in!R31=0,0,SER_hh_fech_in!R31/SER_summary!R$27)</f>
        <v>48.941963561366506</v>
      </c>
      <c r="S31" s="132">
        <f>IF(SER_hh_fech_in!S31=0,0,SER_hh_fech_in!S31/SER_summary!S$27)</f>
        <v>47.259092165967516</v>
      </c>
      <c r="T31" s="132">
        <f>IF(SER_hh_fech_in!T31=0,0,SER_hh_fech_in!T31/SER_summary!T$27)</f>
        <v>48.414333509973858</v>
      </c>
      <c r="U31" s="132">
        <f>IF(SER_hh_fech_in!U31=0,0,SER_hh_fech_in!U31/SER_summary!U$27)</f>
        <v>49.706221973611648</v>
      </c>
      <c r="V31" s="132">
        <f>IF(SER_hh_fech_in!V31=0,0,SER_hh_fech_in!V31/SER_summary!V$27)</f>
        <v>38.939983617006433</v>
      </c>
      <c r="W31" s="132">
        <f>IF(SER_hh_fech_in!W31=0,0,SER_hh_fech_in!W31/SER_summary!W$27)</f>
        <v>52.918785643672649</v>
      </c>
      <c r="X31" s="132">
        <f>IF(SER_hh_fech_in!X31=0,0,SER_hh_fech_in!X31/SER_summary!X$27)</f>
        <v>50.575220511558662</v>
      </c>
      <c r="Y31" s="132">
        <f>IF(SER_hh_fech_in!Y31=0,0,SER_hh_fech_in!Y31/SER_summary!Y$27)</f>
        <v>48.225316047718735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0</v>
      </c>
      <c r="H32" s="132">
        <f>IF(SER_hh_fech_in!H32=0,0,SER_hh_fech_in!H32/SER_summary!H$27)</f>
        <v>0</v>
      </c>
      <c r="I32" s="132">
        <f>IF(SER_hh_fech_in!I32=0,0,SER_hh_fech_in!I32/SER_summary!I$27)</f>
        <v>0</v>
      </c>
      <c r="J32" s="132">
        <f>IF(SER_hh_fech_in!J32=0,0,SER_hh_fech_in!J32/SER_summary!J$27)</f>
        <v>0</v>
      </c>
      <c r="K32" s="132">
        <f>IF(SER_hh_fech_in!K32=0,0,SER_hh_fech_in!K32/SER_summary!K$27)</f>
        <v>0</v>
      </c>
      <c r="L32" s="132">
        <f>IF(SER_hh_fech_in!L32=0,0,SER_hh_fech_in!L32/SER_summary!L$27)</f>
        <v>0</v>
      </c>
      <c r="M32" s="132">
        <f>IF(SER_hh_fech_in!M32=0,0,SER_hh_fech_in!M32/SER_summary!M$27)</f>
        <v>0</v>
      </c>
      <c r="N32" s="132">
        <f>IF(SER_hh_fech_in!N32=0,0,SER_hh_fech_in!N32/SER_summary!N$27)</f>
        <v>0</v>
      </c>
      <c r="O32" s="132">
        <f>IF(SER_hh_fech_in!O32=0,0,SER_hh_fech_in!O32/SER_summary!O$27)</f>
        <v>0</v>
      </c>
      <c r="P32" s="132">
        <f>IF(SER_hh_fech_in!P32=0,0,SER_hh_fech_in!P32/SER_summary!P$27)</f>
        <v>0</v>
      </c>
      <c r="Q32" s="132">
        <f>IF(SER_hh_fech_in!Q32=0,0,SER_hh_fech_in!Q32/SER_summary!Q$27)</f>
        <v>0</v>
      </c>
      <c r="R32" s="132">
        <f>IF(SER_hh_fech_in!R32=0,0,SER_hh_fech_in!R32/SER_summary!R$27)</f>
        <v>0</v>
      </c>
      <c r="S32" s="132">
        <f>IF(SER_hh_fech_in!S32=0,0,SER_hh_fech_in!S32/SER_summary!S$27)</f>
        <v>0</v>
      </c>
      <c r="T32" s="132">
        <f>IF(SER_hh_fech_in!T32=0,0,SER_hh_fech_in!T32/SER_summary!T$27)</f>
        <v>0</v>
      </c>
      <c r="U32" s="132">
        <f>IF(SER_hh_fech_in!U32=0,0,SER_hh_fech_in!U32/SER_summary!U$27)</f>
        <v>0</v>
      </c>
      <c r="V32" s="132">
        <f>IF(SER_hh_fech_in!V32=0,0,SER_hh_fech_in!V32/SER_summary!V$27)</f>
        <v>0</v>
      </c>
      <c r="W32" s="132">
        <f>IF(SER_hh_fech_in!W32=0,0,SER_hh_fech_in!W32/SER_summary!W$27)</f>
        <v>0</v>
      </c>
      <c r="X32" s="132">
        <f>IF(SER_hh_fech_in!X32=0,0,SER_hh_fech_in!X32/SER_summary!X$27)</f>
        <v>0</v>
      </c>
      <c r="Y32" s="132">
        <f>IF(SER_hh_fech_in!Y32=0,0,SER_hh_fech_in!Y32/SER_summary!Y$27)</f>
        <v>0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32.751490275293811</v>
      </c>
      <c r="D33" s="68">
        <f>IF(SER_hh_fech_in!D33=0,0,SER_hh_fech_in!D33/SER_summary!D$27)</f>
        <v>33.028119297048939</v>
      </c>
      <c r="E33" s="68">
        <f>IF(SER_hh_fech_in!E33=0,0,SER_hh_fech_in!E33/SER_summary!E$27)</f>
        <v>33.631372987969037</v>
      </c>
      <c r="F33" s="68">
        <f>IF(SER_hh_fech_in!F33=0,0,SER_hh_fech_in!F33/SER_summary!F$27)</f>
        <v>33.152990874579537</v>
      </c>
      <c r="G33" s="68">
        <f>IF(SER_hh_fech_in!G33=0,0,SER_hh_fech_in!G33/SER_summary!G$27)</f>
        <v>31.335714607044796</v>
      </c>
      <c r="H33" s="68">
        <f>IF(SER_hh_fech_in!H33=0,0,SER_hh_fech_in!H33/SER_summary!H$27)</f>
        <v>31.902799428077191</v>
      </c>
      <c r="I33" s="68">
        <f>IF(SER_hh_fech_in!I33=0,0,SER_hh_fech_in!I33/SER_summary!I$27)</f>
        <v>32.506944816131735</v>
      </c>
      <c r="J33" s="68">
        <f>IF(SER_hh_fech_in!J33=0,0,SER_hh_fech_in!J33/SER_summary!J$27)</f>
        <v>28.880185177739136</v>
      </c>
      <c r="K33" s="68">
        <f>IF(SER_hh_fech_in!K33=0,0,SER_hh_fech_in!K33/SER_summary!K$27)</f>
        <v>34.650713100044911</v>
      </c>
      <c r="L33" s="68">
        <f>IF(SER_hh_fech_in!L33=0,0,SER_hh_fech_in!L33/SER_summary!L$27)</f>
        <v>28.748378228425587</v>
      </c>
      <c r="M33" s="68">
        <f>IF(SER_hh_fech_in!M33=0,0,SER_hh_fech_in!M33/SER_summary!M$27)</f>
        <v>33.581713881937951</v>
      </c>
      <c r="N33" s="68">
        <f>IF(SER_hh_fech_in!N33=0,0,SER_hh_fech_in!N33/SER_summary!N$27)</f>
        <v>36.500366752228409</v>
      </c>
      <c r="O33" s="68">
        <f>IF(SER_hh_fech_in!O33=0,0,SER_hh_fech_in!O33/SER_summary!O$27)</f>
        <v>32.206725046611986</v>
      </c>
      <c r="P33" s="68">
        <f>IF(SER_hh_fech_in!P33=0,0,SER_hh_fech_in!P33/SER_summary!P$27)</f>
        <v>37.394046906601901</v>
      </c>
      <c r="Q33" s="68">
        <f>IF(SER_hh_fech_in!Q33=0,0,SER_hh_fech_in!Q33/SER_summary!Q$27)</f>
        <v>35.057208609787203</v>
      </c>
      <c r="R33" s="68">
        <f>IF(SER_hh_fech_in!R33=0,0,SER_hh_fech_in!R33/SER_summary!R$27)</f>
        <v>36.988891330841554</v>
      </c>
      <c r="S33" s="68">
        <f>IF(SER_hh_fech_in!S33=0,0,SER_hh_fech_in!S33/SER_summary!S$27)</f>
        <v>36.367390289941589</v>
      </c>
      <c r="T33" s="68">
        <f>IF(SER_hh_fech_in!T33=0,0,SER_hh_fech_in!T33/SER_summary!T$27)</f>
        <v>33.763296500719775</v>
      </c>
      <c r="U33" s="68">
        <f>IF(SER_hh_fech_in!U33=0,0,SER_hh_fech_in!U33/SER_summary!U$27)</f>
        <v>33.945514250387433</v>
      </c>
      <c r="V33" s="68">
        <f>IF(SER_hh_fech_in!V33=0,0,SER_hh_fech_in!V33/SER_summary!V$27)</f>
        <v>33.343044992514024</v>
      </c>
      <c r="W33" s="68">
        <f>IF(SER_hh_fech_in!W33=0,0,SER_hh_fech_in!W33/SER_summary!W$27)</f>
        <v>36.152613577525486</v>
      </c>
      <c r="X33" s="68">
        <f>IF(SER_hh_fech_in!X33=0,0,SER_hh_fech_in!X33/SER_summary!X$27)</f>
        <v>34.602898468948574</v>
      </c>
      <c r="Y33" s="68">
        <f>IF(SER_hh_fech_in!Y33=0,0,SER_hh_fech_in!Y33/SER_summary!Y$27)</f>
        <v>33.199277551558239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200.15287886549976</v>
      </c>
      <c r="D3" s="125">
        <f>IF(SER_hh_tesh_in!D3=0,0,SER_hh_tesh_in!D3/SER_summary!D$27)</f>
        <v>198.82810399535464</v>
      </c>
      <c r="E3" s="125">
        <f>IF(SER_hh_tesh_in!E3=0,0,SER_hh_tesh_in!E3/SER_summary!E$27)</f>
        <v>220.2951259602134</v>
      </c>
      <c r="F3" s="125">
        <f>IF(SER_hh_tesh_in!F3=0,0,SER_hh_tesh_in!F3/SER_summary!F$27)</f>
        <v>202.00872827492253</v>
      </c>
      <c r="G3" s="125">
        <f>IF(SER_hh_tesh_in!G3=0,0,SER_hh_tesh_in!G3/SER_summary!G$27)</f>
        <v>208.99695205365495</v>
      </c>
      <c r="H3" s="125">
        <f>IF(SER_hh_tesh_in!H3=0,0,SER_hh_tesh_in!H3/SER_summary!H$27)</f>
        <v>218.68941739248163</v>
      </c>
      <c r="I3" s="125">
        <f>IF(SER_hh_tesh_in!I3=0,0,SER_hh_tesh_in!I3/SER_summary!I$27)</f>
        <v>205.78694117602438</v>
      </c>
      <c r="J3" s="125">
        <f>IF(SER_hh_tesh_in!J3=0,0,SER_hh_tesh_in!J3/SER_summary!J$27)</f>
        <v>215.14902411306974</v>
      </c>
      <c r="K3" s="125">
        <f>IF(SER_hh_tesh_in!K3=0,0,SER_hh_tesh_in!K3/SER_summary!K$27)</f>
        <v>199.75181948407109</v>
      </c>
      <c r="L3" s="125">
        <f>IF(SER_hh_tesh_in!L3=0,0,SER_hh_tesh_in!L3/SER_summary!L$27)</f>
        <v>202.06660981640434</v>
      </c>
      <c r="M3" s="125">
        <f>IF(SER_hh_tesh_in!M3=0,0,SER_hh_tesh_in!M3/SER_summary!M$27)</f>
        <v>191.35000670548791</v>
      </c>
      <c r="N3" s="125">
        <f>IF(SER_hh_tesh_in!N3=0,0,SER_hh_tesh_in!N3/SER_summary!N$27)</f>
        <v>191.67653877011608</v>
      </c>
      <c r="O3" s="125">
        <f>IF(SER_hh_tesh_in!O3=0,0,SER_hh_tesh_in!O3/SER_summary!O$27)</f>
        <v>195.71600496646894</v>
      </c>
      <c r="P3" s="125">
        <f>IF(SER_hh_tesh_in!P3=0,0,SER_hh_tesh_in!P3/SER_summary!P$27)</f>
        <v>179.62457546999397</v>
      </c>
      <c r="Q3" s="125">
        <f>IF(SER_hh_tesh_in!Q3=0,0,SER_hh_tesh_in!Q3/SER_summary!Q$27)</f>
        <v>190.16100260395811</v>
      </c>
      <c r="R3" s="125">
        <f>IF(SER_hh_tesh_in!R3=0,0,SER_hh_tesh_in!R3/SER_summary!R$27)</f>
        <v>180.13499172110002</v>
      </c>
      <c r="S3" s="125">
        <f>IF(SER_hh_tesh_in!S3=0,0,SER_hh_tesh_in!S3/SER_summary!S$27)</f>
        <v>168.51335811316611</v>
      </c>
      <c r="T3" s="125">
        <f>IF(SER_hh_tesh_in!T3=0,0,SER_hh_tesh_in!T3/SER_summary!T$27)</f>
        <v>175.15151457713253</v>
      </c>
      <c r="U3" s="125">
        <f>IF(SER_hh_tesh_in!U3=0,0,SER_hh_tesh_in!U3/SER_summary!U$27)</f>
        <v>169.3275764242438</v>
      </c>
      <c r="V3" s="125">
        <f>IF(SER_hh_tesh_in!V3=0,0,SER_hh_tesh_in!V3/SER_summary!V$27)</f>
        <v>141.1529082320514</v>
      </c>
      <c r="W3" s="125">
        <f>IF(SER_hh_tesh_in!W3=0,0,SER_hh_tesh_in!W3/SER_summary!W$27)</f>
        <v>129.74354306776593</v>
      </c>
      <c r="X3" s="125">
        <f>IF(SER_hh_tesh_in!X3=0,0,SER_hh_tesh_in!X3/SER_summary!X$27)</f>
        <v>109.99329839153269</v>
      </c>
      <c r="Y3" s="125">
        <f>IF(SER_hh_tesh_in!Y3=0,0,SER_hh_tesh_in!Y3/SER_summary!Y$27)</f>
        <v>109.47811023591041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122.1108246449238</v>
      </c>
      <c r="D4" s="130">
        <f>IF(SER_hh_tesh_in!D4=0,0,SER_hh_tesh_in!D4/SER_summary!D$27)</f>
        <v>121.19779967983229</v>
      </c>
      <c r="E4" s="130">
        <f>IF(SER_hh_tesh_in!E4=0,0,SER_hh_tesh_in!E4/SER_summary!E$27)</f>
        <v>143.30877345899597</v>
      </c>
      <c r="F4" s="130">
        <f>IF(SER_hh_tesh_in!F4=0,0,SER_hh_tesh_in!F4/SER_summary!F$27)</f>
        <v>126.0800394423385</v>
      </c>
      <c r="G4" s="130">
        <f>IF(SER_hh_tesh_in!G4=0,0,SER_hh_tesh_in!G4/SER_summary!G$27)</f>
        <v>132.86246913878401</v>
      </c>
      <c r="H4" s="130">
        <f>IF(SER_hh_tesh_in!H4=0,0,SER_hh_tesh_in!H4/SER_summary!H$27)</f>
        <v>142.98599257025717</v>
      </c>
      <c r="I4" s="130">
        <f>IF(SER_hh_tesh_in!I4=0,0,SER_hh_tesh_in!I4/SER_summary!I$27)</f>
        <v>135.31528495775129</v>
      </c>
      <c r="J4" s="130">
        <f>IF(SER_hh_tesh_in!J4=0,0,SER_hh_tesh_in!J4/SER_summary!J$27)</f>
        <v>141.32994805035429</v>
      </c>
      <c r="K4" s="130">
        <f>IF(SER_hh_tesh_in!K4=0,0,SER_hh_tesh_in!K4/SER_summary!K$27)</f>
        <v>124.62486546319325</v>
      </c>
      <c r="L4" s="130">
        <f>IF(SER_hh_tesh_in!L4=0,0,SER_hh_tesh_in!L4/SER_summary!L$27)</f>
        <v>126.18901751896419</v>
      </c>
      <c r="M4" s="130">
        <f>IF(SER_hh_tesh_in!M4=0,0,SER_hh_tesh_in!M4/SER_summary!M$27)</f>
        <v>115.06833269753326</v>
      </c>
      <c r="N4" s="130">
        <f>IF(SER_hh_tesh_in!N4=0,0,SER_hh_tesh_in!N4/SER_summary!N$27)</f>
        <v>113.86121766136387</v>
      </c>
      <c r="O4" s="130">
        <f>IF(SER_hh_tesh_in!O4=0,0,SER_hh_tesh_in!O4/SER_summary!O$27)</f>
        <v>118.41682930434338</v>
      </c>
      <c r="P4" s="130">
        <f>IF(SER_hh_tesh_in!P4=0,0,SER_hh_tesh_in!P4/SER_summary!P$27)</f>
        <v>101.28464841701654</v>
      </c>
      <c r="Q4" s="130">
        <f>IF(SER_hh_tesh_in!Q4=0,0,SER_hh_tesh_in!Q4/SER_summary!Q$27)</f>
        <v>112.19856648796443</v>
      </c>
      <c r="R4" s="130">
        <f>IF(SER_hh_tesh_in!R4=0,0,SER_hh_tesh_in!R4/SER_summary!R$27)</f>
        <v>102.2069050719513</v>
      </c>
      <c r="S4" s="130">
        <f>IF(SER_hh_tesh_in!S4=0,0,SER_hh_tesh_in!S4/SER_summary!S$27)</f>
        <v>91.926158354498142</v>
      </c>
      <c r="T4" s="130">
        <f>IF(SER_hh_tesh_in!T4=0,0,SER_hh_tesh_in!T4/SER_summary!T$27)</f>
        <v>99.151517970042775</v>
      </c>
      <c r="U4" s="130">
        <f>IF(SER_hh_tesh_in!U4=0,0,SER_hh_tesh_in!U4/SER_summary!U$27)</f>
        <v>93.555837588737816</v>
      </c>
      <c r="V4" s="130">
        <f>IF(SER_hh_tesh_in!V4=0,0,SER_hh_tesh_in!V4/SER_summary!V$27)</f>
        <v>70.816255995742139</v>
      </c>
      <c r="W4" s="130">
        <f>IF(SER_hh_tesh_in!W4=0,0,SER_hh_tesh_in!W4/SER_summary!W$27)</f>
        <v>56.636331953638518</v>
      </c>
      <c r="X4" s="130">
        <f>IF(SER_hh_tesh_in!X4=0,0,SER_hh_tesh_in!X4/SER_summary!X$27)</f>
        <v>40.527694433794252</v>
      </c>
      <c r="Y4" s="130">
        <f>IF(SER_hh_tesh_in!Y4=0,0,SER_hh_tesh_in!Y4/SER_summary!Y$27)</f>
        <v>40.563939017205868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72.409826155648389</v>
      </c>
      <c r="D5" s="132">
        <f>IF(SER_hh_tesh_in!D5=0,0,SER_hh_tesh_in!D5/SER_summary!D$27)</f>
        <v>36.488475891320597</v>
      </c>
      <c r="E5" s="132">
        <f>IF(SER_hh_tesh_in!E5=0,0,SER_hh_tesh_in!E5/SER_summary!E$27)</f>
        <v>197.56810081916049</v>
      </c>
      <c r="F5" s="132">
        <f>IF(SER_hh_tesh_in!F5=0,0,SER_hh_tesh_in!F5/SER_summary!F$27)</f>
        <v>165.94961070091338</v>
      </c>
      <c r="G5" s="132">
        <f>IF(SER_hh_tesh_in!G5=0,0,SER_hh_tesh_in!G5/SER_summary!G$27)</f>
        <v>161.13067041339107</v>
      </c>
      <c r="H5" s="132">
        <f>IF(SER_hh_tesh_in!H5=0,0,SER_hh_tesh_in!H5/SER_summary!H$27)</f>
        <v>159.58648499041917</v>
      </c>
      <c r="I5" s="132">
        <f>IF(SER_hh_tesh_in!I5=0,0,SER_hh_tesh_in!I5/SER_summary!I$27)</f>
        <v>0</v>
      </c>
      <c r="J5" s="132">
        <f>IF(SER_hh_tesh_in!J5=0,0,SER_hh_tesh_in!J5/SER_summary!J$27)</f>
        <v>0</v>
      </c>
      <c r="K5" s="132">
        <f>IF(SER_hh_tesh_in!K5=0,0,SER_hh_tesh_in!K5/SER_summary!K$27)</f>
        <v>0</v>
      </c>
      <c r="L5" s="132">
        <f>IF(SER_hh_tesh_in!L5=0,0,SER_hh_tesh_in!L5/SER_summary!L$27)</f>
        <v>0</v>
      </c>
      <c r="M5" s="132">
        <f>IF(SER_hh_tesh_in!M5=0,0,SER_hh_tesh_in!M5/SER_summary!M$27)</f>
        <v>0</v>
      </c>
      <c r="N5" s="132">
        <f>IF(SER_hh_tesh_in!N5=0,0,SER_hh_tesh_in!N5/SER_summary!N$27)</f>
        <v>0</v>
      </c>
      <c r="O5" s="132">
        <f>IF(SER_hh_tesh_in!O5=0,0,SER_hh_tesh_in!O5/SER_summary!O$27)</f>
        <v>0</v>
      </c>
      <c r="P5" s="132">
        <f>IF(SER_hh_tesh_in!P5=0,0,SER_hh_tesh_in!P5/SER_summary!P$27)</f>
        <v>0</v>
      </c>
      <c r="Q5" s="132">
        <f>IF(SER_hh_tesh_in!Q5=0,0,SER_hh_tesh_in!Q5/SER_summary!Q$27)</f>
        <v>73.34513345860006</v>
      </c>
      <c r="R5" s="132">
        <f>IF(SER_hh_tesh_in!R5=0,0,SER_hh_tesh_in!R5/SER_summary!R$27)</f>
        <v>124.63871025673214</v>
      </c>
      <c r="S5" s="132">
        <f>IF(SER_hh_tesh_in!S5=0,0,SER_hh_tesh_in!S5/SER_summary!S$27)</f>
        <v>98.067918983736121</v>
      </c>
      <c r="T5" s="132">
        <f>IF(SER_hh_tesh_in!T5=0,0,SER_hh_tesh_in!T5/SER_summary!T$27)</f>
        <v>103.92042749589044</v>
      </c>
      <c r="U5" s="132">
        <f>IF(SER_hh_tesh_in!U5=0,0,SER_hh_tesh_in!U5/SER_summary!U$27)</f>
        <v>102.34621929957761</v>
      </c>
      <c r="V5" s="132">
        <f>IF(SER_hh_tesh_in!V5=0,0,SER_hh_tesh_in!V5/SER_summary!V$27)</f>
        <v>0</v>
      </c>
      <c r="W5" s="132">
        <f>IF(SER_hh_tesh_in!W5=0,0,SER_hh_tesh_in!W5/SER_summary!W$27)</f>
        <v>0</v>
      </c>
      <c r="X5" s="132">
        <f>IF(SER_hh_tesh_in!X5=0,0,SER_hh_tesh_in!X5/SER_summary!X$27)</f>
        <v>42.084093633025702</v>
      </c>
      <c r="Y5" s="132">
        <f>IF(SER_hh_tesh_in!Y5=0,0,SER_hh_tesh_in!Y5/SER_summary!Y$27)</f>
        <v>41.212484356199731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121.57530913139479</v>
      </c>
      <c r="D7" s="132">
        <f>IF(SER_hh_tesh_in!D7=0,0,SER_hh_tesh_in!D7/SER_summary!D$27)</f>
        <v>0</v>
      </c>
      <c r="E7" s="132">
        <f>IF(SER_hh_tesh_in!E7=0,0,SER_hh_tesh_in!E7/SER_summary!E$27)</f>
        <v>0</v>
      </c>
      <c r="F7" s="132">
        <f>IF(SER_hh_tesh_in!F7=0,0,SER_hh_tesh_in!F7/SER_summary!F$27)</f>
        <v>0</v>
      </c>
      <c r="G7" s="132">
        <f>IF(SER_hh_tesh_in!G7=0,0,SER_hh_tesh_in!G7/SER_summary!G$27)</f>
        <v>0</v>
      </c>
      <c r="H7" s="132">
        <f>IF(SER_hh_tesh_in!H7=0,0,SER_hh_tesh_in!H7/SER_summary!H$27)</f>
        <v>0</v>
      </c>
      <c r="I7" s="132">
        <f>IF(SER_hh_tesh_in!I7=0,0,SER_hh_tesh_in!I7/SER_summary!I$27)</f>
        <v>128.41635844637878</v>
      </c>
      <c r="J7" s="132">
        <f>IF(SER_hh_tesh_in!J7=0,0,SER_hh_tesh_in!J7/SER_summary!J$27)</f>
        <v>140.3668857282683</v>
      </c>
      <c r="K7" s="132">
        <f>IF(SER_hh_tesh_in!K7=0,0,SER_hh_tesh_in!K7/SER_summary!K$27)</f>
        <v>117.85431467565353</v>
      </c>
      <c r="L7" s="132">
        <f>IF(SER_hh_tesh_in!L7=0,0,SER_hh_tesh_in!L7/SER_summary!L$27)</f>
        <v>121.602272445317</v>
      </c>
      <c r="M7" s="132">
        <f>IF(SER_hh_tesh_in!M7=0,0,SER_hh_tesh_in!M7/SER_summary!M$27)</f>
        <v>108.33704103499203</v>
      </c>
      <c r="N7" s="132">
        <f>IF(SER_hh_tesh_in!N7=0,0,SER_hh_tesh_in!N7/SER_summary!N$27)</f>
        <v>101.58806303859299</v>
      </c>
      <c r="O7" s="132">
        <f>IF(SER_hh_tesh_in!O7=0,0,SER_hh_tesh_in!O7/SER_summary!O$27)</f>
        <v>121.41646328028386</v>
      </c>
      <c r="P7" s="132">
        <f>IF(SER_hh_tesh_in!P7=0,0,SER_hh_tesh_in!P7/SER_summary!P$27)</f>
        <v>105.71531666027823</v>
      </c>
      <c r="Q7" s="132">
        <f>IF(SER_hh_tesh_in!Q7=0,0,SER_hh_tesh_in!Q7/SER_summary!Q$27)</f>
        <v>108.91034045409296</v>
      </c>
      <c r="R7" s="132">
        <f>IF(SER_hh_tesh_in!R7=0,0,SER_hh_tesh_in!R7/SER_summary!R$27)</f>
        <v>100.2465111233858</v>
      </c>
      <c r="S7" s="132">
        <f>IF(SER_hh_tesh_in!S7=0,0,SER_hh_tesh_in!S7/SER_summary!S$27)</f>
        <v>89.38269783676823</v>
      </c>
      <c r="T7" s="132">
        <f>IF(SER_hh_tesh_in!T7=0,0,SER_hh_tesh_in!T7/SER_summary!T$27)</f>
        <v>0</v>
      </c>
      <c r="U7" s="132">
        <f>IF(SER_hh_tesh_in!U7=0,0,SER_hh_tesh_in!U7/SER_summary!U$27)</f>
        <v>0</v>
      </c>
      <c r="V7" s="132">
        <f>IF(SER_hh_tesh_in!V7=0,0,SER_hh_tesh_in!V7/SER_summary!V$27)</f>
        <v>67.854894359394663</v>
      </c>
      <c r="W7" s="132">
        <f>IF(SER_hh_tesh_in!W7=0,0,SER_hh_tesh_in!W7/SER_summary!W$27)</f>
        <v>52.77487746658435</v>
      </c>
      <c r="X7" s="132">
        <f>IF(SER_hh_tesh_in!X7=0,0,SER_hh_tesh_in!X7/SER_summary!X$27)</f>
        <v>37.787094764631867</v>
      </c>
      <c r="Y7" s="132">
        <f>IF(SER_hh_tesh_in!Y7=0,0,SER_hh_tesh_in!Y7/SER_summary!Y$27)</f>
        <v>37.919930214747247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0</v>
      </c>
      <c r="D8" s="132">
        <f>IF(SER_hh_tesh_in!D8=0,0,SER_hh_tesh_in!D8/SER_summary!D$27)</f>
        <v>0</v>
      </c>
      <c r="E8" s="132">
        <f>IF(SER_hh_tesh_in!E8=0,0,SER_hh_tesh_in!E8/SER_summary!E$27)</f>
        <v>0</v>
      </c>
      <c r="F8" s="132">
        <f>IF(SER_hh_tesh_in!F8=0,0,SER_hh_tesh_in!F8/SER_summary!F$27)</f>
        <v>0</v>
      </c>
      <c r="G8" s="132">
        <f>IF(SER_hh_tesh_in!G8=0,0,SER_hh_tesh_in!G8/SER_summary!G$27)</f>
        <v>0</v>
      </c>
      <c r="H8" s="132">
        <f>IF(SER_hh_tesh_in!H8=0,0,SER_hh_tesh_in!H8/SER_summary!H$27)</f>
        <v>0</v>
      </c>
      <c r="I8" s="132">
        <f>IF(SER_hh_tesh_in!I8=0,0,SER_hh_tesh_in!I8/SER_summary!I$27)</f>
        <v>0</v>
      </c>
      <c r="J8" s="132">
        <f>IF(SER_hh_tesh_in!J8=0,0,SER_hh_tesh_in!J8/SER_summary!J$27)</f>
        <v>0</v>
      </c>
      <c r="K8" s="132">
        <f>IF(SER_hh_tesh_in!K8=0,0,SER_hh_tesh_in!K8/SER_summary!K$27)</f>
        <v>0</v>
      </c>
      <c r="L8" s="132">
        <f>IF(SER_hh_tesh_in!L8=0,0,SER_hh_tesh_in!L8/SER_summary!L$27)</f>
        <v>0</v>
      </c>
      <c r="M8" s="132">
        <f>IF(SER_hh_tesh_in!M8=0,0,SER_hh_tesh_in!M8/SER_summary!M$27)</f>
        <v>0</v>
      </c>
      <c r="N8" s="132">
        <f>IF(SER_hh_tesh_in!N8=0,0,SER_hh_tesh_in!N8/SER_summary!N$27)</f>
        <v>0</v>
      </c>
      <c r="O8" s="132">
        <f>IF(SER_hh_tesh_in!O8=0,0,SER_hh_tesh_in!O8/SER_summary!O$27)</f>
        <v>0</v>
      </c>
      <c r="P8" s="132">
        <f>IF(SER_hh_tesh_in!P8=0,0,SER_hh_tesh_in!P8/SER_summary!P$27)</f>
        <v>0</v>
      </c>
      <c r="Q8" s="132">
        <f>IF(SER_hh_tesh_in!Q8=0,0,SER_hh_tesh_in!Q8/SER_summary!Q$27)</f>
        <v>0</v>
      </c>
      <c r="R8" s="132">
        <f>IF(SER_hh_tesh_in!R8=0,0,SER_hh_tesh_in!R8/SER_summary!R$27)</f>
        <v>0</v>
      </c>
      <c r="S8" s="132">
        <f>IF(SER_hh_tesh_in!S8=0,0,SER_hh_tesh_in!S8/SER_summary!S$27)</f>
        <v>0</v>
      </c>
      <c r="T8" s="132">
        <f>IF(SER_hh_tesh_in!T8=0,0,SER_hh_tesh_in!T8/SER_summary!T$27)</f>
        <v>0</v>
      </c>
      <c r="U8" s="132">
        <f>IF(SER_hh_tesh_in!U8=0,0,SER_hh_tesh_in!U8/SER_summary!U$27)</f>
        <v>0</v>
      </c>
      <c r="V8" s="132">
        <f>IF(SER_hh_tesh_in!V8=0,0,SER_hh_tesh_in!V8/SER_summary!V$27)</f>
        <v>0</v>
      </c>
      <c r="W8" s="132">
        <f>IF(SER_hh_tesh_in!W8=0,0,SER_hh_tesh_in!W8/SER_summary!W$27)</f>
        <v>0</v>
      </c>
      <c r="X8" s="132">
        <f>IF(SER_hh_tesh_in!X8=0,0,SER_hh_tesh_in!X8/SER_summary!X$27)</f>
        <v>0</v>
      </c>
      <c r="Y8" s="132">
        <f>IF(SER_hh_tesh_in!Y8=0,0,SER_hh_tesh_in!Y8/SER_summary!Y$27)</f>
        <v>0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124.02614566317399</v>
      </c>
      <c r="D9" s="132">
        <f>IF(SER_hh_tesh_in!D9=0,0,SER_hh_tesh_in!D9/SER_summary!D$27)</f>
        <v>119.87398881577209</v>
      </c>
      <c r="E9" s="132">
        <f>IF(SER_hh_tesh_in!E9=0,0,SER_hh_tesh_in!E9/SER_summary!E$27)</f>
        <v>126.06992681344911</v>
      </c>
      <c r="F9" s="132">
        <f>IF(SER_hh_tesh_in!F9=0,0,SER_hh_tesh_in!F9/SER_summary!F$27)</f>
        <v>125.20257519966503</v>
      </c>
      <c r="G9" s="132">
        <f>IF(SER_hh_tesh_in!G9=0,0,SER_hh_tesh_in!G9/SER_summary!G$27)</f>
        <v>125.02229590302079</v>
      </c>
      <c r="H9" s="132">
        <f>IF(SER_hh_tesh_in!H9=0,0,SER_hh_tesh_in!H9/SER_summary!H$27)</f>
        <v>136.49011838714392</v>
      </c>
      <c r="I9" s="132">
        <f>IF(SER_hh_tesh_in!I9=0,0,SER_hh_tesh_in!I9/SER_summary!I$27)</f>
        <v>135.83615024751839</v>
      </c>
      <c r="J9" s="132">
        <f>IF(SER_hh_tesh_in!J9=0,0,SER_hh_tesh_in!J9/SER_summary!J$27)</f>
        <v>136.7711910620441</v>
      </c>
      <c r="K9" s="132">
        <f>IF(SER_hh_tesh_in!K9=0,0,SER_hh_tesh_in!K9/SER_summary!K$27)</f>
        <v>120.3950397376136</v>
      </c>
      <c r="L9" s="132">
        <f>IF(SER_hh_tesh_in!L9=0,0,SER_hh_tesh_in!L9/SER_summary!L$27)</f>
        <v>126.81617548764034</v>
      </c>
      <c r="M9" s="132">
        <f>IF(SER_hh_tesh_in!M9=0,0,SER_hh_tesh_in!M9/SER_summary!M$27)</f>
        <v>111.08128988921098</v>
      </c>
      <c r="N9" s="132">
        <f>IF(SER_hh_tesh_in!N9=0,0,SER_hh_tesh_in!N9/SER_summary!N$27)</f>
        <v>119.84083639349465</v>
      </c>
      <c r="O9" s="132">
        <f>IF(SER_hh_tesh_in!O9=0,0,SER_hh_tesh_in!O9/SER_summary!O$27)</f>
        <v>111.7261255998436</v>
      </c>
      <c r="P9" s="132">
        <f>IF(SER_hh_tesh_in!P9=0,0,SER_hh_tesh_in!P9/SER_summary!P$27)</f>
        <v>99.005820358912203</v>
      </c>
      <c r="Q9" s="132">
        <f>IF(SER_hh_tesh_in!Q9=0,0,SER_hh_tesh_in!Q9/SER_summary!Q$27)</f>
        <v>108.652799164984</v>
      </c>
      <c r="R9" s="132">
        <f>IF(SER_hh_tesh_in!R9=0,0,SER_hh_tesh_in!R9/SER_summary!R$27)</f>
        <v>98.998173180571172</v>
      </c>
      <c r="S9" s="132">
        <f>IF(SER_hh_tesh_in!S9=0,0,SER_hh_tesh_in!S9/SER_summary!S$27)</f>
        <v>90.202735070467398</v>
      </c>
      <c r="T9" s="132">
        <f>IF(SER_hh_tesh_in!T9=0,0,SER_hh_tesh_in!T9/SER_summary!T$27)</f>
        <v>93.719934311530054</v>
      </c>
      <c r="U9" s="132">
        <f>IF(SER_hh_tesh_in!U9=0,0,SER_hh_tesh_in!U9/SER_summary!U$27)</f>
        <v>86.922806203326971</v>
      </c>
      <c r="V9" s="132">
        <f>IF(SER_hh_tesh_in!V9=0,0,SER_hh_tesh_in!V9/SER_summary!V$27)</f>
        <v>69.653064147115259</v>
      </c>
      <c r="W9" s="132">
        <f>IF(SER_hh_tesh_in!W9=0,0,SER_hh_tesh_in!W9/SER_summary!W$27)</f>
        <v>56.260834876676633</v>
      </c>
      <c r="X9" s="132">
        <f>IF(SER_hh_tesh_in!X9=0,0,SER_hh_tesh_in!X9/SER_summary!X$27)</f>
        <v>40.029946023834881</v>
      </c>
      <c r="Y9" s="132">
        <f>IF(SER_hh_tesh_in!Y9=0,0,SER_hh_tesh_in!Y9/SER_summary!Y$27)</f>
        <v>39.293587492418077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0</v>
      </c>
      <c r="D10" s="132">
        <f>IF(SER_hh_tesh_in!D10=0,0,SER_hh_tesh_in!D10/SER_summary!D$27)</f>
        <v>0</v>
      </c>
      <c r="E10" s="132">
        <f>IF(SER_hh_tesh_in!E10=0,0,SER_hh_tesh_in!E10/SER_summary!E$27)</f>
        <v>0</v>
      </c>
      <c r="F10" s="132">
        <f>IF(SER_hh_tesh_in!F10=0,0,SER_hh_tesh_in!F10/SER_summary!F$27)</f>
        <v>0</v>
      </c>
      <c r="G10" s="132">
        <f>IF(SER_hh_tesh_in!G10=0,0,SER_hh_tesh_in!G10/SER_summary!G$27)</f>
        <v>25.956431296528212</v>
      </c>
      <c r="H10" s="132">
        <f>IF(SER_hh_tesh_in!H10=0,0,SER_hh_tesh_in!H10/SER_summary!H$27)</f>
        <v>68.059454334830718</v>
      </c>
      <c r="I10" s="132">
        <f>IF(SER_hh_tesh_in!I10=0,0,SER_hh_tesh_in!I10/SER_summary!I$27)</f>
        <v>128.18266472027904</v>
      </c>
      <c r="J10" s="132">
        <f>IF(SER_hh_tesh_in!J10=0,0,SER_hh_tesh_in!J10/SER_summary!J$27)</f>
        <v>155.17283065484378</v>
      </c>
      <c r="K10" s="132">
        <f>IF(SER_hh_tesh_in!K10=0,0,SER_hh_tesh_in!K10/SER_summary!K$27)</f>
        <v>148.02938001511708</v>
      </c>
      <c r="L10" s="132">
        <f>IF(SER_hh_tesh_in!L10=0,0,SER_hh_tesh_in!L10/SER_summary!L$27)</f>
        <v>106.82609788681124</v>
      </c>
      <c r="M10" s="132">
        <f>IF(SER_hh_tesh_in!M10=0,0,SER_hh_tesh_in!M10/SER_summary!M$27)</f>
        <v>113.98690452396471</v>
      </c>
      <c r="N10" s="132">
        <f>IF(SER_hh_tesh_in!N10=0,0,SER_hh_tesh_in!N10/SER_summary!N$27)</f>
        <v>111.4305095350756</v>
      </c>
      <c r="O10" s="132">
        <f>IF(SER_hh_tesh_in!O10=0,0,SER_hh_tesh_in!O10/SER_summary!O$27)</f>
        <v>130.50781948645306</v>
      </c>
      <c r="P10" s="132">
        <f>IF(SER_hh_tesh_in!P10=0,0,SER_hh_tesh_in!P10/SER_summary!P$27)</f>
        <v>136.49843342126121</v>
      </c>
      <c r="Q10" s="132">
        <f>IF(SER_hh_tesh_in!Q10=0,0,SER_hh_tesh_in!Q10/SER_summary!Q$27)</f>
        <v>79.332815363870097</v>
      </c>
      <c r="R10" s="132">
        <f>IF(SER_hh_tesh_in!R10=0,0,SER_hh_tesh_in!R10/SER_summary!R$27)</f>
        <v>112.49150088015432</v>
      </c>
      <c r="S10" s="132">
        <f>IF(SER_hh_tesh_in!S10=0,0,SER_hh_tesh_in!S10/SER_summary!S$27)</f>
        <v>0</v>
      </c>
      <c r="T10" s="132">
        <f>IF(SER_hh_tesh_in!T10=0,0,SER_hh_tesh_in!T10/SER_summary!T$27)</f>
        <v>0</v>
      </c>
      <c r="U10" s="132">
        <f>IF(SER_hh_tesh_in!U10=0,0,SER_hh_tesh_in!U10/SER_summary!U$27)</f>
        <v>0</v>
      </c>
      <c r="V10" s="132">
        <f>IF(SER_hh_tesh_in!V10=0,0,SER_hh_tesh_in!V10/SER_summary!V$27)</f>
        <v>71.448507818794937</v>
      </c>
      <c r="W10" s="132">
        <f>IF(SER_hh_tesh_in!W10=0,0,SER_hh_tesh_in!W10/SER_summary!W$27)</f>
        <v>63.391969143330925</v>
      </c>
      <c r="X10" s="132">
        <f>IF(SER_hh_tesh_in!X10=0,0,SER_hh_tesh_in!X10/SER_summary!X$27)</f>
        <v>45.557875387132597</v>
      </c>
      <c r="Y10" s="132">
        <f>IF(SER_hh_tesh_in!Y10=0,0,SER_hh_tesh_in!Y10/SER_summary!Y$27)</f>
        <v>39.565624027669884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0</v>
      </c>
      <c r="D11" s="132">
        <f>IF(SER_hh_tesh_in!D11=0,0,SER_hh_tesh_in!D11/SER_summary!D$27)</f>
        <v>0</v>
      </c>
      <c r="E11" s="132">
        <f>IF(SER_hh_tesh_in!E11=0,0,SER_hh_tesh_in!E11/SER_summary!E$27)</f>
        <v>0</v>
      </c>
      <c r="F11" s="132">
        <f>IF(SER_hh_tesh_in!F11=0,0,SER_hh_tesh_in!F11/SER_summary!F$27)</f>
        <v>0</v>
      </c>
      <c r="G11" s="132">
        <f>IF(SER_hh_tesh_in!G11=0,0,SER_hh_tesh_in!G11/SER_summary!G$27)</f>
        <v>0</v>
      </c>
      <c r="H11" s="132">
        <f>IF(SER_hh_tesh_in!H11=0,0,SER_hh_tesh_in!H11/SER_summary!H$27)</f>
        <v>0</v>
      </c>
      <c r="I11" s="132">
        <f>IF(SER_hh_tesh_in!I11=0,0,SER_hh_tesh_in!I11/SER_summary!I$27)</f>
        <v>0</v>
      </c>
      <c r="J11" s="132">
        <f>IF(SER_hh_tesh_in!J11=0,0,SER_hh_tesh_in!J11/SER_summary!J$27)</f>
        <v>0</v>
      </c>
      <c r="K11" s="132">
        <f>IF(SER_hh_tesh_in!K11=0,0,SER_hh_tesh_in!K11/SER_summary!K$27)</f>
        <v>0</v>
      </c>
      <c r="L11" s="132">
        <f>IF(SER_hh_tesh_in!L11=0,0,SER_hh_tesh_in!L11/SER_summary!L$27)</f>
        <v>0</v>
      </c>
      <c r="M11" s="132">
        <f>IF(SER_hh_tesh_in!M11=0,0,SER_hh_tesh_in!M11/SER_summary!M$27)</f>
        <v>0</v>
      </c>
      <c r="N11" s="132">
        <f>IF(SER_hh_tesh_in!N11=0,0,SER_hh_tesh_in!N11/SER_summary!N$27)</f>
        <v>0</v>
      </c>
      <c r="O11" s="132">
        <f>IF(SER_hh_tesh_in!O11=0,0,SER_hh_tesh_in!O11/SER_summary!O$27)</f>
        <v>0</v>
      </c>
      <c r="P11" s="132">
        <f>IF(SER_hh_tesh_in!P11=0,0,SER_hh_tesh_in!P11/SER_summary!P$27)</f>
        <v>0</v>
      </c>
      <c r="Q11" s="132">
        <f>IF(SER_hh_tesh_in!Q11=0,0,SER_hh_tesh_in!Q11/SER_summary!Q$27)</f>
        <v>0</v>
      </c>
      <c r="R11" s="132">
        <f>IF(SER_hh_tesh_in!R11=0,0,SER_hh_tesh_in!R11/SER_summary!R$27)</f>
        <v>0</v>
      </c>
      <c r="S11" s="132">
        <f>IF(SER_hh_tesh_in!S11=0,0,SER_hh_tesh_in!S11/SER_summary!S$27)</f>
        <v>0</v>
      </c>
      <c r="T11" s="132">
        <f>IF(SER_hh_tesh_in!T11=0,0,SER_hh_tesh_in!T11/SER_summary!T$27)</f>
        <v>0</v>
      </c>
      <c r="U11" s="132">
        <f>IF(SER_hh_tesh_in!U11=0,0,SER_hh_tesh_in!U11/SER_summary!U$27)</f>
        <v>0</v>
      </c>
      <c r="V11" s="132">
        <f>IF(SER_hh_tesh_in!V11=0,0,SER_hh_tesh_in!V11/SER_summary!V$27)</f>
        <v>0</v>
      </c>
      <c r="W11" s="132">
        <f>IF(SER_hh_tesh_in!W11=0,0,SER_hh_tesh_in!W11/SER_summary!W$27)</f>
        <v>0</v>
      </c>
      <c r="X11" s="132">
        <f>IF(SER_hh_tesh_in!X11=0,0,SER_hh_tesh_in!X11/SER_summary!X$27)</f>
        <v>0</v>
      </c>
      <c r="Y11" s="132">
        <f>IF(SER_hh_tesh_in!Y11=0,0,SER_hh_tesh_in!Y11/SER_summary!Y$27)</f>
        <v>0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0</v>
      </c>
      <c r="D12" s="132">
        <f>IF(SER_hh_tesh_in!D12=0,0,SER_hh_tesh_in!D12/SER_summary!D$27)</f>
        <v>0</v>
      </c>
      <c r="E12" s="132">
        <f>IF(SER_hh_tesh_in!E12=0,0,SER_hh_tesh_in!E12/SER_summary!E$27)</f>
        <v>0</v>
      </c>
      <c r="F12" s="132">
        <f>IF(SER_hh_tesh_in!F12=0,0,SER_hh_tesh_in!F12/SER_summary!F$27)</f>
        <v>0</v>
      </c>
      <c r="G12" s="132">
        <f>IF(SER_hh_tesh_in!G12=0,0,SER_hh_tesh_in!G12/SER_summary!G$27)</f>
        <v>0</v>
      </c>
      <c r="H12" s="132">
        <f>IF(SER_hh_tesh_in!H12=0,0,SER_hh_tesh_in!H12/SER_summary!H$27)</f>
        <v>0</v>
      </c>
      <c r="I12" s="132">
        <f>IF(SER_hh_tesh_in!I12=0,0,SER_hh_tesh_in!I12/SER_summary!I$27)</f>
        <v>0</v>
      </c>
      <c r="J12" s="132">
        <f>IF(SER_hh_tesh_in!J12=0,0,SER_hh_tesh_in!J12/SER_summary!J$27)</f>
        <v>0</v>
      </c>
      <c r="K12" s="132">
        <f>IF(SER_hh_tesh_in!K12=0,0,SER_hh_tesh_in!K12/SER_summary!K$27)</f>
        <v>0</v>
      </c>
      <c r="L12" s="132">
        <f>IF(SER_hh_tesh_in!L12=0,0,SER_hh_tesh_in!L12/SER_summary!L$27)</f>
        <v>0</v>
      </c>
      <c r="M12" s="132">
        <f>IF(SER_hh_tesh_in!M12=0,0,SER_hh_tesh_in!M12/SER_summary!M$27)</f>
        <v>0</v>
      </c>
      <c r="N12" s="132">
        <f>IF(SER_hh_tesh_in!N12=0,0,SER_hh_tesh_in!N12/SER_summary!N$27)</f>
        <v>0</v>
      </c>
      <c r="O12" s="132">
        <f>IF(SER_hh_tesh_in!O12=0,0,SER_hh_tesh_in!O12/SER_summary!O$27)</f>
        <v>0</v>
      </c>
      <c r="P12" s="132">
        <f>IF(SER_hh_tesh_in!P12=0,0,SER_hh_tesh_in!P12/SER_summary!P$27)</f>
        <v>0</v>
      </c>
      <c r="Q12" s="132">
        <f>IF(SER_hh_tesh_in!Q12=0,0,SER_hh_tesh_in!Q12/SER_summary!Q$27)</f>
        <v>0</v>
      </c>
      <c r="R12" s="132">
        <f>IF(SER_hh_tesh_in!R12=0,0,SER_hh_tesh_in!R12/SER_summary!R$27)</f>
        <v>0</v>
      </c>
      <c r="S12" s="132">
        <f>IF(SER_hh_tesh_in!S12=0,0,SER_hh_tesh_in!S12/SER_summary!S$27)</f>
        <v>0</v>
      </c>
      <c r="T12" s="132">
        <f>IF(SER_hh_tesh_in!T12=0,0,SER_hh_tesh_in!T12/SER_summary!T$27)</f>
        <v>0</v>
      </c>
      <c r="U12" s="132">
        <f>IF(SER_hh_tesh_in!U12=0,0,SER_hh_tesh_in!U12/SER_summary!U$27)</f>
        <v>0</v>
      </c>
      <c r="V12" s="132">
        <f>IF(SER_hh_tesh_in!V12=0,0,SER_hh_tesh_in!V12/SER_summary!V$27)</f>
        <v>0</v>
      </c>
      <c r="W12" s="132">
        <f>IF(SER_hh_tesh_in!W12=0,0,SER_hh_tesh_in!W12/SER_summary!W$27)</f>
        <v>0</v>
      </c>
      <c r="X12" s="132">
        <f>IF(SER_hh_tesh_in!X12=0,0,SER_hh_tesh_in!X12/SER_summary!X$27)</f>
        <v>0</v>
      </c>
      <c r="Y12" s="132">
        <f>IF(SER_hh_tesh_in!Y12=0,0,SER_hh_tesh_in!Y12/SER_summary!Y$27)</f>
        <v>0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65.721537811739438</v>
      </c>
      <c r="D13" s="132">
        <f>IF(SER_hh_tesh_in!D13=0,0,SER_hh_tesh_in!D13/SER_summary!D$27)</f>
        <v>18.221083128296172</v>
      </c>
      <c r="E13" s="132">
        <f>IF(SER_hh_tesh_in!E13=0,0,SER_hh_tesh_in!E13/SER_summary!E$27)</f>
        <v>93.674963933751044</v>
      </c>
      <c r="F13" s="132">
        <f>IF(SER_hh_tesh_in!F13=0,0,SER_hh_tesh_in!F13/SER_summary!F$27)</f>
        <v>73.900005698162772</v>
      </c>
      <c r="G13" s="132">
        <f>IF(SER_hh_tesh_in!G13=0,0,SER_hh_tesh_in!G13/SER_summary!G$27)</f>
        <v>114.72555058566417</v>
      </c>
      <c r="H13" s="132">
        <f>IF(SER_hh_tesh_in!H13=0,0,SER_hh_tesh_in!H13/SER_summary!H$27)</f>
        <v>132.82468877269912</v>
      </c>
      <c r="I13" s="132">
        <f>IF(SER_hh_tesh_in!I13=0,0,SER_hh_tesh_in!I13/SER_summary!I$27)</f>
        <v>138.89592176276736</v>
      </c>
      <c r="J13" s="132">
        <f>IF(SER_hh_tesh_in!J13=0,0,SER_hh_tesh_in!J13/SER_summary!J$27)</f>
        <v>151.83473248983393</v>
      </c>
      <c r="K13" s="132">
        <f>IF(SER_hh_tesh_in!K13=0,0,SER_hh_tesh_in!K13/SER_summary!K$27)</f>
        <v>133.11187916645818</v>
      </c>
      <c r="L13" s="132">
        <f>IF(SER_hh_tesh_in!L13=0,0,SER_hh_tesh_in!L13/SER_summary!L$27)</f>
        <v>121.19996123811248</v>
      </c>
      <c r="M13" s="132">
        <f>IF(SER_hh_tesh_in!M13=0,0,SER_hh_tesh_in!M13/SER_summary!M$27)</f>
        <v>121.23755825894807</v>
      </c>
      <c r="N13" s="132">
        <f>IF(SER_hh_tesh_in!N13=0,0,SER_hh_tesh_in!N13/SER_summary!N$27)</f>
        <v>116.11631127856604</v>
      </c>
      <c r="O13" s="132">
        <f>IF(SER_hh_tesh_in!O13=0,0,SER_hh_tesh_in!O13/SER_summary!O$27)</f>
        <v>110.75063755808925</v>
      </c>
      <c r="P13" s="132">
        <f>IF(SER_hh_tesh_in!P13=0,0,SER_hh_tesh_in!P13/SER_summary!P$27)</f>
        <v>105.33577526025817</v>
      </c>
      <c r="Q13" s="132">
        <f>IF(SER_hh_tesh_in!Q13=0,0,SER_hh_tesh_in!Q13/SER_summary!Q$27)</f>
        <v>104.36872289092439</v>
      </c>
      <c r="R13" s="132">
        <f>IF(SER_hh_tesh_in!R13=0,0,SER_hh_tesh_in!R13/SER_summary!R$27)</f>
        <v>103.09607069663726</v>
      </c>
      <c r="S13" s="132">
        <f>IF(SER_hh_tesh_in!S13=0,0,SER_hh_tesh_in!S13/SER_summary!S$27)</f>
        <v>103.099620048913</v>
      </c>
      <c r="T13" s="132">
        <f>IF(SER_hh_tesh_in!T13=0,0,SER_hh_tesh_in!T13/SER_summary!T$27)</f>
        <v>92.308417404000878</v>
      </c>
      <c r="U13" s="132">
        <f>IF(SER_hh_tesh_in!U13=0,0,SER_hh_tesh_in!U13/SER_summary!U$27)</f>
        <v>86.612732842706592</v>
      </c>
      <c r="V13" s="132">
        <f>IF(SER_hh_tesh_in!V13=0,0,SER_hh_tesh_in!V13/SER_summary!V$27)</f>
        <v>76.735743503321174</v>
      </c>
      <c r="W13" s="132">
        <f>IF(SER_hh_tesh_in!W13=0,0,SER_hh_tesh_in!W13/SER_summary!W$27)</f>
        <v>58.408848047204827</v>
      </c>
      <c r="X13" s="132">
        <f>IF(SER_hh_tesh_in!X13=0,0,SER_hh_tesh_in!X13/SER_summary!X$27)</f>
        <v>41.024783834185193</v>
      </c>
      <c r="Y13" s="132">
        <f>IF(SER_hh_tesh_in!Y13=0,0,SER_hh_tesh_in!Y13/SER_summary!Y$27)</f>
        <v>41.831067370841581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120.79320269076257</v>
      </c>
      <c r="D14" s="65">
        <f>IF(SER_hh_tesh_in!D14=0,0,SER_hh_tesh_in!D14/SER_summary!D$27)</f>
        <v>127.18424361635027</v>
      </c>
      <c r="E14" s="65">
        <f>IF(SER_hh_tesh_in!E14=0,0,SER_hh_tesh_in!E14/SER_summary!E$27)</f>
        <v>138.0940894977013</v>
      </c>
      <c r="F14" s="65">
        <f>IF(SER_hh_tesh_in!F14=0,0,SER_hh_tesh_in!F14/SER_summary!F$27)</f>
        <v>123.39124551869986</v>
      </c>
      <c r="G14" s="65">
        <f>IF(SER_hh_tesh_in!G14=0,0,SER_hh_tesh_in!G14/SER_summary!G$27)</f>
        <v>135.9873309921544</v>
      </c>
      <c r="H14" s="65">
        <f>IF(SER_hh_tesh_in!H14=0,0,SER_hh_tesh_in!H14/SER_summary!H$27)</f>
        <v>147.2291546349436</v>
      </c>
      <c r="I14" s="65">
        <f>IF(SER_hh_tesh_in!I14=0,0,SER_hh_tesh_in!I14/SER_summary!I$27)</f>
        <v>134.61957848298468</v>
      </c>
      <c r="J14" s="65">
        <f>IF(SER_hh_tesh_in!J14=0,0,SER_hh_tesh_in!J14/SER_summary!J$27)</f>
        <v>140.4227834717752</v>
      </c>
      <c r="K14" s="65">
        <f>IF(SER_hh_tesh_in!K14=0,0,SER_hh_tesh_in!K14/SER_summary!K$27)</f>
        <v>130.2851754123318</v>
      </c>
      <c r="L14" s="65">
        <f>IF(SER_hh_tesh_in!L14=0,0,SER_hh_tesh_in!L14/SER_summary!L$27)</f>
        <v>123.31604710595724</v>
      </c>
      <c r="M14" s="65">
        <f>IF(SER_hh_tesh_in!M14=0,0,SER_hh_tesh_in!M14/SER_summary!M$27)</f>
        <v>120.32750554825353</v>
      </c>
      <c r="N14" s="65">
        <f>IF(SER_hh_tesh_in!N14=0,0,SER_hh_tesh_in!N14/SER_summary!N$27)</f>
        <v>115.905660477872</v>
      </c>
      <c r="O14" s="65">
        <f>IF(SER_hh_tesh_in!O14=0,0,SER_hh_tesh_in!O14/SER_summary!O$27)</f>
        <v>115.66759868239622</v>
      </c>
      <c r="P14" s="65">
        <f>IF(SER_hh_tesh_in!P14=0,0,SER_hh_tesh_in!P14/SER_summary!P$27)</f>
        <v>97.563442833099685</v>
      </c>
      <c r="Q14" s="65">
        <f>IF(SER_hh_tesh_in!Q14=0,0,SER_hh_tesh_in!Q14/SER_summary!Q$27)</f>
        <v>113.82621774185203</v>
      </c>
      <c r="R14" s="65">
        <f>IF(SER_hh_tesh_in!R14=0,0,SER_hh_tesh_in!R14/SER_summary!R$27)</f>
        <v>102.53404971115573</v>
      </c>
      <c r="S14" s="65">
        <f>IF(SER_hh_tesh_in!S14=0,0,SER_hh_tesh_in!S14/SER_summary!S$27)</f>
        <v>91.179501427670445</v>
      </c>
      <c r="T14" s="65">
        <f>IF(SER_hh_tesh_in!T14=0,0,SER_hh_tesh_in!T14/SER_summary!T$27)</f>
        <v>101.22288563388969</v>
      </c>
      <c r="U14" s="65">
        <f>IF(SER_hh_tesh_in!U14=0,0,SER_hh_tesh_in!U14/SER_summary!U$27)</f>
        <v>100.31201822885731</v>
      </c>
      <c r="V14" s="65">
        <f>IF(SER_hh_tesh_in!V14=0,0,SER_hh_tesh_in!V14/SER_summary!V$27)</f>
        <v>69.927454246059455</v>
      </c>
      <c r="W14" s="65">
        <f>IF(SER_hh_tesh_in!W14=0,0,SER_hh_tesh_in!W14/SER_summary!W$27)</f>
        <v>55.903146385799623</v>
      </c>
      <c r="X14" s="65">
        <f>IF(SER_hh_tesh_in!X14=0,0,SER_hh_tesh_in!X14/SER_summary!X$27)</f>
        <v>40.378215337019704</v>
      </c>
      <c r="Y14" s="65">
        <f>IF(SER_hh_tesh_in!Y14=0,0,SER_hh_tesh_in!Y14/SER_summary!Y$27)</f>
        <v>41.304146718114296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2.3722096422582872</v>
      </c>
      <c r="D15" s="134">
        <f>IF(SER_hh_tesh_in!D15=0,0,SER_hh_tesh_in!D15/SER_summary!D$27)</f>
        <v>1.8153074202036004</v>
      </c>
      <c r="E15" s="134">
        <f>IF(SER_hh_tesh_in!E15=0,0,SER_hh_tesh_in!E15/SER_summary!E$27)</f>
        <v>2.175515786571955</v>
      </c>
      <c r="F15" s="134">
        <f>IF(SER_hh_tesh_in!F15=0,0,SER_hh_tesh_in!F15/SER_summary!F$27)</f>
        <v>2.2046710465406223</v>
      </c>
      <c r="G15" s="134">
        <f>IF(SER_hh_tesh_in!G15=0,0,SER_hh_tesh_in!G15/SER_summary!G$27)</f>
        <v>2.1585535877795379</v>
      </c>
      <c r="H15" s="134">
        <f>IF(SER_hh_tesh_in!H15=0,0,SER_hh_tesh_in!H15/SER_summary!H$27)</f>
        <v>2.3170447300459038</v>
      </c>
      <c r="I15" s="134">
        <f>IF(SER_hh_tesh_in!I15=0,0,SER_hh_tesh_in!I15/SER_summary!I$27)</f>
        <v>2.2674236162736707</v>
      </c>
      <c r="J15" s="134">
        <f>IF(SER_hh_tesh_in!J15=0,0,SER_hh_tesh_in!J15/SER_summary!J$27)</f>
        <v>2.3158077924913498</v>
      </c>
      <c r="K15" s="134">
        <f>IF(SER_hh_tesh_in!K15=0,0,SER_hh_tesh_in!K15/SER_summary!K$27)</f>
        <v>2.007522743820128</v>
      </c>
      <c r="L15" s="134">
        <f>IF(SER_hh_tesh_in!L15=0,0,SER_hh_tesh_in!L15/SER_summary!L$27)</f>
        <v>2.0939141009943434</v>
      </c>
      <c r="M15" s="134">
        <f>IF(SER_hh_tesh_in!M15=0,0,SER_hh_tesh_in!M15/SER_summary!M$27)</f>
        <v>1.8031128457148979</v>
      </c>
      <c r="N15" s="134">
        <f>IF(SER_hh_tesh_in!N15=0,0,SER_hh_tesh_in!N15/SER_summary!N$27)</f>
        <v>1.8126479205511796</v>
      </c>
      <c r="O15" s="134">
        <f>IF(SER_hh_tesh_in!O15=0,0,SER_hh_tesh_in!O15/SER_summary!O$27)</f>
        <v>1.9097853076927425</v>
      </c>
      <c r="P15" s="134">
        <f>IF(SER_hh_tesh_in!P15=0,0,SER_hh_tesh_in!P15/SER_summary!P$27)</f>
        <v>1.6525956507493789</v>
      </c>
      <c r="Q15" s="134">
        <f>IF(SER_hh_tesh_in!Q15=0,0,SER_hh_tesh_in!Q15/SER_summary!Q$27)</f>
        <v>1.7569357082510491</v>
      </c>
      <c r="R15" s="134">
        <f>IF(SER_hh_tesh_in!R15=0,0,SER_hh_tesh_in!R15/SER_summary!R$27)</f>
        <v>1.5814081367541588</v>
      </c>
      <c r="S15" s="134">
        <f>IF(SER_hh_tesh_in!S15=0,0,SER_hh_tesh_in!S15/SER_summary!S$27)</f>
        <v>1.4451054099226543</v>
      </c>
      <c r="T15" s="134">
        <f>IF(SER_hh_tesh_in!T15=0,0,SER_hh_tesh_in!T15/SER_summary!T$27)</f>
        <v>1.4953856461141504</v>
      </c>
      <c r="U15" s="134">
        <f>IF(SER_hh_tesh_in!U15=0,0,SER_hh_tesh_in!U15/SER_summary!U$27)</f>
        <v>1.3827917919777761</v>
      </c>
      <c r="V15" s="134">
        <f>IF(SER_hh_tesh_in!V15=0,0,SER_hh_tesh_in!V15/SER_summary!V$27)</f>
        <v>1.0980602388940317</v>
      </c>
      <c r="W15" s="134">
        <f>IF(SER_hh_tesh_in!W15=0,0,SER_hh_tesh_in!W15/SER_summary!W$27)</f>
        <v>0.86953355288776679</v>
      </c>
      <c r="X15" s="134">
        <f>IF(SER_hh_tesh_in!X15=0,0,SER_hh_tesh_in!X15/SER_summary!X$27)</f>
        <v>0.60868525157063613</v>
      </c>
      <c r="Y15" s="134">
        <f>IF(SER_hh_tesh_in!Y15=0,0,SER_hh_tesh_in!Y15/SER_summary!Y$27)</f>
        <v>0.58174698512416734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27.304191278622618</v>
      </c>
      <c r="D16" s="130">
        <f>IF(SER_hh_tesh_in!D16=0,0,SER_hh_tesh_in!D16/SER_summary!D$27)</f>
        <v>27.569345836120085</v>
      </c>
      <c r="E16" s="130">
        <f>IF(SER_hh_tesh_in!E16=0,0,SER_hh_tesh_in!E16/SER_summary!E$27)</f>
        <v>27.393200861727564</v>
      </c>
      <c r="F16" s="130">
        <f>IF(SER_hh_tesh_in!F16=0,0,SER_hh_tesh_in!F16/SER_summary!F$27)</f>
        <v>27.120701325157484</v>
      </c>
      <c r="G16" s="130">
        <f>IF(SER_hh_tesh_in!G16=0,0,SER_hh_tesh_in!G16/SER_summary!G$27)</f>
        <v>26.5531816694428</v>
      </c>
      <c r="H16" s="130">
        <f>IF(SER_hh_tesh_in!H16=0,0,SER_hh_tesh_in!H16/SER_summary!H$27)</f>
        <v>26.745080376435851</v>
      </c>
      <c r="I16" s="130">
        <f>IF(SER_hh_tesh_in!I16=0,0,SER_hh_tesh_in!I16/SER_summary!I$27)</f>
        <v>27.018187954345496</v>
      </c>
      <c r="J16" s="130">
        <f>IF(SER_hh_tesh_in!J16=0,0,SER_hh_tesh_in!J16/SER_summary!J$27)</f>
        <v>26.232690822109287</v>
      </c>
      <c r="K16" s="130">
        <f>IF(SER_hh_tesh_in!K16=0,0,SER_hh_tesh_in!K16/SER_summary!K$27)</f>
        <v>25.634891107928485</v>
      </c>
      <c r="L16" s="130">
        <f>IF(SER_hh_tesh_in!L16=0,0,SER_hh_tesh_in!L16/SER_summary!L$27)</f>
        <v>25.343419181824007</v>
      </c>
      <c r="M16" s="130">
        <f>IF(SER_hh_tesh_in!M16=0,0,SER_hh_tesh_in!M16/SER_summary!M$27)</f>
        <v>24.716361766925878</v>
      </c>
      <c r="N16" s="130">
        <f>IF(SER_hh_tesh_in!N16=0,0,SER_hh_tesh_in!N16/SER_summary!N$27)</f>
        <v>24.537973184488603</v>
      </c>
      <c r="O16" s="130">
        <f>IF(SER_hh_tesh_in!O16=0,0,SER_hh_tesh_in!O16/SER_summary!O$27)</f>
        <v>23.600884838560638</v>
      </c>
      <c r="P16" s="130">
        <f>IF(SER_hh_tesh_in!P16=0,0,SER_hh_tesh_in!P16/SER_summary!P$27)</f>
        <v>23.474737418234948</v>
      </c>
      <c r="Q16" s="130">
        <f>IF(SER_hh_tesh_in!Q16=0,0,SER_hh_tesh_in!Q16/SER_summary!Q$27)</f>
        <v>21.963657766183623</v>
      </c>
      <c r="R16" s="130">
        <f>IF(SER_hh_tesh_in!R16=0,0,SER_hh_tesh_in!R16/SER_summary!R$27)</f>
        <v>22.267182220994034</v>
      </c>
      <c r="S16" s="130">
        <f>IF(SER_hh_tesh_in!S16=0,0,SER_hh_tesh_in!S16/SER_summary!S$27)</f>
        <v>21.528866581545842</v>
      </c>
      <c r="T16" s="130">
        <f>IF(SER_hh_tesh_in!T16=0,0,SER_hh_tesh_in!T16/SER_summary!T$27)</f>
        <v>20.811735136431249</v>
      </c>
      <c r="U16" s="130">
        <f>IF(SER_hh_tesh_in!U16=0,0,SER_hh_tesh_in!U16/SER_summary!U$27)</f>
        <v>20.05900196152119</v>
      </c>
      <c r="V16" s="130">
        <f>IF(SER_hh_tesh_in!V16=0,0,SER_hh_tesh_in!V16/SER_summary!V$27)</f>
        <v>18.087202267215389</v>
      </c>
      <c r="W16" s="130">
        <f>IF(SER_hh_tesh_in!W16=0,0,SER_hh_tesh_in!W16/SER_summary!W$27)</f>
        <v>15.802008347923874</v>
      </c>
      <c r="X16" s="130">
        <f>IF(SER_hh_tesh_in!X16=0,0,SER_hh_tesh_in!X16/SER_summary!X$27)</f>
        <v>14.205685800919628</v>
      </c>
      <c r="Y16" s="130">
        <f>IF(SER_hh_tesh_in!Y16=0,0,SER_hh_tesh_in!Y16/SER_summary!Y$27)</f>
        <v>14.456927197963976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27.308542359171739</v>
      </c>
      <c r="D17" s="132">
        <f>IF(SER_hh_tesh_in!D17=0,0,SER_hh_tesh_in!D17/SER_summary!D$27)</f>
        <v>27.582698534805726</v>
      </c>
      <c r="E17" s="132">
        <f>IF(SER_hh_tesh_in!E17=0,0,SER_hh_tesh_in!E17/SER_summary!E$27)</f>
        <v>27.372516249004914</v>
      </c>
      <c r="F17" s="132">
        <f>IF(SER_hh_tesh_in!F17=0,0,SER_hh_tesh_in!F17/SER_summary!F$27)</f>
        <v>27.158055291574687</v>
      </c>
      <c r="G17" s="132">
        <f>IF(SER_hh_tesh_in!G17=0,0,SER_hh_tesh_in!G17/SER_summary!G$27)</f>
        <v>26.6021927299483</v>
      </c>
      <c r="H17" s="132">
        <f>IF(SER_hh_tesh_in!H17=0,0,SER_hh_tesh_in!H17/SER_summary!H$27)</f>
        <v>26.83679266875129</v>
      </c>
      <c r="I17" s="132">
        <f>IF(SER_hh_tesh_in!I17=0,0,SER_hh_tesh_in!I17/SER_summary!I$27)</f>
        <v>26.618200985975708</v>
      </c>
      <c r="J17" s="132">
        <f>IF(SER_hh_tesh_in!J17=0,0,SER_hh_tesh_in!J17/SER_summary!J$27)</f>
        <v>26.230207923138281</v>
      </c>
      <c r="K17" s="132">
        <f>IF(SER_hh_tesh_in!K17=0,0,SER_hh_tesh_in!K17/SER_summary!K$27)</f>
        <v>25.60034967503055</v>
      </c>
      <c r="L17" s="132">
        <f>IF(SER_hh_tesh_in!L17=0,0,SER_hh_tesh_in!L17/SER_summary!L$27)</f>
        <v>25.293709959524069</v>
      </c>
      <c r="M17" s="132">
        <f>IF(SER_hh_tesh_in!M17=0,0,SER_hh_tesh_in!M17/SER_summary!M$27)</f>
        <v>24.673964830872219</v>
      </c>
      <c r="N17" s="132">
        <f>IF(SER_hh_tesh_in!N17=0,0,SER_hh_tesh_in!N17/SER_summary!N$27)</f>
        <v>24.478900825294623</v>
      </c>
      <c r="O17" s="132">
        <f>IF(SER_hh_tesh_in!O17=0,0,SER_hh_tesh_in!O17/SER_summary!O$27)</f>
        <v>23.604670260902878</v>
      </c>
      <c r="P17" s="132">
        <f>IF(SER_hh_tesh_in!P17=0,0,SER_hh_tesh_in!P17/SER_summary!P$27)</f>
        <v>23.69603533646799</v>
      </c>
      <c r="Q17" s="132">
        <f>IF(SER_hh_tesh_in!Q17=0,0,SER_hh_tesh_in!Q17/SER_summary!Q$27)</f>
        <v>22.794283286236769</v>
      </c>
      <c r="R17" s="132">
        <f>IF(SER_hh_tesh_in!R17=0,0,SER_hh_tesh_in!R17/SER_summary!R$27)</f>
        <v>22.859305838229314</v>
      </c>
      <c r="S17" s="132">
        <f>IF(SER_hh_tesh_in!S17=0,0,SER_hh_tesh_in!S17/SER_summary!S$27)</f>
        <v>22.069538099198176</v>
      </c>
      <c r="T17" s="132">
        <f>IF(SER_hh_tesh_in!T17=0,0,SER_hh_tesh_in!T17/SER_summary!T$27)</f>
        <v>21.196532066524085</v>
      </c>
      <c r="U17" s="132">
        <f>IF(SER_hh_tesh_in!U17=0,0,SER_hh_tesh_in!U17/SER_summary!U$27)</f>
        <v>20.315297367599147</v>
      </c>
      <c r="V17" s="132">
        <f>IF(SER_hh_tesh_in!V17=0,0,SER_hh_tesh_in!V17/SER_summary!V$27)</f>
        <v>17.369631032831446</v>
      </c>
      <c r="W17" s="132">
        <f>IF(SER_hh_tesh_in!W17=0,0,SER_hh_tesh_in!W17/SER_summary!W$27)</f>
        <v>14.617657397412041</v>
      </c>
      <c r="X17" s="132">
        <f>IF(SER_hh_tesh_in!X17=0,0,SER_hh_tesh_in!X17/SER_summary!X$27)</f>
        <v>13.639083953361558</v>
      </c>
      <c r="Y17" s="132">
        <f>IF(SER_hh_tesh_in!Y17=0,0,SER_hh_tesh_in!Y17/SER_summary!Y$27)</f>
        <v>14.454369890294844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27.304178552669615</v>
      </c>
      <c r="D18" s="132">
        <f>IF(SER_hh_tesh_in!D18=0,0,SER_hh_tesh_in!D18/SER_summary!D$27)</f>
        <v>27.569303815189222</v>
      </c>
      <c r="E18" s="132">
        <f>IF(SER_hh_tesh_in!E18=0,0,SER_hh_tesh_in!E18/SER_summary!E$27)</f>
        <v>27.393230412071865</v>
      </c>
      <c r="F18" s="132">
        <f>IF(SER_hh_tesh_in!F18=0,0,SER_hh_tesh_in!F18/SER_summary!F$27)</f>
        <v>27.120534999517783</v>
      </c>
      <c r="G18" s="132">
        <f>IF(SER_hh_tesh_in!G18=0,0,SER_hh_tesh_in!G18/SER_summary!G$27)</f>
        <v>26.553013814494221</v>
      </c>
      <c r="H18" s="132">
        <f>IF(SER_hh_tesh_in!H18=0,0,SER_hh_tesh_in!H18/SER_summary!H$27)</f>
        <v>26.744626147642641</v>
      </c>
      <c r="I18" s="132">
        <f>IF(SER_hh_tesh_in!I18=0,0,SER_hh_tesh_in!I18/SER_summary!I$27)</f>
        <v>27.019444924287651</v>
      </c>
      <c r="J18" s="132">
        <f>IF(SER_hh_tesh_in!J18=0,0,SER_hh_tesh_in!J18/SER_summary!J$27)</f>
        <v>26.232696652952097</v>
      </c>
      <c r="K18" s="132">
        <f>IF(SER_hh_tesh_in!K18=0,0,SER_hh_tesh_in!K18/SER_summary!K$27)</f>
        <v>25.635105095637954</v>
      </c>
      <c r="L18" s="132">
        <f>IF(SER_hh_tesh_in!L18=0,0,SER_hh_tesh_in!L18/SER_summary!L$27)</f>
        <v>25.343646542434392</v>
      </c>
      <c r="M18" s="132">
        <f>IF(SER_hh_tesh_in!M18=0,0,SER_hh_tesh_in!M18/SER_summary!M$27)</f>
        <v>24.71658102366607</v>
      </c>
      <c r="N18" s="132">
        <f>IF(SER_hh_tesh_in!N18=0,0,SER_hh_tesh_in!N18/SER_summary!N$27)</f>
        <v>24.53837921120661</v>
      </c>
      <c r="O18" s="132">
        <f>IF(SER_hh_tesh_in!O18=0,0,SER_hh_tesh_in!O18/SER_summary!O$27)</f>
        <v>23.600845658735651</v>
      </c>
      <c r="P18" s="132">
        <f>IF(SER_hh_tesh_in!P18=0,0,SER_hh_tesh_in!P18/SER_summary!P$27)</f>
        <v>23.471737316950964</v>
      </c>
      <c r="Q18" s="132">
        <f>IF(SER_hh_tesh_in!Q18=0,0,SER_hh_tesh_in!Q18/SER_summary!Q$27)</f>
        <v>21.947337562338607</v>
      </c>
      <c r="R18" s="132">
        <f>IF(SER_hh_tesh_in!R18=0,0,SER_hh_tesh_in!R18/SER_summary!R$27)</f>
        <v>22.254438537014604</v>
      </c>
      <c r="S18" s="132">
        <f>IF(SER_hh_tesh_in!S18=0,0,SER_hh_tesh_in!S18/SER_summary!S$27)</f>
        <v>21.519871295025741</v>
      </c>
      <c r="T18" s="132">
        <f>IF(SER_hh_tesh_in!T18=0,0,SER_hh_tesh_in!T18/SER_summary!T$27)</f>
        <v>20.806733075077851</v>
      </c>
      <c r="U18" s="132">
        <f>IF(SER_hh_tesh_in!U18=0,0,SER_hh_tesh_in!U18/SER_summary!U$27)</f>
        <v>20.055420902031614</v>
      </c>
      <c r="V18" s="132">
        <f>IF(SER_hh_tesh_in!V18=0,0,SER_hh_tesh_in!V18/SER_summary!V$27)</f>
        <v>18.099881729566192</v>
      </c>
      <c r="W18" s="132">
        <f>IF(SER_hh_tesh_in!W18=0,0,SER_hh_tesh_in!W18/SER_summary!W$27)</f>
        <v>15.817207965640927</v>
      </c>
      <c r="X18" s="132">
        <f>IF(SER_hh_tesh_in!X18=0,0,SER_hh_tesh_in!X18/SER_summary!X$27)</f>
        <v>14.216500005795677</v>
      </c>
      <c r="Y18" s="132">
        <f>IF(SER_hh_tesh_in!Y18=0,0,SER_hh_tesh_in!Y18/SER_summary!Y$27)</f>
        <v>14.456961325567763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24.781322320105971</v>
      </c>
      <c r="D19" s="130">
        <f>IF(SER_hh_tesh_in!D19=0,0,SER_hh_tesh_in!D19/SER_summary!D$27)</f>
        <v>24.43255232640179</v>
      </c>
      <c r="E19" s="130">
        <f>IF(SER_hh_tesh_in!E19=0,0,SER_hh_tesh_in!E19/SER_summary!E$27)</f>
        <v>24.158690174297103</v>
      </c>
      <c r="F19" s="130">
        <f>IF(SER_hh_tesh_in!F19=0,0,SER_hh_tesh_in!F19/SER_summary!F$27)</f>
        <v>23.656179500808538</v>
      </c>
      <c r="G19" s="130">
        <f>IF(SER_hh_tesh_in!G19=0,0,SER_hh_tesh_in!G19/SER_summary!G$27)</f>
        <v>23.84091651554775</v>
      </c>
      <c r="H19" s="130">
        <f>IF(SER_hh_tesh_in!H19=0,0,SER_hh_tesh_in!H19/SER_summary!H$27)</f>
        <v>23.556875294928734</v>
      </c>
      <c r="I19" s="130">
        <f>IF(SER_hh_tesh_in!I19=0,0,SER_hh_tesh_in!I19/SER_summary!I$27)</f>
        <v>22.999785332514136</v>
      </c>
      <c r="J19" s="130">
        <f>IF(SER_hh_tesh_in!J19=0,0,SER_hh_tesh_in!J19/SER_summary!J$27)</f>
        <v>23.02186488429605</v>
      </c>
      <c r="K19" s="130">
        <f>IF(SER_hh_tesh_in!K19=0,0,SER_hh_tesh_in!K19/SER_summary!K$27)</f>
        <v>23.920930399938662</v>
      </c>
      <c r="L19" s="130">
        <f>IF(SER_hh_tesh_in!L19=0,0,SER_hh_tesh_in!L19/SER_summary!L$27)</f>
        <v>24.814908132621312</v>
      </c>
      <c r="M19" s="130">
        <f>IF(SER_hh_tesh_in!M19=0,0,SER_hh_tesh_in!M19/SER_summary!M$27)</f>
        <v>24.67206303099475</v>
      </c>
      <c r="N19" s="130">
        <f>IF(SER_hh_tesh_in!N19=0,0,SER_hh_tesh_in!N19/SER_summary!N$27)</f>
        <v>25.044024806485901</v>
      </c>
      <c r="O19" s="130">
        <f>IF(SER_hh_tesh_in!O19=0,0,SER_hh_tesh_in!O19/SER_summary!O$27)</f>
        <v>25.298852657715791</v>
      </c>
      <c r="P19" s="130">
        <f>IF(SER_hh_tesh_in!P19=0,0,SER_hh_tesh_in!P19/SER_summary!P$27)</f>
        <v>25.38108553349333</v>
      </c>
      <c r="Q19" s="130">
        <f>IF(SER_hh_tesh_in!Q19=0,0,SER_hh_tesh_in!Q19/SER_summary!Q$27)</f>
        <v>26.572679817780589</v>
      </c>
      <c r="R19" s="130">
        <f>IF(SER_hh_tesh_in!R19=0,0,SER_hh_tesh_in!R19/SER_summary!R$27)</f>
        <v>25.852762563352982</v>
      </c>
      <c r="S19" s="130">
        <f>IF(SER_hh_tesh_in!S19=0,0,SER_hh_tesh_in!S19/SER_summary!S$27)</f>
        <v>25.463791307742326</v>
      </c>
      <c r="T19" s="130">
        <f>IF(SER_hh_tesh_in!T19=0,0,SER_hh_tesh_in!T19/SER_summary!T$27)</f>
        <v>25.429472805955232</v>
      </c>
      <c r="U19" s="130">
        <f>IF(SER_hh_tesh_in!U19=0,0,SER_hh_tesh_in!U19/SER_summary!U$27)</f>
        <v>25.519286958798137</v>
      </c>
      <c r="V19" s="130">
        <f>IF(SER_hh_tesh_in!V19=0,0,SER_hh_tesh_in!V19/SER_summary!V$27)</f>
        <v>24.072513151242241</v>
      </c>
      <c r="W19" s="130">
        <f>IF(SER_hh_tesh_in!W19=0,0,SER_hh_tesh_in!W19/SER_summary!W$27)</f>
        <v>25.578865558419295</v>
      </c>
      <c r="X19" s="130">
        <f>IF(SER_hh_tesh_in!X19=0,0,SER_hh_tesh_in!X19/SER_summary!X$27)</f>
        <v>24.345829878081101</v>
      </c>
      <c r="Y19" s="130">
        <f>IF(SER_hh_tesh_in!Y19=0,0,SER_hh_tesh_in!Y19/SER_summary!Y$27)</f>
        <v>23.740874050360031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0</v>
      </c>
      <c r="D21" s="132">
        <f>IF(SER_hh_tesh_in!D21=0,0,SER_hh_tesh_in!D21/SER_summary!D$27)</f>
        <v>0</v>
      </c>
      <c r="E21" s="132">
        <f>IF(SER_hh_tesh_in!E21=0,0,SER_hh_tesh_in!E21/SER_summary!E$27)</f>
        <v>0</v>
      </c>
      <c r="F21" s="132">
        <f>IF(SER_hh_tesh_in!F21=0,0,SER_hh_tesh_in!F21/SER_summary!F$27)</f>
        <v>0</v>
      </c>
      <c r="G21" s="132">
        <f>IF(SER_hh_tesh_in!G21=0,0,SER_hh_tesh_in!G21/SER_summary!G$27)</f>
        <v>0</v>
      </c>
      <c r="H21" s="132">
        <f>IF(SER_hh_tesh_in!H21=0,0,SER_hh_tesh_in!H21/SER_summary!H$27)</f>
        <v>0</v>
      </c>
      <c r="I21" s="132">
        <f>IF(SER_hh_tesh_in!I21=0,0,SER_hh_tesh_in!I21/SER_summary!I$27)</f>
        <v>0</v>
      </c>
      <c r="J21" s="132">
        <f>IF(SER_hh_tesh_in!J21=0,0,SER_hh_tesh_in!J21/SER_summary!J$27)</f>
        <v>0</v>
      </c>
      <c r="K21" s="132">
        <f>IF(SER_hh_tesh_in!K21=0,0,SER_hh_tesh_in!K21/SER_summary!K$27)</f>
        <v>0</v>
      </c>
      <c r="L21" s="132">
        <f>IF(SER_hh_tesh_in!L21=0,0,SER_hh_tesh_in!L21/SER_summary!L$27)</f>
        <v>0</v>
      </c>
      <c r="M21" s="132">
        <f>IF(SER_hh_tesh_in!M21=0,0,SER_hh_tesh_in!M21/SER_summary!M$27)</f>
        <v>0</v>
      </c>
      <c r="N21" s="132">
        <f>IF(SER_hh_tesh_in!N21=0,0,SER_hh_tesh_in!N21/SER_summary!N$27)</f>
        <v>0</v>
      </c>
      <c r="O21" s="132">
        <f>IF(SER_hh_tesh_in!O21=0,0,SER_hh_tesh_in!O21/SER_summary!O$27)</f>
        <v>0</v>
      </c>
      <c r="P21" s="132">
        <f>IF(SER_hh_tesh_in!P21=0,0,SER_hh_tesh_in!P21/SER_summary!P$27)</f>
        <v>0</v>
      </c>
      <c r="Q21" s="132">
        <f>IF(SER_hh_tesh_in!Q21=0,0,SER_hh_tesh_in!Q21/SER_summary!Q$27)</f>
        <v>0</v>
      </c>
      <c r="R21" s="132">
        <f>IF(SER_hh_tesh_in!R21=0,0,SER_hh_tesh_in!R21/SER_summary!R$27)</f>
        <v>0</v>
      </c>
      <c r="S21" s="132">
        <f>IF(SER_hh_tesh_in!S21=0,0,SER_hh_tesh_in!S21/SER_summary!S$27)</f>
        <v>0</v>
      </c>
      <c r="T21" s="132">
        <f>IF(SER_hh_tesh_in!T21=0,0,SER_hh_tesh_in!T21/SER_summary!T$27)</f>
        <v>0</v>
      </c>
      <c r="U21" s="132">
        <f>IF(SER_hh_tesh_in!U21=0,0,SER_hh_tesh_in!U21/SER_summary!U$27)</f>
        <v>0</v>
      </c>
      <c r="V21" s="132">
        <f>IF(SER_hh_tesh_in!V21=0,0,SER_hh_tesh_in!V21/SER_summary!V$27)</f>
        <v>0</v>
      </c>
      <c r="W21" s="132">
        <f>IF(SER_hh_tesh_in!W21=0,0,SER_hh_tesh_in!W21/SER_summary!W$27)</f>
        <v>0</v>
      </c>
      <c r="X21" s="132">
        <f>IF(SER_hh_tesh_in!X21=0,0,SER_hh_tesh_in!X21/SER_summary!X$27)</f>
        <v>0</v>
      </c>
      <c r="Y21" s="132">
        <f>IF(SER_hh_tesh_in!Y21=0,0,SER_hh_tesh_in!Y21/SER_summary!Y$27)</f>
        <v>0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24.870739434886246</v>
      </c>
      <c r="D22" s="132">
        <f>IF(SER_hh_tesh_in!D22=0,0,SER_hh_tesh_in!D22/SER_summary!D$27)</f>
        <v>24.794287195964674</v>
      </c>
      <c r="E22" s="132">
        <f>IF(SER_hh_tesh_in!E22=0,0,SER_hh_tesh_in!E22/SER_summary!E$27)</f>
        <v>23.886863069874583</v>
      </c>
      <c r="F22" s="132">
        <f>IF(SER_hh_tesh_in!F22=0,0,SER_hh_tesh_in!F22/SER_summary!F$27)</f>
        <v>24.126282215446718</v>
      </c>
      <c r="G22" s="132">
        <f>IF(SER_hh_tesh_in!G22=0,0,SER_hh_tesh_in!G22/SER_summary!G$27)</f>
        <v>23.665389593636768</v>
      </c>
      <c r="H22" s="132">
        <f>IF(SER_hh_tesh_in!H22=0,0,SER_hh_tesh_in!H22/SER_summary!H$27)</f>
        <v>22.977515840899525</v>
      </c>
      <c r="I22" s="132">
        <f>IF(SER_hh_tesh_in!I22=0,0,SER_hh_tesh_in!I22/SER_summary!I$27)</f>
        <v>22.930701652577614</v>
      </c>
      <c r="J22" s="132">
        <f>IF(SER_hh_tesh_in!J22=0,0,SER_hh_tesh_in!J22/SER_summary!J$27)</f>
        <v>23.311229720292999</v>
      </c>
      <c r="K22" s="132">
        <f>IF(SER_hh_tesh_in!K22=0,0,SER_hh_tesh_in!K22/SER_summary!K$27)</f>
        <v>23.598822885045749</v>
      </c>
      <c r="L22" s="132">
        <f>IF(SER_hh_tesh_in!L22=0,0,SER_hh_tesh_in!L22/SER_summary!L$27)</f>
        <v>24.202588492660759</v>
      </c>
      <c r="M22" s="132">
        <f>IF(SER_hh_tesh_in!M22=0,0,SER_hh_tesh_in!M22/SER_summary!M$27)</f>
        <v>24.755281150205718</v>
      </c>
      <c r="N22" s="132">
        <f>IF(SER_hh_tesh_in!N22=0,0,SER_hh_tesh_in!N22/SER_summary!N$27)</f>
        <v>25.188794179252021</v>
      </c>
      <c r="O22" s="132">
        <f>IF(SER_hh_tesh_in!O22=0,0,SER_hh_tesh_in!O22/SER_summary!O$27)</f>
        <v>25.263821998869684</v>
      </c>
      <c r="P22" s="132">
        <f>IF(SER_hh_tesh_in!P22=0,0,SER_hh_tesh_in!P22/SER_summary!P$27)</f>
        <v>25.889786008011203</v>
      </c>
      <c r="Q22" s="132">
        <f>IF(SER_hh_tesh_in!Q22=0,0,SER_hh_tesh_in!Q22/SER_summary!Q$27)</f>
        <v>25.751391107660176</v>
      </c>
      <c r="R22" s="132">
        <f>IF(SER_hh_tesh_in!R22=0,0,SER_hh_tesh_in!R22/SER_summary!R$27)</f>
        <v>25.452343537212489</v>
      </c>
      <c r="S22" s="132">
        <f>IF(SER_hh_tesh_in!S22=0,0,SER_hh_tesh_in!S22/SER_summary!S$27)</f>
        <v>26.281801688661226</v>
      </c>
      <c r="T22" s="132">
        <f>IF(SER_hh_tesh_in!T22=0,0,SER_hh_tesh_in!T22/SER_summary!T$27)</f>
        <v>25.398971765500498</v>
      </c>
      <c r="U22" s="132">
        <f>IF(SER_hh_tesh_in!U22=0,0,SER_hh_tesh_in!U22/SER_summary!U$27)</f>
        <v>25.615795909816907</v>
      </c>
      <c r="V22" s="132">
        <f>IF(SER_hh_tesh_in!V22=0,0,SER_hh_tesh_in!V22/SER_summary!V$27)</f>
        <v>22.947439808229891</v>
      </c>
      <c r="W22" s="132">
        <f>IF(SER_hh_tesh_in!W22=0,0,SER_hh_tesh_in!W22/SER_summary!W$27)</f>
        <v>24.082338318958133</v>
      </c>
      <c r="X22" s="132">
        <f>IF(SER_hh_tesh_in!X22=0,0,SER_hh_tesh_in!X22/SER_summary!X$27)</f>
        <v>24.381890427717682</v>
      </c>
      <c r="Y22" s="132">
        <f>IF(SER_hh_tesh_in!Y22=0,0,SER_hh_tesh_in!Y22/SER_summary!Y$27)</f>
        <v>23.844532321835555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24.863352942421734</v>
      </c>
      <c r="D23" s="132">
        <f>IF(SER_hh_tesh_in!D23=0,0,SER_hh_tesh_in!D23/SER_summary!D$27)</f>
        <v>24.447136450455229</v>
      </c>
      <c r="E23" s="132">
        <f>IF(SER_hh_tesh_in!E23=0,0,SER_hh_tesh_in!E23/SER_summary!E$27)</f>
        <v>23.933431746954884</v>
      </c>
      <c r="F23" s="132">
        <f>IF(SER_hh_tesh_in!F23=0,0,SER_hh_tesh_in!F23/SER_summary!F$27)</f>
        <v>23.998052367535514</v>
      </c>
      <c r="G23" s="132">
        <f>IF(SER_hh_tesh_in!G23=0,0,SER_hh_tesh_in!G23/SER_summary!G$27)</f>
        <v>23.738800444799047</v>
      </c>
      <c r="H23" s="132">
        <f>IF(SER_hh_tesh_in!H23=0,0,SER_hh_tesh_in!H23/SER_summary!H$27)</f>
        <v>23.249745813880821</v>
      </c>
      <c r="I23" s="132">
        <f>IF(SER_hh_tesh_in!I23=0,0,SER_hh_tesh_in!I23/SER_summary!I$27)</f>
        <v>23.437787498852646</v>
      </c>
      <c r="J23" s="132">
        <f>IF(SER_hh_tesh_in!J23=0,0,SER_hh_tesh_in!J23/SER_summary!J$27)</f>
        <v>22.963402391116237</v>
      </c>
      <c r="K23" s="132">
        <f>IF(SER_hh_tesh_in!K23=0,0,SER_hh_tesh_in!K23/SER_summary!K$27)</f>
        <v>23.885608339897445</v>
      </c>
      <c r="L23" s="132">
        <f>IF(SER_hh_tesh_in!L23=0,0,SER_hh_tesh_in!L23/SER_summary!L$27)</f>
        <v>24.870159765842473</v>
      </c>
      <c r="M23" s="132">
        <f>IF(SER_hh_tesh_in!M23=0,0,SER_hh_tesh_in!M23/SER_summary!M$27)</f>
        <v>23.870974677472041</v>
      </c>
      <c r="N23" s="132">
        <f>IF(SER_hh_tesh_in!N23=0,0,SER_hh_tesh_in!N23/SER_summary!N$27)</f>
        <v>24.751315958072539</v>
      </c>
      <c r="O23" s="132">
        <f>IF(SER_hh_tesh_in!O23=0,0,SER_hh_tesh_in!O23/SER_summary!O$27)</f>
        <v>25.341272043647255</v>
      </c>
      <c r="P23" s="132">
        <f>IF(SER_hh_tesh_in!P23=0,0,SER_hh_tesh_in!P23/SER_summary!P$27)</f>
        <v>25.820205495540456</v>
      </c>
      <c r="Q23" s="132">
        <f>IF(SER_hh_tesh_in!Q23=0,0,SER_hh_tesh_in!Q23/SER_summary!Q$27)</f>
        <v>26.626640121758683</v>
      </c>
      <c r="R23" s="132">
        <f>IF(SER_hh_tesh_in!R23=0,0,SER_hh_tesh_in!R23/SER_summary!R$27)</f>
        <v>25.922335233843448</v>
      </c>
      <c r="S23" s="132">
        <f>IF(SER_hh_tesh_in!S23=0,0,SER_hh_tesh_in!S23/SER_summary!S$27)</f>
        <v>26.132667762839493</v>
      </c>
      <c r="T23" s="132">
        <f>IF(SER_hh_tesh_in!T23=0,0,SER_hh_tesh_in!T23/SER_summary!T$27)</f>
        <v>25.183580600458708</v>
      </c>
      <c r="U23" s="132">
        <f>IF(SER_hh_tesh_in!U23=0,0,SER_hh_tesh_in!U23/SER_summary!U$27)</f>
        <v>26.146312333390846</v>
      </c>
      <c r="V23" s="132">
        <f>IF(SER_hh_tesh_in!V23=0,0,SER_hh_tesh_in!V23/SER_summary!V$27)</f>
        <v>20.308605092098375</v>
      </c>
      <c r="W23" s="132">
        <f>IF(SER_hh_tesh_in!W23=0,0,SER_hh_tesh_in!W23/SER_summary!W$27)</f>
        <v>26.351210380402733</v>
      </c>
      <c r="X23" s="132">
        <f>IF(SER_hh_tesh_in!X23=0,0,SER_hh_tesh_in!X23/SER_summary!X$27)</f>
        <v>24.636602531688467</v>
      </c>
      <c r="Y23" s="132">
        <f>IF(SER_hh_tesh_in!Y23=0,0,SER_hh_tesh_in!Y23/SER_summary!Y$27)</f>
        <v>23.914856991167664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0</v>
      </c>
      <c r="D24" s="132">
        <f>IF(SER_hh_tesh_in!D24=0,0,SER_hh_tesh_in!D24/SER_summary!D$27)</f>
        <v>0</v>
      </c>
      <c r="E24" s="132">
        <f>IF(SER_hh_tesh_in!E24=0,0,SER_hh_tesh_in!E24/SER_summary!E$27)</f>
        <v>0</v>
      </c>
      <c r="F24" s="132">
        <f>IF(SER_hh_tesh_in!F24=0,0,SER_hh_tesh_in!F24/SER_summary!F$27)</f>
        <v>0</v>
      </c>
      <c r="G24" s="132">
        <f>IF(SER_hh_tesh_in!G24=0,0,SER_hh_tesh_in!G24/SER_summary!G$27)</f>
        <v>0</v>
      </c>
      <c r="H24" s="132">
        <f>IF(SER_hh_tesh_in!H24=0,0,SER_hh_tesh_in!H24/SER_summary!H$27)</f>
        <v>0</v>
      </c>
      <c r="I24" s="132">
        <f>IF(SER_hh_tesh_in!I24=0,0,SER_hh_tesh_in!I24/SER_summary!I$27)</f>
        <v>0</v>
      </c>
      <c r="J24" s="132">
        <f>IF(SER_hh_tesh_in!J24=0,0,SER_hh_tesh_in!J24/SER_summary!J$27)</f>
        <v>0</v>
      </c>
      <c r="K24" s="132">
        <f>IF(SER_hh_tesh_in!K24=0,0,SER_hh_tesh_in!K24/SER_summary!K$27)</f>
        <v>0</v>
      </c>
      <c r="L24" s="132">
        <f>IF(SER_hh_tesh_in!L24=0,0,SER_hh_tesh_in!L24/SER_summary!L$27)</f>
        <v>0</v>
      </c>
      <c r="M24" s="132">
        <f>IF(SER_hh_tesh_in!M24=0,0,SER_hh_tesh_in!M24/SER_summary!M$27)</f>
        <v>0</v>
      </c>
      <c r="N24" s="132">
        <f>IF(SER_hh_tesh_in!N24=0,0,SER_hh_tesh_in!N24/SER_summary!N$27)</f>
        <v>0</v>
      </c>
      <c r="O24" s="132">
        <f>IF(SER_hh_tesh_in!O24=0,0,SER_hh_tesh_in!O24/SER_summary!O$27)</f>
        <v>0</v>
      </c>
      <c r="P24" s="132">
        <f>IF(SER_hh_tesh_in!P24=0,0,SER_hh_tesh_in!P24/SER_summary!P$27)</f>
        <v>0</v>
      </c>
      <c r="Q24" s="132">
        <f>IF(SER_hh_tesh_in!Q24=0,0,SER_hh_tesh_in!Q24/SER_summary!Q$27)</f>
        <v>0</v>
      </c>
      <c r="R24" s="132">
        <f>IF(SER_hh_tesh_in!R24=0,0,SER_hh_tesh_in!R24/SER_summary!R$27)</f>
        <v>0</v>
      </c>
      <c r="S24" s="132">
        <f>IF(SER_hh_tesh_in!S24=0,0,SER_hh_tesh_in!S24/SER_summary!S$27)</f>
        <v>0</v>
      </c>
      <c r="T24" s="132">
        <f>IF(SER_hh_tesh_in!T24=0,0,SER_hh_tesh_in!T24/SER_summary!T$27)</f>
        <v>0</v>
      </c>
      <c r="U24" s="132">
        <f>IF(SER_hh_tesh_in!U24=0,0,SER_hh_tesh_in!U24/SER_summary!U$27)</f>
        <v>0</v>
      </c>
      <c r="V24" s="132">
        <f>IF(SER_hh_tesh_in!V24=0,0,SER_hh_tesh_in!V24/SER_summary!V$27)</f>
        <v>0</v>
      </c>
      <c r="W24" s="132">
        <f>IF(SER_hh_tesh_in!W24=0,0,SER_hh_tesh_in!W24/SER_summary!W$27)</f>
        <v>0</v>
      </c>
      <c r="X24" s="132">
        <f>IF(SER_hh_tesh_in!X24=0,0,SER_hh_tesh_in!X24/SER_summary!X$27)</f>
        <v>0</v>
      </c>
      <c r="Y24" s="132">
        <f>IF(SER_hh_tesh_in!Y24=0,0,SER_hh_tesh_in!Y24/SER_summary!Y$27)</f>
        <v>0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0</v>
      </c>
      <c r="D25" s="132">
        <f>IF(SER_hh_tesh_in!D25=0,0,SER_hh_tesh_in!D25/SER_summary!D$27)</f>
        <v>0</v>
      </c>
      <c r="E25" s="132">
        <f>IF(SER_hh_tesh_in!E25=0,0,SER_hh_tesh_in!E25/SER_summary!E$27)</f>
        <v>0</v>
      </c>
      <c r="F25" s="132">
        <f>IF(SER_hh_tesh_in!F25=0,0,SER_hh_tesh_in!F25/SER_summary!F$27)</f>
        <v>0</v>
      </c>
      <c r="G25" s="132">
        <f>IF(SER_hh_tesh_in!G25=0,0,SER_hh_tesh_in!G25/SER_summary!G$27)</f>
        <v>0</v>
      </c>
      <c r="H25" s="132">
        <f>IF(SER_hh_tesh_in!H25=0,0,SER_hh_tesh_in!H25/SER_summary!H$27)</f>
        <v>0</v>
      </c>
      <c r="I25" s="132">
        <f>IF(SER_hh_tesh_in!I25=0,0,SER_hh_tesh_in!I25/SER_summary!I$27)</f>
        <v>0</v>
      </c>
      <c r="J25" s="132">
        <f>IF(SER_hh_tesh_in!J25=0,0,SER_hh_tesh_in!J25/SER_summary!J$27)</f>
        <v>0</v>
      </c>
      <c r="K25" s="132">
        <f>IF(SER_hh_tesh_in!K25=0,0,SER_hh_tesh_in!K25/SER_summary!K$27)</f>
        <v>0</v>
      </c>
      <c r="L25" s="132">
        <f>IF(SER_hh_tesh_in!L25=0,0,SER_hh_tesh_in!L25/SER_summary!L$27)</f>
        <v>0</v>
      </c>
      <c r="M25" s="132">
        <f>IF(SER_hh_tesh_in!M25=0,0,SER_hh_tesh_in!M25/SER_summary!M$27)</f>
        <v>0</v>
      </c>
      <c r="N25" s="132">
        <f>IF(SER_hh_tesh_in!N25=0,0,SER_hh_tesh_in!N25/SER_summary!N$27)</f>
        <v>0</v>
      </c>
      <c r="O25" s="132">
        <f>IF(SER_hh_tesh_in!O25=0,0,SER_hh_tesh_in!O25/SER_summary!O$27)</f>
        <v>0</v>
      </c>
      <c r="P25" s="132">
        <f>IF(SER_hh_tesh_in!P25=0,0,SER_hh_tesh_in!P25/SER_summary!P$27)</f>
        <v>0</v>
      </c>
      <c r="Q25" s="132">
        <f>IF(SER_hh_tesh_in!Q25=0,0,SER_hh_tesh_in!Q25/SER_summary!Q$27)</f>
        <v>0</v>
      </c>
      <c r="R25" s="132">
        <f>IF(SER_hh_tesh_in!R25=0,0,SER_hh_tesh_in!R25/SER_summary!R$27)</f>
        <v>0</v>
      </c>
      <c r="S25" s="132">
        <f>IF(SER_hh_tesh_in!S25=0,0,SER_hh_tesh_in!S25/SER_summary!S$27)</f>
        <v>0</v>
      </c>
      <c r="T25" s="132">
        <f>IF(SER_hh_tesh_in!T25=0,0,SER_hh_tesh_in!T25/SER_summary!T$27)</f>
        <v>0</v>
      </c>
      <c r="U25" s="132">
        <f>IF(SER_hh_tesh_in!U25=0,0,SER_hh_tesh_in!U25/SER_summary!U$27)</f>
        <v>0</v>
      </c>
      <c r="V25" s="132">
        <f>IF(SER_hh_tesh_in!V25=0,0,SER_hh_tesh_in!V25/SER_summary!V$27)</f>
        <v>0</v>
      </c>
      <c r="W25" s="132">
        <f>IF(SER_hh_tesh_in!W25=0,0,SER_hh_tesh_in!W25/SER_summary!W$27)</f>
        <v>0</v>
      </c>
      <c r="X25" s="132">
        <f>IF(SER_hh_tesh_in!X25=0,0,SER_hh_tesh_in!X25/SER_summary!X$27)</f>
        <v>0</v>
      </c>
      <c r="Y25" s="132">
        <f>IF(SER_hh_tesh_in!Y25=0,0,SER_hh_tesh_in!Y25/SER_summary!Y$27)</f>
        <v>0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24.72540137281511</v>
      </c>
      <c r="D26" s="65">
        <f>IF(SER_hh_tesh_in!D26=0,0,SER_hh_tesh_in!D26/SER_summary!D$27)</f>
        <v>24.34690567332591</v>
      </c>
      <c r="E26" s="65">
        <f>IF(SER_hh_tesh_in!E26=0,0,SER_hh_tesh_in!E26/SER_summary!E$27)</f>
        <v>24.295492708271162</v>
      </c>
      <c r="F26" s="65">
        <f>IF(SER_hh_tesh_in!F26=0,0,SER_hh_tesh_in!F26/SER_summary!F$27)</f>
        <v>23.441111868637051</v>
      </c>
      <c r="G26" s="65">
        <f>IF(SER_hh_tesh_in!G26=0,0,SER_hh_tesh_in!G26/SER_summary!G$27)</f>
        <v>23.890979014121118</v>
      </c>
      <c r="H26" s="65">
        <f>IF(SER_hh_tesh_in!H26=0,0,SER_hh_tesh_in!H26/SER_summary!H$27)</f>
        <v>23.323055393730257</v>
      </c>
      <c r="I26" s="65">
        <f>IF(SER_hh_tesh_in!I26=0,0,SER_hh_tesh_in!I26/SER_summary!I$27)</f>
        <v>22.877007171677388</v>
      </c>
      <c r="J26" s="65">
        <f>IF(SER_hh_tesh_in!J26=0,0,SER_hh_tesh_in!J26/SER_summary!J$27)</f>
        <v>21.722091531460478</v>
      </c>
      <c r="K26" s="65">
        <f>IF(SER_hh_tesh_in!K26=0,0,SER_hh_tesh_in!K26/SER_summary!K$27)</f>
        <v>23.979895731340147</v>
      </c>
      <c r="L26" s="65">
        <f>IF(SER_hh_tesh_in!L26=0,0,SER_hh_tesh_in!L26/SER_summary!L$27)</f>
        <v>19.881725746849948</v>
      </c>
      <c r="M26" s="65">
        <f>IF(SER_hh_tesh_in!M26=0,0,SER_hh_tesh_in!M26/SER_summary!M$27)</f>
        <v>24.391160804406883</v>
      </c>
      <c r="N26" s="65">
        <f>IF(SER_hh_tesh_in!N26=0,0,SER_hh_tesh_in!N26/SER_summary!N$27)</f>
        <v>25.14057312412082</v>
      </c>
      <c r="O26" s="65">
        <f>IF(SER_hh_tesh_in!O26=0,0,SER_hh_tesh_in!O26/SER_summary!O$27)</f>
        <v>25.28773398933377</v>
      </c>
      <c r="P26" s="65">
        <f>IF(SER_hh_tesh_in!P26=0,0,SER_hh_tesh_in!P26/SER_summary!P$27)</f>
        <v>25.156999418318478</v>
      </c>
      <c r="Q26" s="65">
        <f>IF(SER_hh_tesh_in!Q26=0,0,SER_hh_tesh_in!Q26/SER_summary!Q$27)</f>
        <v>26.612056188507914</v>
      </c>
      <c r="R26" s="65">
        <f>IF(SER_hh_tesh_in!R26=0,0,SER_hh_tesh_in!R26/SER_summary!R$27)</f>
        <v>25.843079129846181</v>
      </c>
      <c r="S26" s="65">
        <f>IF(SER_hh_tesh_in!S26=0,0,SER_hh_tesh_in!S26/SER_summary!S$27)</f>
        <v>25.072948652919671</v>
      </c>
      <c r="T26" s="65">
        <f>IF(SER_hh_tesh_in!T26=0,0,SER_hh_tesh_in!T26/SER_summary!T$27)</f>
        <v>25.348895929457321</v>
      </c>
      <c r="U26" s="65">
        <f>IF(SER_hh_tesh_in!U26=0,0,SER_hh_tesh_in!U26/SER_summary!U$27)</f>
        <v>25.264062797920701</v>
      </c>
      <c r="V26" s="65">
        <f>IF(SER_hh_tesh_in!V26=0,0,SER_hh_tesh_in!V26/SER_summary!V$27)</f>
        <v>24.351604328037023</v>
      </c>
      <c r="W26" s="65">
        <f>IF(SER_hh_tesh_in!W26=0,0,SER_hh_tesh_in!W26/SER_summary!W$27)</f>
        <v>25.214017870637885</v>
      </c>
      <c r="X26" s="65">
        <f>IF(SER_hh_tesh_in!X26=0,0,SER_hh_tesh_in!X26/SER_summary!X$27)</f>
        <v>23.593029355857212</v>
      </c>
      <c r="Y26" s="65">
        <f>IF(SER_hh_tesh_in!Y26=0,0,SER_hh_tesh_in!Y26/SER_summary!Y$27)</f>
        <v>23.148404684480518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</v>
      </c>
      <c r="D27" s="145">
        <f>IF(SER_hh_tesh_in!D27=0,0,SER_hh_tesh_in!D27/SER_summary!D$27)</f>
        <v>0</v>
      </c>
      <c r="E27" s="145">
        <f>IF(SER_hh_tesh_in!E27=0,0,SER_hh_tesh_in!E27/SER_summary!E$27)</f>
        <v>0</v>
      </c>
      <c r="F27" s="145">
        <f>IF(SER_hh_tesh_in!F27=0,0,SER_hh_tesh_in!F27/SER_summary!F$27)</f>
        <v>0</v>
      </c>
      <c r="G27" s="145">
        <f>IF(SER_hh_tesh_in!G27=0,0,SER_hh_tesh_in!G27/SER_summary!G$27)</f>
        <v>0</v>
      </c>
      <c r="H27" s="145">
        <f>IF(SER_hh_tesh_in!H27=0,0,SER_hh_tesh_in!H27/SER_summary!H$27)</f>
        <v>0.28625096396887356</v>
      </c>
      <c r="I27" s="145">
        <f>IF(SER_hh_tesh_in!I27=0,0,SER_hh_tesh_in!I27/SER_summary!I$27)</f>
        <v>2.4336654607905666E-2</v>
      </c>
      <c r="J27" s="145">
        <f>IF(SER_hh_tesh_in!J27=0,0,SER_hh_tesh_in!J27/SER_summary!J$27)</f>
        <v>0.78320254620845398</v>
      </c>
      <c r="K27" s="145">
        <f>IF(SER_hh_tesh_in!K27=0,0,SER_hh_tesh_in!K27/SER_summary!K$27)</f>
        <v>7.7742616035362339E-2</v>
      </c>
      <c r="L27" s="145">
        <f>IF(SER_hh_tesh_in!L27=0,0,SER_hh_tesh_in!L27/SER_summary!L$27)</f>
        <v>2.6204093912932316</v>
      </c>
      <c r="M27" s="145">
        <f>IF(SER_hh_tesh_in!M27=0,0,SER_hh_tesh_in!M27/SER_summary!M$27)</f>
        <v>0.31105701802055191</v>
      </c>
      <c r="N27" s="145">
        <f>IF(SER_hh_tesh_in!N27=0,0,SER_hh_tesh_in!N27/SER_summary!N$27)</f>
        <v>0</v>
      </c>
      <c r="O27" s="145">
        <f>IF(SER_hh_tesh_in!O27=0,0,SER_hh_tesh_in!O27/SER_summary!O$27)</f>
        <v>0</v>
      </c>
      <c r="P27" s="145">
        <f>IF(SER_hh_tesh_in!P27=0,0,SER_hh_tesh_in!P27/SER_summary!P$27)</f>
        <v>0</v>
      </c>
      <c r="Q27" s="145">
        <f>IF(SER_hh_tesh_in!Q27=0,0,SER_hh_tesh_in!Q27/SER_summary!Q$27)</f>
        <v>0</v>
      </c>
      <c r="R27" s="145">
        <f>IF(SER_hh_tesh_in!R27=0,0,SER_hh_tesh_in!R27/SER_summary!R$27)</f>
        <v>2.5591179282715239E-2</v>
      </c>
      <c r="S27" s="145">
        <f>IF(SER_hh_tesh_in!S27=0,0,SER_hh_tesh_in!S27/SER_summary!S$27)</f>
        <v>9.3342032222674079E-2</v>
      </c>
      <c r="T27" s="145">
        <f>IF(SER_hh_tesh_in!T27=0,0,SER_hh_tesh_in!T27/SER_summary!T$27)</f>
        <v>9.1794256519319203E-2</v>
      </c>
      <c r="U27" s="145">
        <f>IF(SER_hh_tesh_in!U27=0,0,SER_hh_tesh_in!U27/SER_summary!U$27)</f>
        <v>0.11198267918400699</v>
      </c>
      <c r="V27" s="145">
        <f>IF(SER_hh_tesh_in!V27=0,0,SER_hh_tesh_in!V27/SER_summary!V$27)</f>
        <v>0.3674726277763069</v>
      </c>
      <c r="W27" s="145">
        <f>IF(SER_hh_tesh_in!W27=0,0,SER_hh_tesh_in!W27/SER_summary!W$27)</f>
        <v>6.0045471332223994E-2</v>
      </c>
      <c r="X27" s="145">
        <f>IF(SER_hh_tesh_in!X27=0,0,SER_hh_tesh_in!X27/SER_summary!X$27)</f>
        <v>0.26941715512144954</v>
      </c>
      <c r="Y27" s="145">
        <f>IF(SER_hh_tesh_in!Y27=0,0,SER_hh_tesh_in!Y27/SER_summary!Y$27)</f>
        <v>0.23733508558814259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0</v>
      </c>
      <c r="D28" s="146">
        <f>IF(SER_hh_tesh_in!D28=0,0,SER_hh_tesh_in!D28/SER_summary!D$27)</f>
        <v>0</v>
      </c>
      <c r="E28" s="146">
        <f>IF(SER_hh_tesh_in!E28=0,0,SER_hh_tesh_in!E28/SER_summary!E$27)</f>
        <v>0</v>
      </c>
      <c r="F28" s="146">
        <f>IF(SER_hh_tesh_in!F28=0,0,SER_hh_tesh_in!F28/SER_summary!F$27)</f>
        <v>0</v>
      </c>
      <c r="G28" s="146">
        <f>IF(SER_hh_tesh_in!G28=0,0,SER_hh_tesh_in!G28/SER_summary!G$27)</f>
        <v>0</v>
      </c>
      <c r="H28" s="146">
        <f>IF(SER_hh_tesh_in!H28=0,0,SER_hh_tesh_in!H28/SER_summary!H$27)</f>
        <v>5.2261615139870985</v>
      </c>
      <c r="I28" s="146">
        <f>IF(SER_hh_tesh_in!I28=0,0,SER_hh_tesh_in!I28/SER_summary!I$27)</f>
        <v>5.1754488775134417</v>
      </c>
      <c r="J28" s="146">
        <f>IF(SER_hh_tesh_in!J28=0,0,SER_hh_tesh_in!J28/SER_summary!J$27)</f>
        <v>5.332312479231641</v>
      </c>
      <c r="K28" s="146">
        <f>IF(SER_hh_tesh_in!K28=0,0,SER_hh_tesh_in!K28/SER_summary!K$27)</f>
        <v>5.5872569834436652</v>
      </c>
      <c r="L28" s="146">
        <f>IF(SER_hh_tesh_in!L28=0,0,SER_hh_tesh_in!L28/SER_summary!L$27)</f>
        <v>5.7216707453628626</v>
      </c>
      <c r="M28" s="146">
        <f>IF(SER_hh_tesh_in!M28=0,0,SER_hh_tesh_in!M28/SER_summary!M$27)</f>
        <v>5.623022014112534</v>
      </c>
      <c r="N28" s="146">
        <f>IF(SER_hh_tesh_in!N28=0,0,SER_hh_tesh_in!N28/SER_summary!N$27)</f>
        <v>0</v>
      </c>
      <c r="O28" s="146">
        <f>IF(SER_hh_tesh_in!O28=0,0,SER_hh_tesh_in!O28/SER_summary!O$27)</f>
        <v>0</v>
      </c>
      <c r="P28" s="146">
        <f>IF(SER_hh_tesh_in!P28=0,0,SER_hh_tesh_in!P28/SER_summary!P$27)</f>
        <v>0</v>
      </c>
      <c r="Q28" s="146">
        <f>IF(SER_hh_tesh_in!Q28=0,0,SER_hh_tesh_in!Q28/SER_summary!Q$27)</f>
        <v>0</v>
      </c>
      <c r="R28" s="146">
        <f>IF(SER_hh_tesh_in!R28=0,0,SER_hh_tesh_in!R28/SER_summary!R$27)</f>
        <v>6.1106613661454832</v>
      </c>
      <c r="S28" s="146">
        <f>IF(SER_hh_tesh_in!S28=0,0,SER_hh_tesh_in!S28/SER_summary!S$27)</f>
        <v>6.0519905959465534</v>
      </c>
      <c r="T28" s="146">
        <f>IF(SER_hh_tesh_in!T28=0,0,SER_hh_tesh_in!T28/SER_summary!T$27)</f>
        <v>6.0706881939439601</v>
      </c>
      <c r="U28" s="146">
        <f>IF(SER_hh_tesh_in!U28=0,0,SER_hh_tesh_in!U28/SER_summary!U$27)</f>
        <v>6.1624893840790502</v>
      </c>
      <c r="V28" s="146">
        <f>IF(SER_hh_tesh_in!V28=0,0,SER_hh_tesh_in!V28/SER_summary!V$27)</f>
        <v>5.6080055723436022</v>
      </c>
      <c r="W28" s="146">
        <f>IF(SER_hh_tesh_in!W28=0,0,SER_hh_tesh_in!W28/SER_summary!W$27)</f>
        <v>6.0692168629171706</v>
      </c>
      <c r="X28" s="146">
        <f>IF(SER_hh_tesh_in!X28=0,0,SER_hh_tesh_in!X28/SER_summary!X$27)</f>
        <v>6.1060085231419832</v>
      </c>
      <c r="Y28" s="146">
        <f>IF(SER_hh_tesh_in!Y28=0,0,SER_hh_tesh_in!Y28/SER_summary!Y$27)</f>
        <v>6.3247065395985365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25.956540621847367</v>
      </c>
      <c r="D29" s="130">
        <f>IF(SER_hh_tesh_in!D29=0,0,SER_hh_tesh_in!D29/SER_summary!D$27)</f>
        <v>25.628406153000451</v>
      </c>
      <c r="E29" s="130">
        <f>IF(SER_hh_tesh_in!E29=0,0,SER_hh_tesh_in!E29/SER_summary!E$27)</f>
        <v>25.434461465192818</v>
      </c>
      <c r="F29" s="130">
        <f>IF(SER_hh_tesh_in!F29=0,0,SER_hh_tesh_in!F29/SER_summary!F$27)</f>
        <v>25.151808006618001</v>
      </c>
      <c r="G29" s="130">
        <f>IF(SER_hh_tesh_in!G29=0,0,SER_hh_tesh_in!G29/SER_summary!G$27)</f>
        <v>25.740384729880375</v>
      </c>
      <c r="H29" s="130">
        <f>IF(SER_hh_tesh_in!H29=0,0,SER_hh_tesh_in!H29/SER_summary!H$27)</f>
        <v>25.401469150859867</v>
      </c>
      <c r="I29" s="130">
        <f>IF(SER_hh_tesh_in!I29=0,0,SER_hh_tesh_in!I29/SER_summary!I$27)</f>
        <v>25.019925746473309</v>
      </c>
      <c r="J29" s="130">
        <f>IF(SER_hh_tesh_in!J29=0,0,SER_hh_tesh_in!J29/SER_summary!J$27)</f>
        <v>24.56452035631008</v>
      </c>
      <c r="K29" s="130">
        <f>IF(SER_hh_tesh_in!K29=0,0,SER_hh_tesh_in!K29/SER_summary!K$27)</f>
        <v>25.571132513010703</v>
      </c>
      <c r="L29" s="130">
        <f>IF(SER_hh_tesh_in!L29=0,0,SER_hh_tesh_in!L29/SER_summary!L$27)</f>
        <v>25.719264982994808</v>
      </c>
      <c r="M29" s="130">
        <f>IF(SER_hh_tesh_in!M29=0,0,SER_hh_tesh_in!M29/SER_summary!M$27)</f>
        <v>26.893249210033996</v>
      </c>
      <c r="N29" s="130">
        <f>IF(SER_hh_tesh_in!N29=0,0,SER_hh_tesh_in!N29/SER_summary!N$27)</f>
        <v>28.233323117777704</v>
      </c>
      <c r="O29" s="130">
        <f>IF(SER_hh_tesh_in!O29=0,0,SER_hh_tesh_in!O29/SER_summary!O$27)</f>
        <v>28.399438165849173</v>
      </c>
      <c r="P29" s="130">
        <f>IF(SER_hh_tesh_in!P29=0,0,SER_hh_tesh_in!P29/SER_summary!P$27)</f>
        <v>29.484104101249123</v>
      </c>
      <c r="Q29" s="130">
        <f>IF(SER_hh_tesh_in!Q29=0,0,SER_hh_tesh_in!Q29/SER_summary!Q$27)</f>
        <v>29.426098532029442</v>
      </c>
      <c r="R29" s="130">
        <f>IF(SER_hh_tesh_in!R29=0,0,SER_hh_tesh_in!R29/SER_summary!R$27)</f>
        <v>29.808141864801687</v>
      </c>
      <c r="S29" s="130">
        <f>IF(SER_hh_tesh_in!S29=0,0,SER_hh_tesh_in!S29/SER_summary!S$27)</f>
        <v>29.594541869379782</v>
      </c>
      <c r="T29" s="130">
        <f>IF(SER_hh_tesh_in!T29=0,0,SER_hh_tesh_in!T29/SER_summary!T$27)</f>
        <v>29.758788664703239</v>
      </c>
      <c r="U29" s="130">
        <f>IF(SER_hh_tesh_in!U29=0,0,SER_hh_tesh_in!U29/SER_summary!U$27)</f>
        <v>30.193449915186651</v>
      </c>
      <c r="V29" s="130">
        <f>IF(SER_hh_tesh_in!V29=0,0,SER_hh_tesh_in!V29/SER_summary!V$27)</f>
        <v>28.176936817851601</v>
      </c>
      <c r="W29" s="130">
        <f>IF(SER_hh_tesh_in!W29=0,0,SER_hh_tesh_in!W29/SER_summary!W$27)</f>
        <v>31.726337207784244</v>
      </c>
      <c r="X29" s="130">
        <f>IF(SER_hh_tesh_in!X29=0,0,SER_hh_tesh_in!X29/SER_summary!X$27)</f>
        <v>30.91408827873769</v>
      </c>
      <c r="Y29" s="130">
        <f>IF(SER_hh_tesh_in!Y29=0,0,SER_hh_tesh_in!Y29/SER_summary!Y$27)</f>
        <v>30.716369970380548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26.400757641026818</v>
      </c>
      <c r="D30" s="132">
        <f>IF(SER_hh_tesh_in!D30=0,0,SER_hh_tesh_in!D30/SER_summary!D$27)</f>
        <v>25.444425509481601</v>
      </c>
      <c r="E30" s="132">
        <f>IF(SER_hh_tesh_in!E30=0,0,SER_hh_tesh_in!E30/SER_summary!E$27)</f>
        <v>24.866943299926824</v>
      </c>
      <c r="F30" s="132">
        <f>IF(SER_hh_tesh_in!F30=0,0,SER_hh_tesh_in!F30/SER_summary!F$27)</f>
        <v>24.647477972373359</v>
      </c>
      <c r="G30" s="132">
        <f>IF(SER_hh_tesh_in!G30=0,0,SER_hh_tesh_in!G30/SER_summary!G$27)</f>
        <v>26.347008087324266</v>
      </c>
      <c r="H30" s="132">
        <f>IF(SER_hh_tesh_in!H30=0,0,SER_hh_tesh_in!H30/SER_summary!H$27)</f>
        <v>25.589130190321335</v>
      </c>
      <c r="I30" s="132">
        <f>IF(SER_hh_tesh_in!I30=0,0,SER_hh_tesh_in!I30/SER_summary!I$27)</f>
        <v>24.59947674363719</v>
      </c>
      <c r="J30" s="132">
        <f>IF(SER_hh_tesh_in!J30=0,0,SER_hh_tesh_in!J30/SER_summary!J$27)</f>
        <v>28.378070684687884</v>
      </c>
      <c r="K30" s="132">
        <f>IF(SER_hh_tesh_in!K30=0,0,SER_hh_tesh_in!K30/SER_summary!K$27)</f>
        <v>21.49565285614792</v>
      </c>
      <c r="L30" s="132">
        <f>IF(SER_hh_tesh_in!L30=0,0,SER_hh_tesh_in!L30/SER_summary!L$27)</f>
        <v>27.545582320646773</v>
      </c>
      <c r="M30" s="132">
        <f>IF(SER_hh_tesh_in!M30=0,0,SER_hh_tesh_in!M30/SER_summary!M$27)</f>
        <v>27.232217267627071</v>
      </c>
      <c r="N30" s="132">
        <f>IF(SER_hh_tesh_in!N30=0,0,SER_hh_tesh_in!N30/SER_summary!N$27)</f>
        <v>26.567584437772517</v>
      </c>
      <c r="O30" s="132">
        <f>IF(SER_hh_tesh_in!O30=0,0,SER_hh_tesh_in!O30/SER_summary!O$27)</f>
        <v>31.319617412951843</v>
      </c>
      <c r="P30" s="132">
        <f>IF(SER_hh_tesh_in!P30=0,0,SER_hh_tesh_in!P30/SER_summary!P$27)</f>
        <v>26.870446443118826</v>
      </c>
      <c r="Q30" s="132">
        <f>IF(SER_hh_tesh_in!Q30=0,0,SER_hh_tesh_in!Q30/SER_summary!Q$27)</f>
        <v>30.367300309346096</v>
      </c>
      <c r="R30" s="132">
        <f>IF(SER_hh_tesh_in!R30=0,0,SER_hh_tesh_in!R30/SER_summary!R$27)</f>
        <v>27.609770702005804</v>
      </c>
      <c r="S30" s="132">
        <f>IF(SER_hh_tesh_in!S30=0,0,SER_hh_tesh_in!S30/SER_summary!S$27)</f>
        <v>28.66422864461973</v>
      </c>
      <c r="T30" s="132">
        <f>IF(SER_hh_tesh_in!T30=0,0,SER_hh_tesh_in!T30/SER_summary!T$27)</f>
        <v>31.14467149290693</v>
      </c>
      <c r="U30" s="132">
        <f>IF(SER_hh_tesh_in!U30=0,0,SER_hh_tesh_in!U30/SER_summary!U$27)</f>
        <v>31.492736520242445</v>
      </c>
      <c r="V30" s="132">
        <f>IF(SER_hh_tesh_in!V30=0,0,SER_hh_tesh_in!V30/SER_summary!V$27)</f>
        <v>26.454305977633684</v>
      </c>
      <c r="W30" s="132">
        <f>IF(SER_hh_tesh_in!W30=0,0,SER_hh_tesh_in!W30/SER_summary!W$27)</f>
        <v>30.094446959902942</v>
      </c>
      <c r="X30" s="132">
        <f>IF(SER_hh_tesh_in!X30=0,0,SER_hh_tesh_in!X30/SER_summary!X$27)</f>
        <v>30.65319920040789</v>
      </c>
      <c r="Y30" s="132">
        <f>IF(SER_hh_tesh_in!Y30=0,0,SER_hh_tesh_in!Y30/SER_summary!Y$27)</f>
        <v>31.49885216810755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25.970704884605642</v>
      </c>
      <c r="D31" s="132">
        <f>IF(SER_hh_tesh_in!D31=0,0,SER_hh_tesh_in!D31/SER_summary!D$27)</f>
        <v>25.521890871828603</v>
      </c>
      <c r="E31" s="132">
        <f>IF(SER_hh_tesh_in!E31=0,0,SER_hh_tesh_in!E31/SER_summary!E$27)</f>
        <v>25.198373442955454</v>
      </c>
      <c r="F31" s="132">
        <f>IF(SER_hh_tesh_in!F31=0,0,SER_hh_tesh_in!F31/SER_summary!F$27)</f>
        <v>25.434078762762429</v>
      </c>
      <c r="G31" s="132">
        <f>IF(SER_hh_tesh_in!G31=0,0,SER_hh_tesh_in!G31/SER_summary!G$27)</f>
        <v>25.377330084083514</v>
      </c>
      <c r="H31" s="132">
        <f>IF(SER_hh_tesh_in!H31=0,0,SER_hh_tesh_in!H31/SER_summary!H$27)</f>
        <v>25.509700830509281</v>
      </c>
      <c r="I31" s="132">
        <f>IF(SER_hh_tesh_in!I31=0,0,SER_hh_tesh_in!I31/SER_summary!I$27)</f>
        <v>24.985045400774741</v>
      </c>
      <c r="J31" s="132">
        <f>IF(SER_hh_tesh_in!J31=0,0,SER_hh_tesh_in!J31/SER_summary!J$27)</f>
        <v>24.768318161027572</v>
      </c>
      <c r="K31" s="132">
        <f>IF(SER_hh_tesh_in!K31=0,0,SER_hh_tesh_in!K31/SER_summary!K$27)</f>
        <v>25.379251852274098</v>
      </c>
      <c r="L31" s="132">
        <f>IF(SER_hh_tesh_in!L31=0,0,SER_hh_tesh_in!L31/SER_summary!L$27)</f>
        <v>26.617285304747082</v>
      </c>
      <c r="M31" s="132">
        <f>IF(SER_hh_tesh_in!M31=0,0,SER_hh_tesh_in!M31/SER_summary!M$27)</f>
        <v>25.6228130126655</v>
      </c>
      <c r="N31" s="132">
        <f>IF(SER_hh_tesh_in!N31=0,0,SER_hh_tesh_in!N31/SER_summary!N$27)</f>
        <v>27.778994735145645</v>
      </c>
      <c r="O31" s="132">
        <f>IF(SER_hh_tesh_in!O31=0,0,SER_hh_tesh_in!O31/SER_summary!O$27)</f>
        <v>28.310715910169989</v>
      </c>
      <c r="P31" s="132">
        <f>IF(SER_hh_tesh_in!P31=0,0,SER_hh_tesh_in!P31/SER_summary!P$27)</f>
        <v>28.249187632859432</v>
      </c>
      <c r="Q31" s="132">
        <f>IF(SER_hh_tesh_in!Q31=0,0,SER_hh_tesh_in!Q31/SER_summary!Q$27)</f>
        <v>30.445858717845578</v>
      </c>
      <c r="R31" s="132">
        <f>IF(SER_hh_tesh_in!R31=0,0,SER_hh_tesh_in!R31/SER_summary!R$27)</f>
        <v>29.658617996511705</v>
      </c>
      <c r="S31" s="132">
        <f>IF(SER_hh_tesh_in!S31=0,0,SER_hh_tesh_in!S31/SER_summary!S$27)</f>
        <v>28.918892196245931</v>
      </c>
      <c r="T31" s="132">
        <f>IF(SER_hh_tesh_in!T31=0,0,SER_hh_tesh_in!T31/SER_summary!T$27)</f>
        <v>29.940632619104242</v>
      </c>
      <c r="U31" s="132">
        <f>IF(SER_hh_tesh_in!U31=0,0,SER_hh_tesh_in!U31/SER_summary!U$27)</f>
        <v>31.034305971907166</v>
      </c>
      <c r="V31" s="132">
        <f>IF(SER_hh_tesh_in!V31=0,0,SER_hh_tesh_in!V31/SER_summary!V$27)</f>
        <v>24.476190892213602</v>
      </c>
      <c r="W31" s="132">
        <f>IF(SER_hh_tesh_in!W31=0,0,SER_hh_tesh_in!W31/SER_summary!W$27)</f>
        <v>33.369740254904606</v>
      </c>
      <c r="X31" s="132">
        <f>IF(SER_hh_tesh_in!X31=0,0,SER_hh_tesh_in!X31/SER_summary!X$27)</f>
        <v>31.912524971746659</v>
      </c>
      <c r="Y31" s="132">
        <f>IF(SER_hh_tesh_in!Y31=0,0,SER_hh_tesh_in!Y31/SER_summary!Y$27)</f>
        <v>30.431719890703118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0</v>
      </c>
      <c r="H32" s="132">
        <f>IF(SER_hh_tesh_in!H32=0,0,SER_hh_tesh_in!H32/SER_summary!H$27)</f>
        <v>0</v>
      </c>
      <c r="I32" s="132">
        <f>IF(SER_hh_tesh_in!I32=0,0,SER_hh_tesh_in!I32/SER_summary!I$27)</f>
        <v>0</v>
      </c>
      <c r="J32" s="132">
        <f>IF(SER_hh_tesh_in!J32=0,0,SER_hh_tesh_in!J32/SER_summary!J$27)</f>
        <v>0</v>
      </c>
      <c r="K32" s="132">
        <f>IF(SER_hh_tesh_in!K32=0,0,SER_hh_tesh_in!K32/SER_summary!K$27)</f>
        <v>0</v>
      </c>
      <c r="L32" s="132">
        <f>IF(SER_hh_tesh_in!L32=0,0,SER_hh_tesh_in!L32/SER_summary!L$27)</f>
        <v>0</v>
      </c>
      <c r="M32" s="132">
        <f>IF(SER_hh_tesh_in!M32=0,0,SER_hh_tesh_in!M32/SER_summary!M$27)</f>
        <v>0</v>
      </c>
      <c r="N32" s="132">
        <f>IF(SER_hh_tesh_in!N32=0,0,SER_hh_tesh_in!N32/SER_summary!N$27)</f>
        <v>0</v>
      </c>
      <c r="O32" s="132">
        <f>IF(SER_hh_tesh_in!O32=0,0,SER_hh_tesh_in!O32/SER_summary!O$27)</f>
        <v>0</v>
      </c>
      <c r="P32" s="132">
        <f>IF(SER_hh_tesh_in!P32=0,0,SER_hh_tesh_in!P32/SER_summary!P$27)</f>
        <v>0</v>
      </c>
      <c r="Q32" s="132">
        <f>IF(SER_hh_tesh_in!Q32=0,0,SER_hh_tesh_in!Q32/SER_summary!Q$27)</f>
        <v>0</v>
      </c>
      <c r="R32" s="132">
        <f>IF(SER_hh_tesh_in!R32=0,0,SER_hh_tesh_in!R32/SER_summary!R$27)</f>
        <v>0</v>
      </c>
      <c r="S32" s="132">
        <f>IF(SER_hh_tesh_in!S32=0,0,SER_hh_tesh_in!S32/SER_summary!S$27)</f>
        <v>0</v>
      </c>
      <c r="T32" s="132">
        <f>IF(SER_hh_tesh_in!T32=0,0,SER_hh_tesh_in!T32/SER_summary!T$27)</f>
        <v>0</v>
      </c>
      <c r="U32" s="132">
        <f>IF(SER_hh_tesh_in!U32=0,0,SER_hh_tesh_in!U32/SER_summary!U$27)</f>
        <v>0</v>
      </c>
      <c r="V32" s="132">
        <f>IF(SER_hh_tesh_in!V32=0,0,SER_hh_tesh_in!V32/SER_summary!V$27)</f>
        <v>0</v>
      </c>
      <c r="W32" s="132">
        <f>IF(SER_hh_tesh_in!W32=0,0,SER_hh_tesh_in!W32/SER_summary!W$27)</f>
        <v>0</v>
      </c>
      <c r="X32" s="132">
        <f>IF(SER_hh_tesh_in!X32=0,0,SER_hh_tesh_in!X32/SER_summary!X$27)</f>
        <v>0</v>
      </c>
      <c r="Y32" s="132">
        <f>IF(SER_hh_tesh_in!Y32=0,0,SER_hh_tesh_in!Y32/SER_summary!Y$27)</f>
        <v>0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25.573896986187943</v>
      </c>
      <c r="D33" s="68">
        <f>IF(SER_hh_tesh_in!D33=0,0,SER_hh_tesh_in!D33/SER_summary!D$27)</f>
        <v>25.825070327972966</v>
      </c>
      <c r="E33" s="68">
        <f>IF(SER_hh_tesh_in!E33=0,0,SER_hh_tesh_in!E33/SER_summary!E$27)</f>
        <v>26.334260683938876</v>
      </c>
      <c r="F33" s="68">
        <f>IF(SER_hh_tesh_in!F33=0,0,SER_hh_tesh_in!F33/SER_summary!F$27)</f>
        <v>25.996867606268651</v>
      </c>
      <c r="G33" s="68">
        <f>IF(SER_hh_tesh_in!G33=0,0,SER_hh_tesh_in!G33/SER_summary!G$27)</f>
        <v>24.608456162365492</v>
      </c>
      <c r="H33" s="68">
        <f>IF(SER_hh_tesh_in!H33=0,0,SER_hh_tesh_in!H33/SER_summary!H$27)</f>
        <v>25.092383945859329</v>
      </c>
      <c r="I33" s="68">
        <f>IF(SER_hh_tesh_in!I33=0,0,SER_hh_tesh_in!I33/SER_summary!I$27)</f>
        <v>25.608539244663234</v>
      </c>
      <c r="J33" s="68">
        <f>IF(SER_hh_tesh_in!J33=0,0,SER_hh_tesh_in!J33/SER_summary!J$27)</f>
        <v>22.790458083856127</v>
      </c>
      <c r="K33" s="68">
        <f>IF(SER_hh_tesh_in!K33=0,0,SER_hh_tesh_in!K33/SER_summary!K$27)</f>
        <v>27.395353674756706</v>
      </c>
      <c r="L33" s="68">
        <f>IF(SER_hh_tesh_in!L33=0,0,SER_hh_tesh_in!L33/SER_summary!L$27)</f>
        <v>22.77516562327239</v>
      </c>
      <c r="M33" s="68">
        <f>IF(SER_hh_tesh_in!M33=0,0,SER_hh_tesh_in!M33/SER_summary!M$27)</f>
        <v>26.681552041963499</v>
      </c>
      <c r="N33" s="68">
        <f>IF(SER_hh_tesh_in!N33=0,0,SER_hh_tesh_in!N33/SER_summary!N$27)</f>
        <v>29.115572185774806</v>
      </c>
      <c r="O33" s="68">
        <f>IF(SER_hh_tesh_in!O33=0,0,SER_hh_tesh_in!O33/SER_summary!O$27)</f>
        <v>25.831700946605036</v>
      </c>
      <c r="P33" s="68">
        <f>IF(SER_hh_tesh_in!P33=0,0,SER_hh_tesh_in!P33/SER_summary!P$27)</f>
        <v>30.208856767623779</v>
      </c>
      <c r="Q33" s="68">
        <f>IF(SER_hh_tesh_in!Q33=0,0,SER_hh_tesh_in!Q33/SER_summary!Q$27)</f>
        <v>28.583824205851464</v>
      </c>
      <c r="R33" s="68">
        <f>IF(SER_hh_tesh_in!R33=0,0,SER_hh_tesh_in!R33/SER_summary!R$27)</f>
        <v>30.536111629995382</v>
      </c>
      <c r="S33" s="68">
        <f>IF(SER_hh_tesh_in!S33=0,0,SER_hh_tesh_in!S33/SER_summary!S$27)</f>
        <v>30.487217618309277</v>
      </c>
      <c r="T33" s="68">
        <f>IF(SER_hh_tesh_in!T33=0,0,SER_hh_tesh_in!T33/SER_summary!T$27)</f>
        <v>28.7681127831796</v>
      </c>
      <c r="U33" s="68">
        <f>IF(SER_hh_tesh_in!U33=0,0,SER_hh_tesh_in!U33/SER_summary!U$27)</f>
        <v>29.369130200717713</v>
      </c>
      <c r="V33" s="68">
        <f>IF(SER_hh_tesh_in!V33=0,0,SER_hh_tesh_in!V33/SER_summary!V$27)</f>
        <v>29.2125164795575</v>
      </c>
      <c r="W33" s="68">
        <f>IF(SER_hh_tesh_in!W33=0,0,SER_hh_tesh_in!W33/SER_summary!W$27)</f>
        <v>31.970084340074525</v>
      </c>
      <c r="X33" s="68">
        <f>IF(SER_hh_tesh_in!X33=0,0,SER_hh_tesh_in!X33/SER_summary!X$27)</f>
        <v>30.864642332176555</v>
      </c>
      <c r="Y33" s="68">
        <f>IF(SER_hh_tesh_in!Y33=0,0,SER_hh_tesh_in!Y33/SER_summary!Y$27)</f>
        <v>29.83811458219289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30.954387367092593</v>
      </c>
      <c r="D3" s="125">
        <f>IF(SER_hh_emih_in!D3=0,0,SER_hh_emih_in!D3/SER_summary!D$27)</f>
        <v>16.96778808785265</v>
      </c>
      <c r="E3" s="125">
        <f>IF(SER_hh_emih_in!E3=0,0,SER_hh_emih_in!E3/SER_summary!E$27)</f>
        <v>30.532212946703254</v>
      </c>
      <c r="F3" s="125">
        <f>IF(SER_hh_emih_in!F3=0,0,SER_hh_emih_in!F3/SER_summary!F$27)</f>
        <v>26.67688562492453</v>
      </c>
      <c r="G3" s="125">
        <f>IF(SER_hh_emih_in!G3=0,0,SER_hh_emih_in!G3/SER_summary!G$27)</f>
        <v>21.705634866080644</v>
      </c>
      <c r="H3" s="125">
        <f>IF(SER_hh_emih_in!H3=0,0,SER_hh_emih_in!H3/SER_summary!H$27)</f>
        <v>23.260625587371678</v>
      </c>
      <c r="I3" s="125">
        <f>IF(SER_hh_emih_in!I3=0,0,SER_hh_emih_in!I3/SER_summary!I$27)</f>
        <v>21.325239788942536</v>
      </c>
      <c r="J3" s="125">
        <f>IF(SER_hh_emih_in!J3=0,0,SER_hh_emih_in!J3/SER_summary!J$27)</f>
        <v>30.38047535149634</v>
      </c>
      <c r="K3" s="125">
        <f>IF(SER_hh_emih_in!K3=0,0,SER_hh_emih_in!K3/SER_summary!K$27)</f>
        <v>44.283305101234113</v>
      </c>
      <c r="L3" s="125">
        <f>IF(SER_hh_emih_in!L3=0,0,SER_hh_emih_in!L3/SER_summary!L$27)</f>
        <v>48.429322006864638</v>
      </c>
      <c r="M3" s="125">
        <f>IF(SER_hh_emih_in!M3=0,0,SER_hh_emih_in!M3/SER_summary!M$27)</f>
        <v>33.165423583529538</v>
      </c>
      <c r="N3" s="125">
        <f>IF(SER_hh_emih_in!N3=0,0,SER_hh_emih_in!N3/SER_summary!N$27)</f>
        <v>40.714787735056483</v>
      </c>
      <c r="O3" s="125">
        <f>IF(SER_hh_emih_in!O3=0,0,SER_hh_emih_in!O3/SER_summary!O$27)</f>
        <v>39.297792834305952</v>
      </c>
      <c r="P3" s="125">
        <f>IF(SER_hh_emih_in!P3=0,0,SER_hh_emih_in!P3/SER_summary!P$27)</f>
        <v>20.65906451198547</v>
      </c>
      <c r="Q3" s="125">
        <f>IF(SER_hh_emih_in!Q3=0,0,SER_hh_emih_in!Q3/SER_summary!Q$27)</f>
        <v>16.983539882074286</v>
      </c>
      <c r="R3" s="125">
        <f>IF(SER_hh_emih_in!R3=0,0,SER_hh_emih_in!R3/SER_summary!R$27)</f>
        <v>11.471289002149536</v>
      </c>
      <c r="S3" s="125">
        <f>IF(SER_hh_emih_in!S3=0,0,SER_hh_emih_in!S3/SER_summary!S$27)</f>
        <v>13.426433755325913</v>
      </c>
      <c r="T3" s="125">
        <f>IF(SER_hh_emih_in!T3=0,0,SER_hh_emih_in!T3/SER_summary!T$27)</f>
        <v>13.126344670327189</v>
      </c>
      <c r="U3" s="125">
        <f>IF(SER_hh_emih_in!U3=0,0,SER_hh_emih_in!U3/SER_summary!U$27)</f>
        <v>16.683574695689146</v>
      </c>
      <c r="V3" s="125">
        <f>IF(SER_hh_emih_in!V3=0,0,SER_hh_emih_in!V3/SER_summary!V$27)</f>
        <v>11.482568893000661</v>
      </c>
      <c r="W3" s="125">
        <f>IF(SER_hh_emih_in!W3=0,0,SER_hh_emih_in!W3/SER_summary!W$27)</f>
        <v>16.051946741392921</v>
      </c>
      <c r="X3" s="125">
        <f>IF(SER_hh_emih_in!X3=0,0,SER_hh_emih_in!X3/SER_summary!X$27)</f>
        <v>14.822167707439867</v>
      </c>
      <c r="Y3" s="125">
        <f>IF(SER_hh_emih_in!Y3=0,0,SER_hh_emih_in!Y3/SER_summary!Y$27)</f>
        <v>14.08318352890903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21.745065220980134</v>
      </c>
      <c r="D4" s="130">
        <f>IF(SER_hh_emih_in!D4=0,0,SER_hh_emih_in!D4/SER_summary!D$27)</f>
        <v>8.2710289907215113</v>
      </c>
      <c r="E4" s="130">
        <f>IF(SER_hh_emih_in!E4=0,0,SER_hh_emih_in!E4/SER_summary!E$27)</f>
        <v>21.217368004187009</v>
      </c>
      <c r="F4" s="130">
        <f>IF(SER_hh_emih_in!F4=0,0,SER_hh_emih_in!F4/SER_summary!F$27)</f>
        <v>16.808547178646169</v>
      </c>
      <c r="G4" s="130">
        <f>IF(SER_hh_emih_in!G4=0,0,SER_hh_emih_in!G4/SER_summary!G$27)</f>
        <v>12.038479679600297</v>
      </c>
      <c r="H4" s="130">
        <f>IF(SER_hh_emih_in!H4=0,0,SER_hh_emih_in!H4/SER_summary!H$27)</f>
        <v>14.382701950526625</v>
      </c>
      <c r="I4" s="130">
        <f>IF(SER_hh_emih_in!I4=0,0,SER_hh_emih_in!I4/SER_summary!I$27)</f>
        <v>13.194869146992541</v>
      </c>
      <c r="J4" s="130">
        <f>IF(SER_hh_emih_in!J4=0,0,SER_hh_emih_in!J4/SER_summary!J$27)</f>
        <v>22.956255431649126</v>
      </c>
      <c r="K4" s="130">
        <f>IF(SER_hh_emih_in!K4=0,0,SER_hh_emih_in!K4/SER_summary!K$27)</f>
        <v>34.829969251232122</v>
      </c>
      <c r="L4" s="130">
        <f>IF(SER_hh_emih_in!L4=0,0,SER_hh_emih_in!L4/SER_summary!L$27)</f>
        <v>37.300464948336803</v>
      </c>
      <c r="M4" s="130">
        <f>IF(SER_hh_emih_in!M4=0,0,SER_hh_emih_in!M4/SER_summary!M$27)</f>
        <v>24.679896760572618</v>
      </c>
      <c r="N4" s="130">
        <f>IF(SER_hh_emih_in!N4=0,0,SER_hh_emih_in!N4/SER_summary!N$27)</f>
        <v>32.609297663396589</v>
      </c>
      <c r="O4" s="130">
        <f>IF(SER_hh_emih_in!O4=0,0,SER_hh_emih_in!O4/SER_summary!O$27)</f>
        <v>29.583676791619968</v>
      </c>
      <c r="P4" s="130">
        <f>IF(SER_hh_emih_in!P4=0,0,SER_hh_emih_in!P4/SER_summary!P$27)</f>
        <v>15.53846769715715</v>
      </c>
      <c r="Q4" s="130">
        <f>IF(SER_hh_emih_in!Q4=0,0,SER_hh_emih_in!Q4/SER_summary!Q$27)</f>
        <v>9.3527041234084773</v>
      </c>
      <c r="R4" s="130">
        <f>IF(SER_hh_emih_in!R4=0,0,SER_hh_emih_in!R4/SER_summary!R$27)</f>
        <v>6.3952635938929339</v>
      </c>
      <c r="S4" s="130">
        <f>IF(SER_hh_emih_in!S4=0,0,SER_hh_emih_in!S4/SER_summary!S$27)</f>
        <v>6.0669394877687033</v>
      </c>
      <c r="T4" s="130">
        <f>IF(SER_hh_emih_in!T4=0,0,SER_hh_emih_in!T4/SER_summary!T$27)</f>
        <v>6.7777628465804565</v>
      </c>
      <c r="U4" s="130">
        <f>IF(SER_hh_emih_in!U4=0,0,SER_hh_emih_in!U4/SER_summary!U$27)</f>
        <v>10.673022989872972</v>
      </c>
      <c r="V4" s="130">
        <f>IF(SER_hh_emih_in!V4=0,0,SER_hh_emih_in!V4/SER_summary!V$27)</f>
        <v>7.7940304609639082</v>
      </c>
      <c r="W4" s="130">
        <f>IF(SER_hh_emih_in!W4=0,0,SER_hh_emih_in!W4/SER_summary!W$27)</f>
        <v>7.4984278516571985</v>
      </c>
      <c r="X4" s="130">
        <f>IF(SER_hh_emih_in!X4=0,0,SER_hh_emih_in!X4/SER_summary!X$27)</f>
        <v>5.2625498165408882</v>
      </c>
      <c r="Y4" s="130">
        <f>IF(SER_hh_emih_in!Y4=0,0,SER_hh_emih_in!Y4/SER_summary!Y$27)</f>
        <v>4.1345673458877368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45.174524419512629</v>
      </c>
      <c r="D5" s="132">
        <f>IF(SER_hh_emih_in!D5=0,0,SER_hh_emih_in!D5/SER_summary!D$27)</f>
        <v>22.658009926730244</v>
      </c>
      <c r="E5" s="132">
        <f>IF(SER_hh_emih_in!E5=0,0,SER_hh_emih_in!E5/SER_summary!E$27)</f>
        <v>108.13987923649232</v>
      </c>
      <c r="F5" s="132">
        <f>IF(SER_hh_emih_in!F5=0,0,SER_hh_emih_in!F5/SER_summary!F$27)</f>
        <v>90.311123652322308</v>
      </c>
      <c r="G5" s="132">
        <f>IF(SER_hh_emih_in!G5=0,0,SER_hh_emih_in!G5/SER_summary!G$27)</f>
        <v>87.274699236726121</v>
      </c>
      <c r="H5" s="132">
        <f>IF(SER_hh_emih_in!H5=0,0,SER_hh_emih_in!H5/SER_summary!H$27)</f>
        <v>85.972821032033792</v>
      </c>
      <c r="I5" s="132">
        <f>IF(SER_hh_emih_in!I5=0,0,SER_hh_emih_in!I5/SER_summary!I$27)</f>
        <v>0</v>
      </c>
      <c r="J5" s="132">
        <f>IF(SER_hh_emih_in!J5=0,0,SER_hh_emih_in!J5/SER_summary!J$27)</f>
        <v>0</v>
      </c>
      <c r="K5" s="132">
        <f>IF(SER_hh_emih_in!K5=0,0,SER_hh_emih_in!K5/SER_summary!K$27)</f>
        <v>0</v>
      </c>
      <c r="L5" s="132">
        <f>IF(SER_hh_emih_in!L5=0,0,SER_hh_emih_in!L5/SER_summary!L$27)</f>
        <v>0</v>
      </c>
      <c r="M5" s="132">
        <f>IF(SER_hh_emih_in!M5=0,0,SER_hh_emih_in!M5/SER_summary!M$27)</f>
        <v>0</v>
      </c>
      <c r="N5" s="132">
        <f>IF(SER_hh_emih_in!N5=0,0,SER_hh_emih_in!N5/SER_summary!N$27)</f>
        <v>0</v>
      </c>
      <c r="O5" s="132">
        <f>IF(SER_hh_emih_in!O5=0,0,SER_hh_emih_in!O5/SER_summary!O$27)</f>
        <v>0</v>
      </c>
      <c r="P5" s="132">
        <f>IF(SER_hh_emih_in!P5=0,0,SER_hh_emih_in!P5/SER_summary!P$27)</f>
        <v>0</v>
      </c>
      <c r="Q5" s="132">
        <f>IF(SER_hh_emih_in!Q5=0,0,SER_hh_emih_in!Q5/SER_summary!Q$27)</f>
        <v>37.89226349199734</v>
      </c>
      <c r="R5" s="132">
        <f>IF(SER_hh_emih_in!R5=0,0,SER_hh_emih_in!R5/SER_summary!R$27)</f>
        <v>63.99889901571899</v>
      </c>
      <c r="S5" s="132">
        <f>IF(SER_hh_emih_in!S5=0,0,SER_hh_emih_in!S5/SER_summary!S$27)</f>
        <v>49.991045046502393</v>
      </c>
      <c r="T5" s="132">
        <f>IF(SER_hh_emih_in!T5=0,0,SER_hh_emih_in!T5/SER_summary!T$27)</f>
        <v>52.57207610939269</v>
      </c>
      <c r="U5" s="132">
        <f>IF(SER_hh_emih_in!U5=0,0,SER_hh_emih_in!U5/SER_summary!U$27)</f>
        <v>51.402781760773337</v>
      </c>
      <c r="V5" s="132">
        <f>IF(SER_hh_emih_in!V5=0,0,SER_hh_emih_in!V5/SER_summary!V$27)</f>
        <v>0</v>
      </c>
      <c r="W5" s="132">
        <f>IF(SER_hh_emih_in!W5=0,0,SER_hh_emih_in!W5/SER_summary!W$27)</f>
        <v>0</v>
      </c>
      <c r="X5" s="132">
        <f>IF(SER_hh_emih_in!X5=0,0,SER_hh_emih_in!X5/SER_summary!X$27)</f>
        <v>20.737544077130291</v>
      </c>
      <c r="Y5" s="132">
        <f>IF(SER_hh_emih_in!Y5=0,0,SER_hh_emih_in!Y5/SER_summary!Y$27)</f>
        <v>20.158747712136432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62.072996397322136</v>
      </c>
      <c r="D7" s="132">
        <f>IF(SER_hh_emih_in!D7=0,0,SER_hh_emih_in!D7/SER_summary!D$27)</f>
        <v>0</v>
      </c>
      <c r="E7" s="132">
        <f>IF(SER_hh_emih_in!E7=0,0,SER_hh_emih_in!E7/SER_summary!E$27)</f>
        <v>0</v>
      </c>
      <c r="F7" s="132">
        <f>IF(SER_hh_emih_in!F7=0,0,SER_hh_emih_in!F7/SER_summary!F$27)</f>
        <v>0</v>
      </c>
      <c r="G7" s="132">
        <f>IF(SER_hh_emih_in!G7=0,0,SER_hh_emih_in!G7/SER_summary!G$27)</f>
        <v>0</v>
      </c>
      <c r="H7" s="132">
        <f>IF(SER_hh_emih_in!H7=0,0,SER_hh_emih_in!H7/SER_summary!H$27)</f>
        <v>0</v>
      </c>
      <c r="I7" s="132">
        <f>IF(SER_hh_emih_in!I7=0,0,SER_hh_emih_in!I7/SER_summary!I$27)</f>
        <v>62.023583733106385</v>
      </c>
      <c r="J7" s="132">
        <f>IF(SER_hh_emih_in!J7=0,0,SER_hh_emih_in!J7/SER_summary!J$27)</f>
        <v>67.06401182506994</v>
      </c>
      <c r="K7" s="132">
        <f>IF(SER_hh_emih_in!K7=0,0,SER_hh_emih_in!K7/SER_summary!K$27)</f>
        <v>55.562696615252342</v>
      </c>
      <c r="L7" s="132">
        <f>IF(SER_hh_emih_in!L7=0,0,SER_hh_emih_in!L7/SER_summary!L$27)</f>
        <v>56.65074283930435</v>
      </c>
      <c r="M7" s="132">
        <f>IF(SER_hh_emih_in!M7=0,0,SER_hh_emih_in!M7/SER_summary!M$27)</f>
        <v>49.300495719194871</v>
      </c>
      <c r="N7" s="132">
        <f>IF(SER_hh_emih_in!N7=0,0,SER_hh_emih_in!N7/SER_summary!N$27)</f>
        <v>44.687997456010599</v>
      </c>
      <c r="O7" s="132">
        <f>IF(SER_hh_emih_in!O7=0,0,SER_hh_emih_in!O7/SER_summary!O$27)</f>
        <v>51.014318668482709</v>
      </c>
      <c r="P7" s="132">
        <f>IF(SER_hh_emih_in!P7=0,0,SER_hh_emih_in!P7/SER_summary!P$27)</f>
        <v>42.294512371252694</v>
      </c>
      <c r="Q7" s="132">
        <f>IF(SER_hh_emih_in!Q7=0,0,SER_hh_emih_in!Q7/SER_summary!Q$27)</f>
        <v>41.965721562004155</v>
      </c>
      <c r="R7" s="132">
        <f>IF(SER_hh_emih_in!R7=0,0,SER_hh_emih_in!R7/SER_summary!R$27)</f>
        <v>38.067418817261014</v>
      </c>
      <c r="S7" s="132">
        <f>IF(SER_hh_emih_in!S7=0,0,SER_hh_emih_in!S7/SER_summary!S$27)</f>
        <v>33.698489161475877</v>
      </c>
      <c r="T7" s="132">
        <f>IF(SER_hh_emih_in!T7=0,0,SER_hh_emih_in!T7/SER_summary!T$27)</f>
        <v>0</v>
      </c>
      <c r="U7" s="132">
        <f>IF(SER_hh_emih_in!U7=0,0,SER_hh_emih_in!U7/SER_summary!U$27)</f>
        <v>0</v>
      </c>
      <c r="V7" s="132">
        <f>IF(SER_hh_emih_in!V7=0,0,SER_hh_emih_in!V7/SER_summary!V$27)</f>
        <v>25.464144032047578</v>
      </c>
      <c r="W7" s="132">
        <f>IF(SER_hh_emih_in!W7=0,0,SER_hh_emih_in!W7/SER_summary!W$27)</f>
        <v>19.770581223303445</v>
      </c>
      <c r="X7" s="132">
        <f>IF(SER_hh_emih_in!X7=0,0,SER_hh_emih_in!X7/SER_summary!X$27)</f>
        <v>14.154965658159609</v>
      </c>
      <c r="Y7" s="132">
        <f>IF(SER_hh_emih_in!Y7=0,0,SER_hh_emih_in!Y7/SER_summary!Y$27)</f>
        <v>14.16064329875069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0</v>
      </c>
      <c r="D8" s="132">
        <f>IF(SER_hh_emih_in!D8=0,0,SER_hh_emih_in!D8/SER_summary!D$27)</f>
        <v>0</v>
      </c>
      <c r="E8" s="132">
        <f>IF(SER_hh_emih_in!E8=0,0,SER_hh_emih_in!E8/SER_summary!E$27)</f>
        <v>0</v>
      </c>
      <c r="F8" s="132">
        <f>IF(SER_hh_emih_in!F8=0,0,SER_hh_emih_in!F8/SER_summary!F$27)</f>
        <v>0</v>
      </c>
      <c r="G8" s="132">
        <f>IF(SER_hh_emih_in!G8=0,0,SER_hh_emih_in!G8/SER_summary!G$27)</f>
        <v>0</v>
      </c>
      <c r="H8" s="132">
        <f>IF(SER_hh_emih_in!H8=0,0,SER_hh_emih_in!H8/SER_summary!H$27)</f>
        <v>0</v>
      </c>
      <c r="I8" s="132">
        <f>IF(SER_hh_emih_in!I8=0,0,SER_hh_emih_in!I8/SER_summary!I$27)</f>
        <v>0</v>
      </c>
      <c r="J8" s="132">
        <f>IF(SER_hh_emih_in!J8=0,0,SER_hh_emih_in!J8/SER_summary!J$27)</f>
        <v>0</v>
      </c>
      <c r="K8" s="132">
        <f>IF(SER_hh_emih_in!K8=0,0,SER_hh_emih_in!K8/SER_summary!K$27)</f>
        <v>0</v>
      </c>
      <c r="L8" s="132">
        <f>IF(SER_hh_emih_in!L8=0,0,SER_hh_emih_in!L8/SER_summary!L$27)</f>
        <v>0</v>
      </c>
      <c r="M8" s="132">
        <f>IF(SER_hh_emih_in!M8=0,0,SER_hh_emih_in!M8/SER_summary!M$27)</f>
        <v>0</v>
      </c>
      <c r="N8" s="132">
        <f>IF(SER_hh_emih_in!N8=0,0,SER_hh_emih_in!N8/SER_summary!N$27)</f>
        <v>0</v>
      </c>
      <c r="O8" s="132">
        <f>IF(SER_hh_emih_in!O8=0,0,SER_hh_emih_in!O8/SER_summary!O$27)</f>
        <v>0</v>
      </c>
      <c r="P8" s="132">
        <f>IF(SER_hh_emih_in!P8=0,0,SER_hh_emih_in!P8/SER_summary!P$27)</f>
        <v>0</v>
      </c>
      <c r="Q8" s="132">
        <f>IF(SER_hh_emih_in!Q8=0,0,SER_hh_emih_in!Q8/SER_summary!Q$27)</f>
        <v>0</v>
      </c>
      <c r="R8" s="132">
        <f>IF(SER_hh_emih_in!R8=0,0,SER_hh_emih_in!R8/SER_summary!R$27)</f>
        <v>0</v>
      </c>
      <c r="S8" s="132">
        <f>IF(SER_hh_emih_in!S8=0,0,SER_hh_emih_in!S8/SER_summary!S$27)</f>
        <v>0</v>
      </c>
      <c r="T8" s="132">
        <f>IF(SER_hh_emih_in!T8=0,0,SER_hh_emih_in!T8/SER_summary!T$27)</f>
        <v>0</v>
      </c>
      <c r="U8" s="132">
        <f>IF(SER_hh_emih_in!U8=0,0,SER_hh_emih_in!U8/SER_summary!U$27)</f>
        <v>0</v>
      </c>
      <c r="V8" s="132">
        <f>IF(SER_hh_emih_in!V8=0,0,SER_hh_emih_in!V8/SER_summary!V$27)</f>
        <v>0</v>
      </c>
      <c r="W8" s="132">
        <f>IF(SER_hh_emih_in!W8=0,0,SER_hh_emih_in!W8/SER_summary!W$27)</f>
        <v>0</v>
      </c>
      <c r="X8" s="132">
        <f>IF(SER_hh_emih_in!X8=0,0,SER_hh_emih_in!X8/SER_summary!X$27)</f>
        <v>0</v>
      </c>
      <c r="Y8" s="132">
        <f>IF(SER_hh_emih_in!Y8=0,0,SER_hh_emih_in!Y8/SER_summary!Y$27)</f>
        <v>0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44.77530437345559</v>
      </c>
      <c r="D9" s="132">
        <f>IF(SER_hh_emih_in!D9=0,0,SER_hh_emih_in!D9/SER_summary!D$27)</f>
        <v>42.921762339702958</v>
      </c>
      <c r="E9" s="132">
        <f>IF(SER_hh_emih_in!E9=0,0,SER_hh_emih_in!E9/SER_summary!E$27)</f>
        <v>44.36308465674076</v>
      </c>
      <c r="F9" s="132">
        <f>IF(SER_hh_emih_in!F9=0,0,SER_hh_emih_in!F9/SER_summary!F$27)</f>
        <v>43.689240330775988</v>
      </c>
      <c r="G9" s="132">
        <f>IF(SER_hh_emih_in!G9=0,0,SER_hh_emih_in!G9/SER_summary!G$27)</f>
        <v>43.155203145538238</v>
      </c>
      <c r="H9" s="132">
        <f>IF(SER_hh_emih_in!H9=0,0,SER_hh_emih_in!H9/SER_summary!H$27)</f>
        <v>46.479954117603718</v>
      </c>
      <c r="I9" s="132">
        <f>IF(SER_hh_emih_in!I9=0,0,SER_hh_emih_in!I9/SER_summary!I$27)</f>
        <v>45.948621561930615</v>
      </c>
      <c r="J9" s="132">
        <f>IF(SER_hh_emih_in!J9=0,0,SER_hh_emih_in!J9/SER_summary!J$27)</f>
        <v>45.798964835464332</v>
      </c>
      <c r="K9" s="132">
        <f>IF(SER_hh_emih_in!K9=0,0,SER_hh_emih_in!K9/SER_summary!K$27)</f>
        <v>39.810265058845104</v>
      </c>
      <c r="L9" s="132">
        <f>IF(SER_hh_emih_in!L9=0,0,SER_hh_emih_in!L9/SER_summary!L$27)</f>
        <v>41.430079533914956</v>
      </c>
      <c r="M9" s="132">
        <f>IF(SER_hh_emih_in!M9=0,0,SER_hh_emih_in!M9/SER_summary!M$27)</f>
        <v>35.357671148042904</v>
      </c>
      <c r="N9" s="132">
        <f>IF(SER_hh_emih_in!N9=0,0,SER_hh_emih_in!N9/SER_summary!N$27)</f>
        <v>36.87290861890709</v>
      </c>
      <c r="O9" s="132">
        <f>IF(SER_hh_emih_in!O9=0,0,SER_hh_emih_in!O9/SER_summary!O$27)</f>
        <v>32.656861101953176</v>
      </c>
      <c r="P9" s="132">
        <f>IF(SER_hh_emih_in!P9=0,0,SER_hh_emih_in!P9/SER_summary!P$27)</f>
        <v>27.344069715854893</v>
      </c>
      <c r="Q9" s="132">
        <f>IF(SER_hh_emih_in!Q9=0,0,SER_hh_emih_in!Q9/SER_summary!Q$27)</f>
        <v>28.729985488625765</v>
      </c>
      <c r="R9" s="132">
        <f>IF(SER_hh_emih_in!R9=0,0,SER_hh_emih_in!R9/SER_summary!R$27)</f>
        <v>25.570866664834433</v>
      </c>
      <c r="S9" s="132">
        <f>IF(SER_hh_emih_in!S9=0,0,SER_hh_emih_in!S9/SER_summary!S$27)</f>
        <v>22.864673718109806</v>
      </c>
      <c r="T9" s="132">
        <f>IF(SER_hh_emih_in!T9=0,0,SER_hh_emih_in!T9/SER_summary!T$27)</f>
        <v>23.500674714751778</v>
      </c>
      <c r="U9" s="132">
        <f>IF(SER_hh_emih_in!U9=0,0,SER_hh_emih_in!U9/SER_summary!U$27)</f>
        <v>21.528200487515353</v>
      </c>
      <c r="V9" s="132">
        <f>IF(SER_hh_emih_in!V9=0,0,SER_hh_emih_in!V9/SER_summary!V$27)</f>
        <v>17.040346610768331</v>
      </c>
      <c r="W9" s="132">
        <f>IF(SER_hh_emih_in!W9=0,0,SER_hh_emih_in!W9/SER_summary!W$27)</f>
        <v>13.684837445914301</v>
      </c>
      <c r="X9" s="132">
        <f>IF(SER_hh_emih_in!X9=0,0,SER_hh_emih_in!X9/SER_summary!X$27)</f>
        <v>9.6660429752688817</v>
      </c>
      <c r="Y9" s="132">
        <f>IF(SER_hh_emih_in!Y9=0,0,SER_hh_emih_in!Y9/SER_summary!Y$27)</f>
        <v>9.4476166774615447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0</v>
      </c>
      <c r="D10" s="132">
        <f>IF(SER_hh_emih_in!D10=0,0,SER_hh_emih_in!D10/SER_summary!D$27)</f>
        <v>0</v>
      </c>
      <c r="E10" s="132">
        <f>IF(SER_hh_emih_in!E10=0,0,SER_hh_emih_in!E10/SER_summary!E$27)</f>
        <v>0</v>
      </c>
      <c r="F10" s="132">
        <f>IF(SER_hh_emih_in!F10=0,0,SER_hh_emih_in!F10/SER_summary!F$27)</f>
        <v>0</v>
      </c>
      <c r="G10" s="132">
        <f>IF(SER_hh_emih_in!G10=0,0,SER_hh_emih_in!G10/SER_summary!G$27)</f>
        <v>0</v>
      </c>
      <c r="H10" s="132">
        <f>IF(SER_hh_emih_in!H10=0,0,SER_hh_emih_in!H10/SER_summary!H$27)</f>
        <v>0</v>
      </c>
      <c r="I10" s="132">
        <f>IF(SER_hh_emih_in!I10=0,0,SER_hh_emih_in!I10/SER_summary!I$27)</f>
        <v>0</v>
      </c>
      <c r="J10" s="132">
        <f>IF(SER_hh_emih_in!J10=0,0,SER_hh_emih_in!J10/SER_summary!J$27)</f>
        <v>0</v>
      </c>
      <c r="K10" s="132">
        <f>IF(SER_hh_emih_in!K10=0,0,SER_hh_emih_in!K10/SER_summary!K$27)</f>
        <v>0</v>
      </c>
      <c r="L10" s="132">
        <f>IF(SER_hh_emih_in!L10=0,0,SER_hh_emih_in!L10/SER_summary!L$27)</f>
        <v>0</v>
      </c>
      <c r="M10" s="132">
        <f>IF(SER_hh_emih_in!M10=0,0,SER_hh_emih_in!M10/SER_summary!M$27)</f>
        <v>0</v>
      </c>
      <c r="N10" s="132">
        <f>IF(SER_hh_emih_in!N10=0,0,SER_hh_emih_in!N10/SER_summary!N$27)</f>
        <v>0</v>
      </c>
      <c r="O10" s="132">
        <f>IF(SER_hh_emih_in!O10=0,0,SER_hh_emih_in!O10/SER_summary!O$27)</f>
        <v>0</v>
      </c>
      <c r="P10" s="132">
        <f>IF(SER_hh_emih_in!P10=0,0,SER_hh_emih_in!P10/SER_summary!P$27)</f>
        <v>0</v>
      </c>
      <c r="Q10" s="132">
        <f>IF(SER_hh_emih_in!Q10=0,0,SER_hh_emih_in!Q10/SER_summary!Q$27)</f>
        <v>0</v>
      </c>
      <c r="R10" s="132">
        <f>IF(SER_hh_emih_in!R10=0,0,SER_hh_emih_in!R10/SER_summary!R$27)</f>
        <v>0</v>
      </c>
      <c r="S10" s="132">
        <f>IF(SER_hh_emih_in!S10=0,0,SER_hh_emih_in!S10/SER_summary!S$27)</f>
        <v>0</v>
      </c>
      <c r="T10" s="132">
        <f>IF(SER_hh_emih_in!T10=0,0,SER_hh_emih_in!T10/SER_summary!T$27)</f>
        <v>0</v>
      </c>
      <c r="U10" s="132">
        <f>IF(SER_hh_emih_in!U10=0,0,SER_hh_emih_in!U10/SER_summary!U$27)</f>
        <v>0</v>
      </c>
      <c r="V10" s="132">
        <f>IF(SER_hh_emih_in!V10=0,0,SER_hh_emih_in!V10/SER_summary!V$27)</f>
        <v>0</v>
      </c>
      <c r="W10" s="132">
        <f>IF(SER_hh_emih_in!W10=0,0,SER_hh_emih_in!W10/SER_summary!W$27)</f>
        <v>0</v>
      </c>
      <c r="X10" s="132">
        <f>IF(SER_hh_emih_in!X10=0,0,SER_hh_emih_in!X10/SER_summary!X$27)</f>
        <v>0</v>
      </c>
      <c r="Y10" s="132">
        <f>IF(SER_hh_emih_in!Y10=0,0,SER_hh_emih_in!Y10/SER_summary!Y$27)</f>
        <v>0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1.1886846228136141E-2</v>
      </c>
      <c r="D16" s="130">
        <f>IF(SER_hh_emih_in!D16=0,0,SER_hh_emih_in!D16/SER_summary!D$27)</f>
        <v>1.2665842658065458E-2</v>
      </c>
      <c r="E16" s="130">
        <f>IF(SER_hh_emih_in!E16=0,0,SER_hh_emih_in!E16/SER_summary!E$27)</f>
        <v>5.5609210820566834E-3</v>
      </c>
      <c r="F16" s="130">
        <f>IF(SER_hh_emih_in!F16=0,0,SER_hh_emih_in!F16/SER_summary!F$27)</f>
        <v>1.6842631146492995E-2</v>
      </c>
      <c r="G16" s="130">
        <f>IF(SER_hh_emih_in!G16=0,0,SER_hh_emih_in!G16/SER_summary!G$27)</f>
        <v>1.2460813987097847E-2</v>
      </c>
      <c r="H16" s="130">
        <f>IF(SER_hh_emih_in!H16=0,0,SER_hh_emih_in!H16/SER_summary!H$27)</f>
        <v>1.7774183889333477E-2</v>
      </c>
      <c r="I16" s="130">
        <f>IF(SER_hh_emih_in!I16=0,0,SER_hh_emih_in!I16/SER_summary!I$27)</f>
        <v>1.1059054956217089E-2</v>
      </c>
      <c r="J16" s="130">
        <f>IF(SER_hh_emih_in!J16=0,0,SER_hh_emih_in!J16/SER_summary!J$27)</f>
        <v>8.025952442912522E-3</v>
      </c>
      <c r="K16" s="130">
        <f>IF(SER_hh_emih_in!K16=0,0,SER_hh_emih_in!K16/SER_summary!K$27)</f>
        <v>2.0250867310960038E-2</v>
      </c>
      <c r="L16" s="130">
        <f>IF(SER_hh_emih_in!L16=0,0,SER_hh_emih_in!L16/SER_summary!L$27)</f>
        <v>1.4585388005454968E-2</v>
      </c>
      <c r="M16" s="130">
        <f>IF(SER_hh_emih_in!M16=0,0,SER_hh_emih_in!M16/SER_summary!M$27)</f>
        <v>1.5764170799244578E-2</v>
      </c>
      <c r="N16" s="130">
        <f>IF(SER_hh_emih_in!N16=0,0,SER_hh_emih_in!N16/SER_summary!N$27)</f>
        <v>2.0403071744630685E-2</v>
      </c>
      <c r="O16" s="130">
        <f>IF(SER_hh_emih_in!O16=0,0,SER_hh_emih_in!O16/SER_summary!O$27)</f>
        <v>2.8863363194249418E-2</v>
      </c>
      <c r="P16" s="130">
        <f>IF(SER_hh_emih_in!P16=0,0,SER_hh_emih_in!P16/SER_summary!P$27)</f>
        <v>3.7026471589558844E-2</v>
      </c>
      <c r="Q16" s="130">
        <f>IF(SER_hh_emih_in!Q16=0,0,SER_hh_emih_in!Q16/SER_summary!Q$27)</f>
        <v>5.0595312334797984E-2</v>
      </c>
      <c r="R16" s="130">
        <f>IF(SER_hh_emih_in!R16=0,0,SER_hh_emih_in!R16/SER_summary!R$27)</f>
        <v>5.4474333263075901E-2</v>
      </c>
      <c r="S16" s="130">
        <f>IF(SER_hh_emih_in!S16=0,0,SER_hh_emih_in!S16/SER_summary!S$27)</f>
        <v>3.9947272689315007E-2</v>
      </c>
      <c r="T16" s="130">
        <f>IF(SER_hh_emih_in!T16=0,0,SER_hh_emih_in!T16/SER_summary!T$27)</f>
        <v>2.9532754880453004E-2</v>
      </c>
      <c r="U16" s="130">
        <f>IF(SER_hh_emih_in!U16=0,0,SER_hh_emih_in!U16/SER_summary!U$27)</f>
        <v>2.9798698192639195E-2</v>
      </c>
      <c r="V16" s="130">
        <f>IF(SER_hh_emih_in!V16=0,0,SER_hh_emih_in!V16/SER_summary!V$27)</f>
        <v>3.1502181129799849E-2</v>
      </c>
      <c r="W16" s="130">
        <f>IF(SER_hh_emih_in!W16=0,0,SER_hh_emih_in!W16/SER_summary!W$27)</f>
        <v>1.9129140289377899E-2</v>
      </c>
      <c r="X16" s="130">
        <f>IF(SER_hh_emih_in!X16=0,0,SER_hh_emih_in!X16/SER_summary!X$27)</f>
        <v>2.6186131127695595E-2</v>
      </c>
      <c r="Y16" s="130">
        <f>IF(SER_hh_emih_in!Y16=0,0,SER_hh_emih_in!Y16/SER_summary!Y$27)</f>
        <v>1.9476992471453083E-2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4.0760716972791329</v>
      </c>
      <c r="D17" s="132">
        <f>IF(SER_hh_emih_in!D17=0,0,SER_hh_emih_in!D17/SER_summary!D$27)</f>
        <v>4.0374024946982869</v>
      </c>
      <c r="E17" s="132">
        <f>IF(SER_hh_emih_in!E17=0,0,SER_hh_emih_in!E17/SER_summary!E$27)</f>
        <v>3.8980874438733295</v>
      </c>
      <c r="F17" s="132">
        <f>IF(SER_hh_emih_in!F17=0,0,SER_hh_emih_in!F17/SER_summary!F$27)</f>
        <v>3.7994168593633817</v>
      </c>
      <c r="G17" s="132">
        <f>IF(SER_hh_emih_in!G17=0,0,SER_hh_emih_in!G17/SER_summary!G$27)</f>
        <v>3.6508266378779761</v>
      </c>
      <c r="H17" s="132">
        <f>IF(SER_hh_emih_in!H17=0,0,SER_hh_emih_in!H17/SER_summary!H$27)</f>
        <v>3.6065188273596798</v>
      </c>
      <c r="I17" s="132">
        <f>IF(SER_hh_emih_in!I17=0,0,SER_hh_emih_in!I17/SER_summary!I$27)</f>
        <v>3.5302186757363567</v>
      </c>
      <c r="J17" s="132">
        <f>IF(SER_hh_emih_in!J17=0,0,SER_hh_emih_in!J17/SER_summary!J$27)</f>
        <v>3.425650074467701</v>
      </c>
      <c r="K17" s="132">
        <f>IF(SER_hh_emih_in!K17=0,0,SER_hh_emih_in!K17/SER_summary!K$27)</f>
        <v>3.2891020367611379</v>
      </c>
      <c r="L17" s="132">
        <f>IF(SER_hh_emih_in!L17=0,0,SER_hh_emih_in!L17/SER_summary!L$27)</f>
        <v>3.2034767860251852</v>
      </c>
      <c r="M17" s="132">
        <f>IF(SER_hh_emih_in!M17=0,0,SER_hh_emih_in!M17/SER_summary!M$27)</f>
        <v>3.0640286882016041</v>
      </c>
      <c r="N17" s="132">
        <f>IF(SER_hh_emih_in!N17=0,0,SER_hh_emih_in!N17/SER_summary!N$27)</f>
        <v>2.9888224621671426</v>
      </c>
      <c r="O17" s="132">
        <f>IF(SER_hh_emih_in!O17=0,0,SER_hh_emih_in!O17/SER_summary!O$27)</f>
        <v>2.8175440152504896</v>
      </c>
      <c r="P17" s="132">
        <f>IF(SER_hh_emih_in!P17=0,0,SER_hh_emih_in!P17/SER_summary!P$27)</f>
        <v>2.7682279566910042</v>
      </c>
      <c r="Q17" s="132">
        <f>IF(SER_hh_emih_in!Q17=0,0,SER_hh_emih_in!Q17/SER_summary!Q$27)</f>
        <v>2.6256708456704585</v>
      </c>
      <c r="R17" s="132">
        <f>IF(SER_hh_emih_in!R17=0,0,SER_hh_emih_in!R17/SER_summary!R$27)</f>
        <v>2.5855743911634077</v>
      </c>
      <c r="S17" s="132">
        <f>IF(SER_hh_emih_in!S17=0,0,SER_hh_emih_in!S17/SER_summary!S$27)</f>
        <v>2.4410217134802061</v>
      </c>
      <c r="T17" s="132">
        <f>IF(SER_hh_emih_in!T17=0,0,SER_hh_emih_in!T17/SER_summary!T$27)</f>
        <v>2.3014188059124741</v>
      </c>
      <c r="U17" s="132">
        <f>IF(SER_hh_emih_in!U17=0,0,SER_hh_emih_in!U17/SER_summary!U$27)</f>
        <v>2.1624830269800479</v>
      </c>
      <c r="V17" s="132">
        <f>IF(SER_hh_emih_in!V17=0,0,SER_hh_emih_in!V17/SER_summary!V$27)</f>
        <v>1.8143111341983049</v>
      </c>
      <c r="W17" s="132">
        <f>IF(SER_hh_emih_in!W17=0,0,SER_hh_emih_in!W17/SER_summary!W$27)</f>
        <v>1.5096676463187078</v>
      </c>
      <c r="X17" s="132">
        <f>IF(SER_hh_emih_in!X17=0,0,SER_hh_emih_in!X17/SER_summary!X$27)</f>
        <v>1.3981880903485084</v>
      </c>
      <c r="Y17" s="132">
        <f>IF(SER_hh_emih_in!Y17=0,0,SER_hh_emih_in!Y17/SER_summary!Y$27)</f>
        <v>1.4789601291466159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3.9926021954017568</v>
      </c>
      <c r="D19" s="130">
        <f>IF(SER_hh_emih_in!D19=0,0,SER_hh_emih_in!D19/SER_summary!D$27)</f>
        <v>3.5060327802908549</v>
      </c>
      <c r="E19" s="130">
        <f>IF(SER_hh_emih_in!E19=0,0,SER_hh_emih_in!E19/SER_summary!E$27)</f>
        <v>3.2839013789191416</v>
      </c>
      <c r="F19" s="130">
        <f>IF(SER_hh_emih_in!F19=0,0,SER_hh_emih_in!F19/SER_summary!F$27)</f>
        <v>3.2366108975359364</v>
      </c>
      <c r="G19" s="130">
        <f>IF(SER_hh_emih_in!G19=0,0,SER_hh_emih_in!G19/SER_summary!G$27)</f>
        <v>2.4960346984898698</v>
      </c>
      <c r="H19" s="130">
        <f>IF(SER_hh_emih_in!H19=0,0,SER_hh_emih_in!H19/SER_summary!H$27)</f>
        <v>2.6884723191034925</v>
      </c>
      <c r="I19" s="130">
        <f>IF(SER_hh_emih_in!I19=0,0,SER_hh_emih_in!I19/SER_summary!I$27)</f>
        <v>2.2923171687209107</v>
      </c>
      <c r="J19" s="130">
        <f>IF(SER_hh_emih_in!J19=0,0,SER_hh_emih_in!J19/SER_summary!J$27)</f>
        <v>3.2335051672011148</v>
      </c>
      <c r="K19" s="130">
        <f>IF(SER_hh_emih_in!K19=0,0,SER_hh_emih_in!K19/SER_summary!K$27)</f>
        <v>5.4994257944529057</v>
      </c>
      <c r="L19" s="130">
        <f>IF(SER_hh_emih_in!L19=0,0,SER_hh_emih_in!L19/SER_summary!L$27)</f>
        <v>4.5201771740104411</v>
      </c>
      <c r="M19" s="130">
        <f>IF(SER_hh_emih_in!M19=0,0,SER_hh_emih_in!M19/SER_summary!M$27)</f>
        <v>3.3946403873776951</v>
      </c>
      <c r="N19" s="130">
        <f>IF(SER_hh_emih_in!N19=0,0,SER_hh_emih_in!N19/SER_summary!N$27)</f>
        <v>4.1719935188353734</v>
      </c>
      <c r="O19" s="130">
        <f>IF(SER_hh_emih_in!O19=0,0,SER_hh_emih_in!O19/SER_summary!O$27)</f>
        <v>3.6134101689205074</v>
      </c>
      <c r="P19" s="130">
        <f>IF(SER_hh_emih_in!P19=0,0,SER_hh_emih_in!P19/SER_summary!P$27)</f>
        <v>2.4410076864125974</v>
      </c>
      <c r="Q19" s="130">
        <f>IF(SER_hh_emih_in!Q19=0,0,SER_hh_emih_in!Q19/SER_summary!Q$27)</f>
        <v>2.3779022921670676</v>
      </c>
      <c r="R19" s="130">
        <f>IF(SER_hh_emih_in!R19=0,0,SER_hh_emih_in!R19/SER_summary!R$27)</f>
        <v>1.7460078025125714</v>
      </c>
      <c r="S19" s="130">
        <f>IF(SER_hh_emih_in!S19=0,0,SER_hh_emih_in!S19/SER_summary!S$27)</f>
        <v>2.0092166736601933</v>
      </c>
      <c r="T19" s="130">
        <f>IF(SER_hh_emih_in!T19=0,0,SER_hh_emih_in!T19/SER_summary!T$27)</f>
        <v>1.0698241150987251</v>
      </c>
      <c r="U19" s="130">
        <f>IF(SER_hh_emih_in!U19=0,0,SER_hh_emih_in!U19/SER_summary!U$27)</f>
        <v>1.3517555680389275</v>
      </c>
      <c r="V19" s="130">
        <f>IF(SER_hh_emih_in!V19=0,0,SER_hh_emih_in!V19/SER_summary!V$27)</f>
        <v>1.126815845672654</v>
      </c>
      <c r="W19" s="130">
        <f>IF(SER_hh_emih_in!W19=0,0,SER_hh_emih_in!W19/SER_summary!W$27)</f>
        <v>3.1221119575959997</v>
      </c>
      <c r="X19" s="130">
        <f>IF(SER_hh_emih_in!X19=0,0,SER_hh_emih_in!X19/SER_summary!X$27)</f>
        <v>3.2822375892811899</v>
      </c>
      <c r="Y19" s="130">
        <f>IF(SER_hh_emih_in!Y19=0,0,SER_hh_emih_in!Y19/SER_summary!Y$27)</f>
        <v>3.1011138054823699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0</v>
      </c>
      <c r="D21" s="132">
        <f>IF(SER_hh_emih_in!D21=0,0,SER_hh_emih_in!D21/SER_summary!D$27)</f>
        <v>0</v>
      </c>
      <c r="E21" s="132">
        <f>IF(SER_hh_emih_in!E21=0,0,SER_hh_emih_in!E21/SER_summary!E$27)</f>
        <v>0</v>
      </c>
      <c r="F21" s="132">
        <f>IF(SER_hh_emih_in!F21=0,0,SER_hh_emih_in!F21/SER_summary!F$27)</f>
        <v>0</v>
      </c>
      <c r="G21" s="132">
        <f>IF(SER_hh_emih_in!G21=0,0,SER_hh_emih_in!G21/SER_summary!G$27)</f>
        <v>0</v>
      </c>
      <c r="H21" s="132">
        <f>IF(SER_hh_emih_in!H21=0,0,SER_hh_emih_in!H21/SER_summary!H$27)</f>
        <v>0</v>
      </c>
      <c r="I21" s="132">
        <f>IF(SER_hh_emih_in!I21=0,0,SER_hh_emih_in!I21/SER_summary!I$27)</f>
        <v>0</v>
      </c>
      <c r="J21" s="132">
        <f>IF(SER_hh_emih_in!J21=0,0,SER_hh_emih_in!J21/SER_summary!J$27)</f>
        <v>0</v>
      </c>
      <c r="K21" s="132">
        <f>IF(SER_hh_emih_in!K21=0,0,SER_hh_emih_in!K21/SER_summary!K$27)</f>
        <v>0</v>
      </c>
      <c r="L21" s="132">
        <f>IF(SER_hh_emih_in!L21=0,0,SER_hh_emih_in!L21/SER_summary!L$27)</f>
        <v>0</v>
      </c>
      <c r="M21" s="132">
        <f>IF(SER_hh_emih_in!M21=0,0,SER_hh_emih_in!M21/SER_summary!M$27)</f>
        <v>0</v>
      </c>
      <c r="N21" s="132">
        <f>IF(SER_hh_emih_in!N21=0,0,SER_hh_emih_in!N21/SER_summary!N$27)</f>
        <v>0</v>
      </c>
      <c r="O21" s="132">
        <f>IF(SER_hh_emih_in!O21=0,0,SER_hh_emih_in!O21/SER_summary!O$27)</f>
        <v>0</v>
      </c>
      <c r="P21" s="132">
        <f>IF(SER_hh_emih_in!P21=0,0,SER_hh_emih_in!P21/SER_summary!P$27)</f>
        <v>0</v>
      </c>
      <c r="Q21" s="132">
        <f>IF(SER_hh_emih_in!Q21=0,0,SER_hh_emih_in!Q21/SER_summary!Q$27)</f>
        <v>0</v>
      </c>
      <c r="R21" s="132">
        <f>IF(SER_hh_emih_in!R21=0,0,SER_hh_emih_in!R21/SER_summary!R$27)</f>
        <v>0</v>
      </c>
      <c r="S21" s="132">
        <f>IF(SER_hh_emih_in!S21=0,0,SER_hh_emih_in!S21/SER_summary!S$27)</f>
        <v>0</v>
      </c>
      <c r="T21" s="132">
        <f>IF(SER_hh_emih_in!T21=0,0,SER_hh_emih_in!T21/SER_summary!T$27)</f>
        <v>0</v>
      </c>
      <c r="U21" s="132">
        <f>IF(SER_hh_emih_in!U21=0,0,SER_hh_emih_in!U21/SER_summary!U$27)</f>
        <v>0</v>
      </c>
      <c r="V21" s="132">
        <f>IF(SER_hh_emih_in!V21=0,0,SER_hh_emih_in!V21/SER_summary!V$27)</f>
        <v>0</v>
      </c>
      <c r="W21" s="132">
        <f>IF(SER_hh_emih_in!W21=0,0,SER_hh_emih_in!W21/SER_summary!W$27)</f>
        <v>0</v>
      </c>
      <c r="X21" s="132">
        <f>IF(SER_hh_emih_in!X21=0,0,SER_hh_emih_in!X21/SER_summary!X$27)</f>
        <v>0</v>
      </c>
      <c r="Y21" s="132">
        <f>IF(SER_hh_emih_in!Y21=0,0,SER_hh_emih_in!Y21/SER_summary!Y$27)</f>
        <v>0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11.998511936697184</v>
      </c>
      <c r="D22" s="132">
        <f>IF(SER_hh_emih_in!D22=0,0,SER_hh_emih_in!D22/SER_summary!D$27)</f>
        <v>11.907067095411447</v>
      </c>
      <c r="E22" s="132">
        <f>IF(SER_hh_emih_in!E22=0,0,SER_hh_emih_in!E22/SER_summary!E$27)</f>
        <v>11.412351814772691</v>
      </c>
      <c r="F22" s="132">
        <f>IF(SER_hh_emih_in!F22=0,0,SER_hh_emih_in!F22/SER_summary!F$27)</f>
        <v>11.463402926883758</v>
      </c>
      <c r="G22" s="132">
        <f>IF(SER_hh_emih_in!G22=0,0,SER_hh_emih_in!G22/SER_summary!G$27)</f>
        <v>11.180583454636759</v>
      </c>
      <c r="H22" s="132">
        <f>IF(SER_hh_emih_in!H22=0,0,SER_hh_emih_in!H22/SER_summary!H$27)</f>
        <v>10.796063287219622</v>
      </c>
      <c r="I22" s="132">
        <f>IF(SER_hh_emih_in!I22=0,0,SER_hh_emih_in!I22/SER_summary!I$27)</f>
        <v>10.69605313894588</v>
      </c>
      <c r="J22" s="132">
        <f>IF(SER_hh_emih_in!J22=0,0,SER_hh_emih_in!J22/SER_summary!J$27)</f>
        <v>10.787486669733065</v>
      </c>
      <c r="K22" s="132">
        <f>IF(SER_hh_emih_in!K22=0,0,SER_hh_emih_in!K22/SER_summary!K$27)</f>
        <v>10.804251668270025</v>
      </c>
      <c r="L22" s="132">
        <f>IF(SER_hh_emih_in!L22=0,0,SER_hh_emih_in!L22/SER_summary!L$27)</f>
        <v>10.974717133934824</v>
      </c>
      <c r="M22" s="132">
        <f>IF(SER_hh_emih_in!M22=0,0,SER_hh_emih_in!M22/SER_summary!M$27)</f>
        <v>10.985166714840631</v>
      </c>
      <c r="N22" s="132">
        <f>IF(SER_hh_emih_in!N22=0,0,SER_hh_emih_in!N22/SER_summary!N$27)</f>
        <v>10.817171468246411</v>
      </c>
      <c r="O22" s="132">
        <f>IF(SER_hh_emih_in!O22=0,0,SER_hh_emih_in!O22/SER_summary!O$27)</f>
        <v>10.358454161042511</v>
      </c>
      <c r="P22" s="132">
        <f>IF(SER_hh_emih_in!P22=0,0,SER_hh_emih_in!P22/SER_summary!P$27)</f>
        <v>10.078176550541563</v>
      </c>
      <c r="Q22" s="132">
        <f>IF(SER_hh_emih_in!Q22=0,0,SER_hh_emih_in!Q22/SER_summary!Q$27)</f>
        <v>9.5865518360257251</v>
      </c>
      <c r="R22" s="132">
        <f>IF(SER_hh_emih_in!R22=0,0,SER_hh_emih_in!R22/SER_summary!R$27)</f>
        <v>9.2086890685621228</v>
      </c>
      <c r="S22" s="132">
        <f>IF(SER_hh_emih_in!S22=0,0,SER_hh_emih_in!S22/SER_summary!S$27)</f>
        <v>9.2652222782262168</v>
      </c>
      <c r="T22" s="132">
        <f>IF(SER_hh_emih_in!T22=0,0,SER_hh_emih_in!T22/SER_summary!T$27)</f>
        <v>8.7610673437233046</v>
      </c>
      <c r="U22" s="132">
        <f>IF(SER_hh_emih_in!U22=0,0,SER_hh_emih_in!U22/SER_summary!U$27)</f>
        <v>8.6653968970098258</v>
      </c>
      <c r="V22" s="132">
        <f>IF(SER_hh_emih_in!V22=0,0,SER_hh_emih_in!V22/SER_summary!V$27)</f>
        <v>7.6580638927618896</v>
      </c>
      <c r="W22" s="132">
        <f>IF(SER_hh_emih_in!W22=0,0,SER_hh_emih_in!W22/SER_summary!W$27)</f>
        <v>7.973294878989976</v>
      </c>
      <c r="X22" s="132">
        <f>IF(SER_hh_emih_in!X22=0,0,SER_hh_emih_in!X22/SER_summary!X$27)</f>
        <v>8.0499420719415244</v>
      </c>
      <c r="Y22" s="132">
        <f>IF(SER_hh_emih_in!Y22=0,0,SER_hh_emih_in!Y22/SER_summary!Y$27)</f>
        <v>7.8389832256940188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8.3756631524944662</v>
      </c>
      <c r="D23" s="132">
        <f>IF(SER_hh_emih_in!D23=0,0,SER_hh_emih_in!D23/SER_summary!D$27)</f>
        <v>8.1593426095412678</v>
      </c>
      <c r="E23" s="132">
        <f>IF(SER_hh_emih_in!E23=0,0,SER_hh_emih_in!E23/SER_summary!E$27)</f>
        <v>7.8429598166029901</v>
      </c>
      <c r="F23" s="132">
        <f>IF(SER_hh_emih_in!F23=0,0,SER_hh_emih_in!F23/SER_summary!F$27)</f>
        <v>7.7903012390495352</v>
      </c>
      <c r="G23" s="132">
        <f>IF(SER_hh_emih_in!G23=0,0,SER_hh_emih_in!G23/SER_summary!G$27)</f>
        <v>7.6158027661330046</v>
      </c>
      <c r="H23" s="132">
        <f>IF(SER_hh_emih_in!H23=0,0,SER_hh_emih_in!H23/SER_summary!H$27)</f>
        <v>7.3522461700938315</v>
      </c>
      <c r="I23" s="132">
        <f>IF(SER_hh_emih_in!I23=0,0,SER_hh_emih_in!I23/SER_summary!I$27)</f>
        <v>7.3567826017610614</v>
      </c>
      <c r="J23" s="132">
        <f>IF(SER_hh_emih_in!J23=0,0,SER_hh_emih_in!J23/SER_summary!J$27)</f>
        <v>7.1320727135055018</v>
      </c>
      <c r="K23" s="132">
        <f>IF(SER_hh_emih_in!K23=0,0,SER_hh_emih_in!K23/SER_summary!K$27)</f>
        <v>7.3254611747558362</v>
      </c>
      <c r="L23" s="132">
        <f>IF(SER_hh_emih_in!L23=0,0,SER_hh_emih_in!L23/SER_summary!L$27)</f>
        <v>7.5392090379343619</v>
      </c>
      <c r="M23" s="132">
        <f>IF(SER_hh_emih_in!M23=0,0,SER_hh_emih_in!M23/SER_summary!M$27)</f>
        <v>7.0826451822697916</v>
      </c>
      <c r="N23" s="132">
        <f>IF(SER_hh_emih_in!N23=0,0,SER_hh_emih_in!N23/SER_summary!N$27)</f>
        <v>7.1656492090838944</v>
      </c>
      <c r="O23" s="132">
        <f>IF(SER_hh_emih_in!O23=0,0,SER_hh_emih_in!O23/SER_summary!O$27)</f>
        <v>7.0682947770114177</v>
      </c>
      <c r="P23" s="132">
        <f>IF(SER_hh_emih_in!P23=0,0,SER_hh_emih_in!P23/SER_summary!P$27)</f>
        <v>6.9122864296441593</v>
      </c>
      <c r="Q23" s="132">
        <f>IF(SER_hh_emih_in!Q23=0,0,SER_hh_emih_in!Q23/SER_summary!Q$27)</f>
        <v>6.8990957554775489</v>
      </c>
      <c r="R23" s="132">
        <f>IF(SER_hh_emih_in!R23=0,0,SER_hh_emih_in!R23/SER_summary!R$27)</f>
        <v>6.5730658960277761</v>
      </c>
      <c r="S23" s="132">
        <f>IF(SER_hh_emih_in!S23=0,0,SER_hh_emih_in!S23/SER_summary!S$27)</f>
        <v>6.500565845962325</v>
      </c>
      <c r="T23" s="132">
        <f>IF(SER_hh_emih_in!T23=0,0,SER_hh_emih_in!T23/SER_summary!T$27)</f>
        <v>6.1922776654824592</v>
      </c>
      <c r="U23" s="132">
        <f>IF(SER_hh_emih_in!U23=0,0,SER_hh_emih_in!U23/SER_summary!U$27)</f>
        <v>6.3491319562847979</v>
      </c>
      <c r="V23" s="132">
        <f>IF(SER_hh_emih_in!V23=0,0,SER_hh_emih_in!V23/SER_summary!V$27)</f>
        <v>4.8758789194978762</v>
      </c>
      <c r="W23" s="132">
        <f>IF(SER_hh_emih_in!W23=0,0,SER_hh_emih_in!W23/SER_summary!W$27)</f>
        <v>6.2991952928875223</v>
      </c>
      <c r="X23" s="132">
        <f>IF(SER_hh_emih_in!X23=0,0,SER_hh_emih_in!X23/SER_summary!X$27)</f>
        <v>5.8547654191077783</v>
      </c>
      <c r="Y23" s="132">
        <f>IF(SER_hh_emih_in!Y23=0,0,SER_hh_emih_in!Y23/SER_summary!Y$27)</f>
        <v>5.6661102204367504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</v>
      </c>
      <c r="D24" s="132">
        <f>IF(SER_hh_emih_in!D24=0,0,SER_hh_emih_in!D24/SER_summary!D$27)</f>
        <v>0</v>
      </c>
      <c r="E24" s="132">
        <f>IF(SER_hh_emih_in!E24=0,0,SER_hh_emih_in!E24/SER_summary!E$27)</f>
        <v>0</v>
      </c>
      <c r="F24" s="132">
        <f>IF(SER_hh_emih_in!F24=0,0,SER_hh_emih_in!F24/SER_summary!F$27)</f>
        <v>0</v>
      </c>
      <c r="G24" s="132">
        <f>IF(SER_hh_emih_in!G24=0,0,SER_hh_emih_in!G24/SER_summary!G$27)</f>
        <v>0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0</v>
      </c>
      <c r="K24" s="132">
        <f>IF(SER_hh_emih_in!K24=0,0,SER_hh_emih_in!K24/SER_summary!K$27)</f>
        <v>0</v>
      </c>
      <c r="L24" s="132">
        <f>IF(SER_hh_emih_in!L24=0,0,SER_hh_emih_in!L24/SER_summary!L$27)</f>
        <v>0</v>
      </c>
      <c r="M24" s="132">
        <f>IF(SER_hh_emih_in!M24=0,0,SER_hh_emih_in!M24/SER_summary!M$27)</f>
        <v>0</v>
      </c>
      <c r="N24" s="132">
        <f>IF(SER_hh_emih_in!N24=0,0,SER_hh_emih_in!N24/SER_summary!N$27)</f>
        <v>0</v>
      </c>
      <c r="O24" s="132">
        <f>IF(SER_hh_emih_in!O24=0,0,SER_hh_emih_in!O24/SER_summary!O$27)</f>
        <v>0</v>
      </c>
      <c r="P24" s="132">
        <f>IF(SER_hh_emih_in!P24=0,0,SER_hh_emih_in!P24/SER_summary!P$27)</f>
        <v>0</v>
      </c>
      <c r="Q24" s="132">
        <f>IF(SER_hh_emih_in!Q24=0,0,SER_hh_emih_in!Q24/SER_summary!Q$27)</f>
        <v>0</v>
      </c>
      <c r="R24" s="132">
        <f>IF(SER_hh_emih_in!R24=0,0,SER_hh_emih_in!R24/SER_summary!R$27)</f>
        <v>0</v>
      </c>
      <c r="S24" s="132">
        <f>IF(SER_hh_emih_in!S24=0,0,SER_hh_emih_in!S24/SER_summary!S$27)</f>
        <v>0</v>
      </c>
      <c r="T24" s="132">
        <f>IF(SER_hh_emih_in!T24=0,0,SER_hh_emih_in!T24/SER_summary!T$27)</f>
        <v>0</v>
      </c>
      <c r="U24" s="132">
        <f>IF(SER_hh_emih_in!U24=0,0,SER_hh_emih_in!U24/SER_summary!U$27)</f>
        <v>0</v>
      </c>
      <c r="V24" s="132">
        <f>IF(SER_hh_emih_in!V24=0,0,SER_hh_emih_in!V24/SER_summary!V$27)</f>
        <v>0</v>
      </c>
      <c r="W24" s="132">
        <f>IF(SER_hh_emih_in!W24=0,0,SER_hh_emih_in!W24/SER_summary!W$27)</f>
        <v>0</v>
      </c>
      <c r="X24" s="132">
        <f>IF(SER_hh_emih_in!X24=0,0,SER_hh_emih_in!X24/SER_summary!X$27)</f>
        <v>0</v>
      </c>
      <c r="Y24" s="132">
        <f>IF(SER_hh_emih_in!Y24=0,0,SER_hh_emih_in!Y24/SER_summary!Y$27)</f>
        <v>0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5.2048331044825593</v>
      </c>
      <c r="D29" s="130">
        <f>IF(SER_hh_emih_in!D29=0,0,SER_hh_emih_in!D29/SER_summary!D$27)</f>
        <v>5.1780604741822165</v>
      </c>
      <c r="E29" s="130">
        <f>IF(SER_hh_emih_in!E29=0,0,SER_hh_emih_in!E29/SER_summary!E$27)</f>
        <v>6.0253826425150461</v>
      </c>
      <c r="F29" s="130">
        <f>IF(SER_hh_emih_in!F29=0,0,SER_hh_emih_in!F29/SER_summary!F$27)</f>
        <v>6.6148849175959326</v>
      </c>
      <c r="G29" s="130">
        <f>IF(SER_hh_emih_in!G29=0,0,SER_hh_emih_in!G29/SER_summary!G$27)</f>
        <v>7.1586596740033794</v>
      </c>
      <c r="H29" s="130">
        <f>IF(SER_hh_emih_in!H29=0,0,SER_hh_emih_in!H29/SER_summary!H$27)</f>
        <v>6.1716771338522269</v>
      </c>
      <c r="I29" s="130">
        <f>IF(SER_hh_emih_in!I29=0,0,SER_hh_emih_in!I29/SER_summary!I$27)</f>
        <v>5.8288634677561451</v>
      </c>
      <c r="J29" s="130">
        <f>IF(SER_hh_emih_in!J29=0,0,SER_hh_emih_in!J29/SER_summary!J$27)</f>
        <v>4.182688800203187</v>
      </c>
      <c r="K29" s="130">
        <f>IF(SER_hh_emih_in!K29=0,0,SER_hh_emih_in!K29/SER_summary!K$27)</f>
        <v>3.9336591882381264</v>
      </c>
      <c r="L29" s="130">
        <f>IF(SER_hh_emih_in!L29=0,0,SER_hh_emih_in!L29/SER_summary!L$27)</f>
        <v>6.5940944965119437</v>
      </c>
      <c r="M29" s="130">
        <f>IF(SER_hh_emih_in!M29=0,0,SER_hh_emih_in!M29/SER_summary!M$27)</f>
        <v>5.0751222647799858</v>
      </c>
      <c r="N29" s="130">
        <f>IF(SER_hh_emih_in!N29=0,0,SER_hh_emih_in!N29/SER_summary!N$27)</f>
        <v>3.9130934810798874</v>
      </c>
      <c r="O29" s="130">
        <f>IF(SER_hh_emih_in!O29=0,0,SER_hh_emih_in!O29/SER_summary!O$27)</f>
        <v>6.0718425105712228</v>
      </c>
      <c r="P29" s="130">
        <f>IF(SER_hh_emih_in!P29=0,0,SER_hh_emih_in!P29/SER_summary!P$27)</f>
        <v>2.6425626568261618</v>
      </c>
      <c r="Q29" s="130">
        <f>IF(SER_hh_emih_in!Q29=0,0,SER_hh_emih_in!Q29/SER_summary!Q$27)</f>
        <v>5.2023381541639422</v>
      </c>
      <c r="R29" s="130">
        <f>IF(SER_hh_emih_in!R29=0,0,SER_hh_emih_in!R29/SER_summary!R$27)</f>
        <v>3.2755432724809546</v>
      </c>
      <c r="S29" s="130">
        <f>IF(SER_hh_emih_in!S29=0,0,SER_hh_emih_in!S29/SER_summary!S$27)</f>
        <v>5.3103303212077009</v>
      </c>
      <c r="T29" s="130">
        <f>IF(SER_hh_emih_in!T29=0,0,SER_hh_emih_in!T29/SER_summary!T$27)</f>
        <v>5.2492249537675528</v>
      </c>
      <c r="U29" s="130">
        <f>IF(SER_hh_emih_in!U29=0,0,SER_hh_emih_in!U29/SER_summary!U$27)</f>
        <v>4.6289974395846016</v>
      </c>
      <c r="V29" s="130">
        <f>IF(SER_hh_emih_in!V29=0,0,SER_hh_emih_in!V29/SER_summary!V$27)</f>
        <v>2.5302204052342989</v>
      </c>
      <c r="W29" s="130">
        <f>IF(SER_hh_emih_in!W29=0,0,SER_hh_emih_in!W29/SER_summary!W$27)</f>
        <v>5.4122777918503449</v>
      </c>
      <c r="X29" s="130">
        <f>IF(SER_hh_emih_in!X29=0,0,SER_hh_emih_in!X29/SER_summary!X$27)</f>
        <v>6.2511941704900948</v>
      </c>
      <c r="Y29" s="130">
        <f>IF(SER_hh_emih_in!Y29=0,0,SER_hh_emih_in!Y29/SER_summary!Y$27)</f>
        <v>6.8280253850674688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10.222722430510961</v>
      </c>
      <c r="D30" s="132">
        <f>IF(SER_hh_emih_in!D30=0,0,SER_hh_emih_in!D30/SER_summary!D$27)</f>
        <v>9.8449209406994225</v>
      </c>
      <c r="E30" s="132">
        <f>IF(SER_hh_emih_in!E30=0,0,SER_hh_emih_in!E30/SER_summary!E$27)</f>
        <v>9.6141659366284191</v>
      </c>
      <c r="F30" s="132">
        <f>IF(SER_hh_emih_in!F30=0,0,SER_hh_emih_in!F30/SER_summary!F$27)</f>
        <v>9.5220743903799345</v>
      </c>
      <c r="G30" s="132">
        <f>IF(SER_hh_emih_in!G30=0,0,SER_hh_emih_in!G30/SER_summary!G$27)</f>
        <v>10.170925762747112</v>
      </c>
      <c r="H30" s="132">
        <f>IF(SER_hh_emih_in!H30=0,0,SER_hh_emih_in!H30/SER_summary!H$27)</f>
        <v>9.8708607723418691</v>
      </c>
      <c r="I30" s="132">
        <f>IF(SER_hh_emih_in!I30=0,0,SER_hh_emih_in!I30/SER_summary!I$27)</f>
        <v>9.4819118669410294</v>
      </c>
      <c r="J30" s="132">
        <f>IF(SER_hh_emih_in!J30=0,0,SER_hh_emih_in!J30/SER_summary!J$27)</f>
        <v>10.930087779974988</v>
      </c>
      <c r="K30" s="132">
        <f>IF(SER_hh_emih_in!K30=0,0,SER_hh_emih_in!K30/SER_summary!K$27)</f>
        <v>8.2729869281948734</v>
      </c>
      <c r="L30" s="132">
        <f>IF(SER_hh_emih_in!L30=0,0,SER_hh_emih_in!L30/SER_summary!L$27)</f>
        <v>10.593384629295501</v>
      </c>
      <c r="M30" s="132">
        <f>IF(SER_hh_emih_in!M30=0,0,SER_hh_emih_in!M30/SER_summary!M$27)</f>
        <v>10.46685386443774</v>
      </c>
      <c r="N30" s="132">
        <f>IF(SER_hh_emih_in!N30=0,0,SER_hh_emih_in!N30/SER_summary!N$27)</f>
        <v>10.208119848313673</v>
      </c>
      <c r="O30" s="132">
        <f>IF(SER_hh_emih_in!O30=0,0,SER_hh_emih_in!O30/SER_summary!O$27)</f>
        <v>12.03169474081912</v>
      </c>
      <c r="P30" s="132">
        <f>IF(SER_hh_emih_in!P30=0,0,SER_hh_emih_in!P30/SER_summary!P$27)</f>
        <v>10.316984854182667</v>
      </c>
      <c r="Q30" s="132">
        <f>IF(SER_hh_emih_in!Q30=0,0,SER_hh_emih_in!Q30/SER_summary!Q$27)</f>
        <v>11.634273486027007</v>
      </c>
      <c r="R30" s="132">
        <f>IF(SER_hh_emih_in!R30=0,0,SER_hh_emih_in!R30/SER_summary!R$27)</f>
        <v>10.517773318320563</v>
      </c>
      <c r="S30" s="132">
        <f>IF(SER_hh_emih_in!S30=0,0,SER_hh_emih_in!S30/SER_summary!S$27)</f>
        <v>10.832728806310257</v>
      </c>
      <c r="T30" s="132">
        <f>IF(SER_hh_emih_in!T30=0,0,SER_hh_emih_in!T30/SER_summary!T$27)</f>
        <v>11.66844146468441</v>
      </c>
      <c r="U30" s="132">
        <f>IF(SER_hh_emih_in!U30=0,0,SER_hh_emih_in!U30/SER_summary!U$27)</f>
        <v>11.706616180313777</v>
      </c>
      <c r="V30" s="132">
        <f>IF(SER_hh_emih_in!V30=0,0,SER_hh_emih_in!V30/SER_summary!V$27)</f>
        <v>9.7794678600741207</v>
      </c>
      <c r="W30" s="132">
        <f>IF(SER_hh_emih_in!W30=0,0,SER_hh_emih_in!W30/SER_summary!W$27)</f>
        <v>11.095718935412201</v>
      </c>
      <c r="X30" s="132">
        <f>IF(SER_hh_emih_in!X30=0,0,SER_hh_emih_in!X30/SER_summary!X$27)</f>
        <v>11.294483250298182</v>
      </c>
      <c r="Y30" s="132">
        <f>IF(SER_hh_emih_in!Y30=0,0,SER_hh_emih_in!Y30/SER_summary!Y$27)</f>
        <v>11.60532865836095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8.8298770909968827</v>
      </c>
      <c r="D31" s="132">
        <f>IF(SER_hh_emih_in!D31=0,0,SER_hh_emih_in!D31/SER_summary!D$27)</f>
        <v>8.6691897610615687</v>
      </c>
      <c r="E31" s="132">
        <f>IF(SER_hh_emih_in!E31=0,0,SER_hh_emih_in!E31/SER_summary!E$27)</f>
        <v>8.4772780337631648</v>
      </c>
      <c r="F31" s="132">
        <f>IF(SER_hh_emih_in!F31=0,0,SER_hh_emih_in!F31/SER_summary!F$27)</f>
        <v>8.5499959307364986</v>
      </c>
      <c r="G31" s="132">
        <f>IF(SER_hh_emih_in!G31=0,0,SER_hh_emih_in!G31/SER_summary!G$27)</f>
        <v>8.5066654254478191</v>
      </c>
      <c r="H31" s="132">
        <f>IF(SER_hh_emih_in!H31=0,0,SER_hh_emih_in!H31/SER_summary!H$27)</f>
        <v>8.5064753162514357</v>
      </c>
      <c r="I31" s="132">
        <f>IF(SER_hh_emih_in!I31=0,0,SER_hh_emih_in!I31/SER_summary!I$27)</f>
        <v>8.3484815940224184</v>
      </c>
      <c r="J31" s="132">
        <f>IF(SER_hh_emih_in!J31=0,0,SER_hh_emih_in!J31/SER_summary!J$27)</f>
        <v>8.2716773878441803</v>
      </c>
      <c r="K31" s="132">
        <f>IF(SER_hh_emih_in!K31=0,0,SER_hh_emih_in!K31/SER_summary!K$27)</f>
        <v>8.460555425573256</v>
      </c>
      <c r="L31" s="132">
        <f>IF(SER_hh_emih_in!L31=0,0,SER_hh_emih_in!L31/SER_summary!L$27)</f>
        <v>8.873402602073762</v>
      </c>
      <c r="M31" s="132">
        <f>IF(SER_hh_emih_in!M31=0,0,SER_hh_emih_in!M31/SER_summary!M$27)</f>
        <v>8.5156528424396551</v>
      </c>
      <c r="N31" s="132">
        <f>IF(SER_hh_emih_in!N31=0,0,SER_hh_emih_in!N31/SER_summary!N$27)</f>
        <v>9.25081608303263</v>
      </c>
      <c r="O31" s="132">
        <f>IF(SER_hh_emih_in!O31=0,0,SER_hh_emih_in!O31/SER_summary!O$27)</f>
        <v>9.4083504623633143</v>
      </c>
      <c r="P31" s="132">
        <f>IF(SER_hh_emih_in!P31=0,0,SER_hh_emih_in!P31/SER_summary!P$27)</f>
        <v>9.3686116281987157</v>
      </c>
      <c r="Q31" s="132">
        <f>IF(SER_hh_emih_in!Q31=0,0,SER_hh_emih_in!Q31/SER_summary!Q$27)</f>
        <v>10.078297493025772</v>
      </c>
      <c r="R31" s="132">
        <f>IF(SER_hh_emih_in!R31=0,0,SER_hh_emih_in!R31/SER_summary!R$27)</f>
        <v>9.7331988172992023</v>
      </c>
      <c r="S31" s="132">
        <f>IF(SER_hh_emih_in!S31=0,0,SER_hh_emih_in!S31/SER_summary!S$27)</f>
        <v>9.374874766872793</v>
      </c>
      <c r="T31" s="132">
        <f>IF(SER_hh_emih_in!T31=0,0,SER_hh_emih_in!T31/SER_summary!T$27)</f>
        <v>9.6252790490757913</v>
      </c>
      <c r="U31" s="132">
        <f>IF(SER_hh_emih_in!U31=0,0,SER_hh_emih_in!U31/SER_summary!U$27)</f>
        <v>9.8702914457127751</v>
      </c>
      <c r="V31" s="132">
        <f>IF(SER_hh_emih_in!V31=0,0,SER_hh_emih_in!V31/SER_summary!V$27)</f>
        <v>7.71497276061916</v>
      </c>
      <c r="W31" s="132">
        <f>IF(SER_hh_emih_in!W31=0,0,SER_hh_emih_in!W31/SER_summary!W$27)</f>
        <v>10.501589344468655</v>
      </c>
      <c r="X31" s="132">
        <f>IF(SER_hh_emih_in!X31=0,0,SER_hh_emih_in!X31/SER_summary!X$27)</f>
        <v>10.010099343563265</v>
      </c>
      <c r="Y31" s="132">
        <f>IF(SER_hh_emih_in!Y31=0,0,SER_hh_emih_in!Y31/SER_summary!Y$27)</f>
        <v>9.5343165944845545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228.58475929072384</v>
      </c>
      <c r="C3" s="179">
        <f t="shared" ref="C3:W3" si="1">SUM(C4:C9)</f>
        <v>240.03828940993367</v>
      </c>
      <c r="D3" s="179">
        <f t="shared" si="1"/>
        <v>257.45477165394061</v>
      </c>
      <c r="E3" s="179">
        <f t="shared" si="1"/>
        <v>272.13517149548636</v>
      </c>
      <c r="F3" s="179">
        <f t="shared" si="1"/>
        <v>287.22297535074301</v>
      </c>
      <c r="G3" s="179">
        <f t="shared" si="1"/>
        <v>302.62394026082444</v>
      </c>
      <c r="H3" s="179">
        <f t="shared" si="1"/>
        <v>315.17389056646573</v>
      </c>
      <c r="I3" s="179">
        <f t="shared" si="1"/>
        <v>330.77757253110281</v>
      </c>
      <c r="J3" s="179">
        <f t="shared" si="1"/>
        <v>342.35229386668863</v>
      </c>
      <c r="K3" s="179">
        <f t="shared" si="1"/>
        <v>347.46889516732654</v>
      </c>
      <c r="L3" s="179">
        <f t="shared" si="1"/>
        <v>352.73948731001747</v>
      </c>
      <c r="M3" s="179">
        <f t="shared" si="1"/>
        <v>356.18338466971261</v>
      </c>
      <c r="N3" s="179">
        <f t="shared" si="1"/>
        <v>363.40712727214867</v>
      </c>
      <c r="O3" s="179">
        <f t="shared" si="1"/>
        <v>370.13877195286813</v>
      </c>
      <c r="P3" s="179">
        <f t="shared" si="1"/>
        <v>379.5875064038716</v>
      </c>
      <c r="Q3" s="179">
        <f t="shared" si="1"/>
        <v>389.28027040132486</v>
      </c>
      <c r="R3" s="179">
        <f t="shared" si="1"/>
        <v>415.82917869161861</v>
      </c>
      <c r="S3" s="179">
        <f t="shared" si="1"/>
        <v>442.81365309961285</v>
      </c>
      <c r="T3" s="179">
        <f t="shared" si="1"/>
        <v>477.03843736020622</v>
      </c>
      <c r="U3" s="179">
        <f t="shared" si="1"/>
        <v>501.3607962655085</v>
      </c>
      <c r="V3" s="179">
        <f t="shared" si="1"/>
        <v>537.27711450207357</v>
      </c>
      <c r="W3" s="179">
        <f t="shared" si="1"/>
        <v>632.44270118875465</v>
      </c>
      <c r="X3" s="179">
        <f t="shared" ref="X3:Y3" si="2">SUM(X4:X9)</f>
        <v>733.31640758060917</v>
      </c>
      <c r="Y3" s="179">
        <f t="shared" si="2"/>
        <v>835.78419904019995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10.200849098985898</v>
      </c>
      <c r="C4" s="180">
        <f t="shared" ref="C4:R9" si="4">C12*C44/11630</f>
        <v>10.50269807655418</v>
      </c>
      <c r="D4" s="180">
        <f t="shared" si="4"/>
        <v>10.864037738787962</v>
      </c>
      <c r="E4" s="180">
        <f t="shared" si="4"/>
        <v>11.216357099235124</v>
      </c>
      <c r="F4" s="180">
        <f t="shared" si="4"/>
        <v>11.680568374979595</v>
      </c>
      <c r="G4" s="180">
        <f t="shared" si="4"/>
        <v>12.320586742064785</v>
      </c>
      <c r="H4" s="180">
        <f t="shared" si="4"/>
        <v>12.932738085485806</v>
      </c>
      <c r="I4" s="180">
        <f t="shared" si="4"/>
        <v>13.863702720009053</v>
      </c>
      <c r="J4" s="180">
        <f t="shared" si="4"/>
        <v>14.429197369138427</v>
      </c>
      <c r="K4" s="180">
        <f t="shared" si="4"/>
        <v>14.417952412720318</v>
      </c>
      <c r="L4" s="180">
        <f t="shared" si="4"/>
        <v>14.490052236576389</v>
      </c>
      <c r="M4" s="180">
        <f t="shared" si="4"/>
        <v>14.671039340798131</v>
      </c>
      <c r="N4" s="180">
        <f t="shared" si="4"/>
        <v>14.651620775689667</v>
      </c>
      <c r="O4" s="180">
        <f t="shared" si="4"/>
        <v>14.735366029575648</v>
      </c>
      <c r="P4" s="180">
        <f t="shared" si="4"/>
        <v>14.963565650707631</v>
      </c>
      <c r="Q4" s="180">
        <f t="shared" si="4"/>
        <v>15.044649875823209</v>
      </c>
      <c r="R4" s="180">
        <f t="shared" si="4"/>
        <v>15.266868214102058</v>
      </c>
      <c r="S4" s="180">
        <f t="shared" ref="D4:W9" si="5">S12*S44/11630</f>
        <v>15.331841266533266</v>
      </c>
      <c r="T4" s="180">
        <f t="shared" si="5"/>
        <v>15.464109693499541</v>
      </c>
      <c r="U4" s="180">
        <f t="shared" si="5"/>
        <v>15.584645953821266</v>
      </c>
      <c r="V4" s="180">
        <f t="shared" si="5"/>
        <v>15.664645023019657</v>
      </c>
      <c r="W4" s="180">
        <f t="shared" si="5"/>
        <v>15.741366736036358</v>
      </c>
      <c r="X4" s="180">
        <f t="shared" ref="X4:Y4" si="6">X12*X44/11630</f>
        <v>15.730708497178563</v>
      </c>
      <c r="Y4" s="180">
        <f t="shared" si="6"/>
        <v>15.648349812920662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43.32399105984841</v>
      </c>
      <c r="C5" s="180">
        <f t="shared" si="4"/>
        <v>44.056773484697437</v>
      </c>
      <c r="D5" s="180">
        <f t="shared" si="5"/>
        <v>49.502002787867944</v>
      </c>
      <c r="E5" s="180">
        <f t="shared" si="5"/>
        <v>51.165688016898599</v>
      </c>
      <c r="F5" s="180">
        <f t="shared" si="5"/>
        <v>53.352917980555311</v>
      </c>
      <c r="G5" s="180">
        <f t="shared" si="5"/>
        <v>55.357090975260306</v>
      </c>
      <c r="H5" s="180">
        <f t="shared" si="5"/>
        <v>57.905257156746941</v>
      </c>
      <c r="I5" s="180">
        <f t="shared" si="5"/>
        <v>60.00264852484235</v>
      </c>
      <c r="J5" s="180">
        <f t="shared" si="5"/>
        <v>62.497286145424383</v>
      </c>
      <c r="K5" s="180">
        <f t="shared" si="5"/>
        <v>63.704101160682434</v>
      </c>
      <c r="L5" s="180">
        <f t="shared" si="5"/>
        <v>65.411122620710728</v>
      </c>
      <c r="M5" s="180">
        <f t="shared" si="5"/>
        <v>65.056035556038353</v>
      </c>
      <c r="N5" s="180">
        <f t="shared" si="5"/>
        <v>65.33073984931967</v>
      </c>
      <c r="O5" s="180">
        <f t="shared" si="5"/>
        <v>65.455375322817872</v>
      </c>
      <c r="P5" s="180">
        <f t="shared" si="5"/>
        <v>64.935828617880588</v>
      </c>
      <c r="Q5" s="180">
        <f t="shared" si="5"/>
        <v>64.246172813606947</v>
      </c>
      <c r="R5" s="180">
        <f t="shared" si="5"/>
        <v>63.350562582006589</v>
      </c>
      <c r="S5" s="180">
        <f t="shared" si="5"/>
        <v>62.285594897606408</v>
      </c>
      <c r="T5" s="180">
        <f t="shared" si="5"/>
        <v>60.187131485799192</v>
      </c>
      <c r="U5" s="180">
        <f t="shared" si="5"/>
        <v>58.24243360434339</v>
      </c>
      <c r="V5" s="180">
        <f t="shared" si="5"/>
        <v>55.937069687838679</v>
      </c>
      <c r="W5" s="180">
        <f t="shared" si="5"/>
        <v>53.991248167196574</v>
      </c>
      <c r="X5" s="180">
        <f t="shared" ref="X5:Y5" si="7">X13*X45/11630</f>
        <v>52.422382518111903</v>
      </c>
      <c r="Y5" s="180">
        <f t="shared" si="7"/>
        <v>50.66840496354849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58.938752901654965</v>
      </c>
      <c r="C6" s="180">
        <f t="shared" si="4"/>
        <v>60.759056164203564</v>
      </c>
      <c r="D6" s="180">
        <f t="shared" si="5"/>
        <v>62.550429239376697</v>
      </c>
      <c r="E6" s="180">
        <f t="shared" si="5"/>
        <v>63.792821909368698</v>
      </c>
      <c r="F6" s="180">
        <f t="shared" si="5"/>
        <v>65.286174912388603</v>
      </c>
      <c r="G6" s="180">
        <f t="shared" si="5"/>
        <v>67.327065958051818</v>
      </c>
      <c r="H6" s="180">
        <f t="shared" si="5"/>
        <v>68.611493077833657</v>
      </c>
      <c r="I6" s="180">
        <f t="shared" si="5"/>
        <v>71.871999076617897</v>
      </c>
      <c r="J6" s="180">
        <f t="shared" si="5"/>
        <v>72.989326280653785</v>
      </c>
      <c r="K6" s="180">
        <f t="shared" si="5"/>
        <v>71.72631498757994</v>
      </c>
      <c r="L6" s="180">
        <f t="shared" si="5"/>
        <v>70.702594462158729</v>
      </c>
      <c r="M6" s="180">
        <f t="shared" si="5"/>
        <v>70.059988875020196</v>
      </c>
      <c r="N6" s="180">
        <f t="shared" si="5"/>
        <v>68.597219486890566</v>
      </c>
      <c r="O6" s="180">
        <f t="shared" si="5"/>
        <v>66.350853534408245</v>
      </c>
      <c r="P6" s="180">
        <f t="shared" si="5"/>
        <v>65.304010764755859</v>
      </c>
      <c r="Q6" s="180">
        <f t="shared" si="5"/>
        <v>64.820664607071706</v>
      </c>
      <c r="R6" s="180">
        <f t="shared" si="5"/>
        <v>65.096740254133763</v>
      </c>
      <c r="S6" s="180">
        <f t="shared" si="5"/>
        <v>65.069373648861315</v>
      </c>
      <c r="T6" s="180">
        <f t="shared" si="5"/>
        <v>62.331030133684592</v>
      </c>
      <c r="U6" s="180">
        <f t="shared" si="5"/>
        <v>59.225387462209689</v>
      </c>
      <c r="V6" s="180">
        <f t="shared" si="5"/>
        <v>52.814320010743522</v>
      </c>
      <c r="W6" s="180">
        <f t="shared" si="5"/>
        <v>56.063951275852325</v>
      </c>
      <c r="X6" s="180">
        <f t="shared" ref="X6:Y6" si="8">X14*X46/11630</f>
        <v>51.451365661470525</v>
      </c>
      <c r="Y6" s="180">
        <f t="shared" si="8"/>
        <v>47.61864612267604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49.736449551595442</v>
      </c>
      <c r="C7" s="180">
        <f t="shared" si="4"/>
        <v>50.249271637234159</v>
      </c>
      <c r="D7" s="180">
        <f t="shared" si="5"/>
        <v>50.910778163259387</v>
      </c>
      <c r="E7" s="180">
        <f t="shared" si="5"/>
        <v>51.80150005032727</v>
      </c>
      <c r="F7" s="180">
        <f t="shared" si="5"/>
        <v>52.656246705896457</v>
      </c>
      <c r="G7" s="180">
        <f t="shared" si="5"/>
        <v>53.966367215849353</v>
      </c>
      <c r="H7" s="180">
        <f t="shared" si="5"/>
        <v>55.905827466194864</v>
      </c>
      <c r="I7" s="180">
        <f t="shared" si="5"/>
        <v>58.878037418530248</v>
      </c>
      <c r="J7" s="180">
        <f t="shared" si="5"/>
        <v>61.195814598343375</v>
      </c>
      <c r="K7" s="180">
        <f t="shared" si="5"/>
        <v>62.501021146349224</v>
      </c>
      <c r="L7" s="180">
        <f t="shared" si="5"/>
        <v>62.899368961655739</v>
      </c>
      <c r="M7" s="180">
        <f t="shared" si="5"/>
        <v>62.577597691881785</v>
      </c>
      <c r="N7" s="180">
        <f t="shared" si="5"/>
        <v>62.234213644788497</v>
      </c>
      <c r="O7" s="180">
        <f t="shared" si="5"/>
        <v>61.969258541362422</v>
      </c>
      <c r="P7" s="180">
        <f t="shared" si="5"/>
        <v>61.913387166234976</v>
      </c>
      <c r="Q7" s="180">
        <f t="shared" si="5"/>
        <v>62.302634882028812</v>
      </c>
      <c r="R7" s="180">
        <f t="shared" si="5"/>
        <v>64.294367752744577</v>
      </c>
      <c r="S7" s="180">
        <f t="shared" si="5"/>
        <v>64.717319429669772</v>
      </c>
      <c r="T7" s="180">
        <f t="shared" si="5"/>
        <v>65.951651621152095</v>
      </c>
      <c r="U7" s="180">
        <f t="shared" si="5"/>
        <v>67.198701137539175</v>
      </c>
      <c r="V7" s="180">
        <f t="shared" si="5"/>
        <v>68.275212249201033</v>
      </c>
      <c r="W7" s="180">
        <f t="shared" si="5"/>
        <v>69.115422415763049</v>
      </c>
      <c r="X7" s="180">
        <f t="shared" ref="X7:Y7" si="9">X15*X47/11630</f>
        <v>70.044169417491233</v>
      </c>
      <c r="Y7" s="180">
        <f t="shared" si="9"/>
        <v>71.040619315669858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19.77345057403884</v>
      </c>
      <c r="C8" s="55">
        <f t="shared" si="4"/>
        <v>21.005715113327849</v>
      </c>
      <c r="D8" s="55">
        <f t="shared" si="5"/>
        <v>22.282675984657615</v>
      </c>
      <c r="E8" s="55">
        <f t="shared" si="5"/>
        <v>23.517887090786491</v>
      </c>
      <c r="F8" s="55">
        <f t="shared" si="5"/>
        <v>24.698150212363345</v>
      </c>
      <c r="G8" s="55">
        <f t="shared" si="5"/>
        <v>26.428257483390116</v>
      </c>
      <c r="H8" s="55">
        <f t="shared" si="5"/>
        <v>28.003178722710519</v>
      </c>
      <c r="I8" s="55">
        <f t="shared" si="5"/>
        <v>30.172301210533991</v>
      </c>
      <c r="J8" s="55">
        <f t="shared" si="5"/>
        <v>31.39506969586483</v>
      </c>
      <c r="K8" s="55">
        <f t="shared" si="5"/>
        <v>31.347190614764525</v>
      </c>
      <c r="L8" s="55">
        <f t="shared" si="5"/>
        <v>31.521216150780063</v>
      </c>
      <c r="M8" s="55">
        <f t="shared" si="5"/>
        <v>31.844858907072709</v>
      </c>
      <c r="N8" s="55">
        <f t="shared" si="5"/>
        <v>31.776937102784153</v>
      </c>
      <c r="O8" s="55">
        <f t="shared" si="5"/>
        <v>31.657868734902141</v>
      </c>
      <c r="P8" s="55">
        <f t="shared" si="5"/>
        <v>31.723096442876294</v>
      </c>
      <c r="Q8" s="55">
        <f t="shared" si="5"/>
        <v>31.471834741278581</v>
      </c>
      <c r="R8" s="55">
        <f t="shared" si="5"/>
        <v>32.668674740349175</v>
      </c>
      <c r="S8" s="55">
        <f t="shared" si="5"/>
        <v>33.949162353427688</v>
      </c>
      <c r="T8" s="55">
        <f t="shared" si="5"/>
        <v>34.399330285608272</v>
      </c>
      <c r="U8" s="55">
        <f t="shared" si="5"/>
        <v>34.798861817549231</v>
      </c>
      <c r="V8" s="55">
        <f t="shared" si="5"/>
        <v>32.902871530077284</v>
      </c>
      <c r="W8" s="55">
        <f t="shared" si="5"/>
        <v>36.51377856989393</v>
      </c>
      <c r="X8" s="55">
        <f t="shared" ref="X8:Y8" si="10">X16*X48/11630</f>
        <v>35.564622362555291</v>
      </c>
      <c r="Y8" s="55">
        <f t="shared" si="10"/>
        <v>35.176050031915615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46.611266104600304</v>
      </c>
      <c r="C9" s="63">
        <f t="shared" si="4"/>
        <v>53.464774933916466</v>
      </c>
      <c r="D9" s="63">
        <f t="shared" si="5"/>
        <v>61.344847739990968</v>
      </c>
      <c r="E9" s="63">
        <f t="shared" si="5"/>
        <v>70.640917328870174</v>
      </c>
      <c r="F9" s="63">
        <f t="shared" si="5"/>
        <v>79.548917164559754</v>
      </c>
      <c r="G9" s="63">
        <f t="shared" si="5"/>
        <v>87.224571886208068</v>
      </c>
      <c r="H9" s="63">
        <f t="shared" si="5"/>
        <v>91.815396057493956</v>
      </c>
      <c r="I9" s="63">
        <f t="shared" si="5"/>
        <v>95.988883580569251</v>
      </c>
      <c r="J9" s="63">
        <f t="shared" si="5"/>
        <v>99.845599777263814</v>
      </c>
      <c r="K9" s="63">
        <f t="shared" si="5"/>
        <v>103.7723148452301</v>
      </c>
      <c r="L9" s="63">
        <f t="shared" si="5"/>
        <v>107.7151328781358</v>
      </c>
      <c r="M9" s="63">
        <f t="shared" si="5"/>
        <v>111.97386429890143</v>
      </c>
      <c r="N9" s="63">
        <f t="shared" si="5"/>
        <v>120.81639641267611</v>
      </c>
      <c r="O9" s="63">
        <f t="shared" si="5"/>
        <v>129.97004978980181</v>
      </c>
      <c r="P9" s="63">
        <f t="shared" si="5"/>
        <v>140.74761776141625</v>
      </c>
      <c r="Q9" s="63">
        <f t="shared" si="5"/>
        <v>151.39431348151558</v>
      </c>
      <c r="R9" s="63">
        <f t="shared" si="5"/>
        <v>175.15196514828247</v>
      </c>
      <c r="S9" s="63">
        <f t="shared" si="5"/>
        <v>201.46036150351441</v>
      </c>
      <c r="T9" s="63">
        <f t="shared" si="5"/>
        <v>238.70518414046251</v>
      </c>
      <c r="U9" s="63">
        <f t="shared" si="5"/>
        <v>266.31076629004576</v>
      </c>
      <c r="V9" s="63">
        <f t="shared" si="5"/>
        <v>311.68299600119337</v>
      </c>
      <c r="W9" s="63">
        <f t="shared" si="5"/>
        <v>401.01693402401247</v>
      </c>
      <c r="X9" s="63">
        <f t="shared" ref="X9:Y9" si="11">X17*X49/11630</f>
        <v>508.10315912380167</v>
      </c>
      <c r="Y9" s="63">
        <f t="shared" si="11"/>
        <v>615.63212879346929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949.558118524355</v>
      </c>
      <c r="C11" s="179">
        <f t="shared" ref="C11:W11" si="13">SUM(C12:C17)</f>
        <v>992.56672672724721</v>
      </c>
      <c r="D11" s="179">
        <f t="shared" si="13"/>
        <v>1055.0770728877405</v>
      </c>
      <c r="E11" s="179">
        <f t="shared" si="13"/>
        <v>1112.9666334496978</v>
      </c>
      <c r="F11" s="179">
        <f t="shared" si="13"/>
        <v>1169.9927871277969</v>
      </c>
      <c r="G11" s="179">
        <f t="shared" si="13"/>
        <v>1229.2543869834897</v>
      </c>
      <c r="H11" s="179">
        <f t="shared" si="13"/>
        <v>1275.0750505493959</v>
      </c>
      <c r="I11" s="179">
        <f t="shared" si="13"/>
        <v>1335.7211093186693</v>
      </c>
      <c r="J11" s="179">
        <f t="shared" si="13"/>
        <v>1371.6356750954476</v>
      </c>
      <c r="K11" s="179">
        <f t="shared" si="13"/>
        <v>1375.5962411336363</v>
      </c>
      <c r="L11" s="179">
        <f t="shared" si="13"/>
        <v>1383.3235705616707</v>
      </c>
      <c r="M11" s="179">
        <f t="shared" si="13"/>
        <v>1389.5977827156912</v>
      </c>
      <c r="N11" s="179">
        <f t="shared" si="13"/>
        <v>1399.787338204276</v>
      </c>
      <c r="O11" s="179">
        <f t="shared" si="13"/>
        <v>1411.6236184553643</v>
      </c>
      <c r="P11" s="179">
        <f t="shared" si="13"/>
        <v>1436.0958110474216</v>
      </c>
      <c r="Q11" s="179">
        <f t="shared" si="13"/>
        <v>1454.770378303657</v>
      </c>
      <c r="R11" s="179">
        <f t="shared" si="13"/>
        <v>1512.4785557089247</v>
      </c>
      <c r="S11" s="179">
        <f t="shared" si="13"/>
        <v>1556.3309846927516</v>
      </c>
      <c r="T11" s="179">
        <f t="shared" si="13"/>
        <v>1630.8439080433798</v>
      </c>
      <c r="U11" s="179">
        <f t="shared" si="13"/>
        <v>1678.8182767687877</v>
      </c>
      <c r="V11" s="179">
        <f t="shared" si="13"/>
        <v>1759.0506400005952</v>
      </c>
      <c r="W11" s="179">
        <f t="shared" si="13"/>
        <v>1913.5143394431029</v>
      </c>
      <c r="X11" s="179">
        <f t="shared" ref="X11:Y11" si="14">SUM(X12:X17)</f>
        <v>2107.3449210753083</v>
      </c>
      <c r="Y11" s="179">
        <f t="shared" si="14"/>
        <v>2299.503782576192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13.54290810744361</v>
      </c>
      <c r="C12" s="180">
        <f t="shared" ref="C12:W12" si="15">C20*C52</f>
        <v>13.943650528575926</v>
      </c>
      <c r="D12" s="180">
        <f t="shared" si="15"/>
        <v>14.423374303893157</v>
      </c>
      <c r="E12" s="180">
        <f t="shared" si="15"/>
        <v>14.891122495902342</v>
      </c>
      <c r="F12" s="180">
        <f t="shared" si="15"/>
        <v>15.507421255823369</v>
      </c>
      <c r="G12" s="180">
        <f t="shared" si="15"/>
        <v>16.35712600573213</v>
      </c>
      <c r="H12" s="180">
        <f t="shared" si="15"/>
        <v>17.169833782442918</v>
      </c>
      <c r="I12" s="180">
        <f t="shared" si="15"/>
        <v>18.405806236724345</v>
      </c>
      <c r="J12" s="180">
        <f t="shared" si="15"/>
        <v>19.156571393045649</v>
      </c>
      <c r="K12" s="180">
        <f t="shared" si="15"/>
        <v>19.141642301362705</v>
      </c>
      <c r="L12" s="180">
        <f t="shared" si="15"/>
        <v>19.237363871162486</v>
      </c>
      <c r="M12" s="180">
        <f t="shared" si="15"/>
        <v>19.477646978708016</v>
      </c>
      <c r="N12" s="180">
        <f t="shared" si="15"/>
        <v>19.451866395122234</v>
      </c>
      <c r="O12" s="180">
        <f t="shared" si="15"/>
        <v>19.563048735612416</v>
      </c>
      <c r="P12" s="180">
        <f t="shared" si="15"/>
        <v>19.866012387868693</v>
      </c>
      <c r="Q12" s="180">
        <f t="shared" si="15"/>
        <v>19.973661878518719</v>
      </c>
      <c r="R12" s="180">
        <f t="shared" si="15"/>
        <v>20.268684626713124</v>
      </c>
      <c r="S12" s="180">
        <f t="shared" si="15"/>
        <v>20.354944512532182</v>
      </c>
      <c r="T12" s="180">
        <f t="shared" si="15"/>
        <v>20.530547458378962</v>
      </c>
      <c r="U12" s="180">
        <f t="shared" si="15"/>
        <v>20.690574479787831</v>
      </c>
      <c r="V12" s="180">
        <f t="shared" si="15"/>
        <v>20.796783289693909</v>
      </c>
      <c r="W12" s="180">
        <f t="shared" si="15"/>
        <v>20.898640997728631</v>
      </c>
      <c r="X12" s="180">
        <f t="shared" ref="X12:Y12" si="16">X20*X52</f>
        <v>20.884490847281583</v>
      </c>
      <c r="Y12" s="180">
        <f t="shared" si="16"/>
        <v>20.775149352085304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121.83115736096711</v>
      </c>
      <c r="C13" s="180">
        <f t="shared" ref="C13:W13" si="17">C21*C53/1000</f>
        <v>123.69618308971687</v>
      </c>
      <c r="D13" s="180">
        <f t="shared" si="17"/>
        <v>138.90216037603111</v>
      </c>
      <c r="E13" s="180">
        <f t="shared" si="17"/>
        <v>143.52924521197431</v>
      </c>
      <c r="F13" s="180">
        <f t="shared" si="17"/>
        <v>149.66247590416296</v>
      </c>
      <c r="G13" s="180">
        <f t="shared" si="17"/>
        <v>155.35266611669158</v>
      </c>
      <c r="H13" s="180">
        <f t="shared" si="17"/>
        <v>162.74173633345728</v>
      </c>
      <c r="I13" s="180">
        <f t="shared" si="17"/>
        <v>169.2483916843189</v>
      </c>
      <c r="J13" s="180">
        <f t="shared" si="17"/>
        <v>176.55845723881282</v>
      </c>
      <c r="K13" s="180">
        <f t="shared" si="17"/>
        <v>180.44555336358525</v>
      </c>
      <c r="L13" s="180">
        <f t="shared" si="17"/>
        <v>185.75208931510687</v>
      </c>
      <c r="M13" s="180">
        <f t="shared" si="17"/>
        <v>186.92783092347895</v>
      </c>
      <c r="N13" s="180">
        <f t="shared" si="17"/>
        <v>188.63534569293282</v>
      </c>
      <c r="O13" s="180">
        <f t="shared" si="17"/>
        <v>189.77212149989404</v>
      </c>
      <c r="P13" s="180">
        <f t="shared" si="17"/>
        <v>189.25293673514784</v>
      </c>
      <c r="Q13" s="180">
        <f t="shared" si="17"/>
        <v>189.08919505390983</v>
      </c>
      <c r="R13" s="180">
        <f t="shared" si="17"/>
        <v>185.40786312276441</v>
      </c>
      <c r="S13" s="180">
        <f t="shared" si="17"/>
        <v>179.78209191540145</v>
      </c>
      <c r="T13" s="180">
        <f t="shared" si="17"/>
        <v>176.36089132260662</v>
      </c>
      <c r="U13" s="180">
        <f t="shared" si="17"/>
        <v>172.30202296374856</v>
      </c>
      <c r="V13" s="180">
        <f t="shared" si="17"/>
        <v>166.94689879683887</v>
      </c>
      <c r="W13" s="180">
        <f t="shared" si="17"/>
        <v>162.0937410413421</v>
      </c>
      <c r="X13" s="180">
        <f t="shared" ref="X13:Y13" si="18">X21*X53/1000</f>
        <v>158.50395028079785</v>
      </c>
      <c r="Y13" s="180">
        <f t="shared" si="18"/>
        <v>154.29897149359024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293.60912195565533</v>
      </c>
      <c r="C14" s="180">
        <f t="shared" ref="C14:W14" si="19">C22*C54</f>
        <v>299.35127060869678</v>
      </c>
      <c r="D14" s="180">
        <f t="shared" si="19"/>
        <v>304.90872411702389</v>
      </c>
      <c r="E14" s="180">
        <f t="shared" si="19"/>
        <v>307.94640515682005</v>
      </c>
      <c r="F14" s="180">
        <f t="shared" si="19"/>
        <v>312.71406402173221</v>
      </c>
      <c r="G14" s="180">
        <f t="shared" si="19"/>
        <v>319.9048281847987</v>
      </c>
      <c r="H14" s="180">
        <f t="shared" si="19"/>
        <v>324.73028411801255</v>
      </c>
      <c r="I14" s="180">
        <f t="shared" si="19"/>
        <v>338.3545428923349</v>
      </c>
      <c r="J14" s="180">
        <f t="shared" si="19"/>
        <v>341.96892223549247</v>
      </c>
      <c r="K14" s="180">
        <f t="shared" si="19"/>
        <v>335.18293128738981</v>
      </c>
      <c r="L14" s="180">
        <f t="shared" si="19"/>
        <v>329.01058106626374</v>
      </c>
      <c r="M14" s="180">
        <f t="shared" si="19"/>
        <v>325.08147145211353</v>
      </c>
      <c r="N14" s="180">
        <f t="shared" si="19"/>
        <v>317.38203016625243</v>
      </c>
      <c r="O14" s="180">
        <f t="shared" si="19"/>
        <v>306.490989085482</v>
      </c>
      <c r="P14" s="180">
        <f t="shared" si="19"/>
        <v>300.34897924600301</v>
      </c>
      <c r="Q14" s="180">
        <f t="shared" si="19"/>
        <v>295.12579657593727</v>
      </c>
      <c r="R14" s="180">
        <f t="shared" si="19"/>
        <v>290.94373027869204</v>
      </c>
      <c r="S14" s="180">
        <f t="shared" si="19"/>
        <v>282.02836485672617</v>
      </c>
      <c r="T14" s="180">
        <f t="shared" si="19"/>
        <v>273.71723964446568</v>
      </c>
      <c r="U14" s="180">
        <f t="shared" si="19"/>
        <v>261.21199717229803</v>
      </c>
      <c r="V14" s="180">
        <f t="shared" si="19"/>
        <v>248.46399191892036</v>
      </c>
      <c r="W14" s="180">
        <f t="shared" si="19"/>
        <v>239.38793273934542</v>
      </c>
      <c r="X14" s="180">
        <f t="shared" ref="X14:Y14" si="20">X22*X54</f>
        <v>227.81911423093064</v>
      </c>
      <c r="Y14" s="180">
        <f t="shared" si="20"/>
        <v>214.8215517944185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66.031382224321362</v>
      </c>
      <c r="C15" s="180">
        <f t="shared" ref="C15:W15" si="21">C23*C55/1000</f>
        <v>66.71221793847414</v>
      </c>
      <c r="D15" s="180">
        <f t="shared" si="21"/>
        <v>67.59045091766059</v>
      </c>
      <c r="E15" s="180">
        <f t="shared" si="21"/>
        <v>68.772996071381968</v>
      </c>
      <c r="F15" s="180">
        <f t="shared" si="21"/>
        <v>69.907779587851124</v>
      </c>
      <c r="G15" s="180">
        <f t="shared" si="21"/>
        <v>71.64712907766301</v>
      </c>
      <c r="H15" s="180">
        <f t="shared" si="21"/>
        <v>74.222006099525828</v>
      </c>
      <c r="I15" s="180">
        <f t="shared" si="21"/>
        <v>78.167988033961947</v>
      </c>
      <c r="J15" s="180">
        <f t="shared" si="21"/>
        <v>81.245128285243567</v>
      </c>
      <c r="K15" s="180">
        <f t="shared" si="21"/>
        <v>82.97795387352069</v>
      </c>
      <c r="L15" s="180">
        <f t="shared" si="21"/>
        <v>83.506810619184506</v>
      </c>
      <c r="M15" s="180">
        <f t="shared" si="21"/>
        <v>83.079618853491482</v>
      </c>
      <c r="N15" s="180">
        <f t="shared" si="21"/>
        <v>82.623733411973745</v>
      </c>
      <c r="O15" s="180">
        <f t="shared" si="21"/>
        <v>82.27197224155762</v>
      </c>
      <c r="P15" s="180">
        <f t="shared" si="21"/>
        <v>82.197795975264015</v>
      </c>
      <c r="Q15" s="180">
        <f t="shared" si="21"/>
        <v>82.714571196118158</v>
      </c>
      <c r="R15" s="180">
        <f t="shared" si="21"/>
        <v>85.358846685436006</v>
      </c>
      <c r="S15" s="180">
        <f t="shared" si="21"/>
        <v>85.920368146924588</v>
      </c>
      <c r="T15" s="180">
        <f t="shared" si="21"/>
        <v>87.559099127168821</v>
      </c>
      <c r="U15" s="180">
        <f t="shared" si="21"/>
        <v>89.214713953148475</v>
      </c>
      <c r="V15" s="180">
        <f t="shared" si="21"/>
        <v>90.643917632215533</v>
      </c>
      <c r="W15" s="180">
        <f t="shared" si="21"/>
        <v>91.759402134169434</v>
      </c>
      <c r="X15" s="180">
        <f t="shared" ref="X15:Y15" si="22">X23*X55/1000</f>
        <v>92.992430402445549</v>
      </c>
      <c r="Y15" s="180">
        <f t="shared" si="22"/>
        <v>94.315342767264895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266.41309375866155</v>
      </c>
      <c r="C16" s="55">
        <f t="shared" ref="C16:W16" si="23">C24*C56</f>
        <v>281.67022460643358</v>
      </c>
      <c r="D16" s="55">
        <f t="shared" si="23"/>
        <v>297.49617490035604</v>
      </c>
      <c r="E16" s="55">
        <f t="shared" si="23"/>
        <v>312.73337847853185</v>
      </c>
      <c r="F16" s="55">
        <f t="shared" si="23"/>
        <v>327.21343657012358</v>
      </c>
      <c r="G16" s="55">
        <f t="shared" si="23"/>
        <v>348.92900307629048</v>
      </c>
      <c r="H16" s="55">
        <f t="shared" si="23"/>
        <v>368.53134846308791</v>
      </c>
      <c r="I16" s="55">
        <f t="shared" si="23"/>
        <v>395.87592556912659</v>
      </c>
      <c r="J16" s="55">
        <f t="shared" si="23"/>
        <v>410.74371752614553</v>
      </c>
      <c r="K16" s="55">
        <f t="shared" si="23"/>
        <v>409.01011450473436</v>
      </c>
      <c r="L16" s="55">
        <f t="shared" si="23"/>
        <v>410.22730932989873</v>
      </c>
      <c r="M16" s="55">
        <f t="shared" si="23"/>
        <v>414.2286111503247</v>
      </c>
      <c r="N16" s="55">
        <f t="shared" si="23"/>
        <v>413.16531766189928</v>
      </c>
      <c r="O16" s="55">
        <f t="shared" si="23"/>
        <v>411.46569788084616</v>
      </c>
      <c r="P16" s="55">
        <f t="shared" si="23"/>
        <v>412.18699733600789</v>
      </c>
      <c r="Q16" s="55">
        <f t="shared" si="23"/>
        <v>408.81986524275175</v>
      </c>
      <c r="R16" s="55">
        <f t="shared" si="23"/>
        <v>420.1954899747343</v>
      </c>
      <c r="S16" s="55">
        <f t="shared" si="23"/>
        <v>427.09901894640279</v>
      </c>
      <c r="T16" s="55">
        <f t="shared" si="23"/>
        <v>435.94018306024259</v>
      </c>
      <c r="U16" s="55">
        <f t="shared" si="23"/>
        <v>442.82291820140711</v>
      </c>
      <c r="V16" s="55">
        <f t="shared" si="23"/>
        <v>446.60687954302807</v>
      </c>
      <c r="W16" s="55">
        <f t="shared" si="23"/>
        <v>449.83699588331103</v>
      </c>
      <c r="X16" s="55">
        <f t="shared" ref="X16:Y16" si="24">X24*X56</f>
        <v>449.40765878834208</v>
      </c>
      <c r="Y16" s="55">
        <f t="shared" si="24"/>
        <v>450.28555671690179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188.13045511730601</v>
      </c>
      <c r="C17" s="63">
        <f t="shared" ref="C17:W17" si="25">C25*C57/1000</f>
        <v>207.19317995534999</v>
      </c>
      <c r="D17" s="63">
        <f t="shared" si="25"/>
        <v>231.75618827277577</v>
      </c>
      <c r="E17" s="63">
        <f t="shared" si="25"/>
        <v>265.09348603508749</v>
      </c>
      <c r="F17" s="63">
        <f t="shared" si="25"/>
        <v>294.98760978810367</v>
      </c>
      <c r="G17" s="63">
        <f t="shared" si="25"/>
        <v>317.06363452231375</v>
      </c>
      <c r="H17" s="63">
        <f t="shared" si="25"/>
        <v>327.67984175286932</v>
      </c>
      <c r="I17" s="63">
        <f t="shared" si="25"/>
        <v>335.66845490220271</v>
      </c>
      <c r="J17" s="63">
        <f t="shared" si="25"/>
        <v>341.9628784167075</v>
      </c>
      <c r="K17" s="63">
        <f t="shared" si="25"/>
        <v>348.83804580304349</v>
      </c>
      <c r="L17" s="63">
        <f t="shared" si="25"/>
        <v>355.58941636005414</v>
      </c>
      <c r="M17" s="63">
        <f t="shared" si="25"/>
        <v>360.80260335757464</v>
      </c>
      <c r="N17" s="63">
        <f t="shared" si="25"/>
        <v>378.5290448760955</v>
      </c>
      <c r="O17" s="63">
        <f t="shared" si="25"/>
        <v>402.05978901197199</v>
      </c>
      <c r="P17" s="63">
        <f t="shared" si="25"/>
        <v>432.24308936713015</v>
      </c>
      <c r="Q17" s="63">
        <f t="shared" si="25"/>
        <v>459.04728835642112</v>
      </c>
      <c r="R17" s="63">
        <f t="shared" si="25"/>
        <v>510.30394102058466</v>
      </c>
      <c r="S17" s="63">
        <f t="shared" si="25"/>
        <v>561.14619631476444</v>
      </c>
      <c r="T17" s="63">
        <f t="shared" si="25"/>
        <v>636.73594743051706</v>
      </c>
      <c r="U17" s="63">
        <f t="shared" si="25"/>
        <v>692.57604999839782</v>
      </c>
      <c r="V17" s="63">
        <f t="shared" si="25"/>
        <v>785.59216881989835</v>
      </c>
      <c r="W17" s="63">
        <f t="shared" si="25"/>
        <v>949.53762664720614</v>
      </c>
      <c r="X17" s="63">
        <f t="shared" ref="X17:Y17" si="26">X25*X57/1000</f>
        <v>1157.7372765255107</v>
      </c>
      <c r="Y17" s="63">
        <f t="shared" si="26"/>
        <v>1365.0072104519311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18.398943392327865</v>
      </c>
      <c r="C20" s="181">
        <v>19.106185357569018</v>
      </c>
      <c r="D20" s="181">
        <v>19.956481634956642</v>
      </c>
      <c r="E20" s="181">
        <v>20.812906935225847</v>
      </c>
      <c r="F20" s="181">
        <v>21.932821395298745</v>
      </c>
      <c r="G20" s="181">
        <v>23.466661452929031</v>
      </c>
      <c r="H20" s="181">
        <v>24.985748202195389</v>
      </c>
      <c r="I20" s="181">
        <v>27.255232561696527</v>
      </c>
      <c r="J20" s="181">
        <v>28.756732808710069</v>
      </c>
      <c r="K20" s="181">
        <v>28.991512996379871</v>
      </c>
      <c r="L20" s="181">
        <v>29.450548665721055</v>
      </c>
      <c r="M20" s="181">
        <v>30.201442120523275</v>
      </c>
      <c r="N20" s="181">
        <v>30.515100892922781</v>
      </c>
      <c r="O20" s="181">
        <v>31.124149306037083</v>
      </c>
      <c r="P20" s="181">
        <v>32.151412800615844</v>
      </c>
      <c r="Q20" s="181">
        <v>32.865321293424579</v>
      </c>
      <c r="R20" s="181">
        <v>33.973701890584614</v>
      </c>
      <c r="S20" s="181">
        <v>34.711012003142699</v>
      </c>
      <c r="T20" s="181">
        <v>35.664854253456703</v>
      </c>
      <c r="U20" s="181">
        <v>36.476130343679955</v>
      </c>
      <c r="V20" s="181">
        <v>37.229863997328295</v>
      </c>
      <c r="W20" s="181">
        <v>37.970447511972559</v>
      </c>
      <c r="X20" s="181">
        <v>38.541842646670567</v>
      </c>
      <c r="Y20" s="181">
        <v>39.014675645238512</v>
      </c>
      <c r="DA20" s="190" t="s">
        <v>922</v>
      </c>
    </row>
    <row r="21" spans="1:105" ht="12" customHeight="1" x14ac:dyDescent="0.25">
      <c r="A21" s="131" t="s">
        <v>156</v>
      </c>
      <c r="B21" s="181">
        <v>625.91312542108756</v>
      </c>
      <c r="C21" s="181">
        <v>641.71780765135077</v>
      </c>
      <c r="D21" s="181">
        <v>733.5814173262338</v>
      </c>
      <c r="E21" s="181">
        <v>768.79396036988362</v>
      </c>
      <c r="F21" s="181">
        <v>815.87118200241605</v>
      </c>
      <c r="G21" s="181">
        <v>864.1147293650987</v>
      </c>
      <c r="H21" s="181">
        <v>926.42450617577731</v>
      </c>
      <c r="I21" s="181">
        <v>988.26821531995779</v>
      </c>
      <c r="J21" s="181">
        <v>1049.5759874470982</v>
      </c>
      <c r="K21" s="181">
        <v>1103.6551356579803</v>
      </c>
      <c r="L21" s="181">
        <v>1161.4769871342689</v>
      </c>
      <c r="M21" s="181">
        <v>1197.4306591350346</v>
      </c>
      <c r="N21" s="181">
        <v>1242.8405698002887</v>
      </c>
      <c r="O21" s="181">
        <v>1290.8296865345396</v>
      </c>
      <c r="P21" s="181">
        <v>1330.4480006531674</v>
      </c>
      <c r="Q21" s="181">
        <v>1373.789639423276</v>
      </c>
      <c r="R21" s="181">
        <v>1416.7676077662566</v>
      </c>
      <c r="S21" s="181">
        <v>1427.8154494228761</v>
      </c>
      <c r="T21" s="181">
        <v>1457.5371587875886</v>
      </c>
      <c r="U21" s="181">
        <v>1485.4490266330356</v>
      </c>
      <c r="V21" s="181">
        <v>1511.1212562953924</v>
      </c>
      <c r="W21" s="181">
        <v>1534.0676453062354</v>
      </c>
      <c r="X21" s="181">
        <v>1565.2261337709463</v>
      </c>
      <c r="Y21" s="181">
        <v>1604.1666645968612</v>
      </c>
      <c r="DA21" s="190" t="s">
        <v>923</v>
      </c>
    </row>
    <row r="22" spans="1:105" ht="12" customHeight="1" x14ac:dyDescent="0.25">
      <c r="A22" s="131" t="s">
        <v>160</v>
      </c>
      <c r="B22" s="181">
        <v>6.8310868433726775</v>
      </c>
      <c r="C22" s="181">
        <v>7.0347359702844203</v>
      </c>
      <c r="D22" s="181">
        <v>7.2793897066577635</v>
      </c>
      <c r="E22" s="181">
        <v>7.4925656391266715</v>
      </c>
      <c r="F22" s="181">
        <v>7.7774148540278762</v>
      </c>
      <c r="G22" s="181">
        <v>8.1594433030855011</v>
      </c>
      <c r="H22" s="181">
        <v>8.5246678994312131</v>
      </c>
      <c r="I22" s="181">
        <v>9.1208079250589744</v>
      </c>
      <c r="J22" s="181">
        <v>9.4584207131845037</v>
      </c>
      <c r="K22" s="181">
        <v>9.5081858965793042</v>
      </c>
      <c r="L22" s="181">
        <v>9.6304853436126194</v>
      </c>
      <c r="M22" s="181">
        <v>9.9167548046263718</v>
      </c>
      <c r="N22" s="181">
        <v>10.115673919356464</v>
      </c>
      <c r="O22" s="181">
        <v>10.343977261028366</v>
      </c>
      <c r="P22" s="181">
        <v>10.712911334107833</v>
      </c>
      <c r="Q22" s="181">
        <v>11.063390340091876</v>
      </c>
      <c r="R22" s="181">
        <v>11.605629310471272</v>
      </c>
      <c r="S22" s="181">
        <v>12.031595256996596</v>
      </c>
      <c r="T22" s="181">
        <v>12.529520723046268</v>
      </c>
      <c r="U22" s="181">
        <v>12.965846673360264</v>
      </c>
      <c r="V22" s="181">
        <v>13.352956283501364</v>
      </c>
      <c r="W22" s="181">
        <v>13.689826087659709</v>
      </c>
      <c r="X22" s="181">
        <v>13.932139305394035</v>
      </c>
      <c r="Y22" s="181">
        <v>14.121469566761373</v>
      </c>
      <c r="DA22" s="190" t="s">
        <v>924</v>
      </c>
    </row>
    <row r="23" spans="1:105" ht="12" customHeight="1" x14ac:dyDescent="0.25">
      <c r="A23" s="131" t="s">
        <v>172</v>
      </c>
      <c r="B23" s="181">
        <v>95.048099053350086</v>
      </c>
      <c r="C23" s="181">
        <v>97.037066576050066</v>
      </c>
      <c r="D23" s="181">
        <v>99.679455567662373</v>
      </c>
      <c r="E23" s="181">
        <v>103.05681332288168</v>
      </c>
      <c r="F23" s="181">
        <v>106.56130820712301</v>
      </c>
      <c r="G23" s="181">
        <v>111.30907802438603</v>
      </c>
      <c r="H23" s="181">
        <v>117.72453682470585</v>
      </c>
      <c r="I23" s="181">
        <v>126.90228592866299</v>
      </c>
      <c r="J23" s="181">
        <v>135.12983135745742</v>
      </c>
      <c r="K23" s="181">
        <v>141.50107750867389</v>
      </c>
      <c r="L23" s="181">
        <v>146.17631873549513</v>
      </c>
      <c r="M23" s="181">
        <v>148.25899758934236</v>
      </c>
      <c r="N23" s="181">
        <v>150.48832405793627</v>
      </c>
      <c r="O23" s="181">
        <v>153.24945227808527</v>
      </c>
      <c r="P23" s="181">
        <v>156.94631841472844</v>
      </c>
      <c r="Q23" s="181">
        <v>162.34975484641447</v>
      </c>
      <c r="R23" s="181">
        <v>173.2044531611684</v>
      </c>
      <c r="S23" s="181">
        <v>180.32690684839594</v>
      </c>
      <c r="T23" s="181">
        <v>189.55379885474241</v>
      </c>
      <c r="U23" s="181">
        <v>198.12698247673913</v>
      </c>
      <c r="V23" s="181">
        <v>205.53805877136861</v>
      </c>
      <c r="W23" s="181">
        <v>211.23178813653999</v>
      </c>
      <c r="X23" s="181">
        <v>217.37877448933472</v>
      </c>
      <c r="Y23" s="181">
        <v>224.12857458310484</v>
      </c>
      <c r="DA23" s="190" t="s">
        <v>925</v>
      </c>
    </row>
    <row r="24" spans="1:105" ht="12" customHeight="1" x14ac:dyDescent="0.25">
      <c r="A24" s="60" t="s">
        <v>159</v>
      </c>
      <c r="B24" s="36">
        <v>5.4206277484097365</v>
      </c>
      <c r="C24" s="36">
        <v>5.7598546430318214</v>
      </c>
      <c r="D24" s="36">
        <v>6.1170209380246288</v>
      </c>
      <c r="E24" s="36">
        <v>6.4672322760153582</v>
      </c>
      <c r="F24" s="36">
        <v>6.8072911553293407</v>
      </c>
      <c r="G24" s="36">
        <v>7.3171657984634253</v>
      </c>
      <c r="H24" s="36">
        <v>7.7898385609797023</v>
      </c>
      <c r="I24" s="36">
        <v>8.4515692235794457</v>
      </c>
      <c r="J24" s="36">
        <v>8.8402843106859041</v>
      </c>
      <c r="K24" s="36">
        <v>8.85410832840018</v>
      </c>
      <c r="L24" s="36">
        <v>8.9513530184477563</v>
      </c>
      <c r="M24" s="36">
        <v>9.1380961584124627</v>
      </c>
      <c r="N24" s="36">
        <v>9.2261246240448589</v>
      </c>
      <c r="O24" s="36">
        <v>9.3283626220859173</v>
      </c>
      <c r="P24" s="36">
        <v>9.5306722297883049</v>
      </c>
      <c r="Q24" s="36">
        <v>9.6664792339811534</v>
      </c>
      <c r="R24" s="36">
        <v>10.111428308474775</v>
      </c>
      <c r="S24" s="36">
        <v>10.451858160565545</v>
      </c>
      <c r="T24" s="36">
        <v>10.859100588474648</v>
      </c>
      <c r="U24" s="36">
        <v>11.222163737628176</v>
      </c>
      <c r="V24" s="36">
        <v>11.561218524033485</v>
      </c>
      <c r="W24" s="36">
        <v>11.881688904165092</v>
      </c>
      <c r="X24" s="36">
        <v>12.159498969924609</v>
      </c>
      <c r="Y24" s="36">
        <v>12.40220925810946</v>
      </c>
      <c r="DA24" s="89" t="s">
        <v>926</v>
      </c>
    </row>
    <row r="25" spans="1:105" ht="12" customHeight="1" x14ac:dyDescent="0.25">
      <c r="A25" s="62" t="s">
        <v>157</v>
      </c>
      <c r="B25" s="38">
        <v>548.79376513764237</v>
      </c>
      <c r="C25" s="38">
        <v>620.92463387870282</v>
      </c>
      <c r="D25" s="38">
        <v>718.41928124483184</v>
      </c>
      <c r="E25" s="38">
        <v>857.84314049644274</v>
      </c>
      <c r="F25" s="38">
        <v>995.57311503932783</v>
      </c>
      <c r="G25" s="38">
        <v>1114.638202557969</v>
      </c>
      <c r="H25" s="38">
        <v>1207.036393789509</v>
      </c>
      <c r="I25" s="38">
        <v>1307.247590848965</v>
      </c>
      <c r="J25" s="38">
        <v>1424.1346939230957</v>
      </c>
      <c r="K25" s="38">
        <v>1545.264704890965</v>
      </c>
      <c r="L25" s="38">
        <v>1663.7364454973685</v>
      </c>
      <c r="M25" s="38">
        <v>1793.1070305986495</v>
      </c>
      <c r="N25" s="38">
        <v>1995.3998025802978</v>
      </c>
      <c r="O25" s="38">
        <v>2239.7935757929122</v>
      </c>
      <c r="P25" s="38">
        <v>2517.0139884502223</v>
      </c>
      <c r="Q25" s="38">
        <v>2746.7447859607291</v>
      </c>
      <c r="R25" s="38">
        <v>3126.8461072976934</v>
      </c>
      <c r="S25" s="38">
        <v>3521.0634518365982</v>
      </c>
      <c r="T25" s="38">
        <v>4093.8307660465507</v>
      </c>
      <c r="U25" s="38">
        <v>4554.9008032363899</v>
      </c>
      <c r="V25" s="38">
        <v>5300.4035589182531</v>
      </c>
      <c r="W25" s="38">
        <v>6596.8793793373634</v>
      </c>
      <c r="X25" s="38">
        <v>8248.1840374732546</v>
      </c>
      <c r="Y25" s="38">
        <v>9944.3103997715843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1.505265356141841</v>
      </c>
      <c r="D28" s="182">
        <v>1.6708922341635564</v>
      </c>
      <c r="E28" s="182">
        <v>1.7002323013609875</v>
      </c>
      <c r="F28" s="182">
        <v>1.9875890436632844</v>
      </c>
      <c r="G28" s="182">
        <v>2.4260573324746986</v>
      </c>
      <c r="H28" s="182">
        <v>2.436540919972586</v>
      </c>
      <c r="I28" s="182">
        <v>3.2128892666668705</v>
      </c>
      <c r="J28" s="182">
        <v>2.4715899226420035</v>
      </c>
      <c r="K28" s="182">
        <v>1.2323094262956609</v>
      </c>
      <c r="L28" s="182">
        <v>1.4847806153110952</v>
      </c>
      <c r="M28" s="182">
        <v>1.8056522061669504</v>
      </c>
      <c r="N28" s="182">
        <v>1.3982520018874851</v>
      </c>
      <c r="O28" s="182">
        <v>1.7243200066698172</v>
      </c>
      <c r="P28" s="182">
        <v>2.1740812079615495</v>
      </c>
      <c r="Q28" s="182">
        <v>1.8931646267659019</v>
      </c>
      <c r="R28" s="182">
        <v>2.3209926916956114</v>
      </c>
      <c r="S28" s="182">
        <v>1.9842216608404115</v>
      </c>
      <c r="T28" s="182">
        <v>2.2360234327763919</v>
      </c>
      <c r="U28" s="182">
        <v>2.3165414463650933</v>
      </c>
      <c r="V28" s="182">
        <v>2.4246258878118994</v>
      </c>
      <c r="W28" s="182">
        <v>2.440815816005248</v>
      </c>
      <c r="X28" s="182">
        <v>2.5589841783612925</v>
      </c>
      <c r="Y28" s="182">
        <v>2.8988903310426437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94.32199720160304</v>
      </c>
      <c r="D29" s="182">
        <v>173.76069316569715</v>
      </c>
      <c r="E29" s="182">
        <v>120.63487678939248</v>
      </c>
      <c r="F29" s="182">
        <v>136.17654961272228</v>
      </c>
      <c r="G29" s="182">
        <v>141.17814535845673</v>
      </c>
      <c r="H29" s="182">
        <v>159.2447335654191</v>
      </c>
      <c r="I29" s="182">
        <v>162.95121962666701</v>
      </c>
      <c r="J29" s="182">
        <v>155.62976932874346</v>
      </c>
      <c r="K29" s="182">
        <v>227.83984137657922</v>
      </c>
      <c r="L29" s="182">
        <v>178.45672826568114</v>
      </c>
      <c r="M29" s="182">
        <v>172.13022161348795</v>
      </c>
      <c r="N29" s="182">
        <v>186.58805602371081</v>
      </c>
      <c r="O29" s="182">
        <v>207.23385029966994</v>
      </c>
      <c r="P29" s="182">
        <v>202.56953374529462</v>
      </c>
      <c r="Q29" s="182">
        <v>198.97140809885218</v>
      </c>
      <c r="R29" s="182">
        <v>270.81780971955982</v>
      </c>
      <c r="S29" s="182">
        <v>189.50456992230056</v>
      </c>
      <c r="T29" s="182">
        <v>201.85193097820047</v>
      </c>
      <c r="U29" s="182">
        <v>214.49992386915778</v>
      </c>
      <c r="V29" s="182">
        <v>232.90607996202675</v>
      </c>
      <c r="W29" s="182">
        <v>225.51592275613757</v>
      </c>
      <c r="X29" s="182">
        <v>230.12989656356308</v>
      </c>
      <c r="Y29" s="182">
        <v>309.75834054547477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1.2704332991561404</v>
      </c>
      <c r="D30" s="182">
        <v>1.3391512034431754</v>
      </c>
      <c r="E30" s="182">
        <v>1.3361066400945898</v>
      </c>
      <c r="F30" s="182">
        <v>1.4369518118168179</v>
      </c>
      <c r="G30" s="182">
        <v>1.5640607728741323</v>
      </c>
      <c r="H30" s="182">
        <v>1.5779641720463573</v>
      </c>
      <c r="I30" s="182">
        <v>1.8665733247839018</v>
      </c>
      <c r="J30" s="182">
        <v>1.6767639915687047</v>
      </c>
      <c r="K30" s="182">
        <v>1.3858718234893903</v>
      </c>
      <c r="L30" s="182">
        <v>1.5592512588501322</v>
      </c>
      <c r="M30" s="182">
        <v>1.8503302338878846</v>
      </c>
      <c r="N30" s="182">
        <v>1.7768832867764495</v>
      </c>
      <c r="O30" s="182">
        <v>2.0948766664558036</v>
      </c>
      <c r="P30" s="182">
        <v>2.0456980646481711</v>
      </c>
      <c r="Q30" s="182">
        <v>1.7363508294734338</v>
      </c>
      <c r="R30" s="182">
        <v>2.1014902292295279</v>
      </c>
      <c r="S30" s="182">
        <v>2.2762961804132082</v>
      </c>
      <c r="T30" s="182">
        <v>2.2748087528261216</v>
      </c>
      <c r="U30" s="182">
        <v>2.5312026167698001</v>
      </c>
      <c r="V30" s="182">
        <v>2.4328076747892702</v>
      </c>
      <c r="W30" s="182">
        <v>2.0732206336317791</v>
      </c>
      <c r="X30" s="182">
        <v>2.3438034469638538</v>
      </c>
      <c r="Y30" s="182">
        <v>2.4656264417805467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10.627233640061036</v>
      </c>
      <c r="D31" s="182">
        <v>11.462613146222353</v>
      </c>
      <c r="E31" s="182">
        <v>12.383372744872418</v>
      </c>
      <c r="F31" s="182">
        <v>12.700214241494166</v>
      </c>
      <c r="G31" s="182">
        <v>14.137189510046781</v>
      </c>
      <c r="H31" s="182">
        <v>16.002658968374206</v>
      </c>
      <c r="I31" s="182">
        <v>18.966895831840958</v>
      </c>
      <c r="J31" s="182">
        <v>18.222892556243167</v>
      </c>
      <c r="K31" s="182">
        <v>16.577137121633598</v>
      </c>
      <c r="L31" s="182">
        <v>15.096110974706448</v>
      </c>
      <c r="M31" s="182">
        <v>12.709912493908263</v>
      </c>
      <c r="N31" s="182">
        <v>13.691939614816249</v>
      </c>
      <c r="O31" s="182">
        <v>15.144500965021422</v>
      </c>
      <c r="P31" s="182">
        <v>16.397080378137332</v>
      </c>
      <c r="Q31" s="182">
        <v>19.540625941732827</v>
      </c>
      <c r="R31" s="182">
        <v>26.857357283128152</v>
      </c>
      <c r="S31" s="182">
        <v>26.089349519068492</v>
      </c>
      <c r="T31" s="182">
        <v>27.449784562589628</v>
      </c>
      <c r="U31" s="182">
        <v>25.150320743630317</v>
      </c>
      <c r="V31" s="182">
        <v>22.50718726933593</v>
      </c>
      <c r="W31" s="182">
        <v>18.403641859079642</v>
      </c>
      <c r="X31" s="182">
        <v>19.838925967610976</v>
      </c>
      <c r="Y31" s="182">
        <v>21.894301058791541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0.49361967807157558</v>
      </c>
      <c r="D32" s="41">
        <v>0.52893312626251454</v>
      </c>
      <c r="E32" s="41">
        <v>0.54130734432763283</v>
      </c>
      <c r="F32" s="41">
        <v>0.5526592013201217</v>
      </c>
      <c r="G32" s="41">
        <v>0.74639919319416315</v>
      </c>
      <c r="H32" s="41">
        <v>0.73581376932767384</v>
      </c>
      <c r="I32" s="41">
        <v>0.9544833153291421</v>
      </c>
      <c r="J32" s="41">
        <v>0.71441162797865765</v>
      </c>
      <c r="K32" s="41">
        <v>0.37617167109034355</v>
      </c>
      <c r="L32" s="41">
        <v>0.50036785971815156</v>
      </c>
      <c r="M32" s="41">
        <v>0.63523035496700686</v>
      </c>
      <c r="N32" s="41">
        <v>0.58698460894930804</v>
      </c>
      <c r="O32" s="41">
        <v>0.65734241267283267</v>
      </c>
      <c r="P32" s="41">
        <v>0.8198807415003504</v>
      </c>
      <c r="Q32" s="41">
        <v>0.82287432927167714</v>
      </c>
      <c r="R32" s="41">
        <v>0.93856875256519601</v>
      </c>
      <c r="S32" s="41">
        <v>0.86936297835328524</v>
      </c>
      <c r="T32" s="41">
        <v>0.94854977223673664</v>
      </c>
      <c r="U32" s="41">
        <v>0.91572235047364892</v>
      </c>
      <c r="V32" s="41">
        <v>1.0854539795994729</v>
      </c>
      <c r="W32" s="41">
        <v>1.0562841494592803</v>
      </c>
      <c r="X32" s="41">
        <v>1.2322933810886596</v>
      </c>
      <c r="Y32" s="41">
        <v>0.9571219161635085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181.88962176858894</v>
      </c>
      <c r="D33" s="42">
        <v>207.2534003936575</v>
      </c>
      <c r="E33" s="42">
        <v>249.18261227913933</v>
      </c>
      <c r="F33" s="42">
        <v>247.48872757041363</v>
      </c>
      <c r="G33" s="42">
        <v>228.82384054616955</v>
      </c>
      <c r="H33" s="42">
        <v>274.28781300012906</v>
      </c>
      <c r="I33" s="42">
        <v>307.46459745311358</v>
      </c>
      <c r="J33" s="42">
        <v>366.06971535327011</v>
      </c>
      <c r="K33" s="42">
        <v>368.61873853828297</v>
      </c>
      <c r="L33" s="42">
        <v>347.29558115257305</v>
      </c>
      <c r="M33" s="42">
        <v>403.65839810141006</v>
      </c>
      <c r="N33" s="42">
        <v>509.75736943476181</v>
      </c>
      <c r="O33" s="42">
        <v>610.46348856588452</v>
      </c>
      <c r="P33" s="42">
        <v>645.8391511955931</v>
      </c>
      <c r="Q33" s="42">
        <v>577.02637866307987</v>
      </c>
      <c r="R33" s="42">
        <v>783.7597194383743</v>
      </c>
      <c r="S33" s="42">
        <v>903.97471397366689</v>
      </c>
      <c r="T33" s="42">
        <v>1183.2308027758372</v>
      </c>
      <c r="U33" s="42">
        <v>1106.9091883854326</v>
      </c>
      <c r="V33" s="42">
        <v>1322.529134344943</v>
      </c>
      <c r="W33" s="42">
        <v>2080.2355398574846</v>
      </c>
      <c r="X33" s="42">
        <v>2555.2793721095586</v>
      </c>
      <c r="Y33" s="42">
        <v>2879.3571650741669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0.79802339090068841</v>
      </c>
      <c r="D36" s="182">
        <v>0.82059595677593222</v>
      </c>
      <c r="E36" s="182">
        <v>0.84380700109178264</v>
      </c>
      <c r="F36" s="182">
        <v>0.86767458359038585</v>
      </c>
      <c r="G36" s="182">
        <v>0.8922172748444126</v>
      </c>
      <c r="H36" s="182">
        <v>0.91745417070622892</v>
      </c>
      <c r="I36" s="182">
        <v>0.943404907165732</v>
      </c>
      <c r="J36" s="182">
        <v>0.97008967562846138</v>
      </c>
      <c r="K36" s="182">
        <v>0.99752923862585874</v>
      </c>
      <c r="L36" s="182">
        <v>1.0257449459699117</v>
      </c>
      <c r="M36" s="182">
        <v>1.0547587513647301</v>
      </c>
      <c r="N36" s="182">
        <v>1.0845932294879788</v>
      </c>
      <c r="O36" s="182">
        <v>1.1152715935555193</v>
      </c>
      <c r="P36" s="182">
        <v>1.1468177133827879</v>
      </c>
      <c r="Q36" s="182">
        <v>1.1792561339571677</v>
      </c>
      <c r="R36" s="182">
        <v>1.2126120945355794</v>
      </c>
      <c r="S36" s="182">
        <v>1.246911548282327</v>
      </c>
      <c r="T36" s="182">
        <v>1.2821811824623879</v>
      </c>
      <c r="U36" s="182">
        <v>1.505265356141841</v>
      </c>
      <c r="V36" s="182">
        <v>1.6708922341635599</v>
      </c>
      <c r="W36" s="182">
        <v>1.7002323013609839</v>
      </c>
      <c r="X36" s="182">
        <v>1.9875890436632844</v>
      </c>
      <c r="Y36" s="182">
        <v>2.4260573324746986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78.517314971339829</v>
      </c>
      <c r="D37" s="182">
        <v>81.897083490814111</v>
      </c>
      <c r="E37" s="182">
        <v>85.422333745742662</v>
      </c>
      <c r="F37" s="182">
        <v>89.099327980189855</v>
      </c>
      <c r="G37" s="182">
        <v>92.934597995774084</v>
      </c>
      <c r="H37" s="182">
        <v>96.934956754740483</v>
      </c>
      <c r="I37" s="182">
        <v>101.10751048248653</v>
      </c>
      <c r="J37" s="182">
        <v>94.321997201603153</v>
      </c>
      <c r="K37" s="182">
        <v>173.76069316569715</v>
      </c>
      <c r="L37" s="182">
        <v>120.63487678939259</v>
      </c>
      <c r="M37" s="182">
        <v>136.17654961272228</v>
      </c>
      <c r="N37" s="182">
        <v>141.17814535845673</v>
      </c>
      <c r="O37" s="182">
        <v>159.24473356541898</v>
      </c>
      <c r="P37" s="182">
        <v>162.9512196266669</v>
      </c>
      <c r="Q37" s="182">
        <v>155.62976932874358</v>
      </c>
      <c r="R37" s="182">
        <v>227.83984137657922</v>
      </c>
      <c r="S37" s="182">
        <v>178.45672826568102</v>
      </c>
      <c r="T37" s="182">
        <v>172.13022161348795</v>
      </c>
      <c r="U37" s="182">
        <v>186.58805602371081</v>
      </c>
      <c r="V37" s="182">
        <v>207.23385029966994</v>
      </c>
      <c r="W37" s="182">
        <v>202.56953374529462</v>
      </c>
      <c r="X37" s="182">
        <v>198.97140809885218</v>
      </c>
      <c r="Y37" s="182">
        <v>270.81780971955982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1.0667841722443976</v>
      </c>
      <c r="D38" s="182">
        <v>1.0944974670698322</v>
      </c>
      <c r="E38" s="182">
        <v>1.1229307076256818</v>
      </c>
      <c r="F38" s="182">
        <v>1.1521025969156131</v>
      </c>
      <c r="G38" s="182">
        <v>1.1820323238165074</v>
      </c>
      <c r="H38" s="182">
        <v>1.2127395757006454</v>
      </c>
      <c r="I38" s="182">
        <v>1.2704332991561404</v>
      </c>
      <c r="J38" s="182">
        <v>1.3391512034431745</v>
      </c>
      <c r="K38" s="182">
        <v>1.3361066400945898</v>
      </c>
      <c r="L38" s="182">
        <v>1.436951811816817</v>
      </c>
      <c r="M38" s="182">
        <v>1.5640607728741323</v>
      </c>
      <c r="N38" s="182">
        <v>1.5779641720463573</v>
      </c>
      <c r="O38" s="182">
        <v>1.8665733247839018</v>
      </c>
      <c r="P38" s="182">
        <v>1.6767639915687038</v>
      </c>
      <c r="Q38" s="182">
        <v>1.3858718234893903</v>
      </c>
      <c r="R38" s="182">
        <v>1.5592512588501322</v>
      </c>
      <c r="S38" s="182">
        <v>1.8503302338878846</v>
      </c>
      <c r="T38" s="182">
        <v>1.7768832867764495</v>
      </c>
      <c r="U38" s="182">
        <v>2.0948766664558036</v>
      </c>
      <c r="V38" s="182">
        <v>2.0456980646481711</v>
      </c>
      <c r="W38" s="182">
        <v>1.7363508294734338</v>
      </c>
      <c r="X38" s="182">
        <v>2.1014902292295297</v>
      </c>
      <c r="Y38" s="182">
        <v>2.2762961804132082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8.6382661173610558</v>
      </c>
      <c r="D39" s="182">
        <v>8.8202241546100453</v>
      </c>
      <c r="E39" s="182">
        <v>9.0060149896531101</v>
      </c>
      <c r="F39" s="182">
        <v>9.1957193572528411</v>
      </c>
      <c r="G39" s="182">
        <v>9.3894196927837612</v>
      </c>
      <c r="H39" s="182">
        <v>9.5872001680543804</v>
      </c>
      <c r="I39" s="182">
        <v>9.7891467278838036</v>
      </c>
      <c r="J39" s="182">
        <v>9.9953471274487242</v>
      </c>
      <c r="K39" s="182">
        <v>10.20589097041713</v>
      </c>
      <c r="L39" s="182">
        <v>10.420869747885206</v>
      </c>
      <c r="M39" s="182">
        <v>10.627233640061036</v>
      </c>
      <c r="N39" s="182">
        <v>11.462613146222338</v>
      </c>
      <c r="O39" s="182">
        <v>12.383372744872418</v>
      </c>
      <c r="P39" s="182">
        <v>12.700214241494166</v>
      </c>
      <c r="Q39" s="182">
        <v>14.137189510046795</v>
      </c>
      <c r="R39" s="182">
        <v>16.00265896837422</v>
      </c>
      <c r="S39" s="182">
        <v>18.966895831840958</v>
      </c>
      <c r="T39" s="182">
        <v>18.222892556243153</v>
      </c>
      <c r="U39" s="182">
        <v>16.577137121633598</v>
      </c>
      <c r="V39" s="182">
        <v>15.096110974706448</v>
      </c>
      <c r="W39" s="182">
        <v>12.709912493908263</v>
      </c>
      <c r="X39" s="182">
        <v>13.691939614816249</v>
      </c>
      <c r="Y39" s="182">
        <v>15.144500965021422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0.1543927834494907</v>
      </c>
      <c r="D40" s="41">
        <v>0.17176683126970715</v>
      </c>
      <c r="E40" s="41">
        <v>0.19109600633690338</v>
      </c>
      <c r="F40" s="41">
        <v>0.21260032200613921</v>
      </c>
      <c r="G40" s="41">
        <v>0.23652455006007855</v>
      </c>
      <c r="H40" s="41">
        <v>0.26314100681139596</v>
      </c>
      <c r="I40" s="41">
        <v>0.29275265272939954</v>
      </c>
      <c r="J40" s="41">
        <v>0.32569654087219924</v>
      </c>
      <c r="K40" s="41">
        <v>0.36234765337606767</v>
      </c>
      <c r="L40" s="41">
        <v>0.40312316967057527</v>
      </c>
      <c r="M40" s="41">
        <v>0.44848721500230049</v>
      </c>
      <c r="N40" s="41">
        <v>0.49895614331691185</v>
      </c>
      <c r="O40" s="41">
        <v>0.55510441463177429</v>
      </c>
      <c r="P40" s="41">
        <v>0.6175711337979628</v>
      </c>
      <c r="Q40" s="41">
        <v>0.68706732507882862</v>
      </c>
      <c r="R40" s="41">
        <v>0.4936196780715747</v>
      </c>
      <c r="S40" s="41">
        <v>0.52893312626251543</v>
      </c>
      <c r="T40" s="41">
        <v>0.54130734432763283</v>
      </c>
      <c r="U40" s="41">
        <v>0.5526592013201217</v>
      </c>
      <c r="V40" s="41">
        <v>0.74639919319416315</v>
      </c>
      <c r="W40" s="41">
        <v>0.73581376932767384</v>
      </c>
      <c r="X40" s="41">
        <v>0.9544833153291421</v>
      </c>
      <c r="Y40" s="41">
        <v>0.71441162797865765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109.75875302752854</v>
      </c>
      <c r="D41" s="42">
        <v>109.75875302752843</v>
      </c>
      <c r="E41" s="42">
        <v>109.75875302752843</v>
      </c>
      <c r="F41" s="42">
        <v>109.75875302752843</v>
      </c>
      <c r="G41" s="42">
        <v>109.75875302752843</v>
      </c>
      <c r="H41" s="42">
        <v>181.889621768589</v>
      </c>
      <c r="I41" s="42">
        <v>207.25340039365756</v>
      </c>
      <c r="J41" s="42">
        <v>249.18261227913945</v>
      </c>
      <c r="K41" s="42">
        <v>247.48872757041363</v>
      </c>
      <c r="L41" s="42">
        <v>228.82384054616955</v>
      </c>
      <c r="M41" s="42">
        <v>274.28781300012906</v>
      </c>
      <c r="N41" s="42">
        <v>307.46459745311381</v>
      </c>
      <c r="O41" s="42">
        <v>366.06971535327011</v>
      </c>
      <c r="P41" s="42">
        <v>368.61873853828274</v>
      </c>
      <c r="Q41" s="42">
        <v>347.29558115257305</v>
      </c>
      <c r="R41" s="42">
        <v>403.65839810141006</v>
      </c>
      <c r="S41" s="42">
        <v>509.75736943476204</v>
      </c>
      <c r="T41" s="42">
        <v>610.4634885658852</v>
      </c>
      <c r="U41" s="42">
        <v>645.83915119559333</v>
      </c>
      <c r="V41" s="42">
        <v>577.02637866308032</v>
      </c>
      <c r="W41" s="42">
        <v>783.7597194383743</v>
      </c>
      <c r="X41" s="42">
        <v>903.97471397366644</v>
      </c>
      <c r="Y41" s="42">
        <v>1183.2308027758372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8759.9999999999982</v>
      </c>
      <c r="C44" s="184">
        <v>8760</v>
      </c>
      <c r="D44" s="184">
        <v>8759.9999999999964</v>
      </c>
      <c r="E44" s="184">
        <v>8759.9999999999982</v>
      </c>
      <c r="F44" s="184">
        <v>8759.9999999999982</v>
      </c>
      <c r="G44" s="184">
        <v>8760</v>
      </c>
      <c r="H44" s="184">
        <v>8759.9999999999964</v>
      </c>
      <c r="I44" s="184">
        <v>8760.0000000000018</v>
      </c>
      <c r="J44" s="184">
        <v>8760.0000000000018</v>
      </c>
      <c r="K44" s="184">
        <v>8760</v>
      </c>
      <c r="L44" s="184">
        <v>8760.0000000000018</v>
      </c>
      <c r="M44" s="184">
        <v>8760.0000000000018</v>
      </c>
      <c r="N44" s="184">
        <v>8760.0000000000018</v>
      </c>
      <c r="O44" s="184">
        <v>8760.0000000000018</v>
      </c>
      <c r="P44" s="184">
        <v>8760</v>
      </c>
      <c r="Q44" s="184">
        <v>8759.9999999999982</v>
      </c>
      <c r="R44" s="184">
        <v>8759.9999999999982</v>
      </c>
      <c r="S44" s="184">
        <v>8759.9999999999982</v>
      </c>
      <c r="T44" s="184">
        <v>8759.9999999999982</v>
      </c>
      <c r="U44" s="184">
        <v>8759.9999999999964</v>
      </c>
      <c r="V44" s="184">
        <v>8759.9999999999982</v>
      </c>
      <c r="W44" s="184">
        <v>8760.0000000000018</v>
      </c>
      <c r="X44" s="184">
        <v>8760.0000000000018</v>
      </c>
      <c r="Y44" s="184">
        <v>8760.0000000000018</v>
      </c>
      <c r="DA44" s="193" t="s">
        <v>940</v>
      </c>
    </row>
    <row r="45" spans="1:105" ht="12" customHeight="1" x14ac:dyDescent="0.25">
      <c r="A45" s="131" t="s">
        <v>6</v>
      </c>
      <c r="B45" s="184">
        <v>4135.7073751928883</v>
      </c>
      <c r="C45" s="184">
        <v>4142.2480696546772</v>
      </c>
      <c r="D45" s="184">
        <v>4144.7036594993679</v>
      </c>
      <c r="E45" s="184">
        <v>4145.893408397068</v>
      </c>
      <c r="F45" s="184">
        <v>4145.9586470505446</v>
      </c>
      <c r="G45" s="184">
        <v>4144.1385213092599</v>
      </c>
      <c r="H45" s="184">
        <v>4138.0788721160898</v>
      </c>
      <c r="I45" s="184">
        <v>4123.1162990636058</v>
      </c>
      <c r="J45" s="184">
        <v>4116.729661316409</v>
      </c>
      <c r="K45" s="184">
        <v>4105.8296128024704</v>
      </c>
      <c r="L45" s="184">
        <v>4095.4121102152089</v>
      </c>
      <c r="M45" s="184">
        <v>4047.5604396567869</v>
      </c>
      <c r="N45" s="184">
        <v>4027.8586266881866</v>
      </c>
      <c r="O45" s="184">
        <v>4011.3690514061987</v>
      </c>
      <c r="P45" s="184">
        <v>3990.4463299442982</v>
      </c>
      <c r="Q45" s="184">
        <v>3951.4843225665272</v>
      </c>
      <c r="R45" s="184">
        <v>3973.763735904231</v>
      </c>
      <c r="S45" s="184">
        <v>4029.219267289584</v>
      </c>
      <c r="T45" s="184">
        <v>3968.9997818134125</v>
      </c>
      <c r="U45" s="184">
        <v>3931.2336046166247</v>
      </c>
      <c r="V45" s="184">
        <v>3896.7367777297222</v>
      </c>
      <c r="W45" s="184">
        <v>3873.796805173034</v>
      </c>
      <c r="X45" s="184">
        <v>3846.4171246557307</v>
      </c>
      <c r="Y45" s="184">
        <v>3819.0374441384274</v>
      </c>
      <c r="DA45" s="193" t="s">
        <v>941</v>
      </c>
    </row>
    <row r="46" spans="1:105" ht="12" customHeight="1" x14ac:dyDescent="0.25">
      <c r="A46" s="131" t="s">
        <v>5</v>
      </c>
      <c r="B46" s="184">
        <v>2334.5926437182493</v>
      </c>
      <c r="C46" s="184">
        <v>2360.5305624821303</v>
      </c>
      <c r="D46" s="184">
        <v>2385.8336430372242</v>
      </c>
      <c r="E46" s="184">
        <v>2409.2196121859065</v>
      </c>
      <c r="F46" s="184">
        <v>2428.0270751695807</v>
      </c>
      <c r="G46" s="184">
        <v>2447.6460125191384</v>
      </c>
      <c r="H46" s="184">
        <v>2457.2751711855003</v>
      </c>
      <c r="I46" s="184">
        <v>2470.4008467444814</v>
      </c>
      <c r="J46" s="184">
        <v>2482.289498983896</v>
      </c>
      <c r="K46" s="184">
        <v>2488.7217260783532</v>
      </c>
      <c r="L46" s="184">
        <v>2499.2241007267121</v>
      </c>
      <c r="M46" s="184">
        <v>2506.4414375167162</v>
      </c>
      <c r="N46" s="184">
        <v>2513.6447145877723</v>
      </c>
      <c r="O46" s="184">
        <v>2517.7263087168531</v>
      </c>
      <c r="P46" s="184">
        <v>2528.6772976579632</v>
      </c>
      <c r="Q46" s="184">
        <v>2554.3830397973056</v>
      </c>
      <c r="R46" s="184">
        <v>2602.135775293666</v>
      </c>
      <c r="S46" s="184">
        <v>2683.2649117428268</v>
      </c>
      <c r="T46" s="184">
        <v>2648.3895621494107</v>
      </c>
      <c r="U46" s="184">
        <v>2636.905133155753</v>
      </c>
      <c r="V46" s="184">
        <v>2472.1108961550653</v>
      </c>
      <c r="W46" s="184">
        <v>2723.7118674988124</v>
      </c>
      <c r="X46" s="184">
        <v>2626.5547764194635</v>
      </c>
      <c r="Y46" s="184">
        <v>2577.976230879789</v>
      </c>
      <c r="DA46" s="193" t="s">
        <v>942</v>
      </c>
    </row>
    <row r="47" spans="1:105" ht="12" customHeight="1" x14ac:dyDescent="0.25">
      <c r="A47" s="131" t="s">
        <v>171</v>
      </c>
      <c r="B47" s="184">
        <v>8759.9999999999982</v>
      </c>
      <c r="C47" s="184">
        <v>8759.9999999999982</v>
      </c>
      <c r="D47" s="184">
        <v>8759.9999999999982</v>
      </c>
      <c r="E47" s="184">
        <v>8760.0000000000018</v>
      </c>
      <c r="F47" s="184">
        <v>8760</v>
      </c>
      <c r="G47" s="184">
        <v>8760</v>
      </c>
      <c r="H47" s="184">
        <v>8760</v>
      </c>
      <c r="I47" s="184">
        <v>8760.0000000000018</v>
      </c>
      <c r="J47" s="184">
        <v>8759.9999999999982</v>
      </c>
      <c r="K47" s="184">
        <v>8760.0000000000018</v>
      </c>
      <c r="L47" s="184">
        <v>8760</v>
      </c>
      <c r="M47" s="184">
        <v>8759.9999999999964</v>
      </c>
      <c r="N47" s="184">
        <v>8760.0000000000018</v>
      </c>
      <c r="O47" s="184">
        <v>8760.0000000000018</v>
      </c>
      <c r="P47" s="184">
        <v>8760</v>
      </c>
      <c r="Q47" s="184">
        <v>8760</v>
      </c>
      <c r="R47" s="184">
        <v>8760</v>
      </c>
      <c r="S47" s="184">
        <v>8760</v>
      </c>
      <c r="T47" s="184">
        <v>8760</v>
      </c>
      <c r="U47" s="184">
        <v>8759.9999999999982</v>
      </c>
      <c r="V47" s="184">
        <v>8760</v>
      </c>
      <c r="W47" s="184">
        <v>8760</v>
      </c>
      <c r="X47" s="184">
        <v>8760</v>
      </c>
      <c r="Y47" s="184">
        <v>8760</v>
      </c>
      <c r="DA47" s="193" t="s">
        <v>943</v>
      </c>
    </row>
    <row r="48" spans="1:105" ht="12" customHeight="1" x14ac:dyDescent="0.25">
      <c r="A48" s="60" t="s">
        <v>4</v>
      </c>
      <c r="B48" s="44">
        <v>863.19041955345017</v>
      </c>
      <c r="C48" s="44">
        <v>867.31377840646269</v>
      </c>
      <c r="D48" s="44">
        <v>871.09530664845511</v>
      </c>
      <c r="E48" s="44">
        <v>874.58853351856931</v>
      </c>
      <c r="F48" s="44">
        <v>877.83524411666008</v>
      </c>
      <c r="G48" s="44">
        <v>880.86869197463977</v>
      </c>
      <c r="H48" s="44">
        <v>883.71578131227318</v>
      </c>
      <c r="I48" s="44">
        <v>886.39859211958219</v>
      </c>
      <c r="J48" s="44">
        <v>888.93547237193297</v>
      </c>
      <c r="K48" s="44">
        <v>891.3418370867488</v>
      </c>
      <c r="L48" s="44">
        <v>893.63076395960877</v>
      </c>
      <c r="M48" s="44">
        <v>894.08529280671178</v>
      </c>
      <c r="N48" s="44">
        <v>894.47434890409193</v>
      </c>
      <c r="O48" s="44">
        <v>894.80366232990627</v>
      </c>
      <c r="P48" s="44">
        <v>895.07823879727562</v>
      </c>
      <c r="Q48" s="44">
        <v>895.30247710378171</v>
      </c>
      <c r="R48" s="44">
        <v>904.19030259726469</v>
      </c>
      <c r="S48" s="44">
        <v>924.44314001084513</v>
      </c>
      <c r="T48" s="44">
        <v>917.70437038684122</v>
      </c>
      <c r="U48" s="44">
        <v>913.93364323123137</v>
      </c>
      <c r="V48" s="44">
        <v>856.81706534915054</v>
      </c>
      <c r="W48" s="44">
        <v>944.02027546445549</v>
      </c>
      <c r="X48" s="44">
        <v>920.35938860427689</v>
      </c>
      <c r="Y48" s="44">
        <v>908.52894517418758</v>
      </c>
      <c r="DA48" s="95" t="s">
        <v>944</v>
      </c>
    </row>
    <row r="49" spans="1:105" ht="12" customHeight="1" x14ac:dyDescent="0.25">
      <c r="A49" s="62" t="s">
        <v>3</v>
      </c>
      <c r="B49" s="185">
        <v>2881.452790078511</v>
      </c>
      <c r="C49" s="185">
        <v>3001.0415044329407</v>
      </c>
      <c r="D49" s="185">
        <v>3078.410050377508</v>
      </c>
      <c r="E49" s="185">
        <v>3099.1099812464654</v>
      </c>
      <c r="F49" s="185">
        <v>3136.2466623204587</v>
      </c>
      <c r="G49" s="185">
        <v>3199.4264260703435</v>
      </c>
      <c r="H49" s="185">
        <v>3258.7084101254591</v>
      </c>
      <c r="I49" s="185">
        <v>3325.7540282338118</v>
      </c>
      <c r="J49" s="185">
        <v>3395.7028633808704</v>
      </c>
      <c r="K49" s="185">
        <v>3459.6914991647295</v>
      </c>
      <c r="L49" s="185">
        <v>3522.9591707090158</v>
      </c>
      <c r="M49" s="185">
        <v>3609.3310571421198</v>
      </c>
      <c r="N49" s="185">
        <v>3711.9864625959021</v>
      </c>
      <c r="O49" s="185">
        <v>3759.5196544521536</v>
      </c>
      <c r="P49" s="185">
        <v>3786.9773625807065</v>
      </c>
      <c r="Q49" s="185">
        <v>3835.5871180376998</v>
      </c>
      <c r="R49" s="185">
        <v>3991.7727278385955</v>
      </c>
      <c r="S49" s="185">
        <v>4175.3539802515552</v>
      </c>
      <c r="T49" s="185">
        <v>4359.9569064011757</v>
      </c>
      <c r="U49" s="185">
        <v>4471.991504702476</v>
      </c>
      <c r="V49" s="185">
        <v>4614.1921818532064</v>
      </c>
      <c r="W49" s="185">
        <v>4911.6820774834614</v>
      </c>
      <c r="X49" s="185">
        <v>5104.128423975475</v>
      </c>
      <c r="Y49" s="185">
        <v>5245.2482324232969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0.73606988285484032</v>
      </c>
      <c r="C52" s="180">
        <v>0.72979772087535377</v>
      </c>
      <c r="D52" s="180">
        <v>0.72274134127072509</v>
      </c>
      <c r="E52" s="180">
        <v>0.71547537988069876</v>
      </c>
      <c r="F52" s="180">
        <v>0.70704178802766127</v>
      </c>
      <c r="G52" s="180">
        <v>0.69703677442751399</v>
      </c>
      <c r="H52" s="180">
        <v>0.68718509621954327</v>
      </c>
      <c r="I52" s="180">
        <v>0.67531275673615676</v>
      </c>
      <c r="J52" s="180">
        <v>0.6661595223795157</v>
      </c>
      <c r="K52" s="180">
        <v>0.6602498566995415</v>
      </c>
      <c r="L52" s="180">
        <v>0.65320901452521329</v>
      </c>
      <c r="M52" s="180">
        <v>0.64492440132426843</v>
      </c>
      <c r="N52" s="180">
        <v>0.63745050240465073</v>
      </c>
      <c r="O52" s="180">
        <v>0.62854886548876099</v>
      </c>
      <c r="P52" s="180">
        <v>0.61788925143246487</v>
      </c>
      <c r="Q52" s="180">
        <v>0.60774278456589692</v>
      </c>
      <c r="R52" s="180">
        <v>0.59659923702133666</v>
      </c>
      <c r="S52" s="180">
        <v>0.58641172751429049</v>
      </c>
      <c r="T52" s="180">
        <v>0.57565207788250261</v>
      </c>
      <c r="U52" s="180">
        <v>0.56723600570675081</v>
      </c>
      <c r="V52" s="180">
        <v>0.55860486869321724</v>
      </c>
      <c r="W52" s="180">
        <v>0.55039227523296974</v>
      </c>
      <c r="X52" s="180">
        <v>0.5418653964922896</v>
      </c>
      <c r="Y52" s="180">
        <v>0.53249575982623287</v>
      </c>
      <c r="DA52" s="189" t="s">
        <v>946</v>
      </c>
    </row>
    <row r="53" spans="1:105" ht="12" customHeight="1" x14ac:dyDescent="0.25">
      <c r="A53" s="131" t="s">
        <v>100</v>
      </c>
      <c r="B53" s="180">
        <v>194.64547460800463</v>
      </c>
      <c r="C53" s="180">
        <v>192.75790949675775</v>
      </c>
      <c r="D53" s="180">
        <v>189.34798114475601</v>
      </c>
      <c r="E53" s="180">
        <v>186.69403326597316</v>
      </c>
      <c r="F53" s="180">
        <v>183.43885555173313</v>
      </c>
      <c r="G53" s="180">
        <v>179.78245346059046</v>
      </c>
      <c r="H53" s="180">
        <v>175.66648469311875</v>
      </c>
      <c r="I53" s="180">
        <v>171.25754836658763</v>
      </c>
      <c r="J53" s="180">
        <v>168.21884203759177</v>
      </c>
      <c r="K53" s="180">
        <v>163.49813228206173</v>
      </c>
      <c r="L53" s="180">
        <v>159.92748145050726</v>
      </c>
      <c r="M53" s="180">
        <v>156.10743678344306</v>
      </c>
      <c r="N53" s="180">
        <v>151.77758940009861</v>
      </c>
      <c r="O53" s="180">
        <v>147.01561598677733</v>
      </c>
      <c r="P53" s="180">
        <v>142.24752612821877</v>
      </c>
      <c r="Q53" s="180">
        <v>137.6405743846565</v>
      </c>
      <c r="R53" s="180">
        <v>130.86681408187141</v>
      </c>
      <c r="S53" s="180">
        <v>125.91409624266882</v>
      </c>
      <c r="T53" s="180">
        <v>120.9992419468108</v>
      </c>
      <c r="U53" s="180">
        <v>115.99322485961945</v>
      </c>
      <c r="V53" s="180">
        <v>110.47882365583258</v>
      </c>
      <c r="W53" s="180">
        <v>105.66270759786765</v>
      </c>
      <c r="X53" s="180">
        <v>101.26584706257732</v>
      </c>
      <c r="Y53" s="180">
        <v>96.186371964266385</v>
      </c>
      <c r="DA53" s="189" t="s">
        <v>947</v>
      </c>
    </row>
    <row r="54" spans="1:105" ht="12" customHeight="1" x14ac:dyDescent="0.25">
      <c r="A54" s="131" t="s">
        <v>140</v>
      </c>
      <c r="B54" s="180">
        <v>42.98131888639454</v>
      </c>
      <c r="C54" s="180">
        <v>42.553305749241041</v>
      </c>
      <c r="D54" s="180">
        <v>41.886577914375565</v>
      </c>
      <c r="E54" s="180">
        <v>41.100261244119586</v>
      </c>
      <c r="F54" s="180">
        <v>40.207970114874286</v>
      </c>
      <c r="G54" s="180">
        <v>39.206697847122292</v>
      </c>
      <c r="H54" s="180">
        <v>38.093012883197403</v>
      </c>
      <c r="I54" s="180">
        <v>37.096992467380254</v>
      </c>
      <c r="J54" s="180">
        <v>36.154970539511645</v>
      </c>
      <c r="K54" s="180">
        <v>35.252038078891189</v>
      </c>
      <c r="L54" s="180">
        <v>34.163447565441622</v>
      </c>
      <c r="M54" s="180">
        <v>32.781033499028965</v>
      </c>
      <c r="N54" s="180">
        <v>31.375272937469653</v>
      </c>
      <c r="O54" s="180">
        <v>29.629897799583098</v>
      </c>
      <c r="P54" s="180">
        <v>28.03616774926066</v>
      </c>
      <c r="Q54" s="180">
        <v>26.675891160275771</v>
      </c>
      <c r="R54" s="180">
        <v>25.069190346807453</v>
      </c>
      <c r="S54" s="180">
        <v>23.440645968598506</v>
      </c>
      <c r="T54" s="180">
        <v>21.845786897578758</v>
      </c>
      <c r="U54" s="180">
        <v>20.146158114686514</v>
      </c>
      <c r="V54" s="180">
        <v>18.607414466406762</v>
      </c>
      <c r="W54" s="180">
        <v>17.48655762363078</v>
      </c>
      <c r="X54" s="180">
        <v>16.352055433635169</v>
      </c>
      <c r="Y54" s="180">
        <v>15.212407659048321</v>
      </c>
      <c r="DA54" s="189" t="s">
        <v>948</v>
      </c>
    </row>
    <row r="55" spans="1:105" ht="12" customHeight="1" x14ac:dyDescent="0.25">
      <c r="A55" s="131" t="s">
        <v>173</v>
      </c>
      <c r="B55" s="180">
        <v>694.71544283340415</v>
      </c>
      <c r="C55" s="180">
        <v>687.49211298746673</v>
      </c>
      <c r="D55" s="180">
        <v>678.07805061475506</v>
      </c>
      <c r="E55" s="180">
        <v>667.3309008295555</v>
      </c>
      <c r="F55" s="180">
        <v>656.03342117357931</v>
      </c>
      <c r="G55" s="180">
        <v>643.67732038860549</v>
      </c>
      <c r="H55" s="180">
        <v>630.47184640907824</v>
      </c>
      <c r="I55" s="180">
        <v>615.96989732638383</v>
      </c>
      <c r="J55" s="180">
        <v>601.23754665486661</v>
      </c>
      <c r="K55" s="180">
        <v>586.41216967718299</v>
      </c>
      <c r="L55" s="180">
        <v>571.27454940419864</v>
      </c>
      <c r="M55" s="180">
        <v>560.368140917902</v>
      </c>
      <c r="N55" s="180">
        <v>549.03750127594333</v>
      </c>
      <c r="O55" s="180">
        <v>536.8500247052599</v>
      </c>
      <c r="P55" s="180">
        <v>523.73191550793501</v>
      </c>
      <c r="Q55" s="180">
        <v>509.4838071937188</v>
      </c>
      <c r="R55" s="180">
        <v>492.82131681688793</v>
      </c>
      <c r="S55" s="180">
        <v>476.47003793593262</v>
      </c>
      <c r="T55" s="180">
        <v>461.92215432340942</v>
      </c>
      <c r="U55" s="180">
        <v>450.29058050496792</v>
      </c>
      <c r="V55" s="180">
        <v>441.00794847461219</v>
      </c>
      <c r="W55" s="180">
        <v>434.40148352508504</v>
      </c>
      <c r="X55" s="180">
        <v>427.78983652338167</v>
      </c>
      <c r="Y55" s="180">
        <v>420.80909559478607</v>
      </c>
      <c r="DA55" s="189" t="s">
        <v>949</v>
      </c>
    </row>
    <row r="56" spans="1:105" ht="12" customHeight="1" x14ac:dyDescent="0.25">
      <c r="A56" s="60" t="s">
        <v>99</v>
      </c>
      <c r="B56" s="55">
        <v>49.148014976091993</v>
      </c>
      <c r="C56" s="55">
        <v>48.902314739347396</v>
      </c>
      <c r="D56" s="55">
        <v>48.634159979911161</v>
      </c>
      <c r="E56" s="55">
        <v>48.356602195710153</v>
      </c>
      <c r="F56" s="55">
        <v>48.068083045625627</v>
      </c>
      <c r="G56" s="55">
        <v>47.686360086245983</v>
      </c>
      <c r="H56" s="55">
        <v>47.309240824207649</v>
      </c>
      <c r="I56" s="55">
        <v>46.840523350936181</v>
      </c>
      <c r="J56" s="55">
        <v>46.462727112707142</v>
      </c>
      <c r="K56" s="55">
        <v>46.194387885768847</v>
      </c>
      <c r="L56" s="55">
        <v>45.828525417829603</v>
      </c>
      <c r="M56" s="55">
        <v>45.329859083282784</v>
      </c>
      <c r="N56" s="55">
        <v>44.782108902487593</v>
      </c>
      <c r="O56" s="55">
        <v>44.109101945357075</v>
      </c>
      <c r="P56" s="55">
        <v>43.24847055884571</v>
      </c>
      <c r="Q56" s="55">
        <v>42.292530232269343</v>
      </c>
      <c r="R56" s="55">
        <v>41.556492036100614</v>
      </c>
      <c r="S56" s="55">
        <v>40.863453405618422</v>
      </c>
      <c r="T56" s="55">
        <v>40.145146415065859</v>
      </c>
      <c r="U56" s="55">
        <v>39.459673602570206</v>
      </c>
      <c r="V56" s="55">
        <v>38.629741200256767</v>
      </c>
      <c r="W56" s="55">
        <v>37.85968472256684</v>
      </c>
      <c r="X56" s="55">
        <v>36.959389519248298</v>
      </c>
      <c r="Y56" s="55">
        <v>36.306882696925356</v>
      </c>
      <c r="DA56" s="101" t="s">
        <v>950</v>
      </c>
    </row>
    <row r="57" spans="1:105" ht="12" customHeight="1" x14ac:dyDescent="0.25">
      <c r="A57" s="62" t="s">
        <v>98</v>
      </c>
      <c r="B57" s="63">
        <v>342.80720202810835</v>
      </c>
      <c r="C57" s="63">
        <v>333.68490900592138</v>
      </c>
      <c r="D57" s="63">
        <v>322.59182669931016</v>
      </c>
      <c r="E57" s="63">
        <v>309.02326255319258</v>
      </c>
      <c r="F57" s="63">
        <v>296.2992926706853</v>
      </c>
      <c r="G57" s="63">
        <v>284.45430436054363</v>
      </c>
      <c r="H57" s="63">
        <v>271.47469905535615</v>
      </c>
      <c r="I57" s="63">
        <v>256.77496539443592</v>
      </c>
      <c r="J57" s="63">
        <v>240.1197582475115</v>
      </c>
      <c r="K57" s="63">
        <v>225.74646576662587</v>
      </c>
      <c r="L57" s="63">
        <v>213.72941448893479</v>
      </c>
      <c r="M57" s="63">
        <v>201.21643449087168</v>
      </c>
      <c r="N57" s="63">
        <v>189.70085312557956</v>
      </c>
      <c r="O57" s="63">
        <v>179.50751951310437</v>
      </c>
      <c r="P57" s="63">
        <v>171.72852091826124</v>
      </c>
      <c r="Q57" s="63">
        <v>167.12411386115005</v>
      </c>
      <c r="R57" s="63">
        <v>163.20084951721637</v>
      </c>
      <c r="S57" s="63">
        <v>159.36838514570613</v>
      </c>
      <c r="T57" s="63">
        <v>155.53548346733899</v>
      </c>
      <c r="U57" s="63">
        <v>152.05074268715191</v>
      </c>
      <c r="V57" s="63">
        <v>148.21365205260486</v>
      </c>
      <c r="W57" s="63">
        <v>143.93739403835883</v>
      </c>
      <c r="X57" s="63">
        <v>140.36268726130066</v>
      </c>
      <c r="Y57" s="63">
        <v>137.26514515106894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0.656457946737527</v>
      </c>
      <c r="D60" s="180">
        <v>0.64859942666198567</v>
      </c>
      <c r="E60" s="180">
        <v>0.64041196699022696</v>
      </c>
      <c r="F60" s="180">
        <v>0.63140209643514589</v>
      </c>
      <c r="G60" s="180">
        <v>0.62094122621080383</v>
      </c>
      <c r="H60" s="180">
        <v>0.6107092839975562</v>
      </c>
      <c r="I60" s="180">
        <v>0.60082506229236343</v>
      </c>
      <c r="J60" s="180">
        <v>0.59266261639957662</v>
      </c>
      <c r="K60" s="180">
        <v>0.58371876639697839</v>
      </c>
      <c r="L60" s="180">
        <v>0.57297456826007154</v>
      </c>
      <c r="M60" s="180">
        <v>0.5630426804400247</v>
      </c>
      <c r="N60" s="180">
        <v>0.55251544553179588</v>
      </c>
      <c r="O60" s="180">
        <v>0.54056101425749115</v>
      </c>
      <c r="P60" s="180">
        <v>0.52762593595909879</v>
      </c>
      <c r="Q60" s="180">
        <v>0.51536163376053667</v>
      </c>
      <c r="R60" s="180">
        <v>0.51167330031529457</v>
      </c>
      <c r="S60" s="180">
        <v>0.5060291110159032</v>
      </c>
      <c r="T60" s="180">
        <v>0.50061098743972565</v>
      </c>
      <c r="U60" s="180">
        <v>0.49563992399034201</v>
      </c>
      <c r="V60" s="180">
        <v>0.49077614859272023</v>
      </c>
      <c r="W60" s="180">
        <v>0.48783149170116391</v>
      </c>
      <c r="X60" s="180">
        <v>0.48488683480960759</v>
      </c>
      <c r="Y60" s="180">
        <v>0.48194217791805127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181.80346340250043</v>
      </c>
      <c r="D61" s="180">
        <v>179.25155225810278</v>
      </c>
      <c r="E61" s="180">
        <v>176.18582698196556</v>
      </c>
      <c r="F61" s="180">
        <v>172.3939381700545</v>
      </c>
      <c r="G61" s="180">
        <v>168.43604997461281</v>
      </c>
      <c r="H61" s="180">
        <v>164.88470477180334</v>
      </c>
      <c r="I61" s="180">
        <v>160.70315260698769</v>
      </c>
      <c r="J61" s="180">
        <v>157.15586694164094</v>
      </c>
      <c r="K61" s="180">
        <v>153.76577636508517</v>
      </c>
      <c r="L61" s="180">
        <v>148.83547255212198</v>
      </c>
      <c r="M61" s="180">
        <v>143.21571802698136</v>
      </c>
      <c r="N61" s="180">
        <v>136.59504503940613</v>
      </c>
      <c r="O61" s="180">
        <v>132.18784792034273</v>
      </c>
      <c r="P61" s="180">
        <v>126.71002137313791</v>
      </c>
      <c r="Q61" s="180">
        <v>122.09990305480696</v>
      </c>
      <c r="R61" s="180">
        <v>115.7702227836815</v>
      </c>
      <c r="S61" s="180">
        <v>110.47184921582063</v>
      </c>
      <c r="T61" s="180">
        <v>105.17884365454553</v>
      </c>
      <c r="U61" s="180">
        <v>99.898103323275777</v>
      </c>
      <c r="V61" s="180">
        <v>94.624719646835288</v>
      </c>
      <c r="W61" s="180">
        <v>92.29695154352315</v>
      </c>
      <c r="X61" s="180">
        <v>89.969183440210998</v>
      </c>
      <c r="Y61" s="180">
        <v>87.641415336898859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40.611293310326893</v>
      </c>
      <c r="D62" s="180">
        <v>39.278908927955634</v>
      </c>
      <c r="E62" s="180">
        <v>38.397177539622298</v>
      </c>
      <c r="F62" s="180">
        <v>37.778962054508966</v>
      </c>
      <c r="G62" s="180">
        <v>37.080446880894307</v>
      </c>
      <c r="H62" s="180">
        <v>36.091188489215611</v>
      </c>
      <c r="I62" s="180">
        <v>34.940067583527224</v>
      </c>
      <c r="J62" s="180">
        <v>33.52575424247523</v>
      </c>
      <c r="K62" s="180">
        <v>32.121825531737819</v>
      </c>
      <c r="L62" s="180">
        <v>30.857244769609007</v>
      </c>
      <c r="M62" s="180">
        <v>29.220169352848348</v>
      </c>
      <c r="N62" s="180">
        <v>27.717724311562723</v>
      </c>
      <c r="O62" s="180">
        <v>25.933343908355763</v>
      </c>
      <c r="P62" s="180">
        <v>24.477105653955334</v>
      </c>
      <c r="Q62" s="180">
        <v>22.629960251366914</v>
      </c>
      <c r="R62" s="180">
        <v>20.905227558693539</v>
      </c>
      <c r="S62" s="180">
        <v>19.835554687236442</v>
      </c>
      <c r="T62" s="180">
        <v>17.997133083636374</v>
      </c>
      <c r="U62" s="180">
        <v>16.522547143219896</v>
      </c>
      <c r="V62" s="180">
        <v>15.342257753416794</v>
      </c>
      <c r="W62" s="180">
        <v>14.575144865745953</v>
      </c>
      <c r="X62" s="180">
        <v>13.808031978075114</v>
      </c>
      <c r="Y62" s="180">
        <v>13.040919090404273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628.759356527112</v>
      </c>
      <c r="D63" s="180">
        <v>611.18514768642444</v>
      </c>
      <c r="E63" s="180">
        <v>600.7380217560559</v>
      </c>
      <c r="F63" s="180">
        <v>592.36731120133277</v>
      </c>
      <c r="G63" s="180">
        <v>584.43896106514751</v>
      </c>
      <c r="H63" s="180">
        <v>577.10740761249076</v>
      </c>
      <c r="I63" s="180">
        <v>566.60053567743</v>
      </c>
      <c r="J63" s="180">
        <v>549.91611382615247</v>
      </c>
      <c r="K63" s="180">
        <v>532.24001156301142</v>
      </c>
      <c r="L63" s="180">
        <v>514.59583864288288</v>
      </c>
      <c r="M63" s="180">
        <v>492.1183228045756</v>
      </c>
      <c r="N63" s="180">
        <v>478.3758657568718</v>
      </c>
      <c r="O63" s="180">
        <v>467.98515787188006</v>
      </c>
      <c r="P63" s="180">
        <v>454.28913708035202</v>
      </c>
      <c r="Q63" s="180">
        <v>449.27422471853811</v>
      </c>
      <c r="R63" s="180">
        <v>442.31933902617499</v>
      </c>
      <c r="S63" s="180">
        <v>433.44027384364847</v>
      </c>
      <c r="T63" s="180">
        <v>424.76811469536034</v>
      </c>
      <c r="U63" s="180">
        <v>416.64003358419978</v>
      </c>
      <c r="V63" s="180">
        <v>408.65166563362999</v>
      </c>
      <c r="W63" s="180">
        <v>400.47863232095739</v>
      </c>
      <c r="X63" s="180">
        <v>392.30559900828479</v>
      </c>
      <c r="Y63" s="180">
        <v>384.13256569561219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46.281035169014352</v>
      </c>
      <c r="D64" s="55">
        <v>45.880940112488908</v>
      </c>
      <c r="E64" s="55">
        <v>45.499462029442157</v>
      </c>
      <c r="F64" s="55">
        <v>45.107259305417074</v>
      </c>
      <c r="G64" s="55">
        <v>44.668160066003928</v>
      </c>
      <c r="H64" s="55">
        <v>44.216627748235631</v>
      </c>
      <c r="I64" s="55">
        <v>43.722910810947774</v>
      </c>
      <c r="J64" s="55">
        <v>43.217564239295335</v>
      </c>
      <c r="K64" s="55">
        <v>42.733321269710665</v>
      </c>
      <c r="L64" s="55">
        <v>42.028875350205773</v>
      </c>
      <c r="M64" s="55">
        <v>40.99860464208691</v>
      </c>
      <c r="N64" s="55">
        <v>39.965972119301654</v>
      </c>
      <c r="O64" s="55">
        <v>38.918316860982564</v>
      </c>
      <c r="P64" s="55">
        <v>37.900261849061806</v>
      </c>
      <c r="Q64" s="55">
        <v>36.944721700346633</v>
      </c>
      <c r="R64" s="55">
        <v>36.460679432808597</v>
      </c>
      <c r="S64" s="55">
        <v>35.855538868556721</v>
      </c>
      <c r="T64" s="55">
        <v>35.285820578932913</v>
      </c>
      <c r="U64" s="55">
        <v>34.739434967576827</v>
      </c>
      <c r="V64" s="55">
        <v>34.201578946767206</v>
      </c>
      <c r="W64" s="55">
        <v>33.859563157299533</v>
      </c>
      <c r="X64" s="55">
        <v>33.51754736783186</v>
      </c>
      <c r="Y64" s="55">
        <v>33.175531578364186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311.6660275077607</v>
      </c>
      <c r="D65" s="63">
        <v>300.06310739782737</v>
      </c>
      <c r="E65" s="63">
        <v>284.78467312269095</v>
      </c>
      <c r="F65" s="63">
        <v>272.82137428771233</v>
      </c>
      <c r="G65" s="63">
        <v>260.90863441139248</v>
      </c>
      <c r="H65" s="63">
        <v>245.38101914148498</v>
      </c>
      <c r="I65" s="63">
        <v>228.24648129097861</v>
      </c>
      <c r="J65" s="63">
        <v>211.04671886261121</v>
      </c>
      <c r="K65" s="63">
        <v>201.82203014914577</v>
      </c>
      <c r="L65" s="63">
        <v>191.34561428666072</v>
      </c>
      <c r="M65" s="63">
        <v>179.65242499764034</v>
      </c>
      <c r="N65" s="63">
        <v>172.44312545439561</v>
      </c>
      <c r="O65" s="63">
        <v>165.10169457133154</v>
      </c>
      <c r="P65" s="63">
        <v>161.92682392260198</v>
      </c>
      <c r="Q65" s="63">
        <v>161.6177158486982</v>
      </c>
      <c r="R65" s="63">
        <v>157.92450120100489</v>
      </c>
      <c r="S65" s="63">
        <v>153.48483442974143</v>
      </c>
      <c r="T65" s="63">
        <v>149.06500670716696</v>
      </c>
      <c r="U65" s="63">
        <v>144.92497376396662</v>
      </c>
      <c r="V65" s="63">
        <v>140.84665455611005</v>
      </c>
      <c r="W65" s="63">
        <v>138.31141477410006</v>
      </c>
      <c r="X65" s="63">
        <v>135.77617499209009</v>
      </c>
      <c r="Y65" s="63">
        <v>133.2409352100801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480.59407326409138</v>
      </c>
      <c r="C68" s="187">
        <f>1000000*C20/SER_summary!C$8</f>
        <v>486.72496491181136</v>
      </c>
      <c r="D68" s="187">
        <f>1000000*D20/SER_summary!D$8</f>
        <v>495.96219774601826</v>
      </c>
      <c r="E68" s="187">
        <f>1000000*E20/SER_summary!E$8</f>
        <v>507.28693139401815</v>
      </c>
      <c r="F68" s="187">
        <f>1000000*F20/SER_summary!F$8</f>
        <v>522.92137832954313</v>
      </c>
      <c r="G68" s="187">
        <f>1000000*G20/SER_summary!G$8</f>
        <v>541.75851829954797</v>
      </c>
      <c r="H68" s="187">
        <f>1000000*H20/SER_summary!H$8</f>
        <v>560.60261811855401</v>
      </c>
      <c r="I68" s="187">
        <f>1000000*I20/SER_summary!I$8</f>
        <v>580.58785289644015</v>
      </c>
      <c r="J68" s="187">
        <f>1000000*J20/SER_summary!J$8</f>
        <v>603.97933798899066</v>
      </c>
      <c r="K68" s="187">
        <f>1000000*K20/SER_summary!K$8</f>
        <v>625.54787885776329</v>
      </c>
      <c r="L68" s="187">
        <f>1000000*L20/SER_summary!L$8</f>
        <v>643.46218179516677</v>
      </c>
      <c r="M68" s="187">
        <f>1000000*M20/SER_summary!M$8</f>
        <v>655.27962319267442</v>
      </c>
      <c r="N68" s="187">
        <f>1000000*N20/SER_summary!N$8</f>
        <v>663.53537846084248</v>
      </c>
      <c r="O68" s="187">
        <f>1000000*O20/SER_summary!O$8</f>
        <v>673.3369264315761</v>
      </c>
      <c r="P68" s="187">
        <f>1000000*P20/SER_summary!P$8</f>
        <v>684.99340777996088</v>
      </c>
      <c r="Q68" s="187">
        <f>1000000*Q20/SER_summary!Q$8</f>
        <v>697.46251249571958</v>
      </c>
      <c r="R68" s="187">
        <f>1000000*R20/SER_summary!R$8</f>
        <v>701.02760303020386</v>
      </c>
      <c r="S68" s="187">
        <f>1000000*S20/SER_summary!S$8</f>
        <v>704.56126203290114</v>
      </c>
      <c r="T68" s="187">
        <f>1000000*T20/SER_summary!T$8</f>
        <v>708.22972227704179</v>
      </c>
      <c r="U68" s="187">
        <f>1000000*U20/SER_summary!U$8</f>
        <v>712.13380624042406</v>
      </c>
      <c r="V68" s="187">
        <f>1000000*V20/SER_summary!V$8</f>
        <v>716.46118068400301</v>
      </c>
      <c r="W68" s="187">
        <f>1000000*W20/SER_summary!W$8</f>
        <v>721.39702025308327</v>
      </c>
      <c r="X68" s="187">
        <f>1000000*X20/SER_summary!X$8</f>
        <v>723.87767691642284</v>
      </c>
      <c r="Y68" s="187">
        <f>1000000*Y20/SER_summary!Y$8</f>
        <v>725.1212022404045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0.16569221851141877</v>
      </c>
      <c r="C69" s="187">
        <f>1000*C21/SER_summary!C$3</f>
        <v>0.16742868240945305</v>
      </c>
      <c r="D69" s="187">
        <f>1000*D21/SER_summary!D$3</f>
        <v>0.18811217301379279</v>
      </c>
      <c r="E69" s="187">
        <f>1000*E21/SER_summary!E$3</f>
        <v>0.19393464148672038</v>
      </c>
      <c r="F69" s="187">
        <f>1000*F21/SER_summary!F$3</f>
        <v>0.20250716196811847</v>
      </c>
      <c r="G69" s="187">
        <f>1000*G21/SER_summary!G$3</f>
        <v>0.21016139647449958</v>
      </c>
      <c r="H69" s="187">
        <f>1000*H21/SER_summary!H$3</f>
        <v>0.22014975352049146</v>
      </c>
      <c r="I69" s="187">
        <f>1000*I21/SER_summary!I$3</f>
        <v>0.22770537928230472</v>
      </c>
      <c r="J69" s="187">
        <f>1000*J21/SER_summary!J$3</f>
        <v>0.23544892730933509</v>
      </c>
      <c r="K69" s="187">
        <f>1000*K21/SER_summary!K$3</f>
        <v>0.24410009631209198</v>
      </c>
      <c r="L69" s="187">
        <f>1000*L21/SER_summary!L$3</f>
        <v>0.25530176258076159</v>
      </c>
      <c r="M69" s="187">
        <f>1000*M21/SER_summary!M$3</f>
        <v>0.26196933570028064</v>
      </c>
      <c r="N69" s="187">
        <f>1000*N21/SER_summary!N$3</f>
        <v>0.2708134335029142</v>
      </c>
      <c r="O69" s="187">
        <f>1000*O21/SER_summary!O$3</f>
        <v>0.28001986354108072</v>
      </c>
      <c r="P69" s="187">
        <f>1000*P21/SER_summary!P$3</f>
        <v>0.28686728266731393</v>
      </c>
      <c r="Q69" s="187">
        <f>1000*Q21/SER_summary!Q$3</f>
        <v>0.29369371252202797</v>
      </c>
      <c r="R69" s="187">
        <f>1000*R21/SER_summary!R$3</f>
        <v>0.29976340995154688</v>
      </c>
      <c r="S69" s="187">
        <f>1000*S21/SER_summary!S$3</f>
        <v>0.29751380282472029</v>
      </c>
      <c r="T69" s="187">
        <f>1000*T21/SER_summary!T$3</f>
        <v>0.30016830801602734</v>
      </c>
      <c r="U69" s="187">
        <f>1000*U21/SER_summary!U$3</f>
        <v>0.30067925412651869</v>
      </c>
      <c r="V69" s="187">
        <f>1000*V21/SER_summary!V$3</f>
        <v>0.30146456056645105</v>
      </c>
      <c r="W69" s="187">
        <f>1000*W21/SER_summary!W$3</f>
        <v>0.30276298420081804</v>
      </c>
      <c r="X69" s="187">
        <f>1000*X21/SER_summary!X$3</f>
        <v>0.30367520677894227</v>
      </c>
      <c r="Y69" s="187">
        <f>1000*Y21/SER_summary!Y$3</f>
        <v>0.30431539746060793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178.43306438163086</v>
      </c>
      <c r="C70" s="187">
        <f>1000000*C22/SER_summary!C$8</f>
        <v>179.20801846215278</v>
      </c>
      <c r="D70" s="187">
        <f>1000000*D22/SER_summary!D$8</f>
        <v>180.90874850603751</v>
      </c>
      <c r="E70" s="187">
        <f>1000000*E22/SER_summary!E$8</f>
        <v>182.62132450646953</v>
      </c>
      <c r="F70" s="187">
        <f>1000000*F22/SER_summary!F$8</f>
        <v>185.42878829901323</v>
      </c>
      <c r="G70" s="187">
        <f>1000000*G22/SER_summary!G$8</f>
        <v>188.37140182448175</v>
      </c>
      <c r="H70" s="187">
        <f>1000000*H22/SER_summary!H$8</f>
        <v>191.26708171150253</v>
      </c>
      <c r="I70" s="187">
        <f>1000000*I22/SER_summary!I$8</f>
        <v>194.29040929677564</v>
      </c>
      <c r="J70" s="187">
        <f>1000000*J22/SER_summary!J$8</f>
        <v>198.65576241819198</v>
      </c>
      <c r="K70" s="187">
        <f>1000000*K22/SER_summary!K$8</f>
        <v>205.15747212410685</v>
      </c>
      <c r="L70" s="187">
        <f>1000000*L22/SER_summary!L$8</f>
        <v>210.41554034476019</v>
      </c>
      <c r="M70" s="187">
        <f>1000000*M22/SER_summary!M$8</f>
        <v>215.16347880798227</v>
      </c>
      <c r="N70" s="187">
        <f>1000000*N22/SER_summary!N$8</f>
        <v>219.96019433196011</v>
      </c>
      <c r="O70" s="187">
        <f>1000000*O22/SER_summary!O$8</f>
        <v>223.78063373021959</v>
      </c>
      <c r="P70" s="187">
        <f>1000000*P22/SER_summary!P$8</f>
        <v>228.24109433394887</v>
      </c>
      <c r="Q70" s="187">
        <f>1000000*Q22/SER_summary!Q$8</f>
        <v>234.78547355218362</v>
      </c>
      <c r="R70" s="187">
        <f>1000000*R22/SER_summary!R$8</f>
        <v>239.47541905733584</v>
      </c>
      <c r="S70" s="187">
        <f>1000000*S22/SER_summary!S$8</f>
        <v>244.21632932428162</v>
      </c>
      <c r="T70" s="187">
        <f>1000000*T22/SER_summary!T$8</f>
        <v>248.81018492000243</v>
      </c>
      <c r="U70" s="187">
        <f>1000000*U22/SER_summary!U$8</f>
        <v>253.13589066691156</v>
      </c>
      <c r="V70" s="187">
        <f>1000000*V22/SER_summary!V$8</f>
        <v>256.96776182652201</v>
      </c>
      <c r="W70" s="187">
        <f>1000000*W22/SER_summary!W$8</f>
        <v>260.09173961688691</v>
      </c>
      <c r="X70" s="187">
        <f>1000000*X22/SER_summary!X$8</f>
        <v>261.66794170480131</v>
      </c>
      <c r="Y70" s="187">
        <f>1000000*Y22/SER_summary!Y$8</f>
        <v>262.45962116311966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2.5161208093930902E-2</v>
      </c>
      <c r="C71" s="187">
        <f>1000*C23/SER_summary!C$3</f>
        <v>2.531765210189308E-2</v>
      </c>
      <c r="D71" s="187">
        <f>1000*D23/SER_summary!D$3</f>
        <v>2.5560787867294057E-2</v>
      </c>
      <c r="E71" s="187">
        <f>1000*E23/SER_summary!E$3</f>
        <v>2.5996934386582703E-2</v>
      </c>
      <c r="F71" s="187">
        <f>1000*F23/SER_summary!F$3</f>
        <v>2.6449553038105159E-2</v>
      </c>
      <c r="G71" s="187">
        <f>1000*G23/SER_summary!G$3</f>
        <v>2.7071487712148738E-2</v>
      </c>
      <c r="H71" s="187">
        <f>1000*H23/SER_summary!H$3</f>
        <v>2.7975326205755168E-2</v>
      </c>
      <c r="I71" s="187">
        <f>1000*I23/SER_summary!I$3</f>
        <v>2.9239363060788438E-2</v>
      </c>
      <c r="J71" s="187">
        <f>1000*J23/SER_summary!J$3</f>
        <v>3.0313359128948569E-2</v>
      </c>
      <c r="K71" s="187">
        <f>1000*K23/SER_summary!K$3</f>
        <v>3.1296394618360271E-2</v>
      </c>
      <c r="L71" s="187">
        <f>1000*L23/SER_summary!L$3</f>
        <v>3.2130702746695876E-2</v>
      </c>
      <c r="M71" s="187">
        <f>1000*M23/SER_summary!M$3</f>
        <v>3.2435540892301148E-2</v>
      </c>
      <c r="N71" s="187">
        <f>1000*N23/SER_summary!N$3</f>
        <v>3.27912209582744E-2</v>
      </c>
      <c r="O71" s="187">
        <f>1000*O23/SER_summary!O$3</f>
        <v>3.3244425009981017E-2</v>
      </c>
      <c r="P71" s="187">
        <f>1000*P23/SER_summary!P$3</f>
        <v>3.3840303316002421E-2</v>
      </c>
      <c r="Q71" s="187">
        <f>1000*Q23/SER_summary!Q$3</f>
        <v>3.4707717149403843E-2</v>
      </c>
      <c r="R71" s="187">
        <f>1000*R23/SER_summary!R$3</f>
        <v>3.6647052920870303E-2</v>
      </c>
      <c r="S71" s="187">
        <f>1000*S23/SER_summary!S$3</f>
        <v>3.7574704650920138E-2</v>
      </c>
      <c r="T71" s="187">
        <f>1000*T23/SER_summary!T$3</f>
        <v>3.9037113213338213E-2</v>
      </c>
      <c r="U71" s="187">
        <f>1000*U23/SER_summary!U$3</f>
        <v>4.0104151839173513E-2</v>
      </c>
      <c r="V71" s="187">
        <f>1000*V23/SER_summary!V$3</f>
        <v>4.1004280966238801E-2</v>
      </c>
      <c r="W71" s="187">
        <f>1000*W23/SER_summary!W$3</f>
        <v>4.1688622225995293E-2</v>
      </c>
      <c r="X71" s="187">
        <f>1000*X23/SER_summary!X$3</f>
        <v>4.2174445511821486E-2</v>
      </c>
      <c r="Y71" s="187">
        <f>1000*Y23/SER_summary!Y$3</f>
        <v>4.2517886552441021E-2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141.59082473958259</v>
      </c>
      <c r="C72" s="187">
        <f>1000000*C24/SER_summary!C$8</f>
        <v>146.73075742543185</v>
      </c>
      <c r="D72" s="187">
        <f>1000000*D24/SER_summary!D$8</f>
        <v>152.02134341992172</v>
      </c>
      <c r="E72" s="187">
        <f>1000000*E24/SER_summary!E$8</f>
        <v>157.63018717772317</v>
      </c>
      <c r="F72" s="187">
        <f>1000000*F24/SER_summary!F$8</f>
        <v>162.29914106711033</v>
      </c>
      <c r="G72" s="187">
        <f>1000000*G24/SER_summary!G$8</f>
        <v>168.92632593175645</v>
      </c>
      <c r="H72" s="187">
        <f>1000000*H24/SER_summary!H$8</f>
        <v>174.77979273089693</v>
      </c>
      <c r="I72" s="187">
        <f>1000000*I24/SER_summary!I$8</f>
        <v>180.03436287018022</v>
      </c>
      <c r="J72" s="187">
        <f>1000000*J24/SER_summary!J$8</f>
        <v>185.67300746993445</v>
      </c>
      <c r="K72" s="187">
        <f>1000000*K24/SER_summary!K$8</f>
        <v>191.04448549129515</v>
      </c>
      <c r="L72" s="187">
        <f>1000000*L24/SER_summary!L$8</f>
        <v>195.57724403190244</v>
      </c>
      <c r="M72" s="187">
        <f>1000000*M24/SER_summary!M$8</f>
        <v>198.26894965766607</v>
      </c>
      <c r="N72" s="187">
        <f>1000000*N24/SER_summary!N$8</f>
        <v>200.61739646950724</v>
      </c>
      <c r="O72" s="187">
        <f>1000000*O24/SER_summary!O$8</f>
        <v>201.80892190284516</v>
      </c>
      <c r="P72" s="187">
        <f>1000000*P24/SER_summary!P$8</f>
        <v>203.05321229900918</v>
      </c>
      <c r="Q72" s="187">
        <f>1000000*Q24/SER_summary!Q$8</f>
        <v>205.14045285992924</v>
      </c>
      <c r="R72" s="187">
        <f>1000000*R24/SER_summary!R$8</f>
        <v>208.64344936947478</v>
      </c>
      <c r="S72" s="187">
        <f>1000000*S24/SER_summary!S$8</f>
        <v>212.15095588484166</v>
      </c>
      <c r="T72" s="187">
        <f>1000000*T24/SER_summary!T$8</f>
        <v>215.63912021898872</v>
      </c>
      <c r="U72" s="187">
        <f>1000000*U24/SER_summary!U$8</f>
        <v>219.0934756903317</v>
      </c>
      <c r="V72" s="187">
        <f>1000000*V24/SER_summary!V$8</f>
        <v>222.48709462030851</v>
      </c>
      <c r="W72" s="187">
        <f>1000000*W24/SER_summary!W$8</f>
        <v>225.73910850895672</v>
      </c>
      <c r="X72" s="187">
        <f>1000000*X24/SER_summary!X$8</f>
        <v>228.37491054873121</v>
      </c>
      <c r="Y72" s="187">
        <f>1000000*Y24/SER_summary!Y$8</f>
        <v>230.50569404836145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0.14527712035071333</v>
      </c>
      <c r="C73" s="52">
        <f>1000*C25/SER_summary!C$3</f>
        <v>0.16200359735437742</v>
      </c>
      <c r="D73" s="52">
        <f>1000*D25/SER_summary!D$3</f>
        <v>0.18422414872850076</v>
      </c>
      <c r="E73" s="52">
        <f>1000*E25/SER_summary!E$3</f>
        <v>0.21639803442781713</v>
      </c>
      <c r="F73" s="52">
        <f>1000*F25/SER_summary!F$3</f>
        <v>0.24711092940377488</v>
      </c>
      <c r="G73" s="52">
        <f>1000*G25/SER_summary!G$3</f>
        <v>0.27109122579767281</v>
      </c>
      <c r="H73" s="52">
        <f>1000*H25/SER_summary!H$3</f>
        <v>0.28683261594615528</v>
      </c>
      <c r="I73" s="52">
        <f>1000*I25/SER_summary!I$3</f>
        <v>0.30120093298130723</v>
      </c>
      <c r="J73" s="52">
        <f>1000*J25/SER_summary!J$3</f>
        <v>0.31947280619841911</v>
      </c>
      <c r="K73" s="52">
        <f>1000*K25/SER_summary!K$3</f>
        <v>0.34177276134965945</v>
      </c>
      <c r="L73" s="52">
        <f>1000*L25/SER_summary!L$3</f>
        <v>0.36570233565568427</v>
      </c>
      <c r="M73" s="52">
        <f>1000*M25/SER_summary!M$3</f>
        <v>0.39228915182842206</v>
      </c>
      <c r="N73" s="52">
        <f>1000*N25/SER_summary!N$3</f>
        <v>0.43479516591145806</v>
      </c>
      <c r="O73" s="52">
        <f>1000*O25/SER_summary!O$3</f>
        <v>0.48587873210253951</v>
      </c>
      <c r="P73" s="52">
        <f>1000*P25/SER_summary!P$3</f>
        <v>0.54271114913762275</v>
      </c>
      <c r="Q73" s="52">
        <f>1000*Q25/SER_summary!Q$3</f>
        <v>0.58720902413996012</v>
      </c>
      <c r="R73" s="52">
        <f>1000*R25/SER_summary!R$3</f>
        <v>0.66158630842435129</v>
      </c>
      <c r="S73" s="52">
        <f>1000*S25/SER_summary!S$3</f>
        <v>0.73368373900595418</v>
      </c>
      <c r="T73" s="52">
        <f>1000*T25/SER_summary!T$3</f>
        <v>0.84309223057498228</v>
      </c>
      <c r="U73" s="52">
        <f>1000*U25/SER_summary!U$3</f>
        <v>0.92198665291241577</v>
      </c>
      <c r="V73" s="52">
        <f>1000*V25/SER_summary!V$3</f>
        <v>1.057416023404671</v>
      </c>
      <c r="W73" s="52">
        <f>1000*W25/SER_summary!W$3</f>
        <v>1.301957507162153</v>
      </c>
      <c r="X73" s="52">
        <f>1000*X25/SER_summary!X$3</f>
        <v>1.6002601407478207</v>
      </c>
      <c r="Y73" s="52">
        <f>1000*Y25/SER_summary!Y$3</f>
        <v>1.8864665614645808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10.200849098985898</v>
      </c>
      <c r="C3" s="198">
        <f>'SER_se-appl'!C4</f>
        <v>10.50269807655418</v>
      </c>
      <c r="D3" s="198">
        <f>'SER_se-appl'!D4</f>
        <v>10.864037738787962</v>
      </c>
      <c r="E3" s="198">
        <f>'SER_se-appl'!E4</f>
        <v>11.216357099235124</v>
      </c>
      <c r="F3" s="198">
        <f>'SER_se-appl'!F4</f>
        <v>11.680568374979595</v>
      </c>
      <c r="G3" s="198">
        <f>'SER_se-appl'!G4</f>
        <v>12.320586742064785</v>
      </c>
      <c r="H3" s="198">
        <f>'SER_se-appl'!H4</f>
        <v>12.932738085485806</v>
      </c>
      <c r="I3" s="198">
        <f>'SER_se-appl'!I4</f>
        <v>13.863702720009053</v>
      </c>
      <c r="J3" s="198">
        <f>'SER_se-appl'!J4</f>
        <v>14.429197369138427</v>
      </c>
      <c r="K3" s="198">
        <f>'SER_se-appl'!K4</f>
        <v>14.417952412720318</v>
      </c>
      <c r="L3" s="198">
        <f>'SER_se-appl'!L4</f>
        <v>14.490052236576389</v>
      </c>
      <c r="M3" s="198">
        <f>'SER_se-appl'!M4</f>
        <v>14.671039340798131</v>
      </c>
      <c r="N3" s="198">
        <f>'SER_se-appl'!N4</f>
        <v>14.651620775689667</v>
      </c>
      <c r="O3" s="198">
        <f>'SER_se-appl'!O4</f>
        <v>14.735366029575648</v>
      </c>
      <c r="P3" s="198">
        <f>'SER_se-appl'!P4</f>
        <v>14.963565650707631</v>
      </c>
      <c r="Q3" s="198">
        <f>'SER_se-appl'!Q4</f>
        <v>15.044649875823209</v>
      </c>
      <c r="R3" s="198">
        <f>'SER_se-appl'!R4</f>
        <v>15.266868214102058</v>
      </c>
      <c r="S3" s="198">
        <f>'SER_se-appl'!S4</f>
        <v>15.331841266533266</v>
      </c>
      <c r="T3" s="198">
        <f>'SER_se-appl'!T4</f>
        <v>15.464109693499541</v>
      </c>
      <c r="U3" s="198">
        <f>'SER_se-appl'!U4</f>
        <v>15.584645953821266</v>
      </c>
      <c r="V3" s="198">
        <f>'SER_se-appl'!V4</f>
        <v>15.664645023019657</v>
      </c>
      <c r="W3" s="198">
        <f>'SER_se-appl'!W4</f>
        <v>15.741366736036358</v>
      </c>
      <c r="X3" s="198">
        <f>'SER_se-appl'!X4</f>
        <v>15.730708497178563</v>
      </c>
      <c r="Y3" s="198">
        <f>'SER_se-appl'!Y4</f>
        <v>15.648349812920662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13.54290810744361</v>
      </c>
      <c r="C5" s="59">
        <f>'SER_se-appl'!C12</f>
        <v>13.943650528575926</v>
      </c>
      <c r="D5" s="59">
        <f>'SER_se-appl'!D12</f>
        <v>14.423374303893157</v>
      </c>
      <c r="E5" s="59">
        <f>'SER_se-appl'!E12</f>
        <v>14.891122495902342</v>
      </c>
      <c r="F5" s="59">
        <f>'SER_se-appl'!F12</f>
        <v>15.507421255823369</v>
      </c>
      <c r="G5" s="59">
        <f>'SER_se-appl'!G12</f>
        <v>16.35712600573213</v>
      </c>
      <c r="H5" s="59">
        <f>'SER_se-appl'!H12</f>
        <v>17.169833782442918</v>
      </c>
      <c r="I5" s="59">
        <f>'SER_se-appl'!I12</f>
        <v>18.405806236724345</v>
      </c>
      <c r="J5" s="59">
        <f>'SER_se-appl'!J12</f>
        <v>19.156571393045649</v>
      </c>
      <c r="K5" s="59">
        <f>'SER_se-appl'!K12</f>
        <v>19.141642301362705</v>
      </c>
      <c r="L5" s="59">
        <f>'SER_se-appl'!L12</f>
        <v>19.237363871162486</v>
      </c>
      <c r="M5" s="59">
        <f>'SER_se-appl'!M12</f>
        <v>19.477646978708016</v>
      </c>
      <c r="N5" s="59">
        <f>'SER_se-appl'!N12</f>
        <v>19.451866395122234</v>
      </c>
      <c r="O5" s="59">
        <f>'SER_se-appl'!O12</f>
        <v>19.563048735612416</v>
      </c>
      <c r="P5" s="59">
        <f>'SER_se-appl'!P12</f>
        <v>19.866012387868693</v>
      </c>
      <c r="Q5" s="59">
        <f>'SER_se-appl'!Q12</f>
        <v>19.973661878518719</v>
      </c>
      <c r="R5" s="59">
        <f>'SER_se-appl'!R12</f>
        <v>20.268684626713124</v>
      </c>
      <c r="S5" s="59">
        <f>'SER_se-appl'!S12</f>
        <v>20.354944512532182</v>
      </c>
      <c r="T5" s="59">
        <f>'SER_se-appl'!T12</f>
        <v>20.530547458378962</v>
      </c>
      <c r="U5" s="59">
        <f>'SER_se-appl'!U12</f>
        <v>20.690574479787831</v>
      </c>
      <c r="V5" s="59">
        <f>'SER_se-appl'!V12</f>
        <v>20.796783289693909</v>
      </c>
      <c r="W5" s="59">
        <f>'SER_se-appl'!W12</f>
        <v>20.898640997728631</v>
      </c>
      <c r="X5" s="59">
        <f>'SER_se-appl'!X12</f>
        <v>20.884490847281583</v>
      </c>
      <c r="Y5" s="59">
        <f>'SER_se-appl'!Y12</f>
        <v>20.775149352085304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480.59407326409138</v>
      </c>
      <c r="C6" s="201">
        <f>'SER_se-appl'!C68</f>
        <v>486.72496491181136</v>
      </c>
      <c r="D6" s="201">
        <f>'SER_se-appl'!D68</f>
        <v>495.96219774601826</v>
      </c>
      <c r="E6" s="201">
        <f>'SER_se-appl'!E68</f>
        <v>507.28693139401815</v>
      </c>
      <c r="F6" s="201">
        <f>'SER_se-appl'!F68</f>
        <v>522.92137832954313</v>
      </c>
      <c r="G6" s="201">
        <f>'SER_se-appl'!G68</f>
        <v>541.75851829954797</v>
      </c>
      <c r="H6" s="201">
        <f>'SER_se-appl'!H68</f>
        <v>560.60261811855401</v>
      </c>
      <c r="I6" s="201">
        <f>'SER_se-appl'!I68</f>
        <v>580.58785289644015</v>
      </c>
      <c r="J6" s="201">
        <f>'SER_se-appl'!J68</f>
        <v>603.97933798899066</v>
      </c>
      <c r="K6" s="201">
        <f>'SER_se-appl'!K68</f>
        <v>625.54787885776329</v>
      </c>
      <c r="L6" s="201">
        <f>'SER_se-appl'!L68</f>
        <v>643.46218179516677</v>
      </c>
      <c r="M6" s="201">
        <f>'SER_se-appl'!M68</f>
        <v>655.27962319267442</v>
      </c>
      <c r="N6" s="201">
        <f>'SER_se-appl'!N68</f>
        <v>663.53537846084248</v>
      </c>
      <c r="O6" s="201">
        <f>'SER_se-appl'!O68</f>
        <v>673.3369264315761</v>
      </c>
      <c r="P6" s="201">
        <f>'SER_se-appl'!P68</f>
        <v>684.99340777996088</v>
      </c>
      <c r="Q6" s="201">
        <f>'SER_se-appl'!Q68</f>
        <v>697.46251249571958</v>
      </c>
      <c r="R6" s="201">
        <f>'SER_se-appl'!R68</f>
        <v>701.02760303020386</v>
      </c>
      <c r="S6" s="201">
        <f>'SER_se-appl'!S68</f>
        <v>704.56126203290114</v>
      </c>
      <c r="T6" s="201">
        <f>'SER_se-appl'!T68</f>
        <v>708.22972227704179</v>
      </c>
      <c r="U6" s="201">
        <f>'SER_se-appl'!U68</f>
        <v>712.13380624042406</v>
      </c>
      <c r="V6" s="201">
        <f>'SER_se-appl'!V68</f>
        <v>716.46118068400301</v>
      </c>
      <c r="W6" s="201">
        <f>'SER_se-appl'!W68</f>
        <v>721.39702025308327</v>
      </c>
      <c r="X6" s="201">
        <f>'SER_se-appl'!X68</f>
        <v>723.87767691642284</v>
      </c>
      <c r="Y6" s="201">
        <f>'SER_se-appl'!Y68</f>
        <v>725.1212022404045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18.398943392327865</v>
      </c>
      <c r="C8" s="34">
        <f>'SER_se-appl'!C20</f>
        <v>19.106185357569018</v>
      </c>
      <c r="D8" s="34">
        <f>'SER_se-appl'!D20</f>
        <v>19.956481634956642</v>
      </c>
      <c r="E8" s="34">
        <f>'SER_se-appl'!E20</f>
        <v>20.812906935225847</v>
      </c>
      <c r="F8" s="34">
        <f>'SER_se-appl'!F20</f>
        <v>21.932821395298745</v>
      </c>
      <c r="G8" s="34">
        <f>'SER_se-appl'!G20</f>
        <v>23.466661452929031</v>
      </c>
      <c r="H8" s="34">
        <f>'SER_se-appl'!H20</f>
        <v>24.985748202195389</v>
      </c>
      <c r="I8" s="34">
        <f>'SER_se-appl'!I20</f>
        <v>27.255232561696527</v>
      </c>
      <c r="J8" s="34">
        <f>'SER_se-appl'!J20</f>
        <v>28.756732808710069</v>
      </c>
      <c r="K8" s="34">
        <f>'SER_se-appl'!K20</f>
        <v>28.991512996379871</v>
      </c>
      <c r="L8" s="34">
        <f>'SER_se-appl'!L20</f>
        <v>29.450548665721055</v>
      </c>
      <c r="M8" s="34">
        <f>'SER_se-appl'!M20</f>
        <v>30.201442120523275</v>
      </c>
      <c r="N8" s="34">
        <f>'SER_se-appl'!N20</f>
        <v>30.515100892922781</v>
      </c>
      <c r="O8" s="34">
        <f>'SER_se-appl'!O20</f>
        <v>31.124149306037083</v>
      </c>
      <c r="P8" s="34">
        <f>'SER_se-appl'!P20</f>
        <v>32.151412800615844</v>
      </c>
      <c r="Q8" s="34">
        <f>'SER_se-appl'!Q20</f>
        <v>32.865321293424579</v>
      </c>
      <c r="R8" s="34">
        <f>'SER_se-appl'!R20</f>
        <v>33.973701890584614</v>
      </c>
      <c r="S8" s="34">
        <f>'SER_se-appl'!S20</f>
        <v>34.711012003142699</v>
      </c>
      <c r="T8" s="34">
        <f>'SER_se-appl'!T20</f>
        <v>35.664854253456703</v>
      </c>
      <c r="U8" s="34">
        <f>'SER_se-appl'!U20</f>
        <v>36.476130343679955</v>
      </c>
      <c r="V8" s="34">
        <f>'SER_se-appl'!V20</f>
        <v>37.229863997328295</v>
      </c>
      <c r="W8" s="34">
        <f>'SER_se-appl'!W20</f>
        <v>37.970447511972559</v>
      </c>
      <c r="X8" s="34">
        <f>'SER_se-appl'!X20</f>
        <v>38.541842646670567</v>
      </c>
      <c r="Y8" s="34">
        <f>'SER_se-appl'!Y20</f>
        <v>39.014675645238512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1.505265356141841</v>
      </c>
      <c r="D9" s="36">
        <f>'SER_se-appl'!D28</f>
        <v>1.6708922341635564</v>
      </c>
      <c r="E9" s="36">
        <f>'SER_se-appl'!E28</f>
        <v>1.7002323013609875</v>
      </c>
      <c r="F9" s="36">
        <f>'SER_se-appl'!F28</f>
        <v>1.9875890436632844</v>
      </c>
      <c r="G9" s="36">
        <f>'SER_se-appl'!G28</f>
        <v>2.4260573324746986</v>
      </c>
      <c r="H9" s="36">
        <f>'SER_se-appl'!H28</f>
        <v>2.436540919972586</v>
      </c>
      <c r="I9" s="36">
        <f>'SER_se-appl'!I28</f>
        <v>3.2128892666668705</v>
      </c>
      <c r="J9" s="36">
        <f>'SER_se-appl'!J28</f>
        <v>2.4715899226420035</v>
      </c>
      <c r="K9" s="36">
        <f>'SER_se-appl'!K28</f>
        <v>1.2323094262956609</v>
      </c>
      <c r="L9" s="36">
        <f>'SER_se-appl'!L28</f>
        <v>1.4847806153110952</v>
      </c>
      <c r="M9" s="36">
        <f>'SER_se-appl'!M28</f>
        <v>1.8056522061669504</v>
      </c>
      <c r="N9" s="36">
        <f>'SER_se-appl'!N28</f>
        <v>1.3982520018874851</v>
      </c>
      <c r="O9" s="36">
        <f>'SER_se-appl'!O28</f>
        <v>1.7243200066698172</v>
      </c>
      <c r="P9" s="36">
        <f>'SER_se-appl'!P28</f>
        <v>2.1740812079615495</v>
      </c>
      <c r="Q9" s="36">
        <f>'SER_se-appl'!Q28</f>
        <v>1.8931646267659019</v>
      </c>
      <c r="R9" s="36">
        <f>'SER_se-appl'!R28</f>
        <v>2.3209926916956114</v>
      </c>
      <c r="S9" s="36">
        <f>'SER_se-appl'!S28</f>
        <v>1.9842216608404115</v>
      </c>
      <c r="T9" s="36">
        <f>'SER_se-appl'!T28</f>
        <v>2.2360234327763919</v>
      </c>
      <c r="U9" s="36">
        <f>'SER_se-appl'!U28</f>
        <v>2.3165414463650933</v>
      </c>
      <c r="V9" s="36">
        <f>'SER_se-appl'!V28</f>
        <v>2.4246258878118994</v>
      </c>
      <c r="W9" s="36">
        <f>'SER_se-appl'!W28</f>
        <v>2.440815816005248</v>
      </c>
      <c r="X9" s="36">
        <f>'SER_se-appl'!X28</f>
        <v>2.5589841783612925</v>
      </c>
      <c r="Y9" s="36">
        <f>'SER_se-appl'!Y28</f>
        <v>2.8988903310426437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0.79802339090068841</v>
      </c>
      <c r="D10" s="38">
        <f>'SER_se-appl'!D36</f>
        <v>0.82059595677593222</v>
      </c>
      <c r="E10" s="38">
        <f>'SER_se-appl'!E36</f>
        <v>0.84380700109178264</v>
      </c>
      <c r="F10" s="38">
        <f>'SER_se-appl'!F36</f>
        <v>0.86767458359038585</v>
      </c>
      <c r="G10" s="38">
        <f>'SER_se-appl'!G36</f>
        <v>0.8922172748444126</v>
      </c>
      <c r="H10" s="38">
        <f>'SER_se-appl'!H36</f>
        <v>0.91745417070622892</v>
      </c>
      <c r="I10" s="38">
        <f>'SER_se-appl'!I36</f>
        <v>0.943404907165732</v>
      </c>
      <c r="J10" s="38">
        <f>'SER_se-appl'!J36</f>
        <v>0.97008967562846138</v>
      </c>
      <c r="K10" s="38">
        <f>'SER_se-appl'!K36</f>
        <v>0.99752923862585874</v>
      </c>
      <c r="L10" s="38">
        <f>'SER_se-appl'!L36</f>
        <v>1.0257449459699117</v>
      </c>
      <c r="M10" s="38">
        <f>'SER_se-appl'!M36</f>
        <v>1.0547587513647301</v>
      </c>
      <c r="N10" s="38">
        <f>'SER_se-appl'!N36</f>
        <v>1.0845932294879788</v>
      </c>
      <c r="O10" s="38">
        <f>'SER_se-appl'!O36</f>
        <v>1.1152715935555193</v>
      </c>
      <c r="P10" s="38">
        <f>'SER_se-appl'!P36</f>
        <v>1.1468177133827879</v>
      </c>
      <c r="Q10" s="38">
        <f>'SER_se-appl'!Q36</f>
        <v>1.1792561339571677</v>
      </c>
      <c r="R10" s="38">
        <f>'SER_se-appl'!R36</f>
        <v>1.2126120945355794</v>
      </c>
      <c r="S10" s="38">
        <f>'SER_se-appl'!S36</f>
        <v>1.246911548282327</v>
      </c>
      <c r="T10" s="38">
        <f>'SER_se-appl'!T36</f>
        <v>1.2821811824623879</v>
      </c>
      <c r="U10" s="38">
        <f>'SER_se-appl'!U36</f>
        <v>1.505265356141841</v>
      </c>
      <c r="V10" s="38">
        <f>'SER_se-appl'!V36</f>
        <v>1.6708922341635599</v>
      </c>
      <c r="W10" s="38">
        <f>'SER_se-appl'!W36</f>
        <v>1.7002323013609839</v>
      </c>
      <c r="X10" s="38">
        <f>'SER_se-appl'!X36</f>
        <v>1.9875890436632844</v>
      </c>
      <c r="Y10" s="38">
        <f>'SER_se-appl'!Y36</f>
        <v>2.4260573324746986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8759.9999999999982</v>
      </c>
      <c r="C12" s="204">
        <f>'SER_se-appl'!C44</f>
        <v>8760</v>
      </c>
      <c r="D12" s="204">
        <f>'SER_se-appl'!D44</f>
        <v>8759.9999999999964</v>
      </c>
      <c r="E12" s="204">
        <f>'SER_se-appl'!E44</f>
        <v>8759.9999999999982</v>
      </c>
      <c r="F12" s="204">
        <f>'SER_se-appl'!F44</f>
        <v>8759.9999999999982</v>
      </c>
      <c r="G12" s="204">
        <f>'SER_se-appl'!G44</f>
        <v>8760</v>
      </c>
      <c r="H12" s="204">
        <f>'SER_se-appl'!H44</f>
        <v>8759.9999999999964</v>
      </c>
      <c r="I12" s="204">
        <f>'SER_se-appl'!I44</f>
        <v>8760.0000000000018</v>
      </c>
      <c r="J12" s="204">
        <f>'SER_se-appl'!J44</f>
        <v>8760.0000000000018</v>
      </c>
      <c r="K12" s="204">
        <f>'SER_se-appl'!K44</f>
        <v>8760</v>
      </c>
      <c r="L12" s="204">
        <f>'SER_se-appl'!L44</f>
        <v>8760.0000000000018</v>
      </c>
      <c r="M12" s="204">
        <f>'SER_se-appl'!M44</f>
        <v>8760.0000000000018</v>
      </c>
      <c r="N12" s="204">
        <f>'SER_se-appl'!N44</f>
        <v>8760.0000000000018</v>
      </c>
      <c r="O12" s="204">
        <f>'SER_se-appl'!O44</f>
        <v>8760.0000000000018</v>
      </c>
      <c r="P12" s="204">
        <f>'SER_se-appl'!P44</f>
        <v>8760</v>
      </c>
      <c r="Q12" s="204">
        <f>'SER_se-appl'!Q44</f>
        <v>8759.9999999999982</v>
      </c>
      <c r="R12" s="204">
        <f>'SER_se-appl'!R44</f>
        <v>8759.9999999999982</v>
      </c>
      <c r="S12" s="204">
        <f>'SER_se-appl'!S44</f>
        <v>8759.9999999999982</v>
      </c>
      <c r="T12" s="204">
        <f>'SER_se-appl'!T44</f>
        <v>8759.9999999999982</v>
      </c>
      <c r="U12" s="204">
        <f>'SER_se-appl'!U44</f>
        <v>8759.9999999999964</v>
      </c>
      <c r="V12" s="204">
        <f>'SER_se-appl'!V44</f>
        <v>8759.9999999999982</v>
      </c>
      <c r="W12" s="204">
        <f>'SER_se-appl'!W44</f>
        <v>8760.0000000000018</v>
      </c>
      <c r="X12" s="204">
        <f>'SER_se-appl'!X44</f>
        <v>8760.0000000000018</v>
      </c>
      <c r="Y12" s="204">
        <f>'SER_se-appl'!Y44</f>
        <v>8760.0000000000018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0.73606988285484032</v>
      </c>
      <c r="C14" s="59">
        <f>'SER_se-appl'!C52</f>
        <v>0.72979772087535377</v>
      </c>
      <c r="D14" s="59">
        <f>'SER_se-appl'!D52</f>
        <v>0.72274134127072509</v>
      </c>
      <c r="E14" s="59">
        <f>'SER_se-appl'!E52</f>
        <v>0.71547537988069876</v>
      </c>
      <c r="F14" s="59">
        <f>'SER_se-appl'!F52</f>
        <v>0.70704178802766127</v>
      </c>
      <c r="G14" s="59">
        <f>'SER_se-appl'!G52</f>
        <v>0.69703677442751399</v>
      </c>
      <c r="H14" s="59">
        <f>'SER_se-appl'!H52</f>
        <v>0.68718509621954327</v>
      </c>
      <c r="I14" s="59">
        <f>'SER_se-appl'!I52</f>
        <v>0.67531275673615676</v>
      </c>
      <c r="J14" s="59">
        <f>'SER_se-appl'!J52</f>
        <v>0.6661595223795157</v>
      </c>
      <c r="K14" s="59">
        <f>'SER_se-appl'!K52</f>
        <v>0.6602498566995415</v>
      </c>
      <c r="L14" s="59">
        <f>'SER_se-appl'!L52</f>
        <v>0.65320901452521329</v>
      </c>
      <c r="M14" s="59">
        <f>'SER_se-appl'!M52</f>
        <v>0.64492440132426843</v>
      </c>
      <c r="N14" s="59">
        <f>'SER_se-appl'!N52</f>
        <v>0.63745050240465073</v>
      </c>
      <c r="O14" s="59">
        <f>'SER_se-appl'!O52</f>
        <v>0.62854886548876099</v>
      </c>
      <c r="P14" s="59">
        <f>'SER_se-appl'!P52</f>
        <v>0.61788925143246487</v>
      </c>
      <c r="Q14" s="59">
        <f>'SER_se-appl'!Q52</f>
        <v>0.60774278456589692</v>
      </c>
      <c r="R14" s="59">
        <f>'SER_se-appl'!R52</f>
        <v>0.59659923702133666</v>
      </c>
      <c r="S14" s="59">
        <f>'SER_se-appl'!S52</f>
        <v>0.58641172751429049</v>
      </c>
      <c r="T14" s="59">
        <f>'SER_se-appl'!T52</f>
        <v>0.57565207788250261</v>
      </c>
      <c r="U14" s="59">
        <f>'SER_se-appl'!U52</f>
        <v>0.56723600570675081</v>
      </c>
      <c r="V14" s="59">
        <f>'SER_se-appl'!V52</f>
        <v>0.55860486869321724</v>
      </c>
      <c r="W14" s="59">
        <f>'SER_se-appl'!W52</f>
        <v>0.55039227523296974</v>
      </c>
      <c r="X14" s="59">
        <f>'SER_se-appl'!X52</f>
        <v>0.5418653964922896</v>
      </c>
      <c r="Y14" s="59">
        <f>'SER_se-appl'!Y52</f>
        <v>0.53249575982623287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0.656457946737527</v>
      </c>
      <c r="D15" s="63">
        <f>'SER_se-appl'!D60</f>
        <v>0.64859942666198567</v>
      </c>
      <c r="E15" s="63">
        <f>'SER_se-appl'!E60</f>
        <v>0.64041196699022696</v>
      </c>
      <c r="F15" s="63">
        <f>'SER_se-appl'!F60</f>
        <v>0.63140209643514589</v>
      </c>
      <c r="G15" s="63">
        <f>'SER_se-appl'!G60</f>
        <v>0.62094122621080383</v>
      </c>
      <c r="H15" s="63">
        <f>'SER_se-appl'!H60</f>
        <v>0.6107092839975562</v>
      </c>
      <c r="I15" s="63">
        <f>'SER_se-appl'!I60</f>
        <v>0.60082506229236343</v>
      </c>
      <c r="J15" s="63">
        <f>'SER_se-appl'!J60</f>
        <v>0.59266261639957662</v>
      </c>
      <c r="K15" s="63">
        <f>'SER_se-appl'!K60</f>
        <v>0.58371876639697839</v>
      </c>
      <c r="L15" s="63">
        <f>'SER_se-appl'!L60</f>
        <v>0.57297456826007154</v>
      </c>
      <c r="M15" s="63">
        <f>'SER_se-appl'!M60</f>
        <v>0.5630426804400247</v>
      </c>
      <c r="N15" s="63">
        <f>'SER_se-appl'!N60</f>
        <v>0.55251544553179588</v>
      </c>
      <c r="O15" s="63">
        <f>'SER_se-appl'!O60</f>
        <v>0.54056101425749115</v>
      </c>
      <c r="P15" s="63">
        <f>'SER_se-appl'!P60</f>
        <v>0.52762593595909879</v>
      </c>
      <c r="Q15" s="63">
        <f>'SER_se-appl'!Q60</f>
        <v>0.51536163376053667</v>
      </c>
      <c r="R15" s="63">
        <f>'SER_se-appl'!R60</f>
        <v>0.51167330031529457</v>
      </c>
      <c r="S15" s="63">
        <f>'SER_se-appl'!S60</f>
        <v>0.5060291110159032</v>
      </c>
      <c r="T15" s="63">
        <f>'SER_se-appl'!T60</f>
        <v>0.50061098743972565</v>
      </c>
      <c r="U15" s="63">
        <f>'SER_se-appl'!U60</f>
        <v>0.49563992399034201</v>
      </c>
      <c r="V15" s="63">
        <f>'SER_se-appl'!V60</f>
        <v>0.49077614859272023</v>
      </c>
      <c r="W15" s="63">
        <f>'SER_se-appl'!W60</f>
        <v>0.48783149170116391</v>
      </c>
      <c r="X15" s="63">
        <f>'SER_se-appl'!X60</f>
        <v>0.48488683480960759</v>
      </c>
      <c r="Y15" s="63">
        <f>'SER_se-appl'!Y60</f>
        <v>0.48194217791805127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43.32399105984841</v>
      </c>
      <c r="C3" s="198">
        <f>'SER_se-appl'!C5</f>
        <v>44.056773484697437</v>
      </c>
      <c r="D3" s="198">
        <f>'SER_se-appl'!D5</f>
        <v>49.502002787867944</v>
      </c>
      <c r="E3" s="198">
        <f>'SER_se-appl'!E5</f>
        <v>51.165688016898599</v>
      </c>
      <c r="F3" s="198">
        <f>'SER_se-appl'!F5</f>
        <v>53.352917980555311</v>
      </c>
      <c r="G3" s="198">
        <f>'SER_se-appl'!G5</f>
        <v>55.357090975260306</v>
      </c>
      <c r="H3" s="198">
        <f>'SER_se-appl'!H5</f>
        <v>57.905257156746941</v>
      </c>
      <c r="I3" s="198">
        <f>'SER_se-appl'!I5</f>
        <v>60.00264852484235</v>
      </c>
      <c r="J3" s="198">
        <f>'SER_se-appl'!J5</f>
        <v>62.497286145424383</v>
      </c>
      <c r="K3" s="198">
        <f>'SER_se-appl'!K5</f>
        <v>63.704101160682434</v>
      </c>
      <c r="L3" s="198">
        <f>'SER_se-appl'!L5</f>
        <v>65.411122620710728</v>
      </c>
      <c r="M3" s="198">
        <f>'SER_se-appl'!M5</f>
        <v>65.056035556038353</v>
      </c>
      <c r="N3" s="198">
        <f>'SER_se-appl'!N5</f>
        <v>65.33073984931967</v>
      </c>
      <c r="O3" s="198">
        <f>'SER_se-appl'!O5</f>
        <v>65.455375322817872</v>
      </c>
      <c r="P3" s="198">
        <f>'SER_se-appl'!P5</f>
        <v>64.935828617880588</v>
      </c>
      <c r="Q3" s="198">
        <f>'SER_se-appl'!Q5</f>
        <v>64.246172813606947</v>
      </c>
      <c r="R3" s="198">
        <f>'SER_se-appl'!R5</f>
        <v>63.350562582006589</v>
      </c>
      <c r="S3" s="198">
        <f>'SER_se-appl'!S5</f>
        <v>62.285594897606408</v>
      </c>
      <c r="T3" s="198">
        <f>'SER_se-appl'!T5</f>
        <v>60.187131485799192</v>
      </c>
      <c r="U3" s="198">
        <f>'SER_se-appl'!U5</f>
        <v>58.24243360434339</v>
      </c>
      <c r="V3" s="198">
        <f>'SER_se-appl'!V5</f>
        <v>55.937069687838679</v>
      </c>
      <c r="W3" s="198">
        <f>'SER_se-appl'!W5</f>
        <v>53.991248167196574</v>
      </c>
      <c r="X3" s="198">
        <f>'SER_se-appl'!X5</f>
        <v>52.422382518111903</v>
      </c>
      <c r="Y3" s="198">
        <f>'SER_se-appl'!Y5</f>
        <v>50.66840496354849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121.83115736096711</v>
      </c>
      <c r="C5" s="59">
        <f>'SER_se-appl'!C13</f>
        <v>123.69618308971687</v>
      </c>
      <c r="D5" s="59">
        <f>'SER_se-appl'!D13</f>
        <v>138.90216037603111</v>
      </c>
      <c r="E5" s="59">
        <f>'SER_se-appl'!E13</f>
        <v>143.52924521197431</v>
      </c>
      <c r="F5" s="59">
        <f>'SER_se-appl'!F13</f>
        <v>149.66247590416296</v>
      </c>
      <c r="G5" s="59">
        <f>'SER_se-appl'!G13</f>
        <v>155.35266611669158</v>
      </c>
      <c r="H5" s="59">
        <f>'SER_se-appl'!H13</f>
        <v>162.74173633345728</v>
      </c>
      <c r="I5" s="59">
        <f>'SER_se-appl'!I13</f>
        <v>169.2483916843189</v>
      </c>
      <c r="J5" s="59">
        <f>'SER_se-appl'!J13</f>
        <v>176.55845723881282</v>
      </c>
      <c r="K5" s="59">
        <f>'SER_se-appl'!K13</f>
        <v>180.44555336358525</v>
      </c>
      <c r="L5" s="59">
        <f>'SER_se-appl'!L13</f>
        <v>185.75208931510687</v>
      </c>
      <c r="M5" s="59">
        <f>'SER_se-appl'!M13</f>
        <v>186.92783092347895</v>
      </c>
      <c r="N5" s="59">
        <f>'SER_se-appl'!N13</f>
        <v>188.63534569293282</v>
      </c>
      <c r="O5" s="59">
        <f>'SER_se-appl'!O13</f>
        <v>189.77212149989404</v>
      </c>
      <c r="P5" s="59">
        <f>'SER_se-appl'!P13</f>
        <v>189.25293673514784</v>
      </c>
      <c r="Q5" s="59">
        <f>'SER_se-appl'!Q13</f>
        <v>189.08919505390983</v>
      </c>
      <c r="R5" s="59">
        <f>'SER_se-appl'!R13</f>
        <v>185.40786312276441</v>
      </c>
      <c r="S5" s="59">
        <f>'SER_se-appl'!S13</f>
        <v>179.78209191540145</v>
      </c>
      <c r="T5" s="59">
        <f>'SER_se-appl'!T13</f>
        <v>176.36089132260662</v>
      </c>
      <c r="U5" s="59">
        <f>'SER_se-appl'!U13</f>
        <v>172.30202296374856</v>
      </c>
      <c r="V5" s="59">
        <f>'SER_se-appl'!V13</f>
        <v>166.94689879683887</v>
      </c>
      <c r="W5" s="59">
        <f>'SER_se-appl'!W13</f>
        <v>162.0937410413421</v>
      </c>
      <c r="X5" s="59">
        <f>'SER_se-appl'!X13</f>
        <v>158.50395028079785</v>
      </c>
      <c r="Y5" s="59">
        <f>'SER_se-appl'!Y13</f>
        <v>154.29897149359024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0.16569221851141877</v>
      </c>
      <c r="C6" s="201">
        <f>'SER_se-appl'!C69</f>
        <v>0.16742868240945305</v>
      </c>
      <c r="D6" s="201">
        <f>'SER_se-appl'!D69</f>
        <v>0.18811217301379279</v>
      </c>
      <c r="E6" s="201">
        <f>'SER_se-appl'!E69</f>
        <v>0.19393464148672038</v>
      </c>
      <c r="F6" s="201">
        <f>'SER_se-appl'!F69</f>
        <v>0.20250716196811847</v>
      </c>
      <c r="G6" s="201">
        <f>'SER_se-appl'!G69</f>
        <v>0.21016139647449958</v>
      </c>
      <c r="H6" s="201">
        <f>'SER_se-appl'!H69</f>
        <v>0.22014975352049146</v>
      </c>
      <c r="I6" s="201">
        <f>'SER_se-appl'!I69</f>
        <v>0.22770537928230472</v>
      </c>
      <c r="J6" s="201">
        <f>'SER_se-appl'!J69</f>
        <v>0.23544892730933509</v>
      </c>
      <c r="K6" s="201">
        <f>'SER_se-appl'!K69</f>
        <v>0.24410009631209198</v>
      </c>
      <c r="L6" s="201">
        <f>'SER_se-appl'!L69</f>
        <v>0.25530176258076159</v>
      </c>
      <c r="M6" s="201">
        <f>'SER_se-appl'!M69</f>
        <v>0.26196933570028064</v>
      </c>
      <c r="N6" s="201">
        <f>'SER_se-appl'!N69</f>
        <v>0.2708134335029142</v>
      </c>
      <c r="O6" s="201">
        <f>'SER_se-appl'!O69</f>
        <v>0.28001986354108072</v>
      </c>
      <c r="P6" s="201">
        <f>'SER_se-appl'!P69</f>
        <v>0.28686728266731393</v>
      </c>
      <c r="Q6" s="201">
        <f>'SER_se-appl'!Q69</f>
        <v>0.29369371252202797</v>
      </c>
      <c r="R6" s="201">
        <f>'SER_se-appl'!R69</f>
        <v>0.29976340995154688</v>
      </c>
      <c r="S6" s="201">
        <f>'SER_se-appl'!S69</f>
        <v>0.29751380282472029</v>
      </c>
      <c r="T6" s="201">
        <f>'SER_se-appl'!T69</f>
        <v>0.30016830801602734</v>
      </c>
      <c r="U6" s="201">
        <f>'SER_se-appl'!U69</f>
        <v>0.30067925412651869</v>
      </c>
      <c r="V6" s="201">
        <f>'SER_se-appl'!V69</f>
        <v>0.30146456056645105</v>
      </c>
      <c r="W6" s="201">
        <f>'SER_se-appl'!W69</f>
        <v>0.30276298420081804</v>
      </c>
      <c r="X6" s="201">
        <f>'SER_se-appl'!X69</f>
        <v>0.30367520677894227</v>
      </c>
      <c r="Y6" s="201">
        <f>'SER_se-appl'!Y69</f>
        <v>0.30431539746060793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625.91312542108756</v>
      </c>
      <c r="C8" s="34">
        <f>'SER_se-appl'!C21</f>
        <v>641.71780765135077</v>
      </c>
      <c r="D8" s="34">
        <f>'SER_se-appl'!D21</f>
        <v>733.5814173262338</v>
      </c>
      <c r="E8" s="34">
        <f>'SER_se-appl'!E21</f>
        <v>768.79396036988362</v>
      </c>
      <c r="F8" s="34">
        <f>'SER_se-appl'!F21</f>
        <v>815.87118200241605</v>
      </c>
      <c r="G8" s="34">
        <f>'SER_se-appl'!G21</f>
        <v>864.1147293650987</v>
      </c>
      <c r="H8" s="34">
        <f>'SER_se-appl'!H21</f>
        <v>926.42450617577731</v>
      </c>
      <c r="I8" s="34">
        <f>'SER_se-appl'!I21</f>
        <v>988.26821531995779</v>
      </c>
      <c r="J8" s="34">
        <f>'SER_se-appl'!J21</f>
        <v>1049.5759874470982</v>
      </c>
      <c r="K8" s="34">
        <f>'SER_se-appl'!K21</f>
        <v>1103.6551356579803</v>
      </c>
      <c r="L8" s="34">
        <f>'SER_se-appl'!L21</f>
        <v>1161.4769871342689</v>
      </c>
      <c r="M8" s="34">
        <f>'SER_se-appl'!M21</f>
        <v>1197.4306591350346</v>
      </c>
      <c r="N8" s="34">
        <f>'SER_se-appl'!N21</f>
        <v>1242.8405698002887</v>
      </c>
      <c r="O8" s="34">
        <f>'SER_se-appl'!O21</f>
        <v>1290.8296865345396</v>
      </c>
      <c r="P8" s="34">
        <f>'SER_se-appl'!P21</f>
        <v>1330.4480006531674</v>
      </c>
      <c r="Q8" s="34">
        <f>'SER_se-appl'!Q21</f>
        <v>1373.789639423276</v>
      </c>
      <c r="R8" s="34">
        <f>'SER_se-appl'!R21</f>
        <v>1416.7676077662566</v>
      </c>
      <c r="S8" s="34">
        <f>'SER_se-appl'!S21</f>
        <v>1427.8154494228761</v>
      </c>
      <c r="T8" s="34">
        <f>'SER_se-appl'!T21</f>
        <v>1457.5371587875886</v>
      </c>
      <c r="U8" s="34">
        <f>'SER_se-appl'!U21</f>
        <v>1485.4490266330356</v>
      </c>
      <c r="V8" s="34">
        <f>'SER_se-appl'!V21</f>
        <v>1511.1212562953924</v>
      </c>
      <c r="W8" s="34">
        <f>'SER_se-appl'!W21</f>
        <v>1534.0676453062354</v>
      </c>
      <c r="X8" s="34">
        <f>'SER_se-appl'!X21</f>
        <v>1565.2261337709463</v>
      </c>
      <c r="Y8" s="34">
        <f>'SER_se-appl'!Y21</f>
        <v>1604.1666645968612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94.32199720160304</v>
      </c>
      <c r="D9" s="36">
        <f>'SER_se-appl'!D29</f>
        <v>173.76069316569715</v>
      </c>
      <c r="E9" s="36">
        <f>'SER_se-appl'!E29</f>
        <v>120.63487678939248</v>
      </c>
      <c r="F9" s="36">
        <f>'SER_se-appl'!F29</f>
        <v>136.17654961272228</v>
      </c>
      <c r="G9" s="36">
        <f>'SER_se-appl'!G29</f>
        <v>141.17814535845673</v>
      </c>
      <c r="H9" s="36">
        <f>'SER_se-appl'!H29</f>
        <v>159.2447335654191</v>
      </c>
      <c r="I9" s="36">
        <f>'SER_se-appl'!I29</f>
        <v>162.95121962666701</v>
      </c>
      <c r="J9" s="36">
        <f>'SER_se-appl'!J29</f>
        <v>155.62976932874346</v>
      </c>
      <c r="K9" s="36">
        <f>'SER_se-appl'!K29</f>
        <v>227.83984137657922</v>
      </c>
      <c r="L9" s="36">
        <f>'SER_se-appl'!L29</f>
        <v>178.45672826568114</v>
      </c>
      <c r="M9" s="36">
        <f>'SER_se-appl'!M29</f>
        <v>172.13022161348795</v>
      </c>
      <c r="N9" s="36">
        <f>'SER_se-appl'!N29</f>
        <v>186.58805602371081</v>
      </c>
      <c r="O9" s="36">
        <f>'SER_se-appl'!O29</f>
        <v>207.23385029966994</v>
      </c>
      <c r="P9" s="36">
        <f>'SER_se-appl'!P29</f>
        <v>202.56953374529462</v>
      </c>
      <c r="Q9" s="36">
        <f>'SER_se-appl'!Q29</f>
        <v>198.97140809885218</v>
      </c>
      <c r="R9" s="36">
        <f>'SER_se-appl'!R29</f>
        <v>270.81780971955982</v>
      </c>
      <c r="S9" s="36">
        <f>'SER_se-appl'!S29</f>
        <v>189.50456992230056</v>
      </c>
      <c r="T9" s="36">
        <f>'SER_se-appl'!T29</f>
        <v>201.85193097820047</v>
      </c>
      <c r="U9" s="36">
        <f>'SER_se-appl'!U29</f>
        <v>214.49992386915778</v>
      </c>
      <c r="V9" s="36">
        <f>'SER_se-appl'!V29</f>
        <v>232.90607996202675</v>
      </c>
      <c r="W9" s="36">
        <f>'SER_se-appl'!W29</f>
        <v>225.51592275613757</v>
      </c>
      <c r="X9" s="36">
        <f>'SER_se-appl'!X29</f>
        <v>230.12989656356308</v>
      </c>
      <c r="Y9" s="36">
        <f>'SER_se-appl'!Y29</f>
        <v>309.75834054547477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78.517314971339829</v>
      </c>
      <c r="D10" s="38">
        <f>'SER_se-appl'!D37</f>
        <v>81.897083490814111</v>
      </c>
      <c r="E10" s="38">
        <f>'SER_se-appl'!E37</f>
        <v>85.422333745742662</v>
      </c>
      <c r="F10" s="38">
        <f>'SER_se-appl'!F37</f>
        <v>89.099327980189855</v>
      </c>
      <c r="G10" s="38">
        <f>'SER_se-appl'!G37</f>
        <v>92.934597995774084</v>
      </c>
      <c r="H10" s="38">
        <f>'SER_se-appl'!H37</f>
        <v>96.934956754740483</v>
      </c>
      <c r="I10" s="38">
        <f>'SER_se-appl'!I37</f>
        <v>101.10751048248653</v>
      </c>
      <c r="J10" s="38">
        <f>'SER_se-appl'!J37</f>
        <v>94.321997201603153</v>
      </c>
      <c r="K10" s="38">
        <f>'SER_se-appl'!K37</f>
        <v>173.76069316569715</v>
      </c>
      <c r="L10" s="38">
        <f>'SER_se-appl'!L37</f>
        <v>120.63487678939259</v>
      </c>
      <c r="M10" s="38">
        <f>'SER_se-appl'!M37</f>
        <v>136.17654961272228</v>
      </c>
      <c r="N10" s="38">
        <f>'SER_se-appl'!N37</f>
        <v>141.17814535845673</v>
      </c>
      <c r="O10" s="38">
        <f>'SER_se-appl'!O37</f>
        <v>159.24473356541898</v>
      </c>
      <c r="P10" s="38">
        <f>'SER_se-appl'!P37</f>
        <v>162.9512196266669</v>
      </c>
      <c r="Q10" s="38">
        <f>'SER_se-appl'!Q37</f>
        <v>155.62976932874358</v>
      </c>
      <c r="R10" s="38">
        <f>'SER_se-appl'!R37</f>
        <v>227.83984137657922</v>
      </c>
      <c r="S10" s="38">
        <f>'SER_se-appl'!S37</f>
        <v>178.45672826568102</v>
      </c>
      <c r="T10" s="38">
        <f>'SER_se-appl'!T37</f>
        <v>172.13022161348795</v>
      </c>
      <c r="U10" s="38">
        <f>'SER_se-appl'!U37</f>
        <v>186.58805602371081</v>
      </c>
      <c r="V10" s="38">
        <f>'SER_se-appl'!V37</f>
        <v>207.23385029966994</v>
      </c>
      <c r="W10" s="38">
        <f>'SER_se-appl'!W37</f>
        <v>202.56953374529462</v>
      </c>
      <c r="X10" s="38">
        <f>'SER_se-appl'!X37</f>
        <v>198.97140809885218</v>
      </c>
      <c r="Y10" s="38">
        <f>'SER_se-appl'!Y37</f>
        <v>270.81780971955982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4135.7073751928883</v>
      </c>
      <c r="C12" s="204">
        <f>'SER_se-appl'!C45</f>
        <v>4142.2480696546772</v>
      </c>
      <c r="D12" s="204">
        <f>'SER_se-appl'!D45</f>
        <v>4144.7036594993679</v>
      </c>
      <c r="E12" s="204">
        <f>'SER_se-appl'!E45</f>
        <v>4145.893408397068</v>
      </c>
      <c r="F12" s="204">
        <f>'SER_se-appl'!F45</f>
        <v>4145.9586470505446</v>
      </c>
      <c r="G12" s="204">
        <f>'SER_se-appl'!G45</f>
        <v>4144.1385213092599</v>
      </c>
      <c r="H12" s="204">
        <f>'SER_se-appl'!H45</f>
        <v>4138.0788721160898</v>
      </c>
      <c r="I12" s="204">
        <f>'SER_se-appl'!I45</f>
        <v>4123.1162990636058</v>
      </c>
      <c r="J12" s="204">
        <f>'SER_se-appl'!J45</f>
        <v>4116.729661316409</v>
      </c>
      <c r="K12" s="204">
        <f>'SER_se-appl'!K45</f>
        <v>4105.8296128024704</v>
      </c>
      <c r="L12" s="204">
        <f>'SER_se-appl'!L45</f>
        <v>4095.4121102152089</v>
      </c>
      <c r="M12" s="204">
        <f>'SER_se-appl'!M45</f>
        <v>4047.5604396567869</v>
      </c>
      <c r="N12" s="204">
        <f>'SER_se-appl'!N45</f>
        <v>4027.8586266881866</v>
      </c>
      <c r="O12" s="204">
        <f>'SER_se-appl'!O45</f>
        <v>4011.3690514061987</v>
      </c>
      <c r="P12" s="204">
        <f>'SER_se-appl'!P45</f>
        <v>3990.4463299442982</v>
      </c>
      <c r="Q12" s="204">
        <f>'SER_se-appl'!Q45</f>
        <v>3951.4843225665272</v>
      </c>
      <c r="R12" s="204">
        <f>'SER_se-appl'!R45</f>
        <v>3973.763735904231</v>
      </c>
      <c r="S12" s="204">
        <f>'SER_se-appl'!S45</f>
        <v>4029.219267289584</v>
      </c>
      <c r="T12" s="204">
        <f>'SER_se-appl'!T45</f>
        <v>3968.9997818134125</v>
      </c>
      <c r="U12" s="204">
        <f>'SER_se-appl'!U45</f>
        <v>3931.2336046166247</v>
      </c>
      <c r="V12" s="204">
        <f>'SER_se-appl'!V45</f>
        <v>3896.7367777297222</v>
      </c>
      <c r="W12" s="204">
        <f>'SER_se-appl'!W45</f>
        <v>3873.796805173034</v>
      </c>
      <c r="X12" s="204">
        <f>'SER_se-appl'!X45</f>
        <v>3846.4171246557307</v>
      </c>
      <c r="Y12" s="204">
        <f>'SER_se-appl'!Y45</f>
        <v>3819.0374441384274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194.64547460800463</v>
      </c>
      <c r="C14" s="59">
        <f>'SER_se-appl'!C53</f>
        <v>192.75790949675775</v>
      </c>
      <c r="D14" s="59">
        <f>'SER_se-appl'!D53</f>
        <v>189.34798114475601</v>
      </c>
      <c r="E14" s="59">
        <f>'SER_se-appl'!E53</f>
        <v>186.69403326597316</v>
      </c>
      <c r="F14" s="59">
        <f>'SER_se-appl'!F53</f>
        <v>183.43885555173313</v>
      </c>
      <c r="G14" s="59">
        <f>'SER_se-appl'!G53</f>
        <v>179.78245346059046</v>
      </c>
      <c r="H14" s="59">
        <f>'SER_se-appl'!H53</f>
        <v>175.66648469311875</v>
      </c>
      <c r="I14" s="59">
        <f>'SER_se-appl'!I53</f>
        <v>171.25754836658763</v>
      </c>
      <c r="J14" s="59">
        <f>'SER_se-appl'!J53</f>
        <v>168.21884203759177</v>
      </c>
      <c r="K14" s="59">
        <f>'SER_se-appl'!K53</f>
        <v>163.49813228206173</v>
      </c>
      <c r="L14" s="59">
        <f>'SER_se-appl'!L53</f>
        <v>159.92748145050726</v>
      </c>
      <c r="M14" s="59">
        <f>'SER_se-appl'!M53</f>
        <v>156.10743678344306</v>
      </c>
      <c r="N14" s="59">
        <f>'SER_se-appl'!N53</f>
        <v>151.77758940009861</v>
      </c>
      <c r="O14" s="59">
        <f>'SER_se-appl'!O53</f>
        <v>147.01561598677733</v>
      </c>
      <c r="P14" s="59">
        <f>'SER_se-appl'!P53</f>
        <v>142.24752612821877</v>
      </c>
      <c r="Q14" s="59">
        <f>'SER_se-appl'!Q53</f>
        <v>137.6405743846565</v>
      </c>
      <c r="R14" s="59">
        <f>'SER_se-appl'!R53</f>
        <v>130.86681408187141</v>
      </c>
      <c r="S14" s="59">
        <f>'SER_se-appl'!S53</f>
        <v>125.91409624266882</v>
      </c>
      <c r="T14" s="59">
        <f>'SER_se-appl'!T53</f>
        <v>120.9992419468108</v>
      </c>
      <c r="U14" s="59">
        <f>'SER_se-appl'!U53</f>
        <v>115.99322485961945</v>
      </c>
      <c r="V14" s="59">
        <f>'SER_se-appl'!V53</f>
        <v>110.47882365583258</v>
      </c>
      <c r="W14" s="59">
        <f>'SER_se-appl'!W53</f>
        <v>105.66270759786765</v>
      </c>
      <c r="X14" s="59">
        <f>'SER_se-appl'!X53</f>
        <v>101.26584706257732</v>
      </c>
      <c r="Y14" s="59">
        <f>'SER_se-appl'!Y53</f>
        <v>96.186371964266385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181.80346340250043</v>
      </c>
      <c r="D15" s="63">
        <f>'SER_se-appl'!D61</f>
        <v>179.25155225810278</v>
      </c>
      <c r="E15" s="63">
        <f>'SER_se-appl'!E61</f>
        <v>176.18582698196556</v>
      </c>
      <c r="F15" s="63">
        <f>'SER_se-appl'!F61</f>
        <v>172.3939381700545</v>
      </c>
      <c r="G15" s="63">
        <f>'SER_se-appl'!G61</f>
        <v>168.43604997461281</v>
      </c>
      <c r="H15" s="63">
        <f>'SER_se-appl'!H61</f>
        <v>164.88470477180334</v>
      </c>
      <c r="I15" s="63">
        <f>'SER_se-appl'!I61</f>
        <v>160.70315260698769</v>
      </c>
      <c r="J15" s="63">
        <f>'SER_se-appl'!J61</f>
        <v>157.15586694164094</v>
      </c>
      <c r="K15" s="63">
        <f>'SER_se-appl'!K61</f>
        <v>153.76577636508517</v>
      </c>
      <c r="L15" s="63">
        <f>'SER_se-appl'!L61</f>
        <v>148.83547255212198</v>
      </c>
      <c r="M15" s="63">
        <f>'SER_se-appl'!M61</f>
        <v>143.21571802698136</v>
      </c>
      <c r="N15" s="63">
        <f>'SER_se-appl'!N61</f>
        <v>136.59504503940613</v>
      </c>
      <c r="O15" s="63">
        <f>'SER_se-appl'!O61</f>
        <v>132.18784792034273</v>
      </c>
      <c r="P15" s="63">
        <f>'SER_se-appl'!P61</f>
        <v>126.71002137313791</v>
      </c>
      <c r="Q15" s="63">
        <f>'SER_se-appl'!Q61</f>
        <v>122.09990305480696</v>
      </c>
      <c r="R15" s="63">
        <f>'SER_se-appl'!R61</f>
        <v>115.7702227836815</v>
      </c>
      <c r="S15" s="63">
        <f>'SER_se-appl'!S61</f>
        <v>110.47184921582063</v>
      </c>
      <c r="T15" s="63">
        <f>'SER_se-appl'!T61</f>
        <v>105.17884365454553</v>
      </c>
      <c r="U15" s="63">
        <f>'SER_se-appl'!U61</f>
        <v>99.898103323275777</v>
      </c>
      <c r="V15" s="63">
        <f>'SER_se-appl'!V61</f>
        <v>94.624719646835288</v>
      </c>
      <c r="W15" s="63">
        <f>'SER_se-appl'!W61</f>
        <v>92.29695154352315</v>
      </c>
      <c r="X15" s="63">
        <f>'SER_se-appl'!X61</f>
        <v>89.969183440210998</v>
      </c>
      <c r="Y15" s="63">
        <f>'SER_se-appl'!Y61</f>
        <v>87.641415336898859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58.938752901654965</v>
      </c>
      <c r="C3" s="198">
        <f>'SER_se-appl'!C6</f>
        <v>60.759056164203564</v>
      </c>
      <c r="D3" s="198">
        <f>'SER_se-appl'!D6</f>
        <v>62.550429239376697</v>
      </c>
      <c r="E3" s="198">
        <f>'SER_se-appl'!E6</f>
        <v>63.792821909368698</v>
      </c>
      <c r="F3" s="198">
        <f>'SER_se-appl'!F6</f>
        <v>65.286174912388603</v>
      </c>
      <c r="G3" s="198">
        <f>'SER_se-appl'!G6</f>
        <v>67.327065958051818</v>
      </c>
      <c r="H3" s="198">
        <f>'SER_se-appl'!H6</f>
        <v>68.611493077833657</v>
      </c>
      <c r="I3" s="198">
        <f>'SER_se-appl'!I6</f>
        <v>71.871999076617897</v>
      </c>
      <c r="J3" s="198">
        <f>'SER_se-appl'!J6</f>
        <v>72.989326280653785</v>
      </c>
      <c r="K3" s="198">
        <f>'SER_se-appl'!K6</f>
        <v>71.72631498757994</v>
      </c>
      <c r="L3" s="198">
        <f>'SER_se-appl'!L6</f>
        <v>70.702594462158729</v>
      </c>
      <c r="M3" s="198">
        <f>'SER_se-appl'!M6</f>
        <v>70.059988875020196</v>
      </c>
      <c r="N3" s="198">
        <f>'SER_se-appl'!N6</f>
        <v>68.597219486890566</v>
      </c>
      <c r="O3" s="198">
        <f>'SER_se-appl'!O6</f>
        <v>66.350853534408245</v>
      </c>
      <c r="P3" s="198">
        <f>'SER_se-appl'!P6</f>
        <v>65.304010764755859</v>
      </c>
      <c r="Q3" s="198">
        <f>'SER_se-appl'!Q6</f>
        <v>64.820664607071706</v>
      </c>
      <c r="R3" s="198">
        <f>'SER_se-appl'!R6</f>
        <v>65.096740254133763</v>
      </c>
      <c r="S3" s="198">
        <f>'SER_se-appl'!S6</f>
        <v>65.069373648861315</v>
      </c>
      <c r="T3" s="198">
        <f>'SER_se-appl'!T6</f>
        <v>62.331030133684592</v>
      </c>
      <c r="U3" s="198">
        <f>'SER_se-appl'!U6</f>
        <v>59.225387462209689</v>
      </c>
      <c r="V3" s="198">
        <f>'SER_se-appl'!V6</f>
        <v>52.814320010743522</v>
      </c>
      <c r="W3" s="198">
        <f>'SER_se-appl'!W6</f>
        <v>56.063951275852325</v>
      </c>
      <c r="X3" s="198">
        <f>'SER_se-appl'!X6</f>
        <v>51.451365661470525</v>
      </c>
      <c r="Y3" s="198">
        <f>'SER_se-appl'!Y6</f>
        <v>47.61864612267604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293.60912195565533</v>
      </c>
      <c r="C5" s="59">
        <f>'SER_se-appl'!C14</f>
        <v>299.35127060869678</v>
      </c>
      <c r="D5" s="59">
        <f>'SER_se-appl'!D14</f>
        <v>304.90872411702389</v>
      </c>
      <c r="E5" s="59">
        <f>'SER_se-appl'!E14</f>
        <v>307.94640515682005</v>
      </c>
      <c r="F5" s="59">
        <f>'SER_se-appl'!F14</f>
        <v>312.71406402173221</v>
      </c>
      <c r="G5" s="59">
        <f>'SER_se-appl'!G14</f>
        <v>319.9048281847987</v>
      </c>
      <c r="H5" s="59">
        <f>'SER_se-appl'!H14</f>
        <v>324.73028411801255</v>
      </c>
      <c r="I5" s="59">
        <f>'SER_se-appl'!I14</f>
        <v>338.3545428923349</v>
      </c>
      <c r="J5" s="59">
        <f>'SER_se-appl'!J14</f>
        <v>341.96892223549247</v>
      </c>
      <c r="K5" s="59">
        <f>'SER_se-appl'!K14</f>
        <v>335.18293128738981</v>
      </c>
      <c r="L5" s="59">
        <f>'SER_se-appl'!L14</f>
        <v>329.01058106626374</v>
      </c>
      <c r="M5" s="59">
        <f>'SER_se-appl'!M14</f>
        <v>325.08147145211353</v>
      </c>
      <c r="N5" s="59">
        <f>'SER_se-appl'!N14</f>
        <v>317.38203016625243</v>
      </c>
      <c r="O5" s="59">
        <f>'SER_se-appl'!O14</f>
        <v>306.490989085482</v>
      </c>
      <c r="P5" s="59">
        <f>'SER_se-appl'!P14</f>
        <v>300.34897924600301</v>
      </c>
      <c r="Q5" s="59">
        <f>'SER_se-appl'!Q14</f>
        <v>295.12579657593727</v>
      </c>
      <c r="R5" s="59">
        <f>'SER_se-appl'!R14</f>
        <v>290.94373027869204</v>
      </c>
      <c r="S5" s="59">
        <f>'SER_se-appl'!S14</f>
        <v>282.02836485672617</v>
      </c>
      <c r="T5" s="59">
        <f>'SER_se-appl'!T14</f>
        <v>273.71723964446568</v>
      </c>
      <c r="U5" s="59">
        <f>'SER_se-appl'!U14</f>
        <v>261.21199717229803</v>
      </c>
      <c r="V5" s="59">
        <f>'SER_se-appl'!V14</f>
        <v>248.46399191892036</v>
      </c>
      <c r="W5" s="59">
        <f>'SER_se-appl'!W14</f>
        <v>239.38793273934542</v>
      </c>
      <c r="X5" s="59">
        <f>'SER_se-appl'!X14</f>
        <v>227.81911423093064</v>
      </c>
      <c r="Y5" s="59">
        <f>'SER_se-appl'!Y14</f>
        <v>214.8215517944185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178.43306438163086</v>
      </c>
      <c r="C6" s="201">
        <f>'SER_se-appl'!C70</f>
        <v>179.20801846215278</v>
      </c>
      <c r="D6" s="201">
        <f>'SER_se-appl'!D70</f>
        <v>180.90874850603751</v>
      </c>
      <c r="E6" s="201">
        <f>'SER_se-appl'!E70</f>
        <v>182.62132450646953</v>
      </c>
      <c r="F6" s="201">
        <f>'SER_se-appl'!F70</f>
        <v>185.42878829901323</v>
      </c>
      <c r="G6" s="201">
        <f>'SER_se-appl'!G70</f>
        <v>188.37140182448175</v>
      </c>
      <c r="H6" s="201">
        <f>'SER_se-appl'!H70</f>
        <v>191.26708171150253</v>
      </c>
      <c r="I6" s="201">
        <f>'SER_se-appl'!I70</f>
        <v>194.29040929677564</v>
      </c>
      <c r="J6" s="201">
        <f>'SER_se-appl'!J70</f>
        <v>198.65576241819198</v>
      </c>
      <c r="K6" s="201">
        <f>'SER_se-appl'!K70</f>
        <v>205.15747212410685</v>
      </c>
      <c r="L6" s="201">
        <f>'SER_se-appl'!L70</f>
        <v>210.41554034476019</v>
      </c>
      <c r="M6" s="201">
        <f>'SER_se-appl'!M70</f>
        <v>215.16347880798227</v>
      </c>
      <c r="N6" s="201">
        <f>'SER_se-appl'!N70</f>
        <v>219.96019433196011</v>
      </c>
      <c r="O6" s="201">
        <f>'SER_se-appl'!O70</f>
        <v>223.78063373021959</v>
      </c>
      <c r="P6" s="201">
        <f>'SER_se-appl'!P70</f>
        <v>228.24109433394887</v>
      </c>
      <c r="Q6" s="201">
        <f>'SER_se-appl'!Q70</f>
        <v>234.78547355218362</v>
      </c>
      <c r="R6" s="201">
        <f>'SER_se-appl'!R70</f>
        <v>239.47541905733584</v>
      </c>
      <c r="S6" s="201">
        <f>'SER_se-appl'!S70</f>
        <v>244.21632932428162</v>
      </c>
      <c r="T6" s="201">
        <f>'SER_se-appl'!T70</f>
        <v>248.81018492000243</v>
      </c>
      <c r="U6" s="201">
        <f>'SER_se-appl'!U70</f>
        <v>253.13589066691156</v>
      </c>
      <c r="V6" s="201">
        <f>'SER_se-appl'!V70</f>
        <v>256.96776182652201</v>
      </c>
      <c r="W6" s="201">
        <f>'SER_se-appl'!W70</f>
        <v>260.09173961688691</v>
      </c>
      <c r="X6" s="201">
        <f>'SER_se-appl'!X70</f>
        <v>261.66794170480131</v>
      </c>
      <c r="Y6" s="201">
        <f>'SER_se-appl'!Y70</f>
        <v>262.45962116311966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6.8310868433726775</v>
      </c>
      <c r="C8" s="34">
        <f>'SER_se-appl'!C22</f>
        <v>7.0347359702844203</v>
      </c>
      <c r="D8" s="34">
        <f>'SER_se-appl'!D22</f>
        <v>7.2793897066577635</v>
      </c>
      <c r="E8" s="34">
        <f>'SER_se-appl'!E22</f>
        <v>7.4925656391266715</v>
      </c>
      <c r="F8" s="34">
        <f>'SER_se-appl'!F22</f>
        <v>7.7774148540278762</v>
      </c>
      <c r="G8" s="34">
        <f>'SER_se-appl'!G22</f>
        <v>8.1594433030855011</v>
      </c>
      <c r="H8" s="34">
        <f>'SER_se-appl'!H22</f>
        <v>8.5246678994312131</v>
      </c>
      <c r="I8" s="34">
        <f>'SER_se-appl'!I22</f>
        <v>9.1208079250589744</v>
      </c>
      <c r="J8" s="34">
        <f>'SER_se-appl'!J22</f>
        <v>9.4584207131845037</v>
      </c>
      <c r="K8" s="34">
        <f>'SER_se-appl'!K22</f>
        <v>9.5081858965793042</v>
      </c>
      <c r="L8" s="34">
        <f>'SER_se-appl'!L22</f>
        <v>9.6304853436126194</v>
      </c>
      <c r="M8" s="34">
        <f>'SER_se-appl'!M22</f>
        <v>9.9167548046263718</v>
      </c>
      <c r="N8" s="34">
        <f>'SER_se-appl'!N22</f>
        <v>10.115673919356464</v>
      </c>
      <c r="O8" s="34">
        <f>'SER_se-appl'!O22</f>
        <v>10.343977261028366</v>
      </c>
      <c r="P8" s="34">
        <f>'SER_se-appl'!P22</f>
        <v>10.712911334107833</v>
      </c>
      <c r="Q8" s="34">
        <f>'SER_se-appl'!Q22</f>
        <v>11.063390340091876</v>
      </c>
      <c r="R8" s="34">
        <f>'SER_se-appl'!R22</f>
        <v>11.605629310471272</v>
      </c>
      <c r="S8" s="34">
        <f>'SER_se-appl'!S22</f>
        <v>12.031595256996596</v>
      </c>
      <c r="T8" s="34">
        <f>'SER_se-appl'!T22</f>
        <v>12.529520723046268</v>
      </c>
      <c r="U8" s="34">
        <f>'SER_se-appl'!U22</f>
        <v>12.965846673360264</v>
      </c>
      <c r="V8" s="34">
        <f>'SER_se-appl'!V22</f>
        <v>13.352956283501364</v>
      </c>
      <c r="W8" s="34">
        <f>'SER_se-appl'!W22</f>
        <v>13.689826087659709</v>
      </c>
      <c r="X8" s="34">
        <f>'SER_se-appl'!X22</f>
        <v>13.932139305394035</v>
      </c>
      <c r="Y8" s="34">
        <f>'SER_se-appl'!Y22</f>
        <v>14.121469566761373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1.2704332991561404</v>
      </c>
      <c r="D9" s="36">
        <f>'SER_se-appl'!D30</f>
        <v>1.3391512034431754</v>
      </c>
      <c r="E9" s="36">
        <f>'SER_se-appl'!E30</f>
        <v>1.3361066400945898</v>
      </c>
      <c r="F9" s="36">
        <f>'SER_se-appl'!F30</f>
        <v>1.4369518118168179</v>
      </c>
      <c r="G9" s="36">
        <f>'SER_se-appl'!G30</f>
        <v>1.5640607728741323</v>
      </c>
      <c r="H9" s="36">
        <f>'SER_se-appl'!H30</f>
        <v>1.5779641720463573</v>
      </c>
      <c r="I9" s="36">
        <f>'SER_se-appl'!I30</f>
        <v>1.8665733247839018</v>
      </c>
      <c r="J9" s="36">
        <f>'SER_se-appl'!J30</f>
        <v>1.6767639915687047</v>
      </c>
      <c r="K9" s="36">
        <f>'SER_se-appl'!K30</f>
        <v>1.3858718234893903</v>
      </c>
      <c r="L9" s="36">
        <f>'SER_se-appl'!L30</f>
        <v>1.5592512588501322</v>
      </c>
      <c r="M9" s="36">
        <f>'SER_se-appl'!M30</f>
        <v>1.8503302338878846</v>
      </c>
      <c r="N9" s="36">
        <f>'SER_se-appl'!N30</f>
        <v>1.7768832867764495</v>
      </c>
      <c r="O9" s="36">
        <f>'SER_se-appl'!O30</f>
        <v>2.0948766664558036</v>
      </c>
      <c r="P9" s="36">
        <f>'SER_se-appl'!P30</f>
        <v>2.0456980646481711</v>
      </c>
      <c r="Q9" s="36">
        <f>'SER_se-appl'!Q30</f>
        <v>1.7363508294734338</v>
      </c>
      <c r="R9" s="36">
        <f>'SER_se-appl'!R30</f>
        <v>2.1014902292295279</v>
      </c>
      <c r="S9" s="36">
        <f>'SER_se-appl'!S30</f>
        <v>2.2762961804132082</v>
      </c>
      <c r="T9" s="36">
        <f>'SER_se-appl'!T30</f>
        <v>2.2748087528261216</v>
      </c>
      <c r="U9" s="36">
        <f>'SER_se-appl'!U30</f>
        <v>2.5312026167698001</v>
      </c>
      <c r="V9" s="36">
        <f>'SER_se-appl'!V30</f>
        <v>2.4328076747892702</v>
      </c>
      <c r="W9" s="36">
        <f>'SER_se-appl'!W30</f>
        <v>2.0732206336317791</v>
      </c>
      <c r="X9" s="36">
        <f>'SER_se-appl'!X30</f>
        <v>2.3438034469638538</v>
      </c>
      <c r="Y9" s="36">
        <f>'SER_se-appl'!Y30</f>
        <v>2.4656264417805467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1.0667841722443976</v>
      </c>
      <c r="D10" s="38">
        <f>'SER_se-appl'!D38</f>
        <v>1.0944974670698322</v>
      </c>
      <c r="E10" s="38">
        <f>'SER_se-appl'!E38</f>
        <v>1.1229307076256818</v>
      </c>
      <c r="F10" s="38">
        <f>'SER_se-appl'!F38</f>
        <v>1.1521025969156131</v>
      </c>
      <c r="G10" s="38">
        <f>'SER_se-appl'!G38</f>
        <v>1.1820323238165074</v>
      </c>
      <c r="H10" s="38">
        <f>'SER_se-appl'!H38</f>
        <v>1.2127395757006454</v>
      </c>
      <c r="I10" s="38">
        <f>'SER_se-appl'!I38</f>
        <v>1.2704332991561404</v>
      </c>
      <c r="J10" s="38">
        <f>'SER_se-appl'!J38</f>
        <v>1.3391512034431745</v>
      </c>
      <c r="K10" s="38">
        <f>'SER_se-appl'!K38</f>
        <v>1.3361066400945898</v>
      </c>
      <c r="L10" s="38">
        <f>'SER_se-appl'!L38</f>
        <v>1.436951811816817</v>
      </c>
      <c r="M10" s="38">
        <f>'SER_se-appl'!M38</f>
        <v>1.5640607728741323</v>
      </c>
      <c r="N10" s="38">
        <f>'SER_se-appl'!N38</f>
        <v>1.5779641720463573</v>
      </c>
      <c r="O10" s="38">
        <f>'SER_se-appl'!O38</f>
        <v>1.8665733247839018</v>
      </c>
      <c r="P10" s="38">
        <f>'SER_se-appl'!P38</f>
        <v>1.6767639915687038</v>
      </c>
      <c r="Q10" s="38">
        <f>'SER_se-appl'!Q38</f>
        <v>1.3858718234893903</v>
      </c>
      <c r="R10" s="38">
        <f>'SER_se-appl'!R38</f>
        <v>1.5592512588501322</v>
      </c>
      <c r="S10" s="38">
        <f>'SER_se-appl'!S38</f>
        <v>1.8503302338878846</v>
      </c>
      <c r="T10" s="38">
        <f>'SER_se-appl'!T38</f>
        <v>1.7768832867764495</v>
      </c>
      <c r="U10" s="38">
        <f>'SER_se-appl'!U38</f>
        <v>2.0948766664558036</v>
      </c>
      <c r="V10" s="38">
        <f>'SER_se-appl'!V38</f>
        <v>2.0456980646481711</v>
      </c>
      <c r="W10" s="38">
        <f>'SER_se-appl'!W38</f>
        <v>1.7363508294734338</v>
      </c>
      <c r="X10" s="38">
        <f>'SER_se-appl'!X38</f>
        <v>2.1014902292295297</v>
      </c>
      <c r="Y10" s="38">
        <f>'SER_se-appl'!Y38</f>
        <v>2.2762961804132082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2334.5926437182493</v>
      </c>
      <c r="C12" s="204">
        <f>'SER_se-appl'!C46</f>
        <v>2360.5305624821303</v>
      </c>
      <c r="D12" s="204">
        <f>'SER_se-appl'!D46</f>
        <v>2385.8336430372242</v>
      </c>
      <c r="E12" s="204">
        <f>'SER_se-appl'!E46</f>
        <v>2409.2196121859065</v>
      </c>
      <c r="F12" s="204">
        <f>'SER_se-appl'!F46</f>
        <v>2428.0270751695807</v>
      </c>
      <c r="G12" s="204">
        <f>'SER_se-appl'!G46</f>
        <v>2447.6460125191384</v>
      </c>
      <c r="H12" s="204">
        <f>'SER_se-appl'!H46</f>
        <v>2457.2751711855003</v>
      </c>
      <c r="I12" s="204">
        <f>'SER_se-appl'!I46</f>
        <v>2470.4008467444814</v>
      </c>
      <c r="J12" s="204">
        <f>'SER_se-appl'!J46</f>
        <v>2482.289498983896</v>
      </c>
      <c r="K12" s="204">
        <f>'SER_se-appl'!K46</f>
        <v>2488.7217260783532</v>
      </c>
      <c r="L12" s="204">
        <f>'SER_se-appl'!L46</f>
        <v>2499.2241007267121</v>
      </c>
      <c r="M12" s="204">
        <f>'SER_se-appl'!M46</f>
        <v>2506.4414375167162</v>
      </c>
      <c r="N12" s="204">
        <f>'SER_se-appl'!N46</f>
        <v>2513.6447145877723</v>
      </c>
      <c r="O12" s="204">
        <f>'SER_se-appl'!O46</f>
        <v>2517.7263087168531</v>
      </c>
      <c r="P12" s="204">
        <f>'SER_se-appl'!P46</f>
        <v>2528.6772976579632</v>
      </c>
      <c r="Q12" s="204">
        <f>'SER_se-appl'!Q46</f>
        <v>2554.3830397973056</v>
      </c>
      <c r="R12" s="204">
        <f>'SER_se-appl'!R46</f>
        <v>2602.135775293666</v>
      </c>
      <c r="S12" s="204">
        <f>'SER_se-appl'!S46</f>
        <v>2683.2649117428268</v>
      </c>
      <c r="T12" s="204">
        <f>'SER_se-appl'!T46</f>
        <v>2648.3895621494107</v>
      </c>
      <c r="U12" s="204">
        <f>'SER_se-appl'!U46</f>
        <v>2636.905133155753</v>
      </c>
      <c r="V12" s="204">
        <f>'SER_se-appl'!V46</f>
        <v>2472.1108961550653</v>
      </c>
      <c r="W12" s="204">
        <f>'SER_se-appl'!W46</f>
        <v>2723.7118674988124</v>
      </c>
      <c r="X12" s="204">
        <f>'SER_se-appl'!X46</f>
        <v>2626.5547764194635</v>
      </c>
      <c r="Y12" s="204">
        <f>'SER_se-appl'!Y46</f>
        <v>2577.976230879789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42.98131888639454</v>
      </c>
      <c r="C14" s="59">
        <f>'SER_se-appl'!C54</f>
        <v>42.553305749241041</v>
      </c>
      <c r="D14" s="59">
        <f>'SER_se-appl'!D54</f>
        <v>41.886577914375565</v>
      </c>
      <c r="E14" s="59">
        <f>'SER_se-appl'!E54</f>
        <v>41.100261244119586</v>
      </c>
      <c r="F14" s="59">
        <f>'SER_se-appl'!F54</f>
        <v>40.207970114874286</v>
      </c>
      <c r="G14" s="59">
        <f>'SER_se-appl'!G54</f>
        <v>39.206697847122292</v>
      </c>
      <c r="H14" s="59">
        <f>'SER_se-appl'!H54</f>
        <v>38.093012883197403</v>
      </c>
      <c r="I14" s="59">
        <f>'SER_se-appl'!I54</f>
        <v>37.096992467380254</v>
      </c>
      <c r="J14" s="59">
        <f>'SER_se-appl'!J54</f>
        <v>36.154970539511645</v>
      </c>
      <c r="K14" s="59">
        <f>'SER_se-appl'!K54</f>
        <v>35.252038078891189</v>
      </c>
      <c r="L14" s="59">
        <f>'SER_se-appl'!L54</f>
        <v>34.163447565441622</v>
      </c>
      <c r="M14" s="59">
        <f>'SER_se-appl'!M54</f>
        <v>32.781033499028965</v>
      </c>
      <c r="N14" s="59">
        <f>'SER_se-appl'!N54</f>
        <v>31.375272937469653</v>
      </c>
      <c r="O14" s="59">
        <f>'SER_se-appl'!O54</f>
        <v>29.629897799583098</v>
      </c>
      <c r="P14" s="59">
        <f>'SER_se-appl'!P54</f>
        <v>28.03616774926066</v>
      </c>
      <c r="Q14" s="59">
        <f>'SER_se-appl'!Q54</f>
        <v>26.675891160275771</v>
      </c>
      <c r="R14" s="59">
        <f>'SER_se-appl'!R54</f>
        <v>25.069190346807453</v>
      </c>
      <c r="S14" s="59">
        <f>'SER_se-appl'!S54</f>
        <v>23.440645968598506</v>
      </c>
      <c r="T14" s="59">
        <f>'SER_se-appl'!T54</f>
        <v>21.845786897578758</v>
      </c>
      <c r="U14" s="59">
        <f>'SER_se-appl'!U54</f>
        <v>20.146158114686514</v>
      </c>
      <c r="V14" s="59">
        <f>'SER_se-appl'!V54</f>
        <v>18.607414466406762</v>
      </c>
      <c r="W14" s="59">
        <f>'SER_se-appl'!W54</f>
        <v>17.48655762363078</v>
      </c>
      <c r="X14" s="59">
        <f>'SER_se-appl'!X54</f>
        <v>16.352055433635169</v>
      </c>
      <c r="Y14" s="59">
        <f>'SER_se-appl'!Y54</f>
        <v>15.212407659048321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40.611293310326893</v>
      </c>
      <c r="D15" s="63">
        <f>'SER_se-appl'!D62</f>
        <v>39.278908927955634</v>
      </c>
      <c r="E15" s="63">
        <f>'SER_se-appl'!E62</f>
        <v>38.397177539622298</v>
      </c>
      <c r="F15" s="63">
        <f>'SER_se-appl'!F62</f>
        <v>37.778962054508966</v>
      </c>
      <c r="G15" s="63">
        <f>'SER_se-appl'!G62</f>
        <v>37.080446880894307</v>
      </c>
      <c r="H15" s="63">
        <f>'SER_se-appl'!H62</f>
        <v>36.091188489215611</v>
      </c>
      <c r="I15" s="63">
        <f>'SER_se-appl'!I62</f>
        <v>34.940067583527224</v>
      </c>
      <c r="J15" s="63">
        <f>'SER_se-appl'!J62</f>
        <v>33.52575424247523</v>
      </c>
      <c r="K15" s="63">
        <f>'SER_se-appl'!K62</f>
        <v>32.121825531737819</v>
      </c>
      <c r="L15" s="63">
        <f>'SER_se-appl'!L62</f>
        <v>30.857244769609007</v>
      </c>
      <c r="M15" s="63">
        <f>'SER_se-appl'!M62</f>
        <v>29.220169352848348</v>
      </c>
      <c r="N15" s="63">
        <f>'SER_se-appl'!N62</f>
        <v>27.717724311562723</v>
      </c>
      <c r="O15" s="63">
        <f>'SER_se-appl'!O62</f>
        <v>25.933343908355763</v>
      </c>
      <c r="P15" s="63">
        <f>'SER_se-appl'!P62</f>
        <v>24.477105653955334</v>
      </c>
      <c r="Q15" s="63">
        <f>'SER_se-appl'!Q62</f>
        <v>22.629960251366914</v>
      </c>
      <c r="R15" s="63">
        <f>'SER_se-appl'!R62</f>
        <v>20.905227558693539</v>
      </c>
      <c r="S15" s="63">
        <f>'SER_se-appl'!S62</f>
        <v>19.835554687236442</v>
      </c>
      <c r="T15" s="63">
        <f>'SER_se-appl'!T62</f>
        <v>17.997133083636374</v>
      </c>
      <c r="U15" s="63">
        <f>'SER_se-appl'!U62</f>
        <v>16.522547143219896</v>
      </c>
      <c r="V15" s="63">
        <f>'SER_se-appl'!V62</f>
        <v>15.342257753416794</v>
      </c>
      <c r="W15" s="63">
        <f>'SER_se-appl'!W62</f>
        <v>14.575144865745953</v>
      </c>
      <c r="X15" s="63">
        <f>'SER_se-appl'!X62</f>
        <v>13.808031978075114</v>
      </c>
      <c r="Y15" s="63">
        <f>'SER_se-appl'!Y62</f>
        <v>13.040919090404273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49.736449551595442</v>
      </c>
      <c r="C3" s="198">
        <f>'SER_se-appl'!C7</f>
        <v>50.249271637234159</v>
      </c>
      <c r="D3" s="198">
        <f>'SER_se-appl'!D7</f>
        <v>50.910778163259387</v>
      </c>
      <c r="E3" s="198">
        <f>'SER_se-appl'!E7</f>
        <v>51.80150005032727</v>
      </c>
      <c r="F3" s="198">
        <f>'SER_se-appl'!F7</f>
        <v>52.656246705896457</v>
      </c>
      <c r="G3" s="198">
        <f>'SER_se-appl'!G7</f>
        <v>53.966367215849353</v>
      </c>
      <c r="H3" s="198">
        <f>'SER_se-appl'!H7</f>
        <v>55.905827466194864</v>
      </c>
      <c r="I3" s="198">
        <f>'SER_se-appl'!I7</f>
        <v>58.878037418530248</v>
      </c>
      <c r="J3" s="198">
        <f>'SER_se-appl'!J7</f>
        <v>61.195814598343375</v>
      </c>
      <c r="K3" s="198">
        <f>'SER_se-appl'!K7</f>
        <v>62.501021146349224</v>
      </c>
      <c r="L3" s="198">
        <f>'SER_se-appl'!L7</f>
        <v>62.899368961655739</v>
      </c>
      <c r="M3" s="198">
        <f>'SER_se-appl'!M7</f>
        <v>62.577597691881785</v>
      </c>
      <c r="N3" s="198">
        <f>'SER_se-appl'!N7</f>
        <v>62.234213644788497</v>
      </c>
      <c r="O3" s="198">
        <f>'SER_se-appl'!O7</f>
        <v>61.969258541362422</v>
      </c>
      <c r="P3" s="198">
        <f>'SER_se-appl'!P7</f>
        <v>61.913387166234976</v>
      </c>
      <c r="Q3" s="198">
        <f>'SER_se-appl'!Q7</f>
        <v>62.302634882028812</v>
      </c>
      <c r="R3" s="198">
        <f>'SER_se-appl'!R7</f>
        <v>64.294367752744577</v>
      </c>
      <c r="S3" s="198">
        <f>'SER_se-appl'!S7</f>
        <v>64.717319429669772</v>
      </c>
      <c r="T3" s="198">
        <f>'SER_se-appl'!T7</f>
        <v>65.951651621152095</v>
      </c>
      <c r="U3" s="198">
        <f>'SER_se-appl'!U7</f>
        <v>67.198701137539175</v>
      </c>
      <c r="V3" s="198">
        <f>'SER_se-appl'!V7</f>
        <v>68.275212249201033</v>
      </c>
      <c r="W3" s="198">
        <f>'SER_se-appl'!W7</f>
        <v>69.115422415763049</v>
      </c>
      <c r="X3" s="198">
        <f>'SER_se-appl'!X7</f>
        <v>70.044169417491233</v>
      </c>
      <c r="Y3" s="198">
        <f>'SER_se-appl'!Y7</f>
        <v>71.040619315669858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66.031382224321362</v>
      </c>
      <c r="C5" s="59">
        <f>'SER_se-appl'!C15</f>
        <v>66.71221793847414</v>
      </c>
      <c r="D5" s="59">
        <f>'SER_se-appl'!D15</f>
        <v>67.59045091766059</v>
      </c>
      <c r="E5" s="59">
        <f>'SER_se-appl'!E15</f>
        <v>68.772996071381968</v>
      </c>
      <c r="F5" s="59">
        <f>'SER_se-appl'!F15</f>
        <v>69.907779587851124</v>
      </c>
      <c r="G5" s="59">
        <f>'SER_se-appl'!G15</f>
        <v>71.64712907766301</v>
      </c>
      <c r="H5" s="59">
        <f>'SER_se-appl'!H15</f>
        <v>74.222006099525828</v>
      </c>
      <c r="I5" s="59">
        <f>'SER_se-appl'!I15</f>
        <v>78.167988033961947</v>
      </c>
      <c r="J5" s="59">
        <f>'SER_se-appl'!J15</f>
        <v>81.245128285243567</v>
      </c>
      <c r="K5" s="59">
        <f>'SER_se-appl'!K15</f>
        <v>82.97795387352069</v>
      </c>
      <c r="L5" s="59">
        <f>'SER_se-appl'!L15</f>
        <v>83.506810619184506</v>
      </c>
      <c r="M5" s="59">
        <f>'SER_se-appl'!M15</f>
        <v>83.079618853491482</v>
      </c>
      <c r="N5" s="59">
        <f>'SER_se-appl'!N15</f>
        <v>82.623733411973745</v>
      </c>
      <c r="O5" s="59">
        <f>'SER_se-appl'!O15</f>
        <v>82.27197224155762</v>
      </c>
      <c r="P5" s="59">
        <f>'SER_se-appl'!P15</f>
        <v>82.197795975264015</v>
      </c>
      <c r="Q5" s="59">
        <f>'SER_se-appl'!Q15</f>
        <v>82.714571196118158</v>
      </c>
      <c r="R5" s="59">
        <f>'SER_se-appl'!R15</f>
        <v>85.358846685436006</v>
      </c>
      <c r="S5" s="59">
        <f>'SER_se-appl'!S15</f>
        <v>85.920368146924588</v>
      </c>
      <c r="T5" s="59">
        <f>'SER_se-appl'!T15</f>
        <v>87.559099127168821</v>
      </c>
      <c r="U5" s="59">
        <f>'SER_se-appl'!U15</f>
        <v>89.214713953148475</v>
      </c>
      <c r="V5" s="59">
        <f>'SER_se-appl'!V15</f>
        <v>90.643917632215533</v>
      </c>
      <c r="W5" s="59">
        <f>'SER_se-appl'!W15</f>
        <v>91.759402134169434</v>
      </c>
      <c r="X5" s="59">
        <f>'SER_se-appl'!X15</f>
        <v>92.992430402445549</v>
      </c>
      <c r="Y5" s="59">
        <f>'SER_se-appl'!Y15</f>
        <v>94.315342767264895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2.5161208093930902E-2</v>
      </c>
      <c r="C6" s="201">
        <f>'SER_se-appl'!C71</f>
        <v>2.531765210189308E-2</v>
      </c>
      <c r="D6" s="201">
        <f>'SER_se-appl'!D71</f>
        <v>2.5560787867294057E-2</v>
      </c>
      <c r="E6" s="201">
        <f>'SER_se-appl'!E71</f>
        <v>2.5996934386582703E-2</v>
      </c>
      <c r="F6" s="201">
        <f>'SER_se-appl'!F71</f>
        <v>2.6449553038105159E-2</v>
      </c>
      <c r="G6" s="201">
        <f>'SER_se-appl'!G71</f>
        <v>2.7071487712148738E-2</v>
      </c>
      <c r="H6" s="201">
        <f>'SER_se-appl'!H71</f>
        <v>2.7975326205755168E-2</v>
      </c>
      <c r="I6" s="201">
        <f>'SER_se-appl'!I71</f>
        <v>2.9239363060788438E-2</v>
      </c>
      <c r="J6" s="201">
        <f>'SER_se-appl'!J71</f>
        <v>3.0313359128948569E-2</v>
      </c>
      <c r="K6" s="201">
        <f>'SER_se-appl'!K71</f>
        <v>3.1296394618360271E-2</v>
      </c>
      <c r="L6" s="201">
        <f>'SER_se-appl'!L71</f>
        <v>3.2130702746695876E-2</v>
      </c>
      <c r="M6" s="201">
        <f>'SER_se-appl'!M71</f>
        <v>3.2435540892301148E-2</v>
      </c>
      <c r="N6" s="201">
        <f>'SER_se-appl'!N71</f>
        <v>3.27912209582744E-2</v>
      </c>
      <c r="O6" s="201">
        <f>'SER_se-appl'!O71</f>
        <v>3.3244425009981017E-2</v>
      </c>
      <c r="P6" s="201">
        <f>'SER_se-appl'!P71</f>
        <v>3.3840303316002421E-2</v>
      </c>
      <c r="Q6" s="201">
        <f>'SER_se-appl'!Q71</f>
        <v>3.4707717149403843E-2</v>
      </c>
      <c r="R6" s="201">
        <f>'SER_se-appl'!R71</f>
        <v>3.6647052920870303E-2</v>
      </c>
      <c r="S6" s="201">
        <f>'SER_se-appl'!S71</f>
        <v>3.7574704650920138E-2</v>
      </c>
      <c r="T6" s="201">
        <f>'SER_se-appl'!T71</f>
        <v>3.9037113213338213E-2</v>
      </c>
      <c r="U6" s="201">
        <f>'SER_se-appl'!U71</f>
        <v>4.0104151839173513E-2</v>
      </c>
      <c r="V6" s="201">
        <f>'SER_se-appl'!V71</f>
        <v>4.1004280966238801E-2</v>
      </c>
      <c r="W6" s="201">
        <f>'SER_se-appl'!W71</f>
        <v>4.1688622225995293E-2</v>
      </c>
      <c r="X6" s="201">
        <f>'SER_se-appl'!X71</f>
        <v>4.2174445511821486E-2</v>
      </c>
      <c r="Y6" s="201">
        <f>'SER_se-appl'!Y71</f>
        <v>4.2517886552441021E-2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95.048099053350086</v>
      </c>
      <c r="C8" s="34">
        <f>'SER_se-appl'!C23</f>
        <v>97.037066576050066</v>
      </c>
      <c r="D8" s="34">
        <f>'SER_se-appl'!D23</f>
        <v>99.679455567662373</v>
      </c>
      <c r="E8" s="34">
        <f>'SER_se-appl'!E23</f>
        <v>103.05681332288168</v>
      </c>
      <c r="F8" s="34">
        <f>'SER_se-appl'!F23</f>
        <v>106.56130820712301</v>
      </c>
      <c r="G8" s="34">
        <f>'SER_se-appl'!G23</f>
        <v>111.30907802438603</v>
      </c>
      <c r="H8" s="34">
        <f>'SER_se-appl'!H23</f>
        <v>117.72453682470585</v>
      </c>
      <c r="I8" s="34">
        <f>'SER_se-appl'!I23</f>
        <v>126.90228592866299</v>
      </c>
      <c r="J8" s="34">
        <f>'SER_se-appl'!J23</f>
        <v>135.12983135745742</v>
      </c>
      <c r="K8" s="34">
        <f>'SER_se-appl'!K23</f>
        <v>141.50107750867389</v>
      </c>
      <c r="L8" s="34">
        <f>'SER_se-appl'!L23</f>
        <v>146.17631873549513</v>
      </c>
      <c r="M8" s="34">
        <f>'SER_se-appl'!M23</f>
        <v>148.25899758934236</v>
      </c>
      <c r="N8" s="34">
        <f>'SER_se-appl'!N23</f>
        <v>150.48832405793627</v>
      </c>
      <c r="O8" s="34">
        <f>'SER_se-appl'!O23</f>
        <v>153.24945227808527</v>
      </c>
      <c r="P8" s="34">
        <f>'SER_se-appl'!P23</f>
        <v>156.94631841472844</v>
      </c>
      <c r="Q8" s="34">
        <f>'SER_se-appl'!Q23</f>
        <v>162.34975484641447</v>
      </c>
      <c r="R8" s="34">
        <f>'SER_se-appl'!R23</f>
        <v>173.2044531611684</v>
      </c>
      <c r="S8" s="34">
        <f>'SER_se-appl'!S23</f>
        <v>180.32690684839594</v>
      </c>
      <c r="T8" s="34">
        <f>'SER_se-appl'!T23</f>
        <v>189.55379885474241</v>
      </c>
      <c r="U8" s="34">
        <f>'SER_se-appl'!U23</f>
        <v>198.12698247673913</v>
      </c>
      <c r="V8" s="34">
        <f>'SER_se-appl'!V23</f>
        <v>205.53805877136861</v>
      </c>
      <c r="W8" s="34">
        <f>'SER_se-appl'!W23</f>
        <v>211.23178813653999</v>
      </c>
      <c r="X8" s="34">
        <f>'SER_se-appl'!X23</f>
        <v>217.37877448933472</v>
      </c>
      <c r="Y8" s="34">
        <f>'SER_se-appl'!Y23</f>
        <v>224.12857458310484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10.627233640061036</v>
      </c>
      <c r="D9" s="36">
        <f>'SER_se-appl'!D31</f>
        <v>11.462613146222353</v>
      </c>
      <c r="E9" s="36">
        <f>'SER_se-appl'!E31</f>
        <v>12.383372744872418</v>
      </c>
      <c r="F9" s="36">
        <f>'SER_se-appl'!F31</f>
        <v>12.700214241494166</v>
      </c>
      <c r="G9" s="36">
        <f>'SER_se-appl'!G31</f>
        <v>14.137189510046781</v>
      </c>
      <c r="H9" s="36">
        <f>'SER_se-appl'!H31</f>
        <v>16.002658968374206</v>
      </c>
      <c r="I9" s="36">
        <f>'SER_se-appl'!I31</f>
        <v>18.966895831840958</v>
      </c>
      <c r="J9" s="36">
        <f>'SER_se-appl'!J31</f>
        <v>18.222892556243167</v>
      </c>
      <c r="K9" s="36">
        <f>'SER_se-appl'!K31</f>
        <v>16.577137121633598</v>
      </c>
      <c r="L9" s="36">
        <f>'SER_se-appl'!L31</f>
        <v>15.096110974706448</v>
      </c>
      <c r="M9" s="36">
        <f>'SER_se-appl'!M31</f>
        <v>12.709912493908263</v>
      </c>
      <c r="N9" s="36">
        <f>'SER_se-appl'!N31</f>
        <v>13.691939614816249</v>
      </c>
      <c r="O9" s="36">
        <f>'SER_se-appl'!O31</f>
        <v>15.144500965021422</v>
      </c>
      <c r="P9" s="36">
        <f>'SER_se-appl'!P31</f>
        <v>16.397080378137332</v>
      </c>
      <c r="Q9" s="36">
        <f>'SER_se-appl'!Q31</f>
        <v>19.540625941732827</v>
      </c>
      <c r="R9" s="36">
        <f>'SER_se-appl'!R31</f>
        <v>26.857357283128152</v>
      </c>
      <c r="S9" s="36">
        <f>'SER_se-appl'!S31</f>
        <v>26.089349519068492</v>
      </c>
      <c r="T9" s="36">
        <f>'SER_se-appl'!T31</f>
        <v>27.449784562589628</v>
      </c>
      <c r="U9" s="36">
        <f>'SER_se-appl'!U31</f>
        <v>25.150320743630317</v>
      </c>
      <c r="V9" s="36">
        <f>'SER_se-appl'!V31</f>
        <v>22.50718726933593</v>
      </c>
      <c r="W9" s="36">
        <f>'SER_se-appl'!W31</f>
        <v>18.403641859079642</v>
      </c>
      <c r="X9" s="36">
        <f>'SER_se-appl'!X31</f>
        <v>19.838925967610976</v>
      </c>
      <c r="Y9" s="36">
        <f>'SER_se-appl'!Y31</f>
        <v>21.894301058791541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8.6382661173610558</v>
      </c>
      <c r="D10" s="38">
        <f>'SER_se-appl'!D39</f>
        <v>8.8202241546100453</v>
      </c>
      <c r="E10" s="38">
        <f>'SER_se-appl'!E39</f>
        <v>9.0060149896531101</v>
      </c>
      <c r="F10" s="38">
        <f>'SER_se-appl'!F39</f>
        <v>9.1957193572528411</v>
      </c>
      <c r="G10" s="38">
        <f>'SER_se-appl'!G39</f>
        <v>9.3894196927837612</v>
      </c>
      <c r="H10" s="38">
        <f>'SER_se-appl'!H39</f>
        <v>9.5872001680543804</v>
      </c>
      <c r="I10" s="38">
        <f>'SER_se-appl'!I39</f>
        <v>9.7891467278838036</v>
      </c>
      <c r="J10" s="38">
        <f>'SER_se-appl'!J39</f>
        <v>9.9953471274487242</v>
      </c>
      <c r="K10" s="38">
        <f>'SER_se-appl'!K39</f>
        <v>10.20589097041713</v>
      </c>
      <c r="L10" s="38">
        <f>'SER_se-appl'!L39</f>
        <v>10.420869747885206</v>
      </c>
      <c r="M10" s="38">
        <f>'SER_se-appl'!M39</f>
        <v>10.627233640061036</v>
      </c>
      <c r="N10" s="38">
        <f>'SER_se-appl'!N39</f>
        <v>11.462613146222338</v>
      </c>
      <c r="O10" s="38">
        <f>'SER_se-appl'!O39</f>
        <v>12.383372744872418</v>
      </c>
      <c r="P10" s="38">
        <f>'SER_se-appl'!P39</f>
        <v>12.700214241494166</v>
      </c>
      <c r="Q10" s="38">
        <f>'SER_se-appl'!Q39</f>
        <v>14.137189510046795</v>
      </c>
      <c r="R10" s="38">
        <f>'SER_se-appl'!R39</f>
        <v>16.00265896837422</v>
      </c>
      <c r="S10" s="38">
        <f>'SER_se-appl'!S39</f>
        <v>18.966895831840958</v>
      </c>
      <c r="T10" s="38">
        <f>'SER_se-appl'!T39</f>
        <v>18.222892556243153</v>
      </c>
      <c r="U10" s="38">
        <f>'SER_se-appl'!U39</f>
        <v>16.577137121633598</v>
      </c>
      <c r="V10" s="38">
        <f>'SER_se-appl'!V39</f>
        <v>15.096110974706448</v>
      </c>
      <c r="W10" s="38">
        <f>'SER_se-appl'!W39</f>
        <v>12.709912493908263</v>
      </c>
      <c r="X10" s="38">
        <f>'SER_se-appl'!X39</f>
        <v>13.691939614816249</v>
      </c>
      <c r="Y10" s="38">
        <f>'SER_se-appl'!Y39</f>
        <v>15.144500965021422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8759.9999999999982</v>
      </c>
      <c r="C12" s="204">
        <f>'SER_se-appl'!C47</f>
        <v>8759.9999999999982</v>
      </c>
      <c r="D12" s="204">
        <f>'SER_se-appl'!D47</f>
        <v>8759.9999999999982</v>
      </c>
      <c r="E12" s="204">
        <f>'SER_se-appl'!E47</f>
        <v>8760.0000000000018</v>
      </c>
      <c r="F12" s="204">
        <f>'SER_se-appl'!F47</f>
        <v>8760</v>
      </c>
      <c r="G12" s="204">
        <f>'SER_se-appl'!G47</f>
        <v>8760</v>
      </c>
      <c r="H12" s="204">
        <f>'SER_se-appl'!H47</f>
        <v>8760</v>
      </c>
      <c r="I12" s="204">
        <f>'SER_se-appl'!I47</f>
        <v>8760.0000000000018</v>
      </c>
      <c r="J12" s="204">
        <f>'SER_se-appl'!J47</f>
        <v>8759.9999999999982</v>
      </c>
      <c r="K12" s="204">
        <f>'SER_se-appl'!K47</f>
        <v>8760.0000000000018</v>
      </c>
      <c r="L12" s="204">
        <f>'SER_se-appl'!L47</f>
        <v>8760</v>
      </c>
      <c r="M12" s="204">
        <f>'SER_se-appl'!M47</f>
        <v>8759.9999999999964</v>
      </c>
      <c r="N12" s="204">
        <f>'SER_se-appl'!N47</f>
        <v>8760.0000000000018</v>
      </c>
      <c r="O12" s="204">
        <f>'SER_se-appl'!O47</f>
        <v>8760.0000000000018</v>
      </c>
      <c r="P12" s="204">
        <f>'SER_se-appl'!P47</f>
        <v>8760</v>
      </c>
      <c r="Q12" s="204">
        <f>'SER_se-appl'!Q47</f>
        <v>8760</v>
      </c>
      <c r="R12" s="204">
        <f>'SER_se-appl'!R47</f>
        <v>8760</v>
      </c>
      <c r="S12" s="204">
        <f>'SER_se-appl'!S47</f>
        <v>8760</v>
      </c>
      <c r="T12" s="204">
        <f>'SER_se-appl'!T47</f>
        <v>8760</v>
      </c>
      <c r="U12" s="204">
        <f>'SER_se-appl'!U47</f>
        <v>8759.9999999999982</v>
      </c>
      <c r="V12" s="204">
        <f>'SER_se-appl'!V47</f>
        <v>8760</v>
      </c>
      <c r="W12" s="204">
        <f>'SER_se-appl'!W47</f>
        <v>8760</v>
      </c>
      <c r="X12" s="204">
        <f>'SER_se-appl'!X47</f>
        <v>8760</v>
      </c>
      <c r="Y12" s="204">
        <f>'SER_se-appl'!Y47</f>
        <v>8760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694.71544283340415</v>
      </c>
      <c r="C14" s="59">
        <f>'SER_se-appl'!C55</f>
        <v>687.49211298746673</v>
      </c>
      <c r="D14" s="59">
        <f>'SER_se-appl'!D55</f>
        <v>678.07805061475506</v>
      </c>
      <c r="E14" s="59">
        <f>'SER_se-appl'!E55</f>
        <v>667.3309008295555</v>
      </c>
      <c r="F14" s="59">
        <f>'SER_se-appl'!F55</f>
        <v>656.03342117357931</v>
      </c>
      <c r="G14" s="59">
        <f>'SER_se-appl'!G55</f>
        <v>643.67732038860549</v>
      </c>
      <c r="H14" s="59">
        <f>'SER_se-appl'!H55</f>
        <v>630.47184640907824</v>
      </c>
      <c r="I14" s="59">
        <f>'SER_se-appl'!I55</f>
        <v>615.96989732638383</v>
      </c>
      <c r="J14" s="59">
        <f>'SER_se-appl'!J55</f>
        <v>601.23754665486661</v>
      </c>
      <c r="K14" s="59">
        <f>'SER_se-appl'!K55</f>
        <v>586.41216967718299</v>
      </c>
      <c r="L14" s="59">
        <f>'SER_se-appl'!L55</f>
        <v>571.27454940419864</v>
      </c>
      <c r="M14" s="59">
        <f>'SER_se-appl'!M55</f>
        <v>560.368140917902</v>
      </c>
      <c r="N14" s="59">
        <f>'SER_se-appl'!N55</f>
        <v>549.03750127594333</v>
      </c>
      <c r="O14" s="59">
        <f>'SER_se-appl'!O55</f>
        <v>536.8500247052599</v>
      </c>
      <c r="P14" s="59">
        <f>'SER_se-appl'!P55</f>
        <v>523.73191550793501</v>
      </c>
      <c r="Q14" s="59">
        <f>'SER_se-appl'!Q55</f>
        <v>509.4838071937188</v>
      </c>
      <c r="R14" s="59">
        <f>'SER_se-appl'!R55</f>
        <v>492.82131681688793</v>
      </c>
      <c r="S14" s="59">
        <f>'SER_se-appl'!S55</f>
        <v>476.47003793593262</v>
      </c>
      <c r="T14" s="59">
        <f>'SER_se-appl'!T55</f>
        <v>461.92215432340942</v>
      </c>
      <c r="U14" s="59">
        <f>'SER_se-appl'!U55</f>
        <v>450.29058050496792</v>
      </c>
      <c r="V14" s="59">
        <f>'SER_se-appl'!V55</f>
        <v>441.00794847461219</v>
      </c>
      <c r="W14" s="59">
        <f>'SER_se-appl'!W55</f>
        <v>434.40148352508504</v>
      </c>
      <c r="X14" s="59">
        <f>'SER_se-appl'!X55</f>
        <v>427.78983652338167</v>
      </c>
      <c r="Y14" s="59">
        <f>'SER_se-appl'!Y55</f>
        <v>420.80909559478607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628.759356527112</v>
      </c>
      <c r="D15" s="63">
        <f>'SER_se-appl'!D63</f>
        <v>611.18514768642444</v>
      </c>
      <c r="E15" s="63">
        <f>'SER_se-appl'!E63</f>
        <v>600.7380217560559</v>
      </c>
      <c r="F15" s="63">
        <f>'SER_se-appl'!F63</f>
        <v>592.36731120133277</v>
      </c>
      <c r="G15" s="63">
        <f>'SER_se-appl'!G63</f>
        <v>584.43896106514751</v>
      </c>
      <c r="H15" s="63">
        <f>'SER_se-appl'!H63</f>
        <v>577.10740761249076</v>
      </c>
      <c r="I15" s="63">
        <f>'SER_se-appl'!I63</f>
        <v>566.60053567743</v>
      </c>
      <c r="J15" s="63">
        <f>'SER_se-appl'!J63</f>
        <v>549.91611382615247</v>
      </c>
      <c r="K15" s="63">
        <f>'SER_se-appl'!K63</f>
        <v>532.24001156301142</v>
      </c>
      <c r="L15" s="63">
        <f>'SER_se-appl'!L63</f>
        <v>514.59583864288288</v>
      </c>
      <c r="M15" s="63">
        <f>'SER_se-appl'!M63</f>
        <v>492.1183228045756</v>
      </c>
      <c r="N15" s="63">
        <f>'SER_se-appl'!N63</f>
        <v>478.3758657568718</v>
      </c>
      <c r="O15" s="63">
        <f>'SER_se-appl'!O63</f>
        <v>467.98515787188006</v>
      </c>
      <c r="P15" s="63">
        <f>'SER_se-appl'!P63</f>
        <v>454.28913708035202</v>
      </c>
      <c r="Q15" s="63">
        <f>'SER_se-appl'!Q63</f>
        <v>449.27422471853811</v>
      </c>
      <c r="R15" s="63">
        <f>'SER_se-appl'!R63</f>
        <v>442.31933902617499</v>
      </c>
      <c r="S15" s="63">
        <f>'SER_se-appl'!S63</f>
        <v>433.44027384364847</v>
      </c>
      <c r="T15" s="63">
        <f>'SER_se-appl'!T63</f>
        <v>424.76811469536034</v>
      </c>
      <c r="U15" s="63">
        <f>'SER_se-appl'!U63</f>
        <v>416.64003358419978</v>
      </c>
      <c r="V15" s="63">
        <f>'SER_se-appl'!V63</f>
        <v>408.65166563362999</v>
      </c>
      <c r="W15" s="63">
        <f>'SER_se-appl'!W63</f>
        <v>400.47863232095739</v>
      </c>
      <c r="X15" s="63">
        <f>'SER_se-appl'!X63</f>
        <v>392.30559900828479</v>
      </c>
      <c r="Y15" s="63">
        <f>'SER_se-appl'!Y63</f>
        <v>384.13256569561219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19.77345057403884</v>
      </c>
      <c r="C3" s="198">
        <f>'SER_se-appl'!C8</f>
        <v>21.005715113327849</v>
      </c>
      <c r="D3" s="198">
        <f>'SER_se-appl'!D8</f>
        <v>22.282675984657615</v>
      </c>
      <c r="E3" s="198">
        <f>'SER_se-appl'!E8</f>
        <v>23.517887090786491</v>
      </c>
      <c r="F3" s="198">
        <f>'SER_se-appl'!F8</f>
        <v>24.698150212363345</v>
      </c>
      <c r="G3" s="198">
        <f>'SER_se-appl'!G8</f>
        <v>26.428257483390116</v>
      </c>
      <c r="H3" s="198">
        <f>'SER_se-appl'!H8</f>
        <v>28.003178722710519</v>
      </c>
      <c r="I3" s="198">
        <f>'SER_se-appl'!I8</f>
        <v>30.172301210533991</v>
      </c>
      <c r="J3" s="198">
        <f>'SER_se-appl'!J8</f>
        <v>31.39506969586483</v>
      </c>
      <c r="K3" s="198">
        <f>'SER_se-appl'!K8</f>
        <v>31.347190614764525</v>
      </c>
      <c r="L3" s="198">
        <f>'SER_se-appl'!L8</f>
        <v>31.521216150780063</v>
      </c>
      <c r="M3" s="198">
        <f>'SER_se-appl'!M8</f>
        <v>31.844858907072709</v>
      </c>
      <c r="N3" s="198">
        <f>'SER_se-appl'!N8</f>
        <v>31.776937102784153</v>
      </c>
      <c r="O3" s="198">
        <f>'SER_se-appl'!O8</f>
        <v>31.657868734902141</v>
      </c>
      <c r="P3" s="198">
        <f>'SER_se-appl'!P8</f>
        <v>31.723096442876294</v>
      </c>
      <c r="Q3" s="198">
        <f>'SER_se-appl'!Q8</f>
        <v>31.471834741278581</v>
      </c>
      <c r="R3" s="198">
        <f>'SER_se-appl'!R8</f>
        <v>32.668674740349175</v>
      </c>
      <c r="S3" s="198">
        <f>'SER_se-appl'!S8</f>
        <v>33.949162353427688</v>
      </c>
      <c r="T3" s="198">
        <f>'SER_se-appl'!T8</f>
        <v>34.399330285608272</v>
      </c>
      <c r="U3" s="198">
        <f>'SER_se-appl'!U8</f>
        <v>34.798861817549231</v>
      </c>
      <c r="V3" s="198">
        <f>'SER_se-appl'!V8</f>
        <v>32.902871530077284</v>
      </c>
      <c r="W3" s="198">
        <f>'SER_se-appl'!W8</f>
        <v>36.51377856989393</v>
      </c>
      <c r="X3" s="198">
        <f>'SER_se-appl'!X8</f>
        <v>35.564622362555291</v>
      </c>
      <c r="Y3" s="198">
        <f>'SER_se-appl'!Y8</f>
        <v>35.176050031915615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266.41309375866155</v>
      </c>
      <c r="C5" s="59">
        <f>'SER_se-appl'!C16</f>
        <v>281.67022460643358</v>
      </c>
      <c r="D5" s="59">
        <f>'SER_se-appl'!D16</f>
        <v>297.49617490035604</v>
      </c>
      <c r="E5" s="59">
        <f>'SER_se-appl'!E16</f>
        <v>312.73337847853185</v>
      </c>
      <c r="F5" s="59">
        <f>'SER_se-appl'!F16</f>
        <v>327.21343657012358</v>
      </c>
      <c r="G5" s="59">
        <f>'SER_se-appl'!G16</f>
        <v>348.92900307629048</v>
      </c>
      <c r="H5" s="59">
        <f>'SER_se-appl'!H16</f>
        <v>368.53134846308791</v>
      </c>
      <c r="I5" s="59">
        <f>'SER_se-appl'!I16</f>
        <v>395.87592556912659</v>
      </c>
      <c r="J5" s="59">
        <f>'SER_se-appl'!J16</f>
        <v>410.74371752614553</v>
      </c>
      <c r="K5" s="59">
        <f>'SER_se-appl'!K16</f>
        <v>409.01011450473436</v>
      </c>
      <c r="L5" s="59">
        <f>'SER_se-appl'!L16</f>
        <v>410.22730932989873</v>
      </c>
      <c r="M5" s="59">
        <f>'SER_se-appl'!M16</f>
        <v>414.2286111503247</v>
      </c>
      <c r="N5" s="59">
        <f>'SER_se-appl'!N16</f>
        <v>413.16531766189928</v>
      </c>
      <c r="O5" s="59">
        <f>'SER_se-appl'!O16</f>
        <v>411.46569788084616</v>
      </c>
      <c r="P5" s="59">
        <f>'SER_se-appl'!P16</f>
        <v>412.18699733600789</v>
      </c>
      <c r="Q5" s="59">
        <f>'SER_se-appl'!Q16</f>
        <v>408.81986524275175</v>
      </c>
      <c r="R5" s="59">
        <f>'SER_se-appl'!R16</f>
        <v>420.1954899747343</v>
      </c>
      <c r="S5" s="59">
        <f>'SER_se-appl'!S16</f>
        <v>427.09901894640279</v>
      </c>
      <c r="T5" s="59">
        <f>'SER_se-appl'!T16</f>
        <v>435.94018306024259</v>
      </c>
      <c r="U5" s="59">
        <f>'SER_se-appl'!U16</f>
        <v>442.82291820140711</v>
      </c>
      <c r="V5" s="59">
        <f>'SER_se-appl'!V16</f>
        <v>446.60687954302807</v>
      </c>
      <c r="W5" s="59">
        <f>'SER_se-appl'!W16</f>
        <v>449.83699588331103</v>
      </c>
      <c r="X5" s="59">
        <f>'SER_se-appl'!X16</f>
        <v>449.40765878834208</v>
      </c>
      <c r="Y5" s="59">
        <f>'SER_se-appl'!Y16</f>
        <v>450.28555671690179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141.59082473958259</v>
      </c>
      <c r="C6" s="201">
        <f>'SER_se-appl'!C72</f>
        <v>146.73075742543185</v>
      </c>
      <c r="D6" s="201">
        <f>'SER_se-appl'!D72</f>
        <v>152.02134341992172</v>
      </c>
      <c r="E6" s="201">
        <f>'SER_se-appl'!E72</f>
        <v>157.63018717772317</v>
      </c>
      <c r="F6" s="201">
        <f>'SER_se-appl'!F72</f>
        <v>162.29914106711033</v>
      </c>
      <c r="G6" s="201">
        <f>'SER_se-appl'!G72</f>
        <v>168.92632593175645</v>
      </c>
      <c r="H6" s="201">
        <f>'SER_se-appl'!H72</f>
        <v>174.77979273089693</v>
      </c>
      <c r="I6" s="201">
        <f>'SER_se-appl'!I72</f>
        <v>180.03436287018022</v>
      </c>
      <c r="J6" s="201">
        <f>'SER_se-appl'!J72</f>
        <v>185.67300746993445</v>
      </c>
      <c r="K6" s="201">
        <f>'SER_se-appl'!K72</f>
        <v>191.04448549129515</v>
      </c>
      <c r="L6" s="201">
        <f>'SER_se-appl'!L72</f>
        <v>195.57724403190244</v>
      </c>
      <c r="M6" s="201">
        <f>'SER_se-appl'!M72</f>
        <v>198.26894965766607</v>
      </c>
      <c r="N6" s="201">
        <f>'SER_se-appl'!N72</f>
        <v>200.61739646950724</v>
      </c>
      <c r="O6" s="201">
        <f>'SER_se-appl'!O72</f>
        <v>201.80892190284516</v>
      </c>
      <c r="P6" s="201">
        <f>'SER_se-appl'!P72</f>
        <v>203.05321229900918</v>
      </c>
      <c r="Q6" s="201">
        <f>'SER_se-appl'!Q72</f>
        <v>205.14045285992924</v>
      </c>
      <c r="R6" s="201">
        <f>'SER_se-appl'!R72</f>
        <v>208.64344936947478</v>
      </c>
      <c r="S6" s="201">
        <f>'SER_se-appl'!S72</f>
        <v>212.15095588484166</v>
      </c>
      <c r="T6" s="201">
        <f>'SER_se-appl'!T72</f>
        <v>215.63912021898872</v>
      </c>
      <c r="U6" s="201">
        <f>'SER_se-appl'!U72</f>
        <v>219.0934756903317</v>
      </c>
      <c r="V6" s="201">
        <f>'SER_se-appl'!V72</f>
        <v>222.48709462030851</v>
      </c>
      <c r="W6" s="201">
        <f>'SER_se-appl'!W72</f>
        <v>225.73910850895672</v>
      </c>
      <c r="X6" s="201">
        <f>'SER_se-appl'!X72</f>
        <v>228.37491054873121</v>
      </c>
      <c r="Y6" s="201">
        <f>'SER_se-appl'!Y72</f>
        <v>230.50569404836145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5.4206277484097365</v>
      </c>
      <c r="C8" s="34">
        <f>'SER_se-appl'!C24</f>
        <v>5.7598546430318214</v>
      </c>
      <c r="D8" s="34">
        <f>'SER_se-appl'!D24</f>
        <v>6.1170209380246288</v>
      </c>
      <c r="E8" s="34">
        <f>'SER_se-appl'!E24</f>
        <v>6.4672322760153582</v>
      </c>
      <c r="F8" s="34">
        <f>'SER_se-appl'!F24</f>
        <v>6.8072911553293407</v>
      </c>
      <c r="G8" s="34">
        <f>'SER_se-appl'!G24</f>
        <v>7.3171657984634253</v>
      </c>
      <c r="H8" s="34">
        <f>'SER_se-appl'!H24</f>
        <v>7.7898385609797023</v>
      </c>
      <c r="I8" s="34">
        <f>'SER_se-appl'!I24</f>
        <v>8.4515692235794457</v>
      </c>
      <c r="J8" s="34">
        <f>'SER_se-appl'!J24</f>
        <v>8.8402843106859041</v>
      </c>
      <c r="K8" s="34">
        <f>'SER_se-appl'!K24</f>
        <v>8.85410832840018</v>
      </c>
      <c r="L8" s="34">
        <f>'SER_se-appl'!L24</f>
        <v>8.9513530184477563</v>
      </c>
      <c r="M8" s="34">
        <f>'SER_se-appl'!M24</f>
        <v>9.1380961584124627</v>
      </c>
      <c r="N8" s="34">
        <f>'SER_se-appl'!N24</f>
        <v>9.2261246240448589</v>
      </c>
      <c r="O8" s="34">
        <f>'SER_se-appl'!O24</f>
        <v>9.3283626220859173</v>
      </c>
      <c r="P8" s="34">
        <f>'SER_se-appl'!P24</f>
        <v>9.5306722297883049</v>
      </c>
      <c r="Q8" s="34">
        <f>'SER_se-appl'!Q24</f>
        <v>9.6664792339811534</v>
      </c>
      <c r="R8" s="34">
        <f>'SER_se-appl'!R24</f>
        <v>10.111428308474775</v>
      </c>
      <c r="S8" s="34">
        <f>'SER_se-appl'!S24</f>
        <v>10.451858160565545</v>
      </c>
      <c r="T8" s="34">
        <f>'SER_se-appl'!T24</f>
        <v>10.859100588474648</v>
      </c>
      <c r="U8" s="34">
        <f>'SER_se-appl'!U24</f>
        <v>11.222163737628176</v>
      </c>
      <c r="V8" s="34">
        <f>'SER_se-appl'!V24</f>
        <v>11.561218524033485</v>
      </c>
      <c r="W8" s="34">
        <f>'SER_se-appl'!W24</f>
        <v>11.881688904165092</v>
      </c>
      <c r="X8" s="34">
        <f>'SER_se-appl'!X24</f>
        <v>12.159498969924609</v>
      </c>
      <c r="Y8" s="34">
        <f>'SER_se-appl'!Y24</f>
        <v>12.40220925810946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0.49361967807157558</v>
      </c>
      <c r="D9" s="36">
        <f>'SER_se-appl'!D32</f>
        <v>0.52893312626251454</v>
      </c>
      <c r="E9" s="36">
        <f>'SER_se-appl'!E32</f>
        <v>0.54130734432763283</v>
      </c>
      <c r="F9" s="36">
        <f>'SER_se-appl'!F32</f>
        <v>0.5526592013201217</v>
      </c>
      <c r="G9" s="36">
        <f>'SER_se-appl'!G32</f>
        <v>0.74639919319416315</v>
      </c>
      <c r="H9" s="36">
        <f>'SER_se-appl'!H32</f>
        <v>0.73581376932767384</v>
      </c>
      <c r="I9" s="36">
        <f>'SER_se-appl'!I32</f>
        <v>0.9544833153291421</v>
      </c>
      <c r="J9" s="36">
        <f>'SER_se-appl'!J32</f>
        <v>0.71441162797865765</v>
      </c>
      <c r="K9" s="36">
        <f>'SER_se-appl'!K32</f>
        <v>0.37617167109034355</v>
      </c>
      <c r="L9" s="36">
        <f>'SER_se-appl'!L32</f>
        <v>0.50036785971815156</v>
      </c>
      <c r="M9" s="36">
        <f>'SER_se-appl'!M32</f>
        <v>0.63523035496700686</v>
      </c>
      <c r="N9" s="36">
        <f>'SER_se-appl'!N32</f>
        <v>0.58698460894930804</v>
      </c>
      <c r="O9" s="36">
        <f>'SER_se-appl'!O32</f>
        <v>0.65734241267283267</v>
      </c>
      <c r="P9" s="36">
        <f>'SER_se-appl'!P32</f>
        <v>0.8198807415003504</v>
      </c>
      <c r="Q9" s="36">
        <f>'SER_se-appl'!Q32</f>
        <v>0.82287432927167714</v>
      </c>
      <c r="R9" s="36">
        <f>'SER_se-appl'!R32</f>
        <v>0.93856875256519601</v>
      </c>
      <c r="S9" s="36">
        <f>'SER_se-appl'!S32</f>
        <v>0.86936297835328524</v>
      </c>
      <c r="T9" s="36">
        <f>'SER_se-appl'!T32</f>
        <v>0.94854977223673664</v>
      </c>
      <c r="U9" s="36">
        <f>'SER_se-appl'!U32</f>
        <v>0.91572235047364892</v>
      </c>
      <c r="V9" s="36">
        <f>'SER_se-appl'!V32</f>
        <v>1.0854539795994729</v>
      </c>
      <c r="W9" s="36">
        <f>'SER_se-appl'!W32</f>
        <v>1.0562841494592803</v>
      </c>
      <c r="X9" s="36">
        <f>'SER_se-appl'!X32</f>
        <v>1.2322933810886596</v>
      </c>
      <c r="Y9" s="36">
        <f>'SER_se-appl'!Y32</f>
        <v>0.9571219161635085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0.1543927834494907</v>
      </c>
      <c r="D10" s="38">
        <f>'SER_se-appl'!D40</f>
        <v>0.17176683126970715</v>
      </c>
      <c r="E10" s="38">
        <f>'SER_se-appl'!E40</f>
        <v>0.19109600633690338</v>
      </c>
      <c r="F10" s="38">
        <f>'SER_se-appl'!F40</f>
        <v>0.21260032200613921</v>
      </c>
      <c r="G10" s="38">
        <f>'SER_se-appl'!G40</f>
        <v>0.23652455006007855</v>
      </c>
      <c r="H10" s="38">
        <f>'SER_se-appl'!H40</f>
        <v>0.26314100681139596</v>
      </c>
      <c r="I10" s="38">
        <f>'SER_se-appl'!I40</f>
        <v>0.29275265272939954</v>
      </c>
      <c r="J10" s="38">
        <f>'SER_se-appl'!J40</f>
        <v>0.32569654087219924</v>
      </c>
      <c r="K10" s="38">
        <f>'SER_se-appl'!K40</f>
        <v>0.36234765337606767</v>
      </c>
      <c r="L10" s="38">
        <f>'SER_se-appl'!L40</f>
        <v>0.40312316967057527</v>
      </c>
      <c r="M10" s="38">
        <f>'SER_se-appl'!M40</f>
        <v>0.44848721500230049</v>
      </c>
      <c r="N10" s="38">
        <f>'SER_se-appl'!N40</f>
        <v>0.49895614331691185</v>
      </c>
      <c r="O10" s="38">
        <f>'SER_se-appl'!O40</f>
        <v>0.55510441463177429</v>
      </c>
      <c r="P10" s="38">
        <f>'SER_se-appl'!P40</f>
        <v>0.6175711337979628</v>
      </c>
      <c r="Q10" s="38">
        <f>'SER_se-appl'!Q40</f>
        <v>0.68706732507882862</v>
      </c>
      <c r="R10" s="38">
        <f>'SER_se-appl'!R40</f>
        <v>0.4936196780715747</v>
      </c>
      <c r="S10" s="38">
        <f>'SER_se-appl'!S40</f>
        <v>0.52893312626251543</v>
      </c>
      <c r="T10" s="38">
        <f>'SER_se-appl'!T40</f>
        <v>0.54130734432763283</v>
      </c>
      <c r="U10" s="38">
        <f>'SER_se-appl'!U40</f>
        <v>0.5526592013201217</v>
      </c>
      <c r="V10" s="38">
        <f>'SER_se-appl'!V40</f>
        <v>0.74639919319416315</v>
      </c>
      <c r="W10" s="38">
        <f>'SER_se-appl'!W40</f>
        <v>0.73581376932767384</v>
      </c>
      <c r="X10" s="38">
        <f>'SER_se-appl'!X40</f>
        <v>0.9544833153291421</v>
      </c>
      <c r="Y10" s="38">
        <f>'SER_se-appl'!Y40</f>
        <v>0.71441162797865765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863.19041955345017</v>
      </c>
      <c r="C12" s="204">
        <f>'SER_se-appl'!C48</f>
        <v>867.31377840646269</v>
      </c>
      <c r="D12" s="204">
        <f>'SER_se-appl'!D48</f>
        <v>871.09530664845511</v>
      </c>
      <c r="E12" s="204">
        <f>'SER_se-appl'!E48</f>
        <v>874.58853351856931</v>
      </c>
      <c r="F12" s="204">
        <f>'SER_se-appl'!F48</f>
        <v>877.83524411666008</v>
      </c>
      <c r="G12" s="204">
        <f>'SER_se-appl'!G48</f>
        <v>880.86869197463977</v>
      </c>
      <c r="H12" s="204">
        <f>'SER_se-appl'!H48</f>
        <v>883.71578131227318</v>
      </c>
      <c r="I12" s="204">
        <f>'SER_se-appl'!I48</f>
        <v>886.39859211958219</v>
      </c>
      <c r="J12" s="204">
        <f>'SER_se-appl'!J48</f>
        <v>888.93547237193297</v>
      </c>
      <c r="K12" s="204">
        <f>'SER_se-appl'!K48</f>
        <v>891.3418370867488</v>
      </c>
      <c r="L12" s="204">
        <f>'SER_se-appl'!L48</f>
        <v>893.63076395960877</v>
      </c>
      <c r="M12" s="204">
        <f>'SER_se-appl'!M48</f>
        <v>894.08529280671178</v>
      </c>
      <c r="N12" s="204">
        <f>'SER_se-appl'!N48</f>
        <v>894.47434890409193</v>
      </c>
      <c r="O12" s="204">
        <f>'SER_se-appl'!O48</f>
        <v>894.80366232990627</v>
      </c>
      <c r="P12" s="204">
        <f>'SER_se-appl'!P48</f>
        <v>895.07823879727562</v>
      </c>
      <c r="Q12" s="204">
        <f>'SER_se-appl'!Q48</f>
        <v>895.30247710378171</v>
      </c>
      <c r="R12" s="204">
        <f>'SER_se-appl'!R48</f>
        <v>904.19030259726469</v>
      </c>
      <c r="S12" s="204">
        <f>'SER_se-appl'!S48</f>
        <v>924.44314001084513</v>
      </c>
      <c r="T12" s="204">
        <f>'SER_se-appl'!T48</f>
        <v>917.70437038684122</v>
      </c>
      <c r="U12" s="204">
        <f>'SER_se-appl'!U48</f>
        <v>913.93364323123137</v>
      </c>
      <c r="V12" s="204">
        <f>'SER_se-appl'!V48</f>
        <v>856.81706534915054</v>
      </c>
      <c r="W12" s="204">
        <f>'SER_se-appl'!W48</f>
        <v>944.02027546445549</v>
      </c>
      <c r="X12" s="204">
        <f>'SER_se-appl'!X48</f>
        <v>920.35938860427689</v>
      </c>
      <c r="Y12" s="204">
        <f>'SER_se-appl'!Y48</f>
        <v>908.52894517418758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49.148014976091993</v>
      </c>
      <c r="C14" s="59">
        <f>'SER_se-appl'!C56</f>
        <v>48.902314739347396</v>
      </c>
      <c r="D14" s="59">
        <f>'SER_se-appl'!D56</f>
        <v>48.634159979911161</v>
      </c>
      <c r="E14" s="59">
        <f>'SER_se-appl'!E56</f>
        <v>48.356602195710153</v>
      </c>
      <c r="F14" s="59">
        <f>'SER_se-appl'!F56</f>
        <v>48.068083045625627</v>
      </c>
      <c r="G14" s="59">
        <f>'SER_se-appl'!G56</f>
        <v>47.686360086245983</v>
      </c>
      <c r="H14" s="59">
        <f>'SER_se-appl'!H56</f>
        <v>47.309240824207649</v>
      </c>
      <c r="I14" s="59">
        <f>'SER_se-appl'!I56</f>
        <v>46.840523350936181</v>
      </c>
      <c r="J14" s="59">
        <f>'SER_se-appl'!J56</f>
        <v>46.462727112707142</v>
      </c>
      <c r="K14" s="59">
        <f>'SER_se-appl'!K56</f>
        <v>46.194387885768847</v>
      </c>
      <c r="L14" s="59">
        <f>'SER_se-appl'!L56</f>
        <v>45.828525417829603</v>
      </c>
      <c r="M14" s="59">
        <f>'SER_se-appl'!M56</f>
        <v>45.329859083282784</v>
      </c>
      <c r="N14" s="59">
        <f>'SER_se-appl'!N56</f>
        <v>44.782108902487593</v>
      </c>
      <c r="O14" s="59">
        <f>'SER_se-appl'!O56</f>
        <v>44.109101945357075</v>
      </c>
      <c r="P14" s="59">
        <f>'SER_se-appl'!P56</f>
        <v>43.24847055884571</v>
      </c>
      <c r="Q14" s="59">
        <f>'SER_se-appl'!Q56</f>
        <v>42.292530232269343</v>
      </c>
      <c r="R14" s="59">
        <f>'SER_se-appl'!R56</f>
        <v>41.556492036100614</v>
      </c>
      <c r="S14" s="59">
        <f>'SER_se-appl'!S56</f>
        <v>40.863453405618422</v>
      </c>
      <c r="T14" s="59">
        <f>'SER_se-appl'!T56</f>
        <v>40.145146415065859</v>
      </c>
      <c r="U14" s="59">
        <f>'SER_se-appl'!U56</f>
        <v>39.459673602570206</v>
      </c>
      <c r="V14" s="59">
        <f>'SER_se-appl'!V56</f>
        <v>38.629741200256767</v>
      </c>
      <c r="W14" s="59">
        <f>'SER_se-appl'!W56</f>
        <v>37.85968472256684</v>
      </c>
      <c r="X14" s="59">
        <f>'SER_se-appl'!X56</f>
        <v>36.959389519248298</v>
      </c>
      <c r="Y14" s="59">
        <f>'SER_se-appl'!Y56</f>
        <v>36.306882696925356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46.281035169014352</v>
      </c>
      <c r="D15" s="63">
        <f>'SER_se-appl'!D64</f>
        <v>45.880940112488908</v>
      </c>
      <c r="E15" s="63">
        <f>'SER_se-appl'!E64</f>
        <v>45.499462029442157</v>
      </c>
      <c r="F15" s="63">
        <f>'SER_se-appl'!F64</f>
        <v>45.107259305417074</v>
      </c>
      <c r="G15" s="63">
        <f>'SER_se-appl'!G64</f>
        <v>44.668160066003928</v>
      </c>
      <c r="H15" s="63">
        <f>'SER_se-appl'!H64</f>
        <v>44.216627748235631</v>
      </c>
      <c r="I15" s="63">
        <f>'SER_se-appl'!I64</f>
        <v>43.722910810947774</v>
      </c>
      <c r="J15" s="63">
        <f>'SER_se-appl'!J64</f>
        <v>43.217564239295335</v>
      </c>
      <c r="K15" s="63">
        <f>'SER_se-appl'!K64</f>
        <v>42.733321269710665</v>
      </c>
      <c r="L15" s="63">
        <f>'SER_se-appl'!L64</f>
        <v>42.028875350205773</v>
      </c>
      <c r="M15" s="63">
        <f>'SER_se-appl'!M64</f>
        <v>40.99860464208691</v>
      </c>
      <c r="N15" s="63">
        <f>'SER_se-appl'!N64</f>
        <v>39.965972119301654</v>
      </c>
      <c r="O15" s="63">
        <f>'SER_se-appl'!O64</f>
        <v>38.918316860982564</v>
      </c>
      <c r="P15" s="63">
        <f>'SER_se-appl'!P64</f>
        <v>37.900261849061806</v>
      </c>
      <c r="Q15" s="63">
        <f>'SER_se-appl'!Q64</f>
        <v>36.944721700346633</v>
      </c>
      <c r="R15" s="63">
        <f>'SER_se-appl'!R64</f>
        <v>36.460679432808597</v>
      </c>
      <c r="S15" s="63">
        <f>'SER_se-appl'!S64</f>
        <v>35.855538868556721</v>
      </c>
      <c r="T15" s="63">
        <f>'SER_se-appl'!T64</f>
        <v>35.285820578932913</v>
      </c>
      <c r="U15" s="63">
        <f>'SER_se-appl'!U64</f>
        <v>34.739434967576827</v>
      </c>
      <c r="V15" s="63">
        <f>'SER_se-appl'!V64</f>
        <v>34.201578946767206</v>
      </c>
      <c r="W15" s="63">
        <f>'SER_se-appl'!W64</f>
        <v>33.859563157299533</v>
      </c>
      <c r="X15" s="63">
        <f>'SER_se-appl'!X64</f>
        <v>33.51754736783186</v>
      </c>
      <c r="Y15" s="63">
        <f>'SER_se-appl'!Y64</f>
        <v>33.175531578364186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46.611266104600304</v>
      </c>
      <c r="C3" s="198">
        <f>'SER_se-appl'!C9</f>
        <v>53.464774933916466</v>
      </c>
      <c r="D3" s="198">
        <f>'SER_se-appl'!D9</f>
        <v>61.344847739990968</v>
      </c>
      <c r="E3" s="198">
        <f>'SER_se-appl'!E9</f>
        <v>70.640917328870174</v>
      </c>
      <c r="F3" s="198">
        <f>'SER_se-appl'!F9</f>
        <v>79.548917164559754</v>
      </c>
      <c r="G3" s="198">
        <f>'SER_se-appl'!G9</f>
        <v>87.224571886208068</v>
      </c>
      <c r="H3" s="198">
        <f>'SER_se-appl'!H9</f>
        <v>91.815396057493956</v>
      </c>
      <c r="I3" s="198">
        <f>'SER_se-appl'!I9</f>
        <v>95.988883580569251</v>
      </c>
      <c r="J3" s="198">
        <f>'SER_se-appl'!J9</f>
        <v>99.845599777263814</v>
      </c>
      <c r="K3" s="198">
        <f>'SER_se-appl'!K9</f>
        <v>103.7723148452301</v>
      </c>
      <c r="L3" s="198">
        <f>'SER_se-appl'!L9</f>
        <v>107.7151328781358</v>
      </c>
      <c r="M3" s="198">
        <f>'SER_se-appl'!M9</f>
        <v>111.97386429890143</v>
      </c>
      <c r="N3" s="198">
        <f>'SER_se-appl'!N9</f>
        <v>120.81639641267611</v>
      </c>
      <c r="O3" s="198">
        <f>'SER_se-appl'!O9</f>
        <v>129.97004978980181</v>
      </c>
      <c r="P3" s="198">
        <f>'SER_se-appl'!P9</f>
        <v>140.74761776141625</v>
      </c>
      <c r="Q3" s="198">
        <f>'SER_se-appl'!Q9</f>
        <v>151.39431348151558</v>
      </c>
      <c r="R3" s="198">
        <f>'SER_se-appl'!R9</f>
        <v>175.15196514828247</v>
      </c>
      <c r="S3" s="198">
        <f>'SER_se-appl'!S9</f>
        <v>201.46036150351441</v>
      </c>
      <c r="T3" s="198">
        <f>'SER_se-appl'!T9</f>
        <v>238.70518414046251</v>
      </c>
      <c r="U3" s="198">
        <f>'SER_se-appl'!U9</f>
        <v>266.31076629004576</v>
      </c>
      <c r="V3" s="198">
        <f>'SER_se-appl'!V9</f>
        <v>311.68299600119337</v>
      </c>
      <c r="W3" s="198">
        <f>'SER_se-appl'!W9</f>
        <v>401.01693402401247</v>
      </c>
      <c r="X3" s="198">
        <f>'SER_se-appl'!X9</f>
        <v>508.10315912380167</v>
      </c>
      <c r="Y3" s="198">
        <f>'SER_se-appl'!Y9</f>
        <v>615.63212879346929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188.13045511730601</v>
      </c>
      <c r="C5" s="59">
        <f>'SER_se-appl'!C17</f>
        <v>207.19317995534999</v>
      </c>
      <c r="D5" s="59">
        <f>'SER_se-appl'!D17</f>
        <v>231.75618827277577</v>
      </c>
      <c r="E5" s="59">
        <f>'SER_se-appl'!E17</f>
        <v>265.09348603508749</v>
      </c>
      <c r="F5" s="59">
        <f>'SER_se-appl'!F17</f>
        <v>294.98760978810367</v>
      </c>
      <c r="G5" s="59">
        <f>'SER_se-appl'!G17</f>
        <v>317.06363452231375</v>
      </c>
      <c r="H5" s="59">
        <f>'SER_se-appl'!H17</f>
        <v>327.67984175286932</v>
      </c>
      <c r="I5" s="59">
        <f>'SER_se-appl'!I17</f>
        <v>335.66845490220271</v>
      </c>
      <c r="J5" s="59">
        <f>'SER_se-appl'!J17</f>
        <v>341.9628784167075</v>
      </c>
      <c r="K5" s="59">
        <f>'SER_se-appl'!K17</f>
        <v>348.83804580304349</v>
      </c>
      <c r="L5" s="59">
        <f>'SER_se-appl'!L17</f>
        <v>355.58941636005414</v>
      </c>
      <c r="M5" s="59">
        <f>'SER_se-appl'!M17</f>
        <v>360.80260335757464</v>
      </c>
      <c r="N5" s="59">
        <f>'SER_se-appl'!N17</f>
        <v>378.5290448760955</v>
      </c>
      <c r="O5" s="59">
        <f>'SER_se-appl'!O17</f>
        <v>402.05978901197199</v>
      </c>
      <c r="P5" s="59">
        <f>'SER_se-appl'!P17</f>
        <v>432.24308936713015</v>
      </c>
      <c r="Q5" s="59">
        <f>'SER_se-appl'!Q17</f>
        <v>459.04728835642112</v>
      </c>
      <c r="R5" s="59">
        <f>'SER_se-appl'!R17</f>
        <v>510.30394102058466</v>
      </c>
      <c r="S5" s="59">
        <f>'SER_se-appl'!S17</f>
        <v>561.14619631476444</v>
      </c>
      <c r="T5" s="59">
        <f>'SER_se-appl'!T17</f>
        <v>636.73594743051706</v>
      </c>
      <c r="U5" s="59">
        <f>'SER_se-appl'!U17</f>
        <v>692.57604999839782</v>
      </c>
      <c r="V5" s="59">
        <f>'SER_se-appl'!V17</f>
        <v>785.59216881989835</v>
      </c>
      <c r="W5" s="59">
        <f>'SER_se-appl'!W17</f>
        <v>949.53762664720614</v>
      </c>
      <c r="X5" s="59">
        <f>'SER_se-appl'!X17</f>
        <v>1157.7372765255107</v>
      </c>
      <c r="Y5" s="59">
        <f>'SER_se-appl'!Y17</f>
        <v>1365.0072104519311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0.14527712035071333</v>
      </c>
      <c r="C6" s="201">
        <f>'SER_se-appl'!C73</f>
        <v>0.16200359735437742</v>
      </c>
      <c r="D6" s="201">
        <f>'SER_se-appl'!D73</f>
        <v>0.18422414872850076</v>
      </c>
      <c r="E6" s="201">
        <f>'SER_se-appl'!E73</f>
        <v>0.21639803442781713</v>
      </c>
      <c r="F6" s="201">
        <f>'SER_se-appl'!F73</f>
        <v>0.24711092940377488</v>
      </c>
      <c r="G6" s="201">
        <f>'SER_se-appl'!G73</f>
        <v>0.27109122579767281</v>
      </c>
      <c r="H6" s="201">
        <f>'SER_se-appl'!H73</f>
        <v>0.28683261594615528</v>
      </c>
      <c r="I6" s="201">
        <f>'SER_se-appl'!I73</f>
        <v>0.30120093298130723</v>
      </c>
      <c r="J6" s="201">
        <f>'SER_se-appl'!J73</f>
        <v>0.31947280619841911</v>
      </c>
      <c r="K6" s="201">
        <f>'SER_se-appl'!K73</f>
        <v>0.34177276134965945</v>
      </c>
      <c r="L6" s="201">
        <f>'SER_se-appl'!L73</f>
        <v>0.36570233565568427</v>
      </c>
      <c r="M6" s="201">
        <f>'SER_se-appl'!M73</f>
        <v>0.39228915182842206</v>
      </c>
      <c r="N6" s="201">
        <f>'SER_se-appl'!N73</f>
        <v>0.43479516591145806</v>
      </c>
      <c r="O6" s="201">
        <f>'SER_se-appl'!O73</f>
        <v>0.48587873210253951</v>
      </c>
      <c r="P6" s="201">
        <f>'SER_se-appl'!P73</f>
        <v>0.54271114913762275</v>
      </c>
      <c r="Q6" s="201">
        <f>'SER_se-appl'!Q73</f>
        <v>0.58720902413996012</v>
      </c>
      <c r="R6" s="201">
        <f>'SER_se-appl'!R73</f>
        <v>0.66158630842435129</v>
      </c>
      <c r="S6" s="201">
        <f>'SER_se-appl'!S73</f>
        <v>0.73368373900595418</v>
      </c>
      <c r="T6" s="201">
        <f>'SER_se-appl'!T73</f>
        <v>0.84309223057498228</v>
      </c>
      <c r="U6" s="201">
        <f>'SER_se-appl'!U73</f>
        <v>0.92198665291241577</v>
      </c>
      <c r="V6" s="201">
        <f>'SER_se-appl'!V73</f>
        <v>1.057416023404671</v>
      </c>
      <c r="W6" s="201">
        <f>'SER_se-appl'!W73</f>
        <v>1.301957507162153</v>
      </c>
      <c r="X6" s="201">
        <f>'SER_se-appl'!X73</f>
        <v>1.6002601407478207</v>
      </c>
      <c r="Y6" s="201">
        <f>'SER_se-appl'!Y73</f>
        <v>1.8864665614645808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548.79376513764237</v>
      </c>
      <c r="C8" s="34">
        <f>'SER_se-appl'!C25</f>
        <v>620.92463387870282</v>
      </c>
      <c r="D8" s="34">
        <f>'SER_se-appl'!D25</f>
        <v>718.41928124483184</v>
      </c>
      <c r="E8" s="34">
        <f>'SER_se-appl'!E25</f>
        <v>857.84314049644274</v>
      </c>
      <c r="F8" s="34">
        <f>'SER_se-appl'!F25</f>
        <v>995.57311503932783</v>
      </c>
      <c r="G8" s="34">
        <f>'SER_se-appl'!G25</f>
        <v>1114.638202557969</v>
      </c>
      <c r="H8" s="34">
        <f>'SER_se-appl'!H25</f>
        <v>1207.036393789509</v>
      </c>
      <c r="I8" s="34">
        <f>'SER_se-appl'!I25</f>
        <v>1307.247590848965</v>
      </c>
      <c r="J8" s="34">
        <f>'SER_se-appl'!J25</f>
        <v>1424.1346939230957</v>
      </c>
      <c r="K8" s="34">
        <f>'SER_se-appl'!K25</f>
        <v>1545.264704890965</v>
      </c>
      <c r="L8" s="34">
        <f>'SER_se-appl'!L25</f>
        <v>1663.7364454973685</v>
      </c>
      <c r="M8" s="34">
        <f>'SER_se-appl'!M25</f>
        <v>1793.1070305986495</v>
      </c>
      <c r="N8" s="34">
        <f>'SER_se-appl'!N25</f>
        <v>1995.3998025802978</v>
      </c>
      <c r="O8" s="34">
        <f>'SER_se-appl'!O25</f>
        <v>2239.7935757929122</v>
      </c>
      <c r="P8" s="34">
        <f>'SER_se-appl'!P25</f>
        <v>2517.0139884502223</v>
      </c>
      <c r="Q8" s="34">
        <f>'SER_se-appl'!Q25</f>
        <v>2746.7447859607291</v>
      </c>
      <c r="R8" s="34">
        <f>'SER_se-appl'!R25</f>
        <v>3126.8461072976934</v>
      </c>
      <c r="S8" s="34">
        <f>'SER_se-appl'!S25</f>
        <v>3521.0634518365982</v>
      </c>
      <c r="T8" s="34">
        <f>'SER_se-appl'!T25</f>
        <v>4093.8307660465507</v>
      </c>
      <c r="U8" s="34">
        <f>'SER_se-appl'!U25</f>
        <v>4554.9008032363899</v>
      </c>
      <c r="V8" s="34">
        <f>'SER_se-appl'!V25</f>
        <v>5300.4035589182531</v>
      </c>
      <c r="W8" s="34">
        <f>'SER_se-appl'!W25</f>
        <v>6596.8793793373634</v>
      </c>
      <c r="X8" s="34">
        <f>'SER_se-appl'!X25</f>
        <v>8248.1840374732546</v>
      </c>
      <c r="Y8" s="34">
        <f>'SER_se-appl'!Y25</f>
        <v>9944.3103997715843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181.88962176858894</v>
      </c>
      <c r="D9" s="36">
        <f>'SER_se-appl'!D33</f>
        <v>207.2534003936575</v>
      </c>
      <c r="E9" s="36">
        <f>'SER_se-appl'!E33</f>
        <v>249.18261227913933</v>
      </c>
      <c r="F9" s="36">
        <f>'SER_se-appl'!F33</f>
        <v>247.48872757041363</v>
      </c>
      <c r="G9" s="36">
        <f>'SER_se-appl'!G33</f>
        <v>228.82384054616955</v>
      </c>
      <c r="H9" s="36">
        <f>'SER_se-appl'!H33</f>
        <v>274.28781300012906</v>
      </c>
      <c r="I9" s="36">
        <f>'SER_se-appl'!I33</f>
        <v>307.46459745311358</v>
      </c>
      <c r="J9" s="36">
        <f>'SER_se-appl'!J33</f>
        <v>366.06971535327011</v>
      </c>
      <c r="K9" s="36">
        <f>'SER_se-appl'!K33</f>
        <v>368.61873853828297</v>
      </c>
      <c r="L9" s="36">
        <f>'SER_se-appl'!L33</f>
        <v>347.29558115257305</v>
      </c>
      <c r="M9" s="36">
        <f>'SER_se-appl'!M33</f>
        <v>403.65839810141006</v>
      </c>
      <c r="N9" s="36">
        <f>'SER_se-appl'!N33</f>
        <v>509.75736943476181</v>
      </c>
      <c r="O9" s="36">
        <f>'SER_se-appl'!O33</f>
        <v>610.46348856588452</v>
      </c>
      <c r="P9" s="36">
        <f>'SER_se-appl'!P33</f>
        <v>645.8391511955931</v>
      </c>
      <c r="Q9" s="36">
        <f>'SER_se-appl'!Q33</f>
        <v>577.02637866307987</v>
      </c>
      <c r="R9" s="36">
        <f>'SER_se-appl'!R33</f>
        <v>783.7597194383743</v>
      </c>
      <c r="S9" s="36">
        <f>'SER_se-appl'!S33</f>
        <v>903.97471397366689</v>
      </c>
      <c r="T9" s="36">
        <f>'SER_se-appl'!T33</f>
        <v>1183.2308027758372</v>
      </c>
      <c r="U9" s="36">
        <f>'SER_se-appl'!U33</f>
        <v>1106.9091883854326</v>
      </c>
      <c r="V9" s="36">
        <f>'SER_se-appl'!V33</f>
        <v>1322.529134344943</v>
      </c>
      <c r="W9" s="36">
        <f>'SER_se-appl'!W33</f>
        <v>2080.2355398574846</v>
      </c>
      <c r="X9" s="36">
        <f>'SER_se-appl'!X33</f>
        <v>2555.2793721095586</v>
      </c>
      <c r="Y9" s="36">
        <f>'SER_se-appl'!Y33</f>
        <v>2879.3571650741669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109.75875302752854</v>
      </c>
      <c r="D10" s="38">
        <f>'SER_se-appl'!D41</f>
        <v>109.75875302752843</v>
      </c>
      <c r="E10" s="38">
        <f>'SER_se-appl'!E41</f>
        <v>109.75875302752843</v>
      </c>
      <c r="F10" s="38">
        <f>'SER_se-appl'!F41</f>
        <v>109.75875302752843</v>
      </c>
      <c r="G10" s="38">
        <f>'SER_se-appl'!G41</f>
        <v>109.75875302752843</v>
      </c>
      <c r="H10" s="38">
        <f>'SER_se-appl'!H41</f>
        <v>181.889621768589</v>
      </c>
      <c r="I10" s="38">
        <f>'SER_se-appl'!I41</f>
        <v>207.25340039365756</v>
      </c>
      <c r="J10" s="38">
        <f>'SER_se-appl'!J41</f>
        <v>249.18261227913945</v>
      </c>
      <c r="K10" s="38">
        <f>'SER_se-appl'!K41</f>
        <v>247.48872757041363</v>
      </c>
      <c r="L10" s="38">
        <f>'SER_se-appl'!L41</f>
        <v>228.82384054616955</v>
      </c>
      <c r="M10" s="38">
        <f>'SER_se-appl'!M41</f>
        <v>274.28781300012906</v>
      </c>
      <c r="N10" s="38">
        <f>'SER_se-appl'!N41</f>
        <v>307.46459745311381</v>
      </c>
      <c r="O10" s="38">
        <f>'SER_se-appl'!O41</f>
        <v>366.06971535327011</v>
      </c>
      <c r="P10" s="38">
        <f>'SER_se-appl'!P41</f>
        <v>368.61873853828274</v>
      </c>
      <c r="Q10" s="38">
        <f>'SER_se-appl'!Q41</f>
        <v>347.29558115257305</v>
      </c>
      <c r="R10" s="38">
        <f>'SER_se-appl'!R41</f>
        <v>403.65839810141006</v>
      </c>
      <c r="S10" s="38">
        <f>'SER_se-appl'!S41</f>
        <v>509.75736943476204</v>
      </c>
      <c r="T10" s="38">
        <f>'SER_se-appl'!T41</f>
        <v>610.4634885658852</v>
      </c>
      <c r="U10" s="38">
        <f>'SER_se-appl'!U41</f>
        <v>645.83915119559333</v>
      </c>
      <c r="V10" s="38">
        <f>'SER_se-appl'!V41</f>
        <v>577.02637866308032</v>
      </c>
      <c r="W10" s="38">
        <f>'SER_se-appl'!W41</f>
        <v>783.7597194383743</v>
      </c>
      <c r="X10" s="38">
        <f>'SER_se-appl'!X41</f>
        <v>903.97471397366644</v>
      </c>
      <c r="Y10" s="38">
        <f>'SER_se-appl'!Y41</f>
        <v>1183.2308027758372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2881.452790078511</v>
      </c>
      <c r="C12" s="204">
        <f>'SER_se-appl'!C49</f>
        <v>3001.0415044329407</v>
      </c>
      <c r="D12" s="204">
        <f>'SER_se-appl'!D49</f>
        <v>3078.410050377508</v>
      </c>
      <c r="E12" s="204">
        <f>'SER_se-appl'!E49</f>
        <v>3099.1099812464654</v>
      </c>
      <c r="F12" s="204">
        <f>'SER_se-appl'!F49</f>
        <v>3136.2466623204587</v>
      </c>
      <c r="G12" s="204">
        <f>'SER_se-appl'!G49</f>
        <v>3199.4264260703435</v>
      </c>
      <c r="H12" s="204">
        <f>'SER_se-appl'!H49</f>
        <v>3258.7084101254591</v>
      </c>
      <c r="I12" s="204">
        <f>'SER_se-appl'!I49</f>
        <v>3325.7540282338118</v>
      </c>
      <c r="J12" s="204">
        <f>'SER_se-appl'!J49</f>
        <v>3395.7028633808704</v>
      </c>
      <c r="K12" s="204">
        <f>'SER_se-appl'!K49</f>
        <v>3459.6914991647295</v>
      </c>
      <c r="L12" s="204">
        <f>'SER_se-appl'!L49</f>
        <v>3522.9591707090158</v>
      </c>
      <c r="M12" s="204">
        <f>'SER_se-appl'!M49</f>
        <v>3609.3310571421198</v>
      </c>
      <c r="N12" s="204">
        <f>'SER_se-appl'!N49</f>
        <v>3711.9864625959021</v>
      </c>
      <c r="O12" s="204">
        <f>'SER_se-appl'!O49</f>
        <v>3759.5196544521536</v>
      </c>
      <c r="P12" s="204">
        <f>'SER_se-appl'!P49</f>
        <v>3786.9773625807065</v>
      </c>
      <c r="Q12" s="204">
        <f>'SER_se-appl'!Q49</f>
        <v>3835.5871180376998</v>
      </c>
      <c r="R12" s="204">
        <f>'SER_se-appl'!R49</f>
        <v>3991.7727278385955</v>
      </c>
      <c r="S12" s="204">
        <f>'SER_se-appl'!S49</f>
        <v>4175.3539802515552</v>
      </c>
      <c r="T12" s="204">
        <f>'SER_se-appl'!T49</f>
        <v>4359.9569064011757</v>
      </c>
      <c r="U12" s="204">
        <f>'SER_se-appl'!U49</f>
        <v>4471.991504702476</v>
      </c>
      <c r="V12" s="204">
        <f>'SER_se-appl'!V49</f>
        <v>4614.1921818532064</v>
      </c>
      <c r="W12" s="204">
        <f>'SER_se-appl'!W49</f>
        <v>4911.6820774834614</v>
      </c>
      <c r="X12" s="204">
        <f>'SER_se-appl'!X49</f>
        <v>5104.128423975475</v>
      </c>
      <c r="Y12" s="204">
        <f>'SER_se-appl'!Y49</f>
        <v>5245.2482324232969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342.80720202810835</v>
      </c>
      <c r="C14" s="59">
        <f>'SER_se-appl'!C57</f>
        <v>333.68490900592138</v>
      </c>
      <c r="D14" s="59">
        <f>'SER_se-appl'!D57</f>
        <v>322.59182669931016</v>
      </c>
      <c r="E14" s="59">
        <f>'SER_se-appl'!E57</f>
        <v>309.02326255319258</v>
      </c>
      <c r="F14" s="59">
        <f>'SER_se-appl'!F57</f>
        <v>296.2992926706853</v>
      </c>
      <c r="G14" s="59">
        <f>'SER_se-appl'!G57</f>
        <v>284.45430436054363</v>
      </c>
      <c r="H14" s="59">
        <f>'SER_se-appl'!H57</f>
        <v>271.47469905535615</v>
      </c>
      <c r="I14" s="59">
        <f>'SER_se-appl'!I57</f>
        <v>256.77496539443592</v>
      </c>
      <c r="J14" s="59">
        <f>'SER_se-appl'!J57</f>
        <v>240.1197582475115</v>
      </c>
      <c r="K14" s="59">
        <f>'SER_se-appl'!K57</f>
        <v>225.74646576662587</v>
      </c>
      <c r="L14" s="59">
        <f>'SER_se-appl'!L57</f>
        <v>213.72941448893479</v>
      </c>
      <c r="M14" s="59">
        <f>'SER_se-appl'!M57</f>
        <v>201.21643449087168</v>
      </c>
      <c r="N14" s="59">
        <f>'SER_se-appl'!N57</f>
        <v>189.70085312557956</v>
      </c>
      <c r="O14" s="59">
        <f>'SER_se-appl'!O57</f>
        <v>179.50751951310437</v>
      </c>
      <c r="P14" s="59">
        <f>'SER_se-appl'!P57</f>
        <v>171.72852091826124</v>
      </c>
      <c r="Q14" s="59">
        <f>'SER_se-appl'!Q57</f>
        <v>167.12411386115005</v>
      </c>
      <c r="R14" s="59">
        <f>'SER_se-appl'!R57</f>
        <v>163.20084951721637</v>
      </c>
      <c r="S14" s="59">
        <f>'SER_se-appl'!S57</f>
        <v>159.36838514570613</v>
      </c>
      <c r="T14" s="59">
        <f>'SER_se-appl'!T57</f>
        <v>155.53548346733899</v>
      </c>
      <c r="U14" s="59">
        <f>'SER_se-appl'!U57</f>
        <v>152.05074268715191</v>
      </c>
      <c r="V14" s="59">
        <f>'SER_se-appl'!V57</f>
        <v>148.21365205260486</v>
      </c>
      <c r="W14" s="59">
        <f>'SER_se-appl'!W57</f>
        <v>143.93739403835883</v>
      </c>
      <c r="X14" s="59">
        <f>'SER_se-appl'!X57</f>
        <v>140.36268726130066</v>
      </c>
      <c r="Y14" s="59">
        <f>'SER_se-appl'!Y57</f>
        <v>137.26514515106894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311.6660275077607</v>
      </c>
      <c r="D15" s="63">
        <f>'SER_se-appl'!D65</f>
        <v>300.06310739782737</v>
      </c>
      <c r="E15" s="63">
        <f>'SER_se-appl'!E65</f>
        <v>284.78467312269095</v>
      </c>
      <c r="F15" s="63">
        <f>'SER_se-appl'!F65</f>
        <v>272.82137428771233</v>
      </c>
      <c r="G15" s="63">
        <f>'SER_se-appl'!G65</f>
        <v>260.90863441139248</v>
      </c>
      <c r="H15" s="63">
        <f>'SER_se-appl'!H65</f>
        <v>245.38101914148498</v>
      </c>
      <c r="I15" s="63">
        <f>'SER_se-appl'!I65</f>
        <v>228.24648129097861</v>
      </c>
      <c r="J15" s="63">
        <f>'SER_se-appl'!J65</f>
        <v>211.04671886261121</v>
      </c>
      <c r="K15" s="63">
        <f>'SER_se-appl'!K65</f>
        <v>201.82203014914577</v>
      </c>
      <c r="L15" s="63">
        <f>'SER_se-appl'!L65</f>
        <v>191.34561428666072</v>
      </c>
      <c r="M15" s="63">
        <f>'SER_se-appl'!M65</f>
        <v>179.65242499764034</v>
      </c>
      <c r="N15" s="63">
        <f>'SER_se-appl'!N65</f>
        <v>172.44312545439561</v>
      </c>
      <c r="O15" s="63">
        <f>'SER_se-appl'!O65</f>
        <v>165.10169457133154</v>
      </c>
      <c r="P15" s="63">
        <f>'SER_se-appl'!P65</f>
        <v>161.92682392260198</v>
      </c>
      <c r="Q15" s="63">
        <f>'SER_se-appl'!Q65</f>
        <v>161.6177158486982</v>
      </c>
      <c r="R15" s="63">
        <f>'SER_se-appl'!R65</f>
        <v>157.92450120100489</v>
      </c>
      <c r="S15" s="63">
        <f>'SER_se-appl'!S65</f>
        <v>153.48483442974143</v>
      </c>
      <c r="T15" s="63">
        <f>'SER_se-appl'!T65</f>
        <v>149.06500670716696</v>
      </c>
      <c r="U15" s="63">
        <f>'SER_se-appl'!U65</f>
        <v>144.92497376396662</v>
      </c>
      <c r="V15" s="63">
        <f>'SER_se-appl'!V65</f>
        <v>140.84665455611005</v>
      </c>
      <c r="W15" s="63">
        <f>'SER_se-appl'!W65</f>
        <v>138.31141477410006</v>
      </c>
      <c r="X15" s="63">
        <f>'SER_se-appl'!X65</f>
        <v>135.77617499209009</v>
      </c>
      <c r="Y15" s="63">
        <f>'SER_se-appl'!Y65</f>
        <v>133.2409352100801</v>
      </c>
      <c r="DA15" s="105" t="s">
        <v>957</v>
      </c>
    </row>
    <row r="17" spans="1:105" ht="12" customHeight="1" x14ac:dyDescent="0.25">
      <c r="A17" s="197" t="s">
        <v>184</v>
      </c>
      <c r="B17" s="198">
        <v>26.340458283455987</v>
      </c>
      <c r="C17" s="198">
        <v>31.608549940147178</v>
      </c>
      <c r="D17" s="198">
        <v>36.87664159683839</v>
      </c>
      <c r="E17" s="198">
        <v>42.144733253529594</v>
      </c>
      <c r="F17" s="198">
        <v>47.412824910220756</v>
      </c>
      <c r="G17" s="198">
        <v>52.680916566911975</v>
      </c>
      <c r="H17" s="198">
        <v>56.19297767137278</v>
      </c>
      <c r="I17" s="198">
        <v>59.705038775833593</v>
      </c>
      <c r="J17" s="198">
        <v>63.217099880294349</v>
      </c>
      <c r="K17" s="198">
        <v>66.729160984755126</v>
      </c>
      <c r="L17" s="198">
        <v>70.241222089215967</v>
      </c>
      <c r="M17" s="198">
        <v>74.780346664648818</v>
      </c>
      <c r="N17" s="198">
        <v>82.895458465940138</v>
      </c>
      <c r="O17" s="198">
        <v>90.05339228757984</v>
      </c>
      <c r="P17" s="198">
        <v>97.829406008204913</v>
      </c>
      <c r="Q17" s="198">
        <v>106.27687016337059</v>
      </c>
      <c r="R17" s="198">
        <v>126.99914015477221</v>
      </c>
      <c r="S17" s="198">
        <v>150.90283748925202</v>
      </c>
      <c r="T17" s="198">
        <v>186.75838349097165</v>
      </c>
      <c r="U17" s="198">
        <v>213.06964746345648</v>
      </c>
      <c r="V17" s="198">
        <v>259.5872742906277</v>
      </c>
      <c r="W17" s="198">
        <v>344.02407566637987</v>
      </c>
      <c r="X17" s="198">
        <v>451.59071367153911</v>
      </c>
      <c r="Y17" s="198">
        <v>559.15735167669857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4734.6094339622641</v>
      </c>
      <c r="C3" s="219">
        <v>3913.201790393613</v>
      </c>
      <c r="D3" s="219">
        <v>3631.443917685529</v>
      </c>
      <c r="E3" s="219">
        <v>3139.9793462442631</v>
      </c>
      <c r="F3" s="219">
        <v>3539.477669294819</v>
      </c>
      <c r="G3" s="219">
        <v>2469.874427572332</v>
      </c>
      <c r="H3" s="219">
        <v>2299.148501324732</v>
      </c>
      <c r="I3" s="219">
        <v>2778.4848602636712</v>
      </c>
      <c r="J3" s="219">
        <v>2200.4203225083461</v>
      </c>
      <c r="K3" s="219">
        <v>1344.433776947433</v>
      </c>
      <c r="L3" s="219">
        <v>2312.56648469728</v>
      </c>
      <c r="M3" s="219">
        <v>2974.7708237986271</v>
      </c>
      <c r="N3" s="219">
        <v>2367.5576717858298</v>
      </c>
      <c r="O3" s="219">
        <v>2595.2101504057218</v>
      </c>
      <c r="P3" s="219">
        <v>3195.013678086475</v>
      </c>
      <c r="Q3" s="219">
        <v>2771.445663</v>
      </c>
      <c r="R3" s="219">
        <v>2994.857095696364</v>
      </c>
      <c r="S3" s="219">
        <v>3909.2094695652181</v>
      </c>
      <c r="T3" s="219">
        <v>3504.067842790394</v>
      </c>
      <c r="U3" s="219">
        <v>3779.2810273667001</v>
      </c>
      <c r="V3" s="219">
        <v>4321.1132692436586</v>
      </c>
      <c r="W3" s="219">
        <v>5137.9310498220639</v>
      </c>
      <c r="X3" s="219">
        <v>6265.5419418954898</v>
      </c>
      <c r="Y3" s="219">
        <v>4444</v>
      </c>
      <c r="DA3" s="210" t="s">
        <v>974</v>
      </c>
    </row>
    <row r="5" spans="1:105" x14ac:dyDescent="0.25">
      <c r="A5" s="218" t="s">
        <v>120</v>
      </c>
      <c r="B5" s="219">
        <v>3142.4284514617498</v>
      </c>
      <c r="C5" s="219">
        <v>3279.6439958471128</v>
      </c>
      <c r="D5" s="219">
        <v>3127.6010533142021</v>
      </c>
      <c r="E5" s="219">
        <v>3103.2448907548278</v>
      </c>
      <c r="F5" s="219">
        <v>3121.0801218926849</v>
      </c>
      <c r="G5" s="219">
        <v>2851.0584261713439</v>
      </c>
      <c r="H5" s="219">
        <v>2796.4295282272351</v>
      </c>
      <c r="I5" s="219">
        <v>2909.3898374438568</v>
      </c>
      <c r="J5" s="219">
        <v>2901.05409830381</v>
      </c>
      <c r="K5" s="219">
        <v>2276.8378280931252</v>
      </c>
      <c r="L5" s="219">
        <v>2291.7398497925942</v>
      </c>
      <c r="M5" s="219">
        <v>2421.2766180231411</v>
      </c>
      <c r="N5" s="219">
        <v>2308.1482895061622</v>
      </c>
      <c r="O5" s="219">
        <v>2109.6422393831058</v>
      </c>
      <c r="P5" s="219">
        <v>2007.362596380256</v>
      </c>
      <c r="Q5" s="219">
        <v>1890.8184147184929</v>
      </c>
      <c r="R5" s="219">
        <v>1912.684301965299</v>
      </c>
      <c r="S5" s="219">
        <v>2158.3425574348612</v>
      </c>
      <c r="T5" s="219">
        <v>2179.2061767087048</v>
      </c>
      <c r="U5" s="219">
        <v>2209.0148293514021</v>
      </c>
      <c r="V5" s="219">
        <v>2070.1935606719048</v>
      </c>
      <c r="W5" s="219">
        <v>2165.734623014333</v>
      </c>
      <c r="X5" s="219">
        <v>3384.889237914118</v>
      </c>
      <c r="Y5" s="219">
        <v>2873.7771790860802</v>
      </c>
      <c r="DA5" s="210" t="s">
        <v>975</v>
      </c>
    </row>
    <row r="6" spans="1:105" x14ac:dyDescent="0.25">
      <c r="A6" s="220" t="s">
        <v>119</v>
      </c>
      <c r="B6" s="221">
        <v>3928.0355643271878</v>
      </c>
      <c r="C6" s="221">
        <v>3731.6337861108291</v>
      </c>
      <c r="D6" s="221">
        <v>3535.232007894469</v>
      </c>
      <c r="E6" s="221">
        <v>3535.232007894469</v>
      </c>
      <c r="F6" s="221">
        <v>3338.8302296781098</v>
      </c>
      <c r="G6" s="221">
        <v>3142.4284514617511</v>
      </c>
      <c r="H6" s="221">
        <v>3142.4284514617511</v>
      </c>
      <c r="I6" s="221">
        <v>3142.4284514617511</v>
      </c>
      <c r="J6" s="221">
        <v>3142.4284514617511</v>
      </c>
      <c r="K6" s="221">
        <v>3142.4284514617511</v>
      </c>
      <c r="L6" s="221">
        <v>2946.026673245392</v>
      </c>
      <c r="M6" s="221">
        <v>2749.6248950290328</v>
      </c>
      <c r="N6" s="221">
        <v>2749.6248950290328</v>
      </c>
      <c r="O6" s="221">
        <v>2553.2231168126741</v>
      </c>
      <c r="P6" s="221">
        <v>2356.821338596314</v>
      </c>
      <c r="Q6" s="221">
        <v>2356.821338596314</v>
      </c>
      <c r="R6" s="221">
        <v>2160.4195603799549</v>
      </c>
      <c r="S6" s="221">
        <v>2356.821338596314</v>
      </c>
      <c r="T6" s="221">
        <v>2356.821338596314</v>
      </c>
      <c r="U6" s="221">
        <v>2356.821338596314</v>
      </c>
      <c r="V6" s="221">
        <v>2356.821338596314</v>
      </c>
      <c r="W6" s="221">
        <v>2356.821338596314</v>
      </c>
      <c r="X6" s="221">
        <v>3731.63378611083</v>
      </c>
      <c r="Y6" s="221">
        <v>3535.2320078944708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0</v>
      </c>
      <c r="F7" s="225">
        <v>0</v>
      </c>
      <c r="G7" s="225">
        <v>0</v>
      </c>
      <c r="H7" s="225">
        <v>0</v>
      </c>
      <c r="I7" s="225">
        <v>196.40177821635939</v>
      </c>
      <c r="J7" s="225">
        <v>196.40177821635939</v>
      </c>
      <c r="K7" s="225">
        <v>0</v>
      </c>
      <c r="L7" s="225">
        <v>0</v>
      </c>
      <c r="M7" s="225">
        <v>0</v>
      </c>
      <c r="N7" s="225">
        <v>0</v>
      </c>
      <c r="O7" s="225">
        <v>0</v>
      </c>
      <c r="P7" s="225">
        <v>0</v>
      </c>
      <c r="Q7" s="225">
        <v>0</v>
      </c>
      <c r="R7" s="225">
        <v>0</v>
      </c>
      <c r="S7" s="225">
        <v>392.80355643271878</v>
      </c>
      <c r="T7" s="225">
        <v>0</v>
      </c>
      <c r="U7" s="225">
        <v>196.40177821635939</v>
      </c>
      <c r="V7" s="225">
        <v>196.40177821635939</v>
      </c>
      <c r="W7" s="225">
        <v>0</v>
      </c>
      <c r="X7" s="225">
        <v>1571.2142257308749</v>
      </c>
      <c r="Y7" s="225">
        <v>0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196.40177821635871</v>
      </c>
      <c r="D8" s="227">
        <f t="shared" ref="D8" si="1">IF(C6=0,0,C6+D7-D6)</f>
        <v>196.40177821636007</v>
      </c>
      <c r="E8" s="227">
        <f t="shared" ref="E8" si="2">IF(D6=0,0,D6+E7-E6)</f>
        <v>0</v>
      </c>
      <c r="F8" s="227">
        <f t="shared" ref="F8" si="3">IF(E6=0,0,E6+F7-F6)</f>
        <v>196.40177821635916</v>
      </c>
      <c r="G8" s="227">
        <f t="shared" ref="G8" si="4">IF(F6=0,0,F6+G7-G6)</f>
        <v>196.40177821635871</v>
      </c>
      <c r="H8" s="227">
        <f t="shared" ref="H8" si="5">IF(G6=0,0,G6+H7-H6)</f>
        <v>0</v>
      </c>
      <c r="I8" s="227">
        <f t="shared" ref="I8" si="6">IF(H6=0,0,H6+I7-I6)</f>
        <v>196.40177821635916</v>
      </c>
      <c r="J8" s="227">
        <f t="shared" ref="J8" si="7">IF(I6=0,0,I6+J7-J6)</f>
        <v>196.40177821635916</v>
      </c>
      <c r="K8" s="227">
        <f t="shared" ref="K8" si="8">IF(J6=0,0,J6+K7-K6)</f>
        <v>0</v>
      </c>
      <c r="L8" s="227">
        <f t="shared" ref="L8" si="9">IF(K6=0,0,K6+L7-L6)</f>
        <v>196.40177821635916</v>
      </c>
      <c r="M8" s="227">
        <f t="shared" ref="M8" si="10">IF(L6=0,0,L6+M7-M6)</f>
        <v>196.40177821635916</v>
      </c>
      <c r="N8" s="227">
        <f t="shared" ref="N8" si="11">IF(M6=0,0,M6+N7-N6)</f>
        <v>0</v>
      </c>
      <c r="O8" s="227">
        <f t="shared" ref="O8" si="12">IF(N6=0,0,N6+O7-O6)</f>
        <v>196.40177821635871</v>
      </c>
      <c r="P8" s="227">
        <f t="shared" ref="P8" si="13">IF(O6=0,0,O6+P7-P6)</f>
        <v>196.40177821636007</v>
      </c>
      <c r="Q8" s="227">
        <f t="shared" ref="Q8" si="14">IF(P6=0,0,P6+Q7-Q6)</f>
        <v>0</v>
      </c>
      <c r="R8" s="227">
        <f t="shared" ref="R8" si="15">IF(Q6=0,0,Q6+R7-R6)</f>
        <v>196.40177821635916</v>
      </c>
      <c r="S8" s="227">
        <f t="shared" ref="S8" si="16">IF(R6=0,0,R6+S7-S6)</f>
        <v>196.40177821635962</v>
      </c>
      <c r="T8" s="227">
        <f t="shared" ref="T8" si="17">IF(S6=0,0,S6+T7-T6)</f>
        <v>0</v>
      </c>
      <c r="U8" s="227">
        <f t="shared" ref="U8" si="18">IF(T6=0,0,T6+U7-U6)</f>
        <v>196.40177821635962</v>
      </c>
      <c r="V8" s="227">
        <f t="shared" ref="V8" si="19">IF(U6=0,0,U6+V7-V6)</f>
        <v>196.40177821635962</v>
      </c>
      <c r="W8" s="227">
        <f t="shared" ref="W8" si="20">IF(V6=0,0,V6+W7-W6)</f>
        <v>0</v>
      </c>
      <c r="X8" s="227">
        <f t="shared" ref="X8" si="21">IF(W6=0,0,W6+X7-X6)</f>
        <v>196.40177821635871</v>
      </c>
      <c r="Y8" s="227">
        <f t="shared" ref="Y8" si="22">IF(X6=0,0,X6+Y7-Y6)</f>
        <v>196.40177821635916</v>
      </c>
      <c r="DA8" s="213" t="s">
        <v>978</v>
      </c>
    </row>
    <row r="9" spans="1:105" x14ac:dyDescent="0.25">
      <c r="A9" s="222" t="s">
        <v>116</v>
      </c>
      <c r="B9" s="223">
        <f>B6-B5</f>
        <v>785.60711286543801</v>
      </c>
      <c r="C9" s="223">
        <f t="shared" ref="C9:W9" si="23">C6-C5</f>
        <v>451.98979026371626</v>
      </c>
      <c r="D9" s="223">
        <f t="shared" si="23"/>
        <v>407.63095458026692</v>
      </c>
      <c r="E9" s="223">
        <f t="shared" si="23"/>
        <v>431.98711713964121</v>
      </c>
      <c r="F9" s="223">
        <f t="shared" si="23"/>
        <v>217.75010778542492</v>
      </c>
      <c r="G9" s="223">
        <f t="shared" si="23"/>
        <v>291.37002529040728</v>
      </c>
      <c r="H9" s="223">
        <f t="shared" si="23"/>
        <v>345.99892323451604</v>
      </c>
      <c r="I9" s="223">
        <f t="shared" si="23"/>
        <v>233.03861401789436</v>
      </c>
      <c r="J9" s="223">
        <f t="shared" si="23"/>
        <v>241.37435315794119</v>
      </c>
      <c r="K9" s="223">
        <f t="shared" si="23"/>
        <v>865.59062336862598</v>
      </c>
      <c r="L9" s="223">
        <f t="shared" si="23"/>
        <v>654.28682345279776</v>
      </c>
      <c r="M9" s="223">
        <f t="shared" si="23"/>
        <v>328.34827700589176</v>
      </c>
      <c r="N9" s="223">
        <f t="shared" si="23"/>
        <v>441.47660552287061</v>
      </c>
      <c r="O9" s="223">
        <f t="shared" si="23"/>
        <v>443.58087742956832</v>
      </c>
      <c r="P9" s="223">
        <f t="shared" si="23"/>
        <v>349.458742216058</v>
      </c>
      <c r="Q9" s="223">
        <f t="shared" si="23"/>
        <v>466.0029238778211</v>
      </c>
      <c r="R9" s="223">
        <f t="shared" si="23"/>
        <v>247.73525841465585</v>
      </c>
      <c r="S9" s="223">
        <f t="shared" si="23"/>
        <v>198.47878116145284</v>
      </c>
      <c r="T9" s="223">
        <f t="shared" si="23"/>
        <v>177.61516188760925</v>
      </c>
      <c r="U9" s="223">
        <f t="shared" si="23"/>
        <v>147.80650924491192</v>
      </c>
      <c r="V9" s="223">
        <f t="shared" si="23"/>
        <v>286.6277779244092</v>
      </c>
      <c r="W9" s="223">
        <f t="shared" si="23"/>
        <v>191.08671558198103</v>
      </c>
      <c r="X9" s="223">
        <f t="shared" ref="X9:Y9" si="24">X6-X5</f>
        <v>346.744548196712</v>
      </c>
      <c r="Y9" s="223">
        <f t="shared" si="24"/>
        <v>661.45482880839063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353.43430782459154</v>
      </c>
      <c r="C12" s="229">
        <f t="shared" ref="C12:W12" si="25">SUM(C13,C14,C18,C19,C26,C27)</f>
        <v>360.16861564918315</v>
      </c>
      <c r="D12" s="229">
        <f t="shared" si="25"/>
        <v>355.94935511607912</v>
      </c>
      <c r="E12" s="229">
        <f t="shared" si="25"/>
        <v>370.95528804815137</v>
      </c>
      <c r="F12" s="229">
        <f t="shared" si="25"/>
        <v>366.1219260533104</v>
      </c>
      <c r="G12" s="229">
        <f t="shared" si="25"/>
        <v>382.8801375752364</v>
      </c>
      <c r="H12" s="229">
        <f t="shared" si="25"/>
        <v>363.69587274290626</v>
      </c>
      <c r="I12" s="229">
        <f t="shared" si="25"/>
        <v>342.76887360275151</v>
      </c>
      <c r="J12" s="229">
        <f t="shared" si="25"/>
        <v>358.26913155631985</v>
      </c>
      <c r="K12" s="229">
        <f t="shared" si="25"/>
        <v>313.82476354256232</v>
      </c>
      <c r="L12" s="229">
        <f t="shared" si="25"/>
        <v>294.43396388650046</v>
      </c>
      <c r="M12" s="229">
        <f t="shared" si="25"/>
        <v>280.91969045571796</v>
      </c>
      <c r="N12" s="229">
        <f t="shared" si="25"/>
        <v>273.08202923473777</v>
      </c>
      <c r="O12" s="229">
        <f t="shared" si="25"/>
        <v>248.7159071367154</v>
      </c>
      <c r="P12" s="229">
        <f t="shared" si="25"/>
        <v>229.26620808254509</v>
      </c>
      <c r="Q12" s="229">
        <f t="shared" si="25"/>
        <v>220.6155631986243</v>
      </c>
      <c r="R12" s="229">
        <f t="shared" si="25"/>
        <v>226.48572656921752</v>
      </c>
      <c r="S12" s="229">
        <f t="shared" si="25"/>
        <v>235.82020636285469</v>
      </c>
      <c r="T12" s="229">
        <f t="shared" si="25"/>
        <v>250.69484092863286</v>
      </c>
      <c r="U12" s="229">
        <f t="shared" si="25"/>
        <v>252.51367153912295</v>
      </c>
      <c r="V12" s="229">
        <f t="shared" si="25"/>
        <v>250.5405846947549</v>
      </c>
      <c r="W12" s="229">
        <f t="shared" si="25"/>
        <v>250.3869303525365</v>
      </c>
      <c r="X12" s="229">
        <f t="shared" ref="X12:Y12" si="26">SUM(X13,X14,X18,X19,X26,X27)</f>
        <v>334.85528804815135</v>
      </c>
      <c r="Y12" s="229">
        <f t="shared" si="26"/>
        <v>291.34041272570943</v>
      </c>
      <c r="DA12" s="210" t="s">
        <v>980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DA13" s="9" t="s">
        <v>981</v>
      </c>
    </row>
    <row r="14" spans="1:105" x14ac:dyDescent="0.25">
      <c r="A14" s="60" t="s">
        <v>28</v>
      </c>
      <c r="B14" s="55">
        <f>SUM(B15:B17)</f>
        <v>304.42312983662941</v>
      </c>
      <c r="C14" s="55">
        <f t="shared" ref="C14:W14" si="27">SUM(C15:C17)</f>
        <v>308.14797936371457</v>
      </c>
      <c r="D14" s="55">
        <f t="shared" si="27"/>
        <v>303.92871883061048</v>
      </c>
      <c r="E14" s="55">
        <f t="shared" si="27"/>
        <v>318.93465176268273</v>
      </c>
      <c r="F14" s="55">
        <f t="shared" si="27"/>
        <v>313.8433361994841</v>
      </c>
      <c r="G14" s="55">
        <f t="shared" si="27"/>
        <v>327.56362854686154</v>
      </c>
      <c r="H14" s="55">
        <f t="shared" si="27"/>
        <v>310.96156491831471</v>
      </c>
      <c r="I14" s="55">
        <f t="shared" si="27"/>
        <v>294.54875322441961</v>
      </c>
      <c r="J14" s="55">
        <f t="shared" si="27"/>
        <v>309.99742046431641</v>
      </c>
      <c r="K14" s="55">
        <f t="shared" si="27"/>
        <v>265.84539982803096</v>
      </c>
      <c r="L14" s="55">
        <f t="shared" si="27"/>
        <v>246.4546001719691</v>
      </c>
      <c r="M14" s="55">
        <f t="shared" si="27"/>
        <v>232.94032674118657</v>
      </c>
      <c r="N14" s="55">
        <f t="shared" si="27"/>
        <v>225.10266552020639</v>
      </c>
      <c r="O14" s="55">
        <f t="shared" si="27"/>
        <v>200.73654342218401</v>
      </c>
      <c r="P14" s="55">
        <f t="shared" si="27"/>
        <v>181.2868443680137</v>
      </c>
      <c r="Q14" s="55">
        <f t="shared" si="27"/>
        <v>172.63619948409291</v>
      </c>
      <c r="R14" s="55">
        <f t="shared" si="27"/>
        <v>178.50636285468613</v>
      </c>
      <c r="S14" s="55">
        <f t="shared" si="27"/>
        <v>187.8408426483233</v>
      </c>
      <c r="T14" s="55">
        <f t="shared" si="27"/>
        <v>202.71547721410147</v>
      </c>
      <c r="U14" s="55">
        <f t="shared" si="27"/>
        <v>205.2797936371453</v>
      </c>
      <c r="V14" s="55">
        <f t="shared" si="27"/>
        <v>201.87558039552877</v>
      </c>
      <c r="W14" s="55">
        <f t="shared" si="27"/>
        <v>202.7589853826311</v>
      </c>
      <c r="X14" s="55">
        <f t="shared" ref="X14:Y14" si="28">SUM(X15:X17)</f>
        <v>288.90275150472917</v>
      </c>
      <c r="Y14" s="55">
        <f t="shared" si="28"/>
        <v>247.03336199484096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  <c r="X15" s="55">
        <v>0</v>
      </c>
      <c r="Y15" s="55">
        <v>0</v>
      </c>
      <c r="DA15" s="10" t="s">
        <v>982</v>
      </c>
    </row>
    <row r="16" spans="1:105" x14ac:dyDescent="0.25">
      <c r="A16" s="61" t="s">
        <v>165</v>
      </c>
      <c r="B16" s="55">
        <v>304.42312983662941</v>
      </c>
      <c r="C16" s="55">
        <v>308.14797936371457</v>
      </c>
      <c r="D16" s="55">
        <v>303.92871883061048</v>
      </c>
      <c r="E16" s="55">
        <v>318.93465176268273</v>
      </c>
      <c r="F16" s="55">
        <v>313.8433361994841</v>
      </c>
      <c r="G16" s="55">
        <v>327.56362854686154</v>
      </c>
      <c r="H16" s="55">
        <v>310.96156491831471</v>
      </c>
      <c r="I16" s="55">
        <v>294.54875322441961</v>
      </c>
      <c r="J16" s="55">
        <v>309.99742046431641</v>
      </c>
      <c r="K16" s="55">
        <v>265.84539982803096</v>
      </c>
      <c r="L16" s="55">
        <v>246.4546001719691</v>
      </c>
      <c r="M16" s="55">
        <v>232.94032674118657</v>
      </c>
      <c r="N16" s="55">
        <v>225.10266552020639</v>
      </c>
      <c r="O16" s="55">
        <v>200.73654342218401</v>
      </c>
      <c r="P16" s="55">
        <v>181.2868443680137</v>
      </c>
      <c r="Q16" s="55">
        <v>172.63619948409291</v>
      </c>
      <c r="R16" s="55">
        <v>178.50636285468613</v>
      </c>
      <c r="S16" s="55">
        <v>187.8408426483233</v>
      </c>
      <c r="T16" s="55">
        <v>202.71547721410147</v>
      </c>
      <c r="U16" s="55">
        <v>205.2797936371453</v>
      </c>
      <c r="V16" s="55">
        <v>201.87558039552877</v>
      </c>
      <c r="W16" s="55">
        <v>202.7589853826311</v>
      </c>
      <c r="X16" s="55">
        <v>288.90275150472917</v>
      </c>
      <c r="Y16" s="55">
        <v>247.03336199484096</v>
      </c>
      <c r="DA16" s="10" t="s">
        <v>983</v>
      </c>
    </row>
    <row r="17" spans="1:105" x14ac:dyDescent="0.25">
      <c r="A17" s="61" t="s">
        <v>113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X17" s="55">
        <v>0</v>
      </c>
      <c r="Y17" s="55">
        <v>0</v>
      </c>
      <c r="DA17" s="10" t="s">
        <v>984</v>
      </c>
    </row>
    <row r="18" spans="1:105" x14ac:dyDescent="0.25">
      <c r="A18" s="60" t="s">
        <v>149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" t="s">
        <v>985</v>
      </c>
    </row>
    <row r="19" spans="1:105" x14ac:dyDescent="0.25">
      <c r="A19" s="60" t="s">
        <v>51</v>
      </c>
      <c r="B19" s="55">
        <f>SUM(B20:B25)</f>
        <v>0</v>
      </c>
      <c r="C19" s="55">
        <f t="shared" ref="C19:W19" si="29">SUM(C20:C25)</f>
        <v>0</v>
      </c>
      <c r="D19" s="55">
        <f t="shared" si="29"/>
        <v>0</v>
      </c>
      <c r="E19" s="55">
        <f t="shared" si="29"/>
        <v>0</v>
      </c>
      <c r="F19" s="55">
        <f t="shared" si="29"/>
        <v>0</v>
      </c>
      <c r="G19" s="55">
        <f t="shared" si="29"/>
        <v>0</v>
      </c>
      <c r="H19" s="55">
        <f t="shared" si="29"/>
        <v>0</v>
      </c>
      <c r="I19" s="55">
        <f t="shared" si="29"/>
        <v>0</v>
      </c>
      <c r="J19" s="55">
        <f t="shared" si="29"/>
        <v>0</v>
      </c>
      <c r="K19" s="55">
        <f t="shared" si="29"/>
        <v>0</v>
      </c>
      <c r="L19" s="55">
        <f t="shared" si="29"/>
        <v>0</v>
      </c>
      <c r="M19" s="55">
        <f t="shared" si="29"/>
        <v>0</v>
      </c>
      <c r="N19" s="55">
        <f t="shared" si="29"/>
        <v>0</v>
      </c>
      <c r="O19" s="55">
        <f t="shared" si="29"/>
        <v>0</v>
      </c>
      <c r="P19" s="55">
        <f t="shared" si="29"/>
        <v>0</v>
      </c>
      <c r="Q19" s="55">
        <f t="shared" si="29"/>
        <v>0</v>
      </c>
      <c r="R19" s="55">
        <f t="shared" si="29"/>
        <v>0</v>
      </c>
      <c r="S19" s="55">
        <f t="shared" si="29"/>
        <v>0</v>
      </c>
      <c r="T19" s="55">
        <f t="shared" si="29"/>
        <v>0</v>
      </c>
      <c r="U19" s="55">
        <f t="shared" si="29"/>
        <v>0</v>
      </c>
      <c r="V19" s="55">
        <f t="shared" si="29"/>
        <v>0</v>
      </c>
      <c r="W19" s="55">
        <f t="shared" si="29"/>
        <v>0</v>
      </c>
      <c r="X19" s="55">
        <f t="shared" ref="X19:Y19" si="30">SUM(X20:X25)</f>
        <v>0</v>
      </c>
      <c r="Y19" s="55">
        <f t="shared" si="30"/>
        <v>0</v>
      </c>
      <c r="DA19" s="10"/>
    </row>
    <row r="20" spans="1:105" x14ac:dyDescent="0.25">
      <c r="A20" s="61" t="s">
        <v>164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5">
        <v>0</v>
      </c>
      <c r="V20" s="55">
        <v>0</v>
      </c>
      <c r="W20" s="55">
        <v>0</v>
      </c>
      <c r="X20" s="55">
        <v>0</v>
      </c>
      <c r="Y20" s="55">
        <v>0</v>
      </c>
      <c r="DA20" s="10" t="s">
        <v>986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" t="s">
        <v>989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X26" s="55">
        <v>0</v>
      </c>
      <c r="Y26" s="55">
        <v>0</v>
      </c>
      <c r="DA26" s="10" t="s">
        <v>992</v>
      </c>
    </row>
    <row r="27" spans="1:105" x14ac:dyDescent="0.25">
      <c r="A27" s="62" t="s">
        <v>24</v>
      </c>
      <c r="B27" s="63">
        <v>49.011177987962157</v>
      </c>
      <c r="C27" s="63">
        <v>52.020636285468612</v>
      </c>
      <c r="D27" s="63">
        <v>52.020636285468612</v>
      </c>
      <c r="E27" s="63">
        <v>52.020636285468612</v>
      </c>
      <c r="F27" s="63">
        <v>52.278589853826311</v>
      </c>
      <c r="G27" s="63">
        <v>55.316509028374888</v>
      </c>
      <c r="H27" s="63">
        <v>52.734307824591568</v>
      </c>
      <c r="I27" s="63">
        <v>48.220120378331892</v>
      </c>
      <c r="J27" s="63">
        <v>48.271711092003443</v>
      </c>
      <c r="K27" s="63">
        <v>47.979363714531381</v>
      </c>
      <c r="L27" s="63">
        <v>47.979363714531381</v>
      </c>
      <c r="M27" s="63">
        <v>47.979363714531381</v>
      </c>
      <c r="N27" s="63">
        <v>47.979363714531381</v>
      </c>
      <c r="O27" s="63">
        <v>47.979363714531381</v>
      </c>
      <c r="P27" s="63">
        <v>47.979363714531381</v>
      </c>
      <c r="Q27" s="63">
        <v>47.979363714531381</v>
      </c>
      <c r="R27" s="63">
        <v>47.979363714531381</v>
      </c>
      <c r="S27" s="63">
        <v>47.979363714531381</v>
      </c>
      <c r="T27" s="63">
        <v>47.979363714531381</v>
      </c>
      <c r="U27" s="63">
        <v>47.233877901977642</v>
      </c>
      <c r="V27" s="63">
        <v>48.66500429922614</v>
      </c>
      <c r="W27" s="63">
        <v>47.627944969905407</v>
      </c>
      <c r="X27" s="63">
        <v>45.952536543422177</v>
      </c>
      <c r="Y27" s="63">
        <v>44.307050730868447</v>
      </c>
      <c r="DA27" s="11" t="s">
        <v>993</v>
      </c>
    </row>
    <row r="29" spans="1:105" x14ac:dyDescent="0.25">
      <c r="A29" s="218" t="s">
        <v>84</v>
      </c>
      <c r="B29" s="219">
        <v>944.44804116000012</v>
      </c>
      <c r="C29" s="219">
        <v>956.00408436000009</v>
      </c>
      <c r="D29" s="219">
        <v>942.91417115999991</v>
      </c>
      <c r="E29" s="219">
        <v>989.46885960000009</v>
      </c>
      <c r="F29" s="219">
        <v>973.67346648000012</v>
      </c>
      <c r="G29" s="219">
        <v>1016.2395594</v>
      </c>
      <c r="H29" s="219">
        <v>964.73300508</v>
      </c>
      <c r="I29" s="219">
        <v>913.81358952000005</v>
      </c>
      <c r="J29" s="219">
        <v>961.74182519999988</v>
      </c>
      <c r="K29" s="219">
        <v>824.76376632000006</v>
      </c>
      <c r="L29" s="219">
        <v>764.60538492000023</v>
      </c>
      <c r="M29" s="219">
        <v>722.67844895999997</v>
      </c>
      <c r="N29" s="219">
        <v>698.36274144000015</v>
      </c>
      <c r="O29" s="219">
        <v>622.76882616</v>
      </c>
      <c r="P29" s="219">
        <v>562.42771415999982</v>
      </c>
      <c r="Q29" s="219">
        <v>535.58979084000021</v>
      </c>
      <c r="R29" s="219">
        <v>553.80149603999996</v>
      </c>
      <c r="S29" s="219">
        <v>582.76096164</v>
      </c>
      <c r="T29" s="219">
        <v>628.90830756000003</v>
      </c>
      <c r="U29" s="219">
        <v>636.86389104</v>
      </c>
      <c r="V29" s="219">
        <v>626.3025958799999</v>
      </c>
      <c r="W29" s="219">
        <v>629.04328811999994</v>
      </c>
      <c r="X29" s="219">
        <v>896.29732764000005</v>
      </c>
      <c r="Y29" s="219">
        <v>766.40094648000013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74.64909466224168</v>
      </c>
      <c r="C31" s="59">
        <f t="shared" si="31"/>
        <v>92.039366979067864</v>
      </c>
      <c r="D31" s="59">
        <f t="shared" si="31"/>
        <v>98.018684353781936</v>
      </c>
      <c r="E31" s="59">
        <f t="shared" si="31"/>
        <v>118.13940384412143</v>
      </c>
      <c r="F31" s="59">
        <f t="shared" si="31"/>
        <v>103.43953550814577</v>
      </c>
      <c r="G31" s="59">
        <f t="shared" si="31"/>
        <v>155.02008251956912</v>
      </c>
      <c r="H31" s="59">
        <f t="shared" si="31"/>
        <v>158.18720388585191</v>
      </c>
      <c r="I31" s="59">
        <f t="shared" si="31"/>
        <v>123.36539187412509</v>
      </c>
      <c r="J31" s="59">
        <f t="shared" si="31"/>
        <v>162.81849785313503</v>
      </c>
      <c r="K31" s="59">
        <f t="shared" si="31"/>
        <v>233.42522995450804</v>
      </c>
      <c r="L31" s="59">
        <f t="shared" si="31"/>
        <v>127.31913475129453</v>
      </c>
      <c r="M31" s="59">
        <f t="shared" si="31"/>
        <v>94.43406134291655</v>
      </c>
      <c r="N31" s="59">
        <f t="shared" si="31"/>
        <v>115.34334833277966</v>
      </c>
      <c r="O31" s="59">
        <f t="shared" si="31"/>
        <v>95.836519095701149</v>
      </c>
      <c r="P31" s="59">
        <f t="shared" si="31"/>
        <v>71.757504406007698</v>
      </c>
      <c r="Q31" s="59">
        <f t="shared" si="31"/>
        <v>79.603062814450112</v>
      </c>
      <c r="R31" s="59">
        <f t="shared" si="31"/>
        <v>75.62488604036551</v>
      </c>
      <c r="S31" s="59">
        <f t="shared" si="31"/>
        <v>60.324269701792822</v>
      </c>
      <c r="T31" s="59">
        <f t="shared" si="31"/>
        <v>71.543946115209081</v>
      </c>
      <c r="U31" s="59">
        <f t="shared" si="31"/>
        <v>66.815267166058717</v>
      </c>
      <c r="V31" s="59">
        <f t="shared" si="31"/>
        <v>57.980564054644184</v>
      </c>
      <c r="W31" s="59">
        <f t="shared" si="31"/>
        <v>48.73302656741722</v>
      </c>
      <c r="X31" s="59">
        <f t="shared" si="31"/>
        <v>53.44394645403154</v>
      </c>
      <c r="Y31" s="59">
        <f t="shared" si="31"/>
        <v>65.558148678152435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112.47171201628666</v>
      </c>
      <c r="C32" s="55">
        <f t="shared" si="32"/>
        <v>109.81942433546166</v>
      </c>
      <c r="D32" s="55">
        <f t="shared" si="32"/>
        <v>113.80906613357637</v>
      </c>
      <c r="E32" s="55">
        <f t="shared" si="32"/>
        <v>119.53787119840254</v>
      </c>
      <c r="F32" s="55">
        <f t="shared" si="32"/>
        <v>117.30616060932354</v>
      </c>
      <c r="G32" s="55">
        <f t="shared" si="32"/>
        <v>134.29403412451359</v>
      </c>
      <c r="H32" s="55">
        <f t="shared" si="32"/>
        <v>130.05722800154638</v>
      </c>
      <c r="I32" s="55">
        <f t="shared" si="32"/>
        <v>117.81469406104159</v>
      </c>
      <c r="J32" s="55">
        <f t="shared" si="32"/>
        <v>123.49619118298857</v>
      </c>
      <c r="K32" s="55">
        <f t="shared" si="32"/>
        <v>137.83360398812144</v>
      </c>
      <c r="L32" s="55">
        <f t="shared" si="32"/>
        <v>128.47617233393535</v>
      </c>
      <c r="M32" s="55">
        <f t="shared" si="32"/>
        <v>116.0213122138336</v>
      </c>
      <c r="N32" s="55">
        <f t="shared" si="32"/>
        <v>118.3121684496124</v>
      </c>
      <c r="O32" s="55">
        <f t="shared" si="32"/>
        <v>117.89482713876833</v>
      </c>
      <c r="P32" s="55">
        <f t="shared" si="32"/>
        <v>114.21265320772922</v>
      </c>
      <c r="Q32" s="55">
        <f t="shared" si="32"/>
        <v>116.67728719019789</v>
      </c>
      <c r="R32" s="55">
        <f t="shared" si="32"/>
        <v>118.41249825520163</v>
      </c>
      <c r="S32" s="55">
        <f t="shared" si="32"/>
        <v>109.25986032686183</v>
      </c>
      <c r="T32" s="55">
        <f t="shared" si="32"/>
        <v>115.03952384499107</v>
      </c>
      <c r="U32" s="55">
        <f t="shared" si="32"/>
        <v>114.31053707016738</v>
      </c>
      <c r="V32" s="55">
        <f t="shared" si="32"/>
        <v>121.02278233994656</v>
      </c>
      <c r="W32" s="55">
        <f t="shared" si="32"/>
        <v>115.61293230102247</v>
      </c>
      <c r="X32" s="55">
        <f t="shared" si="32"/>
        <v>98.926512660278476</v>
      </c>
      <c r="Y32" s="55">
        <f t="shared" si="32"/>
        <v>101.37891512464499</v>
      </c>
      <c r="DA32" s="216"/>
    </row>
    <row r="33" spans="1:105" x14ac:dyDescent="0.25">
      <c r="A33" s="35" t="s">
        <v>111</v>
      </c>
      <c r="B33" s="55">
        <f>IF(AGR_ued!B$5=0,"",AGR_ued!B$5/B$5*1000)</f>
        <v>42.883794741951633</v>
      </c>
      <c r="C33" s="55">
        <f>IF(AGR_ued!C$5=0,"",AGR_ued!C$5/C$5*1000)</f>
        <v>41.994420186250856</v>
      </c>
      <c r="D33" s="55">
        <f>IF(AGR_ued!D$5=0,"",AGR_ued!D$5/D$5*1000)</f>
        <v>43.55808492010776</v>
      </c>
      <c r="E33" s="55">
        <f>IF(AGR_ued!E$5=0,"",AGR_ued!E$5/E$5*1000)</f>
        <v>45.613726436270163</v>
      </c>
      <c r="F33" s="55">
        <f>IF(AGR_ued!F$5=0,"",AGR_ued!F$5/F$5*1000)</f>
        <v>44.819884201193211</v>
      </c>
      <c r="G33" s="55">
        <f>IF(AGR_ued!G$5=0,"",AGR_ued!G$5/G$5*1000)</f>
        <v>51.354455394578935</v>
      </c>
      <c r="H33" s="55">
        <f>IF(AGR_ued!H$5=0,"",AGR_ued!H$5/H$5*1000)</f>
        <v>49.747488507015042</v>
      </c>
      <c r="I33" s="55">
        <f>IF(AGR_ued!I$5=0,"",AGR_ued!I$5/I$5*1000)</f>
        <v>44.966224759112094</v>
      </c>
      <c r="J33" s="55">
        <f>IF(AGR_ued!J$5=0,"",AGR_ued!J$5/J$5*1000)</f>
        <v>46.995331704807143</v>
      </c>
      <c r="K33" s="55">
        <f>IF(AGR_ued!K$5=0,"",AGR_ued!K$5/K$5*1000)</f>
        <v>52.937095991516387</v>
      </c>
      <c r="L33" s="55">
        <f>IF(AGR_ued!L$5=0,"",AGR_ued!L$5/L$5*1000)</f>
        <v>49.60702058991253</v>
      </c>
      <c r="M33" s="55">
        <f>IF(AGR_ued!M$5=0,"",AGR_ued!M$5/M$5*1000)</f>
        <v>44.98882836323844</v>
      </c>
      <c r="N33" s="55">
        <f>IF(AGR_ued!N$5=0,"",AGR_ued!N$5/N$5*1000)</f>
        <v>46.001214945492556</v>
      </c>
      <c r="O33" s="55">
        <f>IF(AGR_ued!O$5=0,"",AGR_ued!O$5/O$5*1000)</f>
        <v>46.286958876450257</v>
      </c>
      <c r="P33" s="55">
        <f>IF(AGR_ued!P$5=0,"",AGR_ued!P$5/P$5*1000)</f>
        <v>45.272369750944591</v>
      </c>
      <c r="Q33" s="55">
        <f>IF(AGR_ued!Q$5=0,"",AGR_ued!Q$5/Q$5*1000)</f>
        <v>46.476663980749713</v>
      </c>
      <c r="R33" s="55">
        <f>IF(AGR_ued!R$5=0,"",AGR_ued!R$5/R$5*1000)</f>
        <v>47.00890593839317</v>
      </c>
      <c r="S33" s="55">
        <f>IF(AGR_ued!S$5=0,"",AGR_ued!S$5/S$5*1000)</f>
        <v>43.160692803283254</v>
      </c>
      <c r="T33" s="55">
        <f>IF(AGR_ued!T$5=0,"",AGR_ued!T$5/T$5*1000)</f>
        <v>45.126430171994066</v>
      </c>
      <c r="U33" s="55">
        <f>IF(AGR_ued!U$5=0,"",AGR_ued!U$5/U$5*1000)</f>
        <v>44.729698435379753</v>
      </c>
      <c r="V33" s="55">
        <f>IF(AGR_ued!V$5=0,"",AGR_ued!V$5/V$5*1000)</f>
        <v>47.551508984330034</v>
      </c>
      <c r="W33" s="55">
        <f>IF(AGR_ued!W$5=0,"",AGR_ued!W$5/W$5*1000)</f>
        <v>45.321014295171388</v>
      </c>
      <c r="X33" s="55">
        <f>IF(AGR_ued!X$5=0,"",AGR_ued!X$5/X$5*1000)</f>
        <v>37.692132642796921</v>
      </c>
      <c r="Y33" s="55">
        <f>IF(AGR_ued!Y$5=0,"",AGR_ued!Y$5/Y$5*1000)</f>
        <v>38.919758588413323</v>
      </c>
      <c r="DA33" s="216"/>
    </row>
    <row r="34" spans="1:105" x14ac:dyDescent="0.25">
      <c r="A34" s="37" t="s">
        <v>110</v>
      </c>
      <c r="B34" s="217">
        <f t="shared" ref="B34:Y34" si="33">IF(B$12=0,"",B$29/B$12)</f>
        <v>2.672202500581033</v>
      </c>
      <c r="C34" s="217">
        <f t="shared" si="33"/>
        <v>2.6543236773611101</v>
      </c>
      <c r="D34" s="217">
        <f t="shared" si="33"/>
        <v>2.6490121631278272</v>
      </c>
      <c r="E34" s="217">
        <f t="shared" si="33"/>
        <v>2.6673534290514369</v>
      </c>
      <c r="F34" s="217">
        <f t="shared" si="33"/>
        <v>2.6594240803218794</v>
      </c>
      <c r="G34" s="217">
        <f t="shared" si="33"/>
        <v>2.6541976448185634</v>
      </c>
      <c r="H34" s="217">
        <f t="shared" si="33"/>
        <v>2.6525816688658499</v>
      </c>
      <c r="I34" s="217">
        <f t="shared" si="33"/>
        <v>2.6659759969309671</v>
      </c>
      <c r="J34" s="217">
        <f t="shared" si="33"/>
        <v>2.684411634968932</v>
      </c>
      <c r="K34" s="217">
        <f t="shared" si="33"/>
        <v>2.6281028845836825</v>
      </c>
      <c r="L34" s="217">
        <f t="shared" si="33"/>
        <v>2.5968654391201391</v>
      </c>
      <c r="M34" s="217">
        <f t="shared" si="33"/>
        <v>2.5725446578260325</v>
      </c>
      <c r="N34" s="217">
        <f t="shared" si="33"/>
        <v>2.5573368683286608</v>
      </c>
      <c r="O34" s="217">
        <f t="shared" si="33"/>
        <v>2.5039364523543455</v>
      </c>
      <c r="P34" s="217">
        <f t="shared" si="33"/>
        <v>2.4531644626734663</v>
      </c>
      <c r="Q34" s="217">
        <f t="shared" si="33"/>
        <v>2.4277062917714409</v>
      </c>
      <c r="R34" s="217">
        <f t="shared" si="33"/>
        <v>2.4451938072607402</v>
      </c>
      <c r="S34" s="217">
        <f t="shared" si="33"/>
        <v>2.4712087680192694</v>
      </c>
      <c r="T34" s="217">
        <f t="shared" si="33"/>
        <v>2.5086607495805469</v>
      </c>
      <c r="U34" s="217">
        <f t="shared" si="33"/>
        <v>2.522096673650116</v>
      </c>
      <c r="V34" s="217">
        <f t="shared" si="33"/>
        <v>2.4998049583186419</v>
      </c>
      <c r="W34" s="217">
        <f t="shared" si="33"/>
        <v>2.5122848354517862</v>
      </c>
      <c r="X34" s="217">
        <f t="shared" si="33"/>
        <v>2.6766706682891468</v>
      </c>
      <c r="Y34" s="217">
        <f t="shared" si="33"/>
        <v>2.6306029407652063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353.4343078245916</v>
      </c>
      <c r="C5" s="80">
        <f t="shared" ref="C5:W5" si="1">SUM(C6:C9,C16:C17,C25:C27)</f>
        <v>360.1686156491831</v>
      </c>
      <c r="D5" s="80">
        <f t="shared" si="1"/>
        <v>355.94935511607918</v>
      </c>
      <c r="E5" s="80">
        <f t="shared" si="1"/>
        <v>370.95528804815126</v>
      </c>
      <c r="F5" s="80">
        <f t="shared" si="1"/>
        <v>366.12192605331023</v>
      </c>
      <c r="G5" s="80">
        <f t="shared" si="1"/>
        <v>382.88013757523629</v>
      </c>
      <c r="H5" s="80">
        <f t="shared" si="1"/>
        <v>363.69587274290615</v>
      </c>
      <c r="I5" s="80">
        <f t="shared" si="1"/>
        <v>342.76887360275151</v>
      </c>
      <c r="J5" s="80">
        <f t="shared" si="1"/>
        <v>358.26913155631979</v>
      </c>
      <c r="K5" s="80">
        <f t="shared" si="1"/>
        <v>313.82476354256232</v>
      </c>
      <c r="L5" s="80">
        <f t="shared" si="1"/>
        <v>294.43396388650046</v>
      </c>
      <c r="M5" s="80">
        <f t="shared" si="1"/>
        <v>280.91969045571784</v>
      </c>
      <c r="N5" s="80">
        <f t="shared" si="1"/>
        <v>273.08202923473772</v>
      </c>
      <c r="O5" s="80">
        <f t="shared" si="1"/>
        <v>248.71590713671534</v>
      </c>
      <c r="P5" s="80">
        <f t="shared" si="1"/>
        <v>229.26620808254503</v>
      </c>
      <c r="Q5" s="80">
        <f t="shared" si="1"/>
        <v>220.61556319862427</v>
      </c>
      <c r="R5" s="80">
        <f t="shared" si="1"/>
        <v>226.48572656921752</v>
      </c>
      <c r="S5" s="80">
        <f t="shared" si="1"/>
        <v>235.82020636285469</v>
      </c>
      <c r="T5" s="80">
        <f t="shared" si="1"/>
        <v>250.69484092863283</v>
      </c>
      <c r="U5" s="80">
        <f t="shared" si="1"/>
        <v>252.51367153912292</v>
      </c>
      <c r="V5" s="80">
        <f t="shared" si="1"/>
        <v>250.54058469475495</v>
      </c>
      <c r="W5" s="80">
        <f t="shared" si="1"/>
        <v>250.38693035253641</v>
      </c>
      <c r="X5" s="80">
        <f t="shared" ref="X5:Y5" si="2">SUM(X6:X9,X16:X17,X25:X27)</f>
        <v>334.85528804815118</v>
      </c>
      <c r="Y5" s="80">
        <f t="shared" si="2"/>
        <v>291.34041272570926</v>
      </c>
      <c r="DA5" s="103"/>
    </row>
    <row r="6" spans="1:105" x14ac:dyDescent="0.25">
      <c r="A6" s="238" t="s">
        <v>125</v>
      </c>
      <c r="B6" s="239">
        <v>8.513947200347344</v>
      </c>
      <c r="C6" s="239">
        <v>8.9466350149717186</v>
      </c>
      <c r="D6" s="239">
        <v>8.9198401480913798</v>
      </c>
      <c r="E6" s="239">
        <v>9.012319475813884</v>
      </c>
      <c r="F6" s="239">
        <v>9.0168484821663935</v>
      </c>
      <c r="G6" s="239">
        <v>9.5127911891394863</v>
      </c>
      <c r="H6" s="239">
        <v>9.0604661401032729</v>
      </c>
      <c r="I6" s="239">
        <v>8.3474669115411508</v>
      </c>
      <c r="J6" s="239">
        <v>8.4424208471132882</v>
      </c>
      <c r="K6" s="239">
        <v>8.1296397589912743</v>
      </c>
      <c r="L6" s="239">
        <v>7.9849584459522571</v>
      </c>
      <c r="M6" s="239">
        <v>7.873327636992296</v>
      </c>
      <c r="N6" s="239">
        <v>7.8041575128177056</v>
      </c>
      <c r="O6" s="239">
        <v>7.5663023557543907</v>
      </c>
      <c r="P6" s="239">
        <v>7.3490628391207178</v>
      </c>
      <c r="Q6" s="239">
        <v>7.2438790492913876</v>
      </c>
      <c r="R6" s="239">
        <v>7.3158505802116798</v>
      </c>
      <c r="S6" s="239">
        <v>7.4251686508221288</v>
      </c>
      <c r="T6" s="239">
        <v>7.5869868985506033</v>
      </c>
      <c r="U6" s="239">
        <v>7.5274124877969273</v>
      </c>
      <c r="V6" s="239">
        <v>7.6561428794034372</v>
      </c>
      <c r="W6" s="239">
        <v>7.5472184889484977</v>
      </c>
      <c r="X6" s="239">
        <v>8.0024702752855177</v>
      </c>
      <c r="Y6" s="239">
        <v>7.5181318302175546</v>
      </c>
      <c r="DA6" s="267" t="s">
        <v>995</v>
      </c>
    </row>
    <row r="7" spans="1:105" x14ac:dyDescent="0.25">
      <c r="A7" s="240" t="s">
        <v>124</v>
      </c>
      <c r="B7" s="241">
        <v>5.5340656802257708</v>
      </c>
      <c r="C7" s="241">
        <v>5.8153127597316159</v>
      </c>
      <c r="D7" s="241">
        <v>5.7978960962593957</v>
      </c>
      <c r="E7" s="241">
        <v>5.8580076592790196</v>
      </c>
      <c r="F7" s="241">
        <v>5.8609515134081542</v>
      </c>
      <c r="G7" s="241">
        <v>6.1833142729406667</v>
      </c>
      <c r="H7" s="241">
        <v>5.889302991067126</v>
      </c>
      <c r="I7" s="241">
        <v>5.425853492501747</v>
      </c>
      <c r="J7" s="241">
        <v>5.4875735506236367</v>
      </c>
      <c r="K7" s="241">
        <v>5.2842658433443264</v>
      </c>
      <c r="L7" s="241">
        <v>5.1902229898689667</v>
      </c>
      <c r="M7" s="241">
        <v>5.1176629640449924</v>
      </c>
      <c r="N7" s="241">
        <v>5.0727023833315084</v>
      </c>
      <c r="O7" s="241">
        <v>4.9180965312403524</v>
      </c>
      <c r="P7" s="241">
        <v>4.7768908454284658</v>
      </c>
      <c r="Q7" s="241">
        <v>4.7085213820394003</v>
      </c>
      <c r="R7" s="241">
        <v>4.7553028771375878</v>
      </c>
      <c r="S7" s="241">
        <v>4.8263596230343833</v>
      </c>
      <c r="T7" s="241">
        <v>4.9315414840578917</v>
      </c>
      <c r="U7" s="241">
        <v>4.8928181170680016</v>
      </c>
      <c r="V7" s="241">
        <v>4.9764928716122334</v>
      </c>
      <c r="W7" s="241">
        <v>4.9056920178165218</v>
      </c>
      <c r="X7" s="241">
        <v>5.201605678935584</v>
      </c>
      <c r="Y7" s="241">
        <v>4.8867856896414086</v>
      </c>
      <c r="DA7" s="268" t="s">
        <v>996</v>
      </c>
    </row>
    <row r="8" spans="1:105" x14ac:dyDescent="0.25">
      <c r="A8" s="240" t="s">
        <v>123</v>
      </c>
      <c r="B8" s="241">
        <v>7.6625524803126073</v>
      </c>
      <c r="C8" s="241">
        <v>8.0519715134745447</v>
      </c>
      <c r="D8" s="241">
        <v>8.027856133282242</v>
      </c>
      <c r="E8" s="241">
        <v>8.1110875282324937</v>
      </c>
      <c r="F8" s="241">
        <v>8.1151636339497539</v>
      </c>
      <c r="G8" s="241">
        <v>8.5615120702255396</v>
      </c>
      <c r="H8" s="241">
        <v>8.154419526092946</v>
      </c>
      <c r="I8" s="241">
        <v>7.5127202203870356</v>
      </c>
      <c r="J8" s="241">
        <v>7.5981787624019592</v>
      </c>
      <c r="K8" s="241">
        <v>7.3166757830921458</v>
      </c>
      <c r="L8" s="241">
        <v>7.1864626013570296</v>
      </c>
      <c r="M8" s="241">
        <v>7.0859948732930649</v>
      </c>
      <c r="N8" s="241">
        <v>7.0237417615359359</v>
      </c>
      <c r="O8" s="241">
        <v>6.8096721201789503</v>
      </c>
      <c r="P8" s="241">
        <v>6.6141565552086474</v>
      </c>
      <c r="Q8" s="241">
        <v>6.5194911443622479</v>
      </c>
      <c r="R8" s="241">
        <v>6.5842655221905098</v>
      </c>
      <c r="S8" s="241">
        <v>6.6826517857399148</v>
      </c>
      <c r="T8" s="241">
        <v>6.8282882086955423</v>
      </c>
      <c r="U8" s="241">
        <v>6.774671239017235</v>
      </c>
      <c r="V8" s="241">
        <v>6.8905285914630907</v>
      </c>
      <c r="W8" s="241">
        <v>6.7924966400536473</v>
      </c>
      <c r="X8" s="241">
        <v>7.2022232477569634</v>
      </c>
      <c r="Y8" s="241">
        <v>6.7663186471957992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69.928348163640422</v>
      </c>
      <c r="C9" s="243">
        <f t="shared" ref="C9:W9" si="4">SUM(C10:C15)</f>
        <v>71.088770846458829</v>
      </c>
      <c r="D9" s="243">
        <f t="shared" si="4"/>
        <v>70.21044082521675</v>
      </c>
      <c r="E9" s="243">
        <f t="shared" si="4"/>
        <v>73.344240110991137</v>
      </c>
      <c r="F9" s="243">
        <f t="shared" si="4"/>
        <v>72.310987023271863</v>
      </c>
      <c r="G9" s="243">
        <f t="shared" si="4"/>
        <v>75.570297781443259</v>
      </c>
      <c r="H9" s="243">
        <f t="shared" si="4"/>
        <v>71.76945095295487</v>
      </c>
      <c r="I9" s="243">
        <f t="shared" si="4"/>
        <v>67.758327737554495</v>
      </c>
      <c r="J9" s="243">
        <f t="shared" si="4"/>
        <v>71.016763614508406</v>
      </c>
      <c r="K9" s="243">
        <f t="shared" si="4"/>
        <v>61.762506839319364</v>
      </c>
      <c r="L9" s="243">
        <f t="shared" si="4"/>
        <v>57.803945952219479</v>
      </c>
      <c r="M9" s="243">
        <f t="shared" si="4"/>
        <v>55.08538279082677</v>
      </c>
      <c r="N9" s="243">
        <f t="shared" si="4"/>
        <v>53.525712003256125</v>
      </c>
      <c r="O9" s="243">
        <f t="shared" si="4"/>
        <v>48.767693011965079</v>
      </c>
      <c r="P9" s="243">
        <f t="shared" si="4"/>
        <v>45.084790031560701</v>
      </c>
      <c r="Q9" s="243">
        <f t="shared" si="4"/>
        <v>43.485311830335718</v>
      </c>
      <c r="R9" s="243">
        <f t="shared" si="4"/>
        <v>44.56790861828361</v>
      </c>
      <c r="S9" s="243">
        <f t="shared" si="4"/>
        <v>46.313063772300495</v>
      </c>
      <c r="T9" s="243">
        <f t="shared" si="4"/>
        <v>49.148528578119539</v>
      </c>
      <c r="U9" s="243">
        <f t="shared" si="4"/>
        <v>49.490406387255661</v>
      </c>
      <c r="V9" s="243">
        <f t="shared" si="4"/>
        <v>49.132624379795139</v>
      </c>
      <c r="W9" s="243">
        <f t="shared" si="4"/>
        <v>49.083376123858876</v>
      </c>
      <c r="X9" s="243">
        <f t="shared" ref="X9:Y9" si="5">SUM(X10:X15)</f>
        <v>66.296180925474985</v>
      </c>
      <c r="Y9" s="243">
        <f t="shared" si="5"/>
        <v>57.351397340949518</v>
      </c>
      <c r="DA9" s="269"/>
    </row>
    <row r="10" spans="1:105" x14ac:dyDescent="0.25">
      <c r="A10" s="253" t="s">
        <v>166</v>
      </c>
      <c r="B10" s="254">
        <v>63.486906176940678</v>
      </c>
      <c r="C10" s="254">
        <v>63.80130963509184</v>
      </c>
      <c r="D10" s="254">
        <v>62.789005279542053</v>
      </c>
      <c r="E10" s="254">
        <v>66.38520120414492</v>
      </c>
      <c r="F10" s="254">
        <v>65.116639579414908</v>
      </c>
      <c r="G10" s="254">
        <v>67.817744697963391</v>
      </c>
      <c r="H10" s="254">
        <v>64.337473828144837</v>
      </c>
      <c r="I10" s="254">
        <v>61.275541915995298</v>
      </c>
      <c r="J10" s="254">
        <v>64.957156757444309</v>
      </c>
      <c r="K10" s="254">
        <v>54.431341918899108</v>
      </c>
      <c r="L10" s="254">
        <v>49.749374466612053</v>
      </c>
      <c r="M10" s="254">
        <v>46.472657260395039</v>
      </c>
      <c r="N10" s="254">
        <v>44.56713585182758</v>
      </c>
      <c r="O10" s="254">
        <v>38.619841077119723</v>
      </c>
      <c r="P10" s="254">
        <v>33.850740513174429</v>
      </c>
      <c r="Q10" s="254">
        <v>31.725343362824621</v>
      </c>
      <c r="R10" s="254">
        <v>33.167797805361673</v>
      </c>
      <c r="S10" s="254">
        <v>35.459543312386117</v>
      </c>
      <c r="T10" s="254">
        <v>39.104099357167946</v>
      </c>
      <c r="U10" s="254">
        <v>39.893590924768652</v>
      </c>
      <c r="V10" s="254">
        <v>38.748334478582457</v>
      </c>
      <c r="W10" s="254">
        <v>39.191523599442817</v>
      </c>
      <c r="X10" s="254">
        <v>60.355995757984729</v>
      </c>
      <c r="Y10" s="254">
        <v>50.63500576033541</v>
      </c>
      <c r="DA10" s="270" t="s">
        <v>998</v>
      </c>
    </row>
    <row r="11" spans="1:105" x14ac:dyDescent="0.25">
      <c r="A11" s="253" t="s">
        <v>169</v>
      </c>
      <c r="B11" s="255">
        <v>0</v>
      </c>
      <c r="C11" s="255">
        <v>0</v>
      </c>
      <c r="D11" s="255">
        <v>0</v>
      </c>
      <c r="E11" s="255">
        <v>0</v>
      </c>
      <c r="F11" s="255">
        <v>0</v>
      </c>
      <c r="G11" s="255">
        <v>0</v>
      </c>
      <c r="H11" s="255">
        <v>0</v>
      </c>
      <c r="I11" s="255">
        <v>0</v>
      </c>
      <c r="J11" s="255">
        <v>0</v>
      </c>
      <c r="K11" s="255">
        <v>0</v>
      </c>
      <c r="L11" s="255">
        <v>0</v>
      </c>
      <c r="M11" s="255">
        <v>0</v>
      </c>
      <c r="N11" s="255">
        <v>0</v>
      </c>
      <c r="O11" s="255">
        <v>0</v>
      </c>
      <c r="P11" s="255">
        <v>0</v>
      </c>
      <c r="Q11" s="255">
        <v>0</v>
      </c>
      <c r="R11" s="255">
        <v>0</v>
      </c>
      <c r="S11" s="255">
        <v>0</v>
      </c>
      <c r="T11" s="255">
        <v>0</v>
      </c>
      <c r="U11" s="255">
        <v>0</v>
      </c>
      <c r="V11" s="255">
        <v>0</v>
      </c>
      <c r="W11" s="255">
        <v>0</v>
      </c>
      <c r="X11" s="255">
        <v>0</v>
      </c>
      <c r="Y11" s="255">
        <v>0</v>
      </c>
      <c r="DA11" s="271" t="s">
        <v>999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1002</v>
      </c>
    </row>
    <row r="15" spans="1:105" x14ac:dyDescent="0.25">
      <c r="A15" s="253" t="s">
        <v>24</v>
      </c>
      <c r="B15" s="255">
        <v>6.4414419866997452</v>
      </c>
      <c r="C15" s="255">
        <v>7.287461211366991</v>
      </c>
      <c r="D15" s="255">
        <v>7.4214355456746919</v>
      </c>
      <c r="E15" s="255">
        <v>6.9590389068462128</v>
      </c>
      <c r="F15" s="255">
        <v>7.1943474438569508</v>
      </c>
      <c r="G15" s="255">
        <v>7.7525530834798628</v>
      </c>
      <c r="H15" s="255">
        <v>7.431977124810027</v>
      </c>
      <c r="I15" s="255">
        <v>6.4827858215591974</v>
      </c>
      <c r="J15" s="255">
        <v>6.0596068570640922</v>
      </c>
      <c r="K15" s="255">
        <v>7.3311649204202576</v>
      </c>
      <c r="L15" s="255">
        <v>8.0545714856074238</v>
      </c>
      <c r="M15" s="255">
        <v>8.6127255304317334</v>
      </c>
      <c r="N15" s="255">
        <v>8.9585761514285451</v>
      </c>
      <c r="O15" s="255">
        <v>10.14785193484536</v>
      </c>
      <c r="P15" s="255">
        <v>11.23404951838627</v>
      </c>
      <c r="Q15" s="255">
        <v>11.759968467511101</v>
      </c>
      <c r="R15" s="255">
        <v>11.400110812921939</v>
      </c>
      <c r="S15" s="255">
        <v>10.85352045991438</v>
      </c>
      <c r="T15" s="255">
        <v>10.04442922095159</v>
      </c>
      <c r="U15" s="255">
        <v>9.5968154624870081</v>
      </c>
      <c r="V15" s="255">
        <v>10.38428990121268</v>
      </c>
      <c r="W15" s="255">
        <v>9.8918525244160591</v>
      </c>
      <c r="X15" s="255">
        <v>5.9401851674902506</v>
      </c>
      <c r="Y15" s="255">
        <v>6.7163915806141068</v>
      </c>
      <c r="DA15" s="271" t="s">
        <v>1003</v>
      </c>
    </row>
    <row r="16" spans="1:105" x14ac:dyDescent="0.25">
      <c r="A16" s="256" t="s">
        <v>168</v>
      </c>
      <c r="B16" s="257">
        <v>95.325999679131669</v>
      </c>
      <c r="C16" s="257">
        <v>96.675336760573515</v>
      </c>
      <c r="D16" s="257">
        <v>95.406510102212849</v>
      </c>
      <c r="E16" s="257">
        <v>99.920752791896419</v>
      </c>
      <c r="F16" s="257">
        <v>98.408286815560302</v>
      </c>
      <c r="G16" s="257">
        <v>102.7680091615497</v>
      </c>
      <c r="H16" s="257">
        <v>97.576394578634378</v>
      </c>
      <c r="I16" s="257">
        <v>92.294142111650416</v>
      </c>
      <c r="J16" s="257">
        <v>96.949756017073312</v>
      </c>
      <c r="K16" s="257">
        <v>83.645605921152253</v>
      </c>
      <c r="L16" s="257">
        <v>77.826081929940855</v>
      </c>
      <c r="M16" s="257">
        <v>73.775610537309092</v>
      </c>
      <c r="N16" s="257">
        <v>71.428569692731656</v>
      </c>
      <c r="O16" s="257">
        <v>64.141192557550042</v>
      </c>
      <c r="P16" s="257">
        <v>58.332839186063751</v>
      </c>
      <c r="Q16" s="257">
        <v>55.751136219579323</v>
      </c>
      <c r="R16" s="257">
        <v>57.502951589820171</v>
      </c>
      <c r="S16" s="257">
        <v>60.289397214912952</v>
      </c>
      <c r="T16" s="257">
        <v>64.732558335566296</v>
      </c>
      <c r="U16" s="257">
        <v>65.434764716161069</v>
      </c>
      <c r="V16" s="257">
        <v>64.541012371913311</v>
      </c>
      <c r="W16" s="257">
        <v>64.715183017003596</v>
      </c>
      <c r="X16" s="257">
        <v>90.424128153302163</v>
      </c>
      <c r="Y16" s="257">
        <v>77.704669555183344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127.2925387210511</v>
      </c>
      <c r="C17" s="257">
        <f t="shared" ref="C17:W17" si="7">SUM(C18:C24)</f>
        <v>129.09436134305699</v>
      </c>
      <c r="D17" s="257">
        <f t="shared" si="7"/>
        <v>127.4000474404142</v>
      </c>
      <c r="E17" s="257">
        <f t="shared" si="7"/>
        <v>133.428092405135</v>
      </c>
      <c r="F17" s="257">
        <f t="shared" si="7"/>
        <v>131.40843738441569</v>
      </c>
      <c r="G17" s="257">
        <f t="shared" si="7"/>
        <v>137.23014528580561</v>
      </c>
      <c r="H17" s="257">
        <f t="shared" si="7"/>
        <v>130.29757911765671</v>
      </c>
      <c r="I17" s="257">
        <f t="shared" si="7"/>
        <v>123.2439806350685</v>
      </c>
      <c r="J17" s="257">
        <f t="shared" si="7"/>
        <v>129.46080411786539</v>
      </c>
      <c r="K17" s="257">
        <f t="shared" si="7"/>
        <v>111.6952517298903</v>
      </c>
      <c r="L17" s="257">
        <f t="shared" si="7"/>
        <v>103.9242135505599</v>
      </c>
      <c r="M17" s="257">
        <f t="shared" si="7"/>
        <v>98.515460552211294</v>
      </c>
      <c r="N17" s="257">
        <f t="shared" si="7"/>
        <v>95.381365042131208</v>
      </c>
      <c r="O17" s="257">
        <f t="shared" si="7"/>
        <v>85.650245103421753</v>
      </c>
      <c r="P17" s="257">
        <f t="shared" si="7"/>
        <v>77.894123489862437</v>
      </c>
      <c r="Q17" s="257">
        <f t="shared" si="7"/>
        <v>74.446674463010837</v>
      </c>
      <c r="R17" s="257">
        <f t="shared" si="7"/>
        <v>76.785942098274191</v>
      </c>
      <c r="S17" s="257">
        <f t="shared" si="7"/>
        <v>80.506792011415726</v>
      </c>
      <c r="T17" s="257">
        <f t="shared" si="7"/>
        <v>86.439918974661722</v>
      </c>
      <c r="U17" s="257">
        <f t="shared" si="7"/>
        <v>87.377602641162994</v>
      </c>
      <c r="V17" s="257">
        <f t="shared" si="7"/>
        <v>86.184140151704412</v>
      </c>
      <c r="W17" s="257">
        <f t="shared" si="7"/>
        <v>86.416717031662159</v>
      </c>
      <c r="X17" s="257">
        <f t="shared" ref="X17:Y17" si="8">SUM(X18:X24)</f>
        <v>120.7468777984532</v>
      </c>
      <c r="Y17" s="257">
        <f t="shared" si="8"/>
        <v>103.76208685409669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1005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X19" s="55">
        <v>0</v>
      </c>
      <c r="Y19" s="55">
        <v>0</v>
      </c>
      <c r="DA19" s="101" t="s">
        <v>1006</v>
      </c>
    </row>
    <row r="20" spans="1:105" x14ac:dyDescent="0.25">
      <c r="A20" s="61" t="s">
        <v>166</v>
      </c>
      <c r="B20" s="55">
        <v>127.2925387210511</v>
      </c>
      <c r="C20" s="55">
        <v>129.09436134305699</v>
      </c>
      <c r="D20" s="55">
        <v>127.4000474404142</v>
      </c>
      <c r="E20" s="55">
        <v>133.428092405135</v>
      </c>
      <c r="F20" s="55">
        <v>131.40843738441569</v>
      </c>
      <c r="G20" s="55">
        <v>137.23014528580561</v>
      </c>
      <c r="H20" s="55">
        <v>130.29757911765671</v>
      </c>
      <c r="I20" s="55">
        <v>123.2439806350685</v>
      </c>
      <c r="J20" s="55">
        <v>129.46080411786539</v>
      </c>
      <c r="K20" s="55">
        <v>111.6952517298903</v>
      </c>
      <c r="L20" s="55">
        <v>103.9242135505599</v>
      </c>
      <c r="M20" s="55">
        <v>98.515460552211294</v>
      </c>
      <c r="N20" s="55">
        <v>95.381365042131208</v>
      </c>
      <c r="O20" s="55">
        <v>85.650245103421753</v>
      </c>
      <c r="P20" s="55">
        <v>77.894123489862437</v>
      </c>
      <c r="Q20" s="55">
        <v>74.446674463010837</v>
      </c>
      <c r="R20" s="55">
        <v>76.785942098274191</v>
      </c>
      <c r="S20" s="55">
        <v>80.506792011415726</v>
      </c>
      <c r="T20" s="55">
        <v>86.439918974661722</v>
      </c>
      <c r="U20" s="55">
        <v>87.377602641162994</v>
      </c>
      <c r="V20" s="55">
        <v>86.184140151704412</v>
      </c>
      <c r="W20" s="55">
        <v>86.416717031662159</v>
      </c>
      <c r="X20" s="55">
        <v>120.7468777984532</v>
      </c>
      <c r="Y20" s="55">
        <v>103.76208685409669</v>
      </c>
      <c r="DA20" s="101" t="s">
        <v>1007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DA21" s="101" t="s">
        <v>1008</v>
      </c>
    </row>
    <row r="22" spans="1:105" x14ac:dyDescent="0.25">
      <c r="A22" s="61" t="s">
        <v>169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DA22" s="101" t="s">
        <v>1009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1010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1011</v>
      </c>
    </row>
    <row r="25" spans="1:105" x14ac:dyDescent="0.25">
      <c r="A25" s="256" t="s">
        <v>167</v>
      </c>
      <c r="B25" s="257">
        <v>18.31768525903167</v>
      </c>
      <c r="C25" s="257">
        <v>18.576971624235181</v>
      </c>
      <c r="D25" s="257">
        <v>18.333156007778459</v>
      </c>
      <c r="E25" s="257">
        <v>19.20060536105926</v>
      </c>
      <c r="F25" s="257">
        <v>18.909972419230439</v>
      </c>
      <c r="G25" s="257">
        <v>19.747729400740319</v>
      </c>
      <c r="H25" s="257">
        <v>18.75011739314381</v>
      </c>
      <c r="I25" s="257">
        <v>17.735088560772311</v>
      </c>
      <c r="J25" s="257">
        <v>18.62970357130629</v>
      </c>
      <c r="K25" s="257">
        <v>16.073200257244029</v>
      </c>
      <c r="L25" s="257">
        <v>14.954930224018961</v>
      </c>
      <c r="M25" s="257">
        <v>14.176598390409231</v>
      </c>
      <c r="N25" s="257">
        <v>13.725594932530219</v>
      </c>
      <c r="O25" s="257">
        <v>12.325264685006539</v>
      </c>
      <c r="P25" s="257">
        <v>11.209141179454541</v>
      </c>
      <c r="Q25" s="257">
        <v>10.71304543924146</v>
      </c>
      <c r="R25" s="257">
        <v>11.049671361781151</v>
      </c>
      <c r="S25" s="257">
        <v>11.585110110114879</v>
      </c>
      <c r="T25" s="257">
        <v>12.438900547532249</v>
      </c>
      <c r="U25" s="257">
        <v>12.57383535555855</v>
      </c>
      <c r="V25" s="257">
        <v>12.402093394324909</v>
      </c>
      <c r="W25" s="257">
        <v>12.4355617352693</v>
      </c>
      <c r="X25" s="257">
        <v>17.375749794493231</v>
      </c>
      <c r="Y25" s="257">
        <v>14.931599824391951</v>
      </c>
      <c r="DA25" s="272" t="s">
        <v>1012</v>
      </c>
    </row>
    <row r="26" spans="1:105" x14ac:dyDescent="0.25">
      <c r="A26" s="256" t="s">
        <v>170</v>
      </c>
      <c r="B26" s="257">
        <v>8.513947200347344</v>
      </c>
      <c r="C26" s="257">
        <v>8.9466350149717186</v>
      </c>
      <c r="D26" s="257">
        <v>8.9198401480913798</v>
      </c>
      <c r="E26" s="257">
        <v>9.012319475813884</v>
      </c>
      <c r="F26" s="257">
        <v>9.0168484821663935</v>
      </c>
      <c r="G26" s="257">
        <v>9.5127911891394863</v>
      </c>
      <c r="H26" s="257">
        <v>9.0604661401032729</v>
      </c>
      <c r="I26" s="257">
        <v>8.3474669115411508</v>
      </c>
      <c r="J26" s="257">
        <v>8.4424208471132882</v>
      </c>
      <c r="K26" s="257">
        <v>8.1296397589912743</v>
      </c>
      <c r="L26" s="257">
        <v>7.9849584459522571</v>
      </c>
      <c r="M26" s="257">
        <v>7.873327636992296</v>
      </c>
      <c r="N26" s="257">
        <v>7.8041575128177056</v>
      </c>
      <c r="O26" s="257">
        <v>7.5663023557543907</v>
      </c>
      <c r="P26" s="257">
        <v>7.3490628391207178</v>
      </c>
      <c r="Q26" s="257">
        <v>7.2438790492913876</v>
      </c>
      <c r="R26" s="257">
        <v>7.3158505802116798</v>
      </c>
      <c r="S26" s="257">
        <v>7.4251686508221288</v>
      </c>
      <c r="T26" s="257">
        <v>7.5869868985506033</v>
      </c>
      <c r="U26" s="257">
        <v>7.5274124877969273</v>
      </c>
      <c r="V26" s="257">
        <v>7.6561428794034372</v>
      </c>
      <c r="W26" s="257">
        <v>7.5472184889484977</v>
      </c>
      <c r="X26" s="257">
        <v>8.0024702752855177</v>
      </c>
      <c r="Y26" s="257">
        <v>7.5181318302175546</v>
      </c>
      <c r="DA26" s="272" t="s">
        <v>1013</v>
      </c>
    </row>
    <row r="27" spans="1:105" x14ac:dyDescent="0.25">
      <c r="A27" s="128" t="s">
        <v>33</v>
      </c>
      <c r="B27" s="258">
        <v>12.34522344050365</v>
      </c>
      <c r="C27" s="258">
        <v>12.972620771708989</v>
      </c>
      <c r="D27" s="258">
        <v>12.933768214732501</v>
      </c>
      <c r="E27" s="258">
        <v>13.06786323993013</v>
      </c>
      <c r="F27" s="258">
        <v>13.07443029914127</v>
      </c>
      <c r="G27" s="258">
        <v>13.79354722425226</v>
      </c>
      <c r="H27" s="258">
        <v>13.13767590314975</v>
      </c>
      <c r="I27" s="258">
        <v>12.10382702173467</v>
      </c>
      <c r="J27" s="258">
        <v>12.24151022831427</v>
      </c>
      <c r="K27" s="258">
        <v>11.78797765053735</v>
      </c>
      <c r="L27" s="258">
        <v>11.57818974663078</v>
      </c>
      <c r="M27" s="258">
        <v>11.416325073638831</v>
      </c>
      <c r="N27" s="258">
        <v>11.316028393585681</v>
      </c>
      <c r="O27" s="258">
        <v>10.971138415843861</v>
      </c>
      <c r="P27" s="258">
        <v>10.65614111672504</v>
      </c>
      <c r="Q27" s="258">
        <v>10.503624621472509</v>
      </c>
      <c r="R27" s="258">
        <v>10.607983341306941</v>
      </c>
      <c r="S27" s="258">
        <v>10.76649454369209</v>
      </c>
      <c r="T27" s="258">
        <v>11.001131002898379</v>
      </c>
      <c r="U27" s="258">
        <v>10.91474810730554</v>
      </c>
      <c r="V27" s="258">
        <v>11.10140717513498</v>
      </c>
      <c r="W27" s="258">
        <v>10.94346680897532</v>
      </c>
      <c r="X27" s="258">
        <v>11.603581899164</v>
      </c>
      <c r="Y27" s="258">
        <v>10.90129115381546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0.99999999999999989</v>
      </c>
      <c r="C31" s="235">
        <f t="shared" si="9"/>
        <v>1</v>
      </c>
      <c r="D31" s="235">
        <f t="shared" si="9"/>
        <v>0.99999999999999989</v>
      </c>
      <c r="E31" s="235">
        <f t="shared" si="9"/>
        <v>1</v>
      </c>
      <c r="F31" s="235">
        <f t="shared" si="9"/>
        <v>1</v>
      </c>
      <c r="G31" s="235">
        <f t="shared" si="9"/>
        <v>1</v>
      </c>
      <c r="H31" s="235">
        <f t="shared" si="9"/>
        <v>1</v>
      </c>
      <c r="I31" s="235">
        <f t="shared" si="9"/>
        <v>0.99999999999999978</v>
      </c>
      <c r="J31" s="235">
        <f t="shared" si="9"/>
        <v>1.0000000000000002</v>
      </c>
      <c r="K31" s="235">
        <f t="shared" si="9"/>
        <v>0.99999999999999989</v>
      </c>
      <c r="L31" s="235">
        <f t="shared" si="9"/>
        <v>1</v>
      </c>
      <c r="M31" s="235">
        <f t="shared" si="9"/>
        <v>1.0000000000000002</v>
      </c>
      <c r="N31" s="235">
        <f t="shared" si="9"/>
        <v>1.0000000000000002</v>
      </c>
      <c r="O31" s="235">
        <f t="shared" si="9"/>
        <v>1</v>
      </c>
      <c r="P31" s="235">
        <f t="shared" si="9"/>
        <v>1</v>
      </c>
      <c r="Q31" s="235">
        <f t="shared" si="9"/>
        <v>1</v>
      </c>
      <c r="R31" s="235">
        <f t="shared" ref="R31:W31" si="10">SUM(R32:R40)</f>
        <v>0.99999999999999989</v>
      </c>
      <c r="S31" s="235">
        <f t="shared" si="10"/>
        <v>1</v>
      </c>
      <c r="T31" s="235">
        <f t="shared" si="10"/>
        <v>0.99999999999999989</v>
      </c>
      <c r="U31" s="235">
        <f t="shared" si="10"/>
        <v>0.99999999999999989</v>
      </c>
      <c r="V31" s="235">
        <f t="shared" si="10"/>
        <v>1</v>
      </c>
      <c r="W31" s="235">
        <f t="shared" si="10"/>
        <v>1</v>
      </c>
      <c r="X31" s="235">
        <f t="shared" ref="X31:Y31" si="11">SUM(X32:X40)</f>
        <v>1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2.4089192848173617E-2</v>
      </c>
      <c r="C32" s="244">
        <f t="shared" si="12"/>
        <v>2.4840129390080051E-2</v>
      </c>
      <c r="D32" s="244">
        <f t="shared" si="12"/>
        <v>2.505929571127476E-2</v>
      </c>
      <c r="E32" s="244">
        <f t="shared" si="12"/>
        <v>2.4294894199335566E-2</v>
      </c>
      <c r="F32" s="244">
        <f t="shared" si="12"/>
        <v>2.4627993683321411E-2</v>
      </c>
      <c r="G32" s="244">
        <f t="shared" si="12"/>
        <v>2.4845350425811038E-2</v>
      </c>
      <c r="H32" s="244">
        <f t="shared" si="12"/>
        <v>2.4912205001864422E-2</v>
      </c>
      <c r="I32" s="244">
        <f t="shared" si="12"/>
        <v>2.4353048232773209E-2</v>
      </c>
      <c r="J32" s="244">
        <f t="shared" si="12"/>
        <v>2.3564466216889641E-2</v>
      </c>
      <c r="K32" s="244">
        <f t="shared" si="12"/>
        <v>2.5905029505068667E-2</v>
      </c>
      <c r="L32" s="244">
        <f t="shared" si="12"/>
        <v>2.7119692105324947E-2</v>
      </c>
      <c r="M32" s="244">
        <f t="shared" si="12"/>
        <v>2.8026969644669286E-2</v>
      </c>
      <c r="N32" s="244">
        <f t="shared" si="12"/>
        <v>2.8578070606430694E-2</v>
      </c>
      <c r="O32" s="244">
        <f t="shared" si="12"/>
        <v>3.0421465369303097E-2</v>
      </c>
      <c r="P32" s="244">
        <f t="shared" si="12"/>
        <v>3.2054714476172433E-2</v>
      </c>
      <c r="Q32" s="244">
        <f t="shared" si="12"/>
        <v>3.2834850562059349E-2</v>
      </c>
      <c r="R32" s="244">
        <f t="shared" si="12"/>
        <v>3.2301596621700762E-2</v>
      </c>
      <c r="S32" s="244">
        <f t="shared" si="12"/>
        <v>3.1486566674431116E-2</v>
      </c>
      <c r="T32" s="244">
        <f t="shared" si="12"/>
        <v>3.0263833393805051E-2</v>
      </c>
      <c r="U32" s="244">
        <f t="shared" si="12"/>
        <v>2.9809920555650692E-2</v>
      </c>
      <c r="V32" s="244">
        <f t="shared" si="12"/>
        <v>3.055849370165423E-2</v>
      </c>
      <c r="W32" s="244">
        <f t="shared" si="12"/>
        <v>3.0142222193156275E-2</v>
      </c>
      <c r="X32" s="244">
        <f t="shared" si="12"/>
        <v>2.3898294460067738E-2</v>
      </c>
      <c r="Y32" s="244">
        <f t="shared" si="12"/>
        <v>2.5805317428776058E-2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1.5657975351312841E-2</v>
      </c>
      <c r="C33" s="245">
        <f t="shared" si="13"/>
        <v>1.614608410355203E-2</v>
      </c>
      <c r="D33" s="245">
        <f t="shared" si="13"/>
        <v>1.6288542212328592E-2</v>
      </c>
      <c r="E33" s="245">
        <f t="shared" si="13"/>
        <v>1.5791681229568102E-2</v>
      </c>
      <c r="F33" s="245">
        <f t="shared" si="13"/>
        <v>1.6008195894158913E-2</v>
      </c>
      <c r="G33" s="245">
        <f t="shared" si="13"/>
        <v>1.6149477776777176E-2</v>
      </c>
      <c r="H33" s="245">
        <f t="shared" si="13"/>
        <v>1.619293325121187E-2</v>
      </c>
      <c r="I33" s="245">
        <f t="shared" si="13"/>
        <v>1.5829481351302584E-2</v>
      </c>
      <c r="J33" s="245">
        <f t="shared" si="13"/>
        <v>1.5316903040978266E-2</v>
      </c>
      <c r="K33" s="245">
        <f t="shared" si="13"/>
        <v>1.6838269178294625E-2</v>
      </c>
      <c r="L33" s="245">
        <f t="shared" si="13"/>
        <v>1.7627799868461212E-2</v>
      </c>
      <c r="M33" s="245">
        <f t="shared" si="13"/>
        <v>1.8217530269035036E-2</v>
      </c>
      <c r="N33" s="245">
        <f t="shared" si="13"/>
        <v>1.857574589417995E-2</v>
      </c>
      <c r="O33" s="245">
        <f t="shared" si="13"/>
        <v>1.9773952490047007E-2</v>
      </c>
      <c r="P33" s="245">
        <f t="shared" si="13"/>
        <v>2.0835564409512078E-2</v>
      </c>
      <c r="Q33" s="245">
        <f t="shared" si="13"/>
        <v>2.1342652865338568E-2</v>
      </c>
      <c r="R33" s="245">
        <f t="shared" si="13"/>
        <v>2.0996037804105479E-2</v>
      </c>
      <c r="S33" s="245">
        <f t="shared" si="13"/>
        <v>2.0466268338380222E-2</v>
      </c>
      <c r="T33" s="245">
        <f t="shared" si="13"/>
        <v>1.9671491705973283E-2</v>
      </c>
      <c r="U33" s="245">
        <f t="shared" si="13"/>
        <v>1.9376448361172943E-2</v>
      </c>
      <c r="V33" s="245">
        <f t="shared" si="13"/>
        <v>1.9863020906075245E-2</v>
      </c>
      <c r="W33" s="245">
        <f t="shared" si="13"/>
        <v>1.9592444425551574E-2</v>
      </c>
      <c r="X33" s="245">
        <f t="shared" si="13"/>
        <v>1.5533891399044021E-2</v>
      </c>
      <c r="Y33" s="245">
        <f t="shared" si="13"/>
        <v>1.6773456328704431E-2</v>
      </c>
      <c r="DA33" s="276"/>
    </row>
    <row r="34" spans="1:105" x14ac:dyDescent="0.25">
      <c r="A34" s="240" t="s">
        <v>123</v>
      </c>
      <c r="B34" s="245">
        <f t="shared" ref="B34:Y34" si="14">IF(B$8=0,0,B$8/B$5)</f>
        <v>2.1680273563356247E-2</v>
      </c>
      <c r="C34" s="245">
        <f t="shared" si="14"/>
        <v>2.235611645107204E-2</v>
      </c>
      <c r="D34" s="245">
        <f t="shared" si="14"/>
        <v>2.2553366140147284E-2</v>
      </c>
      <c r="E34" s="245">
        <f t="shared" si="14"/>
        <v>2.1865404779402003E-2</v>
      </c>
      <c r="F34" s="245">
        <f t="shared" si="14"/>
        <v>2.216519431498927E-2</v>
      </c>
      <c r="G34" s="245">
        <f t="shared" si="14"/>
        <v>2.236081538322994E-2</v>
      </c>
      <c r="H34" s="245">
        <f t="shared" si="14"/>
        <v>2.2420984501677982E-2</v>
      </c>
      <c r="I34" s="245">
        <f t="shared" si="14"/>
        <v>2.1917743409495885E-2</v>
      </c>
      <c r="J34" s="245">
        <f t="shared" si="14"/>
        <v>2.1208019595200675E-2</v>
      </c>
      <c r="K34" s="245">
        <f t="shared" si="14"/>
        <v>2.3314526554561794E-2</v>
      </c>
      <c r="L34" s="245">
        <f t="shared" si="14"/>
        <v>2.4407722894792445E-2</v>
      </c>
      <c r="M34" s="245">
        <f t="shared" si="14"/>
        <v>2.5224272680202352E-2</v>
      </c>
      <c r="N34" s="245">
        <f t="shared" si="14"/>
        <v>2.5720263545787627E-2</v>
      </c>
      <c r="O34" s="245">
        <f t="shared" si="14"/>
        <v>2.7379318832372782E-2</v>
      </c>
      <c r="P34" s="245">
        <f t="shared" si="14"/>
        <v>2.8849243028555197E-2</v>
      </c>
      <c r="Q34" s="245">
        <f t="shared" si="14"/>
        <v>2.9551365505853407E-2</v>
      </c>
      <c r="R34" s="245">
        <f t="shared" si="14"/>
        <v>2.907143695953068E-2</v>
      </c>
      <c r="S34" s="245">
        <f t="shared" si="14"/>
        <v>2.8337910006987998E-2</v>
      </c>
      <c r="T34" s="245">
        <f t="shared" si="14"/>
        <v>2.7237450054424541E-2</v>
      </c>
      <c r="U34" s="245">
        <f t="shared" si="14"/>
        <v>2.6828928500085624E-2</v>
      </c>
      <c r="V34" s="245">
        <f t="shared" si="14"/>
        <v>2.7502644331488794E-2</v>
      </c>
      <c r="W34" s="245">
        <f t="shared" si="14"/>
        <v>2.7127999973840647E-2</v>
      </c>
      <c r="X34" s="245">
        <f t="shared" si="14"/>
        <v>2.1508465014060955E-2</v>
      </c>
      <c r="Y34" s="245">
        <f t="shared" si="14"/>
        <v>2.322478568589845E-2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0.19785387727086656</v>
      </c>
      <c r="C35" s="246">
        <f t="shared" si="15"/>
        <v>0.19737636139763437</v>
      </c>
      <c r="D35" s="246">
        <f t="shared" si="15"/>
        <v>0.1972484001335536</v>
      </c>
      <c r="E35" s="246">
        <f t="shared" si="15"/>
        <v>0.19771719793214218</v>
      </c>
      <c r="F35" s="246">
        <f t="shared" si="15"/>
        <v>0.19750520763059357</v>
      </c>
      <c r="G35" s="246">
        <f t="shared" si="15"/>
        <v>0.19737325174407519</v>
      </c>
      <c r="H35" s="246">
        <f t="shared" si="15"/>
        <v>0.19733369645271764</v>
      </c>
      <c r="I35" s="246">
        <f t="shared" si="15"/>
        <v>0.1976793488433326</v>
      </c>
      <c r="J35" s="246">
        <f t="shared" si="15"/>
        <v>0.19822183202335028</v>
      </c>
      <c r="K35" s="246">
        <f t="shared" si="15"/>
        <v>0.19680571457179752</v>
      </c>
      <c r="L35" s="246">
        <f t="shared" si="15"/>
        <v>0.19632227610297692</v>
      </c>
      <c r="M35" s="246">
        <f t="shared" si="15"/>
        <v>0.19608943289616088</v>
      </c>
      <c r="N35" s="246">
        <f t="shared" si="15"/>
        <v>0.19600598455069385</v>
      </c>
      <c r="O35" s="246">
        <f t="shared" si="15"/>
        <v>0.19607790098105074</v>
      </c>
      <c r="P35" s="246">
        <f t="shared" si="15"/>
        <v>0.19664821261111609</v>
      </c>
      <c r="Q35" s="246">
        <f t="shared" si="15"/>
        <v>0.19710899448732494</v>
      </c>
      <c r="R35" s="246">
        <f t="shared" si="15"/>
        <v>0.19678020903742457</v>
      </c>
      <c r="S35" s="246">
        <f t="shared" si="15"/>
        <v>0.19639141397849066</v>
      </c>
      <c r="T35" s="246">
        <f t="shared" si="15"/>
        <v>0.1960492222179834</v>
      </c>
      <c r="U35" s="246">
        <f t="shared" si="15"/>
        <v>0.1959909975788694</v>
      </c>
      <c r="V35" s="246">
        <f t="shared" si="15"/>
        <v>0.1961064489398221</v>
      </c>
      <c r="W35" s="246">
        <f t="shared" si="15"/>
        <v>0.196030104505659</v>
      </c>
      <c r="X35" s="246">
        <f t="shared" si="15"/>
        <v>0.19798457211743897</v>
      </c>
      <c r="Y35" s="246">
        <f t="shared" si="15"/>
        <v>0.19685355973922034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0.26971348725557703</v>
      </c>
      <c r="C36" s="259">
        <f t="shared" si="16"/>
        <v>0.2684168818716251</v>
      </c>
      <c r="D36" s="259">
        <f t="shared" si="16"/>
        <v>0.26803394564684541</v>
      </c>
      <c r="E36" s="259">
        <f t="shared" si="16"/>
        <v>0.26936063728231951</v>
      </c>
      <c r="F36" s="259">
        <f t="shared" si="16"/>
        <v>0.26878555970786433</v>
      </c>
      <c r="G36" s="259">
        <f t="shared" si="16"/>
        <v>0.26840778373194063</v>
      </c>
      <c r="H36" s="259">
        <f t="shared" si="16"/>
        <v>0.26829117922822948</v>
      </c>
      <c r="I36" s="259">
        <f t="shared" si="16"/>
        <v>0.26926056949562394</v>
      </c>
      <c r="J36" s="259">
        <f t="shared" si="16"/>
        <v>0.27060594251010106</v>
      </c>
      <c r="K36" s="259">
        <f t="shared" si="16"/>
        <v>0.26653602786769204</v>
      </c>
      <c r="L36" s="259">
        <f t="shared" si="16"/>
        <v>0.26432440368850096</v>
      </c>
      <c r="M36" s="259">
        <f t="shared" si="16"/>
        <v>0.26262171376320292</v>
      </c>
      <c r="N36" s="259">
        <f t="shared" si="16"/>
        <v>0.26156451925048718</v>
      </c>
      <c r="O36" s="259">
        <f t="shared" si="16"/>
        <v>0.257889385910056</v>
      </c>
      <c r="P36" s="259">
        <f t="shared" si="16"/>
        <v>0.2544327821964133</v>
      </c>
      <c r="Q36" s="259">
        <f t="shared" si="16"/>
        <v>0.25270717718761093</v>
      </c>
      <c r="R36" s="259">
        <f t="shared" si="16"/>
        <v>0.2538921655720604</v>
      </c>
      <c r="S36" s="259">
        <f t="shared" si="16"/>
        <v>0.25565831760042707</v>
      </c>
      <c r="T36" s="259">
        <f t="shared" si="16"/>
        <v>0.25821256670373283</v>
      </c>
      <c r="U36" s="259">
        <f t="shared" si="16"/>
        <v>0.25913355232341551</v>
      </c>
      <c r="V36" s="259">
        <f t="shared" si="16"/>
        <v>0.25760701584753853</v>
      </c>
      <c r="W36" s="259">
        <f t="shared" si="16"/>
        <v>0.25846070689826656</v>
      </c>
      <c r="X36" s="259">
        <f t="shared" si="16"/>
        <v>0.27003942114929197</v>
      </c>
      <c r="Y36" s="259">
        <f t="shared" si="16"/>
        <v>0.26671435256165654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0.36015897693844146</v>
      </c>
      <c r="C37" s="259">
        <f t="shared" si="17"/>
        <v>0.35842756901617279</v>
      </c>
      <c r="D37" s="259">
        <f t="shared" si="17"/>
        <v>0.35791621928593625</v>
      </c>
      <c r="E37" s="259">
        <f t="shared" si="17"/>
        <v>0.35968780255752975</v>
      </c>
      <c r="F37" s="259">
        <f t="shared" si="17"/>
        <v>0.3589198789620745</v>
      </c>
      <c r="G37" s="259">
        <f t="shared" si="17"/>
        <v>0.35841541991412329</v>
      </c>
      <c r="H37" s="259">
        <f t="shared" si="17"/>
        <v>0.35825971335606299</v>
      </c>
      <c r="I37" s="259">
        <f t="shared" si="17"/>
        <v>0.35955417812499757</v>
      </c>
      <c r="J37" s="259">
        <f t="shared" si="17"/>
        <v>0.36135070737322006</v>
      </c>
      <c r="K37" s="259">
        <f t="shared" si="17"/>
        <v>0.35591599104237576</v>
      </c>
      <c r="L37" s="259">
        <f t="shared" si="17"/>
        <v>0.35296272270620588</v>
      </c>
      <c r="M37" s="259">
        <f t="shared" si="17"/>
        <v>0.35068905420049423</v>
      </c>
      <c r="N37" s="259">
        <f t="shared" si="17"/>
        <v>0.34927734098585683</v>
      </c>
      <c r="O37" s="259">
        <f t="shared" si="17"/>
        <v>0.34436979158048431</v>
      </c>
      <c r="P37" s="259">
        <f t="shared" si="17"/>
        <v>0.33975405333967679</v>
      </c>
      <c r="Q37" s="259">
        <f t="shared" si="17"/>
        <v>0.33744978542599519</v>
      </c>
      <c r="R37" s="259">
        <f t="shared" si="17"/>
        <v>0.33903214679979943</v>
      </c>
      <c r="S37" s="259">
        <f t="shared" si="17"/>
        <v>0.34139055873583862</v>
      </c>
      <c r="T37" s="259">
        <f t="shared" si="17"/>
        <v>0.34480134754456004</v>
      </c>
      <c r="U37" s="259">
        <f t="shared" si="17"/>
        <v>0.34603117569270003</v>
      </c>
      <c r="V37" s="259">
        <f t="shared" si="17"/>
        <v>0.3439927317831819</v>
      </c>
      <c r="W37" s="259">
        <f t="shared" si="17"/>
        <v>0.34513269885928277</v>
      </c>
      <c r="X37" s="259">
        <f t="shared" si="17"/>
        <v>0.36059420922476265</v>
      </c>
      <c r="Y37" s="259">
        <f t="shared" si="17"/>
        <v>0.35615411498639726</v>
      </c>
      <c r="DA37" s="278"/>
    </row>
    <row r="38" spans="1:105" x14ac:dyDescent="0.25">
      <c r="A38" s="127" t="s">
        <v>167</v>
      </c>
      <c r="B38" s="259">
        <f t="shared" ref="B38:Y38" si="18">IF(B$25=0,0,B$25/B$5)</f>
        <v>5.182769429424685E-2</v>
      </c>
      <c r="C38" s="259">
        <f t="shared" si="18"/>
        <v>5.1578540764167541E-2</v>
      </c>
      <c r="D38" s="259">
        <f t="shared" si="18"/>
        <v>5.1504956377290828E-2</v>
      </c>
      <c r="E38" s="259">
        <f t="shared" si="18"/>
        <v>5.1759891231330707E-2</v>
      </c>
      <c r="F38" s="259">
        <f t="shared" si="18"/>
        <v>5.1649385282860658E-2</v>
      </c>
      <c r="G38" s="259">
        <f t="shared" si="18"/>
        <v>5.1576792480805753E-2</v>
      </c>
      <c r="H38" s="259">
        <f t="shared" si="18"/>
        <v>5.1554385953667736E-2</v>
      </c>
      <c r="I38" s="259">
        <f t="shared" si="18"/>
        <v>5.1740662372179717E-2</v>
      </c>
      <c r="J38" s="259">
        <f t="shared" si="18"/>
        <v>5.1999187008880524E-2</v>
      </c>
      <c r="K38" s="259">
        <f t="shared" si="18"/>
        <v>5.1217118992791369E-2</v>
      </c>
      <c r="L38" s="259">
        <f t="shared" si="18"/>
        <v>5.0792136975691585E-2</v>
      </c>
      <c r="M38" s="259">
        <f t="shared" si="18"/>
        <v>5.0464950916795655E-2</v>
      </c>
      <c r="N38" s="259">
        <f t="shared" si="18"/>
        <v>5.0261802180808751E-2</v>
      </c>
      <c r="O38" s="259">
        <f t="shared" si="18"/>
        <v>4.9555594681893543E-2</v>
      </c>
      <c r="P38" s="259">
        <f t="shared" si="18"/>
        <v>4.8891379471931597E-2</v>
      </c>
      <c r="Q38" s="259">
        <f t="shared" si="18"/>
        <v>4.8559790088772238E-2</v>
      </c>
      <c r="R38" s="259">
        <f t="shared" si="18"/>
        <v>4.8787495482211771E-2</v>
      </c>
      <c r="S38" s="259">
        <f t="shared" si="18"/>
        <v>4.9126876313088125E-2</v>
      </c>
      <c r="T38" s="259">
        <f t="shared" si="18"/>
        <v>4.9617696564698451E-2</v>
      </c>
      <c r="U38" s="259">
        <f t="shared" si="18"/>
        <v>4.9794671626761551E-2</v>
      </c>
      <c r="V38" s="259">
        <f t="shared" si="18"/>
        <v>4.9501334921186309E-2</v>
      </c>
      <c r="W38" s="259">
        <f t="shared" si="18"/>
        <v>4.9665378771010314E-2</v>
      </c>
      <c r="X38" s="259">
        <f t="shared" si="18"/>
        <v>5.1890325208167686E-2</v>
      </c>
      <c r="Y38" s="259">
        <f t="shared" si="18"/>
        <v>5.1251385568845648E-2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2.4089192848173617E-2</v>
      </c>
      <c r="C39" s="259">
        <f t="shared" si="19"/>
        <v>2.4840129390080051E-2</v>
      </c>
      <c r="D39" s="259">
        <f t="shared" si="19"/>
        <v>2.505929571127476E-2</v>
      </c>
      <c r="E39" s="259">
        <f t="shared" si="19"/>
        <v>2.4294894199335566E-2</v>
      </c>
      <c r="F39" s="259">
        <f t="shared" si="19"/>
        <v>2.4627993683321411E-2</v>
      </c>
      <c r="G39" s="259">
        <f t="shared" si="19"/>
        <v>2.4845350425811038E-2</v>
      </c>
      <c r="H39" s="259">
        <f t="shared" si="19"/>
        <v>2.4912205001864422E-2</v>
      </c>
      <c r="I39" s="259">
        <f t="shared" si="19"/>
        <v>2.4353048232773209E-2</v>
      </c>
      <c r="J39" s="259">
        <f t="shared" si="19"/>
        <v>2.3564466216889641E-2</v>
      </c>
      <c r="K39" s="259">
        <f t="shared" si="19"/>
        <v>2.5905029505068667E-2</v>
      </c>
      <c r="L39" s="259">
        <f t="shared" si="19"/>
        <v>2.7119692105324947E-2</v>
      </c>
      <c r="M39" s="259">
        <f t="shared" si="19"/>
        <v>2.8026969644669286E-2</v>
      </c>
      <c r="N39" s="259">
        <f t="shared" si="19"/>
        <v>2.8578070606430694E-2</v>
      </c>
      <c r="O39" s="259">
        <f t="shared" si="19"/>
        <v>3.0421465369303097E-2</v>
      </c>
      <c r="P39" s="259">
        <f t="shared" si="19"/>
        <v>3.2054714476172433E-2</v>
      </c>
      <c r="Q39" s="259">
        <f t="shared" si="19"/>
        <v>3.2834850562059349E-2</v>
      </c>
      <c r="R39" s="259">
        <f t="shared" si="19"/>
        <v>3.2301596621700762E-2</v>
      </c>
      <c r="S39" s="259">
        <f t="shared" si="19"/>
        <v>3.1486566674431116E-2</v>
      </c>
      <c r="T39" s="259">
        <f t="shared" si="19"/>
        <v>3.0263833393805051E-2</v>
      </c>
      <c r="U39" s="259">
        <f t="shared" si="19"/>
        <v>2.9809920555650692E-2</v>
      </c>
      <c r="V39" s="259">
        <f t="shared" si="19"/>
        <v>3.055849370165423E-2</v>
      </c>
      <c r="W39" s="259">
        <f t="shared" si="19"/>
        <v>3.0142222193156275E-2</v>
      </c>
      <c r="X39" s="259">
        <f t="shared" si="19"/>
        <v>2.3898294460067738E-2</v>
      </c>
      <c r="Y39" s="259">
        <f t="shared" si="19"/>
        <v>2.5805317428776058E-2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3.4929329629851749E-2</v>
      </c>
      <c r="C40" s="261">
        <f t="shared" si="20"/>
        <v>3.6018187615616065E-2</v>
      </c>
      <c r="D40" s="261">
        <f t="shared" si="20"/>
        <v>3.6335978781348401E-2</v>
      </c>
      <c r="E40" s="261">
        <f t="shared" si="20"/>
        <v>3.5227596589036562E-2</v>
      </c>
      <c r="F40" s="261">
        <f t="shared" si="20"/>
        <v>3.5710590840816042E-2</v>
      </c>
      <c r="G40" s="261">
        <f t="shared" si="20"/>
        <v>3.6025758117426018E-2</v>
      </c>
      <c r="H40" s="261">
        <f t="shared" si="20"/>
        <v>3.6122697252703423E-2</v>
      </c>
      <c r="I40" s="261">
        <f t="shared" si="20"/>
        <v>3.5311919937521155E-2</v>
      </c>
      <c r="J40" s="261">
        <f t="shared" si="20"/>
        <v>3.4168476014489989E-2</v>
      </c>
      <c r="K40" s="261">
        <f t="shared" si="20"/>
        <v>3.7562292782349571E-2</v>
      </c>
      <c r="L40" s="261">
        <f t="shared" si="20"/>
        <v>3.9323553552721199E-2</v>
      </c>
      <c r="M40" s="261">
        <f t="shared" si="20"/>
        <v>4.0639105984770468E-2</v>
      </c>
      <c r="N40" s="261">
        <f t="shared" si="20"/>
        <v>4.1438202379324537E-2</v>
      </c>
      <c r="O40" s="261">
        <f t="shared" si="20"/>
        <v>4.4111124785489467E-2</v>
      </c>
      <c r="P40" s="261">
        <f t="shared" si="20"/>
        <v>4.6479335990450024E-2</v>
      </c>
      <c r="Q40" s="261">
        <f t="shared" si="20"/>
        <v>4.7610533314986041E-2</v>
      </c>
      <c r="R40" s="261">
        <f t="shared" si="20"/>
        <v>4.6837315101466132E-2</v>
      </c>
      <c r="S40" s="261">
        <f t="shared" si="20"/>
        <v>4.565552167792513E-2</v>
      </c>
      <c r="T40" s="261">
        <f t="shared" si="20"/>
        <v>4.3882558421017341E-2</v>
      </c>
      <c r="U40" s="261">
        <f t="shared" si="20"/>
        <v>4.3224384805693482E-2</v>
      </c>
      <c r="V40" s="261">
        <f t="shared" si="20"/>
        <v>4.4309815867398621E-2</v>
      </c>
      <c r="W40" s="261">
        <f t="shared" si="20"/>
        <v>4.3706222180076588E-2</v>
      </c>
      <c r="X40" s="261">
        <f t="shared" si="20"/>
        <v>3.4652526967098217E-2</v>
      </c>
      <c r="Y40" s="261">
        <f t="shared" si="20"/>
        <v>3.7417710271725302E-2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112.47171201628665</v>
      </c>
      <c r="C44" s="236">
        <f t="shared" si="21"/>
        <v>109.81942433546165</v>
      </c>
      <c r="D44" s="236">
        <f t="shared" si="21"/>
        <v>113.80906613357638</v>
      </c>
      <c r="E44" s="236">
        <f t="shared" si="21"/>
        <v>119.5378711984025</v>
      </c>
      <c r="F44" s="236">
        <f t="shared" si="21"/>
        <v>117.3061606093235</v>
      </c>
      <c r="G44" s="236">
        <f t="shared" si="21"/>
        <v>134.29403412451353</v>
      </c>
      <c r="H44" s="236">
        <f t="shared" si="21"/>
        <v>130.05722800154632</v>
      </c>
      <c r="I44" s="236">
        <f t="shared" si="21"/>
        <v>117.81469406104156</v>
      </c>
      <c r="J44" s="236">
        <f t="shared" si="21"/>
        <v>123.49619118298858</v>
      </c>
      <c r="K44" s="236">
        <f t="shared" si="21"/>
        <v>137.83360398812141</v>
      </c>
      <c r="L44" s="236">
        <f t="shared" si="21"/>
        <v>128.47617233393535</v>
      </c>
      <c r="M44" s="236">
        <f t="shared" si="21"/>
        <v>116.02131221383355</v>
      </c>
      <c r="N44" s="236">
        <f t="shared" si="21"/>
        <v>118.3121684496124</v>
      </c>
      <c r="O44" s="236">
        <f t="shared" si="21"/>
        <v>117.89482713876832</v>
      </c>
      <c r="P44" s="236">
        <f t="shared" si="21"/>
        <v>114.21265320772918</v>
      </c>
      <c r="Q44" s="236">
        <f t="shared" si="21"/>
        <v>116.67728719019787</v>
      </c>
      <c r="R44" s="236">
        <f t="shared" si="21"/>
        <v>118.41249825520163</v>
      </c>
      <c r="S44" s="236">
        <f t="shared" si="21"/>
        <v>109.25986032686183</v>
      </c>
      <c r="T44" s="236">
        <f t="shared" si="21"/>
        <v>115.03952384499105</v>
      </c>
      <c r="U44" s="236">
        <f t="shared" si="21"/>
        <v>114.31053707016736</v>
      </c>
      <c r="V44" s="236">
        <f t="shared" si="21"/>
        <v>121.0227823399466</v>
      </c>
      <c r="W44" s="236">
        <f t="shared" si="21"/>
        <v>115.61293230102243</v>
      </c>
      <c r="X44" s="236">
        <f t="shared" si="21"/>
        <v>98.926512660278419</v>
      </c>
      <c r="Y44" s="236">
        <f t="shared" si="21"/>
        <v>101.37891512464493</v>
      </c>
      <c r="DA44" s="280"/>
    </row>
    <row r="45" spans="1:105" x14ac:dyDescent="0.25">
      <c r="A45" s="238" t="s">
        <v>125</v>
      </c>
      <c r="B45" s="247">
        <f>IF(B$6=0,0,B$6/AGR!B$5*1000)</f>
        <v>2.7093527607245753</v>
      </c>
      <c r="C45" s="247">
        <f>IF(C$6=0,0,C$6/AGR!C$5*1000)</f>
        <v>2.7279287100369736</v>
      </c>
      <c r="D45" s="247">
        <f>IF(D$6=0,0,D$6/AGR!D$5*1000)</f>
        <v>2.8519750428653166</v>
      </c>
      <c r="E45" s="247">
        <f>IF(E$6=0,0,E$6/AGR!E$5*1000)</f>
        <v>2.9041599335789909</v>
      </c>
      <c r="F45" s="247">
        <f>IF(F$6=0,0,F$6/AGR!F$5*1000)</f>
        <v>2.889015382501106</v>
      </c>
      <c r="G45" s="247">
        <f>IF(G$6=0,0,G$6/AGR!G$5*1000)</f>
        <v>3.3365823379193644</v>
      </c>
      <c r="H45" s="247">
        <f>IF(H$6=0,0,H$6/AGR!H$5*1000)</f>
        <v>3.2400123259487441</v>
      </c>
      <c r="I45" s="247">
        <f>IF(I$6=0,0,I$6/AGR!I$5*1000)</f>
        <v>2.8691469269979648</v>
      </c>
      <c r="J45" s="247">
        <f>IF(J$6=0,0,J$6/AGR!J$5*1000)</f>
        <v>2.9101218250460783</v>
      </c>
      <c r="K45" s="247">
        <f>IF(K$6=0,0,K$6/AGR!K$5*1000)</f>
        <v>3.5705835781022359</v>
      </c>
      <c r="L45" s="247">
        <f>IF(L$6=0,0,L$6/AGR!L$5*1000)</f>
        <v>3.4842342365669938</v>
      </c>
      <c r="M45" s="247">
        <f>IF(M$6=0,0,M$6/AGR!M$5*1000)</f>
        <v>3.2517257955518106</v>
      </c>
      <c r="N45" s="247">
        <f>IF(N$6=0,0,N$6/AGR!N$5*1000)</f>
        <v>3.3811335035529444</v>
      </c>
      <c r="O45" s="247">
        <f>IF(O$6=0,0,O$6/AGR!O$5*1000)</f>
        <v>3.5865334010220153</v>
      </c>
      <c r="P45" s="247">
        <f>IF(P$6=0,0,P$6/AGR!P$5*1000)</f>
        <v>3.6610539881398587</v>
      </c>
      <c r="Q45" s="247">
        <f>IF(Q$6=0,0,Q$6/AGR!Q$5*1000)</f>
        <v>3.8310812888766286</v>
      </c>
      <c r="R45" s="247">
        <f>IF(R$6=0,0,R$6/AGR!R$5*1000)</f>
        <v>3.8249127536073684</v>
      </c>
      <c r="S45" s="247">
        <f>IF(S$6=0,0,S$6/AGR!S$5*1000)</f>
        <v>3.4402178770207663</v>
      </c>
      <c r="T45" s="247">
        <f>IF(T$6=0,0,T$6/AGR!T$5*1000)</f>
        <v>3.4815369833474725</v>
      </c>
      <c r="U45" s="247">
        <f>IF(U$6=0,0,U$6/AGR!U$5*1000)</f>
        <v>3.4075880287354527</v>
      </c>
      <c r="V45" s="247">
        <f>IF(V$6=0,0,V$6/AGR!V$5*1000)</f>
        <v>3.6982739318919284</v>
      </c>
      <c r="W45" s="247">
        <f>IF(W$6=0,0,W$6/AGR!W$5*1000)</f>
        <v>3.484830693819752</v>
      </c>
      <c r="X45" s="247">
        <f>IF(X$6=0,0,X$6/AGR!X$5*1000)</f>
        <v>2.364174929462953</v>
      </c>
      <c r="Y45" s="247">
        <f>IF(Y$6=0,0,Y$6/AGR!Y$5*1000)</f>
        <v>2.6161150853764084</v>
      </c>
      <c r="DA45" s="281"/>
    </row>
    <row r="46" spans="1:105" x14ac:dyDescent="0.25">
      <c r="A46" s="240" t="s">
        <v>124</v>
      </c>
      <c r="B46" s="248">
        <f>IF(B$7=0,0,B$7/AGR!B$5*1000)</f>
        <v>1.761079294470973</v>
      </c>
      <c r="C46" s="248">
        <f>IF(C$7=0,0,C$7/AGR!C$5*1000)</f>
        <v>1.7731536615240322</v>
      </c>
      <c r="D46" s="248">
        <f>IF(D$7=0,0,D$7/AGR!D$5*1000)</f>
        <v>1.8537837778624551</v>
      </c>
      <c r="E46" s="248">
        <f>IF(E$7=0,0,E$7/AGR!E$5*1000)</f>
        <v>1.8877039568263425</v>
      </c>
      <c r="F46" s="248">
        <f>IF(F$7=0,0,F$7/AGR!F$5*1000)</f>
        <v>1.8778599986257183</v>
      </c>
      <c r="G46" s="248">
        <f>IF(G$7=0,0,G$7/AGR!G$5*1000)</f>
        <v>2.1687785196475873</v>
      </c>
      <c r="H46" s="248">
        <f>IF(H$7=0,0,H$7/AGR!H$5*1000)</f>
        <v>2.1060080118666828</v>
      </c>
      <c r="I46" s="248">
        <f>IF(I$7=0,0,I$7/AGR!I$5*1000)</f>
        <v>1.864945502548677</v>
      </c>
      <c r="J46" s="248">
        <f>IF(J$7=0,0,J$7/AGR!J$5*1000)</f>
        <v>1.8915791862799507</v>
      </c>
      <c r="K46" s="248">
        <f>IF(K$7=0,0,K$7/AGR!K$5*1000)</f>
        <v>2.3208793257664526</v>
      </c>
      <c r="L46" s="248">
        <f>IF(L$7=0,0,L$7/AGR!L$5*1000)</f>
        <v>2.2647522537685458</v>
      </c>
      <c r="M46" s="248">
        <f>IF(M$7=0,0,M$7/AGR!M$5*1000)</f>
        <v>2.1136217671086768</v>
      </c>
      <c r="N46" s="248">
        <f>IF(N$7=0,0,N$7/AGR!N$5*1000)</f>
        <v>2.1977367773094136</v>
      </c>
      <c r="O46" s="248">
        <f>IF(O$7=0,0,O$7/AGR!O$5*1000)</f>
        <v>2.3312467106643089</v>
      </c>
      <c r="P46" s="248">
        <f>IF(P$7=0,0,P$7/AGR!P$5*1000)</f>
        <v>2.3796850922909081</v>
      </c>
      <c r="Q46" s="248">
        <f>IF(Q$7=0,0,Q$7/AGR!Q$5*1000)</f>
        <v>2.4902028377698078</v>
      </c>
      <c r="R46" s="248">
        <f>IF(R$7=0,0,R$7/AGR!R$5*1000)</f>
        <v>2.4861932898447878</v>
      </c>
      <c r="S46" s="248">
        <f>IF(S$7=0,0,S$7/AGR!S$5*1000)</f>
        <v>2.2361416200634974</v>
      </c>
      <c r="T46" s="248">
        <f>IF(T$7=0,0,T$7/AGR!T$5*1000)</f>
        <v>2.262999039175857</v>
      </c>
      <c r="U46" s="248">
        <f>IF(U$7=0,0,U$7/AGR!U$5*1000)</f>
        <v>2.2149322186780438</v>
      </c>
      <c r="V46" s="248">
        <f>IF(V$7=0,0,V$7/AGR!V$5*1000)</f>
        <v>2.403878055729753</v>
      </c>
      <c r="W46" s="248">
        <f>IF(W$7=0,0,W$7/AGR!W$5*1000)</f>
        <v>2.2651399509828383</v>
      </c>
      <c r="X46" s="248">
        <f>IF(X$7=0,0,X$7/AGR!X$5*1000)</f>
        <v>1.5367137041509185</v>
      </c>
      <c r="Y46" s="248">
        <f>IF(Y$7=0,0,Y$7/AGR!Y$5*1000)</f>
        <v>1.7004748054946646</v>
      </c>
      <c r="DA46" s="282"/>
    </row>
    <row r="47" spans="1:105" x14ac:dyDescent="0.25">
      <c r="A47" s="240" t="s">
        <v>123</v>
      </c>
      <c r="B47" s="248">
        <f>IF(B$8=0,0,B$8/AGR!B$5*1000)</f>
        <v>2.4384174846521169</v>
      </c>
      <c r="C47" s="248">
        <f>IF(C$8=0,0,C$8/AGR!C$5*1000)</f>
        <v>2.4551358390332751</v>
      </c>
      <c r="D47" s="248">
        <f>IF(D$8=0,0,D$8/AGR!D$5*1000)</f>
        <v>2.5667775385787848</v>
      </c>
      <c r="E47" s="248">
        <f>IF(E$8=0,0,E$8/AGR!E$5*1000)</f>
        <v>2.6137439402210916</v>
      </c>
      <c r="F47" s="248">
        <f>IF(F$8=0,0,F$8/AGR!F$5*1000)</f>
        <v>2.6001138442509952</v>
      </c>
      <c r="G47" s="248">
        <f>IF(G$8=0,0,G$8/AGR!G$5*1000)</f>
        <v>3.0029241041274286</v>
      </c>
      <c r="H47" s="248">
        <f>IF(H$8=0,0,H$8/AGR!H$5*1000)</f>
        <v>2.9160110933538697</v>
      </c>
      <c r="I47" s="248">
        <f>IF(I$8=0,0,I$8/AGR!I$5*1000)</f>
        <v>2.5822322342981683</v>
      </c>
      <c r="J47" s="248">
        <f>IF(J$8=0,0,J$8/AGR!J$5*1000)</f>
        <v>2.6191096425414702</v>
      </c>
      <c r="K47" s="248">
        <f>IF(K$8=0,0,K$8/AGR!K$5*1000)</f>
        <v>3.2135252202920115</v>
      </c>
      <c r="L47" s="248">
        <f>IF(L$8=0,0,L$8/AGR!L$5*1000)</f>
        <v>3.135810812910294</v>
      </c>
      <c r="M47" s="248">
        <f>IF(M$8=0,0,M$8/AGR!M$5*1000)</f>
        <v>2.9265532159966292</v>
      </c>
      <c r="N47" s="248">
        <f>IF(N$8=0,0,N$8/AGR!N$5*1000)</f>
        <v>3.0430201531976504</v>
      </c>
      <c r="O47" s="248">
        <f>IF(O$8=0,0,O$8/AGR!O$5*1000)</f>
        <v>3.2278800609198131</v>
      </c>
      <c r="P47" s="248">
        <f>IF(P$8=0,0,P$8/AGR!P$5*1000)</f>
        <v>3.2949485893258736</v>
      </c>
      <c r="Q47" s="248">
        <f>IF(Q$8=0,0,Q$8/AGR!Q$5*1000)</f>
        <v>3.4479731599889654</v>
      </c>
      <c r="R47" s="248">
        <f>IF(R$8=0,0,R$8/AGR!R$5*1000)</f>
        <v>3.4424214782466307</v>
      </c>
      <c r="S47" s="248">
        <f>IF(S$8=0,0,S$8/AGR!S$5*1000)</f>
        <v>3.0961960893186888</v>
      </c>
      <c r="T47" s="248">
        <f>IF(T$8=0,0,T$8/AGR!T$5*1000)</f>
        <v>3.1333832850127248</v>
      </c>
      <c r="U47" s="248">
        <f>IF(U$8=0,0,U$8/AGR!U$5*1000)</f>
        <v>3.0668292258619076</v>
      </c>
      <c r="V47" s="248">
        <f>IF(V$8=0,0,V$8/AGR!V$5*1000)</f>
        <v>3.3284465387027344</v>
      </c>
      <c r="W47" s="248">
        <f>IF(W$8=0,0,W$8/AGR!W$5*1000)</f>
        <v>3.1363476244377768</v>
      </c>
      <c r="X47" s="248">
        <f>IF(X$8=0,0,X$8/AGR!X$5*1000)</f>
        <v>2.1277574365166565</v>
      </c>
      <c r="Y47" s="248">
        <f>IF(Y$8=0,0,Y$8/AGR!Y$5*1000)</f>
        <v>2.3545035768387677</v>
      </c>
      <c r="DA47" s="282"/>
    </row>
    <row r="48" spans="1:105" x14ac:dyDescent="0.25">
      <c r="A48" s="242" t="s">
        <v>122</v>
      </c>
      <c r="B48" s="249">
        <f>IF(B$9=0,0,B$9/AGR!B$5*1000)</f>
        <v>22.252964305714631</v>
      </c>
      <c r="C48" s="249">
        <f>IF(C$9=0,0,C$9/AGR!C$5*1000)</f>
        <v>21.67575838611624</v>
      </c>
      <c r="D48" s="249">
        <f>IF(D$9=0,0,D$9/AGR!D$5*1000)</f>
        <v>22.448656215541739</v>
      </c>
      <c r="E48" s="249">
        <f>IF(E$9=0,0,E$9/AGR!E$5*1000)</f>
        <v>23.634692940121464</v>
      </c>
      <c r="F48" s="249">
        <f>IF(F$9=0,0,F$9/AGR!F$5*1000)</f>
        <v>23.168577607492193</v>
      </c>
      <c r="G48" s="249">
        <f>IF(G$9=0,0,G$9/AGR!G$5*1000)</f>
        <v>26.506050204985037</v>
      </c>
      <c r="H48" s="249">
        <f>IF(H$9=0,0,H$9/AGR!H$5*1000)</f>
        <v>25.664673551939035</v>
      </c>
      <c r="I48" s="249">
        <f>IF(I$9=0,0,I$9/AGR!I$5*1000)</f>
        <v>23.289532006163146</v>
      </c>
      <c r="J48" s="249">
        <f>IF(J$9=0,0,J$9/AGR!J$5*1000)</f>
        <v>24.479641264197909</v>
      </c>
      <c r="K48" s="249">
        <f>IF(K$9=0,0,K$9/AGR!K$5*1000)</f>
        <v>27.126440924888396</v>
      </c>
      <c r="L48" s="249">
        <f>IF(L$9=0,0,L$9/AGR!L$5*1000)</f>
        <v>25.222734577596501</v>
      </c>
      <c r="M48" s="249">
        <f>IF(M$9=0,0,M$9/AGR!M$5*1000)</f>
        <v>22.750553315879046</v>
      </c>
      <c r="N48" s="249">
        <f>IF(N$9=0,0,N$9/AGR!N$5*1000)</f>
        <v>23.189893061293809</v>
      </c>
      <c r="O48" s="249">
        <f>IF(O$9=0,0,O$9/AGR!O$5*1000)</f>
        <v>23.116570241893506</v>
      </c>
      <c r="P48" s="249">
        <f>IF(P$9=0,0,P$9/AGR!P$5*1000)</f>
        <v>22.4597141108732</v>
      </c>
      <c r="Q48" s="249">
        <f>IF(Q$9=0,0,Q$9/AGR!Q$5*1000)</f>
        <v>22.998142757568743</v>
      </c>
      <c r="R48" s="249">
        <f>IF(R$9=0,0,R$9/AGR!R$5*1000)</f>
        <v>23.301236159302253</v>
      </c>
      <c r="S48" s="249">
        <f>IF(S$9=0,0,S$9/AGR!S$5*1000)</f>
        <v>21.457698460684789</v>
      </c>
      <c r="T48" s="249">
        <f>IF(T$9=0,0,T$9/AGR!T$5*1000)</f>
        <v>22.553409174137652</v>
      </c>
      <c r="U48" s="249">
        <f>IF(U$9=0,0,U$9/AGR!U$5*1000)</f>
        <v>22.403836194158437</v>
      </c>
      <c r="V48" s="249">
        <f>IF(V$9=0,0,V$9/AGR!V$5*1000)</f>
        <v>23.733348085503941</v>
      </c>
      <c r="W48" s="249">
        <f>IF(W$9=0,0,W$9/AGR!W$5*1000)</f>
        <v>22.663615201175105</v>
      </c>
      <c r="X48" s="249">
        <f>IF(X$9=0,0,X$9/AGR!X$5*1000)</f>
        <v>19.585923280115633</v>
      </c>
      <c r="Y48" s="249">
        <f>IF(Y$9=0,0,Y$9/AGR!Y$5*1000)</f>
        <v>19.956800324786638</v>
      </c>
      <c r="DA48" s="283"/>
    </row>
    <row r="49" spans="1:105" x14ac:dyDescent="0.25">
      <c r="A49" s="127" t="s">
        <v>168</v>
      </c>
      <c r="B49" s="262">
        <f>IF(B$16=0,0,B$16/AGR!B$5*1000)</f>
        <v>30.335137665517664</v>
      </c>
      <c r="C49" s="262">
        <f>IF(C$16=0,0,C$16/AGR!C$5*1000)</f>
        <v>29.477387449061474</v>
      </c>
      <c r="D49" s="262">
        <f>IF(D$16=0,0,D$16/AGR!D$5*1000)</f>
        <v>30.504693046165247</v>
      </c>
      <c r="E49" s="262">
        <f>IF(E$16=0,0,E$16/AGR!E$5*1000)</f>
        <v>32.19879716537352</v>
      </c>
      <c r="F49" s="262">
        <f>IF(F$16=0,0,F$16/AGR!F$5*1000)</f>
        <v>31.53020203655764</v>
      </c>
      <c r="G49" s="262">
        <f>IF(G$16=0,0,G$16/AGR!G$5*1000)</f>
        <v>36.04556406778228</v>
      </c>
      <c r="H49" s="262">
        <f>IF(H$16=0,0,H$16/AGR!H$5*1000)</f>
        <v>34.893207067689573</v>
      </c>
      <c r="I49" s="262">
        <f>IF(I$16=0,0,I$16/AGR!I$5*1000)</f>
        <v>31.722851617828763</v>
      </c>
      <c r="J49" s="262">
        <f>IF(J$16=0,0,J$16/AGR!J$5*1000)</f>
        <v>33.418803211480252</v>
      </c>
      <c r="K49" s="262">
        <f>IF(K$16=0,0,K$16/AGR!K$5*1000)</f>
        <v>36.737621313682361</v>
      </c>
      <c r="L49" s="262">
        <f>IF(L$16=0,0,L$16/AGR!L$5*1000)</f>
        <v>33.959387640348545</v>
      </c>
      <c r="M49" s="262">
        <f>IF(M$16=0,0,M$16/AGR!M$5*1000)</f>
        <v>30.469715846652591</v>
      </c>
      <c r="N49" s="262">
        <f>IF(N$16=0,0,N$16/AGR!N$5*1000)</f>
        <v>30.946265462005517</v>
      </c>
      <c r="O49" s="262">
        <f>IF(O$16=0,0,O$16/AGR!O$5*1000)</f>
        <v>30.403824572789169</v>
      </c>
      <c r="P49" s="262">
        <f>IF(P$16=0,0,P$16/AGR!P$5*1000)</f>
        <v>29.059443117676643</v>
      </c>
      <c r="Q49" s="262">
        <f>IF(Q$16=0,0,Q$16/AGR!Q$5*1000)</f>
        <v>29.485187887743106</v>
      </c>
      <c r="R49" s="262">
        <f>IF(R$16=0,0,R$16/AGR!R$5*1000)</f>
        <v>30.064005612810963</v>
      </c>
      <c r="S49" s="262">
        <f>IF(S$16=0,0,S$16/AGR!S$5*1000)</f>
        <v>27.93319207242314</v>
      </c>
      <c r="T49" s="262">
        <f>IF(T$16=0,0,T$16/AGR!T$5*1000)</f>
        <v>29.704650724390415</v>
      </c>
      <c r="U49" s="262">
        <f>IF(U$16=0,0,U$16/AGR!U$5*1000)</f>
        <v>29.621695538989947</v>
      </c>
      <c r="V49" s="262">
        <f>IF(V$16=0,0,V$16/AGR!V$5*1000)</f>
        <v>31.17631780815983</v>
      </c>
      <c r="W49" s="262">
        <f>IF(W$16=0,0,W$16/AGR!W$5*1000)</f>
        <v>29.881400209103692</v>
      </c>
      <c r="X49" s="262">
        <f>IF(X$16=0,0,X$16/AGR!X$5*1000)</f>
        <v>26.714058215099687</v>
      </c>
      <c r="Y49" s="262">
        <f>IF(Y$16=0,0,Y$16/AGR!Y$5*1000)</f>
        <v>27.039211710872802</v>
      </c>
      <c r="DA49" s="284"/>
    </row>
    <row r="50" spans="1:105" x14ac:dyDescent="0.25">
      <c r="A50" s="127" t="s">
        <v>121</v>
      </c>
      <c r="B50" s="262">
        <f>IF(B$17=0,0,B$17/AGR!B$5*1000)</f>
        <v>40.507696734300815</v>
      </c>
      <c r="C50" s="262">
        <f>IF(C$17=0,0,C$17/AGR!C$5*1000)</f>
        <v>39.36230929531505</v>
      </c>
      <c r="D50" s="262">
        <f>IF(D$17=0,0,D$17/AGR!D$5*1000)</f>
        <v>40.734110670992749</v>
      </c>
      <c r="E50" s="262">
        <f>IF(E$17=0,0,E$17/AGR!E$5*1000)</f>
        <v>42.996314213758424</v>
      </c>
      <c r="F50" s="262">
        <f>IF(F$17=0,0,F$17/AGR!F$5*1000)</f>
        <v>42.103512967404058</v>
      </c>
      <c r="G50" s="262">
        <f>IF(G$17=0,0,G$17/AGR!G$5*1000)</f>
        <v>48.133052632699119</v>
      </c>
      <c r="H50" s="262">
        <f>IF(H$17=0,0,H$17/AGR!H$5*1000)</f>
        <v>46.594265223718118</v>
      </c>
      <c r="I50" s="262">
        <f>IF(I$17=0,0,I$17/AGR!I$5*1000)</f>
        <v>42.36076549416584</v>
      </c>
      <c r="J50" s="262">
        <f>IF(J$17=0,0,J$17/AGR!J$5*1000)</f>
        <v>44.625436041871339</v>
      </c>
      <c r="K50" s="262">
        <f>IF(K$17=0,0,K$17/AGR!K$5*1000)</f>
        <v>49.057183762374599</v>
      </c>
      <c r="L50" s="262">
        <f>IF(L$17=0,0,L$17/AGR!L$5*1000)</f>
        <v>45.347299589857542</v>
      </c>
      <c r="M50" s="262">
        <f>IF(M$17=0,0,M$17/AGR!M$5*1000)</f>
        <v>40.687404247369535</v>
      </c>
      <c r="N50" s="262">
        <f>IF(N$17=0,0,N$17/AGR!N$5*1000)</f>
        <v>41.323759602351394</v>
      </c>
      <c r="O50" s="262">
        <f>IF(O$17=0,0,O$17/AGR!O$5*1000)</f>
        <v>40.599417050194866</v>
      </c>
      <c r="P50" s="262">
        <f>IF(P$17=0,0,P$17/AGR!P$5*1000)</f>
        <v>38.804211870004821</v>
      </c>
      <c r="Q50" s="262">
        <f>IF(Q$17=0,0,Q$17/AGR!Q$5*1000)</f>
        <v>39.372725526419487</v>
      </c>
      <c r="R50" s="262">
        <f>IF(R$17=0,0,R$17/AGR!R$5*1000)</f>
        <v>40.145643491388512</v>
      </c>
      <c r="S50" s="262">
        <f>IF(S$17=0,0,S$17/AGR!S$5*1000)</f>
        <v>37.300284764387044</v>
      </c>
      <c r="T50" s="262">
        <f>IF(T$17=0,0,T$17/AGR!T$5*1000)</f>
        <v>39.665782842637462</v>
      </c>
      <c r="U50" s="262">
        <f>IF(U$17=0,0,U$17/AGR!U$5*1000)</f>
        <v>39.555009536453987</v>
      </c>
      <c r="V50" s="262">
        <f>IF(V$17=0,0,V$17/AGR!V$5*1000)</f>
        <v>41.630957505119653</v>
      </c>
      <c r="W50" s="262">
        <f>IF(W$17=0,0,W$17/AGR!W$5*1000)</f>
        <v>39.901803348087419</v>
      </c>
      <c r="X50" s="262">
        <f>IF(X$17=0,0,X$17/AGR!X$5*1000)</f>
        <v>35.672327604096566</v>
      </c>
      <c r="Y50" s="262">
        <f>IF(Y$17=0,0,Y$17/AGR!Y$5*1000)</f>
        <v>36.106517794498998</v>
      </c>
      <c r="DA50" s="284"/>
    </row>
    <row r="51" spans="1:105" x14ac:dyDescent="0.25">
      <c r="A51" s="127" t="s">
        <v>167</v>
      </c>
      <c r="B51" s="262">
        <f>IF(B$25=0,0,B$25/AGR!B$5*1000)</f>
        <v>5.8291495071306754</v>
      </c>
      <c r="C51" s="262">
        <f>IF(C$25=0,0,C$25/AGR!C$5*1000)</f>
        <v>5.6643256547840206</v>
      </c>
      <c r="D51" s="262">
        <f>IF(D$25=0,0,D$25/AGR!D$5*1000)</f>
        <v>5.8617309865500582</v>
      </c>
      <c r="E51" s="262">
        <f>IF(E$25=0,0,E$25/AGR!E$5*1000)</f>
        <v>6.1872672112541327</v>
      </c>
      <c r="F51" s="262">
        <f>IF(F$25=0,0,F$25/AGR!F$5*1000)</f>
        <v>6.0587910853640814</v>
      </c>
      <c r="G51" s="262">
        <f>IF(G$25=0,0,G$25/AGR!G$5*1000)</f>
        <v>6.9264555294502799</v>
      </c>
      <c r="H51" s="262">
        <f>IF(H$25=0,0,H$25/AGR!H$5*1000)</f>
        <v>6.7050205284558819</v>
      </c>
      <c r="I51" s="262">
        <f>IF(I$25=0,0,I$25/AGR!I$5*1000)</f>
        <v>6.0958103078940002</v>
      </c>
      <c r="J51" s="262">
        <f>IF(J$25=0,0,J$25/AGR!J$5*1000)</f>
        <v>6.4217015402086837</v>
      </c>
      <c r="K51" s="262">
        <f>IF(K$25=0,0,K$25/AGR!K$5*1000)</f>
        <v>7.0594400966648987</v>
      </c>
      <c r="L51" s="262">
        <f>IF(L$25=0,0,L$25/AGR!L$5*1000)</f>
        <v>6.5255793432978022</v>
      </c>
      <c r="M51" s="262">
        <f>IF(M$25=0,0,M$25/AGR!M$5*1000)</f>
        <v>5.8550098261733341</v>
      </c>
      <c r="N51" s="262">
        <f>IF(N$25=0,0,N$25/AGR!N$5*1000)</f>
        <v>5.9465828061969397</v>
      </c>
      <c r="O51" s="262">
        <f>IF(O$25=0,0,O$25/AGR!O$5*1000)</f>
        <v>5.8423482687807056</v>
      </c>
      <c r="P51" s="262">
        <f>IF(P$25=0,0,P$25/AGR!P$5*1000)</f>
        <v>5.584014168475214</v>
      </c>
      <c r="Q51" s="262">
        <f>IF(Q$25=0,0,Q$25/AGR!Q$5*1000)</f>
        <v>5.6658245740834028</v>
      </c>
      <c r="R51" s="262">
        <f>IF(R$25=0,0,R$25/AGR!R$5*1000)</f>
        <v>5.7770492236630586</v>
      </c>
      <c r="S51" s="262">
        <f>IF(S$25=0,0,S$25/AGR!S$5*1000)</f>
        <v>5.3675956442630248</v>
      </c>
      <c r="T51" s="262">
        <f>IF(T$25=0,0,T$25/AGR!T$5*1000)</f>
        <v>5.707996187088157</v>
      </c>
      <c r="U51" s="262">
        <f>IF(U$25=0,0,U$25/AGR!U$5*1000)</f>
        <v>5.6920556568877387</v>
      </c>
      <c r="V51" s="262">
        <f>IF(V$25=0,0,V$25/AGR!V$5*1000)</f>
        <v>5.9907892817035275</v>
      </c>
      <c r="W51" s="262">
        <f>IF(W$25=0,0,W$25/AGR!W$5*1000)</f>
        <v>5.7419600735574514</v>
      </c>
      <c r="X51" s="262">
        <f>IF(X$25=0,0,X$25/AGR!X$5*1000)</f>
        <v>5.1333289136517655</v>
      </c>
      <c r="Y51" s="262">
        <f>IF(Y$25=0,0,Y$25/AGR!Y$5*1000)</f>
        <v>5.1958098676044555</v>
      </c>
      <c r="DA51" s="284"/>
    </row>
    <row r="52" spans="1:105" x14ac:dyDescent="0.25">
      <c r="A52" s="127" t="s">
        <v>170</v>
      </c>
      <c r="B52" s="262">
        <f>IF(B$26=0,0,B$26/AGR!B$5*1000)</f>
        <v>2.7093527607245753</v>
      </c>
      <c r="C52" s="262">
        <f>IF(C$26=0,0,C$26/AGR!C$5*1000)</f>
        <v>2.7279287100369736</v>
      </c>
      <c r="D52" s="262">
        <f>IF(D$26=0,0,D$26/AGR!D$5*1000)</f>
        <v>2.8519750428653166</v>
      </c>
      <c r="E52" s="262">
        <f>IF(E$26=0,0,E$26/AGR!E$5*1000)</f>
        <v>2.9041599335789909</v>
      </c>
      <c r="F52" s="262">
        <f>IF(F$26=0,0,F$26/AGR!F$5*1000)</f>
        <v>2.889015382501106</v>
      </c>
      <c r="G52" s="262">
        <f>IF(G$26=0,0,G$26/AGR!G$5*1000)</f>
        <v>3.3365823379193644</v>
      </c>
      <c r="H52" s="262">
        <f>IF(H$26=0,0,H$26/AGR!H$5*1000)</f>
        <v>3.2400123259487441</v>
      </c>
      <c r="I52" s="262">
        <f>IF(I$26=0,0,I$26/AGR!I$5*1000)</f>
        <v>2.8691469269979648</v>
      </c>
      <c r="J52" s="262">
        <f>IF(J$26=0,0,J$26/AGR!J$5*1000)</f>
        <v>2.9101218250460783</v>
      </c>
      <c r="K52" s="262">
        <f>IF(K$26=0,0,K$26/AGR!K$5*1000)</f>
        <v>3.5705835781022359</v>
      </c>
      <c r="L52" s="262">
        <f>IF(L$26=0,0,L$26/AGR!L$5*1000)</f>
        <v>3.4842342365669938</v>
      </c>
      <c r="M52" s="262">
        <f>IF(M$26=0,0,M$26/AGR!M$5*1000)</f>
        <v>3.2517257955518106</v>
      </c>
      <c r="N52" s="262">
        <f>IF(N$26=0,0,N$26/AGR!N$5*1000)</f>
        <v>3.3811335035529444</v>
      </c>
      <c r="O52" s="262">
        <f>IF(O$26=0,0,O$26/AGR!O$5*1000)</f>
        <v>3.5865334010220153</v>
      </c>
      <c r="P52" s="262">
        <f>IF(P$26=0,0,P$26/AGR!P$5*1000)</f>
        <v>3.6610539881398587</v>
      </c>
      <c r="Q52" s="262">
        <f>IF(Q$26=0,0,Q$26/AGR!Q$5*1000)</f>
        <v>3.8310812888766286</v>
      </c>
      <c r="R52" s="262">
        <f>IF(R$26=0,0,R$26/AGR!R$5*1000)</f>
        <v>3.8249127536073684</v>
      </c>
      <c r="S52" s="262">
        <f>IF(S$26=0,0,S$26/AGR!S$5*1000)</f>
        <v>3.4402178770207663</v>
      </c>
      <c r="T52" s="262">
        <f>IF(T$26=0,0,T$26/AGR!T$5*1000)</f>
        <v>3.4815369833474725</v>
      </c>
      <c r="U52" s="262">
        <f>IF(U$26=0,0,U$26/AGR!U$5*1000)</f>
        <v>3.4075880287354527</v>
      </c>
      <c r="V52" s="262">
        <f>IF(V$26=0,0,V$26/AGR!V$5*1000)</f>
        <v>3.6982739318919284</v>
      </c>
      <c r="W52" s="262">
        <f>IF(W$26=0,0,W$26/AGR!W$5*1000)</f>
        <v>3.484830693819752</v>
      </c>
      <c r="X52" s="262">
        <f>IF(X$26=0,0,X$26/AGR!X$5*1000)</f>
        <v>2.364174929462953</v>
      </c>
      <c r="Y52" s="262">
        <f>IF(Y$26=0,0,Y$26/AGR!Y$5*1000)</f>
        <v>2.6161150853764084</v>
      </c>
      <c r="DA52" s="284"/>
    </row>
    <row r="53" spans="1:105" x14ac:dyDescent="0.25">
      <c r="A53" s="260" t="s">
        <v>33</v>
      </c>
      <c r="B53" s="263">
        <f>IF(B$27=0,0,B$27/AGR!B$5*1000)</f>
        <v>3.9285615030506347</v>
      </c>
      <c r="C53" s="263">
        <f>IF(C$27=0,0,C$27/AGR!C$5*1000)</f>
        <v>3.9554966295536098</v>
      </c>
      <c r="D53" s="263">
        <f>IF(D$27=0,0,D$27/AGR!D$5*1000)</f>
        <v>4.1353638121547087</v>
      </c>
      <c r="E53" s="263">
        <f>IF(E$27=0,0,E$27/AGR!E$5*1000)</f>
        <v>4.2110319036895358</v>
      </c>
      <c r="F53" s="263">
        <f>IF(F$27=0,0,F$27/AGR!F$5*1000)</f>
        <v>4.1890723046266025</v>
      </c>
      <c r="G53" s="263">
        <f>IF(G$27=0,0,G$27/AGR!G$5*1000)</f>
        <v>4.8380443899830805</v>
      </c>
      <c r="H53" s="263">
        <f>IF(H$27=0,0,H$27/AGR!H$5*1000)</f>
        <v>4.6980178726256803</v>
      </c>
      <c r="I53" s="263">
        <f>IF(I$27=0,0,I$27/AGR!I$5*1000)</f>
        <v>4.1602630441470501</v>
      </c>
      <c r="J53" s="263">
        <f>IF(J$27=0,0,J$27/AGR!J$5*1000)</f>
        <v>4.2196766463168149</v>
      </c>
      <c r="K53" s="263">
        <f>IF(K$27=0,0,K$27/AGR!K$5*1000)</f>
        <v>5.1773461882482428</v>
      </c>
      <c r="L53" s="263">
        <f>IF(L$27=0,0,L$27/AGR!L$5*1000)</f>
        <v>5.0521396430221452</v>
      </c>
      <c r="M53" s="263">
        <f>IF(M$27=0,0,M$27/AGR!M$5*1000)</f>
        <v>4.7150024035501259</v>
      </c>
      <c r="N53" s="263">
        <f>IF(N$27=0,0,N$27/AGR!N$5*1000)</f>
        <v>4.9026435801517723</v>
      </c>
      <c r="O53" s="263">
        <f>IF(O$27=0,0,O$27/AGR!O$5*1000)</f>
        <v>5.2004734314819192</v>
      </c>
      <c r="P53" s="263">
        <f>IF(P$27=0,0,P$27/AGR!P$5*1000)</f>
        <v>5.3085282828027953</v>
      </c>
      <c r="Q53" s="263">
        <f>IF(Q$27=0,0,Q$27/AGR!Q$5*1000)</f>
        <v>5.5550678688711104</v>
      </c>
      <c r="R53" s="263">
        <f>IF(R$27=0,0,R$27/AGR!R$5*1000)</f>
        <v>5.5461234927306871</v>
      </c>
      <c r="S53" s="263">
        <f>IF(S$27=0,0,S$27/AGR!S$5*1000)</f>
        <v>4.9883159216801127</v>
      </c>
      <c r="T53" s="263">
        <f>IF(T$27=0,0,T$27/AGR!T$5*1000)</f>
        <v>5.048228625853838</v>
      </c>
      <c r="U53" s="263">
        <f>IF(U$27=0,0,U$27/AGR!U$5*1000)</f>
        <v>4.9410026416664046</v>
      </c>
      <c r="V53" s="263">
        <f>IF(V$27=0,0,V$27/AGR!V$5*1000)</f>
        <v>5.3624972012432943</v>
      </c>
      <c r="W53" s="263">
        <f>IF(W$27=0,0,W$27/AGR!W$5*1000)</f>
        <v>5.0530045060386399</v>
      </c>
      <c r="X53" s="263">
        <f>IF(X$27=0,0,X$27/AGR!X$5*1000)</f>
        <v>3.4280536477212813</v>
      </c>
      <c r="Y53" s="263">
        <f>IF(Y$27=0,0,Y$27/AGR!Y$5*1000)</f>
        <v>3.7933668737957942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134.7592567037546</v>
      </c>
      <c r="C5" s="80">
        <f t="shared" ref="C5:W5" si="1">SUM(C6:C9,C16:C17,C25:C27)</f>
        <v>137.72674802291843</v>
      </c>
      <c r="D5" s="80">
        <f t="shared" si="1"/>
        <v>136.2323122764785</v>
      </c>
      <c r="E5" s="80">
        <f t="shared" si="1"/>
        <v>141.55056351164382</v>
      </c>
      <c r="F5" s="80">
        <f t="shared" si="1"/>
        <v>139.88644964587613</v>
      </c>
      <c r="G5" s="80">
        <f t="shared" si="1"/>
        <v>146.41455277415469</v>
      </c>
      <c r="H5" s="80">
        <f t="shared" si="1"/>
        <v>139.11534581616186</v>
      </c>
      <c r="I5" s="80">
        <f t="shared" si="1"/>
        <v>130.82427734237706</v>
      </c>
      <c r="J5" s="80">
        <f t="shared" si="1"/>
        <v>136.33599964337773</v>
      </c>
      <c r="K5" s="80">
        <f t="shared" si="1"/>
        <v>120.52918266288145</v>
      </c>
      <c r="L5" s="80">
        <f t="shared" si="1"/>
        <v>113.68638591538426</v>
      </c>
      <c r="M5" s="80">
        <f t="shared" si="1"/>
        <v>108.93039818816554</v>
      </c>
      <c r="N5" s="80">
        <f t="shared" si="1"/>
        <v>106.17762559164396</v>
      </c>
      <c r="O5" s="80">
        <f t="shared" si="1"/>
        <v>97.648923578348246</v>
      </c>
      <c r="P5" s="80">
        <f t="shared" si="1"/>
        <v>90.878061687543095</v>
      </c>
      <c r="Q5" s="80">
        <f t="shared" si="1"/>
        <v>87.878932109485248</v>
      </c>
      <c r="R5" s="80">
        <f t="shared" si="1"/>
        <v>89.913196440927948</v>
      </c>
      <c r="S5" s="80">
        <f t="shared" si="1"/>
        <v>93.155560085698781</v>
      </c>
      <c r="T5" s="80">
        <f t="shared" si="1"/>
        <v>98.339795363623523</v>
      </c>
      <c r="U5" s="80">
        <f t="shared" si="1"/>
        <v>98.808567156170085</v>
      </c>
      <c r="V5" s="80">
        <f t="shared" si="1"/>
        <v>98.440827699592262</v>
      </c>
      <c r="W5" s="80">
        <f t="shared" si="1"/>
        <v>98.153289809180194</v>
      </c>
      <c r="X5" s="80">
        <f t="shared" ref="X5:Y5" si="2">SUM(X6:X9,X16:X17,X25:X27)</f>
        <v>127.58369413663473</v>
      </c>
      <c r="Y5" s="80">
        <f t="shared" si="2"/>
        <v>111.84671404692168</v>
      </c>
      <c r="DA5" s="103"/>
    </row>
    <row r="6" spans="1:105" x14ac:dyDescent="0.25">
      <c r="A6" s="238" t="s">
        <v>125</v>
      </c>
      <c r="B6" s="239">
        <v>3.9527043176909942</v>
      </c>
      <c r="C6" s="239">
        <v>4.1535849377878939</v>
      </c>
      <c r="D6" s="239">
        <v>4.1411450924943329</v>
      </c>
      <c r="E6" s="239">
        <v>4.1840797536314129</v>
      </c>
      <c r="F6" s="239">
        <v>4.1861824003290202</v>
      </c>
      <c r="G6" s="239">
        <v>4.4164298793244194</v>
      </c>
      <c r="H6" s="239">
        <v>4.2064324325171034</v>
      </c>
      <c r="I6" s="239">
        <v>3.875413803562854</v>
      </c>
      <c r="J6" s="239">
        <v>3.9194973317179769</v>
      </c>
      <c r="K6" s="239">
        <v>3.7742848787371162</v>
      </c>
      <c r="L6" s="239">
        <v>3.707114806233589</v>
      </c>
      <c r="M6" s="239">
        <v>3.6552888352497219</v>
      </c>
      <c r="N6" s="239">
        <v>3.6231757574907979</v>
      </c>
      <c r="O6" s="239">
        <v>3.51274858614648</v>
      </c>
      <c r="P6" s="239">
        <v>3.411892478495731</v>
      </c>
      <c r="Q6" s="239">
        <v>3.363059615145048</v>
      </c>
      <c r="R6" s="239">
        <v>3.3964732803141091</v>
      </c>
      <c r="S6" s="239">
        <v>3.447225534178914</v>
      </c>
      <c r="T6" s="239">
        <v>3.5223516386080602</v>
      </c>
      <c r="U6" s="239">
        <v>3.4946934883906908</v>
      </c>
      <c r="V6" s="239">
        <v>3.5544581501565462</v>
      </c>
      <c r="W6" s="239">
        <v>3.503888667128094</v>
      </c>
      <c r="X6" s="239">
        <v>3.7152448875915551</v>
      </c>
      <c r="Y6" s="239">
        <v>3.4903848293842672</v>
      </c>
      <c r="DA6" s="267" t="s">
        <v>1016</v>
      </c>
    </row>
    <row r="7" spans="1:105" x14ac:dyDescent="0.25">
      <c r="A7" s="240" t="s">
        <v>124</v>
      </c>
      <c r="B7" s="241">
        <v>2.547747758590905</v>
      </c>
      <c r="C7" s="241">
        <v>2.67722699823593</v>
      </c>
      <c r="D7" s="241">
        <v>2.6692087946424961</v>
      </c>
      <c r="E7" s="241">
        <v>2.696882680136099</v>
      </c>
      <c r="F7" s="241">
        <v>2.6982379581888911</v>
      </c>
      <c r="G7" s="241">
        <v>2.846645845899149</v>
      </c>
      <c r="H7" s="241">
        <v>2.7112902813509532</v>
      </c>
      <c r="I7" s="241">
        <v>2.497929528259593</v>
      </c>
      <c r="J7" s="241">
        <v>2.5263439253459921</v>
      </c>
      <c r="K7" s="241">
        <v>2.4327460561743361</v>
      </c>
      <c r="L7" s="241">
        <v>2.3894510389125299</v>
      </c>
      <c r="M7" s="241">
        <v>2.3560461872468039</v>
      </c>
      <c r="N7" s="241">
        <v>2.3353474414500162</v>
      </c>
      <c r="O7" s="241">
        <v>2.26417070884676</v>
      </c>
      <c r="P7" s="241">
        <v>2.199163083293453</v>
      </c>
      <c r="Q7" s="241">
        <v>2.167687463528412</v>
      </c>
      <c r="R7" s="241">
        <v>2.1892245135323209</v>
      </c>
      <c r="S7" s="241">
        <v>2.2219372920846601</v>
      </c>
      <c r="T7" s="241">
        <v>2.2703604345176438</v>
      </c>
      <c r="U7" s="241">
        <v>2.2525331485484679</v>
      </c>
      <c r="V7" s="241">
        <v>2.2910549480100189</v>
      </c>
      <c r="W7" s="241">
        <v>2.25845997588873</v>
      </c>
      <c r="X7" s="241">
        <v>2.3946913490627759</v>
      </c>
      <c r="Y7" s="241">
        <v>2.2497559672963772</v>
      </c>
      <c r="DA7" s="268" t="s">
        <v>1017</v>
      </c>
    </row>
    <row r="8" spans="1:105" x14ac:dyDescent="0.25">
      <c r="A8" s="240" t="s">
        <v>123</v>
      </c>
      <c r="B8" s="241">
        <v>5.0629664659854896</v>
      </c>
      <c r="C8" s="241">
        <v>5.3202717844392353</v>
      </c>
      <c r="D8" s="241">
        <v>5.3043377518121426</v>
      </c>
      <c r="E8" s="241">
        <v>5.3593321890617416</v>
      </c>
      <c r="F8" s="241">
        <v>5.3620254412921611</v>
      </c>
      <c r="G8" s="241">
        <v>5.6569463792975556</v>
      </c>
      <c r="H8" s="241">
        <v>5.3879634385879669</v>
      </c>
      <c r="I8" s="241">
        <v>4.9639660729082413</v>
      </c>
      <c r="J8" s="241">
        <v>5.0204320786635339</v>
      </c>
      <c r="K8" s="241">
        <v>4.8344313761584017</v>
      </c>
      <c r="L8" s="241">
        <v>4.7483941223519164</v>
      </c>
      <c r="M8" s="241">
        <v>4.6820109244020802</v>
      </c>
      <c r="N8" s="241">
        <v>4.6408777095837284</v>
      </c>
      <c r="O8" s="241">
        <v>4.4994330123551443</v>
      </c>
      <c r="P8" s="241">
        <v>4.370247763501558</v>
      </c>
      <c r="Q8" s="241">
        <v>4.3076983973686023</v>
      </c>
      <c r="R8" s="241">
        <v>4.3504975173279323</v>
      </c>
      <c r="S8" s="241">
        <v>4.4155054052796414</v>
      </c>
      <c r="T8" s="241">
        <v>4.5117334347182521</v>
      </c>
      <c r="U8" s="241">
        <v>4.4763064774234733</v>
      </c>
      <c r="V8" s="241">
        <v>4.5528582389648564</v>
      </c>
      <c r="W8" s="241">
        <v>4.4880844597501168</v>
      </c>
      <c r="X8" s="241">
        <v>4.7588078355904404</v>
      </c>
      <c r="Y8" s="241">
        <v>4.4707875733240048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43.075502319982341</v>
      </c>
      <c r="C9" s="243">
        <f t="shared" ref="C9:W9" si="4">SUM(C10:C15)</f>
        <v>43.958476592657931</v>
      </c>
      <c r="D9" s="243">
        <f t="shared" si="4"/>
        <v>43.466317853871658</v>
      </c>
      <c r="E9" s="243">
        <f t="shared" si="4"/>
        <v>45.225845894461727</v>
      </c>
      <c r="F9" s="243">
        <f t="shared" si="4"/>
        <v>44.664556791054409</v>
      </c>
      <c r="G9" s="243">
        <f t="shared" si="4"/>
        <v>46.730967611349008</v>
      </c>
      <c r="H9" s="243">
        <f t="shared" si="4"/>
        <v>44.39638591589091</v>
      </c>
      <c r="I9" s="243">
        <f t="shared" si="4"/>
        <v>41.793664649294193</v>
      </c>
      <c r="J9" s="243">
        <f t="shared" si="4"/>
        <v>43.63627862577308</v>
      </c>
      <c r="K9" s="243">
        <f t="shared" si="4"/>
        <v>38.4189414153984</v>
      </c>
      <c r="L9" s="243">
        <f t="shared" si="4"/>
        <v>36.228031917665888</v>
      </c>
      <c r="M9" s="243">
        <f t="shared" si="4"/>
        <v>34.737370915602177</v>
      </c>
      <c r="N9" s="243">
        <f t="shared" si="4"/>
        <v>33.887993050408063</v>
      </c>
      <c r="O9" s="243">
        <f t="shared" si="4"/>
        <v>31.327366468337722</v>
      </c>
      <c r="P9" s="243">
        <f t="shared" si="4"/>
        <v>29.383022924076755</v>
      </c>
      <c r="Q9" s="243">
        <f t="shared" si="4"/>
        <v>28.550925759292262</v>
      </c>
      <c r="R9" s="243">
        <f t="shared" si="4"/>
        <v>29.113239869252535</v>
      </c>
      <c r="S9" s="243">
        <f t="shared" si="4"/>
        <v>30.027317324995224</v>
      </c>
      <c r="T9" s="243">
        <f t="shared" si="4"/>
        <v>31.530448116932895</v>
      </c>
      <c r="U9" s="243">
        <f t="shared" si="4"/>
        <v>31.632041021682383</v>
      </c>
      <c r="V9" s="243">
        <f t="shared" si="4"/>
        <v>31.598306723915805</v>
      </c>
      <c r="W9" s="243">
        <f t="shared" si="4"/>
        <v>31.456967004352791</v>
      </c>
      <c r="X9" s="243">
        <f t="shared" ref="X9:Y9" si="5">SUM(X10:X15)</f>
        <v>40.800184363870308</v>
      </c>
      <c r="Y9" s="243">
        <f t="shared" si="5"/>
        <v>35.65429717197248</v>
      </c>
      <c r="DA9" s="269"/>
    </row>
    <row r="10" spans="1:105" x14ac:dyDescent="0.25">
      <c r="A10" s="253" t="s">
        <v>166</v>
      </c>
      <c r="B10" s="254">
        <v>37.777099827478878</v>
      </c>
      <c r="C10" s="254">
        <v>37.964181724202263</v>
      </c>
      <c r="D10" s="254">
        <v>37.361822513488569</v>
      </c>
      <c r="E10" s="254">
        <v>39.501694506372658</v>
      </c>
      <c r="F10" s="254">
        <v>38.746852570916353</v>
      </c>
      <c r="G10" s="254">
        <v>40.354111828810112</v>
      </c>
      <c r="H10" s="254">
        <v>38.283219608776939</v>
      </c>
      <c r="I10" s="254">
        <v>36.461254821457857</v>
      </c>
      <c r="J10" s="254">
        <v>38.651954286385681</v>
      </c>
      <c r="K10" s="254">
        <v>32.388698099148343</v>
      </c>
      <c r="L10" s="254">
        <v>29.602751161663178</v>
      </c>
      <c r="M10" s="254">
        <v>27.652981036455259</v>
      </c>
      <c r="N10" s="254">
        <v>26.5191240443658</v>
      </c>
      <c r="O10" s="254">
        <v>22.98025970308867</v>
      </c>
      <c r="P10" s="254">
        <v>20.14246528309716</v>
      </c>
      <c r="Q10" s="254">
        <v>18.877773945043479</v>
      </c>
      <c r="R10" s="254">
        <v>19.736088655173489</v>
      </c>
      <c r="S10" s="254">
        <v>21.099763529434171</v>
      </c>
      <c r="T10" s="254">
        <v>23.26841161486524</v>
      </c>
      <c r="U10" s="254">
        <v>23.738188826548569</v>
      </c>
      <c r="V10" s="254">
        <v>23.056718115484792</v>
      </c>
      <c r="W10" s="254">
        <v>23.320432331051268</v>
      </c>
      <c r="X10" s="254">
        <v>35.914090231166988</v>
      </c>
      <c r="Y10" s="254">
        <v>30.129735130610761</v>
      </c>
      <c r="DA10" s="270" t="s">
        <v>1019</v>
      </c>
    </row>
    <row r="11" spans="1:105" x14ac:dyDescent="0.25">
      <c r="A11" s="253" t="s">
        <v>169</v>
      </c>
      <c r="B11" s="255">
        <v>0</v>
      </c>
      <c r="C11" s="255">
        <v>0</v>
      </c>
      <c r="D11" s="255">
        <v>0</v>
      </c>
      <c r="E11" s="255">
        <v>0</v>
      </c>
      <c r="F11" s="255">
        <v>0</v>
      </c>
      <c r="G11" s="255">
        <v>0</v>
      </c>
      <c r="H11" s="255">
        <v>0</v>
      </c>
      <c r="I11" s="255">
        <v>0</v>
      </c>
      <c r="J11" s="255">
        <v>0</v>
      </c>
      <c r="K11" s="255">
        <v>0</v>
      </c>
      <c r="L11" s="255">
        <v>0</v>
      </c>
      <c r="M11" s="255">
        <v>0</v>
      </c>
      <c r="N11" s="255">
        <v>0</v>
      </c>
      <c r="O11" s="255">
        <v>0</v>
      </c>
      <c r="P11" s="255">
        <v>0</v>
      </c>
      <c r="Q11" s="255">
        <v>0</v>
      </c>
      <c r="R11" s="255">
        <v>0</v>
      </c>
      <c r="S11" s="255">
        <v>0</v>
      </c>
      <c r="T11" s="255">
        <v>0</v>
      </c>
      <c r="U11" s="255">
        <v>0</v>
      </c>
      <c r="V11" s="255">
        <v>0</v>
      </c>
      <c r="W11" s="255">
        <v>0</v>
      </c>
      <c r="X11" s="255">
        <v>0</v>
      </c>
      <c r="Y11" s="255">
        <v>0</v>
      </c>
      <c r="DA11" s="271" t="s">
        <v>1020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1023</v>
      </c>
    </row>
    <row r="15" spans="1:105" x14ac:dyDescent="0.25">
      <c r="A15" s="253" t="s">
        <v>24</v>
      </c>
      <c r="B15" s="255">
        <v>5.2984024925034614</v>
      </c>
      <c r="C15" s="255">
        <v>5.9942948684556674</v>
      </c>
      <c r="D15" s="255">
        <v>6.1044953403830879</v>
      </c>
      <c r="E15" s="255">
        <v>5.7241513880890666</v>
      </c>
      <c r="F15" s="255">
        <v>5.9177042201380594</v>
      </c>
      <c r="G15" s="255">
        <v>6.3768557825388941</v>
      </c>
      <c r="H15" s="255">
        <v>6.1131663071139686</v>
      </c>
      <c r="I15" s="255">
        <v>5.3324098278363392</v>
      </c>
      <c r="J15" s="255">
        <v>4.9843243393873964</v>
      </c>
      <c r="K15" s="255">
        <v>6.0302433162500586</v>
      </c>
      <c r="L15" s="255">
        <v>6.6252807560027094</v>
      </c>
      <c r="M15" s="255">
        <v>7.0843898791469169</v>
      </c>
      <c r="N15" s="255">
        <v>7.3688690060422646</v>
      </c>
      <c r="O15" s="255">
        <v>8.3471067652490518</v>
      </c>
      <c r="P15" s="255">
        <v>9.2405576409795955</v>
      </c>
      <c r="Q15" s="255">
        <v>9.6731518142487811</v>
      </c>
      <c r="R15" s="255">
        <v>9.3771512140790456</v>
      </c>
      <c r="S15" s="255">
        <v>8.9275537955610513</v>
      </c>
      <c r="T15" s="255">
        <v>8.2620365020676569</v>
      </c>
      <c r="U15" s="255">
        <v>7.8938521951338156</v>
      </c>
      <c r="V15" s="255">
        <v>8.5415886084310113</v>
      </c>
      <c r="W15" s="255">
        <v>8.1365346733015205</v>
      </c>
      <c r="X15" s="255">
        <v>4.8860941327033176</v>
      </c>
      <c r="Y15" s="255">
        <v>5.5245620413617216</v>
      </c>
      <c r="DA15" s="271" t="s">
        <v>1024</v>
      </c>
    </row>
    <row r="16" spans="1:105" x14ac:dyDescent="0.25">
      <c r="A16" s="256" t="s">
        <v>168</v>
      </c>
      <c r="B16" s="257">
        <v>31.66888419030316</v>
      </c>
      <c r="C16" s="257">
        <v>32.117156434074012</v>
      </c>
      <c r="D16" s="257">
        <v>31.69563109328087</v>
      </c>
      <c r="E16" s="257">
        <v>33.195337673098763</v>
      </c>
      <c r="F16" s="257">
        <v>32.692871294486537</v>
      </c>
      <c r="G16" s="257">
        <v>34.141243643496807</v>
      </c>
      <c r="H16" s="257">
        <v>32.41650284308087</v>
      </c>
      <c r="I16" s="257">
        <v>30.661650628533579</v>
      </c>
      <c r="J16" s="257">
        <v>32.208323079930693</v>
      </c>
      <c r="K16" s="257">
        <v>27.788462915271229</v>
      </c>
      <c r="L16" s="257">
        <v>25.855120155261229</v>
      </c>
      <c r="M16" s="257">
        <v>24.509486121721981</v>
      </c>
      <c r="N16" s="257">
        <v>23.729760076917589</v>
      </c>
      <c r="O16" s="257">
        <v>21.30877206397308</v>
      </c>
      <c r="P16" s="257">
        <v>19.37914036981709</v>
      </c>
      <c r="Q16" s="257">
        <v>18.521455661190249</v>
      </c>
      <c r="R16" s="257">
        <v>19.103437893421649</v>
      </c>
      <c r="S16" s="257">
        <v>20.02914152202947</v>
      </c>
      <c r="T16" s="257">
        <v>21.50523362116779</v>
      </c>
      <c r="U16" s="257">
        <v>21.738518271940951</v>
      </c>
      <c r="V16" s="257">
        <v>21.441598862964739</v>
      </c>
      <c r="W16" s="257">
        <v>21.499461251056971</v>
      </c>
      <c r="X16" s="257">
        <v>30.04040085742685</v>
      </c>
      <c r="Y16" s="257">
        <v>25.81478494295391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34.298289322918279</v>
      </c>
      <c r="C17" s="257">
        <f t="shared" ref="C17:W17" si="7">SUM(C18:C24)</f>
        <v>34.783780728927283</v>
      </c>
      <c r="D17" s="257">
        <f t="shared" si="7"/>
        <v>34.327256968614549</v>
      </c>
      <c r="E17" s="257">
        <f t="shared" si="7"/>
        <v>35.951481234458058</v>
      </c>
      <c r="F17" s="257">
        <f t="shared" si="7"/>
        <v>35.407296061241333</v>
      </c>
      <c r="G17" s="257">
        <f t="shared" si="7"/>
        <v>36.975923916114709</v>
      </c>
      <c r="H17" s="257">
        <f t="shared" si="7"/>
        <v>35.107981281185353</v>
      </c>
      <c r="I17" s="257">
        <f t="shared" si="7"/>
        <v>33.207427140666049</v>
      </c>
      <c r="J17" s="257">
        <f t="shared" si="7"/>
        <v>34.88251676198113</v>
      </c>
      <c r="K17" s="257">
        <f t="shared" si="7"/>
        <v>30.095684305763779</v>
      </c>
      <c r="L17" s="257">
        <f t="shared" si="7"/>
        <v>28.0018199010464</v>
      </c>
      <c r="M17" s="257">
        <f t="shared" si="7"/>
        <v>26.54446052179722</v>
      </c>
      <c r="N17" s="257">
        <f t="shared" si="7"/>
        <v>25.699995357928131</v>
      </c>
      <c r="O17" s="257">
        <f t="shared" si="7"/>
        <v>23.077997474570019</v>
      </c>
      <c r="P17" s="257">
        <f t="shared" si="7"/>
        <v>20.98815225820147</v>
      </c>
      <c r="Q17" s="257">
        <f t="shared" si="7"/>
        <v>20.05925567606884</v>
      </c>
      <c r="R17" s="257">
        <f t="shared" si="7"/>
        <v>20.68955874775024</v>
      </c>
      <c r="S17" s="257">
        <f t="shared" si="7"/>
        <v>21.692121726934332</v>
      </c>
      <c r="T17" s="257">
        <f t="shared" si="7"/>
        <v>23.290770848238761</v>
      </c>
      <c r="U17" s="257">
        <f t="shared" si="7"/>
        <v>23.543424664481002</v>
      </c>
      <c r="V17" s="257">
        <f t="shared" si="7"/>
        <v>23.221852621289969</v>
      </c>
      <c r="W17" s="257">
        <f t="shared" si="7"/>
        <v>23.284519209597189</v>
      </c>
      <c r="X17" s="257">
        <f t="shared" ref="X17:Y17" si="8">SUM(X18:X24)</f>
        <v>32.534596223631738</v>
      </c>
      <c r="Y17" s="257">
        <f t="shared" si="8"/>
        <v>27.95813573543753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1026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X19" s="55">
        <v>0</v>
      </c>
      <c r="Y19" s="55">
        <v>0</v>
      </c>
      <c r="DA19" s="101" t="s">
        <v>1027</v>
      </c>
    </row>
    <row r="20" spans="1:105" x14ac:dyDescent="0.25">
      <c r="A20" s="61" t="s">
        <v>166</v>
      </c>
      <c r="B20" s="55">
        <v>34.298289322918279</v>
      </c>
      <c r="C20" s="55">
        <v>34.783780728927283</v>
      </c>
      <c r="D20" s="55">
        <v>34.327256968614549</v>
      </c>
      <c r="E20" s="55">
        <v>35.951481234458058</v>
      </c>
      <c r="F20" s="55">
        <v>35.407296061241333</v>
      </c>
      <c r="G20" s="55">
        <v>36.975923916114709</v>
      </c>
      <c r="H20" s="55">
        <v>35.107981281185353</v>
      </c>
      <c r="I20" s="55">
        <v>33.207427140666049</v>
      </c>
      <c r="J20" s="55">
        <v>34.88251676198113</v>
      </c>
      <c r="K20" s="55">
        <v>30.095684305763779</v>
      </c>
      <c r="L20" s="55">
        <v>28.0018199010464</v>
      </c>
      <c r="M20" s="55">
        <v>26.54446052179722</v>
      </c>
      <c r="N20" s="55">
        <v>25.699995357928131</v>
      </c>
      <c r="O20" s="55">
        <v>23.077997474570019</v>
      </c>
      <c r="P20" s="55">
        <v>20.98815225820147</v>
      </c>
      <c r="Q20" s="55">
        <v>20.05925567606884</v>
      </c>
      <c r="R20" s="55">
        <v>20.68955874775024</v>
      </c>
      <c r="S20" s="55">
        <v>21.692121726934332</v>
      </c>
      <c r="T20" s="55">
        <v>23.290770848238761</v>
      </c>
      <c r="U20" s="55">
        <v>23.543424664481002</v>
      </c>
      <c r="V20" s="55">
        <v>23.221852621289969</v>
      </c>
      <c r="W20" s="55">
        <v>23.284519209597189</v>
      </c>
      <c r="X20" s="55">
        <v>32.534596223631738</v>
      </c>
      <c r="Y20" s="55">
        <v>27.95813573543753</v>
      </c>
      <c r="DA20" s="101" t="s">
        <v>1028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DA21" s="101" t="s">
        <v>1029</v>
      </c>
    </row>
    <row r="22" spans="1:105" x14ac:dyDescent="0.25">
      <c r="A22" s="61" t="s">
        <v>169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DA22" s="101" t="s">
        <v>1030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1031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1032</v>
      </c>
    </row>
    <row r="25" spans="1:105" x14ac:dyDescent="0.25">
      <c r="A25" s="256" t="s">
        <v>167</v>
      </c>
      <c r="B25" s="257">
        <v>4.2598080118616721</v>
      </c>
      <c r="C25" s="257">
        <v>4.3201054850544587</v>
      </c>
      <c r="D25" s="257">
        <v>4.2634057600776236</v>
      </c>
      <c r="E25" s="257">
        <v>4.4651325422957999</v>
      </c>
      <c r="F25" s="257">
        <v>4.3975453708488557</v>
      </c>
      <c r="G25" s="257">
        <v>4.5923671428884898</v>
      </c>
      <c r="H25" s="257">
        <v>4.3603708200674243</v>
      </c>
      <c r="I25" s="257">
        <v>4.1243241858304458</v>
      </c>
      <c r="J25" s="257">
        <v>4.3323683865858529</v>
      </c>
      <c r="K25" s="257">
        <v>3.737849311408282</v>
      </c>
      <c r="L25" s="257">
        <v>3.4777937651100288</v>
      </c>
      <c r="M25" s="257">
        <v>3.296791409527847</v>
      </c>
      <c r="N25" s="257">
        <v>3.1919098092556148</v>
      </c>
      <c r="O25" s="257">
        <v>2.8662606934803332</v>
      </c>
      <c r="P25" s="257">
        <v>2.6067043257436771</v>
      </c>
      <c r="Q25" s="257">
        <v>2.491336440613749</v>
      </c>
      <c r="R25" s="257">
        <v>2.5696193558160338</v>
      </c>
      <c r="S25" s="257">
        <v>2.6941365225736948</v>
      </c>
      <c r="T25" s="257">
        <v>2.8926869013104488</v>
      </c>
      <c r="U25" s="257">
        <v>2.924066214153815</v>
      </c>
      <c r="V25" s="257">
        <v>2.8841273369381351</v>
      </c>
      <c r="W25" s="257">
        <v>2.8919104549949521</v>
      </c>
      <c r="X25" s="257">
        <v>4.0407593612403208</v>
      </c>
      <c r="Y25" s="257">
        <v>3.472368242078832</v>
      </c>
      <c r="DA25" s="272" t="s">
        <v>1033</v>
      </c>
    </row>
    <row r="26" spans="1:105" x14ac:dyDescent="0.25">
      <c r="A26" s="256" t="s">
        <v>170</v>
      </c>
      <c r="B26" s="257">
        <v>3.9196119362937032</v>
      </c>
      <c r="C26" s="257">
        <v>4.1188107665168161</v>
      </c>
      <c r="D26" s="257">
        <v>4.1064750686807647</v>
      </c>
      <c r="E26" s="257">
        <v>4.1490502771324618</v>
      </c>
      <c r="F26" s="257">
        <v>4.1511353202906021</v>
      </c>
      <c r="G26" s="257">
        <v>4.3794551475371506</v>
      </c>
      <c r="H26" s="257">
        <v>4.1712158174630067</v>
      </c>
      <c r="I26" s="257">
        <v>3.8429685050147588</v>
      </c>
      <c r="J26" s="257">
        <v>3.8866829620707559</v>
      </c>
      <c r="K26" s="257">
        <v>3.7426862402682111</v>
      </c>
      <c r="L26" s="257">
        <v>3.6760785214038938</v>
      </c>
      <c r="M26" s="257">
        <v>3.6246864419181599</v>
      </c>
      <c r="N26" s="257">
        <v>3.5928422176154089</v>
      </c>
      <c r="O26" s="257">
        <v>3.483339552071941</v>
      </c>
      <c r="P26" s="257">
        <v>3.3833278204514681</v>
      </c>
      <c r="Q26" s="257">
        <v>3.334903790043712</v>
      </c>
      <c r="R26" s="257">
        <v>3.368037713126649</v>
      </c>
      <c r="S26" s="257">
        <v>3.4183650647456298</v>
      </c>
      <c r="T26" s="257">
        <v>3.492862206950222</v>
      </c>
      <c r="U26" s="257">
        <v>3.4654356131514898</v>
      </c>
      <c r="V26" s="257">
        <v>3.524699920015415</v>
      </c>
      <c r="W26" s="257">
        <v>3.4745538090595849</v>
      </c>
      <c r="X26" s="257">
        <v>3.6841405370196569</v>
      </c>
      <c r="Y26" s="257">
        <v>3.4611630266098121</v>
      </c>
      <c r="DA26" s="272" t="s">
        <v>1034</v>
      </c>
    </row>
    <row r="27" spans="1:105" x14ac:dyDescent="0.25">
      <c r="A27" s="128" t="s">
        <v>33</v>
      </c>
      <c r="B27" s="258">
        <v>5.9737423801280354</v>
      </c>
      <c r="C27" s="258">
        <v>6.2773342952248514</v>
      </c>
      <c r="D27" s="258">
        <v>6.258533893004075</v>
      </c>
      <c r="E27" s="258">
        <v>6.3234212673677694</v>
      </c>
      <c r="F27" s="258">
        <v>6.32659900814431</v>
      </c>
      <c r="G27" s="258">
        <v>6.6745732082473754</v>
      </c>
      <c r="H27" s="258">
        <v>6.3572029860182671</v>
      </c>
      <c r="I27" s="258">
        <v>5.8569328283073574</v>
      </c>
      <c r="J27" s="258">
        <v>5.9235564913087044</v>
      </c>
      <c r="K27" s="258">
        <v>5.7040961637016911</v>
      </c>
      <c r="L27" s="258">
        <v>5.6025816873987999</v>
      </c>
      <c r="M27" s="258">
        <v>5.5242568306995592</v>
      </c>
      <c r="N27" s="258">
        <v>5.4757241709945994</v>
      </c>
      <c r="O27" s="258">
        <v>5.3088350185667812</v>
      </c>
      <c r="P27" s="258">
        <v>5.1564106639618874</v>
      </c>
      <c r="Q27" s="258">
        <v>5.082609306234378</v>
      </c>
      <c r="R27" s="258">
        <v>5.1331075503864803</v>
      </c>
      <c r="S27" s="258">
        <v>5.2098096928771964</v>
      </c>
      <c r="T27" s="258">
        <v>5.3233481611794442</v>
      </c>
      <c r="U27" s="258">
        <v>5.2815482563978069</v>
      </c>
      <c r="V27" s="258">
        <v>5.3718708973367733</v>
      </c>
      <c r="W27" s="258">
        <v>5.2954449773517682</v>
      </c>
      <c r="X27" s="258">
        <v>5.6148687212010966</v>
      </c>
      <c r="Y27" s="258">
        <v>5.2750365578644773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0.99999999999999989</v>
      </c>
      <c r="C31" s="235">
        <f t="shared" si="9"/>
        <v>0.99999999999999978</v>
      </c>
      <c r="D31" s="235">
        <f t="shared" si="9"/>
        <v>1</v>
      </c>
      <c r="E31" s="235">
        <f t="shared" si="9"/>
        <v>1</v>
      </c>
      <c r="F31" s="235">
        <f t="shared" si="9"/>
        <v>0.99999999999999989</v>
      </c>
      <c r="G31" s="235">
        <f t="shared" si="9"/>
        <v>0.99999999999999978</v>
      </c>
      <c r="H31" s="235">
        <f t="shared" si="9"/>
        <v>1</v>
      </c>
      <c r="I31" s="235">
        <f t="shared" si="9"/>
        <v>1.0000000000000002</v>
      </c>
      <c r="J31" s="235">
        <f t="shared" si="9"/>
        <v>0.99999999999999978</v>
      </c>
      <c r="K31" s="235">
        <f t="shared" si="9"/>
        <v>0.99999999999999978</v>
      </c>
      <c r="L31" s="235">
        <f t="shared" si="9"/>
        <v>1.0000000000000002</v>
      </c>
      <c r="M31" s="235">
        <f t="shared" si="9"/>
        <v>1</v>
      </c>
      <c r="N31" s="235">
        <f t="shared" si="9"/>
        <v>0.99999999999999989</v>
      </c>
      <c r="O31" s="235">
        <f t="shared" si="9"/>
        <v>1</v>
      </c>
      <c r="P31" s="235">
        <f t="shared" si="9"/>
        <v>1</v>
      </c>
      <c r="Q31" s="235">
        <f t="shared" si="9"/>
        <v>1</v>
      </c>
      <c r="R31" s="235">
        <f t="shared" ref="R31:W31" si="10">SUM(R32:R40)</f>
        <v>1</v>
      </c>
      <c r="S31" s="235">
        <f t="shared" si="10"/>
        <v>1</v>
      </c>
      <c r="T31" s="235">
        <f t="shared" si="10"/>
        <v>0.99999999999999978</v>
      </c>
      <c r="U31" s="235">
        <f t="shared" si="10"/>
        <v>0.99999999999999978</v>
      </c>
      <c r="V31" s="235">
        <f t="shared" si="10"/>
        <v>1</v>
      </c>
      <c r="W31" s="235">
        <f t="shared" si="10"/>
        <v>1</v>
      </c>
      <c r="X31" s="235">
        <f t="shared" ref="X31:Y31" si="11">SUM(X32:X40)</f>
        <v>1</v>
      </c>
      <c r="Y31" s="235">
        <f t="shared" si="11"/>
        <v>1.0000000000000002</v>
      </c>
      <c r="DA31" s="274"/>
    </row>
    <row r="32" spans="1:105" x14ac:dyDescent="0.25">
      <c r="A32" s="238" t="s">
        <v>125</v>
      </c>
      <c r="B32" s="244">
        <f t="shared" ref="B32:Y32" si="12">IF(B$6=0,0,B$6/B$5)</f>
        <v>2.9331597801703115E-2</v>
      </c>
      <c r="C32" s="244">
        <f t="shared" si="12"/>
        <v>3.0158157347160455E-2</v>
      </c>
      <c r="D32" s="244">
        <f t="shared" si="12"/>
        <v>3.0397671619123885E-2</v>
      </c>
      <c r="E32" s="244">
        <f t="shared" si="12"/>
        <v>2.9558905664739614E-2</v>
      </c>
      <c r="F32" s="244">
        <f t="shared" si="12"/>
        <v>2.9925574713822393E-2</v>
      </c>
      <c r="G32" s="244">
        <f t="shared" si="12"/>
        <v>3.0163872344962789E-2</v>
      </c>
      <c r="H32" s="244">
        <f t="shared" si="12"/>
        <v>3.023701237155978E-2</v>
      </c>
      <c r="I32" s="244">
        <f t="shared" si="12"/>
        <v>2.9623047665844178E-2</v>
      </c>
      <c r="J32" s="244">
        <f t="shared" si="12"/>
        <v>2.8748806932654924E-2</v>
      </c>
      <c r="K32" s="244">
        <f t="shared" si="12"/>
        <v>3.1314282527690758E-2</v>
      </c>
      <c r="L32" s="244">
        <f t="shared" si="12"/>
        <v>3.2608256269073065E-2</v>
      </c>
      <c r="M32" s="244">
        <f t="shared" si="12"/>
        <v>3.3556187217232088E-2</v>
      </c>
      <c r="N32" s="244">
        <f t="shared" si="12"/>
        <v>3.4123721803927184E-2</v>
      </c>
      <c r="O32" s="244">
        <f t="shared" si="12"/>
        <v>3.597324432693863E-2</v>
      </c>
      <c r="P32" s="244">
        <f t="shared" si="12"/>
        <v>3.7543631709779396E-2</v>
      </c>
      <c r="Q32" s="244">
        <f t="shared" si="12"/>
        <v>3.8269236259666099E-2</v>
      </c>
      <c r="R32" s="244">
        <f t="shared" si="12"/>
        <v>3.7775025410708846E-2</v>
      </c>
      <c r="S32" s="244">
        <f t="shared" si="12"/>
        <v>3.7005043295404237E-2</v>
      </c>
      <c r="T32" s="244">
        <f t="shared" si="12"/>
        <v>3.5818171327118696E-2</v>
      </c>
      <c r="U32" s="244">
        <f t="shared" si="12"/>
        <v>3.5368324720944658E-2</v>
      </c>
      <c r="V32" s="244">
        <f t="shared" si="12"/>
        <v>3.610756058455275E-2</v>
      </c>
      <c r="W32" s="244">
        <f t="shared" si="12"/>
        <v>3.5698127632196576E-2</v>
      </c>
      <c r="X32" s="244">
        <f t="shared" si="12"/>
        <v>2.9120060464879968E-2</v>
      </c>
      <c r="Y32" s="244">
        <f t="shared" si="12"/>
        <v>3.1206860739064618E-2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1.8905920238130258E-2</v>
      </c>
      <c r="C33" s="245">
        <f t="shared" si="13"/>
        <v>1.9438685924613758E-2</v>
      </c>
      <c r="D33" s="245">
        <f t="shared" si="13"/>
        <v>1.9593066799199844E-2</v>
      </c>
      <c r="E33" s="245">
        <f t="shared" si="13"/>
        <v>1.9052433372434126E-2</v>
      </c>
      <c r="F33" s="245">
        <f t="shared" si="13"/>
        <v>1.9288772894154552E-2</v>
      </c>
      <c r="G33" s="245">
        <f t="shared" si="13"/>
        <v>1.94423695729899E-2</v>
      </c>
      <c r="H33" s="245">
        <f t="shared" si="13"/>
        <v>1.9489512572781646E-2</v>
      </c>
      <c r="I33" s="245">
        <f t="shared" si="13"/>
        <v>1.9093776621615283E-2</v>
      </c>
      <c r="J33" s="245">
        <f t="shared" si="13"/>
        <v>1.8530277637266033E-2</v>
      </c>
      <c r="K33" s="245">
        <f t="shared" si="13"/>
        <v>2.0183875825149293E-2</v>
      </c>
      <c r="L33" s="245">
        <f t="shared" si="13"/>
        <v>2.1017917138213684E-2</v>
      </c>
      <c r="M33" s="245">
        <f t="shared" si="13"/>
        <v>2.1628913750751079E-2</v>
      </c>
      <c r="N33" s="245">
        <f t="shared" si="13"/>
        <v>2.1994722790578253E-2</v>
      </c>
      <c r="O33" s="245">
        <f t="shared" si="13"/>
        <v>2.3186847595202738E-2</v>
      </c>
      <c r="P33" s="245">
        <f t="shared" si="13"/>
        <v>2.4199053571967836E-2</v>
      </c>
      <c r="Q33" s="245">
        <f t="shared" si="13"/>
        <v>2.4666747893883907E-2</v>
      </c>
      <c r="R33" s="245">
        <f t="shared" si="13"/>
        <v>2.4348200266360445E-2</v>
      </c>
      <c r="S33" s="245">
        <f t="shared" si="13"/>
        <v>2.3851902023245646E-2</v>
      </c>
      <c r="T33" s="245">
        <f t="shared" si="13"/>
        <v>2.3086894030262175E-2</v>
      </c>
      <c r="U33" s="245">
        <f t="shared" si="13"/>
        <v>2.2796941736724786E-2</v>
      </c>
      <c r="V33" s="245">
        <f t="shared" si="13"/>
        <v>2.3273422232912698E-2</v>
      </c>
      <c r="W33" s="245">
        <f t="shared" si="13"/>
        <v>2.3009518889070373E-2</v>
      </c>
      <c r="X33" s="245">
        <f t="shared" si="13"/>
        <v>1.8769572124931581E-2</v>
      </c>
      <c r="Y33" s="245">
        <f t="shared" si="13"/>
        <v>2.0114636236452727E-2</v>
      </c>
      <c r="DA33" s="276"/>
    </row>
    <row r="34" spans="1:105" x14ac:dyDescent="0.25">
      <c r="A34" s="240" t="s">
        <v>123</v>
      </c>
      <c r="B34" s="245">
        <f t="shared" ref="B34:Y34" si="14">IF(B$8=0,0,B$8/B$5)</f>
        <v>3.7570454081054805E-2</v>
      </c>
      <c r="C34" s="245">
        <f t="shared" si="14"/>
        <v>3.862918322557006E-2</v>
      </c>
      <c r="D34" s="245">
        <f t="shared" si="14"/>
        <v>3.8935973875619048E-2</v>
      </c>
      <c r="E34" s="245">
        <f t="shared" si="14"/>
        <v>3.7861609704018508E-2</v>
      </c>
      <c r="F34" s="245">
        <f t="shared" si="14"/>
        <v>3.833127121937957E-2</v>
      </c>
      <c r="G34" s="245">
        <f t="shared" si="14"/>
        <v>3.8636503490356106E-2</v>
      </c>
      <c r="H34" s="245">
        <f t="shared" si="14"/>
        <v>3.8730187579075946E-2</v>
      </c>
      <c r="I34" s="245">
        <f t="shared" si="14"/>
        <v>3.7943768341384874E-2</v>
      </c>
      <c r="J34" s="245">
        <f t="shared" si="14"/>
        <v>3.6823964996741725E-2</v>
      </c>
      <c r="K34" s="245">
        <f t="shared" si="14"/>
        <v>4.0110048615199213E-2</v>
      </c>
      <c r="L34" s="245">
        <f t="shared" si="14"/>
        <v>4.1767482395703055E-2</v>
      </c>
      <c r="M34" s="245">
        <f t="shared" si="14"/>
        <v>4.2981674558045864E-2</v>
      </c>
      <c r="N34" s="245">
        <f t="shared" si="14"/>
        <v>4.3708622072906475E-2</v>
      </c>
      <c r="O34" s="245">
        <f t="shared" si="14"/>
        <v>4.6077650909741377E-2</v>
      </c>
      <c r="P34" s="245">
        <f t="shared" si="14"/>
        <v>4.8089139252632189E-2</v>
      </c>
      <c r="Q34" s="245">
        <f t="shared" si="14"/>
        <v>4.9018556484070532E-2</v>
      </c>
      <c r="R34" s="245">
        <f t="shared" si="14"/>
        <v>4.8385528371090274E-2</v>
      </c>
      <c r="S34" s="245">
        <f t="shared" si="14"/>
        <v>4.7399268505471728E-2</v>
      </c>
      <c r="T34" s="245">
        <f t="shared" si="14"/>
        <v>4.5879019963744702E-2</v>
      </c>
      <c r="U34" s="245">
        <f t="shared" si="14"/>
        <v>4.5302817420158806E-2</v>
      </c>
      <c r="V34" s="245">
        <f t="shared" si="14"/>
        <v>4.6249694820309946E-2</v>
      </c>
      <c r="W34" s="245">
        <f t="shared" si="14"/>
        <v>4.5725257589179148E-2</v>
      </c>
      <c r="X34" s="245">
        <f t="shared" si="14"/>
        <v>3.7299498715674693E-2</v>
      </c>
      <c r="Y34" s="245">
        <f t="shared" si="14"/>
        <v>3.9972453472780882E-2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0.31964781769816775</v>
      </c>
      <c r="C35" s="246">
        <f t="shared" si="15"/>
        <v>0.31917167306776906</v>
      </c>
      <c r="D35" s="246">
        <f t="shared" si="15"/>
        <v>0.31906026644881691</v>
      </c>
      <c r="E35" s="246">
        <f t="shared" si="15"/>
        <v>0.31950311445239488</v>
      </c>
      <c r="F35" s="246">
        <f t="shared" si="15"/>
        <v>0.31929151754242929</v>
      </c>
      <c r="G35" s="246">
        <f t="shared" si="15"/>
        <v>0.31916887171339997</v>
      </c>
      <c r="H35" s="246">
        <f t="shared" si="15"/>
        <v>0.31913363443426179</v>
      </c>
      <c r="I35" s="246">
        <f t="shared" si="15"/>
        <v>0.31946413539068902</v>
      </c>
      <c r="J35" s="246">
        <f t="shared" si="15"/>
        <v>0.32006424377945014</v>
      </c>
      <c r="K35" s="246">
        <f t="shared" si="15"/>
        <v>0.31875219400479698</v>
      </c>
      <c r="L35" s="246">
        <f t="shared" si="15"/>
        <v>0.31866640518091655</v>
      </c>
      <c r="M35" s="246">
        <f t="shared" si="15"/>
        <v>0.31889510635586871</v>
      </c>
      <c r="N35" s="246">
        <f t="shared" si="15"/>
        <v>0.31916322164464567</v>
      </c>
      <c r="O35" s="246">
        <f t="shared" si="15"/>
        <v>0.32081630109524278</v>
      </c>
      <c r="P35" s="246">
        <f t="shared" si="15"/>
        <v>0.32332360944384408</v>
      </c>
      <c r="Q35" s="246">
        <f t="shared" si="15"/>
        <v>0.32488931162387902</v>
      </c>
      <c r="R35" s="246">
        <f t="shared" si="15"/>
        <v>0.32379273590144952</v>
      </c>
      <c r="S35" s="246">
        <f t="shared" si="15"/>
        <v>0.3223352132430044</v>
      </c>
      <c r="T35" s="246">
        <f t="shared" si="15"/>
        <v>0.32062755469792442</v>
      </c>
      <c r="U35" s="246">
        <f t="shared" si="15"/>
        <v>0.32013459897345681</v>
      </c>
      <c r="V35" s="246">
        <f t="shared" si="15"/>
        <v>0.32098782042287405</v>
      </c>
      <c r="W35" s="246">
        <f t="shared" si="15"/>
        <v>0.32048815750861004</v>
      </c>
      <c r="X35" s="246">
        <f t="shared" si="15"/>
        <v>0.31979152696562996</v>
      </c>
      <c r="Y35" s="246">
        <f t="shared" si="15"/>
        <v>0.31877822675250767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0.23500340507162218</v>
      </c>
      <c r="C36" s="259">
        <f t="shared" si="16"/>
        <v>0.23319476350904295</v>
      </c>
      <c r="D36" s="259">
        <f t="shared" si="16"/>
        <v>0.232658688409808</v>
      </c>
      <c r="E36" s="259">
        <f t="shared" si="16"/>
        <v>0.23451222552263556</v>
      </c>
      <c r="F36" s="259">
        <f t="shared" si="16"/>
        <v>0.2337100653941025</v>
      </c>
      <c r="G36" s="259">
        <f t="shared" si="16"/>
        <v>0.23318203687142955</v>
      </c>
      <c r="H36" s="259">
        <f t="shared" si="16"/>
        <v>0.23301888553631336</v>
      </c>
      <c r="I36" s="259">
        <f t="shared" si="16"/>
        <v>0.23437278807426326</v>
      </c>
      <c r="J36" s="259">
        <f t="shared" si="16"/>
        <v>0.23624224829964161</v>
      </c>
      <c r="K36" s="259">
        <f t="shared" si="16"/>
        <v>0.23055381527804097</v>
      </c>
      <c r="L36" s="259">
        <f t="shared" si="16"/>
        <v>0.2274249458022613</v>
      </c>
      <c r="M36" s="259">
        <f t="shared" si="16"/>
        <v>0.22500134516523551</v>
      </c>
      <c r="N36" s="259">
        <f t="shared" si="16"/>
        <v>0.22349115404201589</v>
      </c>
      <c r="O36" s="259">
        <f t="shared" si="16"/>
        <v>0.2182181972223797</v>
      </c>
      <c r="P36" s="259">
        <f t="shared" si="16"/>
        <v>0.21324332858733763</v>
      </c>
      <c r="Q36" s="259">
        <f t="shared" si="16"/>
        <v>0.21076104609595192</v>
      </c>
      <c r="R36" s="259">
        <f t="shared" si="16"/>
        <v>0.21246534045725327</v>
      </c>
      <c r="S36" s="259">
        <f t="shared" si="16"/>
        <v>0.21500747248584617</v>
      </c>
      <c r="T36" s="259">
        <f t="shared" si="16"/>
        <v>0.21868292019166335</v>
      </c>
      <c r="U36" s="259">
        <f t="shared" si="16"/>
        <v>0.22000641136291887</v>
      </c>
      <c r="V36" s="259">
        <f t="shared" si="16"/>
        <v>0.21781205384007096</v>
      </c>
      <c r="W36" s="259">
        <f t="shared" si="16"/>
        <v>0.2190396398618332</v>
      </c>
      <c r="X36" s="259">
        <f t="shared" si="16"/>
        <v>0.23545642772543743</v>
      </c>
      <c r="Y36" s="259">
        <f t="shared" si="16"/>
        <v>0.23080503672306502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0.25451527532774432</v>
      </c>
      <c r="C37" s="259">
        <f t="shared" si="17"/>
        <v>0.25255646581547897</v>
      </c>
      <c r="D37" s="259">
        <f t="shared" si="17"/>
        <v>0.25197588145570515</v>
      </c>
      <c r="E37" s="259">
        <f t="shared" si="17"/>
        <v>0.25398331410740532</v>
      </c>
      <c r="F37" s="259">
        <f t="shared" si="17"/>
        <v>0.25311455220198409</v>
      </c>
      <c r="G37" s="259">
        <f t="shared" si="17"/>
        <v>0.25254268251018935</v>
      </c>
      <c r="H37" s="259">
        <f t="shared" si="17"/>
        <v>0.25236598504078656</v>
      </c>
      <c r="I37" s="259">
        <f t="shared" si="17"/>
        <v>0.25383229944209584</v>
      </c>
      <c r="J37" s="259">
        <f t="shared" si="17"/>
        <v>0.25585697727104673</v>
      </c>
      <c r="K37" s="259">
        <f t="shared" si="17"/>
        <v>0.2496962448500212</v>
      </c>
      <c r="L37" s="259">
        <f t="shared" si="17"/>
        <v>0.24630759149901993</v>
      </c>
      <c r="M37" s="259">
        <f t="shared" si="17"/>
        <v>0.24368276407054457</v>
      </c>
      <c r="N37" s="259">
        <f t="shared" si="17"/>
        <v>0.24204718475029344</v>
      </c>
      <c r="O37" s="259">
        <f t="shared" si="17"/>
        <v>0.23633642470265917</v>
      </c>
      <c r="P37" s="259">
        <f t="shared" si="17"/>
        <v>0.23094850251497356</v>
      </c>
      <c r="Q37" s="259">
        <f t="shared" si="17"/>
        <v>0.22826012099325155</v>
      </c>
      <c r="R37" s="259">
        <f t="shared" si="17"/>
        <v>0.23010591956146359</v>
      </c>
      <c r="S37" s="259">
        <f t="shared" si="17"/>
        <v>0.2328591198096881</v>
      </c>
      <c r="T37" s="259">
        <f t="shared" si="17"/>
        <v>0.23683973270554676</v>
      </c>
      <c r="U37" s="259">
        <f t="shared" si="17"/>
        <v>0.23827311074423202</v>
      </c>
      <c r="V37" s="259">
        <f t="shared" si="17"/>
        <v>0.23589656003457346</v>
      </c>
      <c r="W37" s="259">
        <f t="shared" si="17"/>
        <v>0.23722607010793648</v>
      </c>
      <c r="X37" s="259">
        <f t="shared" si="17"/>
        <v>0.25500591156099517</v>
      </c>
      <c r="Y37" s="259">
        <f t="shared" si="17"/>
        <v>0.2499683247172429</v>
      </c>
      <c r="DA37" s="278"/>
    </row>
    <row r="38" spans="1:105" x14ac:dyDescent="0.25">
      <c r="A38" s="127" t="s">
        <v>167</v>
      </c>
      <c r="B38" s="259">
        <f t="shared" ref="B38:Y38" si="18">IF(B$25=0,0,B$25/B$5)</f>
        <v>3.1610503916819147E-2</v>
      </c>
      <c r="C38" s="259">
        <f t="shared" si="18"/>
        <v>3.136722203253918E-2</v>
      </c>
      <c r="D38" s="259">
        <f t="shared" si="18"/>
        <v>3.1295114124064764E-2</v>
      </c>
      <c r="E38" s="259">
        <f t="shared" si="18"/>
        <v>3.1544434946233914E-2</v>
      </c>
      <c r="F38" s="259">
        <f t="shared" si="18"/>
        <v>3.1436535718658121E-2</v>
      </c>
      <c r="G38" s="259">
        <f t="shared" si="18"/>
        <v>3.136551016190476E-2</v>
      </c>
      <c r="H38" s="259">
        <f t="shared" si="18"/>
        <v>3.134356453981408E-2</v>
      </c>
      <c r="I38" s="259">
        <f t="shared" si="18"/>
        <v>3.1525679098817233E-2</v>
      </c>
      <c r="J38" s="259">
        <f t="shared" si="18"/>
        <v>3.1777141752129222E-2</v>
      </c>
      <c r="K38" s="259">
        <f t="shared" si="18"/>
        <v>3.1011985884472456E-2</v>
      </c>
      <c r="L38" s="259">
        <f t="shared" si="18"/>
        <v>3.0591119043035804E-2</v>
      </c>
      <c r="M38" s="259">
        <f t="shared" si="18"/>
        <v>3.0265118501017454E-2</v>
      </c>
      <c r="N38" s="259">
        <f t="shared" si="18"/>
        <v>3.0061981434126306E-2</v>
      </c>
      <c r="O38" s="259">
        <f t="shared" si="18"/>
        <v>2.935271161673994E-2</v>
      </c>
      <c r="P38" s="259">
        <f t="shared" si="18"/>
        <v>2.8683537889551899E-2</v>
      </c>
      <c r="Q38" s="259">
        <f t="shared" si="18"/>
        <v>2.8349644002385932E-2</v>
      </c>
      <c r="R38" s="259">
        <f t="shared" si="18"/>
        <v>2.8578890057637397E-2</v>
      </c>
      <c r="S38" s="259">
        <f t="shared" si="18"/>
        <v>2.8920834355944128E-2</v>
      </c>
      <c r="T38" s="259">
        <f t="shared" si="18"/>
        <v>2.9415221890734897E-2</v>
      </c>
      <c r="U38" s="259">
        <f t="shared" si="18"/>
        <v>2.9593245791452831E-2</v>
      </c>
      <c r="V38" s="259">
        <f t="shared" si="18"/>
        <v>2.929808093182135E-2</v>
      </c>
      <c r="W38" s="259">
        <f t="shared" si="18"/>
        <v>2.9463204550933698E-2</v>
      </c>
      <c r="X38" s="259">
        <f t="shared" si="18"/>
        <v>3.1671440371626974E-2</v>
      </c>
      <c r="Y38" s="259">
        <f t="shared" si="18"/>
        <v>3.1045777890462763E-2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2.9086031135585038E-2</v>
      </c>
      <c r="C39" s="259">
        <f t="shared" si="19"/>
        <v>2.9905670653251937E-2</v>
      </c>
      <c r="D39" s="259">
        <f t="shared" si="19"/>
        <v>3.0143179691076695E-2</v>
      </c>
      <c r="E39" s="259">
        <f t="shared" si="19"/>
        <v>2.9311435957590976E-2</v>
      </c>
      <c r="F39" s="259">
        <f t="shared" si="19"/>
        <v>2.9675035221776235E-2</v>
      </c>
      <c r="G39" s="259">
        <f t="shared" si="19"/>
        <v>2.9911337804599834E-2</v>
      </c>
      <c r="H39" s="259">
        <f t="shared" si="19"/>
        <v>2.9983865496587162E-2</v>
      </c>
      <c r="I39" s="259">
        <f t="shared" si="19"/>
        <v>2.9375040956331207E-2</v>
      </c>
      <c r="J39" s="259">
        <f t="shared" si="19"/>
        <v>2.8508119441947734E-2</v>
      </c>
      <c r="K39" s="259">
        <f t="shared" si="19"/>
        <v>3.1052116654075847E-2</v>
      </c>
      <c r="L39" s="259">
        <f t="shared" si="19"/>
        <v>3.2335257135713377E-2</v>
      </c>
      <c r="M39" s="259">
        <f t="shared" si="19"/>
        <v>3.3275251924232425E-2</v>
      </c>
      <c r="N39" s="259">
        <f t="shared" si="19"/>
        <v>3.3838035062428079E-2</v>
      </c>
      <c r="O39" s="259">
        <f t="shared" si="19"/>
        <v>3.5672073223388855E-2</v>
      </c>
      <c r="P39" s="259">
        <f t="shared" si="19"/>
        <v>3.7229313187642846E-2</v>
      </c>
      <c r="Q39" s="259">
        <f t="shared" si="19"/>
        <v>3.7948842913667562E-2</v>
      </c>
      <c r="R39" s="259">
        <f t="shared" si="19"/>
        <v>3.745876964055455E-2</v>
      </c>
      <c r="S39" s="259">
        <f t="shared" si="19"/>
        <v>3.6695233881916367E-2</v>
      </c>
      <c r="T39" s="259">
        <f t="shared" si="19"/>
        <v>3.551829850809566E-2</v>
      </c>
      <c r="U39" s="259">
        <f t="shared" si="19"/>
        <v>3.5072218056499682E-2</v>
      </c>
      <c r="V39" s="259">
        <f t="shared" si="19"/>
        <v>3.5805264973711858E-2</v>
      </c>
      <c r="W39" s="259">
        <f t="shared" si="19"/>
        <v>3.5399259829339037E-2</v>
      </c>
      <c r="X39" s="259">
        <f t="shared" si="19"/>
        <v>2.8876264807587058E-2</v>
      </c>
      <c r="Y39" s="259">
        <f t="shared" si="19"/>
        <v>3.0945594209927284E-2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4.4328994729173198E-2</v>
      </c>
      <c r="C40" s="261">
        <f t="shared" si="20"/>
        <v>4.5578178424573498E-2</v>
      </c>
      <c r="D40" s="261">
        <f t="shared" si="20"/>
        <v>4.5940157576585865E-2</v>
      </c>
      <c r="E40" s="261">
        <f t="shared" si="20"/>
        <v>4.4672526272547197E-2</v>
      </c>
      <c r="F40" s="261">
        <f t="shared" si="20"/>
        <v>4.5226675093693172E-2</v>
      </c>
      <c r="G40" s="261">
        <f t="shared" si="20"/>
        <v>4.5586815530167579E-2</v>
      </c>
      <c r="H40" s="261">
        <f t="shared" si="20"/>
        <v>4.5697352428819629E-2</v>
      </c>
      <c r="I40" s="261">
        <f t="shared" si="20"/>
        <v>4.4769464408959202E-2</v>
      </c>
      <c r="J40" s="261">
        <f t="shared" si="20"/>
        <v>4.3448219889121779E-2</v>
      </c>
      <c r="K40" s="261">
        <f t="shared" si="20"/>
        <v>4.7325436360553225E-2</v>
      </c>
      <c r="L40" s="261">
        <f t="shared" si="20"/>
        <v>4.9281025536063311E-2</v>
      </c>
      <c r="M40" s="261">
        <f t="shared" si="20"/>
        <v>5.0713638457072378E-2</v>
      </c>
      <c r="N40" s="261">
        <f t="shared" si="20"/>
        <v>5.1571356399078602E-2</v>
      </c>
      <c r="O40" s="261">
        <f t="shared" si="20"/>
        <v>5.4366549307706985E-2</v>
      </c>
      <c r="P40" s="261">
        <f t="shared" si="20"/>
        <v>5.6739883842270494E-2</v>
      </c>
      <c r="Q40" s="261">
        <f t="shared" si="20"/>
        <v>5.7836493733243538E-2</v>
      </c>
      <c r="R40" s="261">
        <f t="shared" si="20"/>
        <v>5.7089590333482133E-2</v>
      </c>
      <c r="S40" s="261">
        <f t="shared" si="20"/>
        <v>5.5925912399479041E-2</v>
      </c>
      <c r="T40" s="261">
        <f t="shared" si="20"/>
        <v>5.4132186684909274E-2</v>
      </c>
      <c r="U40" s="261">
        <f t="shared" si="20"/>
        <v>5.3452331193611501E-2</v>
      </c>
      <c r="V40" s="261">
        <f t="shared" si="20"/>
        <v>5.4569542159172882E-2</v>
      </c>
      <c r="W40" s="261">
        <f t="shared" si="20"/>
        <v>5.3950764030901488E-2</v>
      </c>
      <c r="X40" s="261">
        <f t="shared" si="20"/>
        <v>4.4009297263237247E-2</v>
      </c>
      <c r="Y40" s="261">
        <f t="shared" si="20"/>
        <v>4.7163089258496285E-2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0.38128516026982651</v>
      </c>
      <c r="C44" s="237">
        <f>IF(C$5=0,0,C$5/AGR_fec!C$5)</f>
        <v>0.3823951950246246</v>
      </c>
      <c r="D44" s="237">
        <f>IF(D$5=0,0,D$5/AGR_fec!D$5)</f>
        <v>0.38272948192883105</v>
      </c>
      <c r="E44" s="237">
        <f>IF(E$5=0,0,E$5/AGR_fec!E$5)</f>
        <v>0.38158389453466984</v>
      </c>
      <c r="F44" s="237">
        <f>IF(F$5=0,0,F$5/AGR_fec!F$5)</f>
        <v>0.38207613281676978</v>
      </c>
      <c r="G44" s="237">
        <f>IF(G$5=0,0,G$5/AGR_fec!G$5)</f>
        <v>0.38240310323066601</v>
      </c>
      <c r="H44" s="237">
        <f>IF(H$5=0,0,H$5/AGR_fec!H$5)</f>
        <v>0.38250460409953962</v>
      </c>
      <c r="I44" s="237">
        <f>IF(I$5=0,0,I$5/AGR_fec!I$5)</f>
        <v>0.38166907037771031</v>
      </c>
      <c r="J44" s="237">
        <f>IF(J$5=0,0,J$5/AGR_fec!J$5)</f>
        <v>0.38054073777200581</v>
      </c>
      <c r="K44" s="237">
        <f>IF(K$5=0,0,K$5/AGR_fec!K$5)</f>
        <v>0.38406523851816665</v>
      </c>
      <c r="L44" s="237">
        <f>IF(L$5=0,0,L$5/AGR_fec!L$5)</f>
        <v>0.38611845051683141</v>
      </c>
      <c r="M44" s="237">
        <f>IF(M$5=0,0,M$5/AGR_fec!M$5)</f>
        <v>0.38776348504248598</v>
      </c>
      <c r="N44" s="237">
        <f>IF(N$5=0,0,N$5/AGR_fec!N$5)</f>
        <v>0.38881220375133169</v>
      </c>
      <c r="O44" s="237">
        <f>IF(O$5=0,0,O$5/AGR_fec!O$5)</f>
        <v>0.39261229690737925</v>
      </c>
      <c r="P44" s="237">
        <f>IF(P$5=0,0,P$5/AGR_fec!P$5)</f>
        <v>0.39638663912835925</v>
      </c>
      <c r="Q44" s="237">
        <f>IF(Q$5=0,0,Q$5/AGR_fec!Q$5)</f>
        <v>0.39833514388269253</v>
      </c>
      <c r="R44" s="237">
        <f>IF(R$5=0,0,R$5/AGR_fec!R$5)</f>
        <v>0.39699277214031892</v>
      </c>
      <c r="S44" s="237">
        <f>IF(S$5=0,0,S$5/AGR_fec!S$5)</f>
        <v>0.39502789655930098</v>
      </c>
      <c r="T44" s="237">
        <f>IF(T$5=0,0,T$5/AGR_fec!T$5)</f>
        <v>0.39226892344234021</v>
      </c>
      <c r="U44" s="237">
        <f>IF(U$5=0,0,U$5/AGR_fec!U$5)</f>
        <v>0.39129987122642301</v>
      </c>
      <c r="V44" s="237">
        <f>IF(V$5=0,0,V$5/AGR_fec!V$5)</f>
        <v>0.39291369827178785</v>
      </c>
      <c r="W44" s="237">
        <f>IF(W$5=0,0,W$5/AGR_fec!W$5)</f>
        <v>0.39200644247279059</v>
      </c>
      <c r="X44" s="237">
        <f>IF(X$5=0,0,X$5/AGR_fec!X$5)</f>
        <v>0.38101143595584663</v>
      </c>
      <c r="Y44" s="237">
        <f>IF(Y$5=0,0,Y$5/AGR_fec!Y$5)</f>
        <v>0.3839038772565444</v>
      </c>
      <c r="DA44" s="286"/>
    </row>
    <row r="45" spans="1:105" x14ac:dyDescent="0.25">
      <c r="A45" s="238" t="s">
        <v>125</v>
      </c>
      <c r="B45" s="250">
        <f>IF(B$6=0,0,B$6/AGR_fec!B$6)</f>
        <v>0.46426225400243681</v>
      </c>
      <c r="C45" s="250">
        <f>IF(C$6=0,0,C$6/AGR_fec!C$6)</f>
        <v>0.4642622540024367</v>
      </c>
      <c r="D45" s="250">
        <f>IF(D$6=0,0,D$6/AGR_fec!D$6)</f>
        <v>0.4642622540024367</v>
      </c>
      <c r="E45" s="250">
        <f>IF(E$6=0,0,E$6/AGR_fec!E$6)</f>
        <v>0.46426225400243676</v>
      </c>
      <c r="F45" s="250">
        <f>IF(F$6=0,0,F$6/AGR_fec!F$6)</f>
        <v>0.4642622540024367</v>
      </c>
      <c r="G45" s="250">
        <f>IF(G$6=0,0,G$6/AGR_fec!G$6)</f>
        <v>0.46426225400243687</v>
      </c>
      <c r="H45" s="250">
        <f>IF(H$6=0,0,H$6/AGR_fec!H$6)</f>
        <v>0.46426225400243676</v>
      </c>
      <c r="I45" s="250">
        <f>IF(I$6=0,0,I$6/AGR_fec!I$6)</f>
        <v>0.46426225400243676</v>
      </c>
      <c r="J45" s="250">
        <f>IF(J$6=0,0,J$6/AGR_fec!J$6)</f>
        <v>0.46426225400243676</v>
      </c>
      <c r="K45" s="250">
        <f>IF(K$6=0,0,K$6/AGR_fec!K$6)</f>
        <v>0.46426225400243681</v>
      </c>
      <c r="L45" s="250">
        <f>IF(L$6=0,0,L$6/AGR_fec!L$6)</f>
        <v>0.4642622540024367</v>
      </c>
      <c r="M45" s="250">
        <f>IF(M$6=0,0,M$6/AGR_fec!M$6)</f>
        <v>0.4642622540024367</v>
      </c>
      <c r="N45" s="250">
        <f>IF(N$6=0,0,N$6/AGR_fec!N$6)</f>
        <v>0.46426225400243665</v>
      </c>
      <c r="O45" s="250">
        <f>IF(O$6=0,0,O$6/AGR_fec!O$6)</f>
        <v>0.4642622540024367</v>
      </c>
      <c r="P45" s="250">
        <f>IF(P$6=0,0,P$6/AGR_fec!P$6)</f>
        <v>0.46426225400243665</v>
      </c>
      <c r="Q45" s="250">
        <f>IF(Q$6=0,0,Q$6/AGR_fec!Q$6)</f>
        <v>0.4642622540024367</v>
      </c>
      <c r="R45" s="250">
        <f>IF(R$6=0,0,R$6/AGR_fec!R$6)</f>
        <v>0.46426225400243676</v>
      </c>
      <c r="S45" s="250">
        <f>IF(S$6=0,0,S$6/AGR_fec!S$6)</f>
        <v>0.46426225400243676</v>
      </c>
      <c r="T45" s="250">
        <f>IF(T$6=0,0,T$6/AGR_fec!T$6)</f>
        <v>0.46426225400243676</v>
      </c>
      <c r="U45" s="250">
        <f>IF(U$6=0,0,U$6/AGR_fec!U$6)</f>
        <v>0.4642622540024367</v>
      </c>
      <c r="V45" s="250">
        <f>IF(V$6=0,0,V$6/AGR_fec!V$6)</f>
        <v>0.46426225400243676</v>
      </c>
      <c r="W45" s="250">
        <f>IF(W$6=0,0,W$6/AGR_fec!W$6)</f>
        <v>0.4642622540024367</v>
      </c>
      <c r="X45" s="250">
        <f>IF(X$6=0,0,X$6/AGR_fec!X$6)</f>
        <v>0.46426225400243676</v>
      </c>
      <c r="Y45" s="250">
        <f>IF(Y$6=0,0,Y$6/AGR_fec!Y$6)</f>
        <v>0.46426225400243676</v>
      </c>
      <c r="DA45" s="287"/>
    </row>
    <row r="46" spans="1:105" x14ac:dyDescent="0.25">
      <c r="A46" s="240" t="s">
        <v>124</v>
      </c>
      <c r="B46" s="251">
        <f>IF(B$7=0,0,B$7/AGR_fec!B$7)</f>
        <v>0.46037541037766749</v>
      </c>
      <c r="C46" s="251">
        <f>IF(C$7=0,0,C$7/AGR_fec!C$7)</f>
        <v>0.46037541037766772</v>
      </c>
      <c r="D46" s="251">
        <f>IF(D$7=0,0,D$7/AGR_fec!D$7)</f>
        <v>0.46037541037766755</v>
      </c>
      <c r="E46" s="251">
        <f>IF(E$7=0,0,E$7/AGR_fec!E$7)</f>
        <v>0.46037541037766766</v>
      </c>
      <c r="F46" s="251">
        <f>IF(F$7=0,0,F$7/AGR_fec!F$7)</f>
        <v>0.4603754103776676</v>
      </c>
      <c r="G46" s="251">
        <f>IF(G$7=0,0,G$7/AGR_fec!G$7)</f>
        <v>0.46037541037766766</v>
      </c>
      <c r="H46" s="251">
        <f>IF(H$7=0,0,H$7/AGR_fec!H$7)</f>
        <v>0.46037541037766755</v>
      </c>
      <c r="I46" s="251">
        <f>IF(I$7=0,0,I$7/AGR_fec!I$7)</f>
        <v>0.46037541037766766</v>
      </c>
      <c r="J46" s="251">
        <f>IF(J$7=0,0,J$7/AGR_fec!J$7)</f>
        <v>0.46037541037766777</v>
      </c>
      <c r="K46" s="251">
        <f>IF(K$7=0,0,K$7/AGR_fec!K$7)</f>
        <v>0.4603754103776676</v>
      </c>
      <c r="L46" s="251">
        <f>IF(L$7=0,0,L$7/AGR_fec!L$7)</f>
        <v>0.46037541037766749</v>
      </c>
      <c r="M46" s="251">
        <f>IF(M$7=0,0,M$7/AGR_fec!M$7)</f>
        <v>0.46037541037766755</v>
      </c>
      <c r="N46" s="251">
        <f>IF(N$7=0,0,N$7/AGR_fec!N$7)</f>
        <v>0.46037541037766772</v>
      </c>
      <c r="O46" s="251">
        <f>IF(O$7=0,0,O$7/AGR_fec!O$7)</f>
        <v>0.46037541037766744</v>
      </c>
      <c r="P46" s="251">
        <f>IF(P$7=0,0,P$7/AGR_fec!P$7)</f>
        <v>0.46037541037766749</v>
      </c>
      <c r="Q46" s="251">
        <f>IF(Q$7=0,0,Q$7/AGR_fec!Q$7)</f>
        <v>0.46037541037766772</v>
      </c>
      <c r="R46" s="251">
        <f>IF(R$7=0,0,R$7/AGR_fec!R$7)</f>
        <v>0.46037541037766772</v>
      </c>
      <c r="S46" s="251">
        <f>IF(S$7=0,0,S$7/AGR_fec!S$7)</f>
        <v>0.46037541037766777</v>
      </c>
      <c r="T46" s="251">
        <f>IF(T$7=0,0,T$7/AGR_fec!T$7)</f>
        <v>0.4603754103776676</v>
      </c>
      <c r="U46" s="251">
        <f>IF(U$7=0,0,U$7/AGR_fec!U$7)</f>
        <v>0.46037541037766755</v>
      </c>
      <c r="V46" s="251">
        <f>IF(V$7=0,0,V$7/AGR_fec!V$7)</f>
        <v>0.46037541037766749</v>
      </c>
      <c r="W46" s="251">
        <f>IF(W$7=0,0,W$7/AGR_fec!W$7)</f>
        <v>0.46037541037766772</v>
      </c>
      <c r="X46" s="251">
        <f>IF(X$7=0,0,X$7/AGR_fec!X$7)</f>
        <v>0.4603754103776676</v>
      </c>
      <c r="Y46" s="251">
        <f>IF(Y$7=0,0,Y$7/AGR_fec!Y$7)</f>
        <v>0.46037541037766766</v>
      </c>
      <c r="DA46" s="288"/>
    </row>
    <row r="47" spans="1:105" x14ac:dyDescent="0.25">
      <c r="A47" s="240" t="s">
        <v>123</v>
      </c>
      <c r="B47" s="251">
        <f>IF(B$8=0,0,B$8/AGR_fec!B$8)</f>
        <v>0.66074150604433279</v>
      </c>
      <c r="C47" s="251">
        <f>IF(C$8=0,0,C$8/AGR_fec!C$8)</f>
        <v>0.66074150604433268</v>
      </c>
      <c r="D47" s="251">
        <f>IF(D$8=0,0,D$8/AGR_fec!D$8)</f>
        <v>0.66074150604433279</v>
      </c>
      <c r="E47" s="251">
        <f>IF(E$8=0,0,E$8/AGR_fec!E$8)</f>
        <v>0.66074150604433268</v>
      </c>
      <c r="F47" s="251">
        <f>IF(F$8=0,0,F$8/AGR_fec!F$8)</f>
        <v>0.66074150604433279</v>
      </c>
      <c r="G47" s="251">
        <f>IF(G$8=0,0,G$8/AGR_fec!G$8)</f>
        <v>0.66074150604433268</v>
      </c>
      <c r="H47" s="251">
        <f>IF(H$8=0,0,H$8/AGR_fec!H$8)</f>
        <v>0.66074150604433268</v>
      </c>
      <c r="I47" s="251">
        <f>IF(I$8=0,0,I$8/AGR_fec!I$8)</f>
        <v>0.66074150604433279</v>
      </c>
      <c r="J47" s="251">
        <f>IF(J$8=0,0,J$8/AGR_fec!J$8)</f>
        <v>0.66074150604433257</v>
      </c>
      <c r="K47" s="251">
        <f>IF(K$8=0,0,K$8/AGR_fec!K$8)</f>
        <v>0.66074150604433268</v>
      </c>
      <c r="L47" s="251">
        <f>IF(L$8=0,0,L$8/AGR_fec!L$8)</f>
        <v>0.66074150604433268</v>
      </c>
      <c r="M47" s="251">
        <f>IF(M$8=0,0,M$8/AGR_fec!M$8)</f>
        <v>0.66074150604433268</v>
      </c>
      <c r="N47" s="251">
        <f>IF(N$8=0,0,N$8/AGR_fec!N$8)</f>
        <v>0.66074150604433268</v>
      </c>
      <c r="O47" s="251">
        <f>IF(O$8=0,0,O$8/AGR_fec!O$8)</f>
        <v>0.66074150604433279</v>
      </c>
      <c r="P47" s="251">
        <f>IF(P$8=0,0,P$8/AGR_fec!P$8)</f>
        <v>0.66074150604433279</v>
      </c>
      <c r="Q47" s="251">
        <f>IF(Q$8=0,0,Q$8/AGR_fec!Q$8)</f>
        <v>0.66074150604433279</v>
      </c>
      <c r="R47" s="251">
        <f>IF(R$8=0,0,R$8/AGR_fec!R$8)</f>
        <v>0.66074150604433268</v>
      </c>
      <c r="S47" s="251">
        <f>IF(S$8=0,0,S$8/AGR_fec!S$8)</f>
        <v>0.66074150604433279</v>
      </c>
      <c r="T47" s="251">
        <f>IF(T$8=0,0,T$8/AGR_fec!T$8)</f>
        <v>0.66074150604433279</v>
      </c>
      <c r="U47" s="251">
        <f>IF(U$8=0,0,U$8/AGR_fec!U$8)</f>
        <v>0.66074150604433268</v>
      </c>
      <c r="V47" s="251">
        <f>IF(V$8=0,0,V$8/AGR_fec!V$8)</f>
        <v>0.66074150604433257</v>
      </c>
      <c r="W47" s="251">
        <f>IF(W$8=0,0,W$8/AGR_fec!W$8)</f>
        <v>0.66074150604433279</v>
      </c>
      <c r="X47" s="251">
        <f>IF(X$8=0,0,X$8/AGR_fec!X$8)</f>
        <v>0.66074150604433257</v>
      </c>
      <c r="Y47" s="251">
        <f>IF(Y$8=0,0,Y$8/AGR_fec!Y$8)</f>
        <v>0.66074150604433279</v>
      </c>
      <c r="DA47" s="288"/>
    </row>
    <row r="48" spans="1:105" x14ac:dyDescent="0.25">
      <c r="A48" s="242" t="s">
        <v>122</v>
      </c>
      <c r="B48" s="252">
        <f>IF(B$9=0,0,B$9/AGR_fec!B$9)</f>
        <v>0.61599484974506602</v>
      </c>
      <c r="C48" s="252">
        <f>IF(C$9=0,0,C$9/AGR_fec!C$9)</f>
        <v>0.61836034115151184</v>
      </c>
      <c r="D48" s="252">
        <f>IF(D$9=0,0,D$9/AGR_fec!D$9)</f>
        <v>0.6190862404934554</v>
      </c>
      <c r="E48" s="252">
        <f>IF(E$9=0,0,E$9/AGR_fec!E$9)</f>
        <v>0.61662437058481878</v>
      </c>
      <c r="F48" s="252">
        <f>IF(F$9=0,0,F$9/AGR_fec!F$9)</f>
        <v>0.61767317291188406</v>
      </c>
      <c r="G48" s="252">
        <f>IF(G$9=0,0,G$9/AGR_fec!G$9)</f>
        <v>0.61837744435650588</v>
      </c>
      <c r="H48" s="252">
        <f>IF(H$9=0,0,H$9/AGR_fec!H$9)</f>
        <v>0.61859726285203021</v>
      </c>
      <c r="I48" s="252">
        <f>IF(I$9=0,0,I$9/AGR_fec!I$9)</f>
        <v>0.61680484222060272</v>
      </c>
      <c r="J48" s="252">
        <f>IF(J$9=0,0,J$9/AGR_fec!J$9)</f>
        <v>0.61445039741093443</v>
      </c>
      <c r="K48" s="252">
        <f>IF(K$9=0,0,K$9/AGR_fec!K$9)</f>
        <v>0.62204310319444578</v>
      </c>
      <c r="L48" s="252">
        <f>IF(L$9=0,0,L$9/AGR_fec!L$9)</f>
        <v>0.62673977218807586</v>
      </c>
      <c r="M48" s="252">
        <f>IF(M$9=0,0,M$9/AGR_fec!M$9)</f>
        <v>0.63060959469971956</v>
      </c>
      <c r="N48" s="252">
        <f>IF(N$9=0,0,N$9/AGR_fec!N$9)</f>
        <v>0.63311615636885987</v>
      </c>
      <c r="O48" s="252">
        <f>IF(O$9=0,0,O$9/AGR_fec!O$9)</f>
        <v>0.64237950441189828</v>
      </c>
      <c r="P48" s="252">
        <f>IF(P$9=0,0,P$9/AGR_fec!P$9)</f>
        <v>0.65172806402131989</v>
      </c>
      <c r="Q48" s="252">
        <f>IF(Q$9=0,0,Q$9/AGR_fec!Q$9)</f>
        <v>0.65656481597022598</v>
      </c>
      <c r="R48" s="252">
        <f>IF(R$9=0,0,R$9/AGR_fec!R$9)</f>
        <v>0.65323325172384406</v>
      </c>
      <c r="S48" s="252">
        <f>IF(S$9=0,0,S$9/AGR_fec!S$9)</f>
        <v>0.64835523455380517</v>
      </c>
      <c r="T48" s="252">
        <f>IF(T$9=0,0,T$9/AGR_fec!T$9)</f>
        <v>0.64153391829048478</v>
      </c>
      <c r="U48" s="252">
        <f>IF(U$9=0,0,U$9/AGR_fec!U$9)</f>
        <v>0.63915500661210956</v>
      </c>
      <c r="V48" s="252">
        <f>IF(V$9=0,0,V$9/AGR_fec!V$9)</f>
        <v>0.64312271373214103</v>
      </c>
      <c r="W48" s="252">
        <f>IF(W$9=0,0,W$9/AGR_fec!W$9)</f>
        <v>0.64088841250392137</v>
      </c>
      <c r="X48" s="252">
        <f>IF(X$9=0,0,X$9/AGR_fec!X$9)</f>
        <v>0.61542284629841204</v>
      </c>
      <c r="Y48" s="252">
        <f>IF(Y$9=0,0,Y$9/AGR_fec!Y$9)</f>
        <v>0.62168140315763376</v>
      </c>
      <c r="DA48" s="289"/>
    </row>
    <row r="49" spans="1:105" x14ac:dyDescent="0.25">
      <c r="A49" s="127" t="s">
        <v>168</v>
      </c>
      <c r="B49" s="264">
        <f>IF(B$16=0,0,B$16/AGR_fec!B$16)</f>
        <v>0.33221664915029436</v>
      </c>
      <c r="C49" s="264">
        <f>IF(C$16=0,0,C$16/AGR_fec!C$16)</f>
        <v>0.33221664915029442</v>
      </c>
      <c r="D49" s="264">
        <f>IF(D$16=0,0,D$16/AGR_fec!D$16)</f>
        <v>0.33221664915029447</v>
      </c>
      <c r="E49" s="264">
        <f>IF(E$16=0,0,E$16/AGR_fec!E$16)</f>
        <v>0.33221664915029453</v>
      </c>
      <c r="F49" s="264">
        <f>IF(F$16=0,0,F$16/AGR_fec!F$16)</f>
        <v>0.33221664915029436</v>
      </c>
      <c r="G49" s="264">
        <f>IF(G$16=0,0,G$16/AGR_fec!G$16)</f>
        <v>0.33221664915029447</v>
      </c>
      <c r="H49" s="264">
        <f>IF(H$16=0,0,H$16/AGR_fec!H$16)</f>
        <v>0.33221664915029447</v>
      </c>
      <c r="I49" s="264">
        <f>IF(I$16=0,0,I$16/AGR_fec!I$16)</f>
        <v>0.33221664915029442</v>
      </c>
      <c r="J49" s="264">
        <f>IF(J$16=0,0,J$16/AGR_fec!J$16)</f>
        <v>0.33221664915029447</v>
      </c>
      <c r="K49" s="264">
        <f>IF(K$16=0,0,K$16/AGR_fec!K$16)</f>
        <v>0.33221664915029442</v>
      </c>
      <c r="L49" s="264">
        <f>IF(L$16=0,0,L$16/AGR_fec!L$16)</f>
        <v>0.33221664915029442</v>
      </c>
      <c r="M49" s="264">
        <f>IF(M$16=0,0,M$16/AGR_fec!M$16)</f>
        <v>0.33221664915029447</v>
      </c>
      <c r="N49" s="264">
        <f>IF(N$16=0,0,N$16/AGR_fec!N$16)</f>
        <v>0.33221664915029447</v>
      </c>
      <c r="O49" s="264">
        <f>IF(O$16=0,0,O$16/AGR_fec!O$16)</f>
        <v>0.33221664915029447</v>
      </c>
      <c r="P49" s="264">
        <f>IF(P$16=0,0,P$16/AGR_fec!P$16)</f>
        <v>0.33221664915029447</v>
      </c>
      <c r="Q49" s="264">
        <f>IF(Q$16=0,0,Q$16/AGR_fec!Q$16)</f>
        <v>0.33221664915029431</v>
      </c>
      <c r="R49" s="264">
        <f>IF(R$16=0,0,R$16/AGR_fec!R$16)</f>
        <v>0.33221664915029436</v>
      </c>
      <c r="S49" s="264">
        <f>IF(S$16=0,0,S$16/AGR_fec!S$16)</f>
        <v>0.33221664915029436</v>
      </c>
      <c r="T49" s="264">
        <f>IF(T$16=0,0,T$16/AGR_fec!T$16)</f>
        <v>0.33221664915029436</v>
      </c>
      <c r="U49" s="264">
        <f>IF(U$16=0,0,U$16/AGR_fec!U$16)</f>
        <v>0.33221664915029447</v>
      </c>
      <c r="V49" s="264">
        <f>IF(V$16=0,0,V$16/AGR_fec!V$16)</f>
        <v>0.33221664915029447</v>
      </c>
      <c r="W49" s="264">
        <f>IF(W$16=0,0,W$16/AGR_fec!W$16)</f>
        <v>0.33221664915029436</v>
      </c>
      <c r="X49" s="264">
        <f>IF(X$16=0,0,X$16/AGR_fec!X$16)</f>
        <v>0.33221664915029447</v>
      </c>
      <c r="Y49" s="264">
        <f>IF(Y$16=0,0,Y$16/AGR_fec!Y$16)</f>
        <v>0.33221664915029442</v>
      </c>
      <c r="DA49" s="290"/>
    </row>
    <row r="50" spans="1:105" x14ac:dyDescent="0.25">
      <c r="A50" s="127" t="s">
        <v>121</v>
      </c>
      <c r="B50" s="264">
        <f>IF(B$17=0,0,B$17/AGR_fec!B$17)</f>
        <v>0.26944461684497911</v>
      </c>
      <c r="C50" s="264">
        <f>IF(C$17=0,0,C$17/AGR_fec!C$17)</f>
        <v>0.26944461684497917</v>
      </c>
      <c r="D50" s="264">
        <f>IF(D$17=0,0,D$17/AGR_fec!D$17)</f>
        <v>0.269444616844979</v>
      </c>
      <c r="E50" s="264">
        <f>IF(E$17=0,0,E$17/AGR_fec!E$17)</f>
        <v>0.26944461684497906</v>
      </c>
      <c r="F50" s="264">
        <f>IF(F$17=0,0,F$17/AGR_fec!F$17)</f>
        <v>0.26944461684497922</v>
      </c>
      <c r="G50" s="264">
        <f>IF(G$17=0,0,G$17/AGR_fec!G$17)</f>
        <v>0.26944461684497911</v>
      </c>
      <c r="H50" s="264">
        <f>IF(H$17=0,0,H$17/AGR_fec!H$17)</f>
        <v>0.269444616844979</v>
      </c>
      <c r="I50" s="264">
        <f>IF(I$17=0,0,I$17/AGR_fec!I$17)</f>
        <v>0.26944461684497906</v>
      </c>
      <c r="J50" s="264">
        <f>IF(J$17=0,0,J$17/AGR_fec!J$17)</f>
        <v>0.26944461684497906</v>
      </c>
      <c r="K50" s="264">
        <f>IF(K$17=0,0,K$17/AGR_fec!K$17)</f>
        <v>0.26944461684497906</v>
      </c>
      <c r="L50" s="264">
        <f>IF(L$17=0,0,L$17/AGR_fec!L$17)</f>
        <v>0.26944461684497911</v>
      </c>
      <c r="M50" s="264">
        <f>IF(M$17=0,0,M$17/AGR_fec!M$17)</f>
        <v>0.26944461684497906</v>
      </c>
      <c r="N50" s="264">
        <f>IF(N$17=0,0,N$17/AGR_fec!N$17)</f>
        <v>0.26944461684497917</v>
      </c>
      <c r="O50" s="264">
        <f>IF(O$17=0,0,O$17/AGR_fec!O$17)</f>
        <v>0.26944461684497906</v>
      </c>
      <c r="P50" s="264">
        <f>IF(P$17=0,0,P$17/AGR_fec!P$17)</f>
        <v>0.26944461684497911</v>
      </c>
      <c r="Q50" s="264">
        <f>IF(Q$17=0,0,Q$17/AGR_fec!Q$17)</f>
        <v>0.26944461684497906</v>
      </c>
      <c r="R50" s="264">
        <f>IF(R$17=0,0,R$17/AGR_fec!R$17)</f>
        <v>0.26944461684497911</v>
      </c>
      <c r="S50" s="264">
        <f>IF(S$17=0,0,S$17/AGR_fec!S$17)</f>
        <v>0.26944461684497906</v>
      </c>
      <c r="T50" s="264">
        <f>IF(T$17=0,0,T$17/AGR_fec!T$17)</f>
        <v>0.26944461684497906</v>
      </c>
      <c r="U50" s="264">
        <f>IF(U$17=0,0,U$17/AGR_fec!U$17)</f>
        <v>0.26944461684497917</v>
      </c>
      <c r="V50" s="264">
        <f>IF(V$17=0,0,V$17/AGR_fec!V$17)</f>
        <v>0.26944461684497906</v>
      </c>
      <c r="W50" s="264">
        <f>IF(W$17=0,0,W$17/AGR_fec!W$17)</f>
        <v>0.26944461684497911</v>
      </c>
      <c r="X50" s="264">
        <f>IF(X$17=0,0,X$17/AGR_fec!X$17)</f>
        <v>0.26944461684497911</v>
      </c>
      <c r="Y50" s="264">
        <f>IF(Y$17=0,0,Y$17/AGR_fec!Y$17)</f>
        <v>0.26944461684497911</v>
      </c>
      <c r="DA50" s="290"/>
    </row>
    <row r="51" spans="1:105" x14ac:dyDescent="0.25">
      <c r="A51" s="127" t="s">
        <v>167</v>
      </c>
      <c r="B51" s="264">
        <f>IF(B$25=0,0,B$25/AGR_fec!B$25)</f>
        <v>0.23255165440520617</v>
      </c>
      <c r="C51" s="264">
        <f>IF(C$25=0,0,C$25/AGR_fec!C$25)</f>
        <v>0.23255165440520603</v>
      </c>
      <c r="D51" s="264">
        <f>IF(D$25=0,0,D$25/AGR_fec!D$25)</f>
        <v>0.23255165440520606</v>
      </c>
      <c r="E51" s="264">
        <f>IF(E$25=0,0,E$25/AGR_fec!E$25)</f>
        <v>0.23255165440520606</v>
      </c>
      <c r="F51" s="264">
        <f>IF(F$25=0,0,F$25/AGR_fec!F$25)</f>
        <v>0.23255165440520609</v>
      </c>
      <c r="G51" s="264">
        <f>IF(G$25=0,0,G$25/AGR_fec!G$25)</f>
        <v>0.23255165440520606</v>
      </c>
      <c r="H51" s="264">
        <f>IF(H$25=0,0,H$25/AGR_fec!H$25)</f>
        <v>0.23255165440520614</v>
      </c>
      <c r="I51" s="264">
        <f>IF(I$25=0,0,I$25/AGR_fec!I$25)</f>
        <v>0.23255165440520606</v>
      </c>
      <c r="J51" s="264">
        <f>IF(J$25=0,0,J$25/AGR_fec!J$25)</f>
        <v>0.23255165440520603</v>
      </c>
      <c r="K51" s="264">
        <f>IF(K$25=0,0,K$25/AGR_fec!K$25)</f>
        <v>0.23255165440520603</v>
      </c>
      <c r="L51" s="264">
        <f>IF(L$25=0,0,L$25/AGR_fec!L$25)</f>
        <v>0.23255165440520609</v>
      </c>
      <c r="M51" s="264">
        <f>IF(M$25=0,0,M$25/AGR_fec!M$25)</f>
        <v>0.232551654405206</v>
      </c>
      <c r="N51" s="264">
        <f>IF(N$25=0,0,N$25/AGR_fec!N$25)</f>
        <v>0.23255165440520603</v>
      </c>
      <c r="O51" s="264">
        <f>IF(O$25=0,0,O$25/AGR_fec!O$25)</f>
        <v>0.2325516544052062</v>
      </c>
      <c r="P51" s="264">
        <f>IF(P$25=0,0,P$25/AGR_fec!P$25)</f>
        <v>0.23255165440520614</v>
      </c>
      <c r="Q51" s="264">
        <f>IF(Q$25=0,0,Q$25/AGR_fec!Q$25)</f>
        <v>0.23255165440520606</v>
      </c>
      <c r="R51" s="264">
        <f>IF(R$25=0,0,R$25/AGR_fec!R$25)</f>
        <v>0.23255165440520614</v>
      </c>
      <c r="S51" s="264">
        <f>IF(S$25=0,0,S$25/AGR_fec!S$25)</f>
        <v>0.23255165440520612</v>
      </c>
      <c r="T51" s="264">
        <f>IF(T$25=0,0,T$25/AGR_fec!T$25)</f>
        <v>0.23255165440520612</v>
      </c>
      <c r="U51" s="264">
        <f>IF(U$25=0,0,U$25/AGR_fec!U$25)</f>
        <v>0.2325516544052062</v>
      </c>
      <c r="V51" s="264">
        <f>IF(V$25=0,0,V$25/AGR_fec!V$25)</f>
        <v>0.23255165440520603</v>
      </c>
      <c r="W51" s="264">
        <f>IF(W$25=0,0,W$25/AGR_fec!W$25)</f>
        <v>0.23255165440520617</v>
      </c>
      <c r="X51" s="264">
        <f>IF(X$25=0,0,X$25/AGR_fec!X$25)</f>
        <v>0.23255165440520609</v>
      </c>
      <c r="Y51" s="264">
        <f>IF(Y$25=0,0,Y$25/AGR_fec!Y$25)</f>
        <v>0.23255165440520603</v>
      </c>
      <c r="DA51" s="290"/>
    </row>
    <row r="52" spans="1:105" x14ac:dyDescent="0.25">
      <c r="A52" s="127" t="s">
        <v>170</v>
      </c>
      <c r="B52" s="264">
        <f>IF(B$26=0,0,B$26/AGR_fec!B$26)</f>
        <v>0.46037541037766766</v>
      </c>
      <c r="C52" s="264">
        <f>IF(C$26=0,0,C$26/AGR_fec!C$26)</f>
        <v>0.46037541037766772</v>
      </c>
      <c r="D52" s="264">
        <f>IF(D$26=0,0,D$26/AGR_fec!D$26)</f>
        <v>0.46037541037766766</v>
      </c>
      <c r="E52" s="264">
        <f>IF(E$26=0,0,E$26/AGR_fec!E$26)</f>
        <v>0.46037541037766744</v>
      </c>
      <c r="F52" s="264">
        <f>IF(F$26=0,0,F$26/AGR_fec!F$26)</f>
        <v>0.46037541037766755</v>
      </c>
      <c r="G52" s="264">
        <f>IF(G$26=0,0,G$26/AGR_fec!G$26)</f>
        <v>0.46037541037766749</v>
      </c>
      <c r="H52" s="264">
        <f>IF(H$26=0,0,H$26/AGR_fec!H$26)</f>
        <v>0.46037541037766766</v>
      </c>
      <c r="I52" s="264">
        <f>IF(I$26=0,0,I$26/AGR_fec!I$26)</f>
        <v>0.4603754103776676</v>
      </c>
      <c r="J52" s="264">
        <f>IF(J$26=0,0,J$26/AGR_fec!J$26)</f>
        <v>0.46037541037766755</v>
      </c>
      <c r="K52" s="264">
        <f>IF(K$26=0,0,K$26/AGR_fec!K$26)</f>
        <v>0.46037541037766766</v>
      </c>
      <c r="L52" s="264">
        <f>IF(L$26=0,0,L$26/AGR_fec!L$26)</f>
        <v>0.46037541037766766</v>
      </c>
      <c r="M52" s="264">
        <f>IF(M$26=0,0,M$26/AGR_fec!M$26)</f>
        <v>0.46037541037766755</v>
      </c>
      <c r="N52" s="264">
        <f>IF(N$26=0,0,N$26/AGR_fec!N$26)</f>
        <v>0.4603754103776676</v>
      </c>
      <c r="O52" s="264">
        <f>IF(O$26=0,0,O$26/AGR_fec!O$26)</f>
        <v>0.46037541037766766</v>
      </c>
      <c r="P52" s="264">
        <f>IF(P$26=0,0,P$26/AGR_fec!P$26)</f>
        <v>0.46037541037766772</v>
      </c>
      <c r="Q52" s="264">
        <f>IF(Q$26=0,0,Q$26/AGR_fec!Q$26)</f>
        <v>0.46037541037766772</v>
      </c>
      <c r="R52" s="264">
        <f>IF(R$26=0,0,R$26/AGR_fec!R$26)</f>
        <v>0.46037541037766749</v>
      </c>
      <c r="S52" s="264">
        <f>IF(S$26=0,0,S$26/AGR_fec!S$26)</f>
        <v>0.46037541037766755</v>
      </c>
      <c r="T52" s="264">
        <f>IF(T$26=0,0,T$26/AGR_fec!T$26)</f>
        <v>0.46037541037766766</v>
      </c>
      <c r="U52" s="264">
        <f>IF(U$26=0,0,U$26/AGR_fec!U$26)</f>
        <v>0.46037541037766755</v>
      </c>
      <c r="V52" s="264">
        <f>IF(V$26=0,0,V$26/AGR_fec!V$26)</f>
        <v>0.4603754103776676</v>
      </c>
      <c r="W52" s="264">
        <f>IF(W$26=0,0,W$26/AGR_fec!W$26)</f>
        <v>0.4603754103776676</v>
      </c>
      <c r="X52" s="264">
        <f>IF(X$26=0,0,X$26/AGR_fec!X$26)</f>
        <v>0.4603754103776676</v>
      </c>
      <c r="Y52" s="264">
        <f>IF(Y$26=0,0,Y$26/AGR_fec!Y$26)</f>
        <v>0.4603754103776676</v>
      </c>
      <c r="DA52" s="290"/>
    </row>
    <row r="53" spans="1:105" x14ac:dyDescent="0.25">
      <c r="A53" s="260" t="s">
        <v>33</v>
      </c>
      <c r="B53" s="265">
        <f>IF(B$27=0,0,B$27/AGR_fec!B$27)</f>
        <v>0.4838909890062163</v>
      </c>
      <c r="C53" s="265">
        <f>IF(C$27=0,0,C$27/AGR_fec!C$27)</f>
        <v>0.48389098900621658</v>
      </c>
      <c r="D53" s="265">
        <f>IF(D$27=0,0,D$27/AGR_fec!D$27)</f>
        <v>0.48389098900621635</v>
      </c>
      <c r="E53" s="265">
        <f>IF(E$27=0,0,E$27/AGR_fec!E$27)</f>
        <v>0.48389098900621635</v>
      </c>
      <c r="F53" s="265">
        <f>IF(F$27=0,0,F$27/AGR_fec!F$27)</f>
        <v>0.48389098900621635</v>
      </c>
      <c r="G53" s="265">
        <f>IF(G$27=0,0,G$27/AGR_fec!G$27)</f>
        <v>0.4838909890062163</v>
      </c>
      <c r="H53" s="265">
        <f>IF(H$27=0,0,H$27/AGR_fec!H$27)</f>
        <v>0.48389098900621619</v>
      </c>
      <c r="I53" s="265">
        <f>IF(I$27=0,0,I$27/AGR_fec!I$27)</f>
        <v>0.48389098900621652</v>
      </c>
      <c r="J53" s="265">
        <f>IF(J$27=0,0,J$27/AGR_fec!J$27)</f>
        <v>0.48389098900621624</v>
      </c>
      <c r="K53" s="265">
        <f>IF(K$27=0,0,K$27/AGR_fec!K$27)</f>
        <v>0.48389098900621619</v>
      </c>
      <c r="L53" s="265">
        <f>IF(L$27=0,0,L$27/AGR_fec!L$27)</f>
        <v>0.48389098900621619</v>
      </c>
      <c r="M53" s="265">
        <f>IF(M$27=0,0,M$27/AGR_fec!M$27)</f>
        <v>0.48389098900621635</v>
      </c>
      <c r="N53" s="265">
        <f>IF(N$27=0,0,N$27/AGR_fec!N$27)</f>
        <v>0.48389098900621624</v>
      </c>
      <c r="O53" s="265">
        <f>IF(O$27=0,0,O$27/AGR_fec!O$27)</f>
        <v>0.48389098900621652</v>
      </c>
      <c r="P53" s="265">
        <f>IF(P$27=0,0,P$27/AGR_fec!P$27)</f>
        <v>0.48389098900621647</v>
      </c>
      <c r="Q53" s="265">
        <f>IF(Q$27=0,0,Q$27/AGR_fec!Q$27)</f>
        <v>0.48389098900621641</v>
      </c>
      <c r="R53" s="265">
        <f>IF(R$27=0,0,R$27/AGR_fec!R$27)</f>
        <v>0.48389098900621608</v>
      </c>
      <c r="S53" s="265">
        <f>IF(S$27=0,0,S$27/AGR_fec!S$27)</f>
        <v>0.48389098900621624</v>
      </c>
      <c r="T53" s="265">
        <f>IF(T$27=0,0,T$27/AGR_fec!T$27)</f>
        <v>0.48389098900621624</v>
      </c>
      <c r="U53" s="265">
        <f>IF(U$27=0,0,U$27/AGR_fec!U$27)</f>
        <v>0.48389098900621647</v>
      </c>
      <c r="V53" s="265">
        <f>IF(V$27=0,0,V$27/AGR_fec!V$27)</f>
        <v>0.48389098900621647</v>
      </c>
      <c r="W53" s="265">
        <f>IF(W$27=0,0,W$27/AGR_fec!W$27)</f>
        <v>0.48389098900621619</v>
      </c>
      <c r="X53" s="265">
        <f>IF(X$27=0,0,X$27/AGR_fec!X$27)</f>
        <v>0.48389098900621619</v>
      </c>
      <c r="Y53" s="265">
        <f>IF(Y$27=0,0,Y$27/AGR_fec!Y$27)</f>
        <v>0.48389098900621608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944.44804115852867</v>
      </c>
      <c r="C5" s="80">
        <f t="shared" ref="C5:W5" si="0">SUM(C6:C9,C16:C17,C25:C27)</f>
        <v>956.00408435765189</v>
      </c>
      <c r="D5" s="80">
        <f t="shared" si="0"/>
        <v>942.91417115794309</v>
      </c>
      <c r="E5" s="80">
        <f t="shared" si="0"/>
        <v>989.46885959861288</v>
      </c>
      <c r="F5" s="80">
        <f t="shared" si="0"/>
        <v>973.67346647732359</v>
      </c>
      <c r="G5" s="80">
        <f t="shared" si="0"/>
        <v>1016.2395593975106</v>
      </c>
      <c r="H5" s="80">
        <f t="shared" si="0"/>
        <v>964.73300507771955</v>
      </c>
      <c r="I5" s="80">
        <f t="shared" si="0"/>
        <v>913.81358951710513</v>
      </c>
      <c r="J5" s="80">
        <f t="shared" si="0"/>
        <v>961.74182519805424</v>
      </c>
      <c r="K5" s="80">
        <f t="shared" si="0"/>
        <v>824.76376631737776</v>
      </c>
      <c r="L5" s="80">
        <f t="shared" si="0"/>
        <v>764.60538491740249</v>
      </c>
      <c r="M5" s="80">
        <f t="shared" si="0"/>
        <v>722.67844895732594</v>
      </c>
      <c r="N5" s="80">
        <f t="shared" si="0"/>
        <v>698.36274143694197</v>
      </c>
      <c r="O5" s="80">
        <f t="shared" si="0"/>
        <v>622.76882616283569</v>
      </c>
      <c r="P5" s="80">
        <f t="shared" si="0"/>
        <v>562.42771416167966</v>
      </c>
      <c r="Q5" s="80">
        <f t="shared" si="0"/>
        <v>535.5897908417478</v>
      </c>
      <c r="R5" s="80">
        <f t="shared" si="0"/>
        <v>553.80149604170958</v>
      </c>
      <c r="S5" s="80">
        <f t="shared" si="0"/>
        <v>582.76096164157104</v>
      </c>
      <c r="T5" s="80">
        <f t="shared" si="0"/>
        <v>628.90830756256503</v>
      </c>
      <c r="U5" s="80">
        <f t="shared" si="0"/>
        <v>636.86389104156967</v>
      </c>
      <c r="V5" s="80">
        <f t="shared" si="0"/>
        <v>626.30259588309104</v>
      </c>
      <c r="W5" s="80">
        <f t="shared" si="0"/>
        <v>629.04328812231688</v>
      </c>
      <c r="X5" s="80">
        <f t="shared" ref="X5:Y5" si="1">SUM(X6:X9,X16:X17,X25:X27)</f>
        <v>896.29732763846175</v>
      </c>
      <c r="Y5" s="80">
        <f t="shared" si="1"/>
        <v>766.4009464774141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196.96297127717691</v>
      </c>
      <c r="C9" s="243">
        <f t="shared" ref="C9:W9" si="2">SUM(C10:C15)</f>
        <v>197.93838247653011</v>
      </c>
      <c r="D9" s="243">
        <f t="shared" si="2"/>
        <v>194.79779041255051</v>
      </c>
      <c r="E9" s="243">
        <f t="shared" si="2"/>
        <v>205.95469625752179</v>
      </c>
      <c r="F9" s="243">
        <f t="shared" si="2"/>
        <v>202.01908682400091</v>
      </c>
      <c r="G9" s="243">
        <f t="shared" si="2"/>
        <v>210.39904612456189</v>
      </c>
      <c r="H9" s="243">
        <f t="shared" si="2"/>
        <v>199.6017883489445</v>
      </c>
      <c r="I9" s="243">
        <f t="shared" si="2"/>
        <v>190.10239322037191</v>
      </c>
      <c r="J9" s="243">
        <f t="shared" si="2"/>
        <v>201.52430431884221</v>
      </c>
      <c r="K9" s="243">
        <f t="shared" si="2"/>
        <v>168.86881847842071</v>
      </c>
      <c r="L9" s="243">
        <f t="shared" si="2"/>
        <v>154.34339463345719</v>
      </c>
      <c r="M9" s="243">
        <f t="shared" si="2"/>
        <v>144.1776455706061</v>
      </c>
      <c r="N9" s="243">
        <f t="shared" si="2"/>
        <v>138.26592012886391</v>
      </c>
      <c r="O9" s="243">
        <f t="shared" si="2"/>
        <v>119.8149210106684</v>
      </c>
      <c r="P9" s="243">
        <f t="shared" si="2"/>
        <v>105.019173761994</v>
      </c>
      <c r="Q9" s="243">
        <f t="shared" si="2"/>
        <v>98.425301685282335</v>
      </c>
      <c r="R9" s="243">
        <f t="shared" si="2"/>
        <v>102.9003994659528</v>
      </c>
      <c r="S9" s="243">
        <f t="shared" si="2"/>
        <v>110.01035381176099</v>
      </c>
      <c r="T9" s="243">
        <f t="shared" si="2"/>
        <v>121.3172930027458</v>
      </c>
      <c r="U9" s="243">
        <f t="shared" si="2"/>
        <v>123.7666264845117</v>
      </c>
      <c r="V9" s="243">
        <f t="shared" si="2"/>
        <v>120.2135613550424</v>
      </c>
      <c r="W9" s="243">
        <f t="shared" si="2"/>
        <v>121.5885196155551</v>
      </c>
      <c r="X9" s="243">
        <f t="shared" ref="X9:Y9" si="3">SUM(X10:X15)</f>
        <v>187.24957593229209</v>
      </c>
      <c r="Y9" s="243">
        <f t="shared" si="3"/>
        <v>157.09099380897291</v>
      </c>
      <c r="DA9" s="269"/>
    </row>
    <row r="10" spans="1:105" x14ac:dyDescent="0.25">
      <c r="A10" s="253" t="s">
        <v>166</v>
      </c>
      <c r="B10" s="254">
        <v>196.96297127717691</v>
      </c>
      <c r="C10" s="254">
        <v>197.93838247653011</v>
      </c>
      <c r="D10" s="254">
        <v>194.79779041255051</v>
      </c>
      <c r="E10" s="254">
        <v>205.95469625752179</v>
      </c>
      <c r="F10" s="254">
        <v>202.01908682400091</v>
      </c>
      <c r="G10" s="254">
        <v>210.39904612456189</v>
      </c>
      <c r="H10" s="254">
        <v>199.6017883489445</v>
      </c>
      <c r="I10" s="254">
        <v>190.10239322037191</v>
      </c>
      <c r="J10" s="254">
        <v>201.52430431884221</v>
      </c>
      <c r="K10" s="254">
        <v>168.86881847842071</v>
      </c>
      <c r="L10" s="254">
        <v>154.34339463345719</v>
      </c>
      <c r="M10" s="254">
        <v>144.1776455706061</v>
      </c>
      <c r="N10" s="254">
        <v>138.26592012886391</v>
      </c>
      <c r="O10" s="254">
        <v>119.8149210106684</v>
      </c>
      <c r="P10" s="254">
        <v>105.019173761994</v>
      </c>
      <c r="Q10" s="254">
        <v>98.425301685282335</v>
      </c>
      <c r="R10" s="254">
        <v>102.9003994659528</v>
      </c>
      <c r="S10" s="254">
        <v>110.01035381176099</v>
      </c>
      <c r="T10" s="254">
        <v>121.3172930027458</v>
      </c>
      <c r="U10" s="254">
        <v>123.7666264845117</v>
      </c>
      <c r="V10" s="254">
        <v>120.2135613550424</v>
      </c>
      <c r="W10" s="254">
        <v>121.5885196155551</v>
      </c>
      <c r="X10" s="254">
        <v>187.24957593229209</v>
      </c>
      <c r="Y10" s="254">
        <v>157.09099380897291</v>
      </c>
      <c r="DA10" s="270" t="s">
        <v>1040</v>
      </c>
    </row>
    <row r="11" spans="1:105" x14ac:dyDescent="0.25">
      <c r="A11" s="253" t="s">
        <v>169</v>
      </c>
      <c r="B11" s="255">
        <v>0</v>
      </c>
      <c r="C11" s="255">
        <v>0</v>
      </c>
      <c r="D11" s="255">
        <v>0</v>
      </c>
      <c r="E11" s="255">
        <v>0</v>
      </c>
      <c r="F11" s="255">
        <v>0</v>
      </c>
      <c r="G11" s="255">
        <v>0</v>
      </c>
      <c r="H11" s="255">
        <v>0</v>
      </c>
      <c r="I11" s="255">
        <v>0</v>
      </c>
      <c r="J11" s="255">
        <v>0</v>
      </c>
      <c r="K11" s="255">
        <v>0</v>
      </c>
      <c r="L11" s="255">
        <v>0</v>
      </c>
      <c r="M11" s="255">
        <v>0</v>
      </c>
      <c r="N11" s="255">
        <v>0</v>
      </c>
      <c r="O11" s="255">
        <v>0</v>
      </c>
      <c r="P11" s="255">
        <v>0</v>
      </c>
      <c r="Q11" s="255">
        <v>0</v>
      </c>
      <c r="R11" s="255">
        <v>0</v>
      </c>
      <c r="S11" s="255">
        <v>0</v>
      </c>
      <c r="T11" s="255">
        <v>0</v>
      </c>
      <c r="U11" s="255">
        <v>0</v>
      </c>
      <c r="V11" s="255">
        <v>0</v>
      </c>
      <c r="W11" s="255">
        <v>0</v>
      </c>
      <c r="X11" s="255">
        <v>0</v>
      </c>
      <c r="Y11" s="255">
        <v>0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295.74117353333207</v>
      </c>
      <c r="C16" s="257">
        <v>299.92738226233439</v>
      </c>
      <c r="D16" s="257">
        <v>295.99095058349502</v>
      </c>
      <c r="E16" s="257">
        <v>309.99602197173198</v>
      </c>
      <c r="F16" s="257">
        <v>305.30371909238642</v>
      </c>
      <c r="G16" s="257">
        <v>318.82940366136421</v>
      </c>
      <c r="H16" s="257">
        <v>302.72284097697337</v>
      </c>
      <c r="I16" s="257">
        <v>286.33508161705589</v>
      </c>
      <c r="J16" s="257">
        <v>300.77874572278131</v>
      </c>
      <c r="K16" s="257">
        <v>259.50370034717412</v>
      </c>
      <c r="L16" s="257">
        <v>241.44909970978881</v>
      </c>
      <c r="M16" s="257">
        <v>228.88284111242581</v>
      </c>
      <c r="N16" s="257">
        <v>221.60133747184091</v>
      </c>
      <c r="O16" s="257">
        <v>198.99284164496331</v>
      </c>
      <c r="P16" s="257">
        <v>180.97289694822089</v>
      </c>
      <c r="Q16" s="257">
        <v>172.96337312898379</v>
      </c>
      <c r="R16" s="257">
        <v>178.398238067748</v>
      </c>
      <c r="S16" s="257">
        <v>187.04295936021359</v>
      </c>
      <c r="T16" s="257">
        <v>200.8275059523576</v>
      </c>
      <c r="U16" s="257">
        <v>203.0060442289948</v>
      </c>
      <c r="V16" s="257">
        <v>200.23325015365651</v>
      </c>
      <c r="W16" s="257">
        <v>200.7736004373927</v>
      </c>
      <c r="X16" s="257">
        <v>280.53351515641401</v>
      </c>
      <c r="Y16" s="257">
        <v>241.07242767578839</v>
      </c>
      <c r="DA16" s="272" t="s">
        <v>1046</v>
      </c>
    </row>
    <row r="17" spans="1:105" x14ac:dyDescent="0.25">
      <c r="A17" s="256" t="s">
        <v>121</v>
      </c>
      <c r="B17" s="257">
        <f>SUM(B18:B24)</f>
        <v>394.91476522791697</v>
      </c>
      <c r="C17" s="257">
        <f t="shared" ref="C17:W17" si="4">SUM(C18:C24)</f>
        <v>400.50477360469353</v>
      </c>
      <c r="D17" s="257">
        <f t="shared" si="4"/>
        <v>395.24830230003278</v>
      </c>
      <c r="E17" s="257">
        <f t="shared" si="4"/>
        <v>413.94982232582811</v>
      </c>
      <c r="F17" s="257">
        <f t="shared" si="4"/>
        <v>407.68400662003432</v>
      </c>
      <c r="G17" s="257">
        <f t="shared" si="4"/>
        <v>425.74538266141479</v>
      </c>
      <c r="H17" s="257">
        <f t="shared" si="4"/>
        <v>404.23765904910539</v>
      </c>
      <c r="I17" s="257">
        <f t="shared" si="4"/>
        <v>382.35444250907238</v>
      </c>
      <c r="J17" s="257">
        <f t="shared" si="4"/>
        <v>401.64163255838298</v>
      </c>
      <c r="K17" s="257">
        <f t="shared" si="4"/>
        <v>346.52544883754422</v>
      </c>
      <c r="L17" s="257">
        <f t="shared" si="4"/>
        <v>322.41643389447182</v>
      </c>
      <c r="M17" s="257">
        <f t="shared" si="4"/>
        <v>305.63621690783867</v>
      </c>
      <c r="N17" s="257">
        <f t="shared" si="4"/>
        <v>295.91294007637072</v>
      </c>
      <c r="O17" s="257">
        <f t="shared" si="4"/>
        <v>265.72293063346359</v>
      </c>
      <c r="P17" s="257">
        <f t="shared" si="4"/>
        <v>241.66019312447091</v>
      </c>
      <c r="Q17" s="257">
        <f t="shared" si="4"/>
        <v>230.96476245152471</v>
      </c>
      <c r="R17" s="257">
        <f t="shared" si="4"/>
        <v>238.22215034139731</v>
      </c>
      <c r="S17" s="257">
        <f t="shared" si="4"/>
        <v>249.76578506390601</v>
      </c>
      <c r="T17" s="257">
        <f t="shared" si="4"/>
        <v>268.17282969746731</v>
      </c>
      <c r="U17" s="257">
        <f t="shared" si="4"/>
        <v>271.08191713287368</v>
      </c>
      <c r="V17" s="257">
        <f t="shared" si="4"/>
        <v>267.37929666848271</v>
      </c>
      <c r="W17" s="257">
        <f t="shared" si="4"/>
        <v>268.10084755330888</v>
      </c>
      <c r="X17" s="257">
        <f t="shared" ref="X17:Y17" si="5">SUM(X18:X24)</f>
        <v>374.60738372322379</v>
      </c>
      <c r="Y17" s="257">
        <f t="shared" si="5"/>
        <v>321.91344898338252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1047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X19" s="55">
        <v>0</v>
      </c>
      <c r="Y19" s="55">
        <v>0</v>
      </c>
      <c r="DA19" s="101" t="s">
        <v>1048</v>
      </c>
    </row>
    <row r="20" spans="1:105" x14ac:dyDescent="0.25">
      <c r="A20" s="61" t="s">
        <v>166</v>
      </c>
      <c r="B20" s="55">
        <v>394.91476522791697</v>
      </c>
      <c r="C20" s="55">
        <v>400.50477360469353</v>
      </c>
      <c r="D20" s="55">
        <v>395.24830230003278</v>
      </c>
      <c r="E20" s="55">
        <v>413.94982232582811</v>
      </c>
      <c r="F20" s="55">
        <v>407.68400662003432</v>
      </c>
      <c r="G20" s="55">
        <v>425.74538266141479</v>
      </c>
      <c r="H20" s="55">
        <v>404.23765904910539</v>
      </c>
      <c r="I20" s="55">
        <v>382.35444250907238</v>
      </c>
      <c r="J20" s="55">
        <v>401.64163255838298</v>
      </c>
      <c r="K20" s="55">
        <v>346.52544883754422</v>
      </c>
      <c r="L20" s="55">
        <v>322.41643389447182</v>
      </c>
      <c r="M20" s="55">
        <v>305.63621690783867</v>
      </c>
      <c r="N20" s="55">
        <v>295.91294007637072</v>
      </c>
      <c r="O20" s="55">
        <v>265.72293063346359</v>
      </c>
      <c r="P20" s="55">
        <v>241.66019312447091</v>
      </c>
      <c r="Q20" s="55">
        <v>230.96476245152471</v>
      </c>
      <c r="R20" s="55">
        <v>238.22215034139731</v>
      </c>
      <c r="S20" s="55">
        <v>249.76578506390601</v>
      </c>
      <c r="T20" s="55">
        <v>268.17282969746731</v>
      </c>
      <c r="U20" s="55">
        <v>271.08191713287368</v>
      </c>
      <c r="V20" s="55">
        <v>267.37929666848271</v>
      </c>
      <c r="W20" s="55">
        <v>268.10084755330888</v>
      </c>
      <c r="X20" s="55">
        <v>374.60738372322379</v>
      </c>
      <c r="Y20" s="55">
        <v>321.91344898338252</v>
      </c>
      <c r="DA20" s="101" t="s">
        <v>1049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DA21" s="101" t="s">
        <v>1050</v>
      </c>
    </row>
    <row r="22" spans="1:105" x14ac:dyDescent="0.25">
      <c r="A22" s="61" t="s">
        <v>169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56.829131120102737</v>
      </c>
      <c r="C25" s="257">
        <v>57.633546014093753</v>
      </c>
      <c r="D25" s="257">
        <v>56.877127861864821</v>
      </c>
      <c r="E25" s="257">
        <v>59.568319043531041</v>
      </c>
      <c r="F25" s="257">
        <v>58.666653940901988</v>
      </c>
      <c r="G25" s="257">
        <v>61.265726950169501</v>
      </c>
      <c r="H25" s="257">
        <v>58.17071670269636</v>
      </c>
      <c r="I25" s="257">
        <v>55.021672170604951</v>
      </c>
      <c r="J25" s="257">
        <v>57.797142598047763</v>
      </c>
      <c r="K25" s="257">
        <v>49.865798654238702</v>
      </c>
      <c r="L25" s="257">
        <v>46.396456679684647</v>
      </c>
      <c r="M25" s="257">
        <v>43.981745366455321</v>
      </c>
      <c r="N25" s="257">
        <v>42.582543759866468</v>
      </c>
      <c r="O25" s="257">
        <v>38.238132873740383</v>
      </c>
      <c r="P25" s="257">
        <v>34.775450326993941</v>
      </c>
      <c r="Q25" s="257">
        <v>33.236353575956961</v>
      </c>
      <c r="R25" s="257">
        <v>34.280708166611447</v>
      </c>
      <c r="S25" s="257">
        <v>35.941863405690484</v>
      </c>
      <c r="T25" s="257">
        <v>38.590678909994359</v>
      </c>
      <c r="U25" s="257">
        <v>39.009303195189553</v>
      </c>
      <c r="V25" s="257">
        <v>38.476487705909413</v>
      </c>
      <c r="W25" s="257">
        <v>38.580320516060112</v>
      </c>
      <c r="X25" s="257">
        <v>53.906852826531939</v>
      </c>
      <c r="Y25" s="257">
        <v>46.324076009270293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1</v>
      </c>
      <c r="C31" s="235">
        <f t="shared" si="6"/>
        <v>0.99999999999999989</v>
      </c>
      <c r="D31" s="235">
        <f t="shared" si="6"/>
        <v>1.0000000000000002</v>
      </c>
      <c r="E31" s="235">
        <f t="shared" si="6"/>
        <v>1</v>
      </c>
      <c r="F31" s="235">
        <f t="shared" si="6"/>
        <v>1</v>
      </c>
      <c r="G31" s="235">
        <f t="shared" si="6"/>
        <v>0.99999999999999978</v>
      </c>
      <c r="H31" s="235">
        <f t="shared" si="6"/>
        <v>1.0000000000000002</v>
      </c>
      <c r="I31" s="235">
        <f t="shared" si="6"/>
        <v>1</v>
      </c>
      <c r="J31" s="235">
        <f t="shared" si="6"/>
        <v>1</v>
      </c>
      <c r="K31" s="235">
        <f t="shared" si="6"/>
        <v>1</v>
      </c>
      <c r="L31" s="235">
        <f t="shared" si="6"/>
        <v>1</v>
      </c>
      <c r="M31" s="235">
        <f t="shared" si="6"/>
        <v>1</v>
      </c>
      <c r="N31" s="235">
        <f t="shared" si="6"/>
        <v>1</v>
      </c>
      <c r="O31" s="235">
        <f t="shared" si="6"/>
        <v>1</v>
      </c>
      <c r="P31" s="235">
        <f t="shared" si="6"/>
        <v>1.0000000000000002</v>
      </c>
      <c r="Q31" s="235">
        <f t="shared" si="6"/>
        <v>1</v>
      </c>
      <c r="R31" s="235">
        <f t="shared" ref="R31:W31" si="7">SUM(R32:R40)</f>
        <v>1</v>
      </c>
      <c r="S31" s="235">
        <f t="shared" si="7"/>
        <v>1.0000000000000002</v>
      </c>
      <c r="T31" s="235">
        <f t="shared" si="7"/>
        <v>1</v>
      </c>
      <c r="U31" s="235">
        <f t="shared" si="7"/>
        <v>1.0000000000000002</v>
      </c>
      <c r="V31" s="235">
        <f t="shared" si="7"/>
        <v>1</v>
      </c>
      <c r="W31" s="235">
        <f t="shared" si="7"/>
        <v>0.99999999999999989</v>
      </c>
      <c r="X31" s="235">
        <f t="shared" ref="X31:Y31" si="8">SUM(X32:X40)</f>
        <v>1</v>
      </c>
      <c r="Y31" s="235">
        <f t="shared" si="8"/>
        <v>1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0.20854823419991195</v>
      </c>
      <c r="C35" s="246">
        <f t="shared" si="12"/>
        <v>0.2070476326568487</v>
      </c>
      <c r="D35" s="246">
        <f t="shared" si="12"/>
        <v>0.2065912215247859</v>
      </c>
      <c r="E35" s="246">
        <f t="shared" si="12"/>
        <v>0.20814671857492231</v>
      </c>
      <c r="F35" s="246">
        <f t="shared" si="12"/>
        <v>0.20748135158174802</v>
      </c>
      <c r="G35" s="246">
        <f t="shared" si="12"/>
        <v>0.20703685875926678</v>
      </c>
      <c r="H35" s="246">
        <f t="shared" si="12"/>
        <v>0.20689847584603416</v>
      </c>
      <c r="I35" s="246">
        <f t="shared" si="12"/>
        <v>0.20803191745138028</v>
      </c>
      <c r="J35" s="246">
        <f t="shared" si="12"/>
        <v>0.2095409589546984</v>
      </c>
      <c r="K35" s="246">
        <f t="shared" si="12"/>
        <v>0.2047481053058752</v>
      </c>
      <c r="L35" s="246">
        <f t="shared" si="12"/>
        <v>0.20186019831671778</v>
      </c>
      <c r="M35" s="246">
        <f t="shared" si="12"/>
        <v>0.1995045594325171</v>
      </c>
      <c r="N35" s="246">
        <f t="shared" si="12"/>
        <v>0.19798582015468033</v>
      </c>
      <c r="O35" s="246">
        <f t="shared" si="12"/>
        <v>0.19239068491739234</v>
      </c>
      <c r="P35" s="246">
        <f t="shared" si="12"/>
        <v>0.18672474900801991</v>
      </c>
      <c r="Q35" s="246">
        <f t="shared" si="12"/>
        <v>0.18376993618678653</v>
      </c>
      <c r="R35" s="246">
        <f t="shared" si="12"/>
        <v>0.18580736997179012</v>
      </c>
      <c r="S35" s="246">
        <f t="shared" si="12"/>
        <v>0.18877440503542722</v>
      </c>
      <c r="T35" s="246">
        <f t="shared" si="12"/>
        <v>0.19290140000365144</v>
      </c>
      <c r="U35" s="246">
        <f t="shared" si="12"/>
        <v>0.19433764141046764</v>
      </c>
      <c r="V35" s="246">
        <f t="shared" si="12"/>
        <v>0.19194166229750403</v>
      </c>
      <c r="W35" s="246">
        <f t="shared" si="12"/>
        <v>0.19329118029141473</v>
      </c>
      <c r="X35" s="246">
        <f t="shared" si="12"/>
        <v>0.20891457573085914</v>
      </c>
      <c r="Y35" s="246">
        <f t="shared" si="12"/>
        <v>0.20497233795313743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0.31313652063966846</v>
      </c>
      <c r="C36" s="259">
        <f t="shared" si="13"/>
        <v>0.31373023104169939</v>
      </c>
      <c r="D36" s="259">
        <f t="shared" si="13"/>
        <v>0.31391080931576643</v>
      </c>
      <c r="E36" s="259">
        <f t="shared" si="13"/>
        <v>0.3132953796014204</v>
      </c>
      <c r="F36" s="259">
        <f t="shared" si="13"/>
        <v>0.3135586309001025</v>
      </c>
      <c r="G36" s="259">
        <f t="shared" si="13"/>
        <v>0.31373449371562145</v>
      </c>
      <c r="H36" s="259">
        <f t="shared" si="13"/>
        <v>0.31378924467561448</v>
      </c>
      <c r="I36" s="259">
        <f t="shared" si="13"/>
        <v>0.31334080046715718</v>
      </c>
      <c r="J36" s="259">
        <f t="shared" si="13"/>
        <v>0.31274375080946604</v>
      </c>
      <c r="K36" s="259">
        <f t="shared" si="13"/>
        <v>0.31464003505618887</v>
      </c>
      <c r="L36" s="259">
        <f t="shared" si="13"/>
        <v>0.31578263045567179</v>
      </c>
      <c r="M36" s="259">
        <f t="shared" si="13"/>
        <v>0.31671463490111812</v>
      </c>
      <c r="N36" s="259">
        <f t="shared" si="13"/>
        <v>0.31731552146650455</v>
      </c>
      <c r="O36" s="259">
        <f t="shared" si="13"/>
        <v>0.31952922703445102</v>
      </c>
      <c r="P36" s="259">
        <f t="shared" si="13"/>
        <v>0.32177094476570739</v>
      </c>
      <c r="Q36" s="259">
        <f t="shared" si="13"/>
        <v>0.32294001134179529</v>
      </c>
      <c r="R36" s="259">
        <f t="shared" si="13"/>
        <v>0.32213390419283361</v>
      </c>
      <c r="S36" s="259">
        <f t="shared" si="13"/>
        <v>0.32096000190770319</v>
      </c>
      <c r="T36" s="259">
        <f t="shared" si="13"/>
        <v>0.31932716349494061</v>
      </c>
      <c r="U36" s="259">
        <f t="shared" si="13"/>
        <v>0.3187589170693681</v>
      </c>
      <c r="V36" s="259">
        <f t="shared" si="13"/>
        <v>0.31970688205647019</v>
      </c>
      <c r="W36" s="259">
        <f t="shared" si="13"/>
        <v>0.31917294759904102</v>
      </c>
      <c r="X36" s="259">
        <f t="shared" si="13"/>
        <v>0.31299157824731622</v>
      </c>
      <c r="Y36" s="259">
        <f t="shared" si="13"/>
        <v>0.31455131779758677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0.41814345312579165</v>
      </c>
      <c r="C37" s="259">
        <f t="shared" si="14"/>
        <v>0.41893625786525424</v>
      </c>
      <c r="D37" s="259">
        <f t="shared" si="14"/>
        <v>0.41917739110299851</v>
      </c>
      <c r="E37" s="259">
        <f t="shared" si="14"/>
        <v>0.4183555837156418</v>
      </c>
      <c r="F37" s="259">
        <f t="shared" si="14"/>
        <v>0.41870711347922829</v>
      </c>
      <c r="G37" s="259">
        <f t="shared" si="14"/>
        <v>0.41894194998059603</v>
      </c>
      <c r="H37" s="259">
        <f t="shared" si="14"/>
        <v>0.41901506108059372</v>
      </c>
      <c r="I37" s="259">
        <f t="shared" si="14"/>
        <v>0.41841623597557071</v>
      </c>
      <c r="J37" s="259">
        <f t="shared" si="14"/>
        <v>0.41761897219731686</v>
      </c>
      <c r="K37" s="259">
        <f t="shared" si="14"/>
        <v>0.42015115477829756</v>
      </c>
      <c r="L37" s="259">
        <f t="shared" si="14"/>
        <v>0.42167690713988537</v>
      </c>
      <c r="M37" s="259">
        <f t="shared" si="14"/>
        <v>0.42292144915737823</v>
      </c>
      <c r="N37" s="259">
        <f t="shared" si="14"/>
        <v>0.42372383650866619</v>
      </c>
      <c r="O37" s="259">
        <f t="shared" si="14"/>
        <v>0.4266798842047127</v>
      </c>
      <c r="P37" s="259">
        <f t="shared" si="14"/>
        <v>0.42967333763890853</v>
      </c>
      <c r="Q37" s="259">
        <f t="shared" si="14"/>
        <v>0.43123443799877903</v>
      </c>
      <c r="R37" s="259">
        <f t="shared" si="14"/>
        <v>0.43015801156928546</v>
      </c>
      <c r="S37" s="259">
        <f t="shared" si="14"/>
        <v>0.42859045389784572</v>
      </c>
      <c r="T37" s="259">
        <f t="shared" si="14"/>
        <v>0.42641006085102312</v>
      </c>
      <c r="U37" s="259">
        <f t="shared" si="14"/>
        <v>0.42565125915606278</v>
      </c>
      <c r="V37" s="259">
        <f t="shared" si="14"/>
        <v>0.42691711390957277</v>
      </c>
      <c r="W37" s="259">
        <f t="shared" si="14"/>
        <v>0.42620413032874921</v>
      </c>
      <c r="X37" s="259">
        <f t="shared" si="14"/>
        <v>0.41794990587579733</v>
      </c>
      <c r="Y37" s="259">
        <f t="shared" si="14"/>
        <v>0.42003268715022307</v>
      </c>
      <c r="DA37" s="278"/>
    </row>
    <row r="38" spans="1:105" x14ac:dyDescent="0.25">
      <c r="A38" s="127" t="s">
        <v>167</v>
      </c>
      <c r="B38" s="259">
        <f t="shared" ref="B38:Y38" si="15">IF(B$25=0,0,B$25/B$5)</f>
        <v>6.0171792034627962E-2</v>
      </c>
      <c r="C38" s="259">
        <f t="shared" si="15"/>
        <v>6.0285878436197551E-2</v>
      </c>
      <c r="D38" s="259">
        <f t="shared" si="15"/>
        <v>6.0320578056449213E-2</v>
      </c>
      <c r="E38" s="259">
        <f t="shared" si="15"/>
        <v>6.0202318108015525E-2</v>
      </c>
      <c r="F38" s="259">
        <f t="shared" si="15"/>
        <v>6.0252904038921251E-2</v>
      </c>
      <c r="G38" s="259">
        <f t="shared" si="15"/>
        <v>6.0286697544515586E-2</v>
      </c>
      <c r="H38" s="259">
        <f t="shared" si="15"/>
        <v>6.0297218397757715E-2</v>
      </c>
      <c r="I38" s="259">
        <f t="shared" si="15"/>
        <v>6.0211046105891855E-2</v>
      </c>
      <c r="J38" s="259">
        <f t="shared" si="15"/>
        <v>6.009631803851874E-2</v>
      </c>
      <c r="K38" s="259">
        <f t="shared" si="15"/>
        <v>6.0460704859638344E-2</v>
      </c>
      <c r="L38" s="259">
        <f t="shared" si="15"/>
        <v>6.0680264087725047E-2</v>
      </c>
      <c r="M38" s="259">
        <f t="shared" si="15"/>
        <v>6.0859356508986523E-2</v>
      </c>
      <c r="N38" s="259">
        <f t="shared" si="15"/>
        <v>6.0974821870149007E-2</v>
      </c>
      <c r="O38" s="259">
        <f t="shared" si="15"/>
        <v>6.1400203843443892E-2</v>
      </c>
      <c r="P38" s="259">
        <f t="shared" si="15"/>
        <v>6.1830968587364331E-2</v>
      </c>
      <c r="Q38" s="259">
        <f t="shared" si="15"/>
        <v>6.2055614472639187E-2</v>
      </c>
      <c r="R38" s="259">
        <f t="shared" si="15"/>
        <v>6.1900714266090742E-2</v>
      </c>
      <c r="S38" s="259">
        <f t="shared" si="15"/>
        <v>6.1675139159023902E-2</v>
      </c>
      <c r="T38" s="259">
        <f t="shared" si="15"/>
        <v>6.1361375650384908E-2</v>
      </c>
      <c r="U38" s="259">
        <f t="shared" si="15"/>
        <v>6.1252182364101591E-2</v>
      </c>
      <c r="V38" s="259">
        <f t="shared" si="15"/>
        <v>6.1434341736452965E-2</v>
      </c>
      <c r="W38" s="259">
        <f t="shared" si="15"/>
        <v>6.133174178079491E-2</v>
      </c>
      <c r="X38" s="259">
        <f t="shared" si="15"/>
        <v>6.0143940146027385E-2</v>
      </c>
      <c r="Y38" s="259">
        <f t="shared" si="15"/>
        <v>6.0443657099052743E-2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2.6722025005768693</v>
      </c>
      <c r="C44" s="237">
        <f>IF(C$5=0,0,C$5/AGR_fec!C$5)</f>
        <v>2.6543236773545908</v>
      </c>
      <c r="D44" s="237">
        <f>IF(D$5=0,0,D$5/AGR_fec!D$5)</f>
        <v>2.6490121631220487</v>
      </c>
      <c r="E44" s="237">
        <f>IF(E$5=0,0,E$5/AGR_fec!E$5)</f>
        <v>2.6673534290476981</v>
      </c>
      <c r="F44" s="237">
        <f>IF(F$5=0,0,F$5/AGR_fec!F$5)</f>
        <v>2.6594240803145701</v>
      </c>
      <c r="G44" s="237">
        <f>IF(G$5=0,0,G$5/AGR_fec!G$5)</f>
        <v>2.6541976448120623</v>
      </c>
      <c r="H44" s="237">
        <f>IF(H$5=0,0,H$5/AGR_fec!H$5)</f>
        <v>2.6525816688595802</v>
      </c>
      <c r="I44" s="237">
        <f>IF(I$5=0,0,I$5/AGR_fec!I$5)</f>
        <v>2.6659759969225214</v>
      </c>
      <c r="J44" s="237">
        <f>IF(J$5=0,0,J$5/AGR_fec!J$5)</f>
        <v>2.6844116349635017</v>
      </c>
      <c r="K44" s="237">
        <f>IF(K$5=0,0,K$5/AGR_fec!K$5)</f>
        <v>2.6281028845753265</v>
      </c>
      <c r="L44" s="237">
        <f>IF(L$5=0,0,L$5/AGR_fec!L$5)</f>
        <v>2.5968654391113164</v>
      </c>
      <c r="M44" s="237">
        <f>IF(M$5=0,0,M$5/AGR_fec!M$5)</f>
        <v>2.5725446578165148</v>
      </c>
      <c r="N44" s="237">
        <f>IF(N$5=0,0,N$5/AGR_fec!N$5)</f>
        <v>2.5573368683174627</v>
      </c>
      <c r="O44" s="237">
        <f>IF(O$5=0,0,O$5/AGR_fec!O$5)</f>
        <v>2.5039364523657475</v>
      </c>
      <c r="P44" s="237">
        <f>IF(P$5=0,0,P$5/AGR_fec!P$5)</f>
        <v>2.4531644626807938</v>
      </c>
      <c r="Q44" s="237">
        <f>IF(Q$5=0,0,Q$5/AGR_fec!Q$5)</f>
        <v>2.427706291779363</v>
      </c>
      <c r="R44" s="237">
        <f>IF(R$5=0,0,R$5/AGR_fec!R$5)</f>
        <v>2.4451938072682888</v>
      </c>
      <c r="S44" s="237">
        <f>IF(S$5=0,0,S$5/AGR_fec!S$5)</f>
        <v>2.4712087680259316</v>
      </c>
      <c r="T44" s="237">
        <f>IF(T$5=0,0,T$5/AGR_fec!T$5)</f>
        <v>2.5086607495907787</v>
      </c>
      <c r="U44" s="237">
        <f>IF(U$5=0,0,U$5/AGR_fec!U$5)</f>
        <v>2.5220966736563324</v>
      </c>
      <c r="V44" s="237">
        <f>IF(V$5=0,0,V$5/AGR_fec!V$5)</f>
        <v>2.4998049583309792</v>
      </c>
      <c r="W44" s="237">
        <f>IF(W$5=0,0,W$5/AGR_fec!W$5)</f>
        <v>2.5122848354610401</v>
      </c>
      <c r="X44" s="237">
        <f>IF(X$5=0,0,X$5/AGR_fec!X$5)</f>
        <v>2.6766706682845545</v>
      </c>
      <c r="Y44" s="237">
        <f>IF(Y$5=0,0,Y$5/AGR_fec!Y$5)</f>
        <v>2.6306029407563316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2.8166398384852558</v>
      </c>
      <c r="C48" s="252">
        <f>IF(C$9=0,0,C$9/AGR_fec!C$9)</f>
        <v>2.7843832453376858</v>
      </c>
      <c r="D48" s="252">
        <f>IF(D$9=0,0,D$9/AGR_fec!D$9)</f>
        <v>2.7744846510433394</v>
      </c>
      <c r="E48" s="252">
        <f>IF(E$9=0,0,E$9/AGR_fec!E$9)</f>
        <v>2.8080554920993457</v>
      </c>
      <c r="F48" s="252">
        <f>IF(F$9=0,0,F$9/AGR_fec!F$9)</f>
        <v>2.7937536900026694</v>
      </c>
      <c r="G48" s="252">
        <f>IF(G$9=0,0,G$9/AGR_fec!G$9)</f>
        <v>2.7841500205948195</v>
      </c>
      <c r="H48" s="252">
        <f>IF(H$9=0,0,H$9/AGR_fec!H$9)</f>
        <v>2.7811525056779964</v>
      </c>
      <c r="I48" s="252">
        <f>IF(I$9=0,0,I$9/AGR_fec!I$9)</f>
        <v>2.8055945234759569</v>
      </c>
      <c r="J48" s="252">
        <f>IF(J$9=0,0,J$9/AGR_fec!J$9)</f>
        <v>2.8377004817165692</v>
      </c>
      <c r="K48" s="252">
        <f>IF(K$9=0,0,K$9/AGR_fec!K$9)</f>
        <v>2.7341639308415364</v>
      </c>
      <c r="L48" s="252">
        <f>IF(L$9=0,0,L$9/AGR_fec!L$9)</f>
        <v>2.6701186586991286</v>
      </c>
      <c r="M48" s="252">
        <f>IF(M$9=0,0,M$9/AGR_fec!M$9)</f>
        <v>2.617348528158284</v>
      </c>
      <c r="N48" s="252">
        <f>IF(N$9=0,0,N$9/AGR_fec!N$9)</f>
        <v>2.5831682560421205</v>
      </c>
      <c r="O48" s="252">
        <f>IF(O$9=0,0,O$9/AGR_fec!O$9)</f>
        <v>2.456850295979184</v>
      </c>
      <c r="P48" s="252">
        <f>IF(P$9=0,0,P$9/AGR_fec!P$9)</f>
        <v>2.3293703638960599</v>
      </c>
      <c r="Q48" s="252">
        <f>IF(Q$9=0,0,Q$9/AGR_fec!Q$9)</f>
        <v>2.263414876023035</v>
      </c>
      <c r="R48" s="252">
        <f>IF(R$9=0,0,R$9/AGR_fec!R$9)</f>
        <v>2.3088451456692041</v>
      </c>
      <c r="S48" s="252">
        <f>IF(S$9=0,0,S$9/AGR_fec!S$9)</f>
        <v>2.3753633392217379</v>
      </c>
      <c r="T48" s="252">
        <f>IF(T$9=0,0,T$9/AGR_fec!T$9)</f>
        <v>2.4683809772639891</v>
      </c>
      <c r="U48" s="252">
        <f>IF(U$9=0,0,U$9/AGR_fec!U$9)</f>
        <v>2.5008205735078186</v>
      </c>
      <c r="V48" s="252">
        <f>IF(V$9=0,0,V$9/AGR_fec!V$9)</f>
        <v>2.4467156573154263</v>
      </c>
      <c r="W48" s="252">
        <f>IF(W$9=0,0,W$9/AGR_fec!W$9)</f>
        <v>2.4771832994685199</v>
      </c>
      <c r="X48" s="252">
        <f>IF(X$9=0,0,X$9/AGR_fec!X$9)</f>
        <v>2.8244398594058309</v>
      </c>
      <c r="Y48" s="252">
        <f>IF(Y$9=0,0,Y$9/AGR_fec!Y$9)</f>
        <v>2.7390961875798663</v>
      </c>
      <c r="DA48" s="289"/>
    </row>
    <row r="49" spans="1:105" x14ac:dyDescent="0.25">
      <c r="A49" s="127" t="s">
        <v>168</v>
      </c>
      <c r="B49" s="264">
        <f>IF(B$16=0,0,B$16/AGR_fec!B$16)</f>
        <v>3.1024188000000001</v>
      </c>
      <c r="C49" s="264">
        <f>IF(C$16=0,0,C$16/AGR_fec!C$16)</f>
        <v>3.1024188000000001</v>
      </c>
      <c r="D49" s="264">
        <f>IF(D$16=0,0,D$16/AGR_fec!D$16)</f>
        <v>3.1024187999999997</v>
      </c>
      <c r="E49" s="264">
        <f>IF(E$16=0,0,E$16/AGR_fec!E$16)</f>
        <v>3.1024188000000006</v>
      </c>
      <c r="F49" s="264">
        <f>IF(F$16=0,0,F$16/AGR_fec!F$16)</f>
        <v>3.1024188000000001</v>
      </c>
      <c r="G49" s="264">
        <f>IF(G$16=0,0,G$16/AGR_fec!G$16)</f>
        <v>3.1024188000000019</v>
      </c>
      <c r="H49" s="264">
        <f>IF(H$16=0,0,H$16/AGR_fec!H$16)</f>
        <v>3.1024188000000001</v>
      </c>
      <c r="I49" s="264">
        <f>IF(I$16=0,0,I$16/AGR_fec!I$16)</f>
        <v>3.1024187999999993</v>
      </c>
      <c r="J49" s="264">
        <f>IF(J$16=0,0,J$16/AGR_fec!J$16)</f>
        <v>3.1024187999999993</v>
      </c>
      <c r="K49" s="264">
        <f>IF(K$16=0,0,K$16/AGR_fec!K$16)</f>
        <v>3.1024188000000006</v>
      </c>
      <c r="L49" s="264">
        <f>IF(L$16=0,0,L$16/AGR_fec!L$16)</f>
        <v>3.1024188000000001</v>
      </c>
      <c r="M49" s="264">
        <f>IF(M$16=0,0,M$16/AGR_fec!M$16)</f>
        <v>3.1024187999999997</v>
      </c>
      <c r="N49" s="264">
        <f>IF(N$16=0,0,N$16/AGR_fec!N$16)</f>
        <v>3.1024187999999997</v>
      </c>
      <c r="O49" s="264">
        <f>IF(O$16=0,0,O$16/AGR_fec!O$16)</f>
        <v>3.1024187999999997</v>
      </c>
      <c r="P49" s="264">
        <f>IF(P$16=0,0,P$16/AGR_fec!P$16)</f>
        <v>3.1024188000000001</v>
      </c>
      <c r="Q49" s="264">
        <f>IF(Q$16=0,0,Q$16/AGR_fec!Q$16)</f>
        <v>3.1024187999999997</v>
      </c>
      <c r="R49" s="264">
        <f>IF(R$16=0,0,R$16/AGR_fec!R$16)</f>
        <v>3.1024188000000001</v>
      </c>
      <c r="S49" s="264">
        <f>IF(S$16=0,0,S$16/AGR_fec!S$16)</f>
        <v>3.1024188000000001</v>
      </c>
      <c r="T49" s="264">
        <f>IF(T$16=0,0,T$16/AGR_fec!T$16)</f>
        <v>3.1024188000000001</v>
      </c>
      <c r="U49" s="264">
        <f>IF(U$16=0,0,U$16/AGR_fec!U$16)</f>
        <v>3.1024188000000006</v>
      </c>
      <c r="V49" s="264">
        <f>IF(V$16=0,0,V$16/AGR_fec!V$16)</f>
        <v>3.102418800000001</v>
      </c>
      <c r="W49" s="264">
        <f>IF(W$16=0,0,W$16/AGR_fec!W$16)</f>
        <v>3.1024188000000006</v>
      </c>
      <c r="X49" s="264">
        <f>IF(X$16=0,0,X$16/AGR_fec!X$16)</f>
        <v>3.102418800000001</v>
      </c>
      <c r="Y49" s="264">
        <f>IF(Y$16=0,0,Y$16/AGR_fec!Y$16)</f>
        <v>3.1024187999999993</v>
      </c>
      <c r="DA49" s="290"/>
    </row>
    <row r="50" spans="1:105" x14ac:dyDescent="0.25">
      <c r="A50" s="127" t="s">
        <v>121</v>
      </c>
      <c r="B50" s="264">
        <f>IF(B$17=0,0,B$17/AGR_fec!B$17)</f>
        <v>3.1024188000000006</v>
      </c>
      <c r="C50" s="264">
        <f>IF(C$17=0,0,C$17/AGR_fec!C$17)</f>
        <v>3.1024188000000019</v>
      </c>
      <c r="D50" s="264">
        <f>IF(D$17=0,0,D$17/AGR_fec!D$17)</f>
        <v>3.1024187999999993</v>
      </c>
      <c r="E50" s="264">
        <f>IF(E$17=0,0,E$17/AGR_fec!E$17)</f>
        <v>3.1024188000000006</v>
      </c>
      <c r="F50" s="264">
        <f>IF(F$17=0,0,F$17/AGR_fec!F$17)</f>
        <v>3.1024188000000019</v>
      </c>
      <c r="G50" s="264">
        <f>IF(G$17=0,0,G$17/AGR_fec!G$17)</f>
        <v>3.102418800000001</v>
      </c>
      <c r="H50" s="264">
        <f>IF(H$17=0,0,H$17/AGR_fec!H$17)</f>
        <v>3.1024187999999984</v>
      </c>
      <c r="I50" s="264">
        <f>IF(I$17=0,0,I$17/AGR_fec!I$17)</f>
        <v>3.1024187999999997</v>
      </c>
      <c r="J50" s="264">
        <f>IF(J$17=0,0,J$17/AGR_fec!J$17)</f>
        <v>3.1024187999999997</v>
      </c>
      <c r="K50" s="264">
        <f>IF(K$17=0,0,K$17/AGR_fec!K$17)</f>
        <v>3.1024188000000001</v>
      </c>
      <c r="L50" s="264">
        <f>IF(L$17=0,0,L$17/AGR_fec!L$17)</f>
        <v>3.1024188000000006</v>
      </c>
      <c r="M50" s="264">
        <f>IF(M$17=0,0,M$17/AGR_fec!M$17)</f>
        <v>3.1024187999999997</v>
      </c>
      <c r="N50" s="264">
        <f>IF(N$17=0,0,N$17/AGR_fec!N$17)</f>
        <v>3.1024188000000006</v>
      </c>
      <c r="O50" s="264">
        <f>IF(O$17=0,0,O$17/AGR_fec!O$17)</f>
        <v>3.1024188000000001</v>
      </c>
      <c r="P50" s="264">
        <f>IF(P$17=0,0,P$17/AGR_fec!P$17)</f>
        <v>3.102418800000001</v>
      </c>
      <c r="Q50" s="264">
        <f>IF(Q$17=0,0,Q$17/AGR_fec!Q$17)</f>
        <v>3.1024187999999997</v>
      </c>
      <c r="R50" s="264">
        <f>IF(R$17=0,0,R$17/AGR_fec!R$17)</f>
        <v>3.1024188000000001</v>
      </c>
      <c r="S50" s="264">
        <f>IF(S$17=0,0,S$17/AGR_fec!S$17)</f>
        <v>3.1024188000000006</v>
      </c>
      <c r="T50" s="264">
        <f>IF(T$17=0,0,T$17/AGR_fec!T$17)</f>
        <v>3.1024188000000006</v>
      </c>
      <c r="U50" s="264">
        <f>IF(U$17=0,0,U$17/AGR_fec!U$17)</f>
        <v>3.1024187999999997</v>
      </c>
      <c r="V50" s="264">
        <f>IF(V$17=0,0,V$17/AGR_fec!V$17)</f>
        <v>3.102418800000001</v>
      </c>
      <c r="W50" s="264">
        <f>IF(W$17=0,0,W$17/AGR_fec!W$17)</f>
        <v>3.1024188000000001</v>
      </c>
      <c r="X50" s="264">
        <f>IF(X$17=0,0,X$17/AGR_fec!X$17)</f>
        <v>3.1024187999999997</v>
      </c>
      <c r="Y50" s="264">
        <f>IF(Y$17=0,0,Y$17/AGR_fec!Y$17)</f>
        <v>3.1024188000000006</v>
      </c>
      <c r="DA50" s="290"/>
    </row>
    <row r="51" spans="1:105" x14ac:dyDescent="0.25">
      <c r="A51" s="127" t="s">
        <v>167</v>
      </c>
      <c r="B51" s="264">
        <f>IF(B$25=0,0,B$25/AGR_fec!B$25)</f>
        <v>3.1024188000000006</v>
      </c>
      <c r="C51" s="264">
        <f>IF(C$25=0,0,C$25/AGR_fec!C$25)</f>
        <v>3.1024187999999997</v>
      </c>
      <c r="D51" s="264">
        <f>IF(D$25=0,0,D$25/AGR_fec!D$25)</f>
        <v>3.1024187999999988</v>
      </c>
      <c r="E51" s="264">
        <f>IF(E$25=0,0,E$25/AGR_fec!E$25)</f>
        <v>3.1024188000000001</v>
      </c>
      <c r="F51" s="264">
        <f>IF(F$25=0,0,F$25/AGR_fec!F$25)</f>
        <v>3.1024187999999997</v>
      </c>
      <c r="G51" s="264">
        <f>IF(G$25=0,0,G$25/AGR_fec!G$25)</f>
        <v>3.1024188000000001</v>
      </c>
      <c r="H51" s="264">
        <f>IF(H$25=0,0,H$25/AGR_fec!H$25)</f>
        <v>3.1024188000000006</v>
      </c>
      <c r="I51" s="264">
        <f>IF(I$25=0,0,I$25/AGR_fec!I$25)</f>
        <v>3.1024187999999993</v>
      </c>
      <c r="J51" s="264">
        <f>IF(J$25=0,0,J$25/AGR_fec!J$25)</f>
        <v>3.1024187999999993</v>
      </c>
      <c r="K51" s="264">
        <f>IF(K$25=0,0,K$25/AGR_fec!K$25)</f>
        <v>3.1024187999999993</v>
      </c>
      <c r="L51" s="264">
        <f>IF(L$25=0,0,L$25/AGR_fec!L$25)</f>
        <v>3.1024188000000006</v>
      </c>
      <c r="M51" s="264">
        <f>IF(M$25=0,0,M$25/AGR_fec!M$25)</f>
        <v>3.1024187999999988</v>
      </c>
      <c r="N51" s="264">
        <f>IF(N$25=0,0,N$25/AGR_fec!N$25)</f>
        <v>3.1024187999999988</v>
      </c>
      <c r="O51" s="264">
        <f>IF(O$25=0,0,O$25/AGR_fec!O$25)</f>
        <v>3.1024188000000015</v>
      </c>
      <c r="P51" s="264">
        <f>IF(P$25=0,0,P$25/AGR_fec!P$25)</f>
        <v>3.1024188000000001</v>
      </c>
      <c r="Q51" s="264">
        <f>IF(Q$25=0,0,Q$25/AGR_fec!Q$25)</f>
        <v>3.1024187999999997</v>
      </c>
      <c r="R51" s="264">
        <f>IF(R$25=0,0,R$25/AGR_fec!R$25)</f>
        <v>3.1024188000000001</v>
      </c>
      <c r="S51" s="264">
        <f>IF(S$25=0,0,S$25/AGR_fec!S$25)</f>
        <v>3.102418800000001</v>
      </c>
      <c r="T51" s="264">
        <f>IF(T$25=0,0,T$25/AGR_fec!T$25)</f>
        <v>3.1024188000000015</v>
      </c>
      <c r="U51" s="264">
        <f>IF(U$25=0,0,U$25/AGR_fec!U$25)</f>
        <v>3.1024188000000015</v>
      </c>
      <c r="V51" s="264">
        <f>IF(V$25=0,0,V$25/AGR_fec!V$25)</f>
        <v>3.1024188000000001</v>
      </c>
      <c r="W51" s="264">
        <f>IF(W$25=0,0,W$25/AGR_fec!W$25)</f>
        <v>3.102418800000001</v>
      </c>
      <c r="X51" s="264">
        <f>IF(X$25=0,0,X$25/AGR_fec!X$25)</f>
        <v>3.1024188000000001</v>
      </c>
      <c r="Y51" s="264">
        <f>IF(Y$25=0,0,Y$25/AGR_fec!Y$25)</f>
        <v>3.1024188000000006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2025-11-06T10:25:57Z</dcterms:created>
  <dcterms:modified xsi:type="dcterms:W3CDTF">2025-11-06T10:25:57Z</dcterms:modified>
</cp:coreProperties>
</file>