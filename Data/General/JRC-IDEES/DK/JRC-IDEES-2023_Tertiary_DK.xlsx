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K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Y16" i="7"/>
  <c r="Y14" i="13"/>
  <c r="X13" i="12"/>
  <c r="X21" i="12"/>
  <c r="X20" i="12"/>
  <c r="X16" i="8"/>
  <c r="Y14" i="12"/>
  <c r="X8" i="12"/>
  <c r="X7" i="12"/>
  <c r="Y6" i="12"/>
  <c r="Y22" i="13"/>
  <c r="X22" i="13"/>
  <c r="Y21" i="13"/>
  <c r="X21" i="13"/>
  <c r="Y20" i="13"/>
  <c r="Y18" i="13"/>
  <c r="X18" i="10"/>
  <c r="Y17" i="13"/>
  <c r="X17" i="10"/>
  <c r="Y6" i="13"/>
  <c r="X5" i="10"/>
  <c r="Y33" i="10"/>
  <c r="Y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X24" i="23"/>
  <c r="Y23" i="23"/>
  <c r="X23" i="23"/>
  <c r="Y22" i="23"/>
  <c r="X33" i="21"/>
  <c r="Y22" i="24"/>
  <c r="X21" i="21"/>
  <c r="X18" i="24"/>
  <c r="Y17" i="24"/>
  <c r="X15" i="21"/>
  <c r="Y20" i="21"/>
  <c r="X20" i="21"/>
  <c r="Y18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0" i="23"/>
  <c r="Y20" i="26" s="1"/>
  <c r="Y8" i="23"/>
  <c r="Y33" i="24"/>
  <c r="Y33" i="27" s="1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7" i="25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7" i="28" l="1"/>
  <c r="Y17" i="10"/>
  <c r="Y24" i="23"/>
  <c r="Y5" i="10"/>
  <c r="X25" i="23"/>
  <c r="Y24" i="12"/>
  <c r="X25" i="12"/>
  <c r="X7" i="21"/>
  <c r="X23" i="21"/>
  <c r="Y23" i="10"/>
  <c r="Y10" i="12"/>
  <c r="X8" i="13"/>
  <c r="X11" i="12"/>
  <c r="Y8" i="13"/>
  <c r="Y8" i="24"/>
  <c r="Y8" i="27" s="1"/>
  <c r="X9" i="21"/>
  <c r="X25" i="24"/>
  <c r="X17" i="24"/>
  <c r="X17" i="27" s="1"/>
  <c r="X25" i="13"/>
  <c r="X12" i="12"/>
  <c r="X14" i="30"/>
  <c r="Y23" i="28"/>
  <c r="X7" i="14"/>
  <c r="Y25" i="13"/>
  <c r="X16" i="7"/>
  <c r="X16" i="14" s="1"/>
  <c r="X31" i="23"/>
  <c r="X26" i="13"/>
  <c r="Y26" i="24"/>
  <c r="Y31" i="23"/>
  <c r="Y10" i="13"/>
  <c r="Y26" i="13"/>
  <c r="X27" i="21"/>
  <c r="X32" i="23"/>
  <c r="X11" i="13"/>
  <c r="Y11" i="24"/>
  <c r="Y11" i="27" s="1"/>
  <c r="X8" i="24"/>
  <c r="X13" i="29"/>
  <c r="X5" i="31" s="1"/>
  <c r="X12" i="24"/>
  <c r="X12" i="13"/>
  <c r="X30" i="13"/>
  <c r="Y7" i="24"/>
  <c r="Y7" i="27" s="1"/>
  <c r="Y8" i="25"/>
  <c r="Y8" i="28" s="1"/>
  <c r="Y13" i="29"/>
  <c r="Y5" i="29" s="1"/>
  <c r="Y9" i="25"/>
  <c r="Y9" i="28" s="1"/>
  <c r="Y12" i="24"/>
  <c r="Y12" i="27" s="1"/>
  <c r="Y21" i="25"/>
  <c r="Y21" i="28" s="1"/>
  <c r="X10" i="14"/>
  <c r="X30" i="14"/>
  <c r="Y12" i="13"/>
  <c r="X8" i="25"/>
  <c r="X8" i="28" s="1"/>
  <c r="Y52" i="38"/>
  <c r="X14" i="29"/>
  <c r="X6" i="29" s="1"/>
  <c r="X10" i="25"/>
  <c r="X10" i="28" s="1"/>
  <c r="X13" i="21"/>
  <c r="X31" i="24"/>
  <c r="X17" i="23"/>
  <c r="X22" i="24"/>
  <c r="Y10" i="14"/>
  <c r="X31" i="13"/>
  <c r="Y33" i="12"/>
  <c r="Y19" i="22"/>
  <c r="Y17" i="23"/>
  <c r="X31" i="14"/>
  <c r="Y31" i="13"/>
  <c r="X9" i="36"/>
  <c r="Y53" i="38"/>
  <c r="Y31" i="14"/>
  <c r="X32" i="10"/>
  <c r="Y14" i="21"/>
  <c r="Y32" i="21"/>
  <c r="X17" i="13"/>
  <c r="Y45" i="37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22" i="28" s="1"/>
  <c r="X17" i="21"/>
  <c r="X32" i="21"/>
  <c r="X7" i="23"/>
  <c r="X7" i="26" s="1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3" i="26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5" i="26" s="1"/>
  <c r="X30" i="23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7" i="26"/>
  <c r="Y16" i="18"/>
  <c r="Y32" i="25"/>
  <c r="Y32" i="28" s="1"/>
  <c r="Y5" i="13"/>
  <c r="X5" i="14"/>
  <c r="X19" i="11"/>
  <c r="X4" i="9"/>
  <c r="X4" i="13" s="1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X6" i="28" s="1"/>
  <c r="Y15" i="21"/>
  <c r="X51" i="39"/>
  <c r="Y32" i="24"/>
  <c r="Y32" i="27" s="1"/>
  <c r="Y16" i="22"/>
  <c r="X6" i="24"/>
  <c r="X6" i="27" s="1"/>
  <c r="X24" i="24"/>
  <c r="X24" i="27" s="1"/>
  <c r="X30" i="24"/>
  <c r="X6" i="13"/>
  <c r="Y11" i="10"/>
  <c r="Y15" i="10"/>
  <c r="X8" i="14"/>
  <c r="Y22" i="26"/>
  <c r="X13" i="13"/>
  <c r="X9" i="39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6" i="27" s="1"/>
  <c r="Y24" i="24"/>
  <c r="Y24" i="27" s="1"/>
  <c r="Y18" i="23"/>
  <c r="Y18" i="26" s="1"/>
  <c r="X16" i="9"/>
  <c r="X19" i="8"/>
  <c r="Y33" i="6"/>
  <c r="X16" i="10"/>
  <c r="X103" i="6"/>
  <c r="X124" i="6" s="1"/>
  <c r="X17" i="37"/>
  <c r="X50" i="37" s="1"/>
  <c r="Y11" i="23"/>
  <c r="Y11" i="26" s="1"/>
  <c r="Y71" i="6"/>
  <c r="Y104" i="6"/>
  <c r="X32" i="2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5" i="39" s="1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10" i="26" s="1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8"/>
  <c r="Y30" i="12"/>
  <c r="X69" i="29"/>
  <c r="X6" i="31" s="1"/>
  <c r="Y22" i="28"/>
  <c r="Y8" i="26"/>
  <c r="Y24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X14" i="27" s="1"/>
  <c r="Y10" i="27"/>
  <c r="Y14" i="27"/>
  <c r="Y18" i="27"/>
  <c r="Y22" i="27"/>
  <c r="Y26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63" i="6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Y16" i="25" l="1"/>
  <c r="Y16" i="28" s="1"/>
  <c r="X8" i="27"/>
  <c r="Y19" i="23"/>
  <c r="Y19" i="26" s="1"/>
  <c r="X29" i="23"/>
  <c r="Y5" i="37"/>
  <c r="Y36" i="37" s="1"/>
  <c r="X18" i="27"/>
  <c r="X31" i="26"/>
  <c r="X33" i="26"/>
  <c r="X25" i="26"/>
  <c r="X30" i="28"/>
  <c r="X30" i="26"/>
  <c r="X18" i="26"/>
  <c r="X29" i="26"/>
  <c r="X22" i="27"/>
  <c r="X8" i="26"/>
  <c r="Y28" i="16"/>
  <c r="X12" i="36"/>
  <c r="X15" i="12"/>
  <c r="X15" i="15" s="1"/>
  <c r="X3" i="8"/>
  <c r="X23" i="28"/>
  <c r="Y10" i="16"/>
  <c r="X4" i="14"/>
  <c r="X4" i="17" s="1"/>
  <c r="X22" i="15"/>
  <c r="Y139" i="6"/>
  <c r="Y5" i="31"/>
  <c r="X114" i="6"/>
  <c r="X144" i="6" s="1"/>
  <c r="X22" i="26"/>
  <c r="X16" i="12"/>
  <c r="X16" i="15" s="1"/>
  <c r="X14" i="26"/>
  <c r="Y16" i="23"/>
  <c r="Y16" i="26" s="1"/>
  <c r="Y29" i="12"/>
  <c r="Y29" i="15" s="1"/>
  <c r="X26" i="26"/>
  <c r="Y10" i="17"/>
  <c r="Y29" i="14"/>
  <c r="Y29" i="17" s="1"/>
  <c r="X23" i="27"/>
  <c r="Y5" i="39"/>
  <c r="Y37" i="39" s="1"/>
  <c r="X5" i="29"/>
  <c r="X7" i="28"/>
  <c r="Y30" i="15"/>
  <c r="X12" i="26"/>
  <c r="Y15" i="13"/>
  <c r="Y15" i="16" s="1"/>
  <c r="X4" i="23"/>
  <c r="X4" i="26" s="1"/>
  <c r="X29" i="10"/>
  <c r="X29" i="13"/>
  <c r="X29" i="16" s="1"/>
  <c r="X91" i="6"/>
  <c r="X3" i="19"/>
  <c r="X9" i="29"/>
  <c r="X3" i="35" s="1"/>
  <c r="Y31" i="6"/>
  <c r="X25" i="27"/>
  <c r="Y27" i="24"/>
  <c r="Y27" i="27" s="1"/>
  <c r="X16" i="13"/>
  <c r="X16" i="16" s="1"/>
  <c r="X13" i="26"/>
  <c r="X31" i="28"/>
  <c r="X5" i="27"/>
  <c r="X90" i="6"/>
  <c r="X5" i="32"/>
  <c r="X17" i="26"/>
  <c r="X11" i="27"/>
  <c r="X94" i="6"/>
  <c r="X92" i="6"/>
  <c r="X27" i="13"/>
  <c r="X27" i="16" s="1"/>
  <c r="X28" i="26"/>
  <c r="X33" i="27"/>
  <c r="X9" i="27"/>
  <c r="X13" i="27"/>
  <c r="X113" i="6"/>
  <c r="X167" i="6" s="1"/>
  <c r="X89" i="6"/>
  <c r="X26" i="27"/>
  <c r="X21" i="28"/>
  <c r="X4" i="12"/>
  <c r="X4" i="15" s="1"/>
  <c r="X7" i="27"/>
  <c r="X30" i="27"/>
  <c r="X57" i="6"/>
  <c r="X56" i="6"/>
  <c r="X19" i="13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4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19" i="1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20" i="17"/>
  <c r="X32" i="16"/>
  <c r="X8" i="15"/>
  <c r="X23" i="15"/>
  <c r="Y31" i="36"/>
  <c r="Y34" i="36"/>
  <c r="Y32" i="36"/>
  <c r="X8" i="36"/>
  <c r="X3" i="23"/>
  <c r="X3" i="11"/>
  <c r="Y159" i="6"/>
  <c r="Y135" i="6"/>
  <c r="Y34" i="37"/>
  <c r="X5" i="38"/>
  <c r="X38" i="38" s="1"/>
  <c r="X44" i="37"/>
  <c r="Y163" i="6"/>
  <c r="Y165" i="6"/>
  <c r="Y37" i="37"/>
  <c r="Y3" i="31"/>
  <c r="X158" i="6"/>
  <c r="X125" i="6"/>
  <c r="Y164" i="6"/>
  <c r="X3" i="32"/>
  <c r="X3" i="30"/>
  <c r="X3" i="33"/>
  <c r="Y171" i="6"/>
  <c r="Y162" i="6"/>
  <c r="Y38" i="37"/>
  <c r="Y157" i="6"/>
  <c r="Y124" i="6"/>
  <c r="Y134" i="6"/>
  <c r="Y125" i="6"/>
  <c r="X12" i="15"/>
  <c r="X13" i="16"/>
  <c r="Y169" i="6"/>
  <c r="X35" i="39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5" i="37"/>
  <c r="X38" i="39"/>
  <c r="Y39" i="37"/>
  <c r="Y40" i="37"/>
  <c r="Y32" i="37"/>
  <c r="X37" i="39"/>
  <c r="X168" i="6" l="1"/>
  <c r="X34" i="36"/>
  <c r="X44" i="39"/>
  <c r="X32" i="36"/>
  <c r="X31" i="36"/>
  <c r="Y35" i="39"/>
  <c r="X36" i="37"/>
  <c r="X3" i="12"/>
  <c r="X35" i="37"/>
  <c r="X38" i="37"/>
  <c r="Y44" i="39"/>
  <c r="X39" i="37"/>
  <c r="X3" i="31"/>
  <c r="X33" i="37"/>
  <c r="X37" i="37"/>
  <c r="Y38" i="39"/>
  <c r="X32" i="37"/>
  <c r="X40" i="37"/>
  <c r="X3" i="29"/>
  <c r="Y36" i="39"/>
  <c r="Y31" i="39" s="1"/>
  <c r="Y39" i="38"/>
  <c r="Y44" i="38"/>
  <c r="X143" i="6"/>
  <c r="X153" i="6"/>
  <c r="X3" i="10"/>
  <c r="X3" i="14"/>
  <c r="X3" i="13"/>
  <c r="X154" i="6"/>
  <c r="X121" i="6"/>
  <c r="X31" i="39"/>
  <c r="Y33" i="38"/>
  <c r="Y34" i="38"/>
  <c r="Y35" i="38"/>
  <c r="Y32" i="38"/>
  <c r="Y36" i="38"/>
  <c r="Y40" i="38"/>
  <c r="Y38" i="38"/>
  <c r="Y37" i="38"/>
  <c r="Y3" i="32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1" i="37" l="1"/>
  <c r="X3" i="17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R7" i="29" l="1"/>
  <c r="T7" i="29"/>
  <c r="V4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W8" i="35"/>
  <c r="S8" i="33"/>
  <c r="U8" i="32"/>
  <c r="W8" i="31"/>
  <c r="B69" i="29"/>
  <c r="R3" i="35"/>
  <c r="T3" i="34"/>
  <c r="R8" i="34"/>
  <c r="T8" i="33"/>
  <c r="V8" i="32"/>
  <c r="R3" i="31"/>
  <c r="R8" i="30"/>
  <c r="P3" i="29"/>
  <c r="S3" i="35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3" i="34" l="1"/>
  <c r="N3" i="29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C4" i="24"/>
  <c r="K29" i="12"/>
  <c r="K29" i="13"/>
  <c r="K16" i="24"/>
  <c r="N29" i="12"/>
  <c r="O4" i="24"/>
  <c r="P29" i="25"/>
  <c r="P29" i="28" s="1"/>
  <c r="E19" i="14"/>
  <c r="F29" i="23"/>
  <c r="N19" i="24"/>
  <c r="C4" i="13"/>
  <c r="O4" i="23"/>
  <c r="C16" i="13"/>
  <c r="E4" i="23"/>
  <c r="N19" i="23"/>
  <c r="F4" i="24"/>
  <c r="G16" i="12"/>
  <c r="O4" i="12"/>
  <c r="H4" i="12"/>
  <c r="J29" i="13"/>
  <c r="C4" i="12"/>
  <c r="G19" i="24"/>
  <c r="P29" i="12"/>
  <c r="H29" i="23"/>
  <c r="H29" i="26" s="1"/>
  <c r="O29" i="13"/>
  <c r="P19" i="24"/>
  <c r="P19" i="27" s="1"/>
  <c r="J19" i="23"/>
  <c r="J19" i="26" s="1"/>
  <c r="P29" i="13"/>
  <c r="P29" i="16" s="1"/>
  <c r="H29" i="24"/>
  <c r="H29" i="27" s="1"/>
  <c r="G19" i="23"/>
  <c r="O29" i="23"/>
  <c r="O29" i="26" s="1"/>
  <c r="O29" i="12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M16" i="24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F1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0" i="4"/>
  <c r="B28" i="4"/>
  <c r="B23" i="4"/>
  <c r="B13" i="4"/>
  <c r="B25" i="4"/>
  <c r="B44" i="4"/>
  <c r="B45" i="4"/>
  <c r="B26" i="4"/>
  <c r="B33" i="4"/>
  <c r="B21" i="4"/>
  <c r="B36" i="4"/>
  <c r="B30" i="4"/>
  <c r="B15" i="4"/>
  <c r="B22" i="4"/>
  <c r="B10" i="4"/>
  <c r="B9" i="4"/>
  <c r="B39" i="4"/>
  <c r="B17" i="4"/>
  <c r="B16" i="4"/>
  <c r="B27" i="4"/>
  <c r="B24" i="4"/>
  <c r="B29" i="4"/>
  <c r="B43" i="4"/>
  <c r="B34" i="4"/>
  <c r="B11" i="4"/>
  <c r="B12" i="4"/>
  <c r="B35" i="4"/>
  <c r="B8" i="4"/>
  <c r="B42" i="4"/>
  <c r="B7" i="4"/>
  <c r="B14" i="4"/>
  <c r="B4" i="4"/>
  <c r="B38" i="4"/>
  <c r="B37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<sst xmlns="http://schemas.openxmlformats.org/spreadsheetml/2006/main" count="2101" uniqueCount="1057">
  <si>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</si>
  <si>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</si>
  <si>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</si>
  <si>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</si>
  <si>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</si>
  <si>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</si>
  <si>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</si>
  <si>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</si>
  <si>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</si>
  <si>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</si>
  <si>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</si>
  <si>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</si>
  <si>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</si>
  <si>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</si>
  <si>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</si>
  <si>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</si>
  <si>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</si>
  <si>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</si>
  <si>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</si>
  <si>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</si>
  <si>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</si>
  <si>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</si>
  <si>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</si>
  <si>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</si>
  <si>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</si>
  <si>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</si>
  <si>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</si>
  <si>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</si>
  <si>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</si>
  <si>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</si>
  <si>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</si>
  <si>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</si>
  <si>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</si>
  <si>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</si>
  <si>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</si>
  <si>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</si>
  <si>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</si>
  <si>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</si>
  <si>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</si>
  <si>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</si>
  <si>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</si>
  <si>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</si>
  <si>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</si>
  <si>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</si>
  <si>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</si>
  <si>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</si>
  <si>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</si>
  <si>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</si>
  <si>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</si>
  <si>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</si>
  <si>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</si>
  <si>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</si>
  <si>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</si>
  <si>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</si>
  <si>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</si>
  <si>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</si>
  <si>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</si>
  <si>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</si>
  <si>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</si>
  <si>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</si>
  <si>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</si>
  <si>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</si>
  <si>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</si>
  <si>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</si>
  <si>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</si>
  <si>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</si>
  <si>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</si>
  <si>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</si>
  <si>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</si>
  <si>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</si>
  <si>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</si>
  <si>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</si>
  <si>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</si>
  <si>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</si>
  <si>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</si>
  <si>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</si>
  <si>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</si>
  <si>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</si>
  <si>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</si>
  <si>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</si>
  <si>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</si>
  <si>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</si>
  <si>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</si>
  <si>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</si>
  <si>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</si>
  <si>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</si>
  <si>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</si>
  <si>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</si>
  <si>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</si>
  <si>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</si>
  <si>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</si>
  <si>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</si>
  <si>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</si>
  <si>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</si>
  <si>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</si>
  <si>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</si>
  <si>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</si>
  <si>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</si>
  <si>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</si>
  <si>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</si>
  <si>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</si>
  <si>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</si>
  <si>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</si>
  <si>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</si>
  <si>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</si>
  <si>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</si>
  <si>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</si>
  <si>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</si>
  <si>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</si>
  <si>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</si>
  <si>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</si>
  <si>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</si>
  <si>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</si>
  <si>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</si>
  <si>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</si>
  <si>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</si>
  <si>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</si>
  <si>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</si>
  <si>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</si>
  <si>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</si>
  <si>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</si>
  <si>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</si>
  <si>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</si>
  <si>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</si>
  <si>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</si>
  <si>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</si>
  <si>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</si>
  <si>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</si>
  <si>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</si>
  <si>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</si>
  <si>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</si>
  <si>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</si>
  <si>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</si>
  <si>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</si>
  <si>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</si>
  <si>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</si>
  <si>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</si>
  <si>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</si>
  <si>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</si>
  <si>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</si>
  <si>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</si>
  <si>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</si>
  <si>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</si>
  <si>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</si>
  <si>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</si>
  <si>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</si>
  <si>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</si>
  <si>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</si>
  <si>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</si>
  <si>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</si>
  <si>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</si>
  <si>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</si>
  <si>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</si>
  <si>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</si>
  <si>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</si>
  <si>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</si>
  <si>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</si>
  <si>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</si>
  <si>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</si>
  <si>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</si>
  <si>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</si>
  <si>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</si>
  <si>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</si>
  <si>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</si>
  <si>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</si>
  <si>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</si>
  <si>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</si>
  <si>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</si>
  <si>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</si>
  <si>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</si>
  <si>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</si>
  <si>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</si>
  <si>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</si>
  <si>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</si>
  <si>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</si>
  <si>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</si>
  <si>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</si>
  <si>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</si>
  <si>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</si>
  <si>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</si>
  <si>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</si>
  <si>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</si>
  <si>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</si>
  <si>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</si>
  <si>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</si>
  <si>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DK</t>
  </si>
  <si>
    <t>Denmark</t>
  </si>
  <si>
    <t>DK - Services sector summary</t>
  </si>
  <si>
    <t>Macro.number.DK.Population</t>
  </si>
  <si>
    <t>Macro.Meuro2015.DK.GDP</t>
  </si>
  <si>
    <t>Macro.Meuro2015.DK.VA</t>
  </si>
  <si>
    <t>Macro.number.DK.Employees</t>
  </si>
  <si>
    <t>NUM.number.DK.Ser.Bld</t>
  </si>
  <si>
    <t>SurfaceArea.ksqm.DK.Ser.Bld</t>
  </si>
  <si>
    <t>NUM.number.DK.Ser.BldNew</t>
  </si>
  <si>
    <t>SurfaceArea.ksqm.DK.Ser.BldNew</t>
  </si>
  <si>
    <t>HDD.Celsius.DK.Actual</t>
  </si>
  <si>
    <t>HDD.Celsius.DK.Mean</t>
  </si>
  <si>
    <t>HDD.ratio.DK.Relative</t>
  </si>
  <si>
    <t>FEC.ktoe.DK.ES.Ser</t>
  </si>
  <si>
    <t>FEC.ktoe.DK.ES.Ser.Solids</t>
  </si>
  <si>
    <t>FEC.ktoe.DK.ES.Ser.LPG</t>
  </si>
  <si>
    <t>FEC.ktoe.DK.ES.Ser.Oil</t>
  </si>
  <si>
    <t>FEC.ktoe.DK.ES.Ser.NG</t>
  </si>
  <si>
    <t>FEC.ktoe.DK.ES.Ser.Biomass_Waste</t>
  </si>
  <si>
    <t>FEC.ktoe.DK.ES.Ser.Biogas</t>
  </si>
  <si>
    <t>FEC.ktoe.DK.ES.Ser.LiqBio</t>
  </si>
  <si>
    <t>FEC.ktoe.DK.ES.Ser.Solar</t>
  </si>
  <si>
    <t>FEC.ktoe.DK.ES.Ser.Geo</t>
  </si>
  <si>
    <t>FEC.ktoe.DK.ES.Ser.Ambient</t>
  </si>
  <si>
    <t>FEC.ktoe.DK.ES.Ser.Steam_Distr</t>
  </si>
  <si>
    <t>FEC.ktoe.DK.ES.Ser.Elec</t>
  </si>
  <si>
    <t>FEC.ktoe.DK.Ser</t>
  </si>
  <si>
    <t>FEC.ktoe.DK.Ser.Bld.Thermal</t>
  </si>
  <si>
    <t>FEC.ktoe.DK.Ser.Bld.Thermal.SH</t>
  </si>
  <si>
    <t>FEC.ktoe.DK.Ser.Bld.Thermal.SC</t>
  </si>
  <si>
    <t>FEC.ktoe.DK.Ser.Bld.Thermal.HW</t>
  </si>
  <si>
    <t>FEC.ktoe.DK.Ser.Bld.Thermal.CA</t>
  </si>
  <si>
    <t>FEC.ktoe.DK.Ser.SEU</t>
  </si>
  <si>
    <t>EMI.ktCO2.DK.ES.Ser</t>
  </si>
  <si>
    <t>EMI.ktCO2.DK.ES.Ser.Solids</t>
  </si>
  <si>
    <t>EMI.ktCO2.DK.ES.Ser.LPG</t>
  </si>
  <si>
    <t>EMI.ktCO2.DK.ES.Ser.Oil</t>
  </si>
  <si>
    <t>EMI.ktCO2.DK.ES.Ser.NG</t>
  </si>
  <si>
    <t>EMI.ktCO2.DK.ES.Ser.Biomass_Waste</t>
  </si>
  <si>
    <t>EMI.ktCO2.DK.ES.Ser.Biogas</t>
  </si>
  <si>
    <t>EMI.ktCO2.DK.ES.Ser.LiqBio</t>
  </si>
  <si>
    <t>EMI.ktCO2.DK.ES.Ser.Solar</t>
  </si>
  <si>
    <t>EMI.ktCO2.DK.ES.Ser.Geo</t>
  </si>
  <si>
    <t>EMI.ktCO2.DK.ES.Ser.Ambient</t>
  </si>
  <si>
    <t>EMI.ktCO2.DK.ES.Ser.Steam_Distr</t>
  </si>
  <si>
    <t>EMI.ktCO2.DK.ES.Ser.Elec</t>
  </si>
  <si>
    <t>EMI.ktCO2.DK.Ser</t>
  </si>
  <si>
    <t>EMI.ktCO2.DK.Ser.Bld.Thermal</t>
  </si>
  <si>
    <t>EMI.ktCO2.DK.Ser.Bld.Thermal.SH</t>
  </si>
  <si>
    <t>EMI.ktCO2.DK.Ser.Bld.Thermal.SC</t>
  </si>
  <si>
    <t>EMI.ktCO2.DK.Ser.Bld.Thermal.HW</t>
  </si>
  <si>
    <t>EMI.ktCO2.DK.Ser.Bld.Thermal.CA</t>
  </si>
  <si>
    <t>EMI.ktCO2.DK.Ser.SEU</t>
  </si>
  <si>
    <t>Eff.ratio.DK.Ser.Bld.Thermal</t>
  </si>
  <si>
    <t>Eff.ratio.DK.Ser.Bld.Thermal.SH</t>
  </si>
  <si>
    <t>Eff.ratio.DK.Ser.Bld.Thermal.SC</t>
  </si>
  <si>
    <t>Eff.ratio.DK.Ser.Bld.Thermal.HW</t>
  </si>
  <si>
    <t>Eff.ratio.DK.Ser.Bld.Thermal.CA</t>
  </si>
  <si>
    <t>DK - Number of buildings</t>
  </si>
  <si>
    <t>NUM.number.DK.Ser.Bld.Thermal</t>
  </si>
  <si>
    <t>NUM.number.DK.Ser.Bld.Thermal.SH</t>
  </si>
  <si>
    <t>NUM.number.DK.Ser.Bld.Thermal.SH.Solids</t>
  </si>
  <si>
    <t>NUM.number.DK.Ser.Bld.Thermal.SH.LPG</t>
  </si>
  <si>
    <t>NUM.number.DK.Ser.Bld.Thermal.SH.Oil</t>
  </si>
  <si>
    <t>NUM.number.DK.Ser.Bld.Thermal.SH.GasHP</t>
  </si>
  <si>
    <t>NUM.number.DK.Ser.Bld.Thermal.SH.GasTH</t>
  </si>
  <si>
    <t>NUM.number.DK.Ser.Bld.Thermal.SH.Biomass</t>
  </si>
  <si>
    <t>NUM.number.DK.Ser.Bld.Thermal.SH.Geo</t>
  </si>
  <si>
    <t>NUM.number.DK.Ser.Bld.Thermal.SH.DistrHeat</t>
  </si>
  <si>
    <t>NUM.number.DK.Ser.Bld.Thermal.SH.AdvElc</t>
  </si>
  <si>
    <t>NUM.number.DK.Ser.Bld.Thermal.SH.ConvElc</t>
  </si>
  <si>
    <t>NUM.number.DK.Ser.Bld.Thermal.SC</t>
  </si>
  <si>
    <t>NUM.number.DK.Ser.Bld.Thermal.SC.GasHP</t>
  </si>
  <si>
    <t>NUM.number.DK.Ser.Bld.Thermal.SC.AC</t>
  </si>
  <si>
    <t>NUM.number.DK.Ser.Bld.Thermal.HW</t>
  </si>
  <si>
    <t>NUM.number.DK.Ser.Bld.Thermal.HW.Solids</t>
  </si>
  <si>
    <t>NUM.number.DK.Ser.Bld.Thermal.HW.LPG</t>
  </si>
  <si>
    <t>NUM.number.DK.Ser.Bld.Thermal.HW.Oil</t>
  </si>
  <si>
    <t>NUM.number.DK.Ser.Bld.Thermal.HW.Gas</t>
  </si>
  <si>
    <t>NUM.number.DK.Ser.Bld.Thermal.HW.Biomass</t>
  </si>
  <si>
    <t>NUM.number.DK.Ser.Bld.Thermal.HW.DistrHeat</t>
  </si>
  <si>
    <t>NUM.number.DK.Ser.Bld.Thermal.HW.Elc</t>
  </si>
  <si>
    <t>NUM.number.DK.Ser.Bld.Thermal.HW.Solar</t>
  </si>
  <si>
    <t>NUM.number.DK.Ser.Bld.Thermal.CA</t>
  </si>
  <si>
    <t>NUM.number.DK.Ser.Bld.Thermal.CA.LPG</t>
  </si>
  <si>
    <t>NUM.number.DK.Ser.Bld.Thermal.CA.Gas</t>
  </si>
  <si>
    <t>NUM.number.DK.Ser.Bld.Thermal.CA.Biomass</t>
  </si>
  <si>
    <t>NUM.number.DK.Ser.Bld.Thermal.CA.Elc</t>
  </si>
  <si>
    <t>DK - Final energy consumption</t>
  </si>
  <si>
    <t>FEC.ktoe.DK.Ser.Bld.Thermal.SH.Solids.Solids</t>
  </si>
  <si>
    <t>FEC.ktoe.DK.Ser.Bld.Thermal.SH.LPG.LPG</t>
  </si>
  <si>
    <t>FEC.ktoe.DK.Ser.Bld.Thermal.SH.Oil.Oil_LiqBio</t>
  </si>
  <si>
    <t>FEC.ktoe.DK.Ser.Bld.Thermal.SH.GasHP.NG_Biogas</t>
  </si>
  <si>
    <t>FEC.ktoe.DK.Ser.Bld.Thermal.SH.GasTH.NG_Biogas</t>
  </si>
  <si>
    <t>FEC.ktoe.DK.Ser.Bld.Thermal.SH.Biomass.Biomass_Waste</t>
  </si>
  <si>
    <t>FEC.ktoe.DK.Ser.Bld.Thermal.SH.Geo.Geo</t>
  </si>
  <si>
    <t>FEC.ktoe.DK.Ser.Bld.Thermal.SH.DistrHeat.Steam_Distr</t>
  </si>
  <si>
    <t>FEC.ktoe.DK.Ser.Bld.Thermal.SH.AdvElc.Elec</t>
  </si>
  <si>
    <t>FEC.ktoe.DK.Ser.Bld.Thermal.SH.ConvElc.Elec</t>
  </si>
  <si>
    <t>FEC.ktoe.DK.Ser.Bld.Thermal.SH.TotalCirculation.Elec</t>
  </si>
  <si>
    <t>FEC.ktoe.DK.Ser.Bld.Thermal.SC.GasHP.NG_Biogas</t>
  </si>
  <si>
    <t>FEC.ktoe.DK.Ser.Bld.Thermal.SC.AC.Elec</t>
  </si>
  <si>
    <t>FEC.ktoe.DK.Ser.Bld.Thermal.HW.Solids.Solids</t>
  </si>
  <si>
    <t>FEC.ktoe.DK.Ser.Bld.Thermal.HW.LPG.LPG</t>
  </si>
  <si>
    <t>FEC.ktoe.DK.Ser.Bld.Thermal.HW.Oil.Oil_LiqBio</t>
  </si>
  <si>
    <t>FEC.ktoe.DK.Ser.Bld.Thermal.HW.Gas.NG_Biogas</t>
  </si>
  <si>
    <t>FEC.ktoe.DK.Ser.Bld.Thermal.HW.Biomass.Biomass_Waste</t>
  </si>
  <si>
    <t>FEC.ktoe.DK.Ser.Bld.Thermal.HW.DistrHeat.Steam_Distr</t>
  </si>
  <si>
    <t>FEC.ktoe.DK.Ser.Bld.Thermal.HW.Elc.Elec</t>
  </si>
  <si>
    <t>FEC.ktoe.DK.Ser.Bld.Thermal.HW.TotalSolar.Solar</t>
  </si>
  <si>
    <t>FEC.ktoe.DK.Ser.Bld.Thermal.CA.LPG</t>
  </si>
  <si>
    <t>FEC.ktoe.DK.Ser.Bld.Thermal.CA.Gas.NG_Biogas</t>
  </si>
  <si>
    <t>FEC.ktoe.DK.Ser.Bld.Thermal.CA.Biomass.Biomass_Waste</t>
  </si>
  <si>
    <t>FEC.ktoe.DK.Ser.Bld.Thermal.CA.Elc.Elec</t>
  </si>
  <si>
    <t>DK - Thermal energy service</t>
  </si>
  <si>
    <t>TES.ktoe.DK.Ser.Bld.Thermal</t>
  </si>
  <si>
    <t>TES.ktoe.DK.Ser.Bld.Thermal.SH</t>
  </si>
  <si>
    <t>TES.ktoe.DK.Ser.Bld.Thermal.SH.Solids.Solids</t>
  </si>
  <si>
    <t>TES.ktoe.DK.Ser.Bld.Thermal.SH.LPG.LPG</t>
  </si>
  <si>
    <t>TES.ktoe.DK.Ser.Bld.Thermal.SH.Oil.Oil_LiqBio</t>
  </si>
  <si>
    <t>TES.ktoe.DK.Ser.Bld.Thermal.SH.GasHP.NG_Biogas</t>
  </si>
  <si>
    <t>TES.ktoe.DK.Ser.Bld.Thermal.SH.GasTH.NG_Biogas</t>
  </si>
  <si>
    <t>TES.ktoe.DK.Ser.Bld.Thermal.SH.Biomass.Biomass_Waste</t>
  </si>
  <si>
    <t>TES.ktoe.DK.Ser.Bld.Thermal.SH.Geo.Geo</t>
  </si>
  <si>
    <t>TES.ktoe.DK.Ser.Bld.Thermal.SH.DistrHeat.Steam_Distr</t>
  </si>
  <si>
    <t>TES.ktoe.DK.Ser.Bld.Thermal.SH.AdvElc.Elec</t>
  </si>
  <si>
    <t>TES.ktoe.DK.Ser.Bld.Thermal.SH.ConvElc.Elec</t>
  </si>
  <si>
    <t>TES.ktoe.DK.Ser.Bld.Thermal.SH.TotalCirculation.Elec</t>
  </si>
  <si>
    <t>TES.ktoe.DK.Ser.Bld.Thermal.SC</t>
  </si>
  <si>
    <t>TES.ktoe.DK.Ser.Bld.Thermal.SC.GasHP.NG_Biogas</t>
  </si>
  <si>
    <t>TES.ktoe.DK.Ser.Bld.Thermal.SC.AC.Elec</t>
  </si>
  <si>
    <t>TES.ktoe.DK.Ser.Bld.Thermal.HW</t>
  </si>
  <si>
    <t>TES.ktoe.DK.Ser.Bld.Thermal.HW.Solids.Solids</t>
  </si>
  <si>
    <t>TES.ktoe.DK.Ser.Bld.Thermal.HW.LPG.LPG</t>
  </si>
  <si>
    <t>TES.ktoe.DK.Ser.Bld.Thermal.HW.Oil.Oil_LiqBio</t>
  </si>
  <si>
    <t>TES.ktoe.DK.Ser.Bld.Thermal.HW.Gas.NG_Biogas</t>
  </si>
  <si>
    <t>TES.ktoe.DK.Ser.Bld.Thermal.HW.Biomass.Biomass_Waste</t>
  </si>
  <si>
    <t>TES.ktoe.DK.Ser.Bld.Thermal.HW.DistrHeat.Steam_Distr</t>
  </si>
  <si>
    <t>TES.ktoe.DK.Ser.Bld.Thermal.HW.Elc.Elec</t>
  </si>
  <si>
    <t>TES.ktoe.DK.Ser.Bld.Thermal.HW.TotalSolar.Solar</t>
  </si>
  <si>
    <t>TES.ktoe.DK.Ser.Bld.Thermal.CA</t>
  </si>
  <si>
    <t>TES.ktoe.DK.Ser.Bld.Thermal.CA.LPG</t>
  </si>
  <si>
    <t>TES.ktoe.DK.Ser.Bld.Thermal.CA.Gas.NG_Biogas</t>
  </si>
  <si>
    <t>TES.ktoe.DK.Ser.Bld.Thermal.CA.Biomass.Biomass_Waste</t>
  </si>
  <si>
    <t>TES.ktoe.DK.Ser.Bld.Thermal.CA.Elc.Elec</t>
  </si>
  <si>
    <t>DK - System efficiency indicator of total stock</t>
  </si>
  <si>
    <t>Eff.ratio.DK.Ser.Bld.Thermal.SH.Solids.Solids</t>
  </si>
  <si>
    <t>Eff.ratio.DK.Ser.Bld.Thermal.SH.LPG.LPG</t>
  </si>
  <si>
    <t>Eff.ratio.DK.Ser.Bld.Thermal.SH.Oil.Oil_LiqBio</t>
  </si>
  <si>
    <t>Eff.ratio.DK.Ser.Bld.Thermal.SH.GasHP.NG_Biogas</t>
  </si>
  <si>
    <t>Eff.ratio.DK.Ser.Bld.Thermal.SH.GasTH.NG_Biogas</t>
  </si>
  <si>
    <t>Eff.ratio.DK.Ser.Bld.Thermal.SH.Biomass.Biomass_Waste</t>
  </si>
  <si>
    <t>Eff.ratio.DK.Ser.Bld.Thermal.SH.Geo.Geo</t>
  </si>
  <si>
    <t>Eff.ratio.DK.Ser.Bld.Thermal.SH.DistrHeat.Steam_Distr</t>
  </si>
  <si>
    <t>Eff.ratio.DK.Ser.Bld.Thermal.SH.AdvElc.Elec</t>
  </si>
  <si>
    <t>Eff.ratio.DK.Ser.Bld.Thermal.SH.ConvElc.Elec</t>
  </si>
  <si>
    <t>Eff.ratio.DK.Ser.Bld.Thermal.SH.TotalCirculation.Elec</t>
  </si>
  <si>
    <t>Eff.ratio.DK.Ser.Bld.Thermal.SC.GasHP.NG_Biogas</t>
  </si>
  <si>
    <t>Eff.ratio.DK.Ser.Bld.Thermal.SC.AC.Elec</t>
  </si>
  <si>
    <t>Eff.ratio.DK.Ser.Bld.Thermal.HW.Solids.Solids</t>
  </si>
  <si>
    <t>Eff.ratio.DK.Ser.Bld.Thermal.HW.LPG.LPG</t>
  </si>
  <si>
    <t>Eff.ratio.DK.Ser.Bld.Thermal.HW.Oil.Oil_LiqBio</t>
  </si>
  <si>
    <t>Eff.ratio.DK.Ser.Bld.Thermal.HW.Gas.NG_Biogas</t>
  </si>
  <si>
    <t>Eff.ratio.DK.Ser.Bld.Thermal.HW.Biomass.Biomass_Waste</t>
  </si>
  <si>
    <t>Eff.ratio.DK.Ser.Bld.Thermal.HW.DistrHeat.Steam_Distr</t>
  </si>
  <si>
    <t>Eff.ratio.DK.Ser.Bld.Thermal.HW.Elc.Elec</t>
  </si>
  <si>
    <t>Eff.ratio.DK.Ser.Bld.Thermal.HW.TotalSolar.Solar</t>
  </si>
  <si>
    <t>Eff.ratio.DK.Ser.Bld.Thermal.CA.LPG</t>
  </si>
  <si>
    <t>Eff.ratio.DK.Ser.Bld.Thermal.CA.Gas.NG_Biogas</t>
  </si>
  <si>
    <t>Eff.ratio.DK.Ser.Bld.Thermal.CA.Biomass.Biomass_Waste</t>
  </si>
  <si>
    <t>Eff.ratio.DK.Ser.Bld.Thermal.CA.Elc.Elec</t>
  </si>
  <si>
    <t>DK - CO2 emissions</t>
  </si>
  <si>
    <t>EMI.ktCO2.DK.Ser.Bld.Thermal.SH.Solids.Solids</t>
  </si>
  <si>
    <t>EMI.ktCO2.DK.Ser.Bld.Thermal.SH.LPG.LPG</t>
  </si>
  <si>
    <t>EMI.ktCO2.DK.Ser.Bld.Thermal.SH.Oil.Oil_LiqBio</t>
  </si>
  <si>
    <t>EMI.ktCO2.DK.Ser.Bld.Thermal.SH.GasHP.NG_Biogas</t>
  </si>
  <si>
    <t>EMI.ktCO2.DK.Ser.Bld.Thermal.SH.GasTH.NG_Biogas</t>
  </si>
  <si>
    <t>EMI.ktCO2.DK.Ser.Bld.Thermal.SH.Biomass.Biomass_Waste</t>
  </si>
  <si>
    <t>EMI.ktCO2.DK.Ser.Bld.Thermal.SH.Geo.Geo</t>
  </si>
  <si>
    <t>EMI.ktCO2.DK.Ser.Bld.Thermal.SH.DistrHeat.Steam_Distr</t>
  </si>
  <si>
    <t>EMI.ktCO2.DK.Ser.Bld.Thermal.SH.AdvElc.Elec</t>
  </si>
  <si>
    <t>EMI.ktCO2.DK.Ser.Bld.Thermal.SH.ConvElc.Elec</t>
  </si>
  <si>
    <t>EMI.ktCO2.DK.Ser.Bld.Thermal.SH.TotalCirculation.Elec</t>
  </si>
  <si>
    <t>EMI.ktCO2.DK.Ser.Bld.Thermal.SC.GasHP.NG_Biogas</t>
  </si>
  <si>
    <t>EMI.ktCO2.DK.Ser.Bld.Thermal.SC.AC.Elec</t>
  </si>
  <si>
    <t>EMI.ktCO2.DK.Ser.Bld.Thermal.HW.Solids.Solids</t>
  </si>
  <si>
    <t>EMI.ktCO2.DK.Ser.Bld.Thermal.HW.LPG.LPG</t>
  </si>
  <si>
    <t>EMI.ktCO2.DK.Ser.Bld.Thermal.HW.Oil.Oil_LiqBio</t>
  </si>
  <si>
    <t>EMI.ktCO2.DK.Ser.Bld.Thermal.HW.Gas.NG_Biogas</t>
  </si>
  <si>
    <t>EMI.ktCO2.DK.Ser.Bld.Thermal.HW.Biomass.Biomass_Waste</t>
  </si>
  <si>
    <t>EMI.ktCO2.DK.Ser.Bld.Thermal.HW.DistrHeat.Steam_Distr</t>
  </si>
  <si>
    <t>EMI.ktCO2.DK.Ser.Bld.Thermal.HW.Elc.Elec</t>
  </si>
  <si>
    <t>EMI.ktCO2.DK.Ser.Bld.Thermal.HW.TotalSolar.Solar</t>
  </si>
  <si>
    <t>EMI.ktCO2.DK.Ser.Bld.Thermal.CA.LPG</t>
  </si>
  <si>
    <t>EMI.ktCO2.DK.Ser.Bld.Thermal.CA.Gas.NG_Biogas</t>
  </si>
  <si>
    <t>EMI.ktCO2.DK.Ser.Bld.Thermal.CA.Biomass.Biomass_Waste</t>
  </si>
  <si>
    <t>EMI.ktCO2.DK.Ser.Bld.Thermal.CA.Elc.Elec</t>
  </si>
  <si>
    <t>DK - Final energy consumption per building</t>
  </si>
  <si>
    <t>FEC_per_building.kWh.DK.Ser.Bld.Thermal</t>
  </si>
  <si>
    <t>FEC_per_building.kWh.DK.Ser.Bld.Thermal.SH</t>
  </si>
  <si>
    <t>FEC_per_building.kWh.DK.Ser.Bld.Thermal.SH.Solids.Solids</t>
  </si>
  <si>
    <t>FEC_per_building.kWh.DK.Ser.Bld.Thermal.SH.LPG.LPG</t>
  </si>
  <si>
    <t>FEC_per_building.kWh.DK.Ser.Bld.Thermal.SH.Oil.Oil_LiqBio</t>
  </si>
  <si>
    <t>FEC_per_building.kWh.DK.Ser.Bld.Thermal.SH.GasHP.NG_Biogas</t>
  </si>
  <si>
    <t>FEC_per_building.kWh.DK.Ser.Bld.Thermal.SH.GasTH.NG_Biogas</t>
  </si>
  <si>
    <t>FEC_per_building.kWh.DK.Ser.Bld.Thermal.SH.Biomass.Biomass_Waste</t>
  </si>
  <si>
    <t>FEC_per_building.kWh.DK.Ser.Bld.Thermal.SH.Geo.Geo</t>
  </si>
  <si>
    <t>FEC_per_building.kWh.DK.Ser.Bld.Thermal.SH.DistrHeat.Steam_Distr</t>
  </si>
  <si>
    <t>FEC_per_building.kWh.DK.Ser.Bld.Thermal.SH.AdvElc.Elec</t>
  </si>
  <si>
    <t>FEC_per_building.kWh.DK.Ser.Bld.Thermal.SH.ConvElc.Elec</t>
  </si>
  <si>
    <t>FEC_per_building.kWh.DK.Ser.Bld.Thermal.SH.TotalCirculation.Elec</t>
  </si>
  <si>
    <t>FEC_per_building.kWh.DK.Ser.Bld.Thermal.SC</t>
  </si>
  <si>
    <t>FEC_per_building.kWh.DK.Ser.Bld.Thermal.SC.GasHP.NG_Biogas</t>
  </si>
  <si>
    <t>FEC_per_building.kWh.DK.Ser.Bld.Thermal.SC.AC.Elec</t>
  </si>
  <si>
    <t>FEC_per_building.kWh.DK.Ser.Bld.Thermal.HW</t>
  </si>
  <si>
    <t>FEC_per_building.kWh.DK.Ser.Bld.Thermal.HW.Solids.Solids</t>
  </si>
  <si>
    <t>FEC_per_building.kWh.DK.Ser.Bld.Thermal.HW.LPG.LPG</t>
  </si>
  <si>
    <t>FEC_per_building.kWh.DK.Ser.Bld.Thermal.HW.Oil.Oil_LiqBio</t>
  </si>
  <si>
    <t>FEC_per_building.kWh.DK.Ser.Bld.Thermal.HW.Gas.NG_Biogas</t>
  </si>
  <si>
    <t>FEC_per_building.kWh.DK.Ser.Bld.Thermal.HW.Biomass.Biomass_Waste</t>
  </si>
  <si>
    <t>FEC_per_building.kWh.DK.Ser.Bld.Thermal.HW.DistrHeat.Steam_Distr</t>
  </si>
  <si>
    <t>FEC_per_building.kWh.DK.Ser.Bld.Thermal.HW.Elc.Elec</t>
  </si>
  <si>
    <t>FEC_per_building.kWh.DK.Ser.Bld.Thermal.HW.TotalSolar.Solar</t>
  </si>
  <si>
    <t>FEC_per_building.kWh.DK.Ser.Bld.Thermal.CA</t>
  </si>
  <si>
    <t>FEC_per_building.kWh.DK.Ser.Bld.Thermal.CA.LPG</t>
  </si>
  <si>
    <t>FEC_per_building.kWh.DK.Ser.Bld.Thermal.CA.Gas.NG_Biogas</t>
  </si>
  <si>
    <t>FEC_per_building.kWh.DK.Ser.Bld.Thermal.CA.Biomass.Biomass_Waste</t>
  </si>
  <si>
    <t>FEC_per_building.kWh.DK.Ser.Bld.Thermal.CA.Elc.Elec</t>
  </si>
  <si>
    <t>DK - Thermal energy service per building</t>
  </si>
  <si>
    <t>TES_per_building.kWh.DK.Ser.Bld.Thermal</t>
  </si>
  <si>
    <t>TES_per_building.kWh.DK.Ser.Bld.Thermal.SH</t>
  </si>
  <si>
    <t>TES_per_building.kWh.DK.Ser.Bld.Thermal.SH.Solids.Solids</t>
  </si>
  <si>
    <t>TES_per_building.kWh.DK.Ser.Bld.Thermal.SH.LPG.LPG</t>
  </si>
  <si>
    <t>TES_per_building.kWh.DK.Ser.Bld.Thermal.SH.Oil.Oil_LiqBio</t>
  </si>
  <si>
    <t>TES_per_building.kWh.DK.Ser.Bld.Thermal.SH.GasHP.NG_Biogas</t>
  </si>
  <si>
    <t>TES_per_building.kWh.DK.Ser.Bld.Thermal.SH.GasTH.NG_Biogas</t>
  </si>
  <si>
    <t>TES_per_building.kWh.DK.Ser.Bld.Thermal.SH.Biomass.Biomass_Waste</t>
  </si>
  <si>
    <t>TES_per_building.kWh.DK.Ser.Bld.Thermal.SH.Geo.Geo</t>
  </si>
  <si>
    <t>TES_per_building.kWh.DK.Ser.Bld.Thermal.SH.DistrHeat.Steam_Distr</t>
  </si>
  <si>
    <t>TES_per_building.kWh.DK.Ser.Bld.Thermal.SH.AdvElc.Elec</t>
  </si>
  <si>
    <t>TES_per_building.kWh.DK.Ser.Bld.Thermal.SH.ConvElc.Elec</t>
  </si>
  <si>
    <t>TES_per_building.kWh.DK.Ser.Bld.Thermal.SH.TotalCirculation.Elec</t>
  </si>
  <si>
    <t>TES_per_building.kWh.DK.Ser.Bld.Thermal.SC</t>
  </si>
  <si>
    <t>TES_per_building.kWh.DK.Ser.Bld.Thermal.SC.GasHP.NG_Biogas</t>
  </si>
  <si>
    <t>TES_per_building.kWh.DK.Ser.Bld.Thermal.SC.AC.Elec</t>
  </si>
  <si>
    <t>TES_per_building.kWh.DK.Ser.Bld.Thermal.HW</t>
  </si>
  <si>
    <t>TES_per_building.kWh.DK.Ser.Bld.Thermal.HW.Solids.Solids</t>
  </si>
  <si>
    <t>TES_per_building.kWh.DK.Ser.Bld.Thermal.HW.LPG.LPG</t>
  </si>
  <si>
    <t>TES_per_building.kWh.DK.Ser.Bld.Thermal.HW.Oil.Oil_LiqBio</t>
  </si>
  <si>
    <t>TES_per_building.kWh.DK.Ser.Bld.Thermal.HW.Gas.NG_Biogas</t>
  </si>
  <si>
    <t>TES_per_building.kWh.DK.Ser.Bld.Thermal.HW.Biomass.Biomass_Waste</t>
  </si>
  <si>
    <t>TES_per_building.kWh.DK.Ser.Bld.Thermal.HW.DistrHeat.Steam_Distr</t>
  </si>
  <si>
    <t>TES_per_building.kWh.DK.Ser.Bld.Thermal.HW.Elc.Elec</t>
  </si>
  <si>
    <t>TES_per_building.kWh.DK.Ser.Bld.Thermal.HW.TotalSolar.Solar</t>
  </si>
  <si>
    <t>TES_per_building.kWh.DK.Ser.Bld.Thermal.CA</t>
  </si>
  <si>
    <t>TES_per_building.kWh.DK.Ser.Bld.Thermal.CA.LPG</t>
  </si>
  <si>
    <t>TES_per_building.kWh.DK.Ser.Bld.Thermal.CA.Gas.NG_Biogas</t>
  </si>
  <si>
    <t>TES_per_building.kWh.DK.Ser.Bld.Thermal.CA.Biomass.Biomass_Waste</t>
  </si>
  <si>
    <t>TES_per_building.kWh.DK.Ser.Bld.Thermal.CA.Elc.Elec</t>
  </si>
  <si>
    <t>DK - CO2 emissions per building</t>
  </si>
  <si>
    <t>EMI_per_building.kgCO2.DK.Ser.Bld.Thermal</t>
  </si>
  <si>
    <t>EMI_per_building.kgCO2.DK.Ser.Bld.Thermal.SH</t>
  </si>
  <si>
    <t>EMI_per_building.kgCO2.DK.Ser.Bld.Thermal.SH.Solids.Solids</t>
  </si>
  <si>
    <t>EMI_per_building.kgCO2.DK.Ser.Bld.Thermal.SH.LPG.LPG</t>
  </si>
  <si>
    <t>EMI_per_building.kgCO2.DK.Ser.Bld.Thermal.SH.Oil.Oil_LiqBio</t>
  </si>
  <si>
    <t>EMI_per_building.kgCO2.DK.Ser.Bld.Thermal.SH.GasHP.NG_Biogas</t>
  </si>
  <si>
    <t>EMI_per_building.kgCO2.DK.Ser.Bld.Thermal.SH.GasTH.NG_Biogas</t>
  </si>
  <si>
    <t>EMI_per_building.kgCO2.DK.Ser.Bld.Thermal.SH.Biomass.Biomass_Waste</t>
  </si>
  <si>
    <t>EMI_per_building.kgCO2.DK.Ser.Bld.Thermal.SH.Geo.Geo</t>
  </si>
  <si>
    <t>EMI_per_building.kgCO2.DK.Ser.Bld.Thermal.SH.DistrHeat.Steam_Distr</t>
  </si>
  <si>
    <t>EMI_per_building.kgCO2.DK.Ser.Bld.Thermal.SH.AdvElc.Elec</t>
  </si>
  <si>
    <t>EMI_per_building.kgCO2.DK.Ser.Bld.Thermal.SH.ConvElc.Elec</t>
  </si>
  <si>
    <t>EMI_per_building.kgCO2.DK.Ser.Bld.Thermal.SH.TotalCirculation.Elec</t>
  </si>
  <si>
    <t>EMI_per_building.kgCO2.DK.Ser.Bld.Thermal.SC</t>
  </si>
  <si>
    <t>EMI_per_building.kgCO2.DK.Ser.Bld.Thermal.SC.GasHP.NG_Biogas</t>
  </si>
  <si>
    <t>EMI_per_building.kgCO2.DK.Ser.Bld.Thermal.SC.AC.Elec</t>
  </si>
  <si>
    <t>EMI_per_building.kgCO2.DK.Ser.Bld.Thermal.HW</t>
  </si>
  <si>
    <t>EMI_per_building.kgCO2.DK.Ser.Bld.Thermal.HW.Solids.Solids</t>
  </si>
  <si>
    <t>EMI_per_building.kgCO2.DK.Ser.Bld.Thermal.HW.LPG.LPG</t>
  </si>
  <si>
    <t>EMI_per_building.kgCO2.DK.Ser.Bld.Thermal.HW.Oil.Oil_LiqBio</t>
  </si>
  <si>
    <t>EMI_per_building.kgCO2.DK.Ser.Bld.Thermal.HW.Gas.NG_Biogas</t>
  </si>
  <si>
    <t>EMI_per_building.kgCO2.DK.Ser.Bld.Thermal.HW.Biomass.Biomass_Waste</t>
  </si>
  <si>
    <t>EMI_per_building.kgCO2.DK.Ser.Bld.Thermal.HW.DistrHeat.Steam_Distr</t>
  </si>
  <si>
    <t>EMI_per_building.kgCO2.DK.Ser.Bld.Thermal.HW.Elc.Elec</t>
  </si>
  <si>
    <t>EMI_per_building.kgCO2.DK.Ser.Bld.Thermal.HW.TotalSolar.Solar</t>
  </si>
  <si>
    <t>EMI_per_building.kgCO2.DK.Ser.Bld.Thermal.CA</t>
  </si>
  <si>
    <t>EMI_per_building.kgCO2.DK.Ser.Bld.Thermal.CA.LPG</t>
  </si>
  <si>
    <t>EMI_per_building.kgCO2.DK.Ser.Bld.Thermal.CA.Gas.NG_Biogas</t>
  </si>
  <si>
    <t>EMI_per_building.kgCO2.DK.Ser.Bld.Thermal.CA.Biomass.Biomass_Waste</t>
  </si>
  <si>
    <t>EMI_per_building.kgCO2.DK.Ser.Bld.Thermal.CA.Elc.Elec</t>
  </si>
  <si>
    <t>DK - Final energy consumption per useful surface area</t>
  </si>
  <si>
    <t>FEC_per_sqm.kWh.DK.Ser.Bld.Thermal</t>
  </si>
  <si>
    <t>FEC_per_sqm.kWh.DK.Ser.Bld.Thermal.SH</t>
  </si>
  <si>
    <t>FEC_per_sqm.kWh.DK.Ser.Bld.Thermal.SH.Solids.Solids</t>
  </si>
  <si>
    <t>FEC_per_sqm.kWh.DK.Ser.Bld.Thermal.SH.LPG.LPG</t>
  </si>
  <si>
    <t>FEC_per_sqm.kWh.DK.Ser.Bld.Thermal.SH.Oil.Oil_LiqBio</t>
  </si>
  <si>
    <t>FEC_per_sqm.kWh.DK.Ser.Bld.Thermal.SH.GasHP.NG_Biogas</t>
  </si>
  <si>
    <t>FEC_per_sqm.kWh.DK.Ser.Bld.Thermal.SH.GasTH.NG_Biogas</t>
  </si>
  <si>
    <t>FEC_per_sqm.kWh.DK.Ser.Bld.Thermal.SH.Biomass.Biomass_Waste</t>
  </si>
  <si>
    <t>FEC_per_sqm.kWh.DK.Ser.Bld.Thermal.SH.Geo.Geo</t>
  </si>
  <si>
    <t>FEC_per_sqm.kWh.DK.Ser.Bld.Thermal.SH.DistrHeat.Steam_Distr</t>
  </si>
  <si>
    <t>FEC_per_sqm.kWh.DK.Ser.Bld.Thermal.SH.AdvElc.Elec</t>
  </si>
  <si>
    <t>FEC_per_sqm.kWh.DK.Ser.Bld.Thermal.SH.ConvElc.Elec</t>
  </si>
  <si>
    <t>FEC_per_sqm.kWh.DK.Ser.Bld.Thermal.SH.TotalCirculation.Elec</t>
  </si>
  <si>
    <t>FEC_per_sqm.kWh.DK.Ser.Bld.Thermal.SC</t>
  </si>
  <si>
    <t>FEC_per_sqm.kWh.DK.Ser.Bld.Thermal.SC.GasHP.NG_Biogas</t>
  </si>
  <si>
    <t>FEC_per_sqm.kWh.DK.Ser.Bld.Thermal.SC.AC.Elec</t>
  </si>
  <si>
    <t>FEC_per_sqm.kWh.DK.Ser.Bld.Thermal.HW</t>
  </si>
  <si>
    <t>FEC_per_sqm.kWh.DK.Ser.Bld.Thermal.HW.Solids.Solids</t>
  </si>
  <si>
    <t>FEC_per_sqm.kWh.DK.Ser.Bld.Thermal.HW.LPG.LPG</t>
  </si>
  <si>
    <t>FEC_per_sqm.kWh.DK.Ser.Bld.Thermal.HW.Oil.Oil_LiqBio</t>
  </si>
  <si>
    <t>FEC_per_sqm.kWh.DK.Ser.Bld.Thermal.HW.Gas.NG_Biogas</t>
  </si>
  <si>
    <t>FEC_per_sqm.kWh.DK.Ser.Bld.Thermal.HW.Biomass.Biomass_Waste</t>
  </si>
  <si>
    <t>FEC_per_sqm.kWh.DK.Ser.Bld.Thermal.HW.DistrHeat.Steam_Distr</t>
  </si>
  <si>
    <t>FEC_per_sqm.kWh.DK.Ser.Bld.Thermal.HW.Elc.Elec</t>
  </si>
  <si>
    <t>FEC_per_sqm.kWh.DK.Ser.Bld.Thermal.HW.TotalSolar.Solar</t>
  </si>
  <si>
    <t>FEC_per_sqm.kWh.DK.Ser.Bld.Thermal.CA</t>
  </si>
  <si>
    <t>FEC_per_sqm.kWh.DK.Ser.Bld.Thermal.CA.LPG</t>
  </si>
  <si>
    <t>FEC_per_sqm.kWh.DK.Ser.Bld.Thermal.CA.Gas.NG_Biogas</t>
  </si>
  <si>
    <t>FEC_per_sqm.kWh.DK.Ser.Bld.Thermal.CA.Biomass.Biomass_Waste</t>
  </si>
  <si>
    <t>FEC_per_sqm.kWh.DK.Ser.Bld.Thermal.CA.Elc.Elec</t>
  </si>
  <si>
    <t>DK - Thermal energy service per useful surface area</t>
  </si>
  <si>
    <t>TES_per_sqm.kWh.DK.Ser.Bld.Thermal</t>
  </si>
  <si>
    <t>TES_per_sqm.kWh.DK.Ser.Bld.Thermal.SH</t>
  </si>
  <si>
    <t>TES_per_sqm.kWh.DK.Ser.Bld.Thermal.SH.Solids.Solids</t>
  </si>
  <si>
    <t>TES_per_sqm.kWh.DK.Ser.Bld.Thermal.SH.LPG.LPG</t>
  </si>
  <si>
    <t>TES_per_sqm.kWh.DK.Ser.Bld.Thermal.SH.Oil.Oil_LiqBio</t>
  </si>
  <si>
    <t>TES_per_sqm.kWh.DK.Ser.Bld.Thermal.SH.GasHP.NG_Biogas</t>
  </si>
  <si>
    <t>TES_per_sqm.kWh.DK.Ser.Bld.Thermal.SH.GasTH.NG_Biogas</t>
  </si>
  <si>
    <t>TES_per_sqm.kWh.DK.Ser.Bld.Thermal.SH.Biomass.Biomass_Waste</t>
  </si>
  <si>
    <t>TES_per_sqm.kWh.DK.Ser.Bld.Thermal.SH.Geo.Geo</t>
  </si>
  <si>
    <t>TES_per_sqm.kWh.DK.Ser.Bld.Thermal.SH.DistrHeat.Steam_Distr</t>
  </si>
  <si>
    <t>TES_per_sqm.kWh.DK.Ser.Bld.Thermal.SH.AdvElc.Elec</t>
  </si>
  <si>
    <t>TES_per_sqm.kWh.DK.Ser.Bld.Thermal.SH.ConvElc.Elec</t>
  </si>
  <si>
    <t>TES_per_sqm.kWh.DK.Ser.Bld.Thermal.SH.TotalCirculation.Elec</t>
  </si>
  <si>
    <t>TES_per_sqm.kWh.DK.Ser.Bld.Thermal.SC</t>
  </si>
  <si>
    <t>TES_per_sqm.kWh.DK.Ser.Bld.Thermal.SC.GasHP.NG_Biogas</t>
  </si>
  <si>
    <t>TES_per_sqm.kWh.DK.Ser.Bld.Thermal.SC.AC.Elec</t>
  </si>
  <si>
    <t>TES_per_sqm.kWh.DK.Ser.Bld.Thermal.HW</t>
  </si>
  <si>
    <t>TES_per_sqm.kWh.DK.Ser.Bld.Thermal.HW.Solids.Solids</t>
  </si>
  <si>
    <t>TES_per_sqm.kWh.DK.Ser.Bld.Thermal.HW.LPG.LPG</t>
  </si>
  <si>
    <t>TES_per_sqm.kWh.DK.Ser.Bld.Thermal.HW.Oil.Oil_LiqBio</t>
  </si>
  <si>
    <t>TES_per_sqm.kWh.DK.Ser.Bld.Thermal.HW.Gas.NG_Biogas</t>
  </si>
  <si>
    <t>TES_per_sqm.kWh.DK.Ser.Bld.Thermal.HW.Biomass.Biomass_Waste</t>
  </si>
  <si>
    <t>TES_per_sqm.kWh.DK.Ser.Bld.Thermal.HW.DistrHeat.Steam_Distr</t>
  </si>
  <si>
    <t>TES_per_sqm.kWh.DK.Ser.Bld.Thermal.HW.Elc.Elec</t>
  </si>
  <si>
    <t>TES_per_sqm.kWh.DK.Ser.Bld.Thermal.HW.TotalSolar.Solar</t>
  </si>
  <si>
    <t>TES_per_sqm.kWh.DK.Ser.Bld.Thermal.CA</t>
  </si>
  <si>
    <t>TES_per_sqm.kWh.DK.Ser.Bld.Thermal.CA.LPG</t>
  </si>
  <si>
    <t>TES_per_sqm.kWh.DK.Ser.Bld.Thermal.CA.Gas.NG_Biogas</t>
  </si>
  <si>
    <t>TES_per_sqm.kWh.DK.Ser.Bld.Thermal.CA.Biomass.Biomass_Waste</t>
  </si>
  <si>
    <t>TES_per_sqm.kWh.DK.Ser.Bld.Thermal.CA.Elc.Elec</t>
  </si>
  <si>
    <t>DK - CO2 emissions per useful surface area</t>
  </si>
  <si>
    <t>EMI_per_sqm.kgCO2.DK.Ser.Bld.Thermal</t>
  </si>
  <si>
    <t>EMI_per_sqm.kgCO2.DK.Ser.Bld.Thermal.SH</t>
  </si>
  <si>
    <t>EMI_per_sqm.kgCO2.DK.Ser.Bld.Thermal.SH.Solids.Solids</t>
  </si>
  <si>
    <t>EMI_per_sqm.kgCO2.DK.Ser.Bld.Thermal.SH.LPG.LPG</t>
  </si>
  <si>
    <t>EMI_per_sqm.kgCO2.DK.Ser.Bld.Thermal.SH.Oil.Oil_LiqBio</t>
  </si>
  <si>
    <t>EMI_per_sqm.kgCO2.DK.Ser.Bld.Thermal.SH.GasHP.NG_Biogas</t>
  </si>
  <si>
    <t>EMI_per_sqm.kgCO2.DK.Ser.Bld.Thermal.SH.GasTH.NG_Biogas</t>
  </si>
  <si>
    <t>EMI_per_sqm.kgCO2.DK.Ser.Bld.Thermal.SH.Biomass.Biomass_Waste</t>
  </si>
  <si>
    <t>EMI_per_sqm.kgCO2.DK.Ser.Bld.Thermal.SH.Geo.Geo</t>
  </si>
  <si>
    <t>EMI_per_sqm.kgCO2.DK.Ser.Bld.Thermal.SH.DistrHeat.Steam_Distr</t>
  </si>
  <si>
    <t>EMI_per_sqm.kgCO2.DK.Ser.Bld.Thermal.SH.AdvElc.Elec</t>
  </si>
  <si>
    <t>EMI_per_sqm.kgCO2.DK.Ser.Bld.Thermal.SH.ConvElc.Elec</t>
  </si>
  <si>
    <t>EMI_per_sqm.kgCO2.DK.Ser.Bld.Thermal.SH.TotalCirculation.Elec</t>
  </si>
  <si>
    <t>EMI_per_sqm.kgCO2.DK.Ser.Bld.Thermal.SC</t>
  </si>
  <si>
    <t>EMI_per_sqm.kgCO2.DK.Ser.Bld.Thermal.SC.GasHP.NG_Biogas</t>
  </si>
  <si>
    <t>EMI_per_sqm.kgCO2.DK.Ser.Bld.Thermal.SC.AC.Elec</t>
  </si>
  <si>
    <t>EMI_per_sqm.kgCO2.DK.Ser.Bld.Thermal.HW</t>
  </si>
  <si>
    <t>EMI_per_sqm.kgCO2.DK.Ser.Bld.Thermal.HW.Solids.Solids</t>
  </si>
  <si>
    <t>EMI_per_sqm.kgCO2.DK.Ser.Bld.Thermal.HW.LPG.LPG</t>
  </si>
  <si>
    <t>EMI_per_sqm.kgCO2.DK.Ser.Bld.Thermal.HW.Oil.Oil_LiqBio</t>
  </si>
  <si>
    <t>EMI_per_sqm.kgCO2.DK.Ser.Bld.Thermal.HW.Gas.NG_Biogas</t>
  </si>
  <si>
    <t>EMI_per_sqm.kgCO2.DK.Ser.Bld.Thermal.HW.Biomass.Biomass_Waste</t>
  </si>
  <si>
    <t>EMI_per_sqm.kgCO2.DK.Ser.Bld.Thermal.HW.DistrHeat.Steam_Distr</t>
  </si>
  <si>
    <t>EMI_per_sqm.kgCO2.DK.Ser.Bld.Thermal.HW.Elc.Elec</t>
  </si>
  <si>
    <t>EMI_per_sqm.kgCO2.DK.Ser.Bld.Thermal.HW.TotalSolar.Solar</t>
  </si>
  <si>
    <t>EMI_per_sqm.kgCO2.DK.Ser.Bld.Thermal.CA</t>
  </si>
  <si>
    <t>EMI_per_sqm.kgCO2.DK.Ser.Bld.Thermal.CA.LPG</t>
  </si>
  <si>
    <t>EMI_per_sqm.kgCO2.DK.Ser.Bld.Thermal.CA.Gas.NG_Biogas</t>
  </si>
  <si>
    <t>EMI_per_sqm.kgCO2.DK.Ser.Bld.Thermal.CA.Biomass.Biomass_Waste</t>
  </si>
  <si>
    <t>EMI_per_sqm.kgCO2.DK.Ser.Bld.Thermal.CA.Elc.Elec</t>
  </si>
  <si>
    <t>DK - Number of new and renovated buildings</t>
  </si>
  <si>
    <t>NUM.number.DK.Ser.BldNew.Thermal</t>
  </si>
  <si>
    <t>NUM.number.DK.Ser.BldNew.Thermal.SH</t>
  </si>
  <si>
    <t>NUM.number.DK.Ser.BldNew.Thermal.SH.Solids</t>
  </si>
  <si>
    <t>NUM.number.DK.Ser.BldNew.Thermal.SH.LPG</t>
  </si>
  <si>
    <t>NUM.number.DK.Ser.BldNew.Thermal.SH.Oil</t>
  </si>
  <si>
    <t>NUM.number.DK.Ser.BldNew.Thermal.SH.GasHP</t>
  </si>
  <si>
    <t>NUM.number.DK.Ser.BldNew.Thermal.SH.GasTH</t>
  </si>
  <si>
    <t>NUM.number.DK.Ser.BldNew.Thermal.SH.Biomass</t>
  </si>
  <si>
    <t>NUM.number.DK.Ser.BldNew.Thermal.SH.Geo</t>
  </si>
  <si>
    <t>NUM.number.DK.Ser.BldNew.Thermal.SH.DistrHeat</t>
  </si>
  <si>
    <t>NUM.number.DK.Ser.BldNew.Thermal.SH.AdvElc</t>
  </si>
  <si>
    <t>NUM.number.DK.Ser.BldNew.Thermal.SH.ConvElc</t>
  </si>
  <si>
    <t>NUM.number.DK.Ser.BldNew.Thermal.SC</t>
  </si>
  <si>
    <t>NUM.number.DK.Ser.BldNew.Thermal.SC.GasHP</t>
  </si>
  <si>
    <t>NUM.number.DK.Ser.BldNew.Thermal.SC.AC</t>
  </si>
  <si>
    <t>NUM.number.DK.Ser.BldNew.Thermal.HW</t>
  </si>
  <si>
    <t>NUM.number.DK.Ser.BldNew.Thermal.HW.Solids</t>
  </si>
  <si>
    <t>NUM.number.DK.Ser.BldNew.Thermal.HW.LPG</t>
  </si>
  <si>
    <t>NUM.number.DK.Ser.BldNew.Thermal.HW.Oil</t>
  </si>
  <si>
    <t>NUM.number.DK.Ser.BldNew.Thermal.HW.Gas</t>
  </si>
  <si>
    <t>NUM.number.DK.Ser.BldNew.Thermal.HW.Biomass</t>
  </si>
  <si>
    <t>NUM.number.DK.Ser.BldNew.Thermal.HW.DistrHeat</t>
  </si>
  <si>
    <t>NUM.number.DK.Ser.BldNew.Thermal.HW.Elc</t>
  </si>
  <si>
    <t>NUM.number.DK.Ser.BldNew.Thermal.HW.Solar</t>
  </si>
  <si>
    <t>NUM.number.DK.Ser.BldNew.Thermal.CA</t>
  </si>
  <si>
    <t>NUM.number.DK.Ser.BldNew.Thermal.CA.LPG</t>
  </si>
  <si>
    <t>NUM.number.DK.Ser.BldNew.Thermal.CA.Gas</t>
  </si>
  <si>
    <t>NUM.number.DK.Ser.BldNew.Thermal.CA.Biomass</t>
  </si>
  <si>
    <t>NUM.number.DK.Ser.BldNew.Thermal.CA.Elc</t>
  </si>
  <si>
    <t>DK - Final energy consumption in new and renovated buildings</t>
  </si>
  <si>
    <t>FEC.ktoe.DK.Ser.BldNew.Thermal</t>
  </si>
  <si>
    <t>FEC.ktoe.DK.Ser.BldNew.Thermal.SH</t>
  </si>
  <si>
    <t>FEC.ktoe.DK.Ser.BldNew.Thermal.SH.Solids.Solids</t>
  </si>
  <si>
    <t>FEC.ktoe.DK.Ser.BldNew.Thermal.SH.LPG.LPG</t>
  </si>
  <si>
    <t>FEC.ktoe.DK.Ser.BldNew.Thermal.SH.Oil.Oil_LiqBio</t>
  </si>
  <si>
    <t>FEC.ktoe.DK.Ser.BldNew.Thermal.SH.GasHP.NG_Biogas</t>
  </si>
  <si>
    <t>FEC.ktoe.DK.Ser.BldNew.Thermal.SH.GasTH.NG_Biogas</t>
  </si>
  <si>
    <t>FEC.ktoe.DK.Ser.BldNew.Thermal.SH.Biomass.Biomass_Waste</t>
  </si>
  <si>
    <t>FEC.ktoe.DK.Ser.BldNew.Thermal.SH.Geo.Geo</t>
  </si>
  <si>
    <t>FEC.ktoe.DK.Ser.BldNew.Thermal.SH.DistrHeat.Steam_Distr</t>
  </si>
  <si>
    <t>FEC.ktoe.DK.Ser.BldNew.Thermal.SH.AdvElc.Elec</t>
  </si>
  <si>
    <t>FEC.ktoe.DK.Ser.BldNew.Thermal.SH.ConvElc.Elec</t>
  </si>
  <si>
    <t>FEC.ktoe.DK.Ser.BldNew.Thermal.SH.TotalCirculation.Elec</t>
  </si>
  <si>
    <t>FEC.ktoe.DK.Ser.BldNew.Thermal.SC</t>
  </si>
  <si>
    <t>FEC.ktoe.DK.Ser.BldNew.Thermal.SC.GasHP.NG_Biogas</t>
  </si>
  <si>
    <t>FEC.ktoe.DK.Ser.BldNew.Thermal.SC.AC.Elec</t>
  </si>
  <si>
    <t>FEC.ktoe.DK.Ser.BldNew.Thermal.HW</t>
  </si>
  <si>
    <t>FEC.ktoe.DK.Ser.BldNew.Thermal.HW.Solids.Solids</t>
  </si>
  <si>
    <t>FEC.ktoe.DK.Ser.BldNew.Thermal.HW.LPG.LPG</t>
  </si>
  <si>
    <t>FEC.ktoe.DK.Ser.BldNew.Thermal.HW.Oil.Oil_LiqBio</t>
  </si>
  <si>
    <t>FEC.ktoe.DK.Ser.BldNew.Thermal.HW.Gas.NG_Biogas</t>
  </si>
  <si>
    <t>FEC.ktoe.DK.Ser.BldNew.Thermal.HW.Biomass.Biomass_Waste</t>
  </si>
  <si>
    <t>FEC.ktoe.DK.Ser.BldNew.Thermal.HW.DistrHeat.Steam_Distr</t>
  </si>
  <si>
    <t>FEC.ktoe.DK.Ser.BldNew.Thermal.HW.Elc.Elec</t>
  </si>
  <si>
    <t>FEC.ktoe.DK.Ser.BldNew.Thermal.HW.TotalSolar.Solar</t>
  </si>
  <si>
    <t>FEC.ktoe.DK.Ser.BldNew.Thermal.CA</t>
  </si>
  <si>
    <t>FEC.ktoe.DK.Ser.BldNew.Thermal.CA.LPG</t>
  </si>
  <si>
    <t>FEC.ktoe.DK.Ser.BldNew.Thermal.CA.Gas.NG_Biogas</t>
  </si>
  <si>
    <t>FEC.ktoe.DK.Ser.BldNew.Thermal.CA.Biomass.Biomass_Waste</t>
  </si>
  <si>
    <t>FEC.ktoe.DK.Ser.BldNew.Thermal.CA.Elc.Elec</t>
  </si>
  <si>
    <t>DK - Thermal energy service in new and renovated buildings</t>
  </si>
  <si>
    <t>TES.ktoe.DK.Ser.BldNew.Thermal</t>
  </si>
  <si>
    <t>TES.ktoe.DK.Ser.BldNew.Thermal.SH</t>
  </si>
  <si>
    <t>TES.ktoe.DK.Ser.BldNew.Thermal.SH.Solids.Solids</t>
  </si>
  <si>
    <t>TES.ktoe.DK.Ser.BldNew.Thermal.SH.LPG.LPG</t>
  </si>
  <si>
    <t>TES.ktoe.DK.Ser.BldNew.Thermal.SH.Oil.Oil_LiqBio</t>
  </si>
  <si>
    <t>TES.ktoe.DK.Ser.BldNew.Thermal.SH.GasHP.NG_Biogas</t>
  </si>
  <si>
    <t>TES.ktoe.DK.Ser.BldNew.Thermal.SH.GasTH.NG_Biogas</t>
  </si>
  <si>
    <t>TES.ktoe.DK.Ser.BldNew.Thermal.SH.Biomass.Biomass_Waste</t>
  </si>
  <si>
    <t>TES.ktoe.DK.Ser.BldNew.Thermal.SH.Geo.Geo</t>
  </si>
  <si>
    <t>TES.ktoe.DK.Ser.BldNew.Thermal.SH.DistrHeat.Steam_Distr</t>
  </si>
  <si>
    <t>TES.ktoe.DK.Ser.BldNew.Thermal.SH.AdvElc.Elec</t>
  </si>
  <si>
    <t>TES.ktoe.DK.Ser.BldNew.Thermal.SH.ConvElc.Elec</t>
  </si>
  <si>
    <t>TES.ktoe.DK.Ser.BldNew.Thermal.SH.TotalCirculation.Elec</t>
  </si>
  <si>
    <t>TES.ktoe.DK.Ser.BldNew.Thermal.SC</t>
  </si>
  <si>
    <t>TES.ktoe.DK.Ser.BldNew.Thermal.SC.GasHP.NG_Biogas</t>
  </si>
  <si>
    <t>TES.ktoe.DK.Ser.BldNew.Thermal.SC.AC.Elec</t>
  </si>
  <si>
    <t>TES.ktoe.DK.Ser.BldNew.Thermal.HW</t>
  </si>
  <si>
    <t>TES.ktoe.DK.Ser.BldNew.Thermal.HW.Solids.Solids</t>
  </si>
  <si>
    <t>TES.ktoe.DK.Ser.BldNew.Thermal.HW.LPG.LPG</t>
  </si>
  <si>
    <t>TES.ktoe.DK.Ser.BldNew.Thermal.HW.Oil.Oil_LiqBio</t>
  </si>
  <si>
    <t>TES.ktoe.DK.Ser.BldNew.Thermal.HW.Gas.NG_Biogas</t>
  </si>
  <si>
    <t>TES.ktoe.DK.Ser.BldNew.Thermal.HW.Biomass.Biomass_Waste</t>
  </si>
  <si>
    <t>TES.ktoe.DK.Ser.BldNew.Thermal.HW.DistrHeat.Steam_Distr</t>
  </si>
  <si>
    <t>TES.ktoe.DK.Ser.BldNew.Thermal.HW.Elc.Elec</t>
  </si>
  <si>
    <t>TES.ktoe.DK.Ser.BldNew.Thermal.HW.TotalSolar.Solar</t>
  </si>
  <si>
    <t>TES.ktoe.DK.Ser.BldNew.Thermal.CA</t>
  </si>
  <si>
    <t>TES.ktoe.DK.Ser.BldNew.Thermal.CA.LPG</t>
  </si>
  <si>
    <t>TES.ktoe.DK.Ser.BldNew.Thermal.CA.Gas.NG_Biogas</t>
  </si>
  <si>
    <t>TES.ktoe.DK.Ser.BldNew.Thermal.CA.Biomass.Biomass_Waste</t>
  </si>
  <si>
    <t>TES.ktoe.DK.Ser.BldNew.Thermal.CA.Elc.Elec</t>
  </si>
  <si>
    <t>DK - System efficiency indicator of new and renovated buildings</t>
  </si>
  <si>
    <t>Eff.ratio.DK.Ser.BldNew.Thermal</t>
  </si>
  <si>
    <t>Eff.ratio.DK.Ser.BldNew.Thermal.SH</t>
  </si>
  <si>
    <t>Eff.ratio.DK.Ser.BldNew.Thermal.SH.Solids.Solids</t>
  </si>
  <si>
    <t>Eff.ratio.DK.Ser.BldNew.Thermal.SH.LPG.LPG</t>
  </si>
  <si>
    <t>Eff.ratio.DK.Ser.BldNew.Thermal.SH.Oil.Oil_LiqBio</t>
  </si>
  <si>
    <t>Eff.ratio.DK.Ser.BldNew.Thermal.SH.GasHP.NG_Biogas</t>
  </si>
  <si>
    <t>Eff.ratio.DK.Ser.BldNew.Thermal.SH.GasTH.NG_Biogas</t>
  </si>
  <si>
    <t>Eff.ratio.DK.Ser.BldNew.Thermal.SH.Biomass.Biomass_Waste</t>
  </si>
  <si>
    <t>Eff.ratio.DK.Ser.BldNew.Thermal.SH.Geo.Geo</t>
  </si>
  <si>
    <t>Eff.ratio.DK.Ser.BldNew.Thermal.SH.DistrHeat.Steam_Distr</t>
  </si>
  <si>
    <t>Eff.ratio.DK.Ser.BldNew.Thermal.SH.AdvElc.Elec</t>
  </si>
  <si>
    <t>Eff.ratio.DK.Ser.BldNew.Thermal.SH.ConvElc.Elec</t>
  </si>
  <si>
    <t>Eff.ratio.DK.Ser.BldNew.Thermal.SH.TotalCirculation.Elec</t>
  </si>
  <si>
    <t>Eff.ratio.DK.Ser.BldNew.Thermal.SC</t>
  </si>
  <si>
    <t>Eff.ratio.DK.Ser.BldNew.Thermal.SC.GasHP.NG_Biogas</t>
  </si>
  <si>
    <t>Eff.ratio.DK.Ser.BldNew.Thermal.SC.AC.Elec</t>
  </si>
  <si>
    <t>Eff.ratio.DK.Ser.BldNew.Thermal.HW</t>
  </si>
  <si>
    <t>Eff.ratio.DK.Ser.BldNew.Thermal.HW.Solids.Solids</t>
  </si>
  <si>
    <t>Eff.ratio.DK.Ser.BldNew.Thermal.HW.LPG.LPG</t>
  </si>
  <si>
    <t>Eff.ratio.DK.Ser.BldNew.Thermal.HW.Oil.Oil_LiqBio</t>
  </si>
  <si>
    <t>Eff.ratio.DK.Ser.BldNew.Thermal.HW.Gas.NG_Biogas</t>
  </si>
  <si>
    <t>Eff.ratio.DK.Ser.BldNew.Thermal.HW.Biomass.Biomass_Waste</t>
  </si>
  <si>
    <t>Eff.ratio.DK.Ser.BldNew.Thermal.HW.DistrHeat.Steam_Distr</t>
  </si>
  <si>
    <t>Eff.ratio.DK.Ser.BldNew.Thermal.HW.Elc.Elec</t>
  </si>
  <si>
    <t>Eff.ratio.DK.Ser.BldNew.Thermal.HW.TotalSolar.Solar</t>
  </si>
  <si>
    <t>Eff.ratio.DK.Ser.BldNew.Thermal.CA</t>
  </si>
  <si>
    <t>Eff.ratio.DK.Ser.BldNew.Thermal.CA.LPG</t>
  </si>
  <si>
    <t>Eff.ratio.DK.Ser.BldNew.Thermal.CA.Gas.NG_Biogas</t>
  </si>
  <si>
    <t>Eff.ratio.DK.Ser.BldNew.Thermal.CA.Biomass.Biomass_Waste</t>
  </si>
  <si>
    <t>Eff.ratio.DK.Ser.BldNew.Thermal.CA.Elc.Elec</t>
  </si>
  <si>
    <t>DK - CO2 emissions in new and renovated buildings</t>
  </si>
  <si>
    <t>EMI.ktCO2.DK.Ser.BldNew.Thermal</t>
  </si>
  <si>
    <t>EMI.ktCO2.DK.Ser.BldNew.Thermal.SH</t>
  </si>
  <si>
    <t>EMI.ktCO2.DK.Ser.BldNew.Thermal.SH.Solids.Solids</t>
  </si>
  <si>
    <t>EMI.ktCO2.DK.Ser.BldNew.Thermal.SH.LPG.LPG</t>
  </si>
  <si>
    <t>EMI.ktCO2.DK.Ser.BldNew.Thermal.SH.Oil.Oil_LiqBio</t>
  </si>
  <si>
    <t>EMI.ktCO2.DK.Ser.BldNew.Thermal.SH.GasHP.NG_Biogas</t>
  </si>
  <si>
    <t>EMI.ktCO2.DK.Ser.BldNew.Thermal.SH.GasTH.NG_Biogas</t>
  </si>
  <si>
    <t>EMI.ktCO2.DK.Ser.BldNew.Thermal.SH.Biomass.Biomass_Waste</t>
  </si>
  <si>
    <t>EMI.ktCO2.DK.Ser.BldNew.Thermal.SH.Geo.Geo</t>
  </si>
  <si>
    <t>EMI.ktCO2.DK.Ser.BldNew.Thermal.SH.DistrHeat.Steam_Distr</t>
  </si>
  <si>
    <t>EMI.ktCO2.DK.Ser.BldNew.Thermal.SH.AdvElc.Elec</t>
  </si>
  <si>
    <t>EMI.ktCO2.DK.Ser.BldNew.Thermal.SH.ConvElc.Elec</t>
  </si>
  <si>
    <t>EMI.ktCO2.DK.Ser.BldNew.Thermal.SH.TotalCirculation.Elec</t>
  </si>
  <si>
    <t>EMI.ktCO2.DK.Ser.BldNew.Thermal.SC</t>
  </si>
  <si>
    <t>EMI.ktCO2.DK.Ser.BldNew.Thermal.SC.GasHP.NG_Biogas</t>
  </si>
  <si>
    <t>EMI.ktCO2.DK.Ser.BldNew.Thermal.SC.AC.Elec</t>
  </si>
  <si>
    <t>EMI.ktCO2.DK.Ser.BldNew.Thermal.HW</t>
  </si>
  <si>
    <t>EMI.ktCO2.DK.Ser.BldNew.Thermal.HW.Solids.Solids</t>
  </si>
  <si>
    <t>EMI.ktCO2.DK.Ser.BldNew.Thermal.HW.LPG.LPG</t>
  </si>
  <si>
    <t>EMI.ktCO2.DK.Ser.BldNew.Thermal.HW.Oil.Oil_LiqBio</t>
  </si>
  <si>
    <t>EMI.ktCO2.DK.Ser.BldNew.Thermal.HW.Gas.NG_Biogas</t>
  </si>
  <si>
    <t>EMI.ktCO2.DK.Ser.BldNew.Thermal.HW.Biomass.Biomass_Waste</t>
  </si>
  <si>
    <t>EMI.ktCO2.DK.Ser.BldNew.Thermal.HW.DistrHeat.Steam_Distr</t>
  </si>
  <si>
    <t>EMI.ktCO2.DK.Ser.BldNew.Thermal.HW.Elc.Elec</t>
  </si>
  <si>
    <t>EMI.ktCO2.DK.Ser.BldNew.Thermal.HW.TotalSolar.Solar</t>
  </si>
  <si>
    <t>EMI.ktCO2.DK.Ser.BldNew.Thermal.CA</t>
  </si>
  <si>
    <t>EMI.ktCO2.DK.Ser.BldNew.Thermal.CA.LPG</t>
  </si>
  <si>
    <t>EMI.ktCO2.DK.Ser.BldNew.Thermal.CA.Gas.NG_Biogas</t>
  </si>
  <si>
    <t>EMI.ktCO2.DK.Ser.BldNew.Thermal.CA.Biomass.Biomass_Waste</t>
  </si>
  <si>
    <t>EMI.ktCO2.DK.Ser.BldNew.Thermal.CA.Elc.Elec</t>
  </si>
  <si>
    <t>DK - Final energy consumption of new and renovated buildings (per building)</t>
  </si>
  <si>
    <t>FEC_per_building.kWh.DK.Ser.BldNew.Thermal</t>
  </si>
  <si>
    <t>FEC_per_building.kWh.DK.Ser.BldNew.Thermal.SH</t>
  </si>
  <si>
    <t>FEC_per_building.kWh.DK.Ser.BldNew.Thermal.SH.Solids.Solids</t>
  </si>
  <si>
    <t>FEC_per_building.kWh.DK.Ser.BldNew.Thermal.SH.LPG.LPG</t>
  </si>
  <si>
    <t>FEC_per_building.kWh.DK.Ser.BldNew.Thermal.SH.Oil.Oil_LiqBio</t>
  </si>
  <si>
    <t>FEC_per_building.kWh.DK.Ser.BldNew.Thermal.SH.GasHP.NG_Biogas</t>
  </si>
  <si>
    <t>FEC_per_building.kWh.DK.Ser.BldNew.Thermal.SH.GasTH.NG_Biogas</t>
  </si>
  <si>
    <t>FEC_per_building.kWh.DK.Ser.BldNew.Thermal.SH.Biomass.Biomass_Waste</t>
  </si>
  <si>
    <t>FEC_per_building.kWh.DK.Ser.BldNew.Thermal.SH.Geo.Geo</t>
  </si>
  <si>
    <t>FEC_per_building.kWh.DK.Ser.BldNew.Thermal.SH.DistrHeat.Steam_Distr</t>
  </si>
  <si>
    <t>FEC_per_building.kWh.DK.Ser.BldNew.Thermal.SH.AdvElc.Elec</t>
  </si>
  <si>
    <t>FEC_per_building.kWh.DK.Ser.BldNew.Thermal.SH.ConvElc.Elec</t>
  </si>
  <si>
    <t>FEC_per_building.kWh.DK.Ser.BldNew.Thermal.SH.TotalCirculation.Elec</t>
  </si>
  <si>
    <t>FEC_per_building.kWh.DK.Ser.BldNew.Thermal.SC</t>
  </si>
  <si>
    <t>FEC_per_building.kWh.DK.Ser.BldNew.Thermal.SC.GasHP.NG_Biogas</t>
  </si>
  <si>
    <t>FEC_per_building.kWh.DK.Ser.BldNew.Thermal.SC.AC.Elec</t>
  </si>
  <si>
    <t>FEC_per_building.kWh.DK.Ser.BldNew.Thermal.HW</t>
  </si>
  <si>
    <t>FEC_per_building.kWh.DK.Ser.BldNew.Thermal.HW.Solids.Solids</t>
  </si>
  <si>
    <t>FEC_per_building.kWh.DK.Ser.BldNew.Thermal.HW.LPG.LPG</t>
  </si>
  <si>
    <t>FEC_per_building.kWh.DK.Ser.BldNew.Thermal.HW.Oil.Oil_LiqBio</t>
  </si>
  <si>
    <t>FEC_per_building.kWh.DK.Ser.BldNew.Thermal.HW.Gas.NG_Biogas</t>
  </si>
  <si>
    <t>FEC_per_building.kWh.DK.Ser.BldNew.Thermal.HW.Biomass.Biomass_Waste</t>
  </si>
  <si>
    <t>FEC_per_building.kWh.DK.Ser.BldNew.Thermal.HW.DistrHeat.Steam_Distr</t>
  </si>
  <si>
    <t>FEC_per_building.kWh.DK.Ser.BldNew.Thermal.HW.Elc.Elec</t>
  </si>
  <si>
    <t>FEC_per_building.kWh.DK.Ser.BldNew.Thermal.HW.TotalSolar.Solar</t>
  </si>
  <si>
    <t>FEC_per_building.kWh.DK.Ser.BldNew.Thermal.CA</t>
  </si>
  <si>
    <t>FEC_per_building.kWh.DK.Ser.BldNew.Thermal.CA.LPG</t>
  </si>
  <si>
    <t>FEC_per_building.kWh.DK.Ser.BldNew.Thermal.CA.Gas.NG_Biogas</t>
  </si>
  <si>
    <t>FEC_per_building.kWh.DK.Ser.BldNew.Thermal.CA.Biomass.Biomass_Waste</t>
  </si>
  <si>
    <t>FEC_per_building.kWh.DK.Ser.BldNew.Thermal.CA.Elc.Elec</t>
  </si>
  <si>
    <t>DK - Thermal energy service of new and renovated buildings (per building)</t>
  </si>
  <si>
    <t>TES_per_building.kWh.DK.Ser.BldNew.Thermal</t>
  </si>
  <si>
    <t>TES_per_building.kWh.DK.Ser.BldNew.Thermal.SH</t>
  </si>
  <si>
    <t>TES_per_building.kWh.DK.Ser.BldNew.Thermal.SH.Solids.Solids</t>
  </si>
  <si>
    <t>TES_per_building.kWh.DK.Ser.BldNew.Thermal.SH.LPG.LPG</t>
  </si>
  <si>
    <t>TES_per_building.kWh.DK.Ser.BldNew.Thermal.SH.Oil.Oil_LiqBio</t>
  </si>
  <si>
    <t>TES_per_building.kWh.DK.Ser.BldNew.Thermal.SH.GasHP.NG_Biogas</t>
  </si>
  <si>
    <t>TES_per_building.kWh.DK.Ser.BldNew.Thermal.SH.GasTH.NG_Biogas</t>
  </si>
  <si>
    <t>TES_per_building.kWh.DK.Ser.BldNew.Thermal.SH.Biomass.Biomass_Waste</t>
  </si>
  <si>
    <t>TES_per_building.kWh.DK.Ser.BldNew.Thermal.SH.Geo.Geo</t>
  </si>
  <si>
    <t>TES_per_building.kWh.DK.Ser.BldNew.Thermal.SH.DistrHeat.Steam_Distr</t>
  </si>
  <si>
    <t>TES_per_building.kWh.DK.Ser.BldNew.Thermal.SH.AdvElc.Elec</t>
  </si>
  <si>
    <t>TES_per_building.kWh.DK.Ser.BldNew.Thermal.SH.ConvElc.Elec</t>
  </si>
  <si>
    <t>TES_per_building.kWh.DK.Ser.BldNew.Thermal.SH.TotalCirculation.Elec</t>
  </si>
  <si>
    <t>TES_per_building.kWh.DK.Ser.BldNew.Thermal.SC</t>
  </si>
  <si>
    <t>TES_per_building.kWh.DK.Ser.BldNew.Thermal.SC.GasHP.NG_Biogas</t>
  </si>
  <si>
    <t>TES_per_building.kWh.DK.Ser.BldNew.Thermal.SC.AC.Elec</t>
  </si>
  <si>
    <t>TES_per_building.kWh.DK.Ser.BldNew.Thermal.HW</t>
  </si>
  <si>
    <t>TES_per_building.kWh.DK.Ser.BldNew.Thermal.HW.Solids.Solids</t>
  </si>
  <si>
    <t>TES_per_building.kWh.DK.Ser.BldNew.Thermal.HW.LPG.LPG</t>
  </si>
  <si>
    <t>TES_per_building.kWh.DK.Ser.BldNew.Thermal.HW.Oil.Oil_LiqBio</t>
  </si>
  <si>
    <t>TES_per_building.kWh.DK.Ser.BldNew.Thermal.HW.Gas.NG_Biogas</t>
  </si>
  <si>
    <t>TES_per_building.kWh.DK.Ser.BldNew.Thermal.HW.Biomass.Biomass_Waste</t>
  </si>
  <si>
    <t>TES_per_building.kWh.DK.Ser.BldNew.Thermal.HW.DistrHeat.Steam_Distr</t>
  </si>
  <si>
    <t>TES_per_building.kWh.DK.Ser.BldNew.Thermal.HW.Elc.Elec</t>
  </si>
  <si>
    <t>TES_per_building.kWh.DK.Ser.BldNew.Thermal.HW.TotalSolar.Solar</t>
  </si>
  <si>
    <t>TES_per_building.kWh.DK.Ser.BldNew.Thermal.CA</t>
  </si>
  <si>
    <t>TES_per_building.kWh.DK.Ser.BldNew.Thermal.CA.LPG</t>
  </si>
  <si>
    <t>TES_per_building.kWh.DK.Ser.BldNew.Thermal.CA.Gas.NG_Biogas</t>
  </si>
  <si>
    <t>TES_per_building.kWh.DK.Ser.BldNew.Thermal.CA.Biomass.Biomass_Waste</t>
  </si>
  <si>
    <t>TES_per_building.kWh.DK.Ser.BldNew.Thermal.CA.Elc.Elec</t>
  </si>
  <si>
    <t>DK - CO2 emissions in new and renovated buildings (per building)</t>
  </si>
  <si>
    <t>EMI_per_building.kgCO2.DK.Ser.BldNew.Thermal</t>
  </si>
  <si>
    <t>EMI_per_building.kgCO2.DK.Ser.BldNew.Thermal.SH</t>
  </si>
  <si>
    <t>EMI_per_building.kgCO2.DK.Ser.BldNew.Thermal.SH.Solids.Solids</t>
  </si>
  <si>
    <t>EMI_per_building.kgCO2.DK.Ser.BldNew.Thermal.SH.LPG.LPG</t>
  </si>
  <si>
    <t>EMI_per_building.kgCO2.DK.Ser.BldNew.Thermal.SH.Oil.Oil_LiqBio</t>
  </si>
  <si>
    <t>EMI_per_building.kgCO2.DK.Ser.BldNew.Thermal.SH.GasHP.NG_Biogas</t>
  </si>
  <si>
    <t>EMI_per_building.kgCO2.DK.Ser.BldNew.Thermal.SH.GasTH.NG_Biogas</t>
  </si>
  <si>
    <t>EMI_per_building.kgCO2.DK.Ser.BldNew.Thermal.SH.Biomass.Biomass_Waste</t>
  </si>
  <si>
    <t>EMI_per_building.kgCO2.DK.Ser.BldNew.Thermal.SH.Geo.Geo</t>
  </si>
  <si>
    <t>EMI_per_building.kgCO2.DK.Ser.BldNew.Thermal.SH.DistrHeat.Steam_Distr</t>
  </si>
  <si>
    <t>EMI_per_building.kgCO2.DK.Ser.BldNew.Thermal.SH.AdvElc.Elec</t>
  </si>
  <si>
    <t>EMI_per_building.kgCO2.DK.Ser.BldNew.Thermal.SH.ConvElc.Elec</t>
  </si>
  <si>
    <t>EMI_per_building.kgCO2.DK.Ser.BldNew.Thermal.SH.TotalCirculation.Elec</t>
  </si>
  <si>
    <t>EMI_per_building.kgCO2.DK.Ser.BldNew.Thermal.SC</t>
  </si>
  <si>
    <t>EMI_per_building.kgCO2.DK.Ser.BldNew.Thermal.SC.GasHP.NG_Biogas</t>
  </si>
  <si>
    <t>EMI_per_building.kgCO2.DK.Ser.BldNew.Thermal.SC.AC.Elec</t>
  </si>
  <si>
    <t>EMI_per_building.kgCO2.DK.Ser.BldNew.Thermal.HW</t>
  </si>
  <si>
    <t>EMI_per_building.kgCO2.DK.Ser.BldNew.Thermal.HW.Solids.Solids</t>
  </si>
  <si>
    <t>EMI_per_building.kgCO2.DK.Ser.BldNew.Thermal.HW.LPG.LPG</t>
  </si>
  <si>
    <t>EMI_per_building.kgCO2.DK.Ser.BldNew.Thermal.HW.Oil.Oil_LiqBio</t>
  </si>
  <si>
    <t>EMI_per_building.kgCO2.DK.Ser.BldNew.Thermal.HW.Gas.NG_Biogas</t>
  </si>
  <si>
    <t>EMI_per_building.kgCO2.DK.Ser.BldNew.Thermal.HW.Biomass.Biomass_Waste</t>
  </si>
  <si>
    <t>EMI_per_building.kgCO2.DK.Ser.BldNew.Thermal.HW.DistrHeat.Steam_Distr</t>
  </si>
  <si>
    <t>EMI_per_building.kgCO2.DK.Ser.BldNew.Thermal.HW.Elc.Elec</t>
  </si>
  <si>
    <t>EMI_per_building.kgCO2.DK.Ser.BldNew.Thermal.HW.TotalSolar.Solar</t>
  </si>
  <si>
    <t>EMI_per_building.kgCO2.DK.Ser.BldNew.Thermal.CA</t>
  </si>
  <si>
    <t>EMI_per_building.kgCO2.DK.Ser.BldNew.Thermal.CA.LPG</t>
  </si>
  <si>
    <t>EMI_per_building.kgCO2.DK.Ser.BldNew.Thermal.CA.Gas.NG_Biogas</t>
  </si>
  <si>
    <t>EMI_per_building.kgCO2.DK.Ser.BldNew.Thermal.CA.Biomass.Biomass_Waste</t>
  </si>
  <si>
    <t>EMI_per_building.kgCO2.DK.Ser.BldNew.Thermal.CA.Elc.Elec</t>
  </si>
  <si>
    <t>DK - Final energy consumption in new and renovated buildings per surface area</t>
  </si>
  <si>
    <t>FEC_per_sqm.kWh.DK.Ser.BldNew.Thermal</t>
  </si>
  <si>
    <t>FEC_per_sqm.kWh.DK.Ser.BldNew.Thermal.SH</t>
  </si>
  <si>
    <t>FEC_per_sqm.kWh.DK.Ser.BldNew.Thermal.SH.Solids.Solids</t>
  </si>
  <si>
    <t>FEC_per_sqm.kWh.DK.Ser.BldNew.Thermal.SH.LPG.LPG</t>
  </si>
  <si>
    <t>FEC_per_sqm.kWh.DK.Ser.BldNew.Thermal.SH.Oil.Oil_LiqBio</t>
  </si>
  <si>
    <t>FEC_per_sqm.kWh.DK.Ser.BldNew.Thermal.SH.GasHP.NG_Biogas</t>
  </si>
  <si>
    <t>FEC_per_sqm.kWh.DK.Ser.BldNew.Thermal.SH.GasTH.NG_Biogas</t>
  </si>
  <si>
    <t>FEC_per_sqm.kWh.DK.Ser.BldNew.Thermal.SH.Biomass.Biomass_Waste</t>
  </si>
  <si>
    <t>FEC_per_sqm.kWh.DK.Ser.BldNew.Thermal.SH.Geo.Geo</t>
  </si>
  <si>
    <t>FEC_per_sqm.kWh.DK.Ser.BldNew.Thermal.SH.DistrHeat.Steam_Distr</t>
  </si>
  <si>
    <t>FEC_per_sqm.kWh.DK.Ser.BldNew.Thermal.SH.AdvElc.Elec</t>
  </si>
  <si>
    <t>FEC_per_sqm.kWh.DK.Ser.BldNew.Thermal.SH.ConvElc.Elec</t>
  </si>
  <si>
    <t>FEC_per_sqm.kWh.DK.Ser.BldNew.Thermal.SH.TotalCirculation.Elec</t>
  </si>
  <si>
    <t>FEC_per_sqm.kWh.DK.Ser.BldNew.Thermal.SC</t>
  </si>
  <si>
    <t>FEC_per_sqm.kWh.DK.Ser.BldNew.Thermal.SC.GasHP.NG_Biogas</t>
  </si>
  <si>
    <t>FEC_per_sqm.kWh.DK.Ser.BldNew.Thermal.SC.AC.Elec</t>
  </si>
  <si>
    <t>FEC_per_sqm.kWh.DK.Ser.BldNew.Thermal.HW</t>
  </si>
  <si>
    <t>FEC_per_sqm.kWh.DK.Ser.BldNew.Thermal.HW.Solids.Solids</t>
  </si>
  <si>
    <t>FEC_per_sqm.kWh.DK.Ser.BldNew.Thermal.HW.LPG.LPG</t>
  </si>
  <si>
    <t>FEC_per_sqm.kWh.DK.Ser.BldNew.Thermal.HW.Oil.Oil_LiqBio</t>
  </si>
  <si>
    <t>FEC_per_sqm.kWh.DK.Ser.BldNew.Thermal.HW.Gas.NG_Biogas</t>
  </si>
  <si>
    <t>FEC_per_sqm.kWh.DK.Ser.BldNew.Thermal.HW.Biomass.Biomass_Waste</t>
  </si>
  <si>
    <t>FEC_per_sqm.kWh.DK.Ser.BldNew.Thermal.HW.DistrHeat.Steam_Distr</t>
  </si>
  <si>
    <t>FEC_per_sqm.kWh.DK.Ser.BldNew.Thermal.HW.Elc.Elec</t>
  </si>
  <si>
    <t>FEC_per_sqm.kWh.DK.Ser.BldNew.Thermal.HW.TotalSolar.Solar</t>
  </si>
  <si>
    <t>FEC_per_sqm.kWh.DK.Ser.BldNew.Thermal.CA</t>
  </si>
  <si>
    <t>FEC_per_sqm.kWh.DK.Ser.BldNew.Thermal.CA.LPG</t>
  </si>
  <si>
    <t>FEC_per_sqm.kWh.DK.Ser.BldNew.Thermal.CA.Gas.NG_Biogas</t>
  </si>
  <si>
    <t>FEC_per_sqm.kWh.DK.Ser.BldNew.Thermal.CA.Biomass.Biomass_Waste</t>
  </si>
  <si>
    <t>FEC_per_sqm.kWh.DK.Ser.BldNew.Thermal.CA.Elc.Elec</t>
  </si>
  <si>
    <t>DK - Thermal energy service in new and renovated buildings per surface area</t>
  </si>
  <si>
    <t>TES_per_sqm.kWh.DK.Ser.BldNew.Thermal</t>
  </si>
  <si>
    <t>TES_per_sqm.kWh.DK.Ser.BldNew.Thermal.SH</t>
  </si>
  <si>
    <t>TES_per_sqm.kWh.DK.Ser.BldNew.Thermal.SH.Solids.Solids</t>
  </si>
  <si>
    <t>TES_per_sqm.kWh.DK.Ser.BldNew.Thermal.SH.LPG.LPG</t>
  </si>
  <si>
    <t>TES_per_sqm.kWh.DK.Ser.BldNew.Thermal.SH.Oil.Oil_LiqBio</t>
  </si>
  <si>
    <t>TES_per_sqm.kWh.DK.Ser.BldNew.Thermal.SH.GasHP.NG_Biogas</t>
  </si>
  <si>
    <t>TES_per_sqm.kWh.DK.Ser.BldNew.Thermal.SH.GasTH.NG_Biogas</t>
  </si>
  <si>
    <t>TES_per_sqm.kWh.DK.Ser.BldNew.Thermal.SH.Biomass.Biomass_Waste</t>
  </si>
  <si>
    <t>TES_per_sqm.kWh.DK.Ser.BldNew.Thermal.SH.Geo.Geo</t>
  </si>
  <si>
    <t>TES_per_sqm.kWh.DK.Ser.BldNew.Thermal.SH.DistrHeat.Steam_Distr</t>
  </si>
  <si>
    <t>TES_per_sqm.kWh.DK.Ser.BldNew.Thermal.SH.AdvElc.Elec</t>
  </si>
  <si>
    <t>TES_per_sqm.kWh.DK.Ser.BldNew.Thermal.SH.ConvElc.Elec</t>
  </si>
  <si>
    <t>TES_per_sqm.kWh.DK.Ser.BldNew.Thermal.SH.TotalCirculation.Elec</t>
  </si>
  <si>
    <t>TES_per_sqm.kWh.DK.Ser.BldNew.Thermal.SC</t>
  </si>
  <si>
    <t>TES_per_sqm.kWh.DK.Ser.BldNew.Thermal.SC.GasHP.NG_Biogas</t>
  </si>
  <si>
    <t>TES_per_sqm.kWh.DK.Ser.BldNew.Thermal.SC.AC.Elec</t>
  </si>
  <si>
    <t>TES_per_sqm.kWh.DK.Ser.BldNew.Thermal.HW</t>
  </si>
  <si>
    <t>TES_per_sqm.kWh.DK.Ser.BldNew.Thermal.HW.Solids.Solids</t>
  </si>
  <si>
    <t>TES_per_sqm.kWh.DK.Ser.BldNew.Thermal.HW.LPG.LPG</t>
  </si>
  <si>
    <t>TES_per_sqm.kWh.DK.Ser.BldNew.Thermal.HW.Oil.Oil_LiqBio</t>
  </si>
  <si>
    <t>TES_per_sqm.kWh.DK.Ser.BldNew.Thermal.HW.Gas.NG_Biogas</t>
  </si>
  <si>
    <t>TES_per_sqm.kWh.DK.Ser.BldNew.Thermal.HW.Biomass.Biomass_Waste</t>
  </si>
  <si>
    <t>TES_per_sqm.kWh.DK.Ser.BldNew.Thermal.HW.DistrHeat.Steam_Distr</t>
  </si>
  <si>
    <t>TES_per_sqm.kWh.DK.Ser.BldNew.Thermal.HW.Elc.Elec</t>
  </si>
  <si>
    <t>TES_per_sqm.kWh.DK.Ser.BldNew.Thermal.HW.TotalSolar.Solar</t>
  </si>
  <si>
    <t>TES_per_sqm.kWh.DK.Ser.BldNew.Thermal.CA</t>
  </si>
  <si>
    <t>TES_per_sqm.kWh.DK.Ser.BldNew.Thermal.CA.LPG</t>
  </si>
  <si>
    <t>TES_per_sqm.kWh.DK.Ser.BldNew.Thermal.CA.Gas.NG_Biogas</t>
  </si>
  <si>
    <t>TES_per_sqm.kWh.DK.Ser.BldNew.Thermal.CA.Biomass.Biomass_Waste</t>
  </si>
  <si>
    <t>TES_per_sqm.kWh.DK.Ser.BldNew.Thermal.CA.Elc.Elec</t>
  </si>
  <si>
    <t>DK - CO2 emissions in new and renovated buildings per surface area</t>
  </si>
  <si>
    <t>EMI_per_sqm.kgCO2.DK.Ser.BldNew.Thermal</t>
  </si>
  <si>
    <t>EMI_per_sqm.kgCO2.DK.Ser.BldNew.Thermal.SH</t>
  </si>
  <si>
    <t>EMI_per_sqm.kgCO2.DK.Ser.BldNew.Thermal.SH.Solids.Solids</t>
  </si>
  <si>
    <t>EMI_per_sqm.kgCO2.DK.Ser.BldNew.Thermal.SH.LPG.LPG</t>
  </si>
  <si>
    <t>EMI_per_sqm.kgCO2.DK.Ser.BldNew.Thermal.SH.Oil.Oil_LiqBio</t>
  </si>
  <si>
    <t>EMI_per_sqm.kgCO2.DK.Ser.BldNew.Thermal.SH.GasHP.NG_Biogas</t>
  </si>
  <si>
    <t>EMI_per_sqm.kgCO2.DK.Ser.BldNew.Thermal.SH.GasTH.NG_Biogas</t>
  </si>
  <si>
    <t>EMI_per_sqm.kgCO2.DK.Ser.BldNew.Thermal.SH.Biomass.Biomass_Waste</t>
  </si>
  <si>
    <t>EMI_per_sqm.kgCO2.DK.Ser.BldNew.Thermal.SH.Geo.Geo</t>
  </si>
  <si>
    <t>EMI_per_sqm.kgCO2.DK.Ser.BldNew.Thermal.SH.DistrHeat.Steam_Distr</t>
  </si>
  <si>
    <t>EMI_per_sqm.kgCO2.DK.Ser.BldNew.Thermal.SH.AdvElc.Elec</t>
  </si>
  <si>
    <t>EMI_per_sqm.kgCO2.DK.Ser.BldNew.Thermal.SH.ConvElc.Elec</t>
  </si>
  <si>
    <t>EMI_per_sqm.kgCO2.DK.Ser.BldNew.Thermal.SH.TotalCirculation.Elec</t>
  </si>
  <si>
    <t>EMI_per_sqm.kgCO2.DK.Ser.BldNew.Thermal.SC</t>
  </si>
  <si>
    <t>EMI_per_sqm.kgCO2.DK.Ser.BldNew.Thermal.SC.GasHP.NG_Biogas</t>
  </si>
  <si>
    <t>EMI_per_sqm.kgCO2.DK.Ser.BldNew.Thermal.SC.AC.Elec</t>
  </si>
  <si>
    <t>EMI_per_sqm.kgCO2.DK.Ser.BldNew.Thermal.HW</t>
  </si>
  <si>
    <t>EMI_per_sqm.kgCO2.DK.Ser.BldNew.Thermal.HW.Solids.Solids</t>
  </si>
  <si>
    <t>EMI_per_sqm.kgCO2.DK.Ser.BldNew.Thermal.HW.LPG.LPG</t>
  </si>
  <si>
    <t>EMI_per_sqm.kgCO2.DK.Ser.BldNew.Thermal.HW.Oil.Oil_LiqBio</t>
  </si>
  <si>
    <t>EMI_per_sqm.kgCO2.DK.Ser.BldNew.Thermal.HW.Gas.NG_Biogas</t>
  </si>
  <si>
    <t>EMI_per_sqm.kgCO2.DK.Ser.BldNew.Thermal.HW.Biomass.Biomass_Waste</t>
  </si>
  <si>
    <t>EMI_per_sqm.kgCO2.DK.Ser.BldNew.Thermal.HW.DistrHeat.Steam_Distr</t>
  </si>
  <si>
    <t>EMI_per_sqm.kgCO2.DK.Ser.BldNew.Thermal.HW.Elc.Elec</t>
  </si>
  <si>
    <t>EMI_per_sqm.kgCO2.DK.Ser.BldNew.Thermal.HW.TotalSolar.Solar</t>
  </si>
  <si>
    <t>EMI_per_sqm.kgCO2.DK.Ser.BldNew.Thermal.CA</t>
  </si>
  <si>
    <t>EMI_per_sqm.kgCO2.DK.Ser.BldNew.Thermal.CA.LPG</t>
  </si>
  <si>
    <t>EMI_per_sqm.kgCO2.DK.Ser.BldNew.Thermal.CA.Gas.NG_Biogas</t>
  </si>
  <si>
    <t>EMI_per_sqm.kgCO2.DK.Ser.BldNew.Thermal.CA.Biomass.Biomass_Waste</t>
  </si>
  <si>
    <t>EMI_per_sqm.kgCO2.DK.Ser.BldNew.Thermal.CA.Elc.Elec</t>
  </si>
  <si>
    <t>FEC.ktoe.DK.Ser.SEU.VE</t>
  </si>
  <si>
    <t>FEC.ktoe.DK.Ser.SEU.SL</t>
  </si>
  <si>
    <t>FEC.ktoe.DK.Ser.SEU.BL</t>
  </si>
  <si>
    <t>FEC.ktoe.DK.Ser.SEU.CR</t>
  </si>
  <si>
    <t>FEC.ktoe.DK.Ser.SEU.BT</t>
  </si>
  <si>
    <t>FEC.ktoe.DK.Ser.SEU.IT</t>
  </si>
  <si>
    <t>Size.MW.DK.Ser.SEU</t>
  </si>
  <si>
    <t>Size.MW.DK.Ser.SEU.VE</t>
  </si>
  <si>
    <t>Size.MW.DK.Ser.SEU.SL</t>
  </si>
  <si>
    <t>Size.MW.DK.Ser.SEU.BL</t>
  </si>
  <si>
    <t>Size.MW.DK.Ser.SEU.CR</t>
  </si>
  <si>
    <t>Size.MW.DK.Ser.SEU.BT</t>
  </si>
  <si>
    <t>Size.MW.DK.Ser.SEU.IT</t>
  </si>
  <si>
    <t>NUM.Msqm.DK.Ser.SEU.VE</t>
  </si>
  <si>
    <t>NUM.k.DK.Ser.SEU.SL</t>
  </si>
  <si>
    <t>NUM.M.DK.Ser.SEU.BL</t>
  </si>
  <si>
    <t>NUM.k.DK.Ser.SEU.CR</t>
  </si>
  <si>
    <t>NUM.Msqm.DK.Ser.SEU.BT</t>
  </si>
  <si>
    <t>NUM.k.DK.Ser.SEU.IT</t>
  </si>
  <si>
    <t>NUM.Msqm.DK.Ser.SEUnew.VE</t>
  </si>
  <si>
    <t>NUM.k.DK.Ser.SEUnew.SL</t>
  </si>
  <si>
    <t>NUM.M.DK.Ser.SEUnew.BL</t>
  </si>
  <si>
    <t>NUM.k.DK.Ser.SEUnew.CR</t>
  </si>
  <si>
    <t>NUM.Msqm.DK.Ser.SEUnew.BT</t>
  </si>
  <si>
    <t>NUM.k.DK.Ser.SEUnew.IT</t>
  </si>
  <si>
    <t>NUM.Msqm.DK.Ser.SEUrepl.VE</t>
  </si>
  <si>
    <t>NUM.k.DK.Ser.SEUrepl.SL</t>
  </si>
  <si>
    <t>NUM.M.DK.Ser.SEUrepl.BL</t>
  </si>
  <si>
    <t>NUM.k.DK.Ser.SEUrepl.CR</t>
  </si>
  <si>
    <t>NUM.Msqm.DK.Ser.SEUrepl.BT</t>
  </si>
  <si>
    <t>NUM.k.DK.Ser.SEUrepl.IT</t>
  </si>
  <si>
    <t>Op.hours.DK.Ser.SEU.VE</t>
  </si>
  <si>
    <t>Op.hours.DK.Ser.SEU.SL</t>
  </si>
  <si>
    <t>Op.hours.DK.Ser.SEU.BL</t>
  </si>
  <si>
    <t>Op.hours.DK.Ser.SEU.CR</t>
  </si>
  <si>
    <t>Op.hours.DK.Ser.SEU.BT</t>
  </si>
  <si>
    <t>Op.hours.DK.Ser.SEU.IT</t>
  </si>
  <si>
    <t>Size_per_appl.W.DK.Ser.SEU.VE</t>
  </si>
  <si>
    <t>Size_per_appl.W.DK.Ser.SEU.SL</t>
  </si>
  <si>
    <t>Size_per_appl.W.DK.Ser.SEU.BL</t>
  </si>
  <si>
    <t>Size_per_appl.W.DK.Ser.SEU.CR</t>
  </si>
  <si>
    <t>Size_per_appl.W.DK.Ser.SEU.BT</t>
  </si>
  <si>
    <t>Size_per_appl.W.DK.Ser.SEU.IT</t>
  </si>
  <si>
    <t>Size_per_appl.W.DK.Ser.SEUnew.VE</t>
  </si>
  <si>
    <t>Size_per_appl.W.DK.Ser.SEUnew.SL</t>
  </si>
  <si>
    <t>Size_per_appl.W.DK.Ser.SEUnew.BL</t>
  </si>
  <si>
    <t>Size_per_appl.W.DK.Ser.SEUnew.CR</t>
  </si>
  <si>
    <t>Size_per_appl.W.DK.Ser.SEUnew.BT</t>
  </si>
  <si>
    <t>Size_per_appl.W.DK.Ser.SEUnew.IT</t>
  </si>
  <si>
    <t>NUM.sqm_per_building.DK.Ser.SEU.VE</t>
  </si>
  <si>
    <t>NUM.number_per_capita.DK.Ser.SEU.SL</t>
  </si>
  <si>
    <t>NUM.number_per_building.DK.Ser.SEU.BL</t>
  </si>
  <si>
    <t>NUM.number_per_capita.DK.Ser.SEU.CR</t>
  </si>
  <si>
    <t>NUM.sqm_per_building.DK.Ser.SEU.BT</t>
  </si>
  <si>
    <t>NUM.number_per_capita.DK.Ser.SEU.IT</t>
  </si>
  <si>
    <t>Lumens_per_sqm.lumen.DK.Ser.SEU.BL</t>
  </si>
  <si>
    <t>FEC.ktoe.DK.Ser.SEU.IT.DataCenters</t>
  </si>
  <si>
    <t>DK - Services / specific electric uses</t>
  </si>
  <si>
    <t>DK - Ventilation and others</t>
  </si>
  <si>
    <t>DK - Street lighting</t>
  </si>
  <si>
    <t>DK - Building lighting</t>
  </si>
  <si>
    <t>DK - Commercial refrigeration</t>
  </si>
  <si>
    <t>DK - Miscellaneous building technologies</t>
  </si>
  <si>
    <t>DK - ICT and multimedia</t>
  </si>
  <si>
    <t>DK - Agriculture, forestry and fishing</t>
  </si>
  <si>
    <t>VA.Meuro2015.Meuro2023.DK.AGR.AGR</t>
  </si>
  <si>
    <t>OUTPUT.index.index.DK.AGR.AGR</t>
  </si>
  <si>
    <t>CAP.index.index.DK.AGR.AGR</t>
  </si>
  <si>
    <t>NEWCAP.index.index.DK.AGR.AGR</t>
  </si>
  <si>
    <t>CAPOUT.index.DK.AGR.AGR</t>
  </si>
  <si>
    <t>CAPIDLE.index.DK.AGR.AGR</t>
  </si>
  <si>
    <t>FEC.ktoe.DK.ES.AGR</t>
  </si>
  <si>
    <t>FEC.ktoe.DK.ES.AGR.Solids</t>
  </si>
  <si>
    <t>FEC.ktoe.DK.ES.AGR.LPG</t>
  </si>
  <si>
    <t>FEC.ktoe.DK.ES.AGR.Diesel</t>
  </si>
  <si>
    <t>FEC.ktoe.DK.ES.AGR.RFO</t>
  </si>
  <si>
    <t>FEC.ktoe.DK.ES.AGR.NG</t>
  </si>
  <si>
    <t>FEC.ktoe.DK.ES.AGR.Biomass_Waste</t>
  </si>
  <si>
    <t>FEC.ktoe.DK.ES.AGR.Biogas</t>
  </si>
  <si>
    <t>FEC.ktoe.DK.ES.AGR.LiqBio</t>
  </si>
  <si>
    <t>FEC.ktoe.DK.ES.AGR.Solar</t>
  </si>
  <si>
    <t>FEC.ktoe.DK.ES.AGR.Geo</t>
  </si>
  <si>
    <t>FEC.ktoe.DK.ES.AGR.Ambient</t>
  </si>
  <si>
    <t>FEC.ktoe.DK.ES.AGR.Steam_Distr</t>
  </si>
  <si>
    <t>FEC.ktoe.DK.ES.AGR.Elec</t>
  </si>
  <si>
    <t>DK - Agriculture, forestry and fishing / final energy consumption</t>
  </si>
  <si>
    <t>FEC.ktoe.ktoe.DK.AGR.AGR.LIGHT.GENERIC.ELEC</t>
  </si>
  <si>
    <t>FEC.ktoe.ktoe.DK.AGR.AGR.FANS.GENERIC.ELEC</t>
  </si>
  <si>
    <t>FEC.ktoe.ktoe.DK.AGR.AGR.MOTOR.GENERIC.ELEC</t>
  </si>
  <si>
    <t>FEC.ktoe.ktoe.DK.AGR.AGR.LOW_ENTH.THERM.DIESEL_LIQBIO</t>
  </si>
  <si>
    <t>FEC.ktoe.ktoe.DK.AGR.AGR.LOW_ENTH.THERM.NG_BIOGAS</t>
  </si>
  <si>
    <t>FEC.ktoe.ktoe.DK.AGR.AGR.LOW_ENTH.THERM.SOLAR_GEO</t>
  </si>
  <si>
    <t>FEC.ktoe.ktoe.DK.AGR.AGR.LOW_ENTH.HP.AMBIENT</t>
  </si>
  <si>
    <t>FEC.ktoe.ktoe.DK.AGR.AGR.LOW_ENTH.THERM.STEAM_DISTR</t>
  </si>
  <si>
    <t>FEC.ktoe.ktoe.DK.AGR.AGR.LOW_ENTH.THERM.ELEC</t>
  </si>
  <si>
    <t>FEC.ktoe.ktoe.DK.AGR.AGR.FARM_DRIVES.MECH.DIESEL_LIQBIO</t>
  </si>
  <si>
    <t>FEC.ktoe.ktoe.DK.AGR.AGR.HEAT_USE.THERM.SOLIDS</t>
  </si>
  <si>
    <t>FEC.ktoe.ktoe.DK.AGR.AGR.HEAT_USE.THERM.LPG</t>
  </si>
  <si>
    <t>FEC.ktoe.ktoe.DK.AGR.AGR.HEAT_USE.THERM.DIESEL_LIQBIO</t>
  </si>
  <si>
    <t>FEC.ktoe.ktoe.DK.AGR.AGR.HEAT_USE.THERM.RFO</t>
  </si>
  <si>
    <t>FEC.ktoe.ktoe.DK.AGR.AGR.HEAT_USE.THERM.NG_BIOGAS</t>
  </si>
  <si>
    <t>FEC.ktoe.ktoe.DK.AGR.AGR.HEAT_USE.THERM.BIOMASS_WASTE</t>
  </si>
  <si>
    <t>FEC.ktoe.ktoe.DK.AGR.AGR.HEAT_USE.THERM.SOLAR_GEO</t>
  </si>
  <si>
    <t>FEC.ktoe.ktoe.DK.AGR.AGR.FARM_PUMP.MECH.DIESEL_LIQBIO</t>
  </si>
  <si>
    <t>FEC.ktoe.ktoe.DK.AGR.AGR.FARM_PUMP_ELEC.MECH.ELEC</t>
  </si>
  <si>
    <t>FEC.ktoe.ktoe.DK.AGR.AGR.GENERIC.MECH.ELEC</t>
  </si>
  <si>
    <t>DK - Agriculture, forestry and fishing / useful energy demand</t>
  </si>
  <si>
    <t>UED.ktoe.ktoe.DK.AGR.AGR.LIGHT.GENERIC.ELEC</t>
  </si>
  <si>
    <t>UED.ktoe.ktoe.DK.AGR.AGR.FANS.GENERIC.ELEC</t>
  </si>
  <si>
    <t>UED.ktoe.ktoe.DK.AGR.AGR.MOTOR.GENERIC.ELEC</t>
  </si>
  <si>
    <t>UED.ktoe.ktoe.DK.AGR.AGR.LOW_ENTH.THERM.DIESEL_LIQBIO</t>
  </si>
  <si>
    <t>UED.ktoe.ktoe.DK.AGR.AGR.LOW_ENTH.THERM.NG_BIOGAS</t>
  </si>
  <si>
    <t>UED.ktoe.ktoe.DK.AGR.AGR.LOW_ENTH.THERM.SOLAR_GEO</t>
  </si>
  <si>
    <t>UED.ktoe.ktoe.DK.AGR.AGR.LOW_ENTH.HP.AMBIENT</t>
  </si>
  <si>
    <t>UED.ktoe.ktoe.DK.AGR.AGR.LOW_ENTH.THERM.STEAM_DISTR</t>
  </si>
  <si>
    <t>UED.ktoe.ktoe.DK.AGR.AGR.LOW_ENTH.THERM.ELEC</t>
  </si>
  <si>
    <t>UED.ktoe.ktoe.DK.AGR.AGR.FARM_DRIVES.MECH.DIESEL_LIQBIO</t>
  </si>
  <si>
    <t>UED.ktoe.ktoe.DK.AGR.AGR.HEAT_USE.THERM.SOLIDS</t>
  </si>
  <si>
    <t>UED.ktoe.ktoe.DK.AGR.AGR.HEAT_USE.THERM.LPG</t>
  </si>
  <si>
    <t>UED.ktoe.ktoe.DK.AGR.AGR.HEAT_USE.THERM.DIESEL_LIQBIO</t>
  </si>
  <si>
    <t>UED.ktoe.ktoe.DK.AGR.AGR.HEAT_USE.THERM.RFO</t>
  </si>
  <si>
    <t>UED.ktoe.ktoe.DK.AGR.AGR.HEAT_USE.THERM.NG_BIOGAS</t>
  </si>
  <si>
    <t>UED.ktoe.ktoe.DK.AGR.AGR.HEAT_USE.THERM.BIOMASS_WASTE</t>
  </si>
  <si>
    <t>UED.ktoe.ktoe.DK.AGR.AGR.HEAT_USE.THERM.SOLAR_GEO</t>
  </si>
  <si>
    <t>UED.ktoe.ktoe.DK.AGR.AGR.FARM_PUMP.MECH.DIESEL_LIQBIO</t>
  </si>
  <si>
    <t>UED.ktoe.ktoe.DK.AGR.AGR.FARM_PUMP_ELEC.MECH.ELEC</t>
  </si>
  <si>
    <t>UED.ktoe.ktoe.DK.AGR.AGR.GENERIC.MECH.ELEC</t>
  </si>
  <si>
    <t>DK - Agriculture, forestry and fishing / CO2 emissions</t>
  </si>
  <si>
    <t>FUEL_EMI.ktCO2.ktCO2.DK.AGR.AGR.LIGHT.GENERIC.ELEC</t>
  </si>
  <si>
    <t>FUEL_EMI.ktCO2.ktCO2.DK.AGR.AGR.FANS.GENERIC.ELEC</t>
  </si>
  <si>
    <t>FUEL_EMI.ktCO2.ktCO2.DK.AGR.AGR.MOTOR.GENERIC.ELEC</t>
  </si>
  <si>
    <t>FUEL_EMI.ktCO2.ktCO2.DK.AGR.AGR.LOW_ENTH.THERM.DIESEL_LIQBIO</t>
  </si>
  <si>
    <t>FUEL_EMI.ktCO2.ktCO2.DK.AGR.AGR.LOW_ENTH.THERM.NG_BIOGAS</t>
  </si>
  <si>
    <t>FUEL_EMI.ktCO2.ktCO2.DK.AGR.AGR.LOW_ENTH.THERM.SOLAR_GEO</t>
  </si>
  <si>
    <t>FUEL_EMI.ktCO2.ktCO2.DK.AGR.AGR.LOW_ENTH.HP.AMBIENT</t>
  </si>
  <si>
    <t>FUEL_EMI.ktCO2.ktCO2.DK.AGR.AGR.LOW_ENTH.THERM.STEAM_DISTR</t>
  </si>
  <si>
    <t>FUEL_EMI.ktCO2.ktCO2.DK.AGR.AGR.LOW_ENTH.THERM.ELEC</t>
  </si>
  <si>
    <t>FUEL_EMI.ktCO2.ktCO2.DK.AGR.AGR.FARM_DRIVES.MECH.DIESEL_LIQBIO</t>
  </si>
  <si>
    <t>FUEL_EMI.ktCO2.ktCO2.DK.AGR.AGR.HEAT_USE.THERM.SOLIDS</t>
  </si>
  <si>
    <t>FUEL_EMI.ktCO2.ktCO2.DK.AGR.AGR.HEAT_USE.THERM.LPG</t>
  </si>
  <si>
    <t>FUEL_EMI.ktCO2.ktCO2.DK.AGR.AGR.HEAT_USE.THERM.DIESEL_LIQBIO</t>
  </si>
  <si>
    <t>FUEL_EMI.ktCO2.ktCO2.DK.AGR.AGR.HEAT_USE.THERM.RFO</t>
  </si>
  <si>
    <t>FUEL_EMI.ktCO2.ktCO2.DK.AGR.AGR.HEAT_USE.THERM.NG_BIOGAS</t>
  </si>
  <si>
    <t>FUEL_EMI.ktCO2.ktCO2.DK.AGR.AGR.HEAT_USE.THERM.BIOMASS_WASTE</t>
  </si>
  <si>
    <t>FUEL_EMI.ktCO2.ktCO2.DK.AGR.AGR.HEAT_USE.THERM.SOLAR_GEO</t>
  </si>
  <si>
    <t>FUEL_EMI.ktCO2.ktCO2.DK.AGR.AGR.FARM_PUMP.MECH.DIESEL_LIQBIO</t>
  </si>
  <si>
    <t>FUEL_EMI.ktCO2.ktCO2.DK.AGR.AGR.FARM_PUMP_ELEC.MECH.ELEC</t>
  </si>
  <si>
    <t>FUEL_EMI.ktCO2.ktCO2.DK.AGR.AGR.GENERIC.MECH.ELEC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</si>
</sst>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45967.473576388889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5330020</v>
      </c>
      <c r="C3" s="34">
        <v>5349212</v>
      </c>
      <c r="D3" s="34">
        <v>5368354</v>
      </c>
      <c r="E3" s="34">
        <v>5383507</v>
      </c>
      <c r="F3" s="34">
        <v>5397640</v>
      </c>
      <c r="G3" s="34">
        <v>5411405</v>
      </c>
      <c r="H3" s="34">
        <v>5427459</v>
      </c>
      <c r="I3" s="34">
        <v>5447084</v>
      </c>
      <c r="J3" s="34">
        <v>5475791</v>
      </c>
      <c r="K3" s="34">
        <v>5511451</v>
      </c>
      <c r="L3" s="34">
        <v>5534738</v>
      </c>
      <c r="M3" s="34">
        <v>5560628</v>
      </c>
      <c r="N3" s="34">
        <v>5580516</v>
      </c>
      <c r="O3" s="34">
        <v>5602628</v>
      </c>
      <c r="P3" s="34">
        <v>5627235</v>
      </c>
      <c r="Q3" s="34">
        <v>5659715</v>
      </c>
      <c r="R3" s="34">
        <v>5707251</v>
      </c>
      <c r="S3" s="34">
        <v>5748769</v>
      </c>
      <c r="T3" s="34">
        <v>5781190</v>
      </c>
      <c r="U3" s="34">
        <v>5806081</v>
      </c>
      <c r="V3" s="34">
        <v>5822763</v>
      </c>
      <c r="W3" s="34">
        <v>5840045</v>
      </c>
      <c r="X3" s="34">
        <v>5873420</v>
      </c>
      <c r="Y3" s="34">
        <v>5932654</v>
      </c>
      <c r="DA3" s="88" t="s">
        <v>188</v>
      </c>
    </row>
    <row r="4" spans="1:105" ht="12" customHeight="1" x14ac:dyDescent="0.25">
      <c r="A4" s="35" t="s">
        <v>178</v>
      </c>
      <c r="B4" s="36">
        <v>280411.01254535269</v>
      </c>
      <c r="C4" s="36">
        <v>283074.06263967842</v>
      </c>
      <c r="D4" s="36">
        <v>284364.73394013103</v>
      </c>
      <c r="E4" s="36">
        <v>285621.26579834241</v>
      </c>
      <c r="F4" s="36">
        <v>293551.75147089432</v>
      </c>
      <c r="G4" s="36">
        <v>300478.33227436303</v>
      </c>
      <c r="H4" s="36">
        <v>311945.37215698644</v>
      </c>
      <c r="I4" s="36">
        <v>315026.12305211823</v>
      </c>
      <c r="J4" s="36">
        <v>313709.68978562835</v>
      </c>
      <c r="K4" s="36">
        <v>298103.46210656647</v>
      </c>
      <c r="L4" s="36">
        <v>302822.8594742826</v>
      </c>
      <c r="M4" s="36">
        <v>306791.28513278783</v>
      </c>
      <c r="N4" s="36">
        <v>306777.13710811891</v>
      </c>
      <c r="O4" s="36">
        <v>311048.0429203136</v>
      </c>
      <c r="P4" s="36">
        <v>315022.69360931311</v>
      </c>
      <c r="Q4" s="36">
        <v>321653.19003</v>
      </c>
      <c r="R4" s="36">
        <v>331536.43443528912</v>
      </c>
      <c r="S4" s="36">
        <v>341671.65692591795</v>
      </c>
      <c r="T4" s="36">
        <v>348027.23202751228</v>
      </c>
      <c r="U4" s="36">
        <v>353982.0490684738</v>
      </c>
      <c r="V4" s="36">
        <v>347680.43841955432</v>
      </c>
      <c r="W4" s="36">
        <v>370281.86007155507</v>
      </c>
      <c r="X4" s="36">
        <v>371924.79324991524</v>
      </c>
      <c r="Y4" s="36">
        <v>374173.6</v>
      </c>
      <c r="DA4" s="89" t="s">
        <v>189</v>
      </c>
    </row>
    <row r="5" spans="1:105" ht="12" customHeight="1" x14ac:dyDescent="0.25">
      <c r="A5" s="35" t="s">
        <v>179</v>
      </c>
      <c r="B5" s="36">
        <v>176254.57959893587</v>
      </c>
      <c r="C5" s="36">
        <v>179837.1038380409</v>
      </c>
      <c r="D5" s="36">
        <v>182547.26809721719</v>
      </c>
      <c r="E5" s="36">
        <v>185370.68304040949</v>
      </c>
      <c r="F5" s="36">
        <v>189017.39771947273</v>
      </c>
      <c r="G5" s="36">
        <v>192914.89469515401</v>
      </c>
      <c r="H5" s="36">
        <v>198192.20557158533</v>
      </c>
      <c r="I5" s="36">
        <v>201232.04789142025</v>
      </c>
      <c r="J5" s="36">
        <v>202089.25896458668</v>
      </c>
      <c r="K5" s="36">
        <v>201678.69864523542</v>
      </c>
      <c r="L5" s="36">
        <v>205047.83002382092</v>
      </c>
      <c r="M5" s="36">
        <v>206401.27512338129</v>
      </c>
      <c r="N5" s="36">
        <v>205548.22157803844</v>
      </c>
      <c r="O5" s="36">
        <v>210014.53252400472</v>
      </c>
      <c r="P5" s="36">
        <v>213057.90240590923</v>
      </c>
      <c r="Q5" s="36">
        <v>218558.21746500002</v>
      </c>
      <c r="R5" s="36">
        <v>222734.95728882775</v>
      </c>
      <c r="S5" s="36">
        <v>228003.2320092477</v>
      </c>
      <c r="T5" s="36">
        <v>231814.81851240803</v>
      </c>
      <c r="U5" s="36">
        <v>234776.93182447055</v>
      </c>
      <c r="V5" s="36">
        <v>232594.94283821483</v>
      </c>
      <c r="W5" s="36">
        <v>250244.93034103126</v>
      </c>
      <c r="X5" s="36">
        <v>249833.21971864349</v>
      </c>
      <c r="Y5" s="36">
        <v>243054.32826854361</v>
      </c>
      <c r="DA5" s="89" t="s">
        <v>190</v>
      </c>
    </row>
    <row r="6" spans="1:105" ht="12" customHeight="1" x14ac:dyDescent="0.25">
      <c r="A6" s="37" t="s">
        <v>70</v>
      </c>
      <c r="B6" s="38">
        <v>2080489.9999999998</v>
      </c>
      <c r="C6" s="38">
        <v>2109350.0000000005</v>
      </c>
      <c r="D6" s="38">
        <v>2124779.9999999995</v>
      </c>
      <c r="E6" s="38">
        <v>2121230.0000000005</v>
      </c>
      <c r="F6" s="38">
        <v>2126930</v>
      </c>
      <c r="G6" s="38">
        <v>2163390</v>
      </c>
      <c r="H6" s="38">
        <v>2216420</v>
      </c>
      <c r="I6" s="38">
        <v>2267279.9999999995</v>
      </c>
      <c r="J6" s="38">
        <v>2301110</v>
      </c>
      <c r="K6" s="38">
        <v>2276730</v>
      </c>
      <c r="L6" s="38">
        <v>2256270</v>
      </c>
      <c r="M6" s="38">
        <v>2256630</v>
      </c>
      <c r="N6" s="38">
        <v>2245520.0000000005</v>
      </c>
      <c r="O6" s="38">
        <v>2254600.0000000005</v>
      </c>
      <c r="P6" s="38">
        <v>2270069.9999999995</v>
      </c>
      <c r="Q6" s="38">
        <v>2302290</v>
      </c>
      <c r="R6" s="38">
        <v>2340660</v>
      </c>
      <c r="S6" s="38">
        <v>2372500</v>
      </c>
      <c r="T6" s="38">
        <v>2411189.9999999995</v>
      </c>
      <c r="U6" s="38">
        <v>2450299.9999999995</v>
      </c>
      <c r="V6" s="38">
        <v>2419180.0000000005</v>
      </c>
      <c r="W6" s="38">
        <v>2477390</v>
      </c>
      <c r="X6" s="38">
        <v>2579000</v>
      </c>
      <c r="Y6" s="38">
        <v>2607689.9999999995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119477.70052822621</v>
      </c>
      <c r="C8" s="34">
        <v>122165.37917569031</v>
      </c>
      <c r="D8" s="34">
        <v>125306.95082177984</v>
      </c>
      <c r="E8" s="34">
        <v>128186.35788324017</v>
      </c>
      <c r="F8" s="34">
        <v>130895.08598977952</v>
      </c>
      <c r="G8" s="34">
        <v>133607.15082681717</v>
      </c>
      <c r="H8" s="34">
        <v>136388.83603675748</v>
      </c>
      <c r="I8" s="34">
        <v>140487.92674731012</v>
      </c>
      <c r="J8" s="34">
        <v>142416.49997481008</v>
      </c>
      <c r="K8" s="34">
        <v>145396.81705721348</v>
      </c>
      <c r="L8" s="34">
        <v>148509.16636174527</v>
      </c>
      <c r="M8" s="34">
        <v>149546.6504156256</v>
      </c>
      <c r="N8" s="34">
        <v>150060.89195188886</v>
      </c>
      <c r="O8" s="34">
        <v>150763.81319661444</v>
      </c>
      <c r="P8" s="34">
        <v>151808.81898215198</v>
      </c>
      <c r="Q8" s="34">
        <v>152896.62034606264</v>
      </c>
      <c r="R8" s="34">
        <v>154235.5308712952</v>
      </c>
      <c r="S8" s="34">
        <v>155717.70368522327</v>
      </c>
      <c r="T8" s="34">
        <v>157038.30729118455</v>
      </c>
      <c r="U8" s="34">
        <v>158393.01542561734</v>
      </c>
      <c r="V8" s="34">
        <v>159721.10444444444</v>
      </c>
      <c r="W8" s="34">
        <v>161040.51769853642</v>
      </c>
      <c r="X8" s="34">
        <v>162354.7270324456</v>
      </c>
      <c r="Y8" s="34">
        <v>163663.06066628764</v>
      </c>
      <c r="DA8" s="88" t="s">
        <v>192</v>
      </c>
    </row>
    <row r="9" spans="1:105" ht="12" customHeight="1" x14ac:dyDescent="0.25">
      <c r="A9" s="39" t="s">
        <v>68</v>
      </c>
      <c r="B9" s="40">
        <v>107529.93047540358</v>
      </c>
      <c r="C9" s="40">
        <v>109948.84125812128</v>
      </c>
      <c r="D9" s="40">
        <v>112776.25573960187</v>
      </c>
      <c r="E9" s="40">
        <v>115367.72209491614</v>
      </c>
      <c r="F9" s="40">
        <v>117805.57739080157</v>
      </c>
      <c r="G9" s="40">
        <v>120246.43574413545</v>
      </c>
      <c r="H9" s="40">
        <v>122749.95243308172</v>
      </c>
      <c r="I9" s="40">
        <v>126439.13407257911</v>
      </c>
      <c r="J9" s="40">
        <v>128174.84997732908</v>
      </c>
      <c r="K9" s="40">
        <v>130857.13535149215</v>
      </c>
      <c r="L9" s="40">
        <v>133658.24972557076</v>
      </c>
      <c r="M9" s="40">
        <v>134591.98537406305</v>
      </c>
      <c r="N9" s="40">
        <v>135054.80275669997</v>
      </c>
      <c r="O9" s="40">
        <v>135687.43187695299</v>
      </c>
      <c r="P9" s="40">
        <v>136627.93708393679</v>
      </c>
      <c r="Q9" s="40">
        <v>137606.95831145637</v>
      </c>
      <c r="R9" s="40">
        <v>138811.97778416568</v>
      </c>
      <c r="S9" s="40">
        <v>140145.93331670095</v>
      </c>
      <c r="T9" s="40">
        <v>141334.47656206612</v>
      </c>
      <c r="U9" s="40">
        <v>142553.71388305561</v>
      </c>
      <c r="V9" s="40">
        <v>143748.99400000001</v>
      </c>
      <c r="W9" s="40">
        <v>144936.4659286828</v>
      </c>
      <c r="X9" s="40">
        <v>146119.25432920104</v>
      </c>
      <c r="Y9" s="40">
        <v>147296.75459965886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3165.5337283212557</v>
      </c>
      <c r="D10" s="41">
        <v>3630.0908679647828</v>
      </c>
      <c r="E10" s="41">
        <v>3380.6216893093756</v>
      </c>
      <c r="F10" s="41">
        <v>3221.6225078844609</v>
      </c>
      <c r="G10" s="41">
        <v>3235.6233794007831</v>
      </c>
      <c r="H10" s="41">
        <v>3315.9078933214928</v>
      </c>
      <c r="I10" s="41">
        <v>4644.4853511909032</v>
      </c>
      <c r="J10" s="41">
        <v>2490.7258040237402</v>
      </c>
      <c r="K10" s="41">
        <v>3550.086902511483</v>
      </c>
      <c r="L10" s="41">
        <v>3693.7988981358958</v>
      </c>
      <c r="M10" s="41">
        <v>1631.629053458259</v>
      </c>
      <c r="N10" s="41">
        <v>1112.4490657528083</v>
      </c>
      <c r="O10" s="41">
        <v>1303.1600391710438</v>
      </c>
      <c r="P10" s="41">
        <v>1648.2914774166989</v>
      </c>
      <c r="Q10" s="41">
        <v>1695.1495857014372</v>
      </c>
      <c r="R10" s="41">
        <v>2131.120993346839</v>
      </c>
      <c r="S10" s="41">
        <v>2281.3206422767958</v>
      </c>
      <c r="T10" s="41">
        <v>2127.4310861956073</v>
      </c>
      <c r="U10" s="41">
        <v>2168.3781203974754</v>
      </c>
      <c r="V10" s="41">
        <v>2148.7782179235614</v>
      </c>
      <c r="W10" s="41">
        <v>2146.9837434414035</v>
      </c>
      <c r="X10" s="41">
        <v>2148.6161613627746</v>
      </c>
      <c r="Y10" s="41">
        <v>2149.5498360825823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2848.98035548913</v>
      </c>
      <c r="D11" s="42">
        <v>3267.0817811683046</v>
      </c>
      <c r="E11" s="42">
        <v>3042.5595203784378</v>
      </c>
      <c r="F11" s="42">
        <v>2899.4602570960146</v>
      </c>
      <c r="G11" s="42">
        <v>2912.0610414607049</v>
      </c>
      <c r="H11" s="42">
        <v>2984.3171039893432</v>
      </c>
      <c r="I11" s="42">
        <v>4180.0368160718135</v>
      </c>
      <c r="J11" s="42">
        <v>2241.6532236213666</v>
      </c>
      <c r="K11" s="42">
        <v>3195.078212260335</v>
      </c>
      <c r="L11" s="42">
        <v>3324.4190083223066</v>
      </c>
      <c r="M11" s="42">
        <v>1468.4661481124331</v>
      </c>
      <c r="N11" s="42">
        <v>1001.2041591775273</v>
      </c>
      <c r="O11" s="42">
        <v>1172.8440352539394</v>
      </c>
      <c r="P11" s="42">
        <v>1483.462329675029</v>
      </c>
      <c r="Q11" s="42">
        <v>1525.6346271312934</v>
      </c>
      <c r="R11" s="42">
        <v>1918.0088940121552</v>
      </c>
      <c r="S11" s="42">
        <v>2053.1885780491161</v>
      </c>
      <c r="T11" s="42">
        <v>1914.6879775760467</v>
      </c>
      <c r="U11" s="42">
        <v>1951.5403083577278</v>
      </c>
      <c r="V11" s="42">
        <v>1933.9003961312053</v>
      </c>
      <c r="W11" s="42">
        <v>1932.2853690972634</v>
      </c>
      <c r="X11" s="42">
        <v>1933.7545452264974</v>
      </c>
      <c r="Y11" s="42">
        <v>1934.5948524743237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3112.07</v>
      </c>
      <c r="C13" s="43">
        <v>3494.43</v>
      </c>
      <c r="D13" s="43">
        <v>3189.34</v>
      </c>
      <c r="E13" s="43">
        <v>3325.61</v>
      </c>
      <c r="F13" s="43">
        <v>3309.22</v>
      </c>
      <c r="G13" s="43">
        <v>3261.34</v>
      </c>
      <c r="H13" s="43">
        <v>3084.26</v>
      </c>
      <c r="I13" s="43">
        <v>3000.97</v>
      </c>
      <c r="J13" s="43">
        <v>3019.35</v>
      </c>
      <c r="K13" s="43">
        <v>3230.76</v>
      </c>
      <c r="L13" s="43">
        <v>3982.16</v>
      </c>
      <c r="M13" s="43">
        <v>3148.45</v>
      </c>
      <c r="N13" s="43">
        <v>3424.15</v>
      </c>
      <c r="O13" s="43">
        <v>3396.28</v>
      </c>
      <c r="P13" s="43">
        <v>2834.98</v>
      </c>
      <c r="Q13" s="43">
        <v>3114.15</v>
      </c>
      <c r="R13" s="43">
        <v>3141.46</v>
      </c>
      <c r="S13" s="43">
        <v>3112.11</v>
      </c>
      <c r="T13" s="43">
        <v>3048.54</v>
      </c>
      <c r="U13" s="43">
        <v>3026.8</v>
      </c>
      <c r="V13" s="43">
        <v>2921.4</v>
      </c>
      <c r="W13" s="43">
        <v>3263.77</v>
      </c>
      <c r="X13" s="43">
        <v>3019.14</v>
      </c>
      <c r="Y13" s="43">
        <v>3034.4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3198.9442857142867</v>
      </c>
      <c r="C14" s="44">
        <f t="shared" ref="C14:Y14" si="0">AVERAGE($B$13:$V$13)</f>
        <v>3198.9442857142867</v>
      </c>
      <c r="D14" s="44">
        <f t="shared" si="0"/>
        <v>3198.9442857142867</v>
      </c>
      <c r="E14" s="44">
        <f t="shared" si="0"/>
        <v>3198.9442857142867</v>
      </c>
      <c r="F14" s="44">
        <f t="shared" si="0"/>
        <v>3198.9442857142867</v>
      </c>
      <c r="G14" s="44">
        <f t="shared" si="0"/>
        <v>3198.9442857142867</v>
      </c>
      <c r="H14" s="44">
        <f t="shared" si="0"/>
        <v>3198.9442857142867</v>
      </c>
      <c r="I14" s="44">
        <f t="shared" si="0"/>
        <v>3198.9442857142867</v>
      </c>
      <c r="J14" s="44">
        <f t="shared" si="0"/>
        <v>3198.9442857142867</v>
      </c>
      <c r="K14" s="44">
        <f t="shared" si="0"/>
        <v>3198.9442857142867</v>
      </c>
      <c r="L14" s="44">
        <f t="shared" si="0"/>
        <v>3198.9442857142867</v>
      </c>
      <c r="M14" s="44">
        <f t="shared" si="0"/>
        <v>3198.9442857142867</v>
      </c>
      <c r="N14" s="44">
        <f t="shared" si="0"/>
        <v>3198.9442857142867</v>
      </c>
      <c r="O14" s="44">
        <f t="shared" si="0"/>
        <v>3198.9442857142867</v>
      </c>
      <c r="P14" s="44">
        <f t="shared" si="0"/>
        <v>3198.9442857142867</v>
      </c>
      <c r="Q14" s="44">
        <f t="shared" si="0"/>
        <v>3198.9442857142867</v>
      </c>
      <c r="R14" s="44">
        <f t="shared" si="0"/>
        <v>3198.9442857142867</v>
      </c>
      <c r="S14" s="44">
        <f t="shared" si="0"/>
        <v>3198.9442857142867</v>
      </c>
      <c r="T14" s="44">
        <f t="shared" si="0"/>
        <v>3198.9442857142867</v>
      </c>
      <c r="U14" s="44">
        <f t="shared" si="0"/>
        <v>3198.9442857142867</v>
      </c>
      <c r="V14" s="44">
        <f t="shared" si="0"/>
        <v>3198.9442857142867</v>
      </c>
      <c r="W14" s="44">
        <f t="shared" si="0"/>
        <v>3198.9442857142867</v>
      </c>
      <c r="X14" s="44">
        <f t="shared" si="0"/>
        <v>3198.9442857142867</v>
      </c>
      <c r="Y14" s="44">
        <f t="shared" si="0"/>
        <v>3198.9442857142867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0.97284282627170282</v>
      </c>
      <c r="C15" s="46">
        <f t="shared" ref="C15:W15" si="1">C13/C14</f>
        <v>1.0923697594876163</v>
      </c>
      <c r="D15" s="46">
        <f t="shared" si="1"/>
        <v>0.99699767021352104</v>
      </c>
      <c r="E15" s="46">
        <f t="shared" si="1"/>
        <v>1.0395960988915536</v>
      </c>
      <c r="F15" s="46">
        <f t="shared" si="1"/>
        <v>1.0344725335724594</v>
      </c>
      <c r="G15" s="46">
        <f t="shared" si="1"/>
        <v>1.019505095654325</v>
      </c>
      <c r="H15" s="46">
        <f t="shared" si="1"/>
        <v>0.96414933319519225</v>
      </c>
      <c r="I15" s="46">
        <f t="shared" si="1"/>
        <v>0.93811261840401772</v>
      </c>
      <c r="J15" s="46">
        <f t="shared" si="1"/>
        <v>0.94385826395404526</v>
      </c>
      <c r="K15" s="46">
        <f t="shared" si="1"/>
        <v>1.0099456919046057</v>
      </c>
      <c r="L15" s="46">
        <f t="shared" si="1"/>
        <v>1.2448356846298843</v>
      </c>
      <c r="M15" s="46">
        <f t="shared" si="1"/>
        <v>0.98421532818193114</v>
      </c>
      <c r="N15" s="46">
        <f t="shared" si="1"/>
        <v>1.0704000114323429</v>
      </c>
      <c r="O15" s="46">
        <f t="shared" si="1"/>
        <v>1.061687762167965</v>
      </c>
      <c r="P15" s="46">
        <f t="shared" si="1"/>
        <v>0.88622362466903115</v>
      </c>
      <c r="Q15" s="46">
        <f t="shared" si="1"/>
        <v>0.9734930407844371</v>
      </c>
      <c r="R15" s="46">
        <f t="shared" si="1"/>
        <v>0.98203023229538644</v>
      </c>
      <c r="S15" s="46">
        <f t="shared" si="1"/>
        <v>0.97285533039694772</v>
      </c>
      <c r="T15" s="46">
        <f t="shared" si="1"/>
        <v>0.95298314935150452</v>
      </c>
      <c r="U15" s="46">
        <f t="shared" si="1"/>
        <v>0.9461871572809063</v>
      </c>
      <c r="V15" s="46">
        <f t="shared" si="1"/>
        <v>0.91323878726061836</v>
      </c>
      <c r="W15" s="46">
        <f t="shared" si="1"/>
        <v>1.0202647212629521</v>
      </c>
      <c r="X15" s="46">
        <f t="shared" ref="X15:Y15" si="2">X13/X14</f>
        <v>0.94379261729650954</v>
      </c>
      <c r="Y15" s="46">
        <f t="shared" si="2"/>
        <v>0.94856294107743555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52609.748658607787</v>
      </c>
      <c r="C19" s="34">
        <f t="shared" si="3"/>
        <v>52918.834145978588</v>
      </c>
      <c r="D19" s="34">
        <f t="shared" ref="D19:W19" si="4">D4*1000000/D3</f>
        <v>52970.563032939157</v>
      </c>
      <c r="E19" s="34">
        <f t="shared" si="4"/>
        <v>53054.870328643097</v>
      </c>
      <c r="F19" s="34">
        <f t="shared" si="4"/>
        <v>54385.203805903016</v>
      </c>
      <c r="G19" s="34">
        <f t="shared" si="4"/>
        <v>55526.860819761787</v>
      </c>
      <c r="H19" s="34">
        <f t="shared" si="4"/>
        <v>57475.399106098535</v>
      </c>
      <c r="I19" s="34">
        <f t="shared" si="4"/>
        <v>57833.902148767709</v>
      </c>
      <c r="J19" s="34">
        <f t="shared" si="4"/>
        <v>57290.296467784901</v>
      </c>
      <c r="K19" s="34">
        <f t="shared" si="4"/>
        <v>54088.018219987163</v>
      </c>
      <c r="L19" s="34">
        <f t="shared" si="4"/>
        <v>54713.133570962636</v>
      </c>
      <c r="M19" s="34">
        <f t="shared" si="4"/>
        <v>55172.057028952098</v>
      </c>
      <c r="N19" s="34">
        <f t="shared" si="4"/>
        <v>54972.898045291673</v>
      </c>
      <c r="O19" s="34">
        <f t="shared" si="4"/>
        <v>55518.239461965633</v>
      </c>
      <c r="P19" s="34">
        <f t="shared" si="4"/>
        <v>55981.790987814282</v>
      </c>
      <c r="Q19" s="34">
        <f t="shared" si="4"/>
        <v>56832.047202023423</v>
      </c>
      <c r="R19" s="34">
        <f t="shared" si="4"/>
        <v>58090.389652617196</v>
      </c>
      <c r="S19" s="34">
        <f t="shared" si="4"/>
        <v>59433.881745103688</v>
      </c>
      <c r="T19" s="34">
        <f t="shared" si="4"/>
        <v>60199.929777003053</v>
      </c>
      <c r="U19" s="34">
        <f t="shared" si="4"/>
        <v>60967.466535253952</v>
      </c>
      <c r="V19" s="34">
        <f t="shared" si="4"/>
        <v>59710.559818346432</v>
      </c>
      <c r="W19" s="34">
        <f t="shared" si="4"/>
        <v>63403.939536691076</v>
      </c>
      <c r="X19" s="34">
        <f t="shared" ref="X19:Y19" si="5">X4*1000000/X3</f>
        <v>63323.377733912304</v>
      </c>
      <c r="Y19" s="34">
        <f t="shared" si="5"/>
        <v>63070.187474273742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84717.821089712466</v>
      </c>
      <c r="C20" s="36">
        <f t="shared" si="6"/>
        <v>85257.118940925327</v>
      </c>
      <c r="D20" s="36">
        <f t="shared" ref="D20:W20" si="7">D5*1000000/D6</f>
        <v>85913.491324851158</v>
      </c>
      <c r="E20" s="36">
        <f t="shared" si="7"/>
        <v>87388.299731952429</v>
      </c>
      <c r="F20" s="36">
        <f t="shared" si="7"/>
        <v>88868.649988233155</v>
      </c>
      <c r="G20" s="36">
        <f t="shared" si="7"/>
        <v>89172.499963092196</v>
      </c>
      <c r="H20" s="36">
        <f t="shared" si="7"/>
        <v>89419.968043775691</v>
      </c>
      <c r="I20" s="36">
        <f t="shared" si="7"/>
        <v>88754.828645522517</v>
      </c>
      <c r="J20" s="36">
        <f t="shared" si="7"/>
        <v>87822.511294369528</v>
      </c>
      <c r="K20" s="36">
        <f t="shared" si="7"/>
        <v>88582.615701130751</v>
      </c>
      <c r="L20" s="36">
        <f t="shared" si="7"/>
        <v>90879.11908761847</v>
      </c>
      <c r="M20" s="36">
        <f t="shared" si="7"/>
        <v>91464.385000368376</v>
      </c>
      <c r="N20" s="36">
        <f t="shared" si="7"/>
        <v>91537.025534414483</v>
      </c>
      <c r="O20" s="36">
        <f t="shared" si="7"/>
        <v>93149.353554512854</v>
      </c>
      <c r="P20" s="36">
        <f t="shared" si="7"/>
        <v>93855.212573140598</v>
      </c>
      <c r="Q20" s="36">
        <f t="shared" si="7"/>
        <v>94930.793889996494</v>
      </c>
      <c r="R20" s="36">
        <f t="shared" si="7"/>
        <v>95159.039454182901</v>
      </c>
      <c r="S20" s="36">
        <f t="shared" si="7"/>
        <v>96102.521394835712</v>
      </c>
      <c r="T20" s="36">
        <f t="shared" si="7"/>
        <v>96141.249139390944</v>
      </c>
      <c r="U20" s="36">
        <f t="shared" si="7"/>
        <v>95815.586591221727</v>
      </c>
      <c r="V20" s="36">
        <f t="shared" si="7"/>
        <v>96146.1912045465</v>
      </c>
      <c r="W20" s="36">
        <f t="shared" si="7"/>
        <v>101011.52032624304</v>
      </c>
      <c r="X20" s="36">
        <f t="shared" ref="X20:Y20" si="8">X5*1000000/X6</f>
        <v>96872.128622971504</v>
      </c>
      <c r="Y20" s="36">
        <f t="shared" si="8"/>
        <v>93206.757041114412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33068.27734209926</v>
      </c>
      <c r="C21" s="36">
        <f t="shared" si="9"/>
        <v>33619.363719000277</v>
      </c>
      <c r="D21" s="36">
        <f t="shared" ref="D21:W21" si="10">D5*1000000/D3</f>
        <v>34004.327601573445</v>
      </c>
      <c r="E21" s="36">
        <f t="shared" si="10"/>
        <v>34433.071795097414</v>
      </c>
      <c r="F21" s="36">
        <f t="shared" si="10"/>
        <v>35018.526192831079</v>
      </c>
      <c r="G21" s="36">
        <f t="shared" si="10"/>
        <v>35649.687039715936</v>
      </c>
      <c r="H21" s="36">
        <f t="shared" si="10"/>
        <v>36516.573514712007</v>
      </c>
      <c r="I21" s="36">
        <f t="shared" si="10"/>
        <v>36943.077780959546</v>
      </c>
      <c r="J21" s="36">
        <f t="shared" si="10"/>
        <v>36905.948193527962</v>
      </c>
      <c r="K21" s="36">
        <f t="shared" si="10"/>
        <v>36592.668363600693</v>
      </c>
      <c r="L21" s="36">
        <f t="shared" si="10"/>
        <v>37047.432059804982</v>
      </c>
      <c r="M21" s="36">
        <f t="shared" si="10"/>
        <v>37118.338993973572</v>
      </c>
      <c r="N21" s="36">
        <f t="shared" si="10"/>
        <v>36833.192768919296</v>
      </c>
      <c r="O21" s="36">
        <f t="shared" si="10"/>
        <v>37485.003916734204</v>
      </c>
      <c r="P21" s="36">
        <f t="shared" si="10"/>
        <v>37861.916626177728</v>
      </c>
      <c r="Q21" s="36">
        <f t="shared" si="10"/>
        <v>38616.470522809017</v>
      </c>
      <c r="R21" s="36">
        <f t="shared" si="10"/>
        <v>39026.66227380358</v>
      </c>
      <c r="S21" s="36">
        <f t="shared" si="10"/>
        <v>39661.226952978577</v>
      </c>
      <c r="T21" s="36">
        <f t="shared" si="10"/>
        <v>40098.114490685832</v>
      </c>
      <c r="U21" s="36">
        <f t="shared" si="10"/>
        <v>40436.385889978206</v>
      </c>
      <c r="V21" s="36">
        <f t="shared" si="10"/>
        <v>39945.802849646265</v>
      </c>
      <c r="W21" s="36">
        <f t="shared" si="10"/>
        <v>42849.829126493249</v>
      </c>
      <c r="X21" s="36">
        <f t="shared" ref="X21:Y21" si="11">X5*1000000/X3</f>
        <v>42536.242890623093</v>
      </c>
      <c r="Y21" s="36">
        <f t="shared" si="11"/>
        <v>40968.903338799733</v>
      </c>
      <c r="DA21" s="89"/>
    </row>
    <row r="22" spans="1:105" ht="12" customHeight="1" x14ac:dyDescent="0.25">
      <c r="A22" s="51" t="s">
        <v>148</v>
      </c>
      <c r="B22" s="52">
        <v>1.8042666784667494</v>
      </c>
      <c r="C22" s="52">
        <v>1.7885893772023138</v>
      </c>
      <c r="D22" s="52">
        <v>1.7732892554811812</v>
      </c>
      <c r="E22" s="52">
        <v>1.7760250695859905</v>
      </c>
      <c r="F22" s="52">
        <v>1.7652684374437115</v>
      </c>
      <c r="G22" s="52">
        <v>1.7591289283787961</v>
      </c>
      <c r="H22" s="52">
        <v>1.7483554412442501</v>
      </c>
      <c r="I22" s="52">
        <v>1.7161920776913648</v>
      </c>
      <c r="J22" s="52">
        <v>1.6916842240735737</v>
      </c>
      <c r="K22" s="52">
        <v>1.7161397775261471</v>
      </c>
      <c r="L22" s="52">
        <v>1.7117178305365108</v>
      </c>
      <c r="M22" s="52">
        <v>1.6812123757471358</v>
      </c>
      <c r="N22" s="52">
        <v>1.673602120297599</v>
      </c>
      <c r="O22" s="52">
        <v>1.6934174489696796</v>
      </c>
      <c r="P22" s="52">
        <v>1.6826308365177047</v>
      </c>
      <c r="Q22" s="52">
        <v>1.6881086360580526</v>
      </c>
      <c r="R22" s="52">
        <v>1.677802633209551</v>
      </c>
      <c r="S22" s="52">
        <v>1.6604532759950497</v>
      </c>
      <c r="T22" s="52">
        <v>1.643303517609757</v>
      </c>
      <c r="U22" s="52">
        <v>1.6263413496457619</v>
      </c>
      <c r="V22" s="52">
        <v>1.6975017205438883</v>
      </c>
      <c r="W22" s="52">
        <v>1.7157920513719631</v>
      </c>
      <c r="X22" s="52">
        <v>1.6518226929136053</v>
      </c>
      <c r="Y22" s="52">
        <v>1.5872557440002999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17.413207575990224</v>
      </c>
      <c r="C23" s="53">
        <f t="shared" si="12"/>
        <v>17.266348406011744</v>
      </c>
      <c r="D23" s="53">
        <f t="shared" ref="D23:W23" si="13">D6/D8</f>
        <v>16.956601258472944</v>
      </c>
      <c r="E23" s="53">
        <f t="shared" si="13"/>
        <v>16.54801677049085</v>
      </c>
      <c r="F23" s="53">
        <f t="shared" si="13"/>
        <v>16.249120308199146</v>
      </c>
      <c r="G23" s="53">
        <f t="shared" si="13"/>
        <v>16.192172249853648</v>
      </c>
      <c r="H23" s="53">
        <f t="shared" si="13"/>
        <v>16.250743568210112</v>
      </c>
      <c r="I23" s="53">
        <f t="shared" si="13"/>
        <v>16.138611000204047</v>
      </c>
      <c r="J23" s="53">
        <f t="shared" si="13"/>
        <v>16.157608145172848</v>
      </c>
      <c r="K23" s="53">
        <f t="shared" si="13"/>
        <v>15.658733430898348</v>
      </c>
      <c r="L23" s="53">
        <f t="shared" si="13"/>
        <v>15.192799577798967</v>
      </c>
      <c r="M23" s="53">
        <f t="shared" si="13"/>
        <v>15.08980638301353</v>
      </c>
      <c r="N23" s="53">
        <f t="shared" si="13"/>
        <v>14.964058728372336</v>
      </c>
      <c r="O23" s="53">
        <f t="shared" si="13"/>
        <v>14.954516950693774</v>
      </c>
      <c r="P23" s="53">
        <f t="shared" si="13"/>
        <v>14.953479087844624</v>
      </c>
      <c r="Q23" s="53">
        <f t="shared" si="13"/>
        <v>15.057821388000928</v>
      </c>
      <c r="R23" s="53">
        <f t="shared" si="13"/>
        <v>15.175880594940272</v>
      </c>
      <c r="S23" s="53">
        <f t="shared" si="13"/>
        <v>15.235904099869774</v>
      </c>
      <c r="T23" s="53">
        <f t="shared" si="13"/>
        <v>15.354151745466204</v>
      </c>
      <c r="U23" s="53">
        <f t="shared" si="13"/>
        <v>15.469747787904705</v>
      </c>
      <c r="V23" s="53">
        <f t="shared" si="13"/>
        <v>15.146276432376288</v>
      </c>
      <c r="W23" s="53">
        <f t="shared" si="13"/>
        <v>15.383644038189248</v>
      </c>
      <c r="X23" s="53">
        <f t="shared" ref="X23:Y23" si="14">X6/X8</f>
        <v>15.884970195444957</v>
      </c>
      <c r="Y23" s="53">
        <f t="shared" si="14"/>
        <v>15.933283841716326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20.174395307222785</v>
      </c>
      <c r="C24" s="54">
        <f t="shared" si="15"/>
        <v>20.554212706118449</v>
      </c>
      <c r="D24" s="54">
        <f t="shared" ref="D24:W24" si="16">D9*1000/D3</f>
        <v>21.007604144510935</v>
      </c>
      <c r="E24" s="54">
        <f t="shared" si="16"/>
        <v>21.429845283922941</v>
      </c>
      <c r="F24" s="54">
        <f t="shared" si="16"/>
        <v>21.825386167065897</v>
      </c>
      <c r="G24" s="54">
        <f t="shared" si="16"/>
        <v>22.220927050208857</v>
      </c>
      <c r="H24" s="54">
        <f t="shared" si="16"/>
        <v>22.616467933351817</v>
      </c>
      <c r="I24" s="54">
        <f t="shared" si="16"/>
        <v>23.212260738512406</v>
      </c>
      <c r="J24" s="54">
        <f t="shared" si="16"/>
        <v>23.407549699637748</v>
      </c>
      <c r="K24" s="54">
        <f t="shared" si="16"/>
        <v>23.742773972134046</v>
      </c>
      <c r="L24" s="54">
        <f t="shared" si="16"/>
        <v>24.148975023853119</v>
      </c>
      <c r="M24" s="54">
        <f t="shared" si="16"/>
        <v>24.204457729246236</v>
      </c>
      <c r="N24" s="54">
        <f t="shared" si="16"/>
        <v>24.201131715543863</v>
      </c>
      <c r="O24" s="54">
        <f t="shared" si="16"/>
        <v>24.218533137833354</v>
      </c>
      <c r="P24" s="54">
        <f t="shared" si="16"/>
        <v>24.27976387763027</v>
      </c>
      <c r="Q24" s="54">
        <f t="shared" si="16"/>
        <v>24.31340770894937</v>
      </c>
      <c r="R24" s="54">
        <f t="shared" si="16"/>
        <v>24.322038365609938</v>
      </c>
      <c r="S24" s="54">
        <f t="shared" si="16"/>
        <v>24.378424896999849</v>
      </c>
      <c r="T24" s="54">
        <f t="shared" si="16"/>
        <v>24.447298317831816</v>
      </c>
      <c r="U24" s="54">
        <f t="shared" si="16"/>
        <v>24.552484521496616</v>
      </c>
      <c r="V24" s="54">
        <f t="shared" si="16"/>
        <v>24.687419700922053</v>
      </c>
      <c r="W24" s="54">
        <f t="shared" si="16"/>
        <v>24.817696769234278</v>
      </c>
      <c r="X24" s="54">
        <f t="shared" ref="X24:Y24" si="17">X9*1000/X3</f>
        <v>24.878053047321842</v>
      </c>
      <c r="Y24" s="54">
        <f t="shared" si="17"/>
        <v>24.828138401406662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51.684906188159324</v>
      </c>
      <c r="C25" s="54">
        <f t="shared" si="18"/>
        <v>52.124512886965775</v>
      </c>
      <c r="D25" s="54">
        <f t="shared" ref="D25:W25" si="19">D9*1000/D6</f>
        <v>53.076674168432447</v>
      </c>
      <c r="E25" s="54">
        <f t="shared" si="19"/>
        <v>54.38718200992637</v>
      </c>
      <c r="F25" s="54">
        <f t="shared" si="19"/>
        <v>55.387613786444106</v>
      </c>
      <c r="G25" s="54">
        <f t="shared" si="19"/>
        <v>55.582412669068198</v>
      </c>
      <c r="H25" s="54">
        <f t="shared" si="19"/>
        <v>55.382081208923267</v>
      </c>
      <c r="I25" s="54">
        <f t="shared" si="19"/>
        <v>55.766881052441313</v>
      </c>
      <c r="J25" s="54">
        <f t="shared" si="19"/>
        <v>55.701313703964203</v>
      </c>
      <c r="K25" s="54">
        <f t="shared" si="19"/>
        <v>57.475912976721943</v>
      </c>
      <c r="L25" s="54">
        <f t="shared" si="19"/>
        <v>59.238588345176218</v>
      </c>
      <c r="M25" s="54">
        <f t="shared" si="19"/>
        <v>59.642912384424136</v>
      </c>
      <c r="N25" s="54">
        <f t="shared" si="19"/>
        <v>60.144110387215413</v>
      </c>
      <c r="O25" s="54">
        <f t="shared" si="19"/>
        <v>60.18248553045018</v>
      </c>
      <c r="P25" s="54">
        <f t="shared" si="19"/>
        <v>60.18666256280062</v>
      </c>
      <c r="Q25" s="54">
        <f t="shared" si="19"/>
        <v>59.769602574591552</v>
      </c>
      <c r="R25" s="54">
        <f t="shared" si="19"/>
        <v>59.304631080193481</v>
      </c>
      <c r="S25" s="54">
        <f t="shared" si="19"/>
        <v>59.070994021791755</v>
      </c>
      <c r="T25" s="54">
        <f t="shared" si="19"/>
        <v>58.616067817992828</v>
      </c>
      <c r="U25" s="54">
        <f t="shared" si="19"/>
        <v>58.178065495268179</v>
      </c>
      <c r="V25" s="54">
        <f t="shared" si="19"/>
        <v>59.420544978050401</v>
      </c>
      <c r="W25" s="54">
        <f t="shared" si="19"/>
        <v>58.503693778001363</v>
      </c>
      <c r="X25" s="54">
        <f t="shared" ref="X25:Y25" si="20">X9*1000/X6</f>
        <v>56.657330100504474</v>
      </c>
      <c r="Y25" s="54">
        <f t="shared" si="20"/>
        <v>56.4855311021091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899.99999999999989</v>
      </c>
      <c r="F26" s="55">
        <f t="shared" si="22"/>
        <v>900</v>
      </c>
      <c r="G26" s="55">
        <f t="shared" si="22"/>
        <v>900</v>
      </c>
      <c r="H26" s="55">
        <f t="shared" si="22"/>
        <v>899.99999999999989</v>
      </c>
      <c r="I26" s="55">
        <f t="shared" si="22"/>
        <v>900</v>
      </c>
      <c r="J26" s="55">
        <f t="shared" si="22"/>
        <v>900</v>
      </c>
      <c r="K26" s="55">
        <f t="shared" si="22"/>
        <v>900.00000000000011</v>
      </c>
      <c r="L26" s="55">
        <f t="shared" si="22"/>
        <v>900</v>
      </c>
      <c r="M26" s="55">
        <f t="shared" si="22"/>
        <v>900</v>
      </c>
      <c r="N26" s="55">
        <f t="shared" si="22"/>
        <v>900</v>
      </c>
      <c r="O26" s="55">
        <f t="shared" si="22"/>
        <v>900</v>
      </c>
      <c r="P26" s="55">
        <f t="shared" si="22"/>
        <v>900</v>
      </c>
      <c r="Q26" s="55">
        <f t="shared" si="22"/>
        <v>900</v>
      </c>
      <c r="R26" s="55">
        <f t="shared" si="22"/>
        <v>900</v>
      </c>
      <c r="S26" s="55">
        <f t="shared" si="22"/>
        <v>900</v>
      </c>
      <c r="T26" s="55">
        <f t="shared" si="22"/>
        <v>900.00000000000011</v>
      </c>
      <c r="U26" s="55">
        <f t="shared" si="22"/>
        <v>899.99999999999989</v>
      </c>
      <c r="V26" s="55">
        <f t="shared" si="22"/>
        <v>900</v>
      </c>
      <c r="W26" s="55">
        <f t="shared" si="22"/>
        <v>900.00000000000011</v>
      </c>
      <c r="X26" s="55">
        <f t="shared" ref="X26:Y26" si="23">X9*1000/X8</f>
        <v>900</v>
      </c>
      <c r="Y26" s="55">
        <f t="shared" si="23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</v>
      </c>
      <c r="D27" s="57">
        <f t="shared" ref="D27:W27" si="25">IF(SUM(D11)=0,"",D11*1000/D10)</f>
        <v>900</v>
      </c>
      <c r="E27" s="57">
        <f t="shared" si="25"/>
        <v>899.99999999999989</v>
      </c>
      <c r="F27" s="57">
        <f t="shared" si="25"/>
        <v>899.99999999999989</v>
      </c>
      <c r="G27" s="57">
        <f t="shared" si="25"/>
        <v>900.00000000000011</v>
      </c>
      <c r="H27" s="57">
        <f t="shared" si="25"/>
        <v>899.99999999999989</v>
      </c>
      <c r="I27" s="57">
        <f t="shared" si="25"/>
        <v>900.00000000000011</v>
      </c>
      <c r="J27" s="57">
        <f t="shared" si="25"/>
        <v>900.00000000000011</v>
      </c>
      <c r="K27" s="57">
        <f t="shared" si="25"/>
        <v>900.00000000000011</v>
      </c>
      <c r="L27" s="57">
        <f t="shared" si="25"/>
        <v>900.00000000000011</v>
      </c>
      <c r="M27" s="57">
        <f t="shared" si="25"/>
        <v>900</v>
      </c>
      <c r="N27" s="57">
        <f t="shared" si="25"/>
        <v>899.99999999999977</v>
      </c>
      <c r="O27" s="57">
        <f t="shared" si="25"/>
        <v>900</v>
      </c>
      <c r="P27" s="57">
        <f t="shared" si="25"/>
        <v>900</v>
      </c>
      <c r="Q27" s="57">
        <f t="shared" si="25"/>
        <v>900</v>
      </c>
      <c r="R27" s="57">
        <f t="shared" si="25"/>
        <v>900.00000000000011</v>
      </c>
      <c r="S27" s="57">
        <f t="shared" si="25"/>
        <v>900</v>
      </c>
      <c r="T27" s="57">
        <f t="shared" si="25"/>
        <v>900</v>
      </c>
      <c r="U27" s="57">
        <f t="shared" si="25"/>
        <v>899.99999999999989</v>
      </c>
      <c r="V27" s="57">
        <f t="shared" si="25"/>
        <v>900</v>
      </c>
      <c r="W27" s="57">
        <f t="shared" si="25"/>
        <v>900.00000000000011</v>
      </c>
      <c r="X27" s="57">
        <f t="shared" ref="X27:Y27" si="26">IF(SUM(X11)=0,"",X11*1000/X10)</f>
        <v>900.00000000000011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1856.941702493551</v>
      </c>
      <c r="C31" s="80">
        <f t="shared" ref="C31:W31" si="27">SUM(C32:C33,C36:C37,C44:C45)</f>
        <v>1918.6315563198623</v>
      </c>
      <c r="D31" s="80">
        <f t="shared" si="27"/>
        <v>1940.7041272570937</v>
      </c>
      <c r="E31" s="80">
        <f t="shared" si="27"/>
        <v>1998.9024935511609</v>
      </c>
      <c r="F31" s="80">
        <f t="shared" si="27"/>
        <v>2013.2566638005158</v>
      </c>
      <c r="G31" s="80">
        <f t="shared" si="27"/>
        <v>2014.8862424763543</v>
      </c>
      <c r="H31" s="80">
        <f t="shared" si="27"/>
        <v>2048.4656061908854</v>
      </c>
      <c r="I31" s="80">
        <f t="shared" si="27"/>
        <v>2018.6288907996559</v>
      </c>
      <c r="J31" s="80">
        <f t="shared" si="27"/>
        <v>2027.1331040412724</v>
      </c>
      <c r="K31" s="80">
        <f t="shared" si="27"/>
        <v>2008.3202005650496</v>
      </c>
      <c r="L31" s="80">
        <f t="shared" si="27"/>
        <v>2140.9261613185113</v>
      </c>
      <c r="M31" s="80">
        <f t="shared" si="27"/>
        <v>1959.1743830951877</v>
      </c>
      <c r="N31" s="80">
        <f t="shared" si="27"/>
        <v>1989.2469650634062</v>
      </c>
      <c r="O31" s="80">
        <f t="shared" si="27"/>
        <v>1974.3804454804726</v>
      </c>
      <c r="P31" s="80">
        <f t="shared" si="27"/>
        <v>1855.0640204933718</v>
      </c>
      <c r="Q31" s="80">
        <f t="shared" si="27"/>
        <v>1935.6274120547068</v>
      </c>
      <c r="R31" s="80">
        <f t="shared" si="27"/>
        <v>1988.1892068314128</v>
      </c>
      <c r="S31" s="80">
        <f t="shared" si="27"/>
        <v>2033.3205453848254</v>
      </c>
      <c r="T31" s="80">
        <f t="shared" si="27"/>
        <v>1971.3090498785591</v>
      </c>
      <c r="U31" s="80">
        <f t="shared" si="27"/>
        <v>1912.6924578284711</v>
      </c>
      <c r="V31" s="80">
        <f t="shared" si="27"/>
        <v>1807.7326632079489</v>
      </c>
      <c r="W31" s="80">
        <f t="shared" si="27"/>
        <v>2010.329012530101</v>
      </c>
      <c r="X31" s="80">
        <f t="shared" ref="X31:Y31" si="28">SUM(X32:X33,X36:X37,X44:X45)</f>
        <v>1878.4133667458175</v>
      </c>
      <c r="Y31" s="80">
        <f t="shared" si="28"/>
        <v>1850.7939645392012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134.4379191745486</v>
      </c>
      <c r="C33" s="55">
        <f t="shared" ref="C33:W33" si="29">SUM(C34:C35)</f>
        <v>124.43508168529661</v>
      </c>
      <c r="D33" s="55">
        <f t="shared" si="29"/>
        <v>115.93336199484091</v>
      </c>
      <c r="E33" s="55">
        <f t="shared" si="29"/>
        <v>116.40395528804815</v>
      </c>
      <c r="F33" s="55">
        <f t="shared" si="29"/>
        <v>120.63035253654338</v>
      </c>
      <c r="G33" s="55">
        <f t="shared" si="29"/>
        <v>107.93086844368014</v>
      </c>
      <c r="H33" s="55">
        <f t="shared" si="29"/>
        <v>90.917884780739456</v>
      </c>
      <c r="I33" s="55">
        <f t="shared" si="29"/>
        <v>80.430180567497843</v>
      </c>
      <c r="J33" s="55">
        <f t="shared" si="29"/>
        <v>81.358125537403268</v>
      </c>
      <c r="K33" s="55">
        <f t="shared" si="29"/>
        <v>75.888478073946686</v>
      </c>
      <c r="L33" s="55">
        <f t="shared" si="29"/>
        <v>75.026225279449704</v>
      </c>
      <c r="M33" s="55">
        <f t="shared" si="29"/>
        <v>59.649355116079107</v>
      </c>
      <c r="N33" s="55">
        <f t="shared" si="29"/>
        <v>68.584608770421312</v>
      </c>
      <c r="O33" s="55">
        <f t="shared" si="29"/>
        <v>64.693723129836627</v>
      </c>
      <c r="P33" s="55">
        <f t="shared" si="29"/>
        <v>56.188478073946683</v>
      </c>
      <c r="Q33" s="55">
        <f t="shared" si="29"/>
        <v>62.085984522785893</v>
      </c>
      <c r="R33" s="55">
        <f t="shared" si="29"/>
        <v>62.593637145313842</v>
      </c>
      <c r="S33" s="55">
        <f t="shared" si="29"/>
        <v>57.269561478933781</v>
      </c>
      <c r="T33" s="55">
        <f t="shared" si="29"/>
        <v>61.932932072227004</v>
      </c>
      <c r="U33" s="55">
        <f t="shared" si="29"/>
        <v>34.59716251074807</v>
      </c>
      <c r="V33" s="55">
        <f t="shared" si="29"/>
        <v>37.732072226999136</v>
      </c>
      <c r="W33" s="55">
        <f t="shared" si="29"/>
        <v>30.991401547721406</v>
      </c>
      <c r="X33" s="55">
        <f t="shared" ref="X33:Y33" si="30">SUM(X34:X35)</f>
        <v>39.881599312123818</v>
      </c>
      <c r="Y33" s="55">
        <f t="shared" si="30"/>
        <v>34.45374032674119</v>
      </c>
      <c r="DA33" s="101"/>
    </row>
    <row r="34" spans="1:105" ht="12" customHeight="1" x14ac:dyDescent="0.25">
      <c r="A34" s="61" t="s">
        <v>52</v>
      </c>
      <c r="B34" s="55">
        <v>3.2960447119518479</v>
      </c>
      <c r="C34" s="55">
        <v>3.2960447119518479</v>
      </c>
      <c r="D34" s="55">
        <v>3.2960447119518479</v>
      </c>
      <c r="E34" s="55">
        <v>4.3947549441100593</v>
      </c>
      <c r="F34" s="55">
        <v>5.4934651762682716</v>
      </c>
      <c r="G34" s="55">
        <v>6.592175408426483</v>
      </c>
      <c r="H34" s="55">
        <v>6.592175408426483</v>
      </c>
      <c r="I34" s="55">
        <v>6.592175408426483</v>
      </c>
      <c r="J34" s="55">
        <v>6.592175408426483</v>
      </c>
      <c r="K34" s="55">
        <v>6.592175408426483</v>
      </c>
      <c r="L34" s="55">
        <v>8.7895098882201186</v>
      </c>
      <c r="M34" s="55">
        <v>7.690799656061909</v>
      </c>
      <c r="N34" s="55">
        <v>6.592175408426483</v>
      </c>
      <c r="O34" s="55">
        <v>7.690799656061909</v>
      </c>
      <c r="P34" s="55">
        <v>4.3947549441100593</v>
      </c>
      <c r="Q34" s="55">
        <v>9.1147033533963882</v>
      </c>
      <c r="R34" s="55">
        <v>9.6288907996560607</v>
      </c>
      <c r="S34" s="55">
        <v>9.5552880481513327</v>
      </c>
      <c r="T34" s="55">
        <v>9.8047291487532231</v>
      </c>
      <c r="U34" s="55">
        <v>9.6245055889939817</v>
      </c>
      <c r="V34" s="55">
        <v>8.1325021496130692</v>
      </c>
      <c r="W34" s="55">
        <v>8.7543422184006872</v>
      </c>
      <c r="X34" s="55">
        <v>9.8036113499570074</v>
      </c>
      <c r="Y34" s="55">
        <v>10.306792777300091</v>
      </c>
      <c r="DA34" s="101" t="s">
        <v>201</v>
      </c>
    </row>
    <row r="35" spans="1:105" ht="12" customHeight="1" x14ac:dyDescent="0.25">
      <c r="A35" s="61" t="s">
        <v>163</v>
      </c>
      <c r="B35" s="55">
        <v>131.14187446259675</v>
      </c>
      <c r="C35" s="55">
        <v>121.13903697334476</v>
      </c>
      <c r="D35" s="55">
        <v>112.63731728288906</v>
      </c>
      <c r="E35" s="55">
        <v>112.00920034393809</v>
      </c>
      <c r="F35" s="55">
        <v>115.13688736027511</v>
      </c>
      <c r="G35" s="55">
        <v>101.33869303525366</v>
      </c>
      <c r="H35" s="55">
        <v>84.325709372312971</v>
      </c>
      <c r="I35" s="55">
        <v>73.838005159071358</v>
      </c>
      <c r="J35" s="55">
        <v>74.765950128976783</v>
      </c>
      <c r="K35" s="55">
        <v>69.296302665520201</v>
      </c>
      <c r="L35" s="55">
        <v>66.236715391229581</v>
      </c>
      <c r="M35" s="55">
        <v>51.958555460017195</v>
      </c>
      <c r="N35" s="55">
        <v>61.992433361994827</v>
      </c>
      <c r="O35" s="55">
        <v>57.002923473774715</v>
      </c>
      <c r="P35" s="55">
        <v>51.793723129836621</v>
      </c>
      <c r="Q35" s="55">
        <v>52.971281169389506</v>
      </c>
      <c r="R35" s="55">
        <v>52.96474634565778</v>
      </c>
      <c r="S35" s="55">
        <v>47.714273430782448</v>
      </c>
      <c r="T35" s="55">
        <v>52.128202923473779</v>
      </c>
      <c r="U35" s="55">
        <v>24.972656921754087</v>
      </c>
      <c r="V35" s="55">
        <v>29.599570077386069</v>
      </c>
      <c r="W35" s="55">
        <v>22.237059329320719</v>
      </c>
      <c r="X35" s="55">
        <v>30.077987962166809</v>
      </c>
      <c r="Y35" s="55">
        <v>24.146947549441101</v>
      </c>
      <c r="DA35" s="101" t="s">
        <v>202</v>
      </c>
    </row>
    <row r="36" spans="1:105" ht="12" customHeight="1" x14ac:dyDescent="0.25">
      <c r="A36" s="60" t="s">
        <v>149</v>
      </c>
      <c r="B36" s="55">
        <v>174.0322441960447</v>
      </c>
      <c r="C36" s="55">
        <v>176.26870163370592</v>
      </c>
      <c r="D36" s="55">
        <v>183.32141014617372</v>
      </c>
      <c r="E36" s="55">
        <v>221.60240756663796</v>
      </c>
      <c r="F36" s="55">
        <v>221.17317282889081</v>
      </c>
      <c r="G36" s="55">
        <v>234.07386070507314</v>
      </c>
      <c r="H36" s="55">
        <v>258.48890799656061</v>
      </c>
      <c r="I36" s="55">
        <v>242.88478073946689</v>
      </c>
      <c r="J36" s="55">
        <v>240.9742046431642</v>
      </c>
      <c r="K36" s="55">
        <v>243.29518486672401</v>
      </c>
      <c r="L36" s="55">
        <v>240.24264832330181</v>
      </c>
      <c r="M36" s="55">
        <v>189.14703353396388</v>
      </c>
      <c r="N36" s="55">
        <v>209.31066208082541</v>
      </c>
      <c r="O36" s="55">
        <v>217.60300945829749</v>
      </c>
      <c r="P36" s="55">
        <v>161.63416886783043</v>
      </c>
      <c r="Q36" s="55">
        <v>212.67108409802989</v>
      </c>
      <c r="R36" s="55">
        <v>211.89783840247443</v>
      </c>
      <c r="S36" s="55">
        <v>224.92196450776919</v>
      </c>
      <c r="T36" s="55">
        <v>180.41655728375764</v>
      </c>
      <c r="U36" s="55">
        <v>187.02411632669438</v>
      </c>
      <c r="V36" s="55">
        <v>170.38383414454688</v>
      </c>
      <c r="W36" s="55">
        <v>220.89504557197384</v>
      </c>
      <c r="X36" s="55">
        <v>155.47324593898995</v>
      </c>
      <c r="Y36" s="55">
        <v>143.8980296098778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60.977472055030098</v>
      </c>
      <c r="C37" s="55">
        <f t="shared" ref="C37:W37" si="31">SUM(C38:C42)</f>
        <v>53.931384350816849</v>
      </c>
      <c r="D37" s="55">
        <f t="shared" si="31"/>
        <v>69.217540842648319</v>
      </c>
      <c r="E37" s="55">
        <f t="shared" si="31"/>
        <v>67.808340498710223</v>
      </c>
      <c r="F37" s="55">
        <f t="shared" si="31"/>
        <v>61.431126397248484</v>
      </c>
      <c r="G37" s="55">
        <f t="shared" si="31"/>
        <v>65.41994840928632</v>
      </c>
      <c r="H37" s="55">
        <f t="shared" si="31"/>
        <v>71.558125537403271</v>
      </c>
      <c r="I37" s="55">
        <f t="shared" si="31"/>
        <v>58.541186586414433</v>
      </c>
      <c r="J37" s="55">
        <f t="shared" si="31"/>
        <v>52.737145313843506</v>
      </c>
      <c r="K37" s="55">
        <f t="shared" si="31"/>
        <v>44.019346517626829</v>
      </c>
      <c r="L37" s="55">
        <f t="shared" si="31"/>
        <v>43.92381771281169</v>
      </c>
      <c r="M37" s="55">
        <f t="shared" si="31"/>
        <v>45.428976784178843</v>
      </c>
      <c r="N37" s="55">
        <f t="shared" si="31"/>
        <v>44.154772141014618</v>
      </c>
      <c r="O37" s="55">
        <f t="shared" si="31"/>
        <v>48.912123817712811</v>
      </c>
      <c r="P37" s="55">
        <f t="shared" si="31"/>
        <v>52.320001381524705</v>
      </c>
      <c r="Q37" s="55">
        <f t="shared" si="31"/>
        <v>45.146800682709582</v>
      </c>
      <c r="R37" s="55">
        <f t="shared" si="31"/>
        <v>62.657019723063001</v>
      </c>
      <c r="S37" s="55">
        <f t="shared" si="31"/>
        <v>71.466341597131944</v>
      </c>
      <c r="T37" s="55">
        <f t="shared" si="31"/>
        <v>79.806572552871756</v>
      </c>
      <c r="U37" s="55">
        <f t="shared" si="31"/>
        <v>80.441747817759619</v>
      </c>
      <c r="V37" s="55">
        <f t="shared" si="31"/>
        <v>85.532416930259643</v>
      </c>
      <c r="W37" s="55">
        <f t="shared" si="31"/>
        <v>121.42249527067445</v>
      </c>
      <c r="X37" s="55">
        <f t="shared" ref="X37:Y37" si="32">SUM(X38:X42)</f>
        <v>126.37327168783719</v>
      </c>
      <c r="Y37" s="55">
        <f t="shared" si="32"/>
        <v>132.56379326200522</v>
      </c>
      <c r="DA37" s="101"/>
    </row>
    <row r="38" spans="1:105" ht="12" customHeight="1" x14ac:dyDescent="0.25">
      <c r="A38" s="61" t="s">
        <v>164</v>
      </c>
      <c r="B38" s="55">
        <v>52.307308684436805</v>
      </c>
      <c r="C38" s="55">
        <v>44.138693035253645</v>
      </c>
      <c r="D38" s="55">
        <v>57.609630266552017</v>
      </c>
      <c r="E38" s="55">
        <v>58.469475494411</v>
      </c>
      <c r="F38" s="55">
        <v>49.608254514187436</v>
      </c>
      <c r="G38" s="55">
        <v>52.808856405846946</v>
      </c>
      <c r="H38" s="55">
        <v>57.275150472914881</v>
      </c>
      <c r="I38" s="55">
        <v>47.769217540842632</v>
      </c>
      <c r="J38" s="55">
        <v>41.726397248495275</v>
      </c>
      <c r="K38" s="55">
        <v>34.226655202063633</v>
      </c>
      <c r="L38" s="55">
        <v>33.041014617368873</v>
      </c>
      <c r="M38" s="55">
        <v>36.217540842648319</v>
      </c>
      <c r="N38" s="55">
        <v>33.758899398108341</v>
      </c>
      <c r="O38" s="55">
        <v>35.351590713671534</v>
      </c>
      <c r="P38" s="55">
        <v>43.526053310404109</v>
      </c>
      <c r="Q38" s="55">
        <v>36.76397248495271</v>
      </c>
      <c r="R38" s="55">
        <v>44.976440240756659</v>
      </c>
      <c r="S38" s="55">
        <v>51.231040412725704</v>
      </c>
      <c r="T38" s="55">
        <v>58.63499570077385</v>
      </c>
      <c r="U38" s="55">
        <v>51.571539122957866</v>
      </c>
      <c r="V38" s="55">
        <v>46.318572656921738</v>
      </c>
      <c r="W38" s="55">
        <v>49.020378331900268</v>
      </c>
      <c r="X38" s="55">
        <v>39.331642304385213</v>
      </c>
      <c r="Y38" s="55">
        <v>37.632502149613089</v>
      </c>
      <c r="DA38" s="101" t="s">
        <v>204</v>
      </c>
    </row>
    <row r="39" spans="1:105" ht="12" customHeight="1" x14ac:dyDescent="0.25">
      <c r="A39" s="61" t="s">
        <v>50</v>
      </c>
      <c r="B39" s="55">
        <v>7.5714531384350812</v>
      </c>
      <c r="C39" s="55">
        <v>8.6700773860705063</v>
      </c>
      <c r="D39" s="55">
        <v>10.46147893379192</v>
      </c>
      <c r="E39" s="55">
        <v>8.16852966466036</v>
      </c>
      <c r="F39" s="55">
        <v>10.60472914875322</v>
      </c>
      <c r="G39" s="55">
        <v>11.321324161650899</v>
      </c>
      <c r="H39" s="55">
        <v>12.921582115219261</v>
      </c>
      <c r="I39" s="55">
        <v>9.291143594153052</v>
      </c>
      <c r="J39" s="55">
        <v>9.4343938091143578</v>
      </c>
      <c r="K39" s="55">
        <v>8.0969045571797071</v>
      </c>
      <c r="L39" s="55">
        <v>9.1187446259673255</v>
      </c>
      <c r="M39" s="55">
        <v>7.3545141874462594</v>
      </c>
      <c r="N39" s="55">
        <v>8.4815993121238176</v>
      </c>
      <c r="O39" s="55">
        <v>11.58435081685297</v>
      </c>
      <c r="P39" s="55">
        <v>6.7713341416279018</v>
      </c>
      <c r="Q39" s="55">
        <v>6.302174715383698</v>
      </c>
      <c r="R39" s="55">
        <v>15.570949215754316</v>
      </c>
      <c r="S39" s="55">
        <v>18.096608149152583</v>
      </c>
      <c r="T39" s="55">
        <v>19.009667995692059</v>
      </c>
      <c r="U39" s="55">
        <v>26.681214713718362</v>
      </c>
      <c r="V39" s="55">
        <v>37.024850292254513</v>
      </c>
      <c r="W39" s="55">
        <v>70.40074118640959</v>
      </c>
      <c r="X39" s="55">
        <v>84.742059306065912</v>
      </c>
      <c r="Y39" s="55">
        <v>92.776089048763595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1.098710232158211</v>
      </c>
      <c r="C41" s="55">
        <v>1.1226139294926909</v>
      </c>
      <c r="D41" s="55">
        <v>1.146431642304385</v>
      </c>
      <c r="E41" s="55">
        <v>1.1703353396388649</v>
      </c>
      <c r="F41" s="55">
        <v>1.218142734307825</v>
      </c>
      <c r="G41" s="55">
        <v>1.2897678417884779</v>
      </c>
      <c r="H41" s="55">
        <v>1.361392949269131</v>
      </c>
      <c r="I41" s="55">
        <v>1.4808254514187451</v>
      </c>
      <c r="J41" s="55">
        <v>1.5763542562338779</v>
      </c>
      <c r="K41" s="55">
        <v>1.6957867583834909</v>
      </c>
      <c r="L41" s="55">
        <v>1.7640584694754939</v>
      </c>
      <c r="M41" s="55">
        <v>1.8569217540842651</v>
      </c>
      <c r="N41" s="55">
        <v>1.9142734307824589</v>
      </c>
      <c r="O41" s="55">
        <v>1.9761822871883059</v>
      </c>
      <c r="P41" s="55">
        <v>2.022613929492691</v>
      </c>
      <c r="Q41" s="55">
        <v>2.0806534823731728</v>
      </c>
      <c r="R41" s="55">
        <v>2.109630266552021</v>
      </c>
      <c r="S41" s="55">
        <v>2.1386930352536542</v>
      </c>
      <c r="T41" s="55">
        <v>2.1619088564058471</v>
      </c>
      <c r="U41" s="55">
        <v>2.1889939810834051</v>
      </c>
      <c r="V41" s="55">
        <v>2.1889939810834051</v>
      </c>
      <c r="W41" s="55">
        <v>2.0013757523645741</v>
      </c>
      <c r="X41" s="55">
        <v>2.299570077386071</v>
      </c>
      <c r="Y41" s="55">
        <v>2.1552020636285469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1.5047291487532237</v>
      </c>
      <c r="C43" s="309">
        <v>1.5286328460877041</v>
      </c>
      <c r="D43" s="55">
        <v>1.5525365434221838</v>
      </c>
      <c r="E43" s="55">
        <v>1.5525365434221841</v>
      </c>
      <c r="F43" s="55">
        <v>1.5763542562338775</v>
      </c>
      <c r="G43" s="55">
        <v>1.6957867583834909</v>
      </c>
      <c r="H43" s="55">
        <v>1.8868443680137561</v>
      </c>
      <c r="I43" s="55">
        <v>8.1207222699913988</v>
      </c>
      <c r="J43" s="55">
        <v>8.8612209802235586</v>
      </c>
      <c r="K43" s="55">
        <v>9.6016337059329224</v>
      </c>
      <c r="L43" s="55">
        <v>10.331126397248489</v>
      </c>
      <c r="M43" s="55">
        <v>11.12966466036114</v>
      </c>
      <c r="N43" s="55">
        <v>11.958469475494416</v>
      </c>
      <c r="O43" s="55">
        <v>12.74944110060188</v>
      </c>
      <c r="P43" s="55">
        <v>13.437661220980212</v>
      </c>
      <c r="Q43" s="55">
        <v>15.145227858985402</v>
      </c>
      <c r="R43" s="55">
        <v>17.036887360275156</v>
      </c>
      <c r="S43" s="55">
        <v>17.466809974204622</v>
      </c>
      <c r="T43" s="55">
        <v>19.98890799656062</v>
      </c>
      <c r="U43" s="55">
        <v>22.805503009458292</v>
      </c>
      <c r="V43" s="55">
        <v>26.330868443680121</v>
      </c>
      <c r="W43" s="55">
        <v>31.017454858125568</v>
      </c>
      <c r="X43" s="55">
        <v>36.290885640584676</v>
      </c>
      <c r="Y43" s="55">
        <v>40.199398108340468</v>
      </c>
      <c r="DA43" s="101" t="s">
        <v>209</v>
      </c>
    </row>
    <row r="44" spans="1:105" ht="12" customHeight="1" x14ac:dyDescent="0.25">
      <c r="A44" s="60" t="s">
        <v>162</v>
      </c>
      <c r="B44" s="55">
        <v>631.60412725709364</v>
      </c>
      <c r="C44" s="55">
        <v>688.75993121238173</v>
      </c>
      <c r="D44" s="55">
        <v>691.14840928632839</v>
      </c>
      <c r="E44" s="55">
        <v>716.99148753224426</v>
      </c>
      <c r="F44" s="55">
        <v>715.86895958727428</v>
      </c>
      <c r="G44" s="55">
        <v>707.03164230438517</v>
      </c>
      <c r="H44" s="55">
        <v>704.28486672398958</v>
      </c>
      <c r="I44" s="55">
        <v>691.88882201203785</v>
      </c>
      <c r="J44" s="55">
        <v>708.29750644883916</v>
      </c>
      <c r="K44" s="55">
        <v>726.80808254514181</v>
      </c>
      <c r="L44" s="55">
        <v>850.10034393809099</v>
      </c>
      <c r="M44" s="55">
        <v>748.78185726569222</v>
      </c>
      <c r="N44" s="55">
        <v>766.16990541702489</v>
      </c>
      <c r="O44" s="55">
        <v>764.09191745485805</v>
      </c>
      <c r="P44" s="55">
        <v>700.89329320722265</v>
      </c>
      <c r="Q44" s="55">
        <v>751.20584694754939</v>
      </c>
      <c r="R44" s="55">
        <v>772.43946689595862</v>
      </c>
      <c r="S44" s="55">
        <v>779.40309544282024</v>
      </c>
      <c r="T44" s="55">
        <v>778.06483233018048</v>
      </c>
      <c r="U44" s="55">
        <v>761.16371453138436</v>
      </c>
      <c r="V44" s="55">
        <v>737.28082545141865</v>
      </c>
      <c r="W44" s="55">
        <v>812.85674978503857</v>
      </c>
      <c r="X44" s="55">
        <v>739.89862424763544</v>
      </c>
      <c r="Y44" s="55">
        <v>771.02012037833185</v>
      </c>
      <c r="DA44" s="101" t="s">
        <v>210</v>
      </c>
    </row>
    <row r="45" spans="1:105" ht="12" customHeight="1" x14ac:dyDescent="0.25">
      <c r="A45" s="62" t="s">
        <v>24</v>
      </c>
      <c r="B45" s="63">
        <v>855.88993981083399</v>
      </c>
      <c r="C45" s="63">
        <v>875.23645743766122</v>
      </c>
      <c r="D45" s="63">
        <v>881.08340498710231</v>
      </c>
      <c r="E45" s="63">
        <v>876.09630266552017</v>
      </c>
      <c r="F45" s="63">
        <v>894.15305245055879</v>
      </c>
      <c r="G45" s="63">
        <v>900.42992261392942</v>
      </c>
      <c r="H45" s="63">
        <v>923.21582115219258</v>
      </c>
      <c r="I45" s="63">
        <v>944.88392089423894</v>
      </c>
      <c r="J45" s="63">
        <v>943.76612209802227</v>
      </c>
      <c r="K45" s="63">
        <v>918.30910856161017</v>
      </c>
      <c r="L45" s="63">
        <v>931.63312606485704</v>
      </c>
      <c r="M45" s="63">
        <v>916.16716039527364</v>
      </c>
      <c r="N45" s="63">
        <v>901.02701665412008</v>
      </c>
      <c r="O45" s="63">
        <v>879.07967161976751</v>
      </c>
      <c r="P45" s="63">
        <v>884.0280789628473</v>
      </c>
      <c r="Q45" s="63">
        <v>864.51769580363202</v>
      </c>
      <c r="R45" s="63">
        <v>878.60124466460263</v>
      </c>
      <c r="S45" s="63">
        <v>900.25958235817018</v>
      </c>
      <c r="T45" s="63">
        <v>871.08815563952226</v>
      </c>
      <c r="U45" s="63">
        <v>849.46571664188468</v>
      </c>
      <c r="V45" s="63">
        <v>776.80351445472456</v>
      </c>
      <c r="W45" s="63">
        <v>824.1633203546927</v>
      </c>
      <c r="X45" s="63">
        <v>816.78662555923097</v>
      </c>
      <c r="Y45" s="63">
        <v>768.85828096224509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1856.941702493551</v>
      </c>
      <c r="C47" s="82">
        <f t="shared" ref="C47:W47" si="34">SUM(C48,C53)</f>
        <v>1918.6315563198625</v>
      </c>
      <c r="D47" s="82">
        <f t="shared" si="34"/>
        <v>1940.7041272570937</v>
      </c>
      <c r="E47" s="82">
        <f t="shared" si="34"/>
        <v>1998.9024935511609</v>
      </c>
      <c r="F47" s="82">
        <f t="shared" si="34"/>
        <v>2013.2566638005162</v>
      </c>
      <c r="G47" s="82">
        <f t="shared" si="34"/>
        <v>2014.8862424763538</v>
      </c>
      <c r="H47" s="82">
        <f t="shared" si="34"/>
        <v>2048.4656061908863</v>
      </c>
      <c r="I47" s="82">
        <f t="shared" si="34"/>
        <v>2018.6288907996557</v>
      </c>
      <c r="J47" s="82">
        <f t="shared" si="34"/>
        <v>2027.1331040412729</v>
      </c>
      <c r="K47" s="82">
        <f t="shared" si="34"/>
        <v>2008.3202005650492</v>
      </c>
      <c r="L47" s="82">
        <f t="shared" si="34"/>
        <v>2140.9261613185113</v>
      </c>
      <c r="M47" s="82">
        <f t="shared" si="34"/>
        <v>1959.1743830951873</v>
      </c>
      <c r="N47" s="82">
        <f t="shared" si="34"/>
        <v>1989.2469650634062</v>
      </c>
      <c r="O47" s="82">
        <f t="shared" si="34"/>
        <v>1974.3804454804722</v>
      </c>
      <c r="P47" s="82">
        <f t="shared" si="34"/>
        <v>1855.0640204933725</v>
      </c>
      <c r="Q47" s="82">
        <f t="shared" si="34"/>
        <v>1935.6274120547073</v>
      </c>
      <c r="R47" s="82">
        <f t="shared" si="34"/>
        <v>1988.1892068314123</v>
      </c>
      <c r="S47" s="82">
        <f t="shared" si="34"/>
        <v>2033.3205453848254</v>
      </c>
      <c r="T47" s="82">
        <f t="shared" si="34"/>
        <v>1971.3090498785591</v>
      </c>
      <c r="U47" s="82">
        <f t="shared" si="34"/>
        <v>1912.6924578284718</v>
      </c>
      <c r="V47" s="82">
        <f t="shared" si="34"/>
        <v>1807.7326632079489</v>
      </c>
      <c r="W47" s="82">
        <f t="shared" si="34"/>
        <v>2010.3290125301003</v>
      </c>
      <c r="X47" s="82">
        <f t="shared" ref="X47:Y47" si="35">SUM(X48,X53)</f>
        <v>1878.4133667458168</v>
      </c>
      <c r="Y47" s="82">
        <f t="shared" si="35"/>
        <v>1850.7939645392007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1417.9940263630419</v>
      </c>
      <c r="C48" s="64">
        <f t="shared" ref="C48:W48" si="37">SUM(C49:C52)</f>
        <v>1466.0772388038076</v>
      </c>
      <c r="D48" s="64">
        <f t="shared" si="37"/>
        <v>1473.9819938967726</v>
      </c>
      <c r="E48" s="64">
        <f t="shared" si="37"/>
        <v>1518.089100670657</v>
      </c>
      <c r="F48" s="64">
        <f t="shared" si="37"/>
        <v>1518.7157765132158</v>
      </c>
      <c r="G48" s="64">
        <f t="shared" si="37"/>
        <v>1507.9944260713353</v>
      </c>
      <c r="H48" s="64">
        <f t="shared" si="37"/>
        <v>1531.6218582027957</v>
      </c>
      <c r="I48" s="64">
        <f t="shared" si="37"/>
        <v>1489.2452001878219</v>
      </c>
      <c r="J48" s="64">
        <f t="shared" si="37"/>
        <v>1488.8599883181014</v>
      </c>
      <c r="K48" s="64">
        <f t="shared" si="37"/>
        <v>1459.6189177382994</v>
      </c>
      <c r="L48" s="64">
        <f t="shared" si="37"/>
        <v>1582.0097906389374</v>
      </c>
      <c r="M48" s="64">
        <f t="shared" si="37"/>
        <v>1396.2929097789997</v>
      </c>
      <c r="N48" s="64">
        <f t="shared" si="37"/>
        <v>1416.6650521771548</v>
      </c>
      <c r="O48" s="64">
        <f t="shared" si="37"/>
        <v>1389.8371459904806</v>
      </c>
      <c r="P48" s="64">
        <f t="shared" si="37"/>
        <v>1256.8595770865652</v>
      </c>
      <c r="Q48" s="64">
        <f t="shared" si="37"/>
        <v>1321.8894420337112</v>
      </c>
      <c r="R48" s="64">
        <f t="shared" si="37"/>
        <v>1370.1034474968262</v>
      </c>
      <c r="S48" s="64">
        <f t="shared" si="37"/>
        <v>1400.0093068345407</v>
      </c>
      <c r="T48" s="64">
        <f t="shared" si="37"/>
        <v>1336.2080343940966</v>
      </c>
      <c r="U48" s="64">
        <f t="shared" si="37"/>
        <v>1277.8399283773322</v>
      </c>
      <c r="V48" s="64">
        <f t="shared" si="37"/>
        <v>1196.0934612660583</v>
      </c>
      <c r="W48" s="64">
        <f t="shared" si="37"/>
        <v>1377.8702527157971</v>
      </c>
      <c r="X48" s="64">
        <f t="shared" ref="X48:Y48" si="38">SUM(X49:X52)</f>
        <v>1243.7786575737507</v>
      </c>
      <c r="Y48" s="64">
        <f t="shared" si="38"/>
        <v>1200.0066820279226</v>
      </c>
      <c r="DA48" s="108" t="s">
        <v>213</v>
      </c>
    </row>
    <row r="49" spans="1:105" ht="12" customHeight="1" x14ac:dyDescent="0.25">
      <c r="A49" s="61" t="s">
        <v>32</v>
      </c>
      <c r="B49" s="65">
        <v>1131.9886101161205</v>
      </c>
      <c r="C49" s="65">
        <v>1177.013413238466</v>
      </c>
      <c r="D49" s="65">
        <v>1179.061345740233</v>
      </c>
      <c r="E49" s="65">
        <v>1215.5003991350654</v>
      </c>
      <c r="F49" s="65">
        <v>1210.3921577842202</v>
      </c>
      <c r="G49" s="65">
        <v>1193.8449478035391</v>
      </c>
      <c r="H49" s="65">
        <v>1210.6626211712598</v>
      </c>
      <c r="I49" s="65">
        <v>1163.4551915284574</v>
      </c>
      <c r="J49" s="65">
        <v>1159.4531795821911</v>
      </c>
      <c r="K49" s="65">
        <v>1125.2909021721266</v>
      </c>
      <c r="L49" s="65">
        <v>1244.3348559515525</v>
      </c>
      <c r="M49" s="65">
        <v>1053.8018991585784</v>
      </c>
      <c r="N49" s="65">
        <v>1071.798284940935</v>
      </c>
      <c r="O49" s="65">
        <v>1044.6975438841612</v>
      </c>
      <c r="P49" s="65">
        <v>912.72875742970109</v>
      </c>
      <c r="Q49" s="65">
        <v>976.2441540210159</v>
      </c>
      <c r="R49" s="65">
        <v>1021.3713528594731</v>
      </c>
      <c r="S49" s="65">
        <v>1048.2720048964336</v>
      </c>
      <c r="T49" s="65">
        <v>990.89346308450138</v>
      </c>
      <c r="U49" s="65">
        <v>937.53634968733854</v>
      </c>
      <c r="V49" s="65">
        <v>911.91001635791088</v>
      </c>
      <c r="W49" s="65">
        <v>1072.288541880966</v>
      </c>
      <c r="X49" s="65">
        <v>934.01143528353373</v>
      </c>
      <c r="Y49" s="65">
        <v>909.09467045138661</v>
      </c>
      <c r="DA49" s="109" t="s">
        <v>214</v>
      </c>
    </row>
    <row r="50" spans="1:105" ht="12" customHeight="1" x14ac:dyDescent="0.25">
      <c r="A50" s="61" t="s">
        <v>31</v>
      </c>
      <c r="B50" s="65">
        <v>22.733278859691765</v>
      </c>
      <c r="C50" s="65">
        <v>22.524980063922737</v>
      </c>
      <c r="D50" s="65">
        <v>22.67178742429013</v>
      </c>
      <c r="E50" s="65">
        <v>22.257224505731781</v>
      </c>
      <c r="F50" s="65">
        <v>21.988690723888457</v>
      </c>
      <c r="G50" s="65">
        <v>21.769040457070119</v>
      </c>
      <c r="H50" s="65">
        <v>21.65701556706588</v>
      </c>
      <c r="I50" s="65">
        <v>21.787324253998619</v>
      </c>
      <c r="J50" s="65">
        <v>21.2802964300433</v>
      </c>
      <c r="K50" s="65">
        <v>21.880178920266367</v>
      </c>
      <c r="L50" s="65">
        <v>22.395999392133632</v>
      </c>
      <c r="M50" s="65">
        <v>22.197469848023694</v>
      </c>
      <c r="N50" s="65">
        <v>22.053586106119262</v>
      </c>
      <c r="O50" s="65">
        <v>22.054495416641938</v>
      </c>
      <c r="P50" s="65">
        <v>22.141610995215856</v>
      </c>
      <c r="Q50" s="65">
        <v>21.826634259675476</v>
      </c>
      <c r="R50" s="65">
        <v>21.630992900157796</v>
      </c>
      <c r="S50" s="65">
        <v>21.482300242326339</v>
      </c>
      <c r="T50" s="65">
        <v>22.324821981335393</v>
      </c>
      <c r="U50" s="65">
        <v>21.770248836464479</v>
      </c>
      <c r="V50" s="65">
        <v>20.561499050173239</v>
      </c>
      <c r="W50" s="65">
        <v>20.691985480840092</v>
      </c>
      <c r="X50" s="65">
        <v>21.342508751614016</v>
      </c>
      <c r="Y50" s="65">
        <v>21.331586607588697</v>
      </c>
      <c r="DA50" s="109" t="s">
        <v>215</v>
      </c>
    </row>
    <row r="51" spans="1:105" ht="12" customHeight="1" x14ac:dyDescent="0.25">
      <c r="A51" s="61" t="s">
        <v>35</v>
      </c>
      <c r="B51" s="65">
        <v>141.34255263341024</v>
      </c>
      <c r="C51" s="65">
        <v>141.92649069148948</v>
      </c>
      <c r="D51" s="65">
        <v>144.03617373642828</v>
      </c>
      <c r="E51" s="65">
        <v>146.0069584846155</v>
      </c>
      <c r="F51" s="65">
        <v>147.58738901718101</v>
      </c>
      <c r="G51" s="65">
        <v>150.25208413473598</v>
      </c>
      <c r="H51" s="65">
        <v>152.81137481290142</v>
      </c>
      <c r="I51" s="65">
        <v>155.23358406905473</v>
      </c>
      <c r="J51" s="65">
        <v>156.59186196215248</v>
      </c>
      <c r="K51" s="65">
        <v>158.05652789633615</v>
      </c>
      <c r="L51" s="65">
        <v>158.0039893801723</v>
      </c>
      <c r="M51" s="65">
        <v>159.41104522755865</v>
      </c>
      <c r="N51" s="65">
        <v>160.83747245846598</v>
      </c>
      <c r="O51" s="65">
        <v>160.81604842175074</v>
      </c>
      <c r="P51" s="65">
        <v>162.3707211645397</v>
      </c>
      <c r="Q51" s="65">
        <v>163.10052750344519</v>
      </c>
      <c r="R51" s="65">
        <v>163.70163021853804</v>
      </c>
      <c r="S51" s="65">
        <v>165.00700879418716</v>
      </c>
      <c r="T51" s="65">
        <v>161.77068351426007</v>
      </c>
      <c r="U51" s="65">
        <v>157.98536355965109</v>
      </c>
      <c r="V51" s="65">
        <v>134.87461422560591</v>
      </c>
      <c r="W51" s="65">
        <v>146.49119291740314</v>
      </c>
      <c r="X51" s="65">
        <v>151.28241758220716</v>
      </c>
      <c r="Y51" s="65">
        <v>150.75201251824191</v>
      </c>
      <c r="DA51" s="109" t="s">
        <v>216</v>
      </c>
    </row>
    <row r="52" spans="1:105" ht="12" customHeight="1" x14ac:dyDescent="0.25">
      <c r="A52" s="66" t="s">
        <v>34</v>
      </c>
      <c r="B52" s="67">
        <v>121.9295847538195</v>
      </c>
      <c r="C52" s="67">
        <v>124.61235480992913</v>
      </c>
      <c r="D52" s="67">
        <v>128.21268699582095</v>
      </c>
      <c r="E52" s="67">
        <v>134.32451854524422</v>
      </c>
      <c r="F52" s="67">
        <v>138.74753898792596</v>
      </c>
      <c r="G52" s="67">
        <v>142.12835367599016</v>
      </c>
      <c r="H52" s="67">
        <v>146.49084665156849</v>
      </c>
      <c r="I52" s="67">
        <v>148.76910033631106</v>
      </c>
      <c r="J52" s="67">
        <v>151.53465034371439</v>
      </c>
      <c r="K52" s="67">
        <v>154.39130874957033</v>
      </c>
      <c r="L52" s="67">
        <v>157.27494591507883</v>
      </c>
      <c r="M52" s="67">
        <v>160.88249554483912</v>
      </c>
      <c r="N52" s="67">
        <v>161.97570867163461</v>
      </c>
      <c r="O52" s="67">
        <v>162.26905826792671</v>
      </c>
      <c r="P52" s="67">
        <v>159.61848749710862</v>
      </c>
      <c r="Q52" s="67">
        <v>160.71812624957471</v>
      </c>
      <c r="R52" s="67">
        <v>163.39947151865755</v>
      </c>
      <c r="S52" s="67">
        <v>165.24799290159362</v>
      </c>
      <c r="T52" s="67">
        <v>161.21906581399969</v>
      </c>
      <c r="U52" s="67">
        <v>160.54796629387809</v>
      </c>
      <c r="V52" s="67">
        <v>128.74733163236823</v>
      </c>
      <c r="W52" s="67">
        <v>138.3985324365878</v>
      </c>
      <c r="X52" s="67">
        <v>137.1422959563958</v>
      </c>
      <c r="Y52" s="67">
        <v>118.82841245070549</v>
      </c>
      <c r="DA52" s="110" t="s">
        <v>217</v>
      </c>
    </row>
    <row r="53" spans="1:105" ht="12" customHeight="1" x14ac:dyDescent="0.25">
      <c r="A53" s="78" t="s">
        <v>33</v>
      </c>
      <c r="B53" s="68">
        <v>438.94767613050908</v>
      </c>
      <c r="C53" s="68">
        <v>452.55431751605482</v>
      </c>
      <c r="D53" s="68">
        <v>466.7221333603211</v>
      </c>
      <c r="E53" s="68">
        <v>480.81339288050384</v>
      </c>
      <c r="F53" s="68">
        <v>494.54088728730039</v>
      </c>
      <c r="G53" s="68">
        <v>506.89181640501846</v>
      </c>
      <c r="H53" s="68">
        <v>516.8437479880904</v>
      </c>
      <c r="I53" s="68">
        <v>529.3836906118338</v>
      </c>
      <c r="J53" s="68">
        <v>538.2731157231716</v>
      </c>
      <c r="K53" s="68">
        <v>548.70128282674978</v>
      </c>
      <c r="L53" s="68">
        <v>558.9163706795739</v>
      </c>
      <c r="M53" s="68">
        <v>562.88147331618768</v>
      </c>
      <c r="N53" s="68">
        <v>572.58191288625142</v>
      </c>
      <c r="O53" s="68">
        <v>584.54329948999168</v>
      </c>
      <c r="P53" s="68">
        <v>598.20444340680717</v>
      </c>
      <c r="Q53" s="68">
        <v>613.73797002099604</v>
      </c>
      <c r="R53" s="68">
        <v>618.0857593345861</v>
      </c>
      <c r="S53" s="68">
        <v>633.31123855028477</v>
      </c>
      <c r="T53" s="68">
        <v>635.10101548446244</v>
      </c>
      <c r="U53" s="68">
        <v>634.85252945113962</v>
      </c>
      <c r="V53" s="68">
        <v>611.63920194189075</v>
      </c>
      <c r="W53" s="68">
        <v>632.45875981430322</v>
      </c>
      <c r="X53" s="68">
        <v>634.6347091720661</v>
      </c>
      <c r="Y53" s="68">
        <v>650.78728251127814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0.76361795551196987</v>
      </c>
      <c r="C56" s="70">
        <f t="shared" ref="C56:W56" si="43">IF(C48=0,0,C48/C$47)</f>
        <v>0.76412651192702064</v>
      </c>
      <c r="D56" s="70">
        <f t="shared" si="43"/>
        <v>0.75950886752636237</v>
      </c>
      <c r="E56" s="70">
        <f t="shared" si="43"/>
        <v>0.75946130717646343</v>
      </c>
      <c r="F56" s="70">
        <f t="shared" si="43"/>
        <v>0.75435775468700894</v>
      </c>
      <c r="G56" s="70">
        <f t="shared" si="43"/>
        <v>0.74842658323874711</v>
      </c>
      <c r="H56" s="70">
        <f t="shared" si="43"/>
        <v>0.74769225003042183</v>
      </c>
      <c r="I56" s="70">
        <f t="shared" si="43"/>
        <v>0.73775085998985934</v>
      </c>
      <c r="J56" s="70">
        <f t="shared" si="43"/>
        <v>0.73446582533230031</v>
      </c>
      <c r="K56" s="70">
        <f t="shared" si="43"/>
        <v>0.72678595640656785</v>
      </c>
      <c r="L56" s="70">
        <f t="shared" si="43"/>
        <v>0.73893711012650731</v>
      </c>
      <c r="M56" s="70">
        <f t="shared" si="43"/>
        <v>0.71269455227006218</v>
      </c>
      <c r="N56" s="70">
        <f t="shared" si="43"/>
        <v>0.71216147469753688</v>
      </c>
      <c r="O56" s="70">
        <f t="shared" si="43"/>
        <v>0.70393583423698214</v>
      </c>
      <c r="P56" s="70">
        <f t="shared" si="43"/>
        <v>0.67752894951425502</v>
      </c>
      <c r="Q56" s="70">
        <f t="shared" si="43"/>
        <v>0.68292556398056958</v>
      </c>
      <c r="R56" s="70">
        <f t="shared" si="43"/>
        <v>0.68912125807199576</v>
      </c>
      <c r="S56" s="70">
        <f t="shared" si="43"/>
        <v>0.68853349758956739</v>
      </c>
      <c r="T56" s="70">
        <f t="shared" si="43"/>
        <v>0.67782777869173405</v>
      </c>
      <c r="U56" s="70">
        <f t="shared" si="43"/>
        <v>0.6680843661756769</v>
      </c>
      <c r="V56" s="70">
        <f t="shared" si="43"/>
        <v>0.66165395227384238</v>
      </c>
      <c r="W56" s="70">
        <f t="shared" si="43"/>
        <v>0.68539539753330125</v>
      </c>
      <c r="X56" s="70">
        <f t="shared" ref="X56:Y56" si="44">IF(X48=0,0,X48/X$47)</f>
        <v>0.66214321064403736</v>
      </c>
      <c r="Y56" s="70">
        <f t="shared" si="44"/>
        <v>0.6483739978732278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0.60959835658602313</v>
      </c>
      <c r="C57" s="71">
        <f t="shared" ref="C57:W57" si="46">IF(C49=0,0,C49/C$47)</f>
        <v>0.61346505500832149</v>
      </c>
      <c r="D57" s="71">
        <f t="shared" si="46"/>
        <v>0.60754307118760387</v>
      </c>
      <c r="E57" s="71">
        <f t="shared" si="46"/>
        <v>0.60808388756154974</v>
      </c>
      <c r="F57" s="71">
        <f t="shared" si="46"/>
        <v>0.60121105249407591</v>
      </c>
      <c r="G57" s="71">
        <f t="shared" si="46"/>
        <v>0.59251233277381898</v>
      </c>
      <c r="H57" s="71">
        <f t="shared" si="46"/>
        <v>0.59100949389259316</v>
      </c>
      <c r="I57" s="71">
        <f t="shared" si="46"/>
        <v>0.57635913011607032</v>
      </c>
      <c r="J57" s="71">
        <f t="shared" si="46"/>
        <v>0.57196697013665088</v>
      </c>
      <c r="K57" s="71">
        <f t="shared" si="46"/>
        <v>0.56031448663192318</v>
      </c>
      <c r="L57" s="71">
        <f t="shared" si="46"/>
        <v>0.58121334515582557</v>
      </c>
      <c r="M57" s="71">
        <f t="shared" si="46"/>
        <v>0.53788060330481513</v>
      </c>
      <c r="N57" s="71">
        <f t="shared" si="46"/>
        <v>0.53879598851456434</v>
      </c>
      <c r="O57" s="71">
        <f t="shared" si="46"/>
        <v>0.52912676798211022</v>
      </c>
      <c r="P57" s="71">
        <f t="shared" si="46"/>
        <v>0.4920200852081385</v>
      </c>
      <c r="Q57" s="71">
        <f t="shared" si="46"/>
        <v>0.50435540845369264</v>
      </c>
      <c r="R57" s="71">
        <f t="shared" si="46"/>
        <v>0.51371939317950432</v>
      </c>
      <c r="S57" s="71">
        <f t="shared" si="46"/>
        <v>0.51554685131951883</v>
      </c>
      <c r="T57" s="71">
        <f t="shared" si="46"/>
        <v>0.50265759351408879</v>
      </c>
      <c r="U57" s="71">
        <f t="shared" si="46"/>
        <v>0.49016575866658008</v>
      </c>
      <c r="V57" s="71">
        <f t="shared" si="46"/>
        <v>0.50444959861468808</v>
      </c>
      <c r="W57" s="71">
        <f t="shared" si="46"/>
        <v>0.53338957712769464</v>
      </c>
      <c r="X57" s="71">
        <f t="shared" ref="X57:Y57" si="47">IF(X49=0,0,X49/X$47)</f>
        <v>0.4972342359880163</v>
      </c>
      <c r="Y57" s="71">
        <f t="shared" si="47"/>
        <v>0.49119171980751913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1.224232232447842E-2</v>
      </c>
      <c r="C58" s="72">
        <f t="shared" ref="C58:W58" si="49">IF(C50=0,0,C50/C$47)</f>
        <v>1.1740128004111441E-2</v>
      </c>
      <c r="D58" s="72">
        <f t="shared" si="49"/>
        <v>1.1682248265392955E-2</v>
      </c>
      <c r="E58" s="72">
        <f t="shared" si="49"/>
        <v>1.113472246772307E-2</v>
      </c>
      <c r="F58" s="72">
        <f t="shared" si="49"/>
        <v>1.0921951045416834E-2</v>
      </c>
      <c r="G58" s="72">
        <f t="shared" si="49"/>
        <v>1.0804103972795673E-2</v>
      </c>
      <c r="H58" s="72">
        <f t="shared" si="49"/>
        <v>1.0572311051556788E-2</v>
      </c>
      <c r="I58" s="72">
        <f t="shared" si="49"/>
        <v>1.0793130105934346E-2</v>
      </c>
      <c r="J58" s="72">
        <f t="shared" si="49"/>
        <v>1.049773021200192E-2</v>
      </c>
      <c r="K58" s="72">
        <f t="shared" si="49"/>
        <v>1.0894766140434324E-2</v>
      </c>
      <c r="L58" s="72">
        <f t="shared" si="49"/>
        <v>1.0460892952207574E-2</v>
      </c>
      <c r="M58" s="72">
        <f t="shared" si="49"/>
        <v>1.1330012294747945E-2</v>
      </c>
      <c r="N58" s="72">
        <f t="shared" si="49"/>
        <v>1.1086399272408249E-2</v>
      </c>
      <c r="O58" s="72">
        <f t="shared" si="49"/>
        <v>1.1170337240285471E-2</v>
      </c>
      <c r="P58" s="72">
        <f t="shared" si="49"/>
        <v>1.1935766502186312E-2</v>
      </c>
      <c r="Q58" s="72">
        <f t="shared" si="49"/>
        <v>1.1276258087555221E-2</v>
      </c>
      <c r="R58" s="72">
        <f t="shared" si="49"/>
        <v>1.0879745662954897E-2</v>
      </c>
      <c r="S58" s="72">
        <f t="shared" si="49"/>
        <v>1.0565132138701036E-2</v>
      </c>
      <c r="T58" s="72">
        <f t="shared" si="49"/>
        <v>1.132487165455396E-2</v>
      </c>
      <c r="U58" s="72">
        <f t="shared" si="49"/>
        <v>1.1381991259159768E-2</v>
      </c>
      <c r="V58" s="72">
        <f t="shared" si="49"/>
        <v>1.1374192361875793E-2</v>
      </c>
      <c r="W58" s="72">
        <f t="shared" si="49"/>
        <v>1.0292835327884059E-2</v>
      </c>
      <c r="X58" s="72">
        <f t="shared" ref="X58:Y58" si="50">IF(X50=0,0,X50/X$47)</f>
        <v>1.1361987265128977E-2</v>
      </c>
      <c r="Y58" s="72">
        <f t="shared" si="50"/>
        <v>1.1525640895905831E-2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7.6115772748068328E-2</v>
      </c>
      <c r="C59" s="72">
        <f t="shared" ref="C59:W59" si="52">IF(C51=0,0,C51/C$47)</f>
        <v>7.3972769927603738E-2</v>
      </c>
      <c r="D59" s="72">
        <f t="shared" si="52"/>
        <v>7.42185126075878E-2</v>
      </c>
      <c r="E59" s="72">
        <f t="shared" si="52"/>
        <v>7.3043562132551074E-2</v>
      </c>
      <c r="F59" s="72">
        <f t="shared" si="52"/>
        <v>7.3307786170976122E-2</v>
      </c>
      <c r="G59" s="72">
        <f t="shared" si="52"/>
        <v>7.4571001065584619E-2</v>
      </c>
      <c r="H59" s="72">
        <f t="shared" si="52"/>
        <v>7.4597969500231717E-2</v>
      </c>
      <c r="I59" s="72">
        <f t="shared" si="52"/>
        <v>7.6900506465832269E-2</v>
      </c>
      <c r="J59" s="72">
        <f t="shared" si="52"/>
        <v>7.7247942747307743E-2</v>
      </c>
      <c r="K59" s="72">
        <f t="shared" si="52"/>
        <v>7.870086047626583E-2</v>
      </c>
      <c r="L59" s="72">
        <f t="shared" si="52"/>
        <v>7.3801699579804245E-2</v>
      </c>
      <c r="M59" s="72">
        <f t="shared" si="52"/>
        <v>8.1366440171453377E-2</v>
      </c>
      <c r="N59" s="72">
        <f t="shared" si="52"/>
        <v>8.0853446195072801E-2</v>
      </c>
      <c r="O59" s="72">
        <f t="shared" si="52"/>
        <v>8.1451398482938073E-2</v>
      </c>
      <c r="P59" s="72">
        <f t="shared" si="52"/>
        <v>8.7528365258982069E-2</v>
      </c>
      <c r="Q59" s="72">
        <f t="shared" si="52"/>
        <v>8.4262356736470645E-2</v>
      </c>
      <c r="R59" s="72">
        <f t="shared" si="52"/>
        <v>8.233704803147493E-2</v>
      </c>
      <c r="S59" s="72">
        <f t="shared" si="52"/>
        <v>8.1151498305919098E-2</v>
      </c>
      <c r="T59" s="72">
        <f t="shared" si="52"/>
        <v>8.2062568283864892E-2</v>
      </c>
      <c r="U59" s="72">
        <f t="shared" si="52"/>
        <v>8.2598414038300691E-2</v>
      </c>
      <c r="V59" s="72">
        <f t="shared" si="52"/>
        <v>7.4609823106399714E-2</v>
      </c>
      <c r="W59" s="72">
        <f t="shared" si="52"/>
        <v>7.2869262694983741E-2</v>
      </c>
      <c r="X59" s="72">
        <f t="shared" ref="X59:Y59" si="53">IF(X51=0,0,X51/X$47)</f>
        <v>8.0537340853941222E-2</v>
      </c>
      <c r="Y59" s="72">
        <f t="shared" si="53"/>
        <v>8.1452617312686784E-2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6.5661503853400027E-2</v>
      </c>
      <c r="C60" s="73">
        <f t="shared" ref="C60:W60" si="55">IF(C52=0,0,C52/C$47)</f>
        <v>6.4948558986983804E-2</v>
      </c>
      <c r="D60" s="73">
        <f t="shared" si="55"/>
        <v>6.6065035465777647E-2</v>
      </c>
      <c r="E60" s="73">
        <f t="shared" si="55"/>
        <v>6.7199135014639602E-2</v>
      </c>
      <c r="F60" s="73">
        <f t="shared" si="55"/>
        <v>6.8916964976540013E-2</v>
      </c>
      <c r="G60" s="73">
        <f t="shared" si="55"/>
        <v>7.0539145426547892E-2</v>
      </c>
      <c r="H60" s="73">
        <f t="shared" si="55"/>
        <v>7.1512475586040056E-2</v>
      </c>
      <c r="I60" s="73">
        <f t="shared" si="55"/>
        <v>7.3698093302022427E-2</v>
      </c>
      <c r="J60" s="73">
        <f t="shared" si="55"/>
        <v>7.4753182236339782E-2</v>
      </c>
      <c r="K60" s="73">
        <f t="shared" si="55"/>
        <v>7.687584315794449E-2</v>
      </c>
      <c r="L60" s="73">
        <f t="shared" si="55"/>
        <v>7.3461172438669925E-2</v>
      </c>
      <c r="M60" s="73">
        <f t="shared" si="55"/>
        <v>8.2117496499045733E-2</v>
      </c>
      <c r="N60" s="73">
        <f t="shared" si="55"/>
        <v>8.142564071549141E-2</v>
      </c>
      <c r="O60" s="73">
        <f t="shared" si="55"/>
        <v>8.2187330531648367E-2</v>
      </c>
      <c r="P60" s="73">
        <f t="shared" si="55"/>
        <v>8.6044732544948238E-2</v>
      </c>
      <c r="Q60" s="73">
        <f t="shared" si="55"/>
        <v>8.303154070285107E-2</v>
      </c>
      <c r="R60" s="73">
        <f t="shared" si="55"/>
        <v>8.218507119806176E-2</v>
      </c>
      <c r="S60" s="73">
        <f t="shared" si="55"/>
        <v>8.1270015825428477E-2</v>
      </c>
      <c r="T60" s="73">
        <f t="shared" si="55"/>
        <v>8.178274523922642E-2</v>
      </c>
      <c r="U60" s="73">
        <f t="shared" si="55"/>
        <v>8.3938202211636392E-2</v>
      </c>
      <c r="V60" s="73">
        <f t="shared" si="55"/>
        <v>7.1220338190878862E-2</v>
      </c>
      <c r="W60" s="73">
        <f t="shared" si="55"/>
        <v>6.8843722382738878E-2</v>
      </c>
      <c r="X60" s="73">
        <f t="shared" ref="X60:Y60" si="56">IF(X52=0,0,X52/X$47)</f>
        <v>7.3009646536950787E-2</v>
      </c>
      <c r="Y60" s="73">
        <f t="shared" si="56"/>
        <v>6.4204019857116101E-2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0.23638204448803019</v>
      </c>
      <c r="C61" s="70">
        <f t="shared" ref="C61:W61" si="58">IF(C53=0,0,C53/C$47)</f>
        <v>0.23587348807297931</v>
      </c>
      <c r="D61" s="70">
        <f t="shared" si="58"/>
        <v>0.24049113247363768</v>
      </c>
      <c r="E61" s="70">
        <f t="shared" si="58"/>
        <v>0.24053869282353649</v>
      </c>
      <c r="F61" s="70">
        <f t="shared" si="58"/>
        <v>0.24564224531299106</v>
      </c>
      <c r="G61" s="70">
        <f t="shared" si="58"/>
        <v>0.25157341676125283</v>
      </c>
      <c r="H61" s="70">
        <f t="shared" si="58"/>
        <v>0.25230774996957811</v>
      </c>
      <c r="I61" s="70">
        <f t="shared" si="58"/>
        <v>0.26224914001014066</v>
      </c>
      <c r="J61" s="70">
        <f t="shared" si="58"/>
        <v>0.26553417466769969</v>
      </c>
      <c r="K61" s="70">
        <f t="shared" si="58"/>
        <v>0.27321404359343215</v>
      </c>
      <c r="L61" s="70">
        <f t="shared" si="58"/>
        <v>0.26106288987349269</v>
      </c>
      <c r="M61" s="70">
        <f t="shared" si="58"/>
        <v>0.28730544772993794</v>
      </c>
      <c r="N61" s="70">
        <f t="shared" si="58"/>
        <v>0.28783852530246323</v>
      </c>
      <c r="O61" s="70">
        <f t="shared" si="58"/>
        <v>0.29606416576301792</v>
      </c>
      <c r="P61" s="70">
        <f t="shared" si="58"/>
        <v>0.32247105048574487</v>
      </c>
      <c r="Q61" s="70">
        <f t="shared" si="58"/>
        <v>0.31707443601943047</v>
      </c>
      <c r="R61" s="70">
        <f t="shared" si="58"/>
        <v>0.31087874192800424</v>
      </c>
      <c r="S61" s="70">
        <f t="shared" si="58"/>
        <v>0.31146650241043256</v>
      </c>
      <c r="T61" s="70">
        <f t="shared" si="58"/>
        <v>0.32217222130826584</v>
      </c>
      <c r="U61" s="70">
        <f t="shared" si="58"/>
        <v>0.3319156338243231</v>
      </c>
      <c r="V61" s="70">
        <f t="shared" si="58"/>
        <v>0.33834604772615762</v>
      </c>
      <c r="W61" s="70">
        <f t="shared" si="58"/>
        <v>0.31460460246669875</v>
      </c>
      <c r="X61" s="70">
        <f t="shared" ref="X61:Y61" si="59">IF(X53=0,0,X53/X$47)</f>
        <v>0.33785678935596269</v>
      </c>
      <c r="Y61" s="70">
        <f t="shared" si="59"/>
        <v>0.3516260021267722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877.91577276470889</v>
      </c>
      <c r="C65" s="80">
        <v>843.23867390271369</v>
      </c>
      <c r="D65" s="80">
        <v>855.28971227035811</v>
      </c>
      <c r="E65" s="80">
        <v>945.91863956605096</v>
      </c>
      <c r="F65" s="80">
        <v>943.58361559224909</v>
      </c>
      <c r="G65" s="80">
        <v>935.44305340753181</v>
      </c>
      <c r="H65" s="80">
        <v>940.69255063481955</v>
      </c>
      <c r="I65" s="80">
        <v>855.44592202317358</v>
      </c>
      <c r="J65" s="80">
        <v>842.58409705174165</v>
      </c>
      <c r="K65" s="80">
        <v>819.24607817243668</v>
      </c>
      <c r="L65" s="80">
        <v>808.14124006684858</v>
      </c>
      <c r="M65" s="80">
        <v>648.15660564573795</v>
      </c>
      <c r="N65" s="80">
        <v>723.43560399621288</v>
      </c>
      <c r="O65" s="80">
        <v>730.11161298425145</v>
      </c>
      <c r="P65" s="80">
        <v>583.20608866531802</v>
      </c>
      <c r="Q65" s="80">
        <v>700.57577280282032</v>
      </c>
      <c r="R65" s="80">
        <v>706.93443125856254</v>
      </c>
      <c r="S65" s="80">
        <v>727.56818232949445</v>
      </c>
      <c r="T65" s="80">
        <v>641.21713593870709</v>
      </c>
      <c r="U65" s="80">
        <v>570.40362229046877</v>
      </c>
      <c r="V65" s="80">
        <v>535.93804932236833</v>
      </c>
      <c r="W65" s="80">
        <v>632.5189009246468</v>
      </c>
      <c r="X65" s="80">
        <v>510.88928535901442</v>
      </c>
      <c r="Y65" s="80">
        <v>461.81158910931146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416.67634872000014</v>
      </c>
      <c r="C67" s="55">
        <f t="shared" ref="C67:W67" si="60">SUM(C68:C69)</f>
        <v>385.10677367999995</v>
      </c>
      <c r="D67" s="55">
        <f t="shared" si="60"/>
        <v>359.66989763999993</v>
      </c>
      <c r="E67" s="55">
        <f t="shared" si="60"/>
        <v>359.55071028000009</v>
      </c>
      <c r="F67" s="55">
        <f t="shared" si="60"/>
        <v>371.92690152</v>
      </c>
      <c r="G67" s="55">
        <f t="shared" si="60"/>
        <v>333.49125708000003</v>
      </c>
      <c r="H67" s="55">
        <f t="shared" si="60"/>
        <v>279.87266339999996</v>
      </c>
      <c r="I67" s="55">
        <f t="shared" si="60"/>
        <v>248.16585131999997</v>
      </c>
      <c r="J67" s="55">
        <f t="shared" si="60"/>
        <v>251.24041151999998</v>
      </c>
      <c r="K67" s="55">
        <f t="shared" si="60"/>
        <v>232.53514523999999</v>
      </c>
      <c r="L67" s="55">
        <f t="shared" si="60"/>
        <v>228.84809795999999</v>
      </c>
      <c r="M67" s="55">
        <f t="shared" si="60"/>
        <v>181.64861567999998</v>
      </c>
      <c r="N67" s="55">
        <f t="shared" si="60"/>
        <v>210.27544775999996</v>
      </c>
      <c r="O67" s="55">
        <f t="shared" si="60"/>
        <v>197.43167519999997</v>
      </c>
      <c r="P67" s="55">
        <f t="shared" si="60"/>
        <v>172.82947643999995</v>
      </c>
      <c r="Q67" s="55">
        <f t="shared" si="60"/>
        <v>188.48043432</v>
      </c>
      <c r="R67" s="55">
        <f t="shared" si="60"/>
        <v>189.81316007999999</v>
      </c>
      <c r="S67" s="55">
        <f t="shared" si="60"/>
        <v>173.35022831999999</v>
      </c>
      <c r="T67" s="55">
        <f t="shared" si="60"/>
        <v>187.61527224000002</v>
      </c>
      <c r="U67" s="55">
        <f t="shared" si="60"/>
        <v>102.93206436000001</v>
      </c>
      <c r="V67" s="55">
        <f t="shared" si="60"/>
        <v>113.38068599999998</v>
      </c>
      <c r="W67" s="55">
        <f t="shared" si="60"/>
        <v>92.218838399999981</v>
      </c>
      <c r="X67" s="55">
        <f t="shared" ref="X67:Y67" si="61">SUM(X68:X69)</f>
        <v>119.36639844000001</v>
      </c>
      <c r="Y67" s="55">
        <f t="shared" si="61"/>
        <v>102.31429428000001</v>
      </c>
      <c r="DA67" s="101"/>
    </row>
    <row r="68" spans="1:105" ht="12" customHeight="1" x14ac:dyDescent="0.25">
      <c r="A68" s="61" t="s">
        <v>52</v>
      </c>
      <c r="B68" s="55">
        <v>8.707724279999999</v>
      </c>
      <c r="C68" s="55">
        <v>8.707724279999999</v>
      </c>
      <c r="D68" s="55">
        <v>8.707724279999999</v>
      </c>
      <c r="E68" s="55">
        <v>11.610374759999999</v>
      </c>
      <c r="F68" s="55">
        <v>14.513025240000001</v>
      </c>
      <c r="G68" s="55">
        <v>17.415675720000003</v>
      </c>
      <c r="H68" s="55">
        <v>17.415675720000003</v>
      </c>
      <c r="I68" s="55">
        <v>17.415675720000003</v>
      </c>
      <c r="J68" s="55">
        <v>17.415675720000003</v>
      </c>
      <c r="K68" s="55">
        <v>17.415675720000003</v>
      </c>
      <c r="L68" s="55">
        <v>23.220749519999998</v>
      </c>
      <c r="M68" s="55">
        <v>20.318099040000003</v>
      </c>
      <c r="N68" s="55">
        <v>17.415675720000003</v>
      </c>
      <c r="O68" s="55">
        <v>20.318099040000003</v>
      </c>
      <c r="P68" s="55">
        <v>11.610374759999999</v>
      </c>
      <c r="Q68" s="55">
        <v>24.079868640000001</v>
      </c>
      <c r="R68" s="55">
        <v>25.438285440000001</v>
      </c>
      <c r="S68" s="55">
        <v>25.243836480000002</v>
      </c>
      <c r="T68" s="55">
        <v>25.902827640000002</v>
      </c>
      <c r="U68" s="55">
        <v>25.426700280000006</v>
      </c>
      <c r="V68" s="55">
        <v>21.485019960000002</v>
      </c>
      <c r="W68" s="55">
        <v>23.127841080000003</v>
      </c>
      <c r="X68" s="55">
        <v>25.899874560000004</v>
      </c>
      <c r="Y68" s="55">
        <v>27.229214880000015</v>
      </c>
      <c r="DA68" s="101" t="s">
        <v>221</v>
      </c>
    </row>
    <row r="69" spans="1:105" ht="12" customHeight="1" x14ac:dyDescent="0.25">
      <c r="A69" s="61" t="s">
        <v>163</v>
      </c>
      <c r="B69" s="55">
        <v>407.96862444000016</v>
      </c>
      <c r="C69" s="55">
        <v>376.39904939999997</v>
      </c>
      <c r="D69" s="55">
        <v>350.96217335999995</v>
      </c>
      <c r="E69" s="55">
        <v>347.94033552000008</v>
      </c>
      <c r="F69" s="55">
        <v>357.41387628000001</v>
      </c>
      <c r="G69" s="55">
        <v>316.07558136</v>
      </c>
      <c r="H69" s="55">
        <v>262.45698767999994</v>
      </c>
      <c r="I69" s="55">
        <v>230.75017559999998</v>
      </c>
      <c r="J69" s="55">
        <v>233.82473579999998</v>
      </c>
      <c r="K69" s="55">
        <v>215.11946952</v>
      </c>
      <c r="L69" s="55">
        <v>205.62734843999999</v>
      </c>
      <c r="M69" s="55">
        <v>161.33051663999998</v>
      </c>
      <c r="N69" s="55">
        <v>192.85977203999997</v>
      </c>
      <c r="O69" s="55">
        <v>177.11357615999998</v>
      </c>
      <c r="P69" s="55">
        <v>161.21910167999994</v>
      </c>
      <c r="Q69" s="55">
        <v>164.40056568</v>
      </c>
      <c r="R69" s="55">
        <v>164.37487463999997</v>
      </c>
      <c r="S69" s="55">
        <v>148.10639183999999</v>
      </c>
      <c r="T69" s="55">
        <v>161.71244460000003</v>
      </c>
      <c r="U69" s="55">
        <v>77.505364080000007</v>
      </c>
      <c r="V69" s="55">
        <v>91.895666039999981</v>
      </c>
      <c r="W69" s="55">
        <v>69.090997319999985</v>
      </c>
      <c r="X69" s="55">
        <v>93.466523880000011</v>
      </c>
      <c r="Y69" s="55">
        <v>75.085079399999998</v>
      </c>
      <c r="DA69" s="101" t="s">
        <v>222</v>
      </c>
    </row>
    <row r="70" spans="1:105" ht="12" customHeight="1" x14ac:dyDescent="0.25">
      <c r="A70" s="60" t="s">
        <v>149</v>
      </c>
      <c r="B70" s="55">
        <v>408.76603020000005</v>
      </c>
      <c r="C70" s="55">
        <v>414.01900979999999</v>
      </c>
      <c r="D70" s="55">
        <v>430.5843748800001</v>
      </c>
      <c r="E70" s="55">
        <v>520.49858255999993</v>
      </c>
      <c r="F70" s="55">
        <v>519.4903982400001</v>
      </c>
      <c r="G70" s="55">
        <v>549.79146684000023</v>
      </c>
      <c r="H70" s="55">
        <v>607.13740296000003</v>
      </c>
      <c r="I70" s="55">
        <v>570.48651000000007</v>
      </c>
      <c r="J70" s="55">
        <v>565.99895879999997</v>
      </c>
      <c r="K70" s="55">
        <v>571.45046508000019</v>
      </c>
      <c r="L70" s="55">
        <v>564.28068312000005</v>
      </c>
      <c r="M70" s="55">
        <v>444.26756880000005</v>
      </c>
      <c r="N70" s="55">
        <v>491.62779467999997</v>
      </c>
      <c r="O70" s="55">
        <v>511.10481708000003</v>
      </c>
      <c r="P70" s="55">
        <v>379.64549533908206</v>
      </c>
      <c r="Q70" s="55">
        <v>499.52073643981538</v>
      </c>
      <c r="R70" s="55">
        <v>497.70454097097235</v>
      </c>
      <c r="S70" s="55">
        <v>528.2955406416329</v>
      </c>
      <c r="T70" s="55">
        <v>423.76147158199211</v>
      </c>
      <c r="U70" s="55">
        <v>439.28127190273494</v>
      </c>
      <c r="V70" s="55">
        <v>400.19666364277424</v>
      </c>
      <c r="W70" s="55">
        <v>518.83713438521522</v>
      </c>
      <c r="X70" s="55">
        <v>365.17475160062077</v>
      </c>
      <c r="Y70" s="55">
        <v>337.98694367792706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52.473393844708689</v>
      </c>
      <c r="C71" s="55">
        <f t="shared" ref="C71:W71" si="62">SUM(C72:C76)</f>
        <v>44.112890422713804</v>
      </c>
      <c r="D71" s="55">
        <f t="shared" si="62"/>
        <v>65.035439750357995</v>
      </c>
      <c r="E71" s="55">
        <f t="shared" si="62"/>
        <v>65.869346726050907</v>
      </c>
      <c r="F71" s="55">
        <f t="shared" si="62"/>
        <v>52.166315832249005</v>
      </c>
      <c r="G71" s="55">
        <f t="shared" si="62"/>
        <v>52.160329487531534</v>
      </c>
      <c r="H71" s="55">
        <f t="shared" si="62"/>
        <v>53.682484274819544</v>
      </c>
      <c r="I71" s="55">
        <f t="shared" si="62"/>
        <v>36.793560703173547</v>
      </c>
      <c r="J71" s="55">
        <f t="shared" si="62"/>
        <v>25.344726731741737</v>
      </c>
      <c r="K71" s="55">
        <f t="shared" si="62"/>
        <v>15.260467852436495</v>
      </c>
      <c r="L71" s="55">
        <f t="shared" si="62"/>
        <v>15.012458986848523</v>
      </c>
      <c r="M71" s="55">
        <f t="shared" si="62"/>
        <v>22.240421165737814</v>
      </c>
      <c r="N71" s="55">
        <f t="shared" si="62"/>
        <v>21.532361556212837</v>
      </c>
      <c r="O71" s="55">
        <f t="shared" si="62"/>
        <v>21.575120704251482</v>
      </c>
      <c r="P71" s="55">
        <f t="shared" si="62"/>
        <v>30.731116886235952</v>
      </c>
      <c r="Q71" s="55">
        <f t="shared" si="62"/>
        <v>12.574602043004891</v>
      </c>
      <c r="R71" s="55">
        <f t="shared" si="62"/>
        <v>19.416730207590145</v>
      </c>
      <c r="S71" s="55">
        <f t="shared" si="62"/>
        <v>25.922413367861473</v>
      </c>
      <c r="T71" s="55">
        <f t="shared" si="62"/>
        <v>29.840392116714973</v>
      </c>
      <c r="U71" s="55">
        <f t="shared" si="62"/>
        <v>28.19028602773383</v>
      </c>
      <c r="V71" s="55">
        <f t="shared" si="62"/>
        <v>22.360699679594074</v>
      </c>
      <c r="W71" s="55">
        <f t="shared" si="62"/>
        <v>21.462928139431551</v>
      </c>
      <c r="X71" s="55">
        <f t="shared" ref="X71:Y71" si="63">SUM(X72:X76)</f>
        <v>26.348135318393645</v>
      </c>
      <c r="Y71" s="55">
        <f t="shared" si="63"/>
        <v>21.510351151384395</v>
      </c>
      <c r="DA71" s="101"/>
    </row>
    <row r="72" spans="1:105" ht="12" customHeight="1" x14ac:dyDescent="0.25">
      <c r="A72" s="61" t="s">
        <v>164</v>
      </c>
      <c r="B72" s="55">
        <v>52.473393844708689</v>
      </c>
      <c r="C72" s="55">
        <v>44.112890422713804</v>
      </c>
      <c r="D72" s="55">
        <v>65.035439750357995</v>
      </c>
      <c r="E72" s="55">
        <v>65.869346726050907</v>
      </c>
      <c r="F72" s="55">
        <v>52.166315832249005</v>
      </c>
      <c r="G72" s="55">
        <v>52.160329487531534</v>
      </c>
      <c r="H72" s="55">
        <v>53.682484274819544</v>
      </c>
      <c r="I72" s="55">
        <v>36.793560703173547</v>
      </c>
      <c r="J72" s="55">
        <v>25.344726731741737</v>
      </c>
      <c r="K72" s="55">
        <v>15.260467852436495</v>
      </c>
      <c r="L72" s="55">
        <v>15.012458986848523</v>
      </c>
      <c r="M72" s="55">
        <v>22.240421165737814</v>
      </c>
      <c r="N72" s="55">
        <v>21.532361556212837</v>
      </c>
      <c r="O72" s="55">
        <v>21.575120704251482</v>
      </c>
      <c r="P72" s="55">
        <v>30.731116886235952</v>
      </c>
      <c r="Q72" s="55">
        <v>12.574602043004891</v>
      </c>
      <c r="R72" s="55">
        <v>19.416730207590145</v>
      </c>
      <c r="S72" s="55">
        <v>25.922413367861473</v>
      </c>
      <c r="T72" s="55">
        <v>29.840392116714973</v>
      </c>
      <c r="U72" s="55">
        <v>28.19028602773383</v>
      </c>
      <c r="V72" s="55">
        <v>22.360699679594074</v>
      </c>
      <c r="W72" s="55">
        <v>21.462928139431551</v>
      </c>
      <c r="X72" s="55">
        <v>26.348135318393645</v>
      </c>
      <c r="Y72" s="55">
        <v>21.510351151384395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877.91577276470878</v>
      </c>
      <c r="C81" s="82">
        <f t="shared" ref="C81:W81" si="65">C82+C87</f>
        <v>843.23867390271369</v>
      </c>
      <c r="D81" s="82">
        <f t="shared" si="65"/>
        <v>855.28971227035811</v>
      </c>
      <c r="E81" s="82">
        <f t="shared" si="65"/>
        <v>945.91863956605096</v>
      </c>
      <c r="F81" s="82">
        <f t="shared" si="65"/>
        <v>943.58361559224886</v>
      </c>
      <c r="G81" s="82">
        <f t="shared" si="65"/>
        <v>935.44305340753181</v>
      </c>
      <c r="H81" s="82">
        <f t="shared" si="65"/>
        <v>940.69255063481955</v>
      </c>
      <c r="I81" s="82">
        <f t="shared" si="65"/>
        <v>855.44592202317347</v>
      </c>
      <c r="J81" s="82">
        <f t="shared" si="65"/>
        <v>842.58409705174199</v>
      </c>
      <c r="K81" s="82">
        <f t="shared" si="65"/>
        <v>819.24607817243657</v>
      </c>
      <c r="L81" s="82">
        <f t="shared" si="65"/>
        <v>808.14124006684858</v>
      </c>
      <c r="M81" s="82">
        <f t="shared" si="65"/>
        <v>648.15660564573773</v>
      </c>
      <c r="N81" s="82">
        <f t="shared" si="65"/>
        <v>723.43560399621276</v>
      </c>
      <c r="O81" s="82">
        <f t="shared" si="65"/>
        <v>730.11161298425191</v>
      </c>
      <c r="P81" s="82">
        <f t="shared" si="65"/>
        <v>583.20608866531848</v>
      </c>
      <c r="Q81" s="82">
        <f t="shared" si="65"/>
        <v>700.57577280282055</v>
      </c>
      <c r="R81" s="82">
        <f t="shared" si="65"/>
        <v>706.93443125856243</v>
      </c>
      <c r="S81" s="82">
        <f t="shared" si="65"/>
        <v>727.56818232949399</v>
      </c>
      <c r="T81" s="82">
        <f t="shared" si="65"/>
        <v>641.21713593870663</v>
      </c>
      <c r="U81" s="82">
        <f t="shared" si="65"/>
        <v>570.40362229046866</v>
      </c>
      <c r="V81" s="82">
        <f t="shared" si="65"/>
        <v>535.93804932236822</v>
      </c>
      <c r="W81" s="82">
        <f t="shared" si="65"/>
        <v>632.51890092464657</v>
      </c>
      <c r="X81" s="82">
        <f t="shared" ref="X81:Y81" si="66">X82+X87</f>
        <v>510.88928535901442</v>
      </c>
      <c r="Y81" s="82">
        <f t="shared" si="66"/>
        <v>461.81158910931111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877.91577276470878</v>
      </c>
      <c r="C82" s="64">
        <f t="shared" ref="C82:W82" si="68">SUM(C83:C86)</f>
        <v>843.23867390271369</v>
      </c>
      <c r="D82" s="64">
        <f t="shared" si="68"/>
        <v>855.28971227035811</v>
      </c>
      <c r="E82" s="64">
        <f t="shared" si="68"/>
        <v>945.91863956605096</v>
      </c>
      <c r="F82" s="64">
        <f t="shared" si="68"/>
        <v>943.58361559224886</v>
      </c>
      <c r="G82" s="64">
        <f t="shared" si="68"/>
        <v>935.44305340753181</v>
      </c>
      <c r="H82" s="64">
        <f t="shared" si="68"/>
        <v>940.69255063481955</v>
      </c>
      <c r="I82" s="64">
        <f t="shared" si="68"/>
        <v>855.44592202317347</v>
      </c>
      <c r="J82" s="64">
        <f t="shared" si="68"/>
        <v>842.58409705174199</v>
      </c>
      <c r="K82" s="64">
        <f t="shared" si="68"/>
        <v>819.24607817243657</v>
      </c>
      <c r="L82" s="64">
        <f t="shared" si="68"/>
        <v>808.14124006684858</v>
      </c>
      <c r="M82" s="64">
        <f t="shared" si="68"/>
        <v>648.15660564573773</v>
      </c>
      <c r="N82" s="64">
        <f t="shared" si="68"/>
        <v>723.43560399621276</v>
      </c>
      <c r="O82" s="64">
        <f t="shared" si="68"/>
        <v>730.11161298425191</v>
      </c>
      <c r="P82" s="64">
        <f t="shared" si="68"/>
        <v>583.20608866531848</v>
      </c>
      <c r="Q82" s="64">
        <f t="shared" si="68"/>
        <v>700.57577280282055</v>
      </c>
      <c r="R82" s="64">
        <f t="shared" si="68"/>
        <v>706.93443125856243</v>
      </c>
      <c r="S82" s="64">
        <f t="shared" si="68"/>
        <v>727.56818232949399</v>
      </c>
      <c r="T82" s="64">
        <f t="shared" si="68"/>
        <v>641.21713593870663</v>
      </c>
      <c r="U82" s="64">
        <f t="shared" si="68"/>
        <v>570.40362229046866</v>
      </c>
      <c r="V82" s="64">
        <f t="shared" si="68"/>
        <v>535.93804932236822</v>
      </c>
      <c r="W82" s="64">
        <f t="shared" si="68"/>
        <v>632.51890092464657</v>
      </c>
      <c r="X82" s="64">
        <f t="shared" ref="X82:Y82" si="69">SUM(X83:X86)</f>
        <v>510.88928535901442</v>
      </c>
      <c r="Y82" s="64">
        <f t="shared" si="69"/>
        <v>461.81158910931111</v>
      </c>
      <c r="DA82" s="108" t="s">
        <v>233</v>
      </c>
    </row>
    <row r="83" spans="1:105" ht="12" customHeight="1" x14ac:dyDescent="0.25">
      <c r="A83" s="61" t="s">
        <v>32</v>
      </c>
      <c r="B83" s="65">
        <v>734.44617029817789</v>
      </c>
      <c r="C83" s="65">
        <v>701.06784961268966</v>
      </c>
      <c r="D83" s="65">
        <v>710.57096120074027</v>
      </c>
      <c r="E83" s="65">
        <v>787.79296247699961</v>
      </c>
      <c r="F83" s="65">
        <v>782.42694691035376</v>
      </c>
      <c r="G83" s="65">
        <v>761.77907763036296</v>
      </c>
      <c r="H83" s="65">
        <v>765.88711083709961</v>
      </c>
      <c r="I83" s="65">
        <v>682.51109537704883</v>
      </c>
      <c r="J83" s="65">
        <v>668.86936832425215</v>
      </c>
      <c r="K83" s="65">
        <v>644.11026036513249</v>
      </c>
      <c r="L83" s="65">
        <v>629.11773129932794</v>
      </c>
      <c r="M83" s="65">
        <v>485.07538104602281</v>
      </c>
      <c r="N83" s="65">
        <v>564.46100865530275</v>
      </c>
      <c r="O83" s="65">
        <v>571.1323596566865</v>
      </c>
      <c r="P83" s="65">
        <v>438.68118595920157</v>
      </c>
      <c r="Q83" s="65">
        <v>527.95515573233013</v>
      </c>
      <c r="R83" s="65">
        <v>537.80727895019288</v>
      </c>
      <c r="S83" s="65">
        <v>565.07049192504735</v>
      </c>
      <c r="T83" s="65">
        <v>476.65487334956674</v>
      </c>
      <c r="U83" s="65">
        <v>408.72236862211025</v>
      </c>
      <c r="V83" s="65">
        <v>429.45497231985189</v>
      </c>
      <c r="W83" s="65">
        <v>507.61092258089934</v>
      </c>
      <c r="X83" s="65">
        <v>399.87856062174421</v>
      </c>
      <c r="Y83" s="65">
        <v>342.12592053138121</v>
      </c>
      <c r="DA83" s="109" t="s">
        <v>234</v>
      </c>
    </row>
    <row r="84" spans="1:105" ht="12" customHeight="1" x14ac:dyDescent="0.25">
      <c r="A84" s="61" t="s">
        <v>31</v>
      </c>
      <c r="B84" s="65">
        <v>7.082608684562601E-2</v>
      </c>
      <c r="C84" s="65">
        <v>7.4203070968919663E-2</v>
      </c>
      <c r="D84" s="65">
        <v>8.0913542140249428E-2</v>
      </c>
      <c r="E84" s="65">
        <v>8.4619745467051116E-2</v>
      </c>
      <c r="F84" s="65">
        <v>9.1767358076530733E-2</v>
      </c>
      <c r="G84" s="65">
        <v>0.10149721463937079</v>
      </c>
      <c r="H84" s="65">
        <v>0.10836287584577557</v>
      </c>
      <c r="I84" s="65">
        <v>0.11611412948540875</v>
      </c>
      <c r="J84" s="65">
        <v>0.12231418245943414</v>
      </c>
      <c r="K84" s="65">
        <v>0.12684181253230908</v>
      </c>
      <c r="L84" s="65">
        <v>0.13609905278257423</v>
      </c>
      <c r="M84" s="65">
        <v>0.14822863029609676</v>
      </c>
      <c r="N84" s="65">
        <v>0.1694923381478731</v>
      </c>
      <c r="O84" s="65">
        <v>0.20541183500198251</v>
      </c>
      <c r="P84" s="65">
        <v>0.27307689248493588</v>
      </c>
      <c r="Q84" s="65">
        <v>0.37898049822121477</v>
      </c>
      <c r="R84" s="65">
        <v>0.46067834151418852</v>
      </c>
      <c r="S84" s="65">
        <v>0.54670830322762864</v>
      </c>
      <c r="T84" s="65">
        <v>0.61056939267119481</v>
      </c>
      <c r="U84" s="65">
        <v>0.65272672190687053</v>
      </c>
      <c r="V84" s="65">
        <v>0.59435958286535984</v>
      </c>
      <c r="W84" s="65">
        <v>0.58038572290952639</v>
      </c>
      <c r="X84" s="65">
        <v>0.51669324794152593</v>
      </c>
      <c r="Y84" s="65">
        <v>0.50097552528211053</v>
      </c>
      <c r="DA84" s="109" t="s">
        <v>235</v>
      </c>
    </row>
    <row r="85" spans="1:105" ht="12" customHeight="1" x14ac:dyDescent="0.25">
      <c r="A85" s="61" t="s">
        <v>35</v>
      </c>
      <c r="B85" s="65">
        <v>77.846865985313642</v>
      </c>
      <c r="C85" s="65">
        <v>76.393360711302762</v>
      </c>
      <c r="D85" s="65">
        <v>78.144751482816147</v>
      </c>
      <c r="E85" s="65">
        <v>85.504345278858125</v>
      </c>
      <c r="F85" s="65">
        <v>85.233787367615093</v>
      </c>
      <c r="G85" s="65">
        <v>88.777451340336029</v>
      </c>
      <c r="H85" s="65">
        <v>88.003314789382856</v>
      </c>
      <c r="I85" s="65">
        <v>84.388683421194543</v>
      </c>
      <c r="J85" s="65">
        <v>84.327779179997378</v>
      </c>
      <c r="K85" s="65">
        <v>83.547533897539878</v>
      </c>
      <c r="L85" s="65">
        <v>81.763238298993855</v>
      </c>
      <c r="M85" s="65">
        <v>70.123856039455447</v>
      </c>
      <c r="N85" s="65">
        <v>69.751903324378375</v>
      </c>
      <c r="O85" s="65">
        <v>68.509905165191213</v>
      </c>
      <c r="P85" s="65">
        <v>64.494729083312649</v>
      </c>
      <c r="Q85" s="65">
        <v>69.473088673137852</v>
      </c>
      <c r="R85" s="65">
        <v>68.555391737892606</v>
      </c>
      <c r="S85" s="65">
        <v>68.155697570042562</v>
      </c>
      <c r="T85" s="65">
        <v>65.10259276330693</v>
      </c>
      <c r="U85" s="65">
        <v>56.006311905376215</v>
      </c>
      <c r="V85" s="65">
        <v>38.782548353494668</v>
      </c>
      <c r="W85" s="65">
        <v>41.66349906527693</v>
      </c>
      <c r="X85" s="65">
        <v>33.134923493305038</v>
      </c>
      <c r="Y85" s="65">
        <v>29.243174885773765</v>
      </c>
      <c r="DA85" s="109" t="s">
        <v>236</v>
      </c>
    </row>
    <row r="86" spans="1:105" ht="12" customHeight="1" x14ac:dyDescent="0.25">
      <c r="A86" s="66" t="s">
        <v>34</v>
      </c>
      <c r="B86" s="67">
        <v>65.551910394371632</v>
      </c>
      <c r="C86" s="67">
        <v>65.703260507752375</v>
      </c>
      <c r="D86" s="67">
        <v>66.493086044661467</v>
      </c>
      <c r="E86" s="67">
        <v>72.536712064726203</v>
      </c>
      <c r="F86" s="67">
        <v>75.831113956203637</v>
      </c>
      <c r="G86" s="67">
        <v>84.785027222193378</v>
      </c>
      <c r="H86" s="67">
        <v>86.693762132491287</v>
      </c>
      <c r="I86" s="67">
        <v>88.43002909544478</v>
      </c>
      <c r="J86" s="67">
        <v>89.264635365032916</v>
      </c>
      <c r="K86" s="67">
        <v>91.461442097231881</v>
      </c>
      <c r="L86" s="67">
        <v>97.124171415744172</v>
      </c>
      <c r="M86" s="67">
        <v>92.809139929963465</v>
      </c>
      <c r="N86" s="67">
        <v>89.05319967838372</v>
      </c>
      <c r="O86" s="67">
        <v>90.263936327372164</v>
      </c>
      <c r="P86" s="67">
        <v>79.757096730319248</v>
      </c>
      <c r="Q86" s="67">
        <v>102.76854789913121</v>
      </c>
      <c r="R86" s="67">
        <v>100.11108222896281</v>
      </c>
      <c r="S86" s="67">
        <v>93.795284531176435</v>
      </c>
      <c r="T86" s="67">
        <v>98.849100433161823</v>
      </c>
      <c r="U86" s="67">
        <v>105.02221504107533</v>
      </c>
      <c r="V86" s="67">
        <v>67.106169066156241</v>
      </c>
      <c r="W86" s="67">
        <v>82.664093555560839</v>
      </c>
      <c r="X86" s="67">
        <v>77.35910799602361</v>
      </c>
      <c r="Y86" s="67">
        <v>89.941518166874019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0.83657930872489028</v>
      </c>
      <c r="C91" s="71">
        <f t="shared" ref="C91:W91" si="77">IF(C83=0,0,C83/C$81)</f>
        <v>0.8313990704055082</v>
      </c>
      <c r="D91" s="71">
        <f t="shared" si="77"/>
        <v>0.83079563685448365</v>
      </c>
      <c r="E91" s="71">
        <f t="shared" si="77"/>
        <v>0.83283374438884827</v>
      </c>
      <c r="F91" s="71">
        <f t="shared" si="77"/>
        <v>0.82920785607246517</v>
      </c>
      <c r="G91" s="71">
        <f t="shared" si="77"/>
        <v>0.81435109796949767</v>
      </c>
      <c r="H91" s="71">
        <f t="shared" si="77"/>
        <v>0.81417367483163994</v>
      </c>
      <c r="I91" s="71">
        <f t="shared" si="77"/>
        <v>0.79784247935027275</v>
      </c>
      <c r="J91" s="71">
        <f t="shared" si="77"/>
        <v>0.79383099047877914</v>
      </c>
      <c r="K91" s="71">
        <f t="shared" si="77"/>
        <v>0.78622318437215499</v>
      </c>
      <c r="L91" s="71">
        <f t="shared" si="77"/>
        <v>0.77847497455678416</v>
      </c>
      <c r="M91" s="71">
        <f t="shared" si="77"/>
        <v>0.74839225091713402</v>
      </c>
      <c r="N91" s="71">
        <f t="shared" si="77"/>
        <v>0.78025052338764589</v>
      </c>
      <c r="O91" s="71">
        <f t="shared" si="77"/>
        <v>0.78225349316420956</v>
      </c>
      <c r="P91" s="71">
        <f t="shared" si="77"/>
        <v>0.75218896799094515</v>
      </c>
      <c r="Q91" s="71">
        <f t="shared" si="77"/>
        <v>0.75360178902578878</v>
      </c>
      <c r="R91" s="71">
        <f t="shared" si="77"/>
        <v>0.76075977512190096</v>
      </c>
      <c r="S91" s="71">
        <f t="shared" si="77"/>
        <v>0.77665640918467727</v>
      </c>
      <c r="T91" s="71">
        <f t="shared" si="77"/>
        <v>0.74335953709622904</v>
      </c>
      <c r="U91" s="71">
        <f t="shared" si="77"/>
        <v>0.71654939178134303</v>
      </c>
      <c r="V91" s="71">
        <f t="shared" si="77"/>
        <v>0.80131457891979885</v>
      </c>
      <c r="W91" s="71">
        <f t="shared" si="77"/>
        <v>0.80252293147105846</v>
      </c>
      <c r="X91" s="71">
        <f t="shared" ref="X91:Y91" si="78">IF(X83=0,0,X83/X$81)</f>
        <v>0.7827107987609091</v>
      </c>
      <c r="Y91" s="71">
        <f t="shared" si="78"/>
        <v>0.74083441948963258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8.0675264123097372E-5</v>
      </c>
      <c r="C92" s="72">
        <f t="shared" ref="C92:W92" si="80">IF(C84=0,0,C84/C$81)</f>
        <v>8.7997708437031008E-5</v>
      </c>
      <c r="D92" s="72">
        <f t="shared" si="80"/>
        <v>9.4603665844951212E-5</v>
      </c>
      <c r="E92" s="72">
        <f t="shared" si="80"/>
        <v>8.945774184751367E-5</v>
      </c>
      <c r="F92" s="72">
        <f t="shared" si="80"/>
        <v>9.7254081737029865E-5</v>
      </c>
      <c r="G92" s="72">
        <f t="shared" si="80"/>
        <v>1.0850175675541938E-4</v>
      </c>
      <c r="H92" s="72">
        <f t="shared" si="80"/>
        <v>1.1519478470691371E-4</v>
      </c>
      <c r="I92" s="72">
        <f t="shared" si="80"/>
        <v>1.3573520721309055E-4</v>
      </c>
      <c r="J92" s="72">
        <f t="shared" si="80"/>
        <v>1.4516554832617851E-4</v>
      </c>
      <c r="K92" s="72">
        <f t="shared" si="80"/>
        <v>1.5482748823804704E-4</v>
      </c>
      <c r="L92" s="72">
        <f t="shared" si="80"/>
        <v>1.6840998334810418E-4</v>
      </c>
      <c r="M92" s="72">
        <f t="shared" si="80"/>
        <v>2.2869261688449708E-4</v>
      </c>
      <c r="N92" s="72">
        <f t="shared" si="80"/>
        <v>2.3428807928668161E-4</v>
      </c>
      <c r="O92" s="72">
        <f t="shared" si="80"/>
        <v>2.8134305953905314E-4</v>
      </c>
      <c r="P92" s="72">
        <f t="shared" si="80"/>
        <v>4.6823395330093193E-4</v>
      </c>
      <c r="Q92" s="72">
        <f t="shared" si="80"/>
        <v>5.4095575801174633E-4</v>
      </c>
      <c r="R92" s="72">
        <f t="shared" si="80"/>
        <v>6.5165639293312996E-4</v>
      </c>
      <c r="S92" s="72">
        <f t="shared" si="80"/>
        <v>7.5141865258208983E-4</v>
      </c>
      <c r="T92" s="72">
        <f t="shared" si="80"/>
        <v>9.522037987605475E-4</v>
      </c>
      <c r="U92" s="72">
        <f t="shared" si="80"/>
        <v>1.1443242931835384E-3</v>
      </c>
      <c r="V92" s="72">
        <f t="shared" si="80"/>
        <v>1.109007997504299E-3</v>
      </c>
      <c r="W92" s="72">
        <f t="shared" si="80"/>
        <v>9.1757846613135297E-4</v>
      </c>
      <c r="X92" s="72">
        <f t="shared" ref="X92:Y92" si="81">IF(X84=0,0,X84/X$81)</f>
        <v>1.0113605095053676E-3</v>
      </c>
      <c r="Y92" s="72">
        <f t="shared" si="81"/>
        <v>1.084805009437581E-3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8.8672362885291817E-2</v>
      </c>
      <c r="C93" s="72">
        <f t="shared" ref="C93:W93" si="83">IF(C85=0,0,C85/C$81)</f>
        <v>9.0595181501502656E-2</v>
      </c>
      <c r="D93" s="72">
        <f t="shared" si="83"/>
        <v>9.1366411125630959E-2</v>
      </c>
      <c r="E93" s="72">
        <f t="shared" si="83"/>
        <v>9.0392917215463733E-2</v>
      </c>
      <c r="F93" s="72">
        <f t="shared" si="83"/>
        <v>9.0329872158830704E-2</v>
      </c>
      <c r="G93" s="72">
        <f t="shared" si="83"/>
        <v>9.4904175103922184E-2</v>
      </c>
      <c r="H93" s="72">
        <f t="shared" si="83"/>
        <v>9.3551622929292311E-2</v>
      </c>
      <c r="I93" s="72">
        <f t="shared" si="83"/>
        <v>9.8648764636823538E-2</v>
      </c>
      <c r="J93" s="72">
        <f t="shared" si="83"/>
        <v>0.10008232943757889</v>
      </c>
      <c r="K93" s="72">
        <f t="shared" si="83"/>
        <v>0.10198099951105853</v>
      </c>
      <c r="L93" s="72">
        <f t="shared" si="83"/>
        <v>0.10117444110664429</v>
      </c>
      <c r="M93" s="72">
        <f t="shared" si="83"/>
        <v>0.10818968043933347</v>
      </c>
      <c r="N93" s="72">
        <f t="shared" si="83"/>
        <v>9.641757046387163E-2</v>
      </c>
      <c r="O93" s="72">
        <f t="shared" si="83"/>
        <v>9.3834838327203726E-2</v>
      </c>
      <c r="P93" s="72">
        <f t="shared" si="83"/>
        <v>0.11058651536185164</v>
      </c>
      <c r="Q93" s="72">
        <f t="shared" si="83"/>
        <v>9.9165702512369475E-2</v>
      </c>
      <c r="R93" s="72">
        <f t="shared" si="83"/>
        <v>9.697560156440925E-2</v>
      </c>
      <c r="S93" s="72">
        <f t="shared" si="83"/>
        <v>9.3676028206490305E-2</v>
      </c>
      <c r="T93" s="72">
        <f t="shared" si="83"/>
        <v>0.10152971452954125</v>
      </c>
      <c r="U93" s="72">
        <f t="shared" si="83"/>
        <v>9.8187160313746955E-2</v>
      </c>
      <c r="V93" s="72">
        <f t="shared" si="83"/>
        <v>7.2363864447636664E-2</v>
      </c>
      <c r="W93" s="72">
        <f t="shared" si="83"/>
        <v>6.5869176406224736E-2</v>
      </c>
      <c r="X93" s="72">
        <f t="shared" ref="X93:Y93" si="84">IF(X85=0,0,X85/X$81)</f>
        <v>6.4857346675454966E-2</v>
      </c>
      <c r="Y93" s="72">
        <f t="shared" si="84"/>
        <v>6.3322739349557303E-2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7.4667653125694872E-2</v>
      </c>
      <c r="C94" s="73">
        <f t="shared" ref="C94:W94" si="86">IF(C86=0,0,C86/C$81)</f>
        <v>7.7917750384552106E-2</v>
      </c>
      <c r="D94" s="73">
        <f t="shared" si="86"/>
        <v>7.774334835404044E-2</v>
      </c>
      <c r="E94" s="73">
        <f t="shared" si="86"/>
        <v>7.6683880653840478E-2</v>
      </c>
      <c r="F94" s="73">
        <f t="shared" si="86"/>
        <v>8.0365017686967299E-2</v>
      </c>
      <c r="G94" s="73">
        <f t="shared" si="86"/>
        <v>9.0636225169824669E-2</v>
      </c>
      <c r="H94" s="73">
        <f t="shared" si="86"/>
        <v>9.2159507454360759E-2</v>
      </c>
      <c r="I94" s="73">
        <f t="shared" si="86"/>
        <v>0.1033730208056907</v>
      </c>
      <c r="J94" s="73">
        <f t="shared" si="86"/>
        <v>0.10594151453531563</v>
      </c>
      <c r="K94" s="73">
        <f t="shared" si="86"/>
        <v>0.11164098862854842</v>
      </c>
      <c r="L94" s="73">
        <f t="shared" si="86"/>
        <v>0.12018217435322341</v>
      </c>
      <c r="M94" s="73">
        <f t="shared" si="86"/>
        <v>0.14318937602664819</v>
      </c>
      <c r="N94" s="73">
        <f t="shared" si="86"/>
        <v>0.12309761806919572</v>
      </c>
      <c r="O94" s="73">
        <f t="shared" si="86"/>
        <v>0.12363032544904762</v>
      </c>
      <c r="P94" s="73">
        <f t="shared" si="86"/>
        <v>0.13675628269390214</v>
      </c>
      <c r="Q94" s="73">
        <f t="shared" si="86"/>
        <v>0.14669155270382975</v>
      </c>
      <c r="R94" s="73">
        <f t="shared" si="86"/>
        <v>0.14161296692075678</v>
      </c>
      <c r="S94" s="73">
        <f t="shared" si="86"/>
        <v>0.12891614395625034</v>
      </c>
      <c r="T94" s="73">
        <f t="shared" si="86"/>
        <v>0.15415854457546924</v>
      </c>
      <c r="U94" s="73">
        <f t="shared" si="86"/>
        <v>0.18411912361172644</v>
      </c>
      <c r="V94" s="73">
        <f t="shared" si="86"/>
        <v>0.12521254863506004</v>
      </c>
      <c r="W94" s="73">
        <f t="shared" si="86"/>
        <v>0.13069031365658557</v>
      </c>
      <c r="X94" s="73">
        <f t="shared" ref="X94:Y94" si="87">IF(X86=0,0,X86/X$81)</f>
        <v>0.15142049405413047</v>
      </c>
      <c r="Y94" s="73">
        <f t="shared" si="87"/>
        <v>0.19475803615137255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180755.3368077917</v>
      </c>
      <c r="C99" s="82">
        <f t="shared" ref="C99:W99" si="92">C47*11630*1000/C$8</f>
        <v>182651.46108137484</v>
      </c>
      <c r="D99" s="82">
        <f t="shared" si="92"/>
        <v>180120.80616422594</v>
      </c>
      <c r="E99" s="82">
        <f t="shared" si="92"/>
        <v>181354.99271439615</v>
      </c>
      <c r="F99" s="82">
        <f t="shared" si="92"/>
        <v>178877.41791795162</v>
      </c>
      <c r="G99" s="82">
        <f t="shared" si="92"/>
        <v>175388.26967707914</v>
      </c>
      <c r="H99" s="82">
        <f t="shared" si="92"/>
        <v>174674.52390003102</v>
      </c>
      <c r="I99" s="82">
        <f t="shared" si="92"/>
        <v>167107.98246903089</v>
      </c>
      <c r="J99" s="82">
        <f t="shared" si="92"/>
        <v>165539.51265597687</v>
      </c>
      <c r="K99" s="82">
        <f t="shared" si="92"/>
        <v>160641.50787689295</v>
      </c>
      <c r="L99" s="82">
        <f t="shared" si="92"/>
        <v>167659.4911016082</v>
      </c>
      <c r="M99" s="82">
        <f t="shared" si="92"/>
        <v>152361.80825228491</v>
      </c>
      <c r="N99" s="82">
        <f t="shared" si="92"/>
        <v>154170.36312902049</v>
      </c>
      <c r="O99" s="82">
        <f t="shared" si="92"/>
        <v>152304.74802990409</v>
      </c>
      <c r="P99" s="82">
        <f t="shared" si="92"/>
        <v>142115.55496571254</v>
      </c>
      <c r="Q99" s="82">
        <f t="shared" si="92"/>
        <v>147232.46826021787</v>
      </c>
      <c r="R99" s="82">
        <f t="shared" si="92"/>
        <v>149917.72871546997</v>
      </c>
      <c r="S99" s="82">
        <f t="shared" si="92"/>
        <v>151861.46072785644</v>
      </c>
      <c r="T99" s="82">
        <f t="shared" si="92"/>
        <v>145991.9216244292</v>
      </c>
      <c r="U99" s="82">
        <f t="shared" si="92"/>
        <v>140439.35728334801</v>
      </c>
      <c r="V99" s="82">
        <f t="shared" si="92"/>
        <v>131629.01011882978</v>
      </c>
      <c r="W99" s="82">
        <f t="shared" si="92"/>
        <v>145181.63968829287</v>
      </c>
      <c r="X99" s="82">
        <f t="shared" ref="X99:Y99" si="93">X47*11630*1000/X$8</f>
        <v>134556.89190304923</v>
      </c>
      <c r="Y99" s="82">
        <f t="shared" si="93"/>
        <v>131518.58287362888</v>
      </c>
      <c r="DA99" s="107"/>
    </row>
    <row r="100" spans="1:105" ht="12" customHeight="1" x14ac:dyDescent="0.25">
      <c r="A100" s="77" t="s">
        <v>36</v>
      </c>
      <c r="B100" s="64">
        <f t="shared" si="91"/>
        <v>138028.02074104338</v>
      </c>
      <c r="C100" s="64">
        <f t="shared" ref="C100:W100" si="94">C48*11630*1000/C$8</f>
        <v>139568.82385448494</v>
      </c>
      <c r="D100" s="64">
        <f t="shared" si="94"/>
        <v>136803.34950772667</v>
      </c>
      <c r="E100" s="64">
        <f t="shared" si="94"/>
        <v>137732.09982985331</v>
      </c>
      <c r="F100" s="64">
        <f t="shared" si="94"/>
        <v>134937.56734479574</v>
      </c>
      <c r="G100" s="64">
        <f t="shared" si="94"/>
        <v>131265.24341457229</v>
      </c>
      <c r="H100" s="64">
        <f t="shared" si="94"/>
        <v>130602.78779780689</v>
      </c>
      <c r="I100" s="64">
        <f t="shared" si="94"/>
        <v>123284.05777769788</v>
      </c>
      <c r="J100" s="64">
        <f t="shared" si="94"/>
        <v>121583.11478797883</v>
      </c>
      <c r="K100" s="64">
        <f t="shared" si="94"/>
        <v>116751.99194090083</v>
      </c>
      <c r="L100" s="64">
        <f t="shared" si="94"/>
        <v>123889.81983990324</v>
      </c>
      <c r="M100" s="64">
        <f t="shared" si="94"/>
        <v>108587.43071541924</v>
      </c>
      <c r="N100" s="64">
        <f t="shared" si="94"/>
        <v>109794.19316061799</v>
      </c>
      <c r="O100" s="64">
        <f t="shared" si="94"/>
        <v>107212.7698626839</v>
      </c>
      <c r="P100" s="64">
        <f t="shared" si="94"/>
        <v>96287.402665554575</v>
      </c>
      <c r="Q100" s="64">
        <f t="shared" si="94"/>
        <v>100548.81642286057</v>
      </c>
      <c r="R100" s="64">
        <f t="shared" si="94"/>
        <v>103311.49381970082</v>
      </c>
      <c r="S100" s="64">
        <f t="shared" si="94"/>
        <v>104561.70270401174</v>
      </c>
      <c r="T100" s="64">
        <f t="shared" si="94"/>
        <v>98957.379941624589</v>
      </c>
      <c r="U100" s="64">
        <f t="shared" si="94"/>
        <v>93825.338996764985</v>
      </c>
      <c r="V100" s="64">
        <f t="shared" si="94"/>
        <v>87092.854779017318</v>
      </c>
      <c r="W100" s="64">
        <f t="shared" si="94"/>
        <v>99506.827648694001</v>
      </c>
      <c r="X100" s="64">
        <f t="shared" ref="X100:Y100" si="95">X48*11630*1000/X$8</f>
        <v>89095.932418967699</v>
      </c>
      <c r="Y100" s="64">
        <f t="shared" si="95"/>
        <v>85273.229372396192</v>
      </c>
      <c r="DA100" s="108"/>
    </row>
    <row r="101" spans="1:105" ht="12" customHeight="1" x14ac:dyDescent="0.25">
      <c r="A101" s="61" t="s">
        <v>32</v>
      </c>
      <c r="B101" s="65">
        <f t="shared" si="91"/>
        <v>110188.15626218291</v>
      </c>
      <c r="C101" s="65">
        <f t="shared" ref="C101:W101" si="96">C49*11630*1000/C$8</f>
        <v>112050.28861963593</v>
      </c>
      <c r="D101" s="65">
        <f t="shared" si="96"/>
        <v>109431.14776180091</v>
      </c>
      <c r="E101" s="65">
        <f t="shared" si="96"/>
        <v>110279.04899846655</v>
      </c>
      <c r="F101" s="65">
        <f t="shared" si="96"/>
        <v>107543.08069387435</v>
      </c>
      <c r="G101" s="65">
        <f t="shared" si="96"/>
        <v>103919.71280752981</v>
      </c>
      <c r="H101" s="65">
        <f t="shared" si="96"/>
        <v>103234.30196608702</v>
      </c>
      <c r="I101" s="65">
        <f t="shared" si="96"/>
        <v>96314.211411302153</v>
      </c>
      <c r="J101" s="65">
        <f t="shared" si="96"/>
        <v>94683.133491736866</v>
      </c>
      <c r="K101" s="65">
        <f t="shared" si="96"/>
        <v>90009.764017819311</v>
      </c>
      <c r="L101" s="65">
        <f t="shared" si="96"/>
        <v>97445.933670289087</v>
      </c>
      <c r="M101" s="65">
        <f t="shared" si="96"/>
        <v>81952.461343351562</v>
      </c>
      <c r="N101" s="65">
        <f t="shared" si="96"/>
        <v>83066.373201749942</v>
      </c>
      <c r="O101" s="65">
        <f t="shared" si="96"/>
        <v>80588.519073392803</v>
      </c>
      <c r="P101" s="65">
        <f t="shared" si="96"/>
        <v>69923.707463631756</v>
      </c>
      <c r="Q101" s="65">
        <f t="shared" si="96"/>
        <v>74257.491667027512</v>
      </c>
      <c r="R101" s="65">
        <f t="shared" si="96"/>
        <v>77015.64462256078</v>
      </c>
      <c r="S101" s="65">
        <f t="shared" si="96"/>
        <v>78291.697915029159</v>
      </c>
      <c r="T101" s="65">
        <f t="shared" si="96"/>
        <v>73383.947996233052</v>
      </c>
      <c r="U101" s="65">
        <f t="shared" si="96"/>
        <v>68838.564109439176</v>
      </c>
      <c r="V101" s="65">
        <f t="shared" si="96"/>
        <v>66400.201320492401</v>
      </c>
      <c r="W101" s="65">
        <f t="shared" si="96"/>
        <v>77438.373400043856</v>
      </c>
      <c r="X101" s="65">
        <f t="shared" ref="X101:Y101" si="97">X49*11630*1000/X$8</f>
        <v>66906.293342334786</v>
      </c>
      <c r="Y101" s="65">
        <f t="shared" si="97"/>
        <v>64600.838908345511</v>
      </c>
      <c r="DA101" s="109"/>
    </row>
    <row r="102" spans="1:105" ht="12" customHeight="1" x14ac:dyDescent="0.25">
      <c r="A102" s="61" t="s">
        <v>31</v>
      </c>
      <c r="B102" s="65">
        <f t="shared" si="91"/>
        <v>2212.8650950706442</v>
      </c>
      <c r="C102" s="65">
        <f t="shared" ref="C102:W102" si="98">C50*11630*1000/C$8</f>
        <v>2144.35153323332</v>
      </c>
      <c r="D102" s="65">
        <f t="shared" si="98"/>
        <v>2104.2159753732089</v>
      </c>
      <c r="E102" s="65">
        <f t="shared" si="98"/>
        <v>2019.3375120107407</v>
      </c>
      <c r="F102" s="65">
        <f t="shared" si="98"/>
        <v>1953.6904016304356</v>
      </c>
      <c r="G102" s="65">
        <f t="shared" si="98"/>
        <v>1894.9131011998893</v>
      </c>
      <c r="H102" s="65">
        <f t="shared" si="98"/>
        <v>1846.713399453718</v>
      </c>
      <c r="I102" s="65">
        <f t="shared" si="98"/>
        <v>1803.6181965284461</v>
      </c>
      <c r="J102" s="65">
        <f t="shared" si="98"/>
        <v>1737.7891432887225</v>
      </c>
      <c r="K102" s="65">
        <f t="shared" si="98"/>
        <v>1750.1516607654867</v>
      </c>
      <c r="L102" s="65">
        <f t="shared" si="98"/>
        <v>1753.8679888355218</v>
      </c>
      <c r="M102" s="65">
        <f t="shared" si="98"/>
        <v>1726.2611607484168</v>
      </c>
      <c r="N102" s="65">
        <f t="shared" si="98"/>
        <v>1709.1942016204882</v>
      </c>
      <c r="O102" s="65">
        <f t="shared" si="98"/>
        <v>1701.2953987907329</v>
      </c>
      <c r="P102" s="65">
        <f t="shared" si="98"/>
        <v>1696.258080399369</v>
      </c>
      <c r="Q102" s="65">
        <f t="shared" si="98"/>
        <v>1660.2313109699987</v>
      </c>
      <c r="R102" s="65">
        <f t="shared" si="98"/>
        <v>1631.0667587921832</v>
      </c>
      <c r="S102" s="65">
        <f t="shared" si="98"/>
        <v>1604.4363993659613</v>
      </c>
      <c r="T102" s="65">
        <f t="shared" si="98"/>
        <v>1653.3397749983615</v>
      </c>
      <c r="U102" s="65">
        <f t="shared" si="98"/>
        <v>1598.4795370410827</v>
      </c>
      <c r="V102" s="65">
        <f t="shared" si="98"/>
        <v>1497.1736814948654</v>
      </c>
      <c r="W102" s="65">
        <f t="shared" si="98"/>
        <v>1494.3307099437952</v>
      </c>
      <c r="X102" s="65">
        <f t="shared" ref="X102:Y102" si="99">X50*11630*1000/X$8</f>
        <v>1528.8336922377819</v>
      </c>
      <c r="Y102" s="65">
        <f t="shared" si="99"/>
        <v>1515.8359573398773</v>
      </c>
      <c r="DA102" s="109"/>
    </row>
    <row r="103" spans="1:105" ht="12" customHeight="1" x14ac:dyDescent="0.25">
      <c r="A103" s="61" t="s">
        <v>35</v>
      </c>
      <c r="B103" s="65">
        <f t="shared" si="91"/>
        <v>13758.33213946242</v>
      </c>
      <c r="C103" s="65">
        <f t="shared" ref="C103:W103" si="100">C51*11630*1000/C$8</f>
        <v>13511.234507513209</v>
      </c>
      <c r="D103" s="65">
        <f t="shared" si="100"/>
        <v>13368.298323188483</v>
      </c>
      <c r="E103" s="65">
        <f t="shared" si="100"/>
        <v>13246.814678382345</v>
      </c>
      <c r="F103" s="65">
        <f t="shared" si="100"/>
        <v>13113.107503545531</v>
      </c>
      <c r="G103" s="65">
        <f t="shared" si="100"/>
        <v>13078.878844980511</v>
      </c>
      <c r="H103" s="65">
        <f t="shared" si="100"/>
        <v>13030.364806362011</v>
      </c>
      <c r="I103" s="65">
        <f t="shared" si="100"/>
        <v>12850.688486351894</v>
      </c>
      <c r="J103" s="65">
        <f t="shared" si="100"/>
        <v>12787.586796066129</v>
      </c>
      <c r="K103" s="65">
        <f t="shared" si="100"/>
        <v>12642.62489811631</v>
      </c>
      <c r="L103" s="65">
        <f t="shared" si="100"/>
        <v>12373.555393983754</v>
      </c>
      <c r="M103" s="65">
        <f t="shared" si="100"/>
        <v>12397.137955573991</v>
      </c>
      <c r="N103" s="65">
        <f t="shared" si="100"/>
        <v>12465.205160127094</v>
      </c>
      <c r="O103" s="65">
        <f t="shared" si="100"/>
        <v>12405.434722627195</v>
      </c>
      <c r="P103" s="65">
        <f t="shared" si="100"/>
        <v>12439.142204021828</v>
      </c>
      <c r="Q103" s="65">
        <f t="shared" si="100"/>
        <v>12406.154763733568</v>
      </c>
      <c r="R103" s="65">
        <f t="shared" si="100"/>
        <v>12343.783230015277</v>
      </c>
      <c r="S103" s="65">
        <f t="shared" si="100"/>
        <v>12323.785072991041</v>
      </c>
      <c r="T103" s="65">
        <f t="shared" si="100"/>
        <v>11980.472037197371</v>
      </c>
      <c r="U103" s="65">
        <f t="shared" si="100"/>
        <v>11600.068180162818</v>
      </c>
      <c r="V103" s="65">
        <f t="shared" si="100"/>
        <v>9820.8171606363867</v>
      </c>
      <c r="W103" s="65">
        <f t="shared" si="100"/>
        <v>10579.279040934691</v>
      </c>
      <c r="X103" s="65">
        <f t="shared" ref="X103:Y103" si="101">X51*11630*1000/X$8</f>
        <v>10836.854267442801</v>
      </c>
      <c r="Y103" s="65">
        <f t="shared" si="101"/>
        <v>10712.532800312576</v>
      </c>
      <c r="DA103" s="109"/>
    </row>
    <row r="104" spans="1:105" ht="12" customHeight="1" x14ac:dyDescent="0.25">
      <c r="A104" s="66" t="s">
        <v>34</v>
      </c>
      <c r="B104" s="67">
        <f t="shared" si="91"/>
        <v>11868.667244327433</v>
      </c>
      <c r="C104" s="67">
        <f t="shared" ref="C104:W104" si="102">C52*11630*1000/C$8</f>
        <v>11862.949194102452</v>
      </c>
      <c r="D104" s="67">
        <f t="shared" si="102"/>
        <v>11899.687447364047</v>
      </c>
      <c r="E104" s="67">
        <f t="shared" si="102"/>
        <v>12186.89864099369</v>
      </c>
      <c r="F104" s="67">
        <f t="shared" si="102"/>
        <v>12327.688745745381</v>
      </c>
      <c r="G104" s="67">
        <f t="shared" si="102"/>
        <v>12371.738660862084</v>
      </c>
      <c r="H104" s="67">
        <f t="shared" si="102"/>
        <v>12491.407625904138</v>
      </c>
      <c r="I104" s="67">
        <f t="shared" si="102"/>
        <v>12315.539683515368</v>
      </c>
      <c r="J104" s="67">
        <f t="shared" si="102"/>
        <v>12374.605356887114</v>
      </c>
      <c r="K104" s="67">
        <f t="shared" si="102"/>
        <v>12349.451364199726</v>
      </c>
      <c r="L104" s="67">
        <f t="shared" si="102"/>
        <v>12316.462786794888</v>
      </c>
      <c r="M104" s="67">
        <f t="shared" si="102"/>
        <v>12511.570255745281</v>
      </c>
      <c r="N104" s="67">
        <f t="shared" si="102"/>
        <v>12553.420597120466</v>
      </c>
      <c r="O104" s="67">
        <f t="shared" si="102"/>
        <v>12517.520667873148</v>
      </c>
      <c r="P104" s="67">
        <f t="shared" si="102"/>
        <v>12228.294917501626</v>
      </c>
      <c r="Q104" s="67">
        <f t="shared" si="102"/>
        <v>12224.938681129506</v>
      </c>
      <c r="R104" s="67">
        <f t="shared" si="102"/>
        <v>12320.999208332605</v>
      </c>
      <c r="S104" s="67">
        <f t="shared" si="102"/>
        <v>12341.783316625579</v>
      </c>
      <c r="T104" s="67">
        <f t="shared" si="102"/>
        <v>11939.620133195802</v>
      </c>
      <c r="U104" s="67">
        <f t="shared" si="102"/>
        <v>11788.227170121916</v>
      </c>
      <c r="V104" s="67">
        <f t="shared" si="102"/>
        <v>9374.6626163936726</v>
      </c>
      <c r="W104" s="67">
        <f t="shared" si="102"/>
        <v>9994.844497771659</v>
      </c>
      <c r="X104" s="67">
        <f t="shared" ref="X104:Y104" si="103">X52*11630*1000/X$8</f>
        <v>9823.9511169523212</v>
      </c>
      <c r="Y104" s="67">
        <f t="shared" si="103"/>
        <v>8444.02170639824</v>
      </c>
      <c r="DA104" s="110"/>
    </row>
    <row r="105" spans="1:105" ht="12" customHeight="1" x14ac:dyDescent="0.25">
      <c r="A105" s="78" t="s">
        <v>33</v>
      </c>
      <c r="B105" s="68">
        <f t="shared" si="91"/>
        <v>42727.316066748288</v>
      </c>
      <c r="C105" s="68">
        <f t="shared" ref="C105:W105" si="104">C53*11630*1000/C$8</f>
        <v>43082.637226889921</v>
      </c>
      <c r="D105" s="68">
        <f t="shared" si="104"/>
        <v>43317.456656499278</v>
      </c>
      <c r="E105" s="68">
        <f t="shared" si="104"/>
        <v>43622.892884542845</v>
      </c>
      <c r="F105" s="68">
        <f t="shared" si="104"/>
        <v>43939.850573155898</v>
      </c>
      <c r="G105" s="68">
        <f t="shared" si="104"/>
        <v>44123.026262506828</v>
      </c>
      <c r="H105" s="68">
        <f t="shared" si="104"/>
        <v>44071.736102224131</v>
      </c>
      <c r="I105" s="68">
        <f t="shared" si="104"/>
        <v>43823.924691333006</v>
      </c>
      <c r="J105" s="68">
        <f t="shared" si="104"/>
        <v>43956.39786799805</v>
      </c>
      <c r="K105" s="68">
        <f t="shared" si="104"/>
        <v>43889.515935992109</v>
      </c>
      <c r="L105" s="68">
        <f t="shared" si="104"/>
        <v>43769.671261704971</v>
      </c>
      <c r="M105" s="68">
        <f t="shared" si="104"/>
        <v>43774.377536865664</v>
      </c>
      <c r="N105" s="68">
        <f t="shared" si="104"/>
        <v>44376.169968402508</v>
      </c>
      <c r="O105" s="68">
        <f t="shared" si="104"/>
        <v>45091.978167220193</v>
      </c>
      <c r="P105" s="68">
        <f t="shared" si="104"/>
        <v>45828.152300157933</v>
      </c>
      <c r="Q105" s="68">
        <f t="shared" si="104"/>
        <v>46683.651837357269</v>
      </c>
      <c r="R105" s="68">
        <f t="shared" si="104"/>
        <v>46606.234895769136</v>
      </c>
      <c r="S105" s="68">
        <f t="shared" si="104"/>
        <v>47299.758023844704</v>
      </c>
      <c r="T105" s="68">
        <f t="shared" si="104"/>
        <v>47034.541682804607</v>
      </c>
      <c r="U105" s="68">
        <f t="shared" si="104"/>
        <v>46614.018286583028</v>
      </c>
      <c r="V105" s="68">
        <f t="shared" si="104"/>
        <v>44536.155339812467</v>
      </c>
      <c r="W105" s="68">
        <f t="shared" si="104"/>
        <v>45674.812039598874</v>
      </c>
      <c r="X105" s="68">
        <f t="shared" ref="X105:Y105" si="105">X53*11630*1000/X$8</f>
        <v>45460.959484081548</v>
      </c>
      <c r="Y105" s="68">
        <f t="shared" si="105"/>
        <v>46245.353501232697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97801.414063578079</v>
      </c>
      <c r="C107" s="85">
        <f t="shared" ref="C107:W107" si="107">SUM(C108:C111)</f>
        <v>100272.86657030608</v>
      </c>
      <c r="D107" s="85">
        <f t="shared" si="107"/>
        <v>98796.483164978548</v>
      </c>
      <c r="E107" s="85">
        <f t="shared" si="107"/>
        <v>99673.63624870505</v>
      </c>
      <c r="F107" s="85">
        <f t="shared" si="107"/>
        <v>98443.359201077081</v>
      </c>
      <c r="G107" s="85">
        <f t="shared" si="107"/>
        <v>96500.83475668772</v>
      </c>
      <c r="H107" s="85">
        <f t="shared" si="107"/>
        <v>96682.941580832266</v>
      </c>
      <c r="I107" s="85">
        <f t="shared" si="107"/>
        <v>93492.975584956439</v>
      </c>
      <c r="J107" s="85">
        <f t="shared" si="107"/>
        <v>93344.32950242798</v>
      </c>
      <c r="K107" s="85">
        <f t="shared" si="107"/>
        <v>90889.191568853013</v>
      </c>
      <c r="L107" s="85">
        <f t="shared" si="107"/>
        <v>97806.434707732173</v>
      </c>
      <c r="M107" s="85">
        <f t="shared" si="107"/>
        <v>87529.081751060119</v>
      </c>
      <c r="N107" s="85">
        <f t="shared" si="107"/>
        <v>89073.308620975236</v>
      </c>
      <c r="O107" s="85">
        <f t="shared" si="107"/>
        <v>88041.577142985887</v>
      </c>
      <c r="P107" s="85">
        <f t="shared" si="107"/>
        <v>80795.346090378778</v>
      </c>
      <c r="Q107" s="85">
        <f t="shared" si="107"/>
        <v>84544.133392236588</v>
      </c>
      <c r="R107" s="85">
        <f t="shared" si="107"/>
        <v>87474.338902640709</v>
      </c>
      <c r="S107" s="85">
        <f t="shared" si="107"/>
        <v>89271.404730613256</v>
      </c>
      <c r="T107" s="85">
        <f t="shared" si="107"/>
        <v>86539.357531103116</v>
      </c>
      <c r="U107" s="85">
        <f t="shared" si="107"/>
        <v>83722.809278199871</v>
      </c>
      <c r="V107" s="85">
        <f t="shared" si="107"/>
        <v>79225.220868015691</v>
      </c>
      <c r="W107" s="85">
        <f t="shared" si="107"/>
        <v>90165.115684252218</v>
      </c>
      <c r="X107" s="85">
        <f t="shared" ref="X107:Y107" si="108">SUM(X108:X111)</f>
        <v>83122.097850015823</v>
      </c>
      <c r="Y107" s="85">
        <f t="shared" si="108"/>
        <v>81064.397522023268</v>
      </c>
      <c r="DA107" s="117"/>
    </row>
    <row r="108" spans="1:105" ht="12" customHeight="1" x14ac:dyDescent="0.25">
      <c r="A108" s="61" t="s">
        <v>32</v>
      </c>
      <c r="B108" s="65">
        <v>75593.916652842585</v>
      </c>
      <c r="C108" s="65">
        <v>78077.31780665362</v>
      </c>
      <c r="D108" s="65">
        <v>76445.411213535786</v>
      </c>
      <c r="E108" s="65">
        <v>77129.155194268737</v>
      </c>
      <c r="F108" s="65">
        <v>75707.421956103106</v>
      </c>
      <c r="G108" s="65">
        <v>73565.41112060954</v>
      </c>
      <c r="H108" s="65">
        <v>73380.401846457462</v>
      </c>
      <c r="I108" s="65">
        <v>70005.38052827926</v>
      </c>
      <c r="J108" s="65">
        <v>69490.600423130032</v>
      </c>
      <c r="K108" s="65">
        <v>66848.102427781443</v>
      </c>
      <c r="L108" s="65">
        <v>73656.320615196455</v>
      </c>
      <c r="M108" s="65">
        <v>62897.537774352873</v>
      </c>
      <c r="N108" s="65">
        <v>64028.018147031478</v>
      </c>
      <c r="O108" s="65">
        <v>62680.22610222354</v>
      </c>
      <c r="P108" s="65">
        <v>55128.861377098416</v>
      </c>
      <c r="Q108" s="65">
        <v>58771.469621123157</v>
      </c>
      <c r="R108" s="65">
        <v>61335.048725657733</v>
      </c>
      <c r="S108" s="65">
        <v>62699.009024789768</v>
      </c>
      <c r="T108" s="65">
        <v>59806.900837100176</v>
      </c>
      <c r="U108" s="65">
        <v>57288.27888281388</v>
      </c>
      <c r="V108" s="65">
        <v>55972.615378534829</v>
      </c>
      <c r="W108" s="65">
        <v>65605.776978604437</v>
      </c>
      <c r="X108" s="65">
        <v>57916.552393443431</v>
      </c>
      <c r="Y108" s="65">
        <v>56967.577582158687</v>
      </c>
      <c r="DA108" s="109"/>
    </row>
    <row r="109" spans="1:105" ht="12" customHeight="1" x14ac:dyDescent="0.25">
      <c r="A109" s="61" t="s">
        <v>31</v>
      </c>
      <c r="B109" s="65">
        <v>4622.4384078436233</v>
      </c>
      <c r="C109" s="65">
        <v>4678.5345612562423</v>
      </c>
      <c r="D109" s="65">
        <v>4847.6121197954317</v>
      </c>
      <c r="E109" s="65">
        <v>4897.619902032252</v>
      </c>
      <c r="F109" s="65">
        <v>5028.1755887760819</v>
      </c>
      <c r="G109" s="65">
        <v>5207.9536404615101</v>
      </c>
      <c r="H109" s="65">
        <v>5458.244988508457</v>
      </c>
      <c r="I109" s="65">
        <v>5776.513018142753</v>
      </c>
      <c r="J109" s="65">
        <v>6043.2679283704074</v>
      </c>
      <c r="K109" s="65">
        <v>6218.7515670310895</v>
      </c>
      <c r="L109" s="65">
        <v>6421.8521075391636</v>
      </c>
      <c r="M109" s="65">
        <v>6583.8718552629016</v>
      </c>
      <c r="N109" s="65">
        <v>6798.2108557052461</v>
      </c>
      <c r="O109" s="65">
        <v>7065.0027460102292</v>
      </c>
      <c r="P109" s="65">
        <v>7371.8133695338047</v>
      </c>
      <c r="Q109" s="65">
        <v>7530.8680309649126</v>
      </c>
      <c r="R109" s="65">
        <v>7732.7980166495408</v>
      </c>
      <c r="S109" s="65">
        <v>7932.1756694691749</v>
      </c>
      <c r="T109" s="65">
        <v>8466.9747388603719</v>
      </c>
      <c r="U109" s="65">
        <v>8405.8716817251334</v>
      </c>
      <c r="V109" s="65">
        <v>8077.8654310303937</v>
      </c>
      <c r="W109" s="65">
        <v>8245.8538377843852</v>
      </c>
      <c r="X109" s="65">
        <v>8598.2214460128471</v>
      </c>
      <c r="Y109" s="65">
        <v>8652.3319844614998</v>
      </c>
      <c r="DA109" s="109"/>
    </row>
    <row r="110" spans="1:105" ht="12" customHeight="1" x14ac:dyDescent="0.25">
      <c r="A110" s="61" t="s">
        <v>35</v>
      </c>
      <c r="B110" s="65">
        <v>9532.1662445343591</v>
      </c>
      <c r="C110" s="65">
        <v>9444.9860273533541</v>
      </c>
      <c r="D110" s="65">
        <v>9384.258996999346</v>
      </c>
      <c r="E110" s="65">
        <v>9322.6180216748617</v>
      </c>
      <c r="F110" s="65">
        <v>9276.0473875051048</v>
      </c>
      <c r="G110" s="65">
        <v>9290.1786670587298</v>
      </c>
      <c r="H110" s="65">
        <v>9299.0375481641186</v>
      </c>
      <c r="I110" s="65">
        <v>9258.3715738989158</v>
      </c>
      <c r="J110" s="65">
        <v>9286.7387893981831</v>
      </c>
      <c r="K110" s="65">
        <v>9287.2123094614653</v>
      </c>
      <c r="L110" s="65">
        <v>9215.740826405372</v>
      </c>
      <c r="M110" s="65">
        <v>9352.2608895721332</v>
      </c>
      <c r="N110" s="65">
        <v>9481.6103373457954</v>
      </c>
      <c r="O110" s="65">
        <v>9539.3451920693497</v>
      </c>
      <c r="P110" s="65">
        <v>9653.4530143181819</v>
      </c>
      <c r="Q110" s="65">
        <v>9690.9191224993992</v>
      </c>
      <c r="R110" s="65">
        <v>9727.5759350615281</v>
      </c>
      <c r="S110" s="65">
        <v>9829.0112002172336</v>
      </c>
      <c r="T110" s="65">
        <v>9713.4711920549344</v>
      </c>
      <c r="U110" s="65">
        <v>9550.2077446087897</v>
      </c>
      <c r="V110" s="65">
        <v>8239.3502178274866</v>
      </c>
      <c r="W110" s="65">
        <v>8950.6604697907278</v>
      </c>
      <c r="X110" s="65">
        <v>9321.8833001780713</v>
      </c>
      <c r="Y110" s="65">
        <v>9387.7692110732805</v>
      </c>
      <c r="DA110" s="109"/>
    </row>
    <row r="111" spans="1:105" ht="12" customHeight="1" x14ac:dyDescent="0.25">
      <c r="A111" s="74" t="s">
        <v>34</v>
      </c>
      <c r="B111" s="68">
        <v>8052.8927583575141</v>
      </c>
      <c r="C111" s="68">
        <v>8072.028175042873</v>
      </c>
      <c r="D111" s="68">
        <v>8119.2008346479897</v>
      </c>
      <c r="E111" s="68">
        <v>8324.2431307291954</v>
      </c>
      <c r="F111" s="68">
        <v>8431.7142686927764</v>
      </c>
      <c r="G111" s="68">
        <v>8437.2913285579471</v>
      </c>
      <c r="H111" s="68">
        <v>8545.2571977022253</v>
      </c>
      <c r="I111" s="68">
        <v>8452.7104646355147</v>
      </c>
      <c r="J111" s="68">
        <v>8523.7223615293624</v>
      </c>
      <c r="K111" s="68">
        <v>8535.1252645790191</v>
      </c>
      <c r="L111" s="68">
        <v>8512.521158591182</v>
      </c>
      <c r="M111" s="68">
        <v>8695.4112318722091</v>
      </c>
      <c r="N111" s="68">
        <v>8765.4692808927266</v>
      </c>
      <c r="O111" s="68">
        <v>8757.0031026827637</v>
      </c>
      <c r="P111" s="68">
        <v>8641.2183294283768</v>
      </c>
      <c r="Q111" s="68">
        <v>8550.876617649119</v>
      </c>
      <c r="R111" s="68">
        <v>8678.9162252719034</v>
      </c>
      <c r="S111" s="68">
        <v>8811.2088361370625</v>
      </c>
      <c r="T111" s="68">
        <v>8552.0107630876319</v>
      </c>
      <c r="U111" s="68">
        <v>8478.4509690520645</v>
      </c>
      <c r="V111" s="68">
        <v>6935.389840622981</v>
      </c>
      <c r="W111" s="68">
        <v>7362.824398072672</v>
      </c>
      <c r="X111" s="68">
        <v>7285.4407103814756</v>
      </c>
      <c r="Y111" s="68">
        <v>6056.7187443297998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7347.9466786130861</v>
      </c>
      <c r="C113" s="82">
        <f t="shared" ref="C113:W113" si="110">C81*1000000/C$8</f>
        <v>6902.4356948953809</v>
      </c>
      <c r="D113" s="82">
        <f t="shared" si="110"/>
        <v>6825.5568159727218</v>
      </c>
      <c r="E113" s="82">
        <f t="shared" si="110"/>
        <v>7379.2457729991092</v>
      </c>
      <c r="F113" s="82">
        <f t="shared" si="110"/>
        <v>7208.7015983619531</v>
      </c>
      <c r="G113" s="82">
        <f t="shared" si="110"/>
        <v>7001.4445156461861</v>
      </c>
      <c r="H113" s="82">
        <f t="shared" si="110"/>
        <v>6897.1374635186276</v>
      </c>
      <c r="I113" s="82">
        <f t="shared" si="110"/>
        <v>6089.1063156041091</v>
      </c>
      <c r="J113" s="82">
        <f t="shared" si="110"/>
        <v>5916.3376238060482</v>
      </c>
      <c r="K113" s="82">
        <f t="shared" si="110"/>
        <v>5634.5530442393674</v>
      </c>
      <c r="L113" s="82">
        <f t="shared" si="110"/>
        <v>5441.6926568582439</v>
      </c>
      <c r="M113" s="82">
        <f t="shared" si="110"/>
        <v>4334.1432512487363</v>
      </c>
      <c r="N113" s="82">
        <f t="shared" si="110"/>
        <v>4820.9469808306485</v>
      </c>
      <c r="O113" s="82">
        <f t="shared" si="110"/>
        <v>4842.7510388855517</v>
      </c>
      <c r="P113" s="82">
        <f t="shared" si="110"/>
        <v>3841.7141545240893</v>
      </c>
      <c r="Q113" s="82">
        <f t="shared" si="110"/>
        <v>4582.0226190556323</v>
      </c>
      <c r="R113" s="82">
        <f t="shared" si="110"/>
        <v>4583.4732584963022</v>
      </c>
      <c r="S113" s="82">
        <f t="shared" si="110"/>
        <v>4672.3536573609008</v>
      </c>
      <c r="T113" s="82">
        <f t="shared" si="110"/>
        <v>4083.1892994729305</v>
      </c>
      <c r="U113" s="82">
        <f t="shared" si="110"/>
        <v>3601.1917618825491</v>
      </c>
      <c r="V113" s="82">
        <f t="shared" si="110"/>
        <v>3355.4617042407363</v>
      </c>
      <c r="W113" s="82">
        <f t="shared" si="110"/>
        <v>3927.7003698454646</v>
      </c>
      <c r="X113" s="82">
        <f t="shared" ref="X113:Y113" si="111">X81*1000000/X$8</f>
        <v>3146.7472164017518</v>
      </c>
      <c r="Y113" s="82">
        <f t="shared" si="111"/>
        <v>2821.7215737578958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7347.9466786130861</v>
      </c>
      <c r="C114" s="64">
        <f t="shared" ref="C114:W114" si="113">C82*1000000/C$8</f>
        <v>6902.4356948953809</v>
      </c>
      <c r="D114" s="64">
        <f t="shared" si="113"/>
        <v>6825.5568159727218</v>
      </c>
      <c r="E114" s="64">
        <f t="shared" si="113"/>
        <v>7379.2457729991092</v>
      </c>
      <c r="F114" s="64">
        <f t="shared" si="113"/>
        <v>7208.7015983619531</v>
      </c>
      <c r="G114" s="64">
        <f t="shared" si="113"/>
        <v>7001.4445156461861</v>
      </c>
      <c r="H114" s="64">
        <f t="shared" si="113"/>
        <v>6897.1374635186276</v>
      </c>
      <c r="I114" s="64">
        <f t="shared" si="113"/>
        <v>6089.1063156041091</v>
      </c>
      <c r="J114" s="64">
        <f t="shared" si="113"/>
        <v>5916.3376238060482</v>
      </c>
      <c r="K114" s="64">
        <f t="shared" si="113"/>
        <v>5634.5530442393674</v>
      </c>
      <c r="L114" s="64">
        <f t="shared" si="113"/>
        <v>5441.6926568582439</v>
      </c>
      <c r="M114" s="64">
        <f t="shared" si="113"/>
        <v>4334.1432512487363</v>
      </c>
      <c r="N114" s="64">
        <f t="shared" si="113"/>
        <v>4820.9469808306485</v>
      </c>
      <c r="O114" s="64">
        <f t="shared" si="113"/>
        <v>4842.7510388855517</v>
      </c>
      <c r="P114" s="64">
        <f t="shared" si="113"/>
        <v>3841.7141545240893</v>
      </c>
      <c r="Q114" s="64">
        <f t="shared" si="113"/>
        <v>4582.0226190556323</v>
      </c>
      <c r="R114" s="64">
        <f t="shared" si="113"/>
        <v>4583.4732584963022</v>
      </c>
      <c r="S114" s="64">
        <f t="shared" si="113"/>
        <v>4672.3536573609008</v>
      </c>
      <c r="T114" s="64">
        <f t="shared" si="113"/>
        <v>4083.1892994729305</v>
      </c>
      <c r="U114" s="64">
        <f t="shared" si="113"/>
        <v>3601.1917618825491</v>
      </c>
      <c r="V114" s="64">
        <f t="shared" si="113"/>
        <v>3355.4617042407363</v>
      </c>
      <c r="W114" s="64">
        <f t="shared" si="113"/>
        <v>3927.7003698454646</v>
      </c>
      <c r="X114" s="64">
        <f t="shared" ref="X114:Y114" si="114">X82*1000000/X$8</f>
        <v>3146.7472164017518</v>
      </c>
      <c r="Y114" s="64">
        <f t="shared" si="114"/>
        <v>2821.7215737578958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6147.1401529414889</v>
      </c>
      <c r="C115" s="65">
        <f t="shared" ref="C115:W115" si="116">C83*1000000/C$8</f>
        <v>5738.6786202698177</v>
      </c>
      <c r="D115" s="65">
        <f t="shared" si="116"/>
        <v>5670.6428218125193</v>
      </c>
      <c r="E115" s="65">
        <f t="shared" si="116"/>
        <v>6145.6848878924293</v>
      </c>
      <c r="F115" s="65">
        <f t="shared" si="116"/>
        <v>5977.5119974438676</v>
      </c>
      <c r="G115" s="65">
        <f t="shared" si="116"/>
        <v>5701.634028688989</v>
      </c>
      <c r="H115" s="65">
        <f t="shared" si="116"/>
        <v>5615.4677544919386</v>
      </c>
      <c r="I115" s="65">
        <f t="shared" si="116"/>
        <v>4858.1476798689873</v>
      </c>
      <c r="J115" s="65">
        <f t="shared" si="116"/>
        <v>4696.5721559128215</v>
      </c>
      <c r="K115" s="65">
        <f t="shared" si="116"/>
        <v>4430.0162369556947</v>
      </c>
      <c r="L115" s="65">
        <f t="shared" si="116"/>
        <v>4236.2215525935608</v>
      </c>
      <c r="M115" s="65">
        <f t="shared" si="116"/>
        <v>3243.6392235993476</v>
      </c>
      <c r="N115" s="65">
        <f t="shared" si="116"/>
        <v>3761.546405017205</v>
      </c>
      <c r="O115" s="65">
        <f t="shared" si="116"/>
        <v>3788.2589166928283</v>
      </c>
      <c r="P115" s="65">
        <f t="shared" si="116"/>
        <v>2889.6950052076809</v>
      </c>
      <c r="Q115" s="65">
        <f t="shared" si="116"/>
        <v>3453.0204430769545</v>
      </c>
      <c r="R115" s="65">
        <f t="shared" si="116"/>
        <v>3486.9220854108939</v>
      </c>
      <c r="S115" s="65">
        <f t="shared" si="116"/>
        <v>3628.8134139668114</v>
      </c>
      <c r="T115" s="65">
        <f t="shared" si="116"/>
        <v>3035.2777075324734</v>
      </c>
      <c r="U115" s="65">
        <f t="shared" si="116"/>
        <v>2580.4317666649235</v>
      </c>
      <c r="V115" s="65">
        <f t="shared" si="116"/>
        <v>2688.7803826151762</v>
      </c>
      <c r="W115" s="65">
        <f t="shared" si="116"/>
        <v>3152.0696147483427</v>
      </c>
      <c r="X115" s="65">
        <f t="shared" ref="X115:Y115" si="117">X83*1000000/X$8</f>
        <v>2462.9930272484826</v>
      </c>
      <c r="Y115" s="65">
        <f t="shared" si="117"/>
        <v>2090.4284640563028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0.5927975390595468</v>
      </c>
      <c r="C116" s="65">
        <f t="shared" ref="C116:W116" si="119">C84*1000000/C$8</f>
        <v>0.60739852378475934</v>
      </c>
      <c r="D116" s="65">
        <f t="shared" si="119"/>
        <v>0.64572269622401257</v>
      </c>
      <c r="E116" s="65">
        <f t="shared" si="119"/>
        <v>0.66013066339031079</v>
      </c>
      <c r="F116" s="65">
        <f t="shared" si="119"/>
        <v>0.70107565446495113</v>
      </c>
      <c r="G116" s="65">
        <f t="shared" si="119"/>
        <v>0.75966902977320749</v>
      </c>
      <c r="H116" s="65">
        <f t="shared" si="119"/>
        <v>0.79451426520401736</v>
      </c>
      <c r="I116" s="65">
        <f t="shared" si="119"/>
        <v>0.82650610749106201</v>
      </c>
      <c r="J116" s="65">
        <f t="shared" si="119"/>
        <v>0.85884839524260492</v>
      </c>
      <c r="K116" s="65">
        <f t="shared" si="119"/>
        <v>0.87238369518362269</v>
      </c>
      <c r="L116" s="65">
        <f t="shared" si="119"/>
        <v>0.91643536972699768</v>
      </c>
      <c r="M116" s="65">
        <f t="shared" si="119"/>
        <v>0.99118656208035583</v>
      </c>
      <c r="N116" s="65">
        <f t="shared" si="119"/>
        <v>1.1294904084817392</v>
      </c>
      <c r="O116" s="65">
        <f t="shared" si="119"/>
        <v>1.3624743938659893</v>
      </c>
      <c r="P116" s="65">
        <f t="shared" si="119"/>
        <v>1.7988210060249614</v>
      </c>
      <c r="Q116" s="65">
        <f t="shared" si="119"/>
        <v>2.4786715191182065</v>
      </c>
      <c r="R116" s="65">
        <f t="shared" si="119"/>
        <v>2.98684965073716</v>
      </c>
      <c r="S116" s="65">
        <f t="shared" si="119"/>
        <v>3.510893689601128</v>
      </c>
      <c r="T116" s="65">
        <f t="shared" si="119"/>
        <v>3.8880283620165432</v>
      </c>
      <c r="U116" s="65">
        <f t="shared" si="119"/>
        <v>4.1209312175346291</v>
      </c>
      <c r="V116" s="65">
        <f t="shared" si="119"/>
        <v>3.721233865322382</v>
      </c>
      <c r="W116" s="65">
        <f t="shared" si="119"/>
        <v>3.6039732807863492</v>
      </c>
      <c r="X116" s="65">
        <f t="shared" ref="X116:Y116" si="120">X84*1000000/X$8</f>
        <v>3.1824958680646724</v>
      </c>
      <c r="Y116" s="65">
        <f t="shared" si="120"/>
        <v>3.0610176984506601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651.55979434775429</v>
      </c>
      <c r="C117" s="65">
        <f t="shared" ref="C117:W117" si="122">C85*1000000/C$8</f>
        <v>625.32741458149769</v>
      </c>
      <c r="D117" s="65">
        <f t="shared" si="122"/>
        <v>623.62663020951629</v>
      </c>
      <c r="E117" s="65">
        <f t="shared" si="122"/>
        <v>667.03155227126911</v>
      </c>
      <c r="F117" s="65">
        <f t="shared" si="122"/>
        <v>651.16109381119372</v>
      </c>
      <c r="G117" s="65">
        <f t="shared" si="122"/>
        <v>664.46631629328112</v>
      </c>
      <c r="H117" s="65">
        <f t="shared" si="122"/>
        <v>645.23840327859034</v>
      </c>
      <c r="I117" s="65">
        <f t="shared" si="122"/>
        <v>600.68281577662549</v>
      </c>
      <c r="J117" s="65">
        <f t="shared" si="122"/>
        <v>592.12085112969953</v>
      </c>
      <c r="K117" s="65">
        <f t="shared" si="122"/>
        <v>574.6173512496083</v>
      </c>
      <c r="L117" s="65">
        <f t="shared" si="122"/>
        <v>550.5602132317631</v>
      </c>
      <c r="M117" s="65">
        <f t="shared" si="122"/>
        <v>468.90957333089455</v>
      </c>
      <c r="N117" s="65">
        <f t="shared" si="122"/>
        <v>464.82399522682823</v>
      </c>
      <c r="O117" s="65">
        <f t="shared" si="122"/>
        <v>454.41876079272367</v>
      </c>
      <c r="P117" s="65">
        <f t="shared" si="122"/>
        <v>424.84178136512105</v>
      </c>
      <c r="Q117" s="65">
        <f t="shared" si="122"/>
        <v>454.37949194621888</v>
      </c>
      <c r="R117" s="65">
        <f t="shared" si="122"/>
        <v>444.48507649706198</v>
      </c>
      <c r="S117" s="65">
        <f t="shared" si="122"/>
        <v>437.6875329976379</v>
      </c>
      <c r="T117" s="65">
        <f t="shared" si="122"/>
        <v>414.56504394556413</v>
      </c>
      <c r="U117" s="65">
        <f t="shared" si="122"/>
        <v>353.59079284450672</v>
      </c>
      <c r="V117" s="65">
        <f t="shared" si="122"/>
        <v>242.81417592491258</v>
      </c>
      <c r="W117" s="65">
        <f t="shared" si="122"/>
        <v>258.71438853214499</v>
      </c>
      <c r="X117" s="65">
        <f t="shared" ref="X117:Y117" si="123">X85*1000000/X$8</f>
        <v>204.08967511419132</v>
      </c>
      <c r="Y117" s="65">
        <f t="shared" si="123"/>
        <v>178.67913973209389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548.65393378478359</v>
      </c>
      <c r="C118" s="67">
        <f t="shared" ref="C118:W118" si="125">C86*1000000/C$8</f>
        <v>537.82226152028079</v>
      </c>
      <c r="D118" s="67">
        <f t="shared" si="125"/>
        <v>530.64164125446246</v>
      </c>
      <c r="E118" s="67">
        <f t="shared" si="125"/>
        <v>565.86920217202044</v>
      </c>
      <c r="F118" s="67">
        <f t="shared" si="125"/>
        <v>579.32743145242785</v>
      </c>
      <c r="G118" s="67">
        <f t="shared" si="125"/>
        <v>634.5845016341417</v>
      </c>
      <c r="H118" s="67">
        <f t="shared" si="125"/>
        <v>635.63679148289589</v>
      </c>
      <c r="I118" s="67">
        <f t="shared" si="125"/>
        <v>629.4493138510062</v>
      </c>
      <c r="J118" s="67">
        <f t="shared" si="125"/>
        <v>626.78576836828313</v>
      </c>
      <c r="K118" s="67">
        <f t="shared" si="125"/>
        <v>629.04707233888007</v>
      </c>
      <c r="L118" s="67">
        <f t="shared" si="125"/>
        <v>653.99445566319298</v>
      </c>
      <c r="M118" s="67">
        <f t="shared" si="125"/>
        <v>620.60326775641488</v>
      </c>
      <c r="N118" s="67">
        <f t="shared" si="125"/>
        <v>593.44709017813341</v>
      </c>
      <c r="O118" s="67">
        <f t="shared" si="125"/>
        <v>598.71088700613427</v>
      </c>
      <c r="P118" s="67">
        <f t="shared" si="125"/>
        <v>525.37854694526152</v>
      </c>
      <c r="Q118" s="67">
        <f t="shared" si="125"/>
        <v>672.14401251333925</v>
      </c>
      <c r="R118" s="67">
        <f t="shared" si="125"/>
        <v>649.07924693761015</v>
      </c>
      <c r="S118" s="67">
        <f t="shared" si="125"/>
        <v>602.34181670685064</v>
      </c>
      <c r="T118" s="67">
        <f t="shared" si="125"/>
        <v>629.4585196328768</v>
      </c>
      <c r="U118" s="67">
        <f t="shared" si="125"/>
        <v>663.04827115558408</v>
      </c>
      <c r="V118" s="67">
        <f t="shared" si="125"/>
        <v>420.14591183532468</v>
      </c>
      <c r="W118" s="67">
        <f t="shared" si="125"/>
        <v>513.31239328419099</v>
      </c>
      <c r="X118" s="67">
        <f t="shared" ref="X118:Y118" si="126">X86*1000000/X$8</f>
        <v>476.48201817101307</v>
      </c>
      <c r="Y118" s="67">
        <f t="shared" si="126"/>
        <v>549.55295227104807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0.70856202630815746</v>
      </c>
      <c r="C121" s="86">
        <f t="shared" ref="C121:W121" si="131">IF(C107=0,"",C107/C100)</f>
        <v>0.71844745696826251</v>
      </c>
      <c r="D121" s="86">
        <f t="shared" si="131"/>
        <v>0.72217883202778244</v>
      </c>
      <c r="E121" s="86">
        <f t="shared" si="131"/>
        <v>0.72367760581474039</v>
      </c>
      <c r="F121" s="86">
        <f t="shared" si="131"/>
        <v>0.72954745767375684</v>
      </c>
      <c r="G121" s="86">
        <f t="shared" si="131"/>
        <v>0.73515907369257782</v>
      </c>
      <c r="H121" s="86">
        <f t="shared" si="131"/>
        <v>0.74028237230672489</v>
      </c>
      <c r="I121" s="86">
        <f t="shared" si="131"/>
        <v>0.75835413978294075</v>
      </c>
      <c r="J121" s="86">
        <f t="shared" si="131"/>
        <v>0.76774089613681396</v>
      </c>
      <c r="K121" s="86">
        <f t="shared" si="131"/>
        <v>0.77848086407691086</v>
      </c>
      <c r="L121" s="86">
        <f t="shared" si="131"/>
        <v>0.78946304736032913</v>
      </c>
      <c r="M121" s="86">
        <f t="shared" si="131"/>
        <v>0.80607010566860327</v>
      </c>
      <c r="N121" s="86">
        <f t="shared" si="131"/>
        <v>0.81127522373309713</v>
      </c>
      <c r="O121" s="86">
        <f t="shared" si="131"/>
        <v>0.82118554772671093</v>
      </c>
      <c r="P121" s="86">
        <f t="shared" si="131"/>
        <v>0.8391060912818884</v>
      </c>
      <c r="Q121" s="86">
        <f t="shared" si="131"/>
        <v>0.84082673869261781</v>
      </c>
      <c r="R121" s="86">
        <f t="shared" si="131"/>
        <v>0.8467048115217547</v>
      </c>
      <c r="S121" s="86">
        <f t="shared" si="131"/>
        <v>0.85376770291622428</v>
      </c>
      <c r="T121" s="86">
        <f t="shared" si="131"/>
        <v>0.87451140664954019</v>
      </c>
      <c r="U121" s="86">
        <f t="shared" si="131"/>
        <v>0.89232621137757429</v>
      </c>
      <c r="V121" s="86">
        <f t="shared" si="131"/>
        <v>0.90966384175872572</v>
      </c>
      <c r="W121" s="86">
        <f t="shared" si="131"/>
        <v>0.90611988960775203</v>
      </c>
      <c r="X121" s="86">
        <f t="shared" ref="X121:Y121" si="132">IF(X107=0,"",X107/X100)</f>
        <v>0.93295053537505712</v>
      </c>
      <c r="Y121" s="86">
        <f t="shared" si="132"/>
        <v>0.95064298747274412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0.68604393808871433</v>
      </c>
      <c r="C122" s="75">
        <f t="shared" ref="C122:W122" si="134">IF(C108=0,"",C108/C101)</f>
        <v>0.69680603922131423</v>
      </c>
      <c r="D122" s="75">
        <f t="shared" si="134"/>
        <v>0.69857086192621076</v>
      </c>
      <c r="E122" s="75">
        <f t="shared" si="134"/>
        <v>0.69939989412985626</v>
      </c>
      <c r="F122" s="75">
        <f t="shared" si="134"/>
        <v>0.70397297034485451</v>
      </c>
      <c r="G122" s="75">
        <f t="shared" si="134"/>
        <v>0.70790622041903051</v>
      </c>
      <c r="H122" s="75">
        <f t="shared" si="134"/>
        <v>0.71081414267288101</v>
      </c>
      <c r="I122" s="75">
        <f t="shared" si="134"/>
        <v>0.72684372848495715</v>
      </c>
      <c r="J122" s="75">
        <f t="shared" si="134"/>
        <v>0.73392797492485373</v>
      </c>
      <c r="K122" s="75">
        <f t="shared" si="134"/>
        <v>0.74267612138775818</v>
      </c>
      <c r="L122" s="75">
        <f t="shared" si="134"/>
        <v>0.75586859134024598</v>
      </c>
      <c r="M122" s="75">
        <f t="shared" si="134"/>
        <v>0.76748808691461556</v>
      </c>
      <c r="N122" s="75">
        <f t="shared" si="134"/>
        <v>0.77080550984838969</v>
      </c>
      <c r="O122" s="75">
        <f t="shared" si="134"/>
        <v>0.77778108870743745</v>
      </c>
      <c r="P122" s="75">
        <f t="shared" si="134"/>
        <v>0.78841445021735534</v>
      </c>
      <c r="Q122" s="75">
        <f t="shared" si="134"/>
        <v>0.79145508825770639</v>
      </c>
      <c r="R122" s="75">
        <f t="shared" si="134"/>
        <v>0.79639726481871698</v>
      </c>
      <c r="S122" s="75">
        <f t="shared" si="134"/>
        <v>0.80083853964743101</v>
      </c>
      <c r="T122" s="75">
        <f t="shared" si="134"/>
        <v>0.81498614438364891</v>
      </c>
      <c r="U122" s="75">
        <f t="shared" si="134"/>
        <v>0.8322119966322552</v>
      </c>
      <c r="V122" s="75">
        <f t="shared" si="134"/>
        <v>0.84295851918238962</v>
      </c>
      <c r="W122" s="75">
        <f t="shared" si="134"/>
        <v>0.84719983256475895</v>
      </c>
      <c r="X122" s="75">
        <f t="shared" ref="X122:Y122" si="135">IF(X108=0,"",X108/X101)</f>
        <v>0.86563684072447156</v>
      </c>
      <c r="Y122" s="75">
        <f t="shared" si="135"/>
        <v>0.88183959442048798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2.0888930003643331</v>
      </c>
      <c r="C123" s="76">
        <f t="shared" ref="C123:W123" si="137">IF(C109=0,"",C109/C102)</f>
        <v>2.1817945839327018</v>
      </c>
      <c r="D123" s="76">
        <f t="shared" si="137"/>
        <v>2.303761674908702</v>
      </c>
      <c r="E123" s="76">
        <f t="shared" si="137"/>
        <v>2.4253597394699424</v>
      </c>
      <c r="F123" s="76">
        <f t="shared" si="137"/>
        <v>2.5736808578165</v>
      </c>
      <c r="G123" s="76">
        <f t="shared" si="137"/>
        <v>2.7483865287351437</v>
      </c>
      <c r="H123" s="76">
        <f t="shared" si="137"/>
        <v>2.9556535356937776</v>
      </c>
      <c r="I123" s="76">
        <f t="shared" si="137"/>
        <v>3.2027360498254143</v>
      </c>
      <c r="J123" s="76">
        <f t="shared" si="137"/>
        <v>3.477561102110279</v>
      </c>
      <c r="K123" s="76">
        <f t="shared" si="137"/>
        <v>3.5532643864195821</v>
      </c>
      <c r="L123" s="76">
        <f t="shared" si="137"/>
        <v>3.6615367567104884</v>
      </c>
      <c r="M123" s="76">
        <f t="shared" si="137"/>
        <v>3.8139489000658964</v>
      </c>
      <c r="N123" s="76">
        <f t="shared" si="137"/>
        <v>3.9774361797271824</v>
      </c>
      <c r="O123" s="76">
        <f t="shared" si="137"/>
        <v>4.1527195988609487</v>
      </c>
      <c r="P123" s="76">
        <f t="shared" si="137"/>
        <v>4.3459267517818851</v>
      </c>
      <c r="Q123" s="76">
        <f t="shared" si="137"/>
        <v>4.5360354194048806</v>
      </c>
      <c r="R123" s="76">
        <f t="shared" si="137"/>
        <v>4.7409451360382908</v>
      </c>
      <c r="S123" s="76">
        <f t="shared" si="137"/>
        <v>4.9439015922374985</v>
      </c>
      <c r="T123" s="76">
        <f t="shared" si="137"/>
        <v>5.1211341231228547</v>
      </c>
      <c r="U123" s="76">
        <f t="shared" si="137"/>
        <v>5.2586670563735174</v>
      </c>
      <c r="V123" s="76">
        <f t="shared" si="137"/>
        <v>5.3954097182398923</v>
      </c>
      <c r="W123" s="76">
        <f t="shared" si="137"/>
        <v>5.5180916666662956</v>
      </c>
      <c r="X123" s="76">
        <f t="shared" ref="X123:Y123" si="138">IF(X109=0,"",X109/X102)</f>
        <v>5.6240397432813456</v>
      </c>
      <c r="Y123" s="76">
        <f t="shared" si="138"/>
        <v>5.707960642156408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0.69282861817194141</v>
      </c>
      <c r="C124" s="76">
        <f t="shared" ref="C124:W124" si="140">IF(C110=0,"",C110/C103)</f>
        <v>0.6990468577909198</v>
      </c>
      <c r="D124" s="76">
        <f t="shared" si="140"/>
        <v>0.7019785742454242</v>
      </c>
      <c r="E124" s="76">
        <f t="shared" si="140"/>
        <v>0.70376299872969217</v>
      </c>
      <c r="F124" s="76">
        <f t="shared" si="140"/>
        <v>0.70738742780817143</v>
      </c>
      <c r="G124" s="76">
        <f t="shared" si="140"/>
        <v>0.71031919304185387</v>
      </c>
      <c r="H124" s="76">
        <f t="shared" si="140"/>
        <v>0.71364368429837888</v>
      </c>
      <c r="I124" s="76">
        <f t="shared" si="140"/>
        <v>0.72045724116118703</v>
      </c>
      <c r="J124" s="76">
        <f t="shared" si="140"/>
        <v>0.7262307531124701</v>
      </c>
      <c r="K124" s="76">
        <f t="shared" si="140"/>
        <v>0.73459525884100341</v>
      </c>
      <c r="L124" s="76">
        <f t="shared" si="140"/>
        <v>0.74479327347467417</v>
      </c>
      <c r="M124" s="76">
        <f t="shared" si="140"/>
        <v>0.75438870835241267</v>
      </c>
      <c r="N124" s="76">
        <f t="shared" si="140"/>
        <v>0.7606461518720099</v>
      </c>
      <c r="O124" s="76">
        <f t="shared" si="140"/>
        <v>0.76896500649588917</v>
      </c>
      <c r="P124" s="76">
        <f t="shared" si="140"/>
        <v>0.77605455874578111</v>
      </c>
      <c r="Q124" s="76">
        <f t="shared" si="140"/>
        <v>0.78113801633593094</v>
      </c>
      <c r="R124" s="76">
        <f t="shared" si="140"/>
        <v>0.78805466312854955</v>
      </c>
      <c r="S124" s="76">
        <f t="shared" si="140"/>
        <v>0.7975643150219015</v>
      </c>
      <c r="T124" s="76">
        <f t="shared" si="140"/>
        <v>0.81077533188143369</v>
      </c>
      <c r="U124" s="76">
        <f t="shared" si="140"/>
        <v>0.82328893212373722</v>
      </c>
      <c r="V124" s="76">
        <f t="shared" si="140"/>
        <v>0.8389678865881236</v>
      </c>
      <c r="W124" s="76">
        <f t="shared" si="140"/>
        <v>0.84605580731519558</v>
      </c>
      <c r="X124" s="76">
        <f t="shared" ref="X124:Y124" si="141">IF(X110=0,"",X110/X103)</f>
        <v>0.86020196176152686</v>
      </c>
      <c r="Y124" s="76">
        <f t="shared" si="141"/>
        <v>0.87633516611490414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0.67850017129820128</v>
      </c>
      <c r="C125" s="56">
        <f t="shared" ref="C125:W125" si="143">IF(C111=0,"",C111/C104)</f>
        <v>0.68044025502998884</v>
      </c>
      <c r="D125" s="56">
        <f t="shared" si="143"/>
        <v>0.68230370508147342</v>
      </c>
      <c r="E125" s="56">
        <f t="shared" si="143"/>
        <v>0.68304852415269268</v>
      </c>
      <c r="F125" s="56">
        <f t="shared" si="143"/>
        <v>0.68396553827681517</v>
      </c>
      <c r="G125" s="56">
        <f t="shared" si="143"/>
        <v>0.68198105050903346</v>
      </c>
      <c r="H125" s="56">
        <f t="shared" si="143"/>
        <v>0.68409081295061114</v>
      </c>
      <c r="I125" s="56">
        <f t="shared" si="143"/>
        <v>0.68634511209847027</v>
      </c>
      <c r="J125" s="56">
        <f t="shared" si="143"/>
        <v>0.68880761169369054</v>
      </c>
      <c r="K125" s="56">
        <f t="shared" si="143"/>
        <v>0.69113396319141795</v>
      </c>
      <c r="L125" s="56">
        <f t="shared" si="143"/>
        <v>0.69114982978050266</v>
      </c>
      <c r="M125" s="56">
        <f t="shared" si="143"/>
        <v>0.69498960195498238</v>
      </c>
      <c r="N125" s="56">
        <f t="shared" si="143"/>
        <v>0.69825345315868492</v>
      </c>
      <c r="O125" s="56">
        <f t="shared" si="143"/>
        <v>0.69957967995675507</v>
      </c>
      <c r="P125" s="56">
        <f t="shared" si="143"/>
        <v>0.70665766468068403</v>
      </c>
      <c r="Q125" s="56">
        <f t="shared" si="143"/>
        <v>0.69946171843367255</v>
      </c>
      <c r="R125" s="56">
        <f t="shared" si="143"/>
        <v>0.70440035572783843</v>
      </c>
      <c r="S125" s="56">
        <f t="shared" si="143"/>
        <v>0.71393319831401592</v>
      </c>
      <c r="T125" s="56">
        <f t="shared" si="143"/>
        <v>0.71627159555189046</v>
      </c>
      <c r="U125" s="56">
        <f t="shared" si="143"/>
        <v>0.71923036828992315</v>
      </c>
      <c r="V125" s="56">
        <f t="shared" si="143"/>
        <v>0.73980154000368148</v>
      </c>
      <c r="W125" s="56">
        <f t="shared" si="143"/>
        <v>0.73666222618212884</v>
      </c>
      <c r="X125" s="56">
        <f t="shared" ref="X125:Y125" si="144">IF(X111=0,"",X111/X104)</f>
        <v>0.74159985362810255</v>
      </c>
      <c r="Y125" s="56">
        <f t="shared" si="144"/>
        <v>0.71727891695736368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200.83926311976859</v>
      </c>
      <c r="C129" s="82">
        <f t="shared" ref="C129:W129" si="146">IF(C99=0,0,C99/C$26)</f>
        <v>202.94606786819426</v>
      </c>
      <c r="D129" s="82">
        <f t="shared" si="146"/>
        <v>200.13422907136217</v>
      </c>
      <c r="E129" s="82">
        <f t="shared" si="146"/>
        <v>201.5055474604402</v>
      </c>
      <c r="F129" s="82">
        <f t="shared" si="146"/>
        <v>198.7526865755018</v>
      </c>
      <c r="G129" s="82">
        <f t="shared" si="146"/>
        <v>194.8758551967546</v>
      </c>
      <c r="H129" s="82">
        <f t="shared" si="146"/>
        <v>194.08280433336782</v>
      </c>
      <c r="I129" s="82">
        <f t="shared" si="146"/>
        <v>185.67553607670098</v>
      </c>
      <c r="J129" s="82">
        <f t="shared" si="146"/>
        <v>183.9327918399743</v>
      </c>
      <c r="K129" s="82">
        <f t="shared" si="146"/>
        <v>178.49056430765881</v>
      </c>
      <c r="L129" s="82">
        <f t="shared" si="146"/>
        <v>186.28832344623135</v>
      </c>
      <c r="M129" s="82">
        <f t="shared" si="146"/>
        <v>169.29089805809434</v>
      </c>
      <c r="N129" s="82">
        <f t="shared" si="146"/>
        <v>171.30040347668944</v>
      </c>
      <c r="O129" s="82">
        <f t="shared" si="146"/>
        <v>169.22749781100455</v>
      </c>
      <c r="P129" s="82">
        <f t="shared" si="146"/>
        <v>157.90617218412504</v>
      </c>
      <c r="Q129" s="82">
        <f t="shared" si="146"/>
        <v>163.59163140024208</v>
      </c>
      <c r="R129" s="82">
        <f t="shared" si="146"/>
        <v>166.57525412829997</v>
      </c>
      <c r="S129" s="82">
        <f t="shared" si="146"/>
        <v>168.73495636428493</v>
      </c>
      <c r="T129" s="82">
        <f t="shared" si="146"/>
        <v>162.21324624936577</v>
      </c>
      <c r="U129" s="82">
        <f t="shared" si="146"/>
        <v>156.04373031483115</v>
      </c>
      <c r="V129" s="82">
        <f t="shared" si="146"/>
        <v>146.25445568758866</v>
      </c>
      <c r="W129" s="82">
        <f t="shared" si="146"/>
        <v>161.31293298699205</v>
      </c>
      <c r="X129" s="82">
        <f t="shared" ref="X129:Y129" si="147">IF(X99=0,0,X99/X$26)</f>
        <v>149.5076576700547</v>
      </c>
      <c r="Y129" s="82">
        <f t="shared" si="147"/>
        <v>146.13175874847656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153.36446749004821</v>
      </c>
      <c r="C130" s="64">
        <f t="shared" ref="C130:W130" si="149">IF(C100=0,0,C100/C$26)</f>
        <v>155.07647094942772</v>
      </c>
      <c r="D130" s="64">
        <f t="shared" si="149"/>
        <v>152.00372167525185</v>
      </c>
      <c r="E130" s="64">
        <f t="shared" si="149"/>
        <v>153.0356664776148</v>
      </c>
      <c r="F130" s="64">
        <f t="shared" si="149"/>
        <v>149.93063038310638</v>
      </c>
      <c r="G130" s="64">
        <f t="shared" si="149"/>
        <v>145.85027046063587</v>
      </c>
      <c r="H130" s="64">
        <f t="shared" si="149"/>
        <v>145.11420866422989</v>
      </c>
      <c r="I130" s="64">
        <f t="shared" si="149"/>
        <v>136.98228641966432</v>
      </c>
      <c r="J130" s="64">
        <f t="shared" si="149"/>
        <v>135.09234976442093</v>
      </c>
      <c r="K130" s="64">
        <f t="shared" si="149"/>
        <v>129.7244354898898</v>
      </c>
      <c r="L130" s="64">
        <f t="shared" si="149"/>
        <v>137.65535537767028</v>
      </c>
      <c r="M130" s="64">
        <f t="shared" si="149"/>
        <v>120.65270079491026</v>
      </c>
      <c r="N130" s="64">
        <f t="shared" si="149"/>
        <v>121.99354795624221</v>
      </c>
      <c r="O130" s="64">
        <f t="shared" si="149"/>
        <v>119.12529984742655</v>
      </c>
      <c r="P130" s="64">
        <f t="shared" si="149"/>
        <v>106.98600296172731</v>
      </c>
      <c r="Q130" s="64">
        <f t="shared" si="149"/>
        <v>111.72090713651176</v>
      </c>
      <c r="R130" s="64">
        <f t="shared" si="149"/>
        <v>114.79054868855646</v>
      </c>
      <c r="S130" s="64">
        <f t="shared" si="149"/>
        <v>116.17966967112416</v>
      </c>
      <c r="T130" s="64">
        <f t="shared" si="149"/>
        <v>109.95264437958286</v>
      </c>
      <c r="U130" s="64">
        <f t="shared" si="149"/>
        <v>104.25037666307222</v>
      </c>
      <c r="V130" s="64">
        <f t="shared" si="149"/>
        <v>96.769838643352571</v>
      </c>
      <c r="W130" s="64">
        <f t="shared" si="149"/>
        <v>110.56314183188221</v>
      </c>
      <c r="X130" s="64">
        <f t="shared" ref="X130:Y130" si="150">IF(X100=0,0,X100/X$26)</f>
        <v>98.995480465519663</v>
      </c>
      <c r="Y130" s="64">
        <f t="shared" si="150"/>
        <v>94.748032635995784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122.43128473575879</v>
      </c>
      <c r="C131" s="65">
        <f t="shared" ref="C131:W131" si="152">IF(C101=0,0,C101/C$26)</f>
        <v>124.50032068848436</v>
      </c>
      <c r="D131" s="65">
        <f t="shared" si="152"/>
        <v>121.59016417977878</v>
      </c>
      <c r="E131" s="65">
        <f t="shared" si="152"/>
        <v>122.53227666496285</v>
      </c>
      <c r="F131" s="65">
        <f t="shared" si="152"/>
        <v>119.4923118820826</v>
      </c>
      <c r="G131" s="65">
        <f t="shared" si="152"/>
        <v>115.46634756392201</v>
      </c>
      <c r="H131" s="65">
        <f t="shared" si="152"/>
        <v>114.70477996231892</v>
      </c>
      <c r="I131" s="65">
        <f t="shared" si="152"/>
        <v>107.0157904570024</v>
      </c>
      <c r="J131" s="65">
        <f t="shared" si="152"/>
        <v>105.20348165748541</v>
      </c>
      <c r="K131" s="65">
        <f t="shared" si="152"/>
        <v>100.0108489086881</v>
      </c>
      <c r="L131" s="65">
        <f t="shared" si="152"/>
        <v>108.27325963365455</v>
      </c>
      <c r="M131" s="65">
        <f t="shared" si="152"/>
        <v>91.058290381501735</v>
      </c>
      <c r="N131" s="65">
        <f t="shared" si="152"/>
        <v>92.295970224166609</v>
      </c>
      <c r="O131" s="65">
        <f t="shared" si="152"/>
        <v>89.542798970436451</v>
      </c>
      <c r="P131" s="65">
        <f t="shared" si="152"/>
        <v>77.693008292924176</v>
      </c>
      <c r="Q131" s="65">
        <f t="shared" si="152"/>
        <v>82.508324074475013</v>
      </c>
      <c r="R131" s="65">
        <f t="shared" si="152"/>
        <v>85.572938469511982</v>
      </c>
      <c r="S131" s="65">
        <f t="shared" si="152"/>
        <v>86.990775461143514</v>
      </c>
      <c r="T131" s="65">
        <f t="shared" si="152"/>
        <v>81.537719995814498</v>
      </c>
      <c r="U131" s="65">
        <f t="shared" si="152"/>
        <v>76.487293454932427</v>
      </c>
      <c r="V131" s="65">
        <f t="shared" si="152"/>
        <v>73.778001467213784</v>
      </c>
      <c r="W131" s="65">
        <f t="shared" si="152"/>
        <v>86.042637111159834</v>
      </c>
      <c r="X131" s="65">
        <f t="shared" ref="X131:Y131" si="153">IF(X101=0,0,X101/X$26)</f>
        <v>74.340325935927538</v>
      </c>
      <c r="Y131" s="65">
        <f t="shared" si="153"/>
        <v>71.778709898161694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2.4587389945229381</v>
      </c>
      <c r="C132" s="65">
        <f t="shared" ref="C132:W132" si="155">IF(C102=0,0,C102/C$26)</f>
        <v>2.3826128147036889</v>
      </c>
      <c r="D132" s="65">
        <f t="shared" si="155"/>
        <v>2.3380177504146764</v>
      </c>
      <c r="E132" s="65">
        <f t="shared" si="155"/>
        <v>2.2437083466786012</v>
      </c>
      <c r="F132" s="65">
        <f t="shared" si="155"/>
        <v>2.1707671129227064</v>
      </c>
      <c r="G132" s="65">
        <f t="shared" si="155"/>
        <v>2.1054590013332102</v>
      </c>
      <c r="H132" s="65">
        <f t="shared" si="155"/>
        <v>2.0519037771707982</v>
      </c>
      <c r="I132" s="65">
        <f t="shared" si="155"/>
        <v>2.00402021836494</v>
      </c>
      <c r="J132" s="65">
        <f t="shared" si="155"/>
        <v>1.9308768258763582</v>
      </c>
      <c r="K132" s="65">
        <f t="shared" si="155"/>
        <v>1.9446129564060961</v>
      </c>
      <c r="L132" s="65">
        <f t="shared" si="155"/>
        <v>1.9487422098172464</v>
      </c>
      <c r="M132" s="65">
        <f t="shared" si="155"/>
        <v>1.9180679563871299</v>
      </c>
      <c r="N132" s="65">
        <f t="shared" si="155"/>
        <v>1.899104668467209</v>
      </c>
      <c r="O132" s="65">
        <f t="shared" si="155"/>
        <v>1.8903282208785921</v>
      </c>
      <c r="P132" s="65">
        <f t="shared" si="155"/>
        <v>1.8847312004437433</v>
      </c>
      <c r="Q132" s="65">
        <f t="shared" si="155"/>
        <v>1.844701456633332</v>
      </c>
      <c r="R132" s="65">
        <f t="shared" si="155"/>
        <v>1.8122963986579814</v>
      </c>
      <c r="S132" s="65">
        <f t="shared" si="155"/>
        <v>1.7827071104066237</v>
      </c>
      <c r="T132" s="65">
        <f t="shared" si="155"/>
        <v>1.8370441944426237</v>
      </c>
      <c r="U132" s="65">
        <f t="shared" si="155"/>
        <v>1.7760883744900922</v>
      </c>
      <c r="V132" s="65">
        <f t="shared" si="155"/>
        <v>1.6635263127720727</v>
      </c>
      <c r="W132" s="65">
        <f t="shared" si="155"/>
        <v>1.6603674554931056</v>
      </c>
      <c r="X132" s="65">
        <f t="shared" ref="X132:Y132" si="156">IF(X102=0,0,X102/X$26)</f>
        <v>1.6987041024864242</v>
      </c>
      <c r="Y132" s="65">
        <f t="shared" si="156"/>
        <v>1.6842621748220861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15.287035710513802</v>
      </c>
      <c r="C133" s="65">
        <f t="shared" ref="C133:W133" si="158">IF(C103=0,0,C103/C$26)</f>
        <v>15.012482786125787</v>
      </c>
      <c r="D133" s="65">
        <f t="shared" si="158"/>
        <v>14.853664803542758</v>
      </c>
      <c r="E133" s="65">
        <f t="shared" si="158"/>
        <v>14.718682975980386</v>
      </c>
      <c r="F133" s="65">
        <f t="shared" si="158"/>
        <v>14.570119448383922</v>
      </c>
      <c r="G133" s="65">
        <f t="shared" si="158"/>
        <v>14.532087605533901</v>
      </c>
      <c r="H133" s="65">
        <f t="shared" si="158"/>
        <v>14.478183118180015</v>
      </c>
      <c r="I133" s="65">
        <f t="shared" si="158"/>
        <v>14.278542762613215</v>
      </c>
      <c r="J133" s="65">
        <f t="shared" si="158"/>
        <v>14.208429773406809</v>
      </c>
      <c r="K133" s="65">
        <f t="shared" si="158"/>
        <v>14.04736099790701</v>
      </c>
      <c r="L133" s="65">
        <f t="shared" si="158"/>
        <v>13.74839488220417</v>
      </c>
      <c r="M133" s="65">
        <f t="shared" si="158"/>
        <v>13.774597728415547</v>
      </c>
      <c r="N133" s="65">
        <f t="shared" si="158"/>
        <v>13.850227955696772</v>
      </c>
      <c r="O133" s="65">
        <f t="shared" si="158"/>
        <v>13.783816358474661</v>
      </c>
      <c r="P133" s="65">
        <f t="shared" si="158"/>
        <v>13.821269115579808</v>
      </c>
      <c r="Q133" s="65">
        <f t="shared" si="158"/>
        <v>13.784616404148409</v>
      </c>
      <c r="R133" s="65">
        <f t="shared" si="158"/>
        <v>13.715314700016974</v>
      </c>
      <c r="S133" s="65">
        <f t="shared" si="158"/>
        <v>13.6930945255456</v>
      </c>
      <c r="T133" s="65">
        <f t="shared" si="158"/>
        <v>13.311635596885965</v>
      </c>
      <c r="U133" s="65">
        <f t="shared" si="158"/>
        <v>12.888964644625355</v>
      </c>
      <c r="V133" s="65">
        <f t="shared" si="158"/>
        <v>10.912019067373762</v>
      </c>
      <c r="W133" s="65">
        <f t="shared" si="158"/>
        <v>11.754754489927432</v>
      </c>
      <c r="X133" s="65">
        <f t="shared" ref="X133:Y133" si="159">IF(X103=0,0,X103/X$26)</f>
        <v>12.040949186047557</v>
      </c>
      <c r="Y133" s="65">
        <f t="shared" si="159"/>
        <v>11.90281422256953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13.187408049252705</v>
      </c>
      <c r="C134" s="67">
        <f t="shared" ref="C134:W134" si="161">IF(C104=0,0,C104/C$26)</f>
        <v>13.181054660113835</v>
      </c>
      <c r="D134" s="67">
        <f t="shared" si="161"/>
        <v>13.221874941515608</v>
      </c>
      <c r="E134" s="67">
        <f t="shared" si="161"/>
        <v>13.54099848999299</v>
      </c>
      <c r="F134" s="67">
        <f t="shared" si="161"/>
        <v>13.69743193971709</v>
      </c>
      <c r="G134" s="67">
        <f t="shared" si="161"/>
        <v>13.74637628984676</v>
      </c>
      <c r="H134" s="67">
        <f t="shared" si="161"/>
        <v>13.879341806560154</v>
      </c>
      <c r="I134" s="67">
        <f t="shared" si="161"/>
        <v>13.683932981683743</v>
      </c>
      <c r="J134" s="67">
        <f t="shared" si="161"/>
        <v>13.749561507652349</v>
      </c>
      <c r="K134" s="67">
        <f t="shared" si="161"/>
        <v>13.721612626888582</v>
      </c>
      <c r="L134" s="67">
        <f t="shared" si="161"/>
        <v>13.68495865199432</v>
      </c>
      <c r="M134" s="67">
        <f t="shared" si="161"/>
        <v>13.901744728605868</v>
      </c>
      <c r="N134" s="67">
        <f t="shared" si="161"/>
        <v>13.94824510791163</v>
      </c>
      <c r="O134" s="67">
        <f t="shared" si="161"/>
        <v>13.908356297636832</v>
      </c>
      <c r="P134" s="67">
        <f t="shared" si="161"/>
        <v>13.586994352779584</v>
      </c>
      <c r="Q134" s="67">
        <f t="shared" si="161"/>
        <v>13.583265201255006</v>
      </c>
      <c r="R134" s="67">
        <f t="shared" si="161"/>
        <v>13.689999120369562</v>
      </c>
      <c r="S134" s="67">
        <f t="shared" si="161"/>
        <v>13.713092574028421</v>
      </c>
      <c r="T134" s="67">
        <f t="shared" si="161"/>
        <v>13.266244592439778</v>
      </c>
      <c r="U134" s="67">
        <f t="shared" si="161"/>
        <v>13.098030189024353</v>
      </c>
      <c r="V134" s="67">
        <f t="shared" si="161"/>
        <v>10.41629179599297</v>
      </c>
      <c r="W134" s="67">
        <f t="shared" si="161"/>
        <v>11.105382775301843</v>
      </c>
      <c r="X134" s="67">
        <f t="shared" ref="X134:Y134" si="162">IF(X104=0,0,X104/X$26)</f>
        <v>10.915501241058134</v>
      </c>
      <c r="Y134" s="67">
        <f t="shared" si="162"/>
        <v>9.3822463404424905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47.474795629720326</v>
      </c>
      <c r="C135" s="68">
        <f t="shared" ref="C135:W135" si="164">IF(C105=0,0,C105/C$26)</f>
        <v>47.869596918766582</v>
      </c>
      <c r="D135" s="68">
        <f t="shared" si="164"/>
        <v>48.13050739611031</v>
      </c>
      <c r="E135" s="68">
        <f t="shared" si="164"/>
        <v>48.469880982825387</v>
      </c>
      <c r="F135" s="68">
        <f t="shared" si="164"/>
        <v>48.822056192395443</v>
      </c>
      <c r="G135" s="68">
        <f t="shared" si="164"/>
        <v>49.025584736118695</v>
      </c>
      <c r="H135" s="68">
        <f t="shared" si="164"/>
        <v>48.968595669137933</v>
      </c>
      <c r="I135" s="68">
        <f t="shared" si="164"/>
        <v>48.693249657036674</v>
      </c>
      <c r="J135" s="68">
        <f t="shared" si="164"/>
        <v>48.840442075553391</v>
      </c>
      <c r="K135" s="68">
        <f t="shared" si="164"/>
        <v>48.766128817769001</v>
      </c>
      <c r="L135" s="68">
        <f t="shared" si="164"/>
        <v>48.632968068561077</v>
      </c>
      <c r="M135" s="68">
        <f t="shared" si="164"/>
        <v>48.638197263184068</v>
      </c>
      <c r="N135" s="68">
        <f t="shared" si="164"/>
        <v>49.306855520447229</v>
      </c>
      <c r="O135" s="68">
        <f t="shared" si="164"/>
        <v>50.102197963577993</v>
      </c>
      <c r="P135" s="68">
        <f t="shared" si="164"/>
        <v>50.920169222397703</v>
      </c>
      <c r="Q135" s="68">
        <f t="shared" si="164"/>
        <v>51.870724263730295</v>
      </c>
      <c r="R135" s="68">
        <f t="shared" si="164"/>
        <v>51.784705439743483</v>
      </c>
      <c r="S135" s="68">
        <f t="shared" si="164"/>
        <v>52.555286693160781</v>
      </c>
      <c r="T135" s="68">
        <f t="shared" si="164"/>
        <v>52.260601869782889</v>
      </c>
      <c r="U135" s="68">
        <f t="shared" si="164"/>
        <v>51.793353651758927</v>
      </c>
      <c r="V135" s="68">
        <f t="shared" si="164"/>
        <v>49.484617044236074</v>
      </c>
      <c r="W135" s="68">
        <f t="shared" si="164"/>
        <v>50.749791155109854</v>
      </c>
      <c r="X135" s="68">
        <f t="shared" ref="X135:Y135" si="165">IF(X105=0,0,X105/X$26)</f>
        <v>50.512177204535057</v>
      </c>
      <c r="Y135" s="68">
        <f t="shared" si="165"/>
        <v>51.38372611248078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108.66823784842011</v>
      </c>
      <c r="C137" s="85">
        <f t="shared" ref="C137:W137" si="167">IF(C107=0,0,C107/C$26)</f>
        <v>111.41429618922898</v>
      </c>
      <c r="D137" s="85">
        <f t="shared" si="167"/>
        <v>109.7738701833095</v>
      </c>
      <c r="E137" s="85">
        <f t="shared" si="167"/>
        <v>110.74848472078341</v>
      </c>
      <c r="F137" s="85">
        <f t="shared" si="167"/>
        <v>109.38151022341899</v>
      </c>
      <c r="G137" s="85">
        <f t="shared" si="167"/>
        <v>107.22314972965302</v>
      </c>
      <c r="H137" s="85">
        <f t="shared" si="167"/>
        <v>107.42549064536919</v>
      </c>
      <c r="I137" s="85">
        <f t="shared" si="167"/>
        <v>103.88108398328494</v>
      </c>
      <c r="J137" s="85">
        <f t="shared" si="167"/>
        <v>103.71592166936442</v>
      </c>
      <c r="K137" s="85">
        <f t="shared" si="167"/>
        <v>100.9879906320589</v>
      </c>
      <c r="L137" s="85">
        <f t="shared" si="167"/>
        <v>108.67381634192463</v>
      </c>
      <c r="M137" s="85">
        <f t="shared" si="167"/>
        <v>97.254535278955686</v>
      </c>
      <c r="N137" s="85">
        <f t="shared" si="167"/>
        <v>98.97034291219471</v>
      </c>
      <c r="O137" s="85">
        <f t="shared" si="167"/>
        <v>97.823974603317652</v>
      </c>
      <c r="P137" s="85">
        <f t="shared" si="167"/>
        <v>89.772606767087538</v>
      </c>
      <c r="Q137" s="85">
        <f t="shared" si="167"/>
        <v>93.937925991373987</v>
      </c>
      <c r="R137" s="85">
        <f t="shared" si="167"/>
        <v>97.193709891823005</v>
      </c>
      <c r="S137" s="85">
        <f t="shared" si="167"/>
        <v>99.190449700681398</v>
      </c>
      <c r="T137" s="85">
        <f t="shared" si="167"/>
        <v>96.154841701225678</v>
      </c>
      <c r="U137" s="85">
        <f t="shared" si="167"/>
        <v>93.025343642444312</v>
      </c>
      <c r="V137" s="85">
        <f t="shared" si="167"/>
        <v>88.028023186684095</v>
      </c>
      <c r="W137" s="85">
        <f t="shared" si="167"/>
        <v>100.18346187139134</v>
      </c>
      <c r="X137" s="85">
        <f t="shared" ref="X137:Y137" si="168">IF(X107=0,0,X107/X$26)</f>
        <v>92.357886500017585</v>
      </c>
      <c r="Y137" s="85">
        <f t="shared" si="168"/>
        <v>90.071552802248092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83.993240725380659</v>
      </c>
      <c r="C138" s="65">
        <f t="shared" ref="C138:W138" si="170">IF(C108=0,0,C108/C$26)</f>
        <v>86.752575340726239</v>
      </c>
      <c r="D138" s="65">
        <f t="shared" si="170"/>
        <v>84.939345792817534</v>
      </c>
      <c r="E138" s="65">
        <f t="shared" si="170"/>
        <v>85.699061326965278</v>
      </c>
      <c r="F138" s="65">
        <f t="shared" si="170"/>
        <v>84.119357729003454</v>
      </c>
      <c r="G138" s="65">
        <f t="shared" si="170"/>
        <v>81.73934568956615</v>
      </c>
      <c r="H138" s="65">
        <f t="shared" si="170"/>
        <v>81.53377982939719</v>
      </c>
      <c r="I138" s="65">
        <f t="shared" si="170"/>
        <v>77.783756142532511</v>
      </c>
      <c r="J138" s="65">
        <f t="shared" si="170"/>
        <v>77.211778247922254</v>
      </c>
      <c r="K138" s="65">
        <f t="shared" si="170"/>
        <v>74.27566936420159</v>
      </c>
      <c r="L138" s="65">
        <f t="shared" si="170"/>
        <v>81.840356239107166</v>
      </c>
      <c r="M138" s="65">
        <f t="shared" si="170"/>
        <v>69.8861530826143</v>
      </c>
      <c r="N138" s="65">
        <f t="shared" si="170"/>
        <v>71.142242385590535</v>
      </c>
      <c r="O138" s="65">
        <f t="shared" si="170"/>
        <v>69.644695669137263</v>
      </c>
      <c r="P138" s="65">
        <f t="shared" si="170"/>
        <v>61.254290418998238</v>
      </c>
      <c r="Q138" s="65">
        <f t="shared" si="170"/>
        <v>65.301632912359068</v>
      </c>
      <c r="R138" s="65">
        <f t="shared" si="170"/>
        <v>68.150054139619698</v>
      </c>
      <c r="S138" s="65">
        <f t="shared" si="170"/>
        <v>69.665565583099749</v>
      </c>
      <c r="T138" s="65">
        <f t="shared" si="170"/>
        <v>66.452112041222406</v>
      </c>
      <c r="U138" s="65">
        <f t="shared" si="170"/>
        <v>63.653643203126542</v>
      </c>
      <c r="V138" s="65">
        <f t="shared" si="170"/>
        <v>62.191794865038702</v>
      </c>
      <c r="W138" s="65">
        <f t="shared" si="170"/>
        <v>72.895307754004918</v>
      </c>
      <c r="X138" s="65">
        <f t="shared" ref="X138:Y138" si="171">IF(X108=0,0,X108/X$26)</f>
        <v>64.351724881603815</v>
      </c>
      <c r="Y138" s="65">
        <f t="shared" si="171"/>
        <v>63.297308424620773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5.1360426753818045</v>
      </c>
      <c r="C139" s="65">
        <f t="shared" ref="C139:W139" si="173">IF(C109=0,0,C109/C$26)</f>
        <v>5.1983717347291583</v>
      </c>
      <c r="D139" s="65">
        <f t="shared" si="173"/>
        <v>5.386235688661591</v>
      </c>
      <c r="E139" s="65">
        <f t="shared" si="173"/>
        <v>5.441799891146947</v>
      </c>
      <c r="F139" s="65">
        <f t="shared" si="173"/>
        <v>5.5868617653067574</v>
      </c>
      <c r="G139" s="65">
        <f t="shared" si="173"/>
        <v>5.7866151560683443</v>
      </c>
      <c r="H139" s="65">
        <f t="shared" si="173"/>
        <v>6.0647166538982864</v>
      </c>
      <c r="I139" s="65">
        <f t="shared" si="173"/>
        <v>6.4183477979363923</v>
      </c>
      <c r="J139" s="65">
        <f t="shared" si="173"/>
        <v>6.7147421426337859</v>
      </c>
      <c r="K139" s="65">
        <f t="shared" si="173"/>
        <v>6.9097239633678766</v>
      </c>
      <c r="L139" s="65">
        <f t="shared" si="173"/>
        <v>7.1353912305990708</v>
      </c>
      <c r="M139" s="65">
        <f t="shared" si="173"/>
        <v>7.3154131725143348</v>
      </c>
      <c r="N139" s="65">
        <f t="shared" si="173"/>
        <v>7.5535676174502733</v>
      </c>
      <c r="O139" s="65">
        <f t="shared" si="173"/>
        <v>7.850003051122477</v>
      </c>
      <c r="P139" s="65">
        <f t="shared" si="173"/>
        <v>8.1909037439264498</v>
      </c>
      <c r="Q139" s="65">
        <f t="shared" si="173"/>
        <v>8.3676311455165688</v>
      </c>
      <c r="R139" s="65">
        <f t="shared" si="173"/>
        <v>8.5919977962772673</v>
      </c>
      <c r="S139" s="65">
        <f t="shared" si="173"/>
        <v>8.8135285216324171</v>
      </c>
      <c r="T139" s="65">
        <f t="shared" si="173"/>
        <v>9.4077497098448557</v>
      </c>
      <c r="U139" s="65">
        <f t="shared" si="173"/>
        <v>9.3398574241390389</v>
      </c>
      <c r="V139" s="65">
        <f t="shared" si="173"/>
        <v>8.9754060344782154</v>
      </c>
      <c r="W139" s="65">
        <f t="shared" si="173"/>
        <v>9.1620598197604259</v>
      </c>
      <c r="X139" s="65">
        <f t="shared" ref="X139:Y139" si="174">IF(X109=0,0,X109/X$26)</f>
        <v>9.5535793844587182</v>
      </c>
      <c r="Y139" s="65">
        <f t="shared" si="174"/>
        <v>9.6137022049572227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10.591295827260399</v>
      </c>
      <c r="C140" s="65">
        <f t="shared" ref="C140:W140" si="176">IF(C110=0,0,C110/C$26)</f>
        <v>10.494428919281505</v>
      </c>
      <c r="D140" s="65">
        <f t="shared" si="176"/>
        <v>10.426954441110384</v>
      </c>
      <c r="E140" s="65">
        <f t="shared" si="176"/>
        <v>10.358464468527625</v>
      </c>
      <c r="F140" s="65">
        <f t="shared" si="176"/>
        <v>10.306719319450117</v>
      </c>
      <c r="G140" s="65">
        <f t="shared" si="176"/>
        <v>10.322420741176366</v>
      </c>
      <c r="H140" s="65">
        <f t="shared" si="176"/>
        <v>10.332263942404577</v>
      </c>
      <c r="I140" s="65">
        <f t="shared" si="176"/>
        <v>10.287079526554351</v>
      </c>
      <c r="J140" s="65">
        <f t="shared" si="176"/>
        <v>10.31859865488687</v>
      </c>
      <c r="K140" s="65">
        <f t="shared" si="176"/>
        <v>10.319124788290516</v>
      </c>
      <c r="L140" s="65">
        <f t="shared" si="176"/>
        <v>10.239712029339302</v>
      </c>
      <c r="M140" s="65">
        <f t="shared" si="176"/>
        <v>10.391400988413482</v>
      </c>
      <c r="N140" s="65">
        <f t="shared" si="176"/>
        <v>10.535122597050885</v>
      </c>
      <c r="O140" s="65">
        <f t="shared" si="176"/>
        <v>10.59927243563261</v>
      </c>
      <c r="P140" s="65">
        <f t="shared" si="176"/>
        <v>10.726058904797981</v>
      </c>
      <c r="Q140" s="65">
        <f t="shared" si="176"/>
        <v>10.767687913888221</v>
      </c>
      <c r="R140" s="65">
        <f t="shared" si="176"/>
        <v>10.808417705623921</v>
      </c>
      <c r="S140" s="65">
        <f t="shared" si="176"/>
        <v>10.921123555796926</v>
      </c>
      <c r="T140" s="65">
        <f t="shared" si="176"/>
        <v>10.792745768949926</v>
      </c>
      <c r="U140" s="65">
        <f t="shared" si="176"/>
        <v>10.611341938454212</v>
      </c>
      <c r="V140" s="65">
        <f t="shared" si="176"/>
        <v>9.1548335753638739</v>
      </c>
      <c r="W140" s="65">
        <f t="shared" si="176"/>
        <v>9.9451782997674734</v>
      </c>
      <c r="X140" s="65">
        <f t="shared" ref="X140:Y140" si="177">IF(X110=0,0,X110/X$26)</f>
        <v>10.357648111308968</v>
      </c>
      <c r="Y140" s="65">
        <f t="shared" si="177"/>
        <v>10.430854678970313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8.9476586203972399</v>
      </c>
      <c r="C141" s="68">
        <f t="shared" ref="C141:W141" si="179">IF(C111=0,0,C111/C$26)</f>
        <v>8.9689201944920818</v>
      </c>
      <c r="D141" s="68">
        <f t="shared" si="179"/>
        <v>9.0213342607199891</v>
      </c>
      <c r="E141" s="68">
        <f t="shared" si="179"/>
        <v>9.2491590341435508</v>
      </c>
      <c r="F141" s="68">
        <f t="shared" si="179"/>
        <v>9.3685714096586405</v>
      </c>
      <c r="G141" s="68">
        <f t="shared" si="179"/>
        <v>9.3747681428421625</v>
      </c>
      <c r="H141" s="68">
        <f t="shared" si="179"/>
        <v>9.4947302196691403</v>
      </c>
      <c r="I141" s="68">
        <f t="shared" si="179"/>
        <v>9.3919005162616838</v>
      </c>
      <c r="J141" s="68">
        <f t="shared" si="179"/>
        <v>9.4708026239215144</v>
      </c>
      <c r="K141" s="68">
        <f t="shared" si="179"/>
        <v>9.4834725161989084</v>
      </c>
      <c r="L141" s="68">
        <f t="shared" si="179"/>
        <v>9.4583568428790912</v>
      </c>
      <c r="M141" s="68">
        <f t="shared" si="179"/>
        <v>9.6615680354135662</v>
      </c>
      <c r="N141" s="68">
        <f t="shared" si="179"/>
        <v>9.7394103121030291</v>
      </c>
      <c r="O141" s="68">
        <f t="shared" si="179"/>
        <v>9.7300034474252932</v>
      </c>
      <c r="P141" s="68">
        <f t="shared" si="179"/>
        <v>9.6013536993648625</v>
      </c>
      <c r="Q141" s="68">
        <f t="shared" si="179"/>
        <v>9.5009740196101315</v>
      </c>
      <c r="R141" s="68">
        <f t="shared" si="179"/>
        <v>9.6432402503021155</v>
      </c>
      <c r="S141" s="68">
        <f t="shared" si="179"/>
        <v>9.7902320401522918</v>
      </c>
      <c r="T141" s="68">
        <f t="shared" si="179"/>
        <v>9.502234181208479</v>
      </c>
      <c r="U141" s="68">
        <f t="shared" si="179"/>
        <v>9.4205010767245181</v>
      </c>
      <c r="V141" s="68">
        <f t="shared" si="179"/>
        <v>7.7059887118033119</v>
      </c>
      <c r="W141" s="68">
        <f t="shared" si="179"/>
        <v>8.1809159978585235</v>
      </c>
      <c r="X141" s="68">
        <f t="shared" ref="X141:Y141" si="180">IF(X111=0,0,X111/X$26)</f>
        <v>8.0949341226460838</v>
      </c>
      <c r="Y141" s="68">
        <f t="shared" si="180"/>
        <v>6.7296874936997781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8.1643851984589855</v>
      </c>
      <c r="C143" s="82">
        <f t="shared" ref="C143:W143" si="182">IF(C113=0,0,C113/C$26)</f>
        <v>7.6693729943282012</v>
      </c>
      <c r="D143" s="82">
        <f t="shared" si="182"/>
        <v>7.5839520177474684</v>
      </c>
      <c r="E143" s="82">
        <f t="shared" si="182"/>
        <v>8.199161969999011</v>
      </c>
      <c r="F143" s="82">
        <f t="shared" si="182"/>
        <v>8.0096684426243918</v>
      </c>
      <c r="G143" s="82">
        <f t="shared" si="182"/>
        <v>7.7793827951624293</v>
      </c>
      <c r="H143" s="82">
        <f t="shared" si="182"/>
        <v>7.663486070576254</v>
      </c>
      <c r="I143" s="82">
        <f t="shared" si="182"/>
        <v>6.7656736840045655</v>
      </c>
      <c r="J143" s="82">
        <f t="shared" si="182"/>
        <v>6.5737084708956095</v>
      </c>
      <c r="K143" s="82">
        <f t="shared" si="182"/>
        <v>6.260614493599296</v>
      </c>
      <c r="L143" s="82">
        <f t="shared" si="182"/>
        <v>6.0463251742869373</v>
      </c>
      <c r="M143" s="82">
        <f t="shared" si="182"/>
        <v>4.8157147236097071</v>
      </c>
      <c r="N143" s="82">
        <f t="shared" si="182"/>
        <v>5.356607756478498</v>
      </c>
      <c r="O143" s="82">
        <f t="shared" si="182"/>
        <v>5.3808344876506133</v>
      </c>
      <c r="P143" s="82">
        <f t="shared" si="182"/>
        <v>4.2685712828045439</v>
      </c>
      <c r="Q143" s="82">
        <f t="shared" si="182"/>
        <v>5.0911362433951473</v>
      </c>
      <c r="R143" s="82">
        <f t="shared" si="182"/>
        <v>5.0927480649958916</v>
      </c>
      <c r="S143" s="82">
        <f t="shared" si="182"/>
        <v>5.1915040637343344</v>
      </c>
      <c r="T143" s="82">
        <f t="shared" si="182"/>
        <v>4.5368769994143667</v>
      </c>
      <c r="U143" s="82">
        <f t="shared" si="182"/>
        <v>4.0013241798694992</v>
      </c>
      <c r="V143" s="82">
        <f t="shared" si="182"/>
        <v>3.7282907824897071</v>
      </c>
      <c r="W143" s="82">
        <f t="shared" si="182"/>
        <v>4.364111522050516</v>
      </c>
      <c r="X143" s="82">
        <f t="shared" ref="X143:Y143" si="183">IF(X113=0,0,X113/X$26)</f>
        <v>3.4963857960019462</v>
      </c>
      <c r="Y143" s="82">
        <f t="shared" si="183"/>
        <v>3.1352461930643289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8.1643851984589855</v>
      </c>
      <c r="C144" s="64">
        <f t="shared" ref="C144:W144" si="185">IF(C114=0,0,C114/C$26)</f>
        <v>7.6693729943282012</v>
      </c>
      <c r="D144" s="64">
        <f t="shared" si="185"/>
        <v>7.5839520177474684</v>
      </c>
      <c r="E144" s="64">
        <f t="shared" si="185"/>
        <v>8.199161969999011</v>
      </c>
      <c r="F144" s="64">
        <f t="shared" si="185"/>
        <v>8.0096684426243918</v>
      </c>
      <c r="G144" s="64">
        <f t="shared" si="185"/>
        <v>7.7793827951624293</v>
      </c>
      <c r="H144" s="64">
        <f t="shared" si="185"/>
        <v>7.663486070576254</v>
      </c>
      <c r="I144" s="64">
        <f t="shared" si="185"/>
        <v>6.7656736840045655</v>
      </c>
      <c r="J144" s="64">
        <f t="shared" si="185"/>
        <v>6.5737084708956095</v>
      </c>
      <c r="K144" s="64">
        <f t="shared" si="185"/>
        <v>6.260614493599296</v>
      </c>
      <c r="L144" s="64">
        <f t="shared" si="185"/>
        <v>6.0463251742869373</v>
      </c>
      <c r="M144" s="64">
        <f t="shared" si="185"/>
        <v>4.8157147236097071</v>
      </c>
      <c r="N144" s="64">
        <f t="shared" si="185"/>
        <v>5.356607756478498</v>
      </c>
      <c r="O144" s="64">
        <f t="shared" si="185"/>
        <v>5.3808344876506133</v>
      </c>
      <c r="P144" s="64">
        <f t="shared" si="185"/>
        <v>4.2685712828045439</v>
      </c>
      <c r="Q144" s="64">
        <f t="shared" si="185"/>
        <v>5.0911362433951473</v>
      </c>
      <c r="R144" s="64">
        <f t="shared" si="185"/>
        <v>5.0927480649958916</v>
      </c>
      <c r="S144" s="64">
        <f t="shared" si="185"/>
        <v>5.1915040637343344</v>
      </c>
      <c r="T144" s="64">
        <f t="shared" si="185"/>
        <v>4.5368769994143667</v>
      </c>
      <c r="U144" s="64">
        <f t="shared" si="185"/>
        <v>4.0013241798694992</v>
      </c>
      <c r="V144" s="64">
        <f t="shared" si="185"/>
        <v>3.7282907824897071</v>
      </c>
      <c r="W144" s="64">
        <f t="shared" si="185"/>
        <v>4.364111522050516</v>
      </c>
      <c r="X144" s="64">
        <f t="shared" ref="X144:Y144" si="186">IF(X114=0,0,X114/X$26)</f>
        <v>3.4963857960019462</v>
      </c>
      <c r="Y144" s="64">
        <f t="shared" si="186"/>
        <v>3.1352461930643289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6.8301557254905436</v>
      </c>
      <c r="C145" s="65">
        <f t="shared" ref="C145:W145" si="188">IF(C115=0,0,C115/C$26)</f>
        <v>6.3763095780775751</v>
      </c>
      <c r="D145" s="65">
        <f t="shared" si="188"/>
        <v>6.3007142464583552</v>
      </c>
      <c r="E145" s="65">
        <f t="shared" si="188"/>
        <v>6.8285387643249225</v>
      </c>
      <c r="F145" s="65">
        <f t="shared" si="188"/>
        <v>6.6416799971598532</v>
      </c>
      <c r="G145" s="65">
        <f t="shared" si="188"/>
        <v>6.3351489207655431</v>
      </c>
      <c r="H145" s="65">
        <f t="shared" si="188"/>
        <v>6.2394086161021551</v>
      </c>
      <c r="I145" s="65">
        <f t="shared" si="188"/>
        <v>5.397941866521097</v>
      </c>
      <c r="J145" s="65">
        <f t="shared" si="188"/>
        <v>5.2184135065698021</v>
      </c>
      <c r="K145" s="65">
        <f t="shared" si="188"/>
        <v>4.9222402632841042</v>
      </c>
      <c r="L145" s="65">
        <f t="shared" si="188"/>
        <v>4.7069128362150678</v>
      </c>
      <c r="M145" s="65">
        <f t="shared" si="188"/>
        <v>3.6040435817770531</v>
      </c>
      <c r="N145" s="65">
        <f t="shared" si="188"/>
        <v>4.1794960055746726</v>
      </c>
      <c r="O145" s="65">
        <f t="shared" si="188"/>
        <v>4.2091765741031422</v>
      </c>
      <c r="P145" s="65">
        <f t="shared" si="188"/>
        <v>3.2107722280085342</v>
      </c>
      <c r="Q145" s="65">
        <f t="shared" si="188"/>
        <v>3.8366893811966163</v>
      </c>
      <c r="R145" s="65">
        <f t="shared" si="188"/>
        <v>3.8743578726787709</v>
      </c>
      <c r="S145" s="65">
        <f t="shared" si="188"/>
        <v>4.0320149044075686</v>
      </c>
      <c r="T145" s="65">
        <f t="shared" si="188"/>
        <v>3.372530786147192</v>
      </c>
      <c r="U145" s="65">
        <f t="shared" si="188"/>
        <v>2.8671464074054711</v>
      </c>
      <c r="V145" s="65">
        <f t="shared" si="188"/>
        <v>2.9875337584613071</v>
      </c>
      <c r="W145" s="65">
        <f t="shared" si="188"/>
        <v>3.5022995719426024</v>
      </c>
      <c r="X145" s="65">
        <f t="shared" ref="X145:Y145" si="189">IF(X115=0,0,X115/X$26)</f>
        <v>2.7366589191649808</v>
      </c>
      <c r="Y145" s="65">
        <f t="shared" si="189"/>
        <v>2.3226982933958924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6.5866393228838536E-4</v>
      </c>
      <c r="C146" s="65">
        <f t="shared" ref="C146:W146" si="191">IF(C116=0,0,C116/C$26)</f>
        <v>6.7488724864973263E-4</v>
      </c>
      <c r="D146" s="65">
        <f t="shared" si="191"/>
        <v>7.1746966247112503E-4</v>
      </c>
      <c r="E146" s="65">
        <f t="shared" si="191"/>
        <v>7.3347851487812318E-4</v>
      </c>
      <c r="F146" s="65">
        <f t="shared" si="191"/>
        <v>7.7897294940550122E-4</v>
      </c>
      <c r="G146" s="65">
        <f t="shared" si="191"/>
        <v>8.4407669974800837E-4</v>
      </c>
      <c r="H146" s="65">
        <f t="shared" si="191"/>
        <v>8.8279362800446385E-4</v>
      </c>
      <c r="I146" s="65">
        <f t="shared" si="191"/>
        <v>9.183401194345133E-4</v>
      </c>
      <c r="J146" s="65">
        <f t="shared" si="191"/>
        <v>9.5427599471400548E-4</v>
      </c>
      <c r="K146" s="65">
        <f t="shared" si="191"/>
        <v>9.6931521687069176E-4</v>
      </c>
      <c r="L146" s="65">
        <f t="shared" si="191"/>
        <v>1.0182615219188863E-3</v>
      </c>
      <c r="M146" s="65">
        <f t="shared" si="191"/>
        <v>1.1013184023115064E-3</v>
      </c>
      <c r="N146" s="65">
        <f t="shared" si="191"/>
        <v>1.2549893427574879E-3</v>
      </c>
      <c r="O146" s="65">
        <f t="shared" si="191"/>
        <v>1.513860437628877E-3</v>
      </c>
      <c r="P146" s="65">
        <f t="shared" si="191"/>
        <v>1.9986900066944016E-3</v>
      </c>
      <c r="Q146" s="65">
        <f t="shared" si="191"/>
        <v>2.7540794656868962E-3</v>
      </c>
      <c r="R146" s="65">
        <f t="shared" si="191"/>
        <v>3.3187218341524001E-3</v>
      </c>
      <c r="S146" s="65">
        <f t="shared" si="191"/>
        <v>3.9009929884456979E-3</v>
      </c>
      <c r="T146" s="65">
        <f t="shared" si="191"/>
        <v>4.3200315133517138E-3</v>
      </c>
      <c r="U146" s="65">
        <f t="shared" si="191"/>
        <v>4.578812463927366E-3</v>
      </c>
      <c r="V146" s="65">
        <f t="shared" si="191"/>
        <v>4.134704294802647E-3</v>
      </c>
      <c r="W146" s="65">
        <f t="shared" si="191"/>
        <v>4.0044147564292764E-3</v>
      </c>
      <c r="X146" s="65">
        <f t="shared" ref="X146:Y146" si="192">IF(X116=0,0,X116/X$26)</f>
        <v>3.5361065200718582E-3</v>
      </c>
      <c r="Y146" s="65">
        <f t="shared" si="192"/>
        <v>3.4011307760562896E-3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0.72395532705306043</v>
      </c>
      <c r="C147" s="65">
        <f t="shared" ref="C147:W147" si="194">IF(C117=0,0,C117/C$26)</f>
        <v>0.69480823842388628</v>
      </c>
      <c r="D147" s="65">
        <f t="shared" si="194"/>
        <v>0.69291847801057371</v>
      </c>
      <c r="E147" s="65">
        <f t="shared" si="194"/>
        <v>0.74114616919029908</v>
      </c>
      <c r="F147" s="65">
        <f t="shared" si="194"/>
        <v>0.7235123264568819</v>
      </c>
      <c r="G147" s="65">
        <f t="shared" si="194"/>
        <v>0.73829590699253456</v>
      </c>
      <c r="H147" s="65">
        <f t="shared" si="194"/>
        <v>0.71693155919843377</v>
      </c>
      <c r="I147" s="65">
        <f t="shared" si="194"/>
        <v>0.66742535086291721</v>
      </c>
      <c r="J147" s="65">
        <f t="shared" si="194"/>
        <v>0.65791205681077725</v>
      </c>
      <c r="K147" s="65">
        <f t="shared" si="194"/>
        <v>0.63846372361067583</v>
      </c>
      <c r="L147" s="65">
        <f t="shared" si="194"/>
        <v>0.61173357025751451</v>
      </c>
      <c r="M147" s="65">
        <f t="shared" si="194"/>
        <v>0.52101063703432726</v>
      </c>
      <c r="N147" s="65">
        <f t="shared" si="194"/>
        <v>0.51647110580758693</v>
      </c>
      <c r="O147" s="65">
        <f t="shared" si="194"/>
        <v>0.50490973421413743</v>
      </c>
      <c r="P147" s="65">
        <f t="shared" si="194"/>
        <v>0.47204642373902339</v>
      </c>
      <c r="Q147" s="65">
        <f t="shared" si="194"/>
        <v>0.50486610216246541</v>
      </c>
      <c r="R147" s="65">
        <f t="shared" si="194"/>
        <v>0.49387230721895775</v>
      </c>
      <c r="S147" s="65">
        <f t="shared" si="194"/>
        <v>0.48631948110848655</v>
      </c>
      <c r="T147" s="65">
        <f t="shared" si="194"/>
        <v>0.46062782660618229</v>
      </c>
      <c r="U147" s="65">
        <f t="shared" si="194"/>
        <v>0.39287865871611866</v>
      </c>
      <c r="V147" s="65">
        <f t="shared" si="194"/>
        <v>0.26979352880545843</v>
      </c>
      <c r="W147" s="65">
        <f t="shared" si="194"/>
        <v>0.28746043170238328</v>
      </c>
      <c r="X147" s="65">
        <f t="shared" ref="X147:Y147" si="195">IF(X117=0,0,X117/X$26)</f>
        <v>0.2267663056824348</v>
      </c>
      <c r="Y147" s="65">
        <f t="shared" si="195"/>
        <v>0.19853237748010436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0.6096154819830929</v>
      </c>
      <c r="C148" s="67">
        <f t="shared" ref="C148:W148" si="197">IF(C118=0,0,C118/C$26)</f>
        <v>0.59758029057808981</v>
      </c>
      <c r="D148" s="67">
        <f t="shared" si="197"/>
        <v>0.58960182361606939</v>
      </c>
      <c r="E148" s="67">
        <f t="shared" si="197"/>
        <v>0.62874355796891168</v>
      </c>
      <c r="F148" s="67">
        <f t="shared" si="197"/>
        <v>0.64369714605825312</v>
      </c>
      <c r="G148" s="67">
        <f t="shared" si="197"/>
        <v>0.70509389070460193</v>
      </c>
      <c r="H148" s="67">
        <f t="shared" si="197"/>
        <v>0.70626310164766215</v>
      </c>
      <c r="I148" s="67">
        <f t="shared" si="197"/>
        <v>0.69938812650111803</v>
      </c>
      <c r="J148" s="67">
        <f t="shared" si="197"/>
        <v>0.69642863152031453</v>
      </c>
      <c r="K148" s="67">
        <f t="shared" si="197"/>
        <v>0.69894119148764444</v>
      </c>
      <c r="L148" s="67">
        <f t="shared" si="197"/>
        <v>0.72666050629243661</v>
      </c>
      <c r="M148" s="67">
        <f t="shared" si="197"/>
        <v>0.68955918639601654</v>
      </c>
      <c r="N148" s="67">
        <f t="shared" si="197"/>
        <v>0.65938565575348151</v>
      </c>
      <c r="O148" s="67">
        <f t="shared" si="197"/>
        <v>0.66523431889570472</v>
      </c>
      <c r="P148" s="67">
        <f t="shared" si="197"/>
        <v>0.58375394105029055</v>
      </c>
      <c r="Q148" s="67">
        <f t="shared" si="197"/>
        <v>0.74682668057037693</v>
      </c>
      <c r="R148" s="67">
        <f t="shared" si="197"/>
        <v>0.72119916326401123</v>
      </c>
      <c r="S148" s="67">
        <f t="shared" si="197"/>
        <v>0.66926868522983407</v>
      </c>
      <c r="T148" s="67">
        <f t="shared" si="197"/>
        <v>0.69939835514764082</v>
      </c>
      <c r="U148" s="67">
        <f t="shared" si="197"/>
        <v>0.73672030128398236</v>
      </c>
      <c r="V148" s="67">
        <f t="shared" si="197"/>
        <v>0.46682879092813856</v>
      </c>
      <c r="W148" s="67">
        <f t="shared" si="197"/>
        <v>0.57034710364910102</v>
      </c>
      <c r="X148" s="67">
        <f t="shared" ref="X148:Y148" si="198">IF(X118=0,0,X118/X$26)</f>
        <v>0.52942446463445891</v>
      </c>
      <c r="Y148" s="67">
        <f t="shared" si="198"/>
        <v>0.61061439141227569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10380.358473244285</v>
      </c>
      <c r="C153" s="82">
        <f t="shared" ref="C153:W153" si="203">IF(C99=0,0,C99/C$23)</f>
        <v>10578.464929954722</v>
      </c>
      <c r="D153" s="82">
        <f t="shared" si="203"/>
        <v>10622.45926637111</v>
      </c>
      <c r="E153" s="82">
        <f t="shared" si="203"/>
        <v>10959.318885740819</v>
      </c>
      <c r="F153" s="82">
        <f t="shared" si="203"/>
        <v>11008.437043062069</v>
      </c>
      <c r="G153" s="82">
        <f t="shared" si="203"/>
        <v>10831.670202783593</v>
      </c>
      <c r="H153" s="82">
        <f t="shared" si="203"/>
        <v>10748.709630846142</v>
      </c>
      <c r="I153" s="82">
        <f t="shared" si="203"/>
        <v>10354.545534737659</v>
      </c>
      <c r="J153" s="82">
        <f t="shared" si="203"/>
        <v>10245.298138724356</v>
      </c>
      <c r="K153" s="82">
        <f t="shared" si="203"/>
        <v>10258.90814131299</v>
      </c>
      <c r="L153" s="82">
        <f t="shared" si="203"/>
        <v>11035.457306144337</v>
      </c>
      <c r="M153" s="82">
        <f t="shared" si="203"/>
        <v>10097.002200359399</v>
      </c>
      <c r="N153" s="82">
        <f t="shared" si="203"/>
        <v>10302.710376076548</v>
      </c>
      <c r="O153" s="82">
        <f t="shared" si="203"/>
        <v>10184.531438365071</v>
      </c>
      <c r="P153" s="82">
        <f t="shared" si="203"/>
        <v>9503.845501829428</v>
      </c>
      <c r="Q153" s="82">
        <f t="shared" si="203"/>
        <v>9777.8067933215407</v>
      </c>
      <c r="R153" s="82">
        <f t="shared" si="203"/>
        <v>9878.6839931683062</v>
      </c>
      <c r="S153" s="82">
        <f t="shared" si="203"/>
        <v>9967.3415986619693</v>
      </c>
      <c r="T153" s="82">
        <f t="shared" si="203"/>
        <v>9508.3026431295948</v>
      </c>
      <c r="U153" s="82">
        <f t="shared" si="203"/>
        <v>9078.3223623822105</v>
      </c>
      <c r="V153" s="82">
        <f t="shared" si="203"/>
        <v>8690.5194624246415</v>
      </c>
      <c r="W153" s="82">
        <f t="shared" si="203"/>
        <v>9437.402433902238</v>
      </c>
      <c r="X153" s="82">
        <f t="shared" ref="X153:Y153" si="204">IF(X99=0,0,X99/X$23)</f>
        <v>8470.704713165509</v>
      </c>
      <c r="Y153" s="82">
        <f t="shared" si="204"/>
        <v>8254.3300037929748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7926.6281148201524</v>
      </c>
      <c r="C154" s="64">
        <f t="shared" ref="C154:W154" si="206">IF(C100=0,0,C100/C$23)</f>
        <v>8083.285508468618</v>
      </c>
      <c r="D154" s="64">
        <f t="shared" si="206"/>
        <v>8067.8520077464354</v>
      </c>
      <c r="E154" s="64">
        <f t="shared" si="206"/>
        <v>8323.1786467284237</v>
      </c>
      <c r="F154" s="64">
        <f t="shared" si="206"/>
        <v>8304.2998504175994</v>
      </c>
      <c r="G154" s="64">
        <f t="shared" si="206"/>
        <v>8106.7099206382718</v>
      </c>
      <c r="H154" s="64">
        <f t="shared" si="206"/>
        <v>8036.7268888110166</v>
      </c>
      <c r="I154" s="64">
        <f t="shared" si="206"/>
        <v>7639.0748730568657</v>
      </c>
      <c r="J154" s="64">
        <f t="shared" si="206"/>
        <v>7524.8213532336649</v>
      </c>
      <c r="K154" s="64">
        <f t="shared" si="206"/>
        <v>7456.0303651712857</v>
      </c>
      <c r="L154" s="64">
        <f t="shared" si="206"/>
        <v>8154.5089307267481</v>
      </c>
      <c r="M154" s="64">
        <f t="shared" si="206"/>
        <v>7196.0784624549733</v>
      </c>
      <c r="N154" s="64">
        <f t="shared" si="206"/>
        <v>7337.1934148082873</v>
      </c>
      <c r="O154" s="64">
        <f t="shared" si="206"/>
        <v>7169.2566343782873</v>
      </c>
      <c r="P154" s="64">
        <f t="shared" si="206"/>
        <v>6439.1304592002689</v>
      </c>
      <c r="Q154" s="64">
        <f t="shared" si="206"/>
        <v>6677.5142188221562</v>
      </c>
      <c r="R154" s="64">
        <f t="shared" si="206"/>
        <v>6807.6111414678289</v>
      </c>
      <c r="S154" s="64">
        <f t="shared" si="206"/>
        <v>6862.8485725967166</v>
      </c>
      <c r="T154" s="64">
        <f t="shared" si="206"/>
        <v>6444.9916597212778</v>
      </c>
      <c r="U154" s="64">
        <f t="shared" si="206"/>
        <v>6065.0852414105921</v>
      </c>
      <c r="V154" s="64">
        <f t="shared" si="206"/>
        <v>5750.1165496260119</v>
      </c>
      <c r="W154" s="64">
        <f t="shared" si="206"/>
        <v>6468.3521928661703</v>
      </c>
      <c r="X154" s="64">
        <f t="shared" ref="X154:Y154" si="207">IF(X100=0,0,X100/X$23)</f>
        <v>5608.8196151929897</v>
      </c>
      <c r="Y154" s="64">
        <f t="shared" si="207"/>
        <v>5351.8929443241877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6327.849466063516</v>
      </c>
      <c r="C155" s="65">
        <f t="shared" ref="C155:W155" si="209">IF(C101=0,0,C101/C$23)</f>
        <v>6489.5185701582741</v>
      </c>
      <c r="D155" s="65">
        <f t="shared" si="209"/>
        <v>6453.6015262563251</v>
      </c>
      <c r="E155" s="65">
        <f t="shared" si="209"/>
        <v>6664.1852330679885</v>
      </c>
      <c r="F155" s="65">
        <f t="shared" si="209"/>
        <v>6618.3940209741186</v>
      </c>
      <c r="G155" s="65">
        <f t="shared" si="209"/>
        <v>6417.8981796879716</v>
      </c>
      <c r="H155" s="65">
        <f t="shared" si="209"/>
        <v>6352.5894389248215</v>
      </c>
      <c r="I155" s="65">
        <f t="shared" si="209"/>
        <v>5967.9368571486366</v>
      </c>
      <c r="J155" s="65">
        <f t="shared" si="209"/>
        <v>5859.9721345528387</v>
      </c>
      <c r="K155" s="65">
        <f t="shared" si="209"/>
        <v>5748.214848603845</v>
      </c>
      <c r="L155" s="65">
        <f t="shared" si="209"/>
        <v>6413.9550562284467</v>
      </c>
      <c r="M155" s="65">
        <f t="shared" si="209"/>
        <v>5430.9816350993588</v>
      </c>
      <c r="N155" s="65">
        <f t="shared" si="209"/>
        <v>5551.0590214574222</v>
      </c>
      <c r="O155" s="65">
        <f t="shared" si="209"/>
        <v>5388.9082033943005</v>
      </c>
      <c r="P155" s="65">
        <f t="shared" si="209"/>
        <v>4676.0828736150979</v>
      </c>
      <c r="Q155" s="65">
        <f t="shared" si="209"/>
        <v>4931.4897390269762</v>
      </c>
      <c r="R155" s="65">
        <f t="shared" si="209"/>
        <v>5074.8715463825047</v>
      </c>
      <c r="S155" s="65">
        <f t="shared" si="209"/>
        <v>5138.6315772162379</v>
      </c>
      <c r="T155" s="65">
        <f t="shared" si="209"/>
        <v>4779.4205249991728</v>
      </c>
      <c r="U155" s="65">
        <f t="shared" si="209"/>
        <v>4449.8827681768553</v>
      </c>
      <c r="V155" s="65">
        <f t="shared" si="209"/>
        <v>4383.9290545732447</v>
      </c>
      <c r="W155" s="65">
        <f t="shared" si="209"/>
        <v>5033.8120934029912</v>
      </c>
      <c r="X155" s="65">
        <f t="shared" ref="X155:Y155" si="210">IF(X101=0,0,X101/X$23)</f>
        <v>4211.9243863309412</v>
      </c>
      <c r="Y155" s="65">
        <f t="shared" si="210"/>
        <v>4054.458550421878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127.07969427308724</v>
      </c>
      <c r="C156" s="65">
        <f t="shared" ref="C156:W156" si="212">IF(C102=0,0,C102/C$23)</f>
        <v>124.19253236467222</v>
      </c>
      <c r="D156" s="65">
        <f t="shared" si="212"/>
        <v>124.0942063387712</v>
      </c>
      <c r="E156" s="65">
        <f t="shared" si="212"/>
        <v>122.02897422800005</v>
      </c>
      <c r="F156" s="65">
        <f t="shared" si="212"/>
        <v>120.23361047087717</v>
      </c>
      <c r="G156" s="65">
        <f t="shared" si="212"/>
        <v>117.02649106990671</v>
      </c>
      <c r="H156" s="65">
        <f t="shared" si="212"/>
        <v>113.63870162016953</v>
      </c>
      <c r="I156" s="65">
        <f t="shared" si="212"/>
        <v>111.75795714424508</v>
      </c>
      <c r="J156" s="65">
        <f t="shared" si="212"/>
        <v>107.5523758018537</v>
      </c>
      <c r="K156" s="65">
        <f t="shared" si="212"/>
        <v>111.76840505580276</v>
      </c>
      <c r="L156" s="65">
        <f t="shared" si="212"/>
        <v>115.44073755823288</v>
      </c>
      <c r="M156" s="65">
        <f t="shared" si="212"/>
        <v>114.39915907016903</v>
      </c>
      <c r="N156" s="65">
        <f t="shared" si="212"/>
        <v>114.21996081716794</v>
      </c>
      <c r="O156" s="65">
        <f t="shared" si="212"/>
        <v>113.7646508008275</v>
      </c>
      <c r="P156" s="65">
        <f t="shared" si="212"/>
        <v>113.43568078268972</v>
      </c>
      <c r="Q156" s="65">
        <f t="shared" si="212"/>
        <v>110.25707293174437</v>
      </c>
      <c r="R156" s="65">
        <f t="shared" si="212"/>
        <v>107.47756933037483</v>
      </c>
      <c r="S156" s="65">
        <f t="shared" si="212"/>
        <v>105.30628106143533</v>
      </c>
      <c r="T156" s="65">
        <f t="shared" si="212"/>
        <v>107.68030708609885</v>
      </c>
      <c r="U156" s="65">
        <f t="shared" si="212"/>
        <v>103.32938577646897</v>
      </c>
      <c r="V156" s="65">
        <f t="shared" si="212"/>
        <v>98.847640090243289</v>
      </c>
      <c r="W156" s="65">
        <f t="shared" si="212"/>
        <v>97.137629175127969</v>
      </c>
      <c r="X156" s="65">
        <f t="shared" ref="X156:Y156" si="213">IF(X102=0,0,X102/X$23)</f>
        <v>96.24403907765452</v>
      </c>
      <c r="Y156" s="65">
        <f t="shared" si="213"/>
        <v>95.136443460018853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790.10900659294725</v>
      </c>
      <c r="C157" s="65">
        <f t="shared" ref="C157:W157" si="215">IF(C103=0,0,C103/C$23)</f>
        <v>782.51835245076541</v>
      </c>
      <c r="D157" s="65">
        <f t="shared" si="215"/>
        <v>788.38312698475215</v>
      </c>
      <c r="E157" s="65">
        <f t="shared" si="215"/>
        <v>800.50768996105</v>
      </c>
      <c r="F157" s="65">
        <f t="shared" si="215"/>
        <v>807.00414882944688</v>
      </c>
      <c r="G157" s="65">
        <f t="shared" si="215"/>
        <v>807.72849023383651</v>
      </c>
      <c r="H157" s="65">
        <f t="shared" si="215"/>
        <v>801.83191320870742</v>
      </c>
      <c r="I157" s="65">
        <f t="shared" si="215"/>
        <v>796.26979584484786</v>
      </c>
      <c r="J157" s="65">
        <f t="shared" si="215"/>
        <v>791.42820404927772</v>
      </c>
      <c r="K157" s="65">
        <f t="shared" si="215"/>
        <v>807.38489826830119</v>
      </c>
      <c r="L157" s="65">
        <f t="shared" si="215"/>
        <v>814.43550483382035</v>
      </c>
      <c r="M157" s="65">
        <f t="shared" si="215"/>
        <v>821.55712544657615</v>
      </c>
      <c r="N157" s="65">
        <f t="shared" si="215"/>
        <v>833.00963905552339</v>
      </c>
      <c r="O157" s="65">
        <f t="shared" si="215"/>
        <v>829.54432854828372</v>
      </c>
      <c r="P157" s="65">
        <f t="shared" si="215"/>
        <v>831.85606044905967</v>
      </c>
      <c r="Q157" s="65">
        <f t="shared" si="215"/>
        <v>823.90104411914569</v>
      </c>
      <c r="R157" s="65">
        <f t="shared" si="215"/>
        <v>813.38167843326119</v>
      </c>
      <c r="S157" s="65">
        <f t="shared" si="215"/>
        <v>808.86470485833365</v>
      </c>
      <c r="T157" s="65">
        <f t="shared" si="215"/>
        <v>780.27573491547537</v>
      </c>
      <c r="U157" s="65">
        <f t="shared" si="215"/>
        <v>749.85502926120978</v>
      </c>
      <c r="V157" s="65">
        <f t="shared" si="215"/>
        <v>648.39811979422632</v>
      </c>
      <c r="W157" s="65">
        <f t="shared" si="215"/>
        <v>687.69655711430119</v>
      </c>
      <c r="X157" s="65">
        <f t="shared" ref="X157:Y157" si="216">IF(X103=0,0,X103/X$23)</f>
        <v>682.20803275729702</v>
      </c>
      <c r="Y157" s="65">
        <f t="shared" si="216"/>
        <v>672.33678297157769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681.58994789060318</v>
      </c>
      <c r="C158" s="67">
        <f t="shared" ref="C158:W158" si="218">IF(C104=0,0,C104/C$23)</f>
        <v>687.05605349490384</v>
      </c>
      <c r="D158" s="67">
        <f t="shared" si="218"/>
        <v>701.77314816658577</v>
      </c>
      <c r="E158" s="67">
        <f t="shared" si="218"/>
        <v>736.45674947138696</v>
      </c>
      <c r="F158" s="67">
        <f t="shared" si="218"/>
        <v>758.66807014315418</v>
      </c>
      <c r="G158" s="67">
        <f t="shared" si="218"/>
        <v>764.05675964655734</v>
      </c>
      <c r="H158" s="67">
        <f t="shared" si="218"/>
        <v>768.66683505731828</v>
      </c>
      <c r="I158" s="67">
        <f t="shared" si="218"/>
        <v>763.11026291913583</v>
      </c>
      <c r="J158" s="67">
        <f t="shared" si="218"/>
        <v>765.86863882969453</v>
      </c>
      <c r="K158" s="67">
        <f t="shared" si="218"/>
        <v>788.66221324333719</v>
      </c>
      <c r="L158" s="67">
        <f t="shared" si="218"/>
        <v>810.67763210624912</v>
      </c>
      <c r="M158" s="67">
        <f t="shared" si="218"/>
        <v>829.14054283886981</v>
      </c>
      <c r="N158" s="67">
        <f t="shared" si="218"/>
        <v>838.90479347817427</v>
      </c>
      <c r="O158" s="67">
        <f t="shared" si="218"/>
        <v>837.03945163487424</v>
      </c>
      <c r="P158" s="67">
        <f t="shared" si="218"/>
        <v>817.75584435342239</v>
      </c>
      <c r="Q158" s="67">
        <f t="shared" si="218"/>
        <v>811.86636274429111</v>
      </c>
      <c r="R158" s="67">
        <f t="shared" si="218"/>
        <v>811.88034732169012</v>
      </c>
      <c r="S158" s="67">
        <f t="shared" si="218"/>
        <v>810.0460094607098</v>
      </c>
      <c r="T158" s="67">
        <f t="shared" si="218"/>
        <v>777.61509272053081</v>
      </c>
      <c r="U158" s="67">
        <f t="shared" si="218"/>
        <v>762.01805819605863</v>
      </c>
      <c r="V158" s="67">
        <f t="shared" si="218"/>
        <v>618.94173516829767</v>
      </c>
      <c r="W158" s="67">
        <f t="shared" si="218"/>
        <v>649.70591317374988</v>
      </c>
      <c r="X158" s="67">
        <f t="shared" ref="X158:Y158" si="219">IF(X104=0,0,X104/X$23)</f>
        <v>618.44315702709696</v>
      </c>
      <c r="Y158" s="67">
        <f t="shared" si="219"/>
        <v>529.96116747071358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2453.7303584241313</v>
      </c>
      <c r="C159" s="68">
        <f t="shared" ref="C159:W159" si="221">IF(C105=0,0,C105/C$23)</f>
        <v>2495.1794214861052</v>
      </c>
      <c r="D159" s="68">
        <f t="shared" si="221"/>
        <v>2554.6072586246751</v>
      </c>
      <c r="E159" s="68">
        <f t="shared" si="221"/>
        <v>2636.1402390123935</v>
      </c>
      <c r="F159" s="68">
        <f t="shared" si="221"/>
        <v>2704.1371926444708</v>
      </c>
      <c r="G159" s="68">
        <f t="shared" si="221"/>
        <v>2724.9602821453204</v>
      </c>
      <c r="H159" s="68">
        <f t="shared" si="221"/>
        <v>2711.9827420351248</v>
      </c>
      <c r="I159" s="68">
        <f t="shared" si="221"/>
        <v>2715.470661680793</v>
      </c>
      <c r="J159" s="68">
        <f t="shared" si="221"/>
        <v>2720.4767854906918</v>
      </c>
      <c r="K159" s="68">
        <f t="shared" si="221"/>
        <v>2802.8777761417036</v>
      </c>
      <c r="L159" s="68">
        <f t="shared" si="221"/>
        <v>2880.9483754175894</v>
      </c>
      <c r="M159" s="68">
        <f t="shared" si="221"/>
        <v>2900.9237379044253</v>
      </c>
      <c r="N159" s="68">
        <f t="shared" si="221"/>
        <v>2965.5169612682598</v>
      </c>
      <c r="O159" s="68">
        <f t="shared" si="221"/>
        <v>3015.2748039867829</v>
      </c>
      <c r="P159" s="68">
        <f t="shared" si="221"/>
        <v>3064.7150426291564</v>
      </c>
      <c r="Q159" s="68">
        <f t="shared" si="221"/>
        <v>3100.2925744993831</v>
      </c>
      <c r="R159" s="68">
        <f t="shared" si="221"/>
        <v>3071.0728517004759</v>
      </c>
      <c r="S159" s="68">
        <f t="shared" si="221"/>
        <v>3104.4930260652527</v>
      </c>
      <c r="T159" s="68">
        <f t="shared" si="221"/>
        <v>3063.310983408317</v>
      </c>
      <c r="U159" s="68">
        <f t="shared" si="221"/>
        <v>3013.237120971618</v>
      </c>
      <c r="V159" s="68">
        <f t="shared" si="221"/>
        <v>2940.4029127986291</v>
      </c>
      <c r="W159" s="68">
        <f t="shared" si="221"/>
        <v>2969.0502410360691</v>
      </c>
      <c r="X159" s="68">
        <f t="shared" ref="X159:Y159" si="222">IF(X105=0,0,X105/X$23)</f>
        <v>2861.8850979725198</v>
      </c>
      <c r="Y159" s="68">
        <f t="shared" si="222"/>
        <v>2902.4370594687884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5616.5076788281767</v>
      </c>
      <c r="C161" s="85">
        <f t="shared" ref="C161:W161" si="224">IF(C107=0,0,C107/C$23)</f>
        <v>5807.4159175076875</v>
      </c>
      <c r="D161" s="85">
        <f t="shared" si="224"/>
        <v>5826.4319399273199</v>
      </c>
      <c r="E161" s="85">
        <f t="shared" si="224"/>
        <v>6023.2979958327969</v>
      </c>
      <c r="F161" s="85">
        <f t="shared" si="224"/>
        <v>6058.380843632719</v>
      </c>
      <c r="G161" s="85">
        <f t="shared" si="224"/>
        <v>5959.7213559508627</v>
      </c>
      <c r="H161" s="85">
        <f t="shared" si="224"/>
        <v>5949.4472468302638</v>
      </c>
      <c r="I161" s="85">
        <f t="shared" si="224"/>
        <v>5793.1240540945173</v>
      </c>
      <c r="J161" s="85">
        <f t="shared" si="224"/>
        <v>5777.1130890010463</v>
      </c>
      <c r="K161" s="85">
        <f t="shared" si="224"/>
        <v>5804.3769612622282</v>
      </c>
      <c r="L161" s="85">
        <f t="shared" si="224"/>
        <v>6437.6834701785574</v>
      </c>
      <c r="M161" s="85">
        <f t="shared" si="224"/>
        <v>5800.5437266306399</v>
      </c>
      <c r="N161" s="85">
        <f t="shared" si="224"/>
        <v>5952.4832291716002</v>
      </c>
      <c r="O161" s="85">
        <f t="shared" si="224"/>
        <v>5887.2899360952906</v>
      </c>
      <c r="P161" s="85">
        <f t="shared" si="224"/>
        <v>5403.1135908736887</v>
      </c>
      <c r="Q161" s="85">
        <f t="shared" si="224"/>
        <v>5614.6325031858178</v>
      </c>
      <c r="R161" s="85">
        <f t="shared" si="224"/>
        <v>5764.0371084499156</v>
      </c>
      <c r="S161" s="85">
        <f t="shared" si="224"/>
        <v>5859.2784612877867</v>
      </c>
      <c r="T161" s="85">
        <f t="shared" si="224"/>
        <v>5636.2187221874101</v>
      </c>
      <c r="U161" s="85">
        <f t="shared" si="224"/>
        <v>5412.0345351499545</v>
      </c>
      <c r="V161" s="85">
        <f t="shared" si="224"/>
        <v>5230.673111093226</v>
      </c>
      <c r="W161" s="85">
        <f t="shared" si="224"/>
        <v>5861.102574943955</v>
      </c>
      <c r="X161" s="85">
        <f t="shared" ref="X161:Y161" si="225">IF(X107=0,0,X107/X$23)</f>
        <v>5232.7512628164222</v>
      </c>
      <c r="Y161" s="85">
        <f t="shared" si="225"/>
        <v>5087.7394972266466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4341.1827673307826</v>
      </c>
      <c r="C162" s="65">
        <f t="shared" ref="C162:W162" si="227">IF(C108=0,0,C108/C$23)</f>
        <v>4521.9357313251539</v>
      </c>
      <c r="D162" s="65">
        <f t="shared" si="227"/>
        <v>4508.2979807251895</v>
      </c>
      <c r="E162" s="65">
        <f t="shared" si="227"/>
        <v>4660.9304464695024</v>
      </c>
      <c r="F162" s="65">
        <f t="shared" si="227"/>
        <v>4659.1704978577754</v>
      </c>
      <c r="G162" s="65">
        <f t="shared" si="227"/>
        <v>4543.2700434170874</v>
      </c>
      <c r="H162" s="65">
        <f t="shared" si="227"/>
        <v>4515.5104157821452</v>
      </c>
      <c r="I162" s="65">
        <f t="shared" si="227"/>
        <v>4337.7574766127118</v>
      </c>
      <c r="J162" s="65">
        <f t="shared" si="227"/>
        <v>4300.7974818284374</v>
      </c>
      <c r="K162" s="65">
        <f t="shared" si="227"/>
        <v>4269.0619086646229</v>
      </c>
      <c r="L162" s="65">
        <f t="shared" si="227"/>
        <v>4848.1071732710434</v>
      </c>
      <c r="M162" s="65">
        <f t="shared" si="227"/>
        <v>4168.2137051908176</v>
      </c>
      <c r="N162" s="65">
        <f t="shared" si="227"/>
        <v>4278.7868792329919</v>
      </c>
      <c r="O162" s="65">
        <f t="shared" si="227"/>
        <v>4191.3908893804601</v>
      </c>
      <c r="P162" s="65">
        <f t="shared" si="227"/>
        <v>3686.691307972038</v>
      </c>
      <c r="Q162" s="65">
        <f t="shared" si="227"/>
        <v>3903.0526466435686</v>
      </c>
      <c r="R162" s="65">
        <f t="shared" si="227"/>
        <v>4041.6138188453588</v>
      </c>
      <c r="S162" s="65">
        <f t="shared" si="227"/>
        <v>4115.2142080840267</v>
      </c>
      <c r="T162" s="65">
        <f t="shared" si="227"/>
        <v>3895.1615060571512</v>
      </c>
      <c r="U162" s="65">
        <f t="shared" si="227"/>
        <v>3703.2458232839276</v>
      </c>
      <c r="V162" s="65">
        <f t="shared" si="227"/>
        <v>3695.4703440437161</v>
      </c>
      <c r="W162" s="65">
        <f t="shared" si="227"/>
        <v>4264.6447626934723</v>
      </c>
      <c r="X162" s="65">
        <f t="shared" ref="X162:Y162" si="228">IF(X108=0,0,X108/X$23)</f>
        <v>3645.9969191538744</v>
      </c>
      <c r="Y162" s="65">
        <f t="shared" si="228"/>
        <v>3575.3820836987088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265.45588385549138</v>
      </c>
      <c r="C163" s="65">
        <f t="shared" ref="C163:W163" si="230">IF(C109=0,0,C109/C$23)</f>
        <v>270.96259447812861</v>
      </c>
      <c r="D163" s="65">
        <f t="shared" si="230"/>
        <v>285.88347664147358</v>
      </c>
      <c r="E163" s="65">
        <f t="shared" si="230"/>
        <v>295.96416114140652</v>
      </c>
      <c r="F163" s="65">
        <f t="shared" si="230"/>
        <v>309.44294173506205</v>
      </c>
      <c r="G163" s="65">
        <f t="shared" si="230"/>
        <v>321.63403156167522</v>
      </c>
      <c r="H163" s="65">
        <f t="shared" si="230"/>
        <v>335.87663023530428</v>
      </c>
      <c r="I163" s="65">
        <f t="shared" si="230"/>
        <v>357.93123820071742</v>
      </c>
      <c r="J163" s="65">
        <f t="shared" si="230"/>
        <v>374.01995852807329</v>
      </c>
      <c r="K163" s="65">
        <f t="shared" si="230"/>
        <v>397.14269321170229</v>
      </c>
      <c r="L163" s="65">
        <f t="shared" si="230"/>
        <v>422.69050379123865</v>
      </c>
      <c r="M163" s="65">
        <f t="shared" si="230"/>
        <v>436.31254690413471</v>
      </c>
      <c r="N163" s="65">
        <f t="shared" si="230"/>
        <v>454.30260460122491</v>
      </c>
      <c r="O163" s="65">
        <f t="shared" si="230"/>
        <v>472.43269503816822</v>
      </c>
      <c r="P163" s="65">
        <f t="shared" si="230"/>
        <v>492.98315972008152</v>
      </c>
      <c r="Q163" s="65">
        <f t="shared" si="230"/>
        <v>500.1299880582996</v>
      </c>
      <c r="R163" s="65">
        <f t="shared" si="230"/>
        <v>509.54525955005874</v>
      </c>
      <c r="S163" s="65">
        <f t="shared" si="230"/>
        <v>520.62389061223962</v>
      </c>
      <c r="T163" s="65">
        <f t="shared" si="230"/>
        <v>551.44529500696854</v>
      </c>
      <c r="U163" s="65">
        <f t="shared" si="230"/>
        <v>543.37483693802767</v>
      </c>
      <c r="V163" s="65">
        <f t="shared" si="230"/>
        <v>533.32351796797775</v>
      </c>
      <c r="W163" s="65">
        <f t="shared" si="230"/>
        <v>536.01434207099442</v>
      </c>
      <c r="X163" s="65">
        <f t="shared" ref="X163:Y163" si="231">IF(X109=0,0,X109/X$23)</f>
        <v>541.28030082665202</v>
      </c>
      <c r="Y163" s="65">
        <f t="shared" si="231"/>
        <v>543.03507490452603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547.41013124299707</v>
      </c>
      <c r="C164" s="65">
        <f t="shared" ref="C164:W164" si="233">IF(C110=0,0,C110/C$23)</f>
        <v>547.016995444435</v>
      </c>
      <c r="D164" s="65">
        <f t="shared" si="233"/>
        <v>553.42806343990549</v>
      </c>
      <c r="E164" s="65">
        <f t="shared" si="233"/>
        <v>563.3676923931672</v>
      </c>
      <c r="F164" s="65">
        <f t="shared" si="233"/>
        <v>570.86458907098518</v>
      </c>
      <c r="G164" s="65">
        <f t="shared" si="233"/>
        <v>573.74504937981362</v>
      </c>
      <c r="H164" s="65">
        <f t="shared" si="233"/>
        <v>572.22228073027998</v>
      </c>
      <c r="I164" s="65">
        <f t="shared" si="233"/>
        <v>573.67834033436077</v>
      </c>
      <c r="J164" s="65">
        <f t="shared" si="233"/>
        <v>574.75950066115661</v>
      </c>
      <c r="K164" s="65">
        <f t="shared" si="233"/>
        <v>593.10111832771997</v>
      </c>
      <c r="L164" s="65">
        <f t="shared" si="233"/>
        <v>606.58608567917986</v>
      </c>
      <c r="M164" s="65">
        <f t="shared" si="233"/>
        <v>619.77341870336363</v>
      </c>
      <c r="N164" s="65">
        <f t="shared" si="233"/>
        <v>633.62557641987576</v>
      </c>
      <c r="O164" s="65">
        <f t="shared" si="233"/>
        <v>637.89055999075902</v>
      </c>
      <c r="P164" s="65">
        <f t="shared" si="233"/>
        <v>645.56568793179883</v>
      </c>
      <c r="Q164" s="65">
        <f t="shared" si="233"/>
        <v>643.58042726033182</v>
      </c>
      <c r="R164" s="65">
        <f t="shared" si="233"/>
        <v>640.98922459265782</v>
      </c>
      <c r="S164" s="65">
        <f t="shared" si="233"/>
        <v>645.12162427572935</v>
      </c>
      <c r="T164" s="65">
        <f t="shared" si="233"/>
        <v>632.62831793512407</v>
      </c>
      <c r="U164" s="65">
        <f t="shared" si="233"/>
        <v>617.34734628807507</v>
      </c>
      <c r="V164" s="65">
        <f t="shared" si="233"/>
        <v>543.98520023147501</v>
      </c>
      <c r="W164" s="65">
        <f t="shared" si="233"/>
        <v>581.82966581722064</v>
      </c>
      <c r="X164" s="65">
        <f t="shared" ref="X164:Y164" si="234">IF(X110=0,0,X110/X$23)</f>
        <v>586.83668810729887</v>
      </c>
      <c r="Y164" s="65">
        <f t="shared" si="234"/>
        <v>589.19236639055782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462.45889639890635</v>
      </c>
      <c r="C165" s="68">
        <f t="shared" ref="C165:W165" si="236">IF(C111=0,0,C111/C$23)</f>
        <v>467.50059625997</v>
      </c>
      <c r="D165" s="68">
        <f t="shared" si="236"/>
        <v>478.82241912075125</v>
      </c>
      <c r="E165" s="68">
        <f t="shared" si="236"/>
        <v>503.03569582872018</v>
      </c>
      <c r="F165" s="68">
        <f t="shared" si="236"/>
        <v>518.90281496889509</v>
      </c>
      <c r="G165" s="68">
        <f t="shared" si="236"/>
        <v>521.07223159228727</v>
      </c>
      <c r="H165" s="68">
        <f t="shared" si="236"/>
        <v>525.8379200825342</v>
      </c>
      <c r="I165" s="68">
        <f t="shared" si="236"/>
        <v>523.75699894672744</v>
      </c>
      <c r="J165" s="68">
        <f t="shared" si="236"/>
        <v>527.53614798337958</v>
      </c>
      <c r="K165" s="68">
        <f t="shared" si="236"/>
        <v>545.07124105818275</v>
      </c>
      <c r="L165" s="68">
        <f t="shared" si="236"/>
        <v>560.29970743709498</v>
      </c>
      <c r="M165" s="68">
        <f t="shared" si="236"/>
        <v>576.24405583232408</v>
      </c>
      <c r="N165" s="68">
        <f t="shared" si="236"/>
        <v>585.76816891750866</v>
      </c>
      <c r="O165" s="68">
        <f t="shared" si="236"/>
        <v>585.57579168590303</v>
      </c>
      <c r="P165" s="68">
        <f t="shared" si="236"/>
        <v>577.87343524977041</v>
      </c>
      <c r="Q165" s="68">
        <f t="shared" si="236"/>
        <v>567.86944122361717</v>
      </c>
      <c r="R165" s="68">
        <f t="shared" si="236"/>
        <v>571.88880546183952</v>
      </c>
      <c r="S165" s="68">
        <f t="shared" si="236"/>
        <v>578.31873831579014</v>
      </c>
      <c r="T165" s="68">
        <f t="shared" si="236"/>
        <v>556.98360318816583</v>
      </c>
      <c r="U165" s="68">
        <f t="shared" si="236"/>
        <v>548.06652863992338</v>
      </c>
      <c r="V165" s="68">
        <f t="shared" si="236"/>
        <v>457.8940488500574</v>
      </c>
      <c r="W165" s="68">
        <f t="shared" si="236"/>
        <v>478.61380436226756</v>
      </c>
      <c r="X165" s="68">
        <f t="shared" ref="X165:Y165" si="237">IF(X111=0,0,X111/X$23)</f>
        <v>458.63735472859673</v>
      </c>
      <c r="Y165" s="68">
        <f t="shared" si="237"/>
        <v>380.12997223285345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421.97548306634917</v>
      </c>
      <c r="C167" s="82">
        <f t="shared" ref="C167:W167" si="239">IF(C113=0,0,C113/C$23)</f>
        <v>399.76233147780755</v>
      </c>
      <c r="D167" s="82">
        <f t="shared" si="239"/>
        <v>402.53095015500821</v>
      </c>
      <c r="E167" s="82">
        <f t="shared" si="239"/>
        <v>445.92931439120269</v>
      </c>
      <c r="F167" s="82">
        <f t="shared" si="239"/>
        <v>443.63642225754916</v>
      </c>
      <c r="G167" s="82">
        <f t="shared" si="239"/>
        <v>432.3968648313674</v>
      </c>
      <c r="H167" s="82">
        <f t="shared" si="239"/>
        <v>424.41980790410634</v>
      </c>
      <c r="I167" s="82">
        <f t="shared" si="239"/>
        <v>377.30051957551501</v>
      </c>
      <c r="J167" s="82">
        <f t="shared" si="239"/>
        <v>366.1641977357632</v>
      </c>
      <c r="K167" s="82">
        <f t="shared" si="239"/>
        <v>359.83453381491728</v>
      </c>
      <c r="L167" s="82">
        <f t="shared" si="239"/>
        <v>358.17576800065973</v>
      </c>
      <c r="M167" s="82">
        <f t="shared" si="239"/>
        <v>287.22325132863506</v>
      </c>
      <c r="N167" s="82">
        <f t="shared" si="239"/>
        <v>322.16840820665709</v>
      </c>
      <c r="O167" s="82">
        <f t="shared" si="239"/>
        <v>323.83199369478029</v>
      </c>
      <c r="P167" s="82">
        <f t="shared" si="239"/>
        <v>256.91105942341807</v>
      </c>
      <c r="Q167" s="82">
        <f t="shared" si="239"/>
        <v>304.29518992082694</v>
      </c>
      <c r="R167" s="82">
        <f t="shared" si="239"/>
        <v>302.02354517895054</v>
      </c>
      <c r="S167" s="82">
        <f t="shared" si="239"/>
        <v>306.66730551295848</v>
      </c>
      <c r="T167" s="82">
        <f t="shared" si="239"/>
        <v>265.93388987956439</v>
      </c>
      <c r="U167" s="82">
        <f t="shared" si="239"/>
        <v>232.78930020424795</v>
      </c>
      <c r="V167" s="82">
        <f t="shared" si="239"/>
        <v>221.53707013218036</v>
      </c>
      <c r="W167" s="82">
        <f t="shared" si="239"/>
        <v>255.31664409909084</v>
      </c>
      <c r="X167" s="82">
        <f t="shared" ref="X167:Y167" si="240">IF(X113=0,0,X113/X$23)</f>
        <v>198.09588420279738</v>
      </c>
      <c r="Y167" s="82">
        <f t="shared" si="240"/>
        <v>177.09604635110432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421.97548306634917</v>
      </c>
      <c r="C168" s="64">
        <f t="shared" ref="C168:W168" si="242">IF(C114=0,0,C114/C$23)</f>
        <v>399.76233147780755</v>
      </c>
      <c r="D168" s="64">
        <f t="shared" si="242"/>
        <v>402.53095015500821</v>
      </c>
      <c r="E168" s="64">
        <f t="shared" si="242"/>
        <v>445.92931439120269</v>
      </c>
      <c r="F168" s="64">
        <f t="shared" si="242"/>
        <v>443.63642225754916</v>
      </c>
      <c r="G168" s="64">
        <f t="shared" si="242"/>
        <v>432.3968648313674</v>
      </c>
      <c r="H168" s="64">
        <f t="shared" si="242"/>
        <v>424.41980790410634</v>
      </c>
      <c r="I168" s="64">
        <f t="shared" si="242"/>
        <v>377.30051957551501</v>
      </c>
      <c r="J168" s="64">
        <f t="shared" si="242"/>
        <v>366.1641977357632</v>
      </c>
      <c r="K168" s="64">
        <f t="shared" si="242"/>
        <v>359.83453381491728</v>
      </c>
      <c r="L168" s="64">
        <f t="shared" si="242"/>
        <v>358.17576800065973</v>
      </c>
      <c r="M168" s="64">
        <f t="shared" si="242"/>
        <v>287.22325132863506</v>
      </c>
      <c r="N168" s="64">
        <f t="shared" si="242"/>
        <v>322.16840820665709</v>
      </c>
      <c r="O168" s="64">
        <f t="shared" si="242"/>
        <v>323.83199369478029</v>
      </c>
      <c r="P168" s="64">
        <f t="shared" si="242"/>
        <v>256.91105942341807</v>
      </c>
      <c r="Q168" s="64">
        <f t="shared" si="242"/>
        <v>304.29518992082694</v>
      </c>
      <c r="R168" s="64">
        <f t="shared" si="242"/>
        <v>302.02354517895054</v>
      </c>
      <c r="S168" s="64">
        <f t="shared" si="242"/>
        <v>306.66730551295848</v>
      </c>
      <c r="T168" s="64">
        <f t="shared" si="242"/>
        <v>265.93388987956439</v>
      </c>
      <c r="U168" s="64">
        <f t="shared" si="242"/>
        <v>232.78930020424795</v>
      </c>
      <c r="V168" s="64">
        <f t="shared" si="242"/>
        <v>221.53707013218036</v>
      </c>
      <c r="W168" s="64">
        <f t="shared" si="242"/>
        <v>255.31664409909084</v>
      </c>
      <c r="X168" s="64">
        <f t="shared" ref="X168:Y168" si="243">IF(X114=0,0,X114/X$23)</f>
        <v>198.09588420279738</v>
      </c>
      <c r="Y168" s="64">
        <f t="shared" si="243"/>
        <v>177.09604635110432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353.01595792249805</v>
      </c>
      <c r="C169" s="65">
        <f t="shared" ref="C169:W169" si="245">IF(C115=0,0,C115/C$23)</f>
        <v>332.36203077378781</v>
      </c>
      <c r="D169" s="65">
        <f t="shared" si="245"/>
        <v>334.42095708767044</v>
      </c>
      <c r="E169" s="65">
        <f t="shared" si="245"/>
        <v>371.38498063717725</v>
      </c>
      <c r="F169" s="65">
        <f t="shared" si="245"/>
        <v>367.86680657584117</v>
      </c>
      <c r="G169" s="65">
        <f t="shared" si="245"/>
        <v>352.1228616339925</v>
      </c>
      <c r="H169" s="65">
        <f t="shared" si="245"/>
        <v>345.55143467262508</v>
      </c>
      <c r="I169" s="65">
        <f t="shared" si="245"/>
        <v>301.02638199827504</v>
      </c>
      <c r="J169" s="65">
        <f t="shared" si="245"/>
        <v>290.6724877664484</v>
      </c>
      <c r="K169" s="65">
        <f t="shared" si="245"/>
        <v>282.9102530230341</v>
      </c>
      <c r="L169" s="65">
        <f t="shared" si="245"/>
        <v>278.8308718811702</v>
      </c>
      <c r="M169" s="65">
        <f t="shared" si="245"/>
        <v>214.9556555775749</v>
      </c>
      <c r="N169" s="65">
        <f t="shared" si="245"/>
        <v>251.37206912220896</v>
      </c>
      <c r="O169" s="65">
        <f t="shared" si="245"/>
        <v>253.31870826607224</v>
      </c>
      <c r="P169" s="65">
        <f t="shared" si="245"/>
        <v>193.24566465316119</v>
      </c>
      <c r="Q169" s="65">
        <f t="shared" si="245"/>
        <v>229.31739951627733</v>
      </c>
      <c r="R169" s="65">
        <f t="shared" si="245"/>
        <v>229.76736431185773</v>
      </c>
      <c r="S169" s="65">
        <f t="shared" si="245"/>
        <v>238.17512831403474</v>
      </c>
      <c r="T169" s="65">
        <f t="shared" si="245"/>
        <v>197.68449327907251</v>
      </c>
      <c r="U169" s="65">
        <f t="shared" si="245"/>
        <v>166.80503147455835</v>
      </c>
      <c r="V169" s="65">
        <f t="shared" si="245"/>
        <v>177.52088406809406</v>
      </c>
      <c r="W169" s="65">
        <f t="shared" si="245"/>
        <v>204.8974616757553</v>
      </c>
      <c r="X169" s="65">
        <f t="shared" ref="X169:Y169" si="246">IF(X115=0,0,X115/X$23)</f>
        <v>155.0517877556201</v>
      </c>
      <c r="Y169" s="65">
        <f t="shared" si="246"/>
        <v>131.19884669242938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3.4042983549849325E-2</v>
      </c>
      <c r="C170" s="65">
        <f t="shared" ref="C170:W170" si="248">IF(C116=0,0,C116/C$23)</f>
        <v>3.5178169089491861E-2</v>
      </c>
      <c r="D170" s="65">
        <f t="shared" si="248"/>
        <v>3.8080903500715108E-2</v>
      </c>
      <c r="E170" s="65">
        <f t="shared" si="248"/>
        <v>3.9891829489046973E-2</v>
      </c>
      <c r="F170" s="65">
        <f t="shared" si="248"/>
        <v>4.3145452871759173E-2</v>
      </c>
      <c r="G170" s="65">
        <f t="shared" si="248"/>
        <v>4.6915819449738973E-2</v>
      </c>
      <c r="H170" s="65">
        <f t="shared" si="248"/>
        <v>4.8890948396863212E-2</v>
      </c>
      <c r="I170" s="65">
        <f t="shared" si="248"/>
        <v>5.1212964206189253E-2</v>
      </c>
      <c r="J170" s="65">
        <f t="shared" si="248"/>
        <v>5.3154426541727307E-2</v>
      </c>
      <c r="K170" s="65">
        <f t="shared" si="248"/>
        <v>5.571227705187224E-2</v>
      </c>
      <c r="L170" s="65">
        <f t="shared" si="248"/>
        <v>6.0320375124685535E-2</v>
      </c>
      <c r="M170" s="65">
        <f t="shared" si="248"/>
        <v>6.5685836976419151E-2</v>
      </c>
      <c r="N170" s="65">
        <f t="shared" si="248"/>
        <v>7.5480217565585275E-2</v>
      </c>
      <c r="O170" s="65">
        <f t="shared" si="248"/>
        <v>9.1107883882720869E-2</v>
      </c>
      <c r="P170" s="65">
        <f t="shared" si="248"/>
        <v>0.12029448100055766</v>
      </c>
      <c r="Q170" s="65">
        <f t="shared" si="248"/>
        <v>0.16461023512294923</v>
      </c>
      <c r="R170" s="65">
        <f t="shared" si="248"/>
        <v>0.19681557403219113</v>
      </c>
      <c r="S170" s="65">
        <f t="shared" si="248"/>
        <v>0.23043553349952739</v>
      </c>
      <c r="T170" s="65">
        <f t="shared" si="248"/>
        <v>0.2532232601624903</v>
      </c>
      <c r="U170" s="65">
        <f t="shared" si="248"/>
        <v>0.26638645141691658</v>
      </c>
      <c r="V170" s="65">
        <f t="shared" si="248"/>
        <v>0.24568638252025884</v>
      </c>
      <c r="W170" s="65">
        <f t="shared" si="248"/>
        <v>0.23427305467024831</v>
      </c>
      <c r="X170" s="65">
        <f t="shared" ref="X170:Y170" si="249">IF(X116=0,0,X116/X$23)</f>
        <v>0.20034635437825743</v>
      </c>
      <c r="Y170" s="65">
        <f t="shared" si="249"/>
        <v>0.192114678233268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37.417563163155627</v>
      </c>
      <c r="C171" s="65">
        <f t="shared" ref="C171:W171" si="251">IF(C117=0,0,C117/C$23)</f>
        <v>36.21654097769585</v>
      </c>
      <c r="D171" s="65">
        <f t="shared" si="251"/>
        <v>36.777808282653339</v>
      </c>
      <c r="E171" s="65">
        <f t="shared" si="251"/>
        <v>40.308851599712483</v>
      </c>
      <c r="F171" s="65">
        <f t="shared" si="251"/>
        <v>40.073621307525443</v>
      </c>
      <c r="G171" s="65">
        <f t="shared" si="251"/>
        <v>41.036267774343052</v>
      </c>
      <c r="H171" s="65">
        <f t="shared" si="251"/>
        <v>39.705161832767637</v>
      </c>
      <c r="I171" s="65">
        <f t="shared" si="251"/>
        <v>37.220230152956212</v>
      </c>
      <c r="J171" s="65">
        <f t="shared" si="251"/>
        <v>36.64656586603742</v>
      </c>
      <c r="K171" s="65">
        <f t="shared" si="251"/>
        <v>36.696285417041054</v>
      </c>
      <c r="L171" s="65">
        <f t="shared" si="251"/>
        <v>36.238233145409836</v>
      </c>
      <c r="M171" s="65">
        <f t="shared" si="251"/>
        <v>31.074591775991387</v>
      </c>
      <c r="N171" s="65">
        <f t="shared" si="251"/>
        <v>31.062695199498716</v>
      </c>
      <c r="O171" s="65">
        <f t="shared" si="251"/>
        <v>30.386722773525772</v>
      </c>
      <c r="P171" s="65">
        <f t="shared" si="251"/>
        <v>28.410898819557399</v>
      </c>
      <c r="Q171" s="65">
        <f t="shared" si="251"/>
        <v>30.175646279633696</v>
      </c>
      <c r="R171" s="65">
        <f t="shared" si="251"/>
        <v>29.288914980344266</v>
      </c>
      <c r="S171" s="65">
        <f t="shared" si="251"/>
        <v>28.727375161240278</v>
      </c>
      <c r="T171" s="65">
        <f t="shared" si="251"/>
        <v>27.000191923202628</v>
      </c>
      <c r="U171" s="65">
        <f t="shared" si="251"/>
        <v>22.856920338479462</v>
      </c>
      <c r="V171" s="65">
        <f t="shared" si="251"/>
        <v>16.031278513171678</v>
      </c>
      <c r="W171" s="65">
        <f t="shared" si="251"/>
        <v>16.817497069608308</v>
      </c>
      <c r="X171" s="65">
        <f t="shared" ref="X171:Y171" si="252">IF(X117=0,0,X117/X$23)</f>
        <v>12.847973436721611</v>
      </c>
      <c r="Y171" s="65">
        <f t="shared" si="252"/>
        <v>11.214206782928098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31.507918997145687</v>
      </c>
      <c r="C172" s="67">
        <f t="shared" ref="C172:W172" si="254">IF(C118=0,0,C118/C$23)</f>
        <v>31.148581557234387</v>
      </c>
      <c r="D172" s="67">
        <f t="shared" si="254"/>
        <v>31.294103881183695</v>
      </c>
      <c r="E172" s="67">
        <f t="shared" si="254"/>
        <v>34.19559032482389</v>
      </c>
      <c r="F172" s="67">
        <f t="shared" si="254"/>
        <v>35.652848921310834</v>
      </c>
      <c r="G172" s="67">
        <f t="shared" si="254"/>
        <v>39.190819603582057</v>
      </c>
      <c r="H172" s="67">
        <f t="shared" si="254"/>
        <v>39.114320450316853</v>
      </c>
      <c r="I172" s="67">
        <f t="shared" si="254"/>
        <v>39.00269446007762</v>
      </c>
      <c r="J172" s="67">
        <f t="shared" si="254"/>
        <v>38.79198967673554</v>
      </c>
      <c r="K172" s="67">
        <f t="shared" si="254"/>
        <v>40.172283097790199</v>
      </c>
      <c r="L172" s="67">
        <f t="shared" si="254"/>
        <v>43.046342598954986</v>
      </c>
      <c r="M172" s="67">
        <f t="shared" si="254"/>
        <v>41.127318138092406</v>
      </c>
      <c r="N172" s="67">
        <f t="shared" si="254"/>
        <v>39.65816366738381</v>
      </c>
      <c r="O172" s="67">
        <f t="shared" si="254"/>
        <v>40.035454771299634</v>
      </c>
      <c r="P172" s="67">
        <f t="shared" si="254"/>
        <v>35.134201469698844</v>
      </c>
      <c r="Q172" s="67">
        <f t="shared" si="254"/>
        <v>44.637533889792863</v>
      </c>
      <c r="R172" s="67">
        <f t="shared" si="254"/>
        <v>42.770450312716413</v>
      </c>
      <c r="S172" s="67">
        <f t="shared" si="254"/>
        <v>39.534366504183957</v>
      </c>
      <c r="T172" s="67">
        <f t="shared" si="254"/>
        <v>40.99598141712675</v>
      </c>
      <c r="U172" s="67">
        <f t="shared" si="254"/>
        <v>42.860961939793228</v>
      </c>
      <c r="V172" s="67">
        <f t="shared" si="254"/>
        <v>27.739221168394344</v>
      </c>
      <c r="W172" s="67">
        <f t="shared" si="254"/>
        <v>33.367412299057015</v>
      </c>
      <c r="X172" s="67">
        <f t="shared" ref="X172:Y172" si="255">IF(X118=0,0,X118/X$23)</f>
        <v>29.995776656077396</v>
      </c>
      <c r="Y172" s="67">
        <f t="shared" si="255"/>
        <v>34.490878197513517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119477.70052822621</v>
      </c>
      <c r="C3" s="124">
        <f t="shared" si="0"/>
        <v>122165.37917569031</v>
      </c>
      <c r="D3" s="124">
        <f t="shared" si="0"/>
        <v>125306.95082177984</v>
      </c>
      <c r="E3" s="124">
        <f t="shared" si="0"/>
        <v>128186.35788324017</v>
      </c>
      <c r="F3" s="124">
        <f t="shared" si="0"/>
        <v>130895.0859897795</v>
      </c>
      <c r="G3" s="124">
        <f t="shared" si="0"/>
        <v>133607.15082681712</v>
      </c>
      <c r="H3" s="124">
        <f t="shared" si="0"/>
        <v>136388.83603675751</v>
      </c>
      <c r="I3" s="124">
        <f t="shared" si="0"/>
        <v>140487.92674731015</v>
      </c>
      <c r="J3" s="124">
        <f t="shared" si="0"/>
        <v>142416.49997481011</v>
      </c>
      <c r="K3" s="124">
        <f t="shared" si="0"/>
        <v>145396.81705721351</v>
      </c>
      <c r="L3" s="124">
        <f t="shared" si="0"/>
        <v>148509.16636174527</v>
      </c>
      <c r="M3" s="124">
        <f t="shared" si="0"/>
        <v>149546.65041562563</v>
      </c>
      <c r="N3" s="124">
        <f t="shared" si="0"/>
        <v>150060.89195188883</v>
      </c>
      <c r="O3" s="124">
        <f t="shared" si="0"/>
        <v>150763.81319661438</v>
      </c>
      <c r="P3" s="124">
        <f t="shared" si="0"/>
        <v>151808.81898215204</v>
      </c>
      <c r="Q3" s="124">
        <f t="shared" si="0"/>
        <v>152896.62034606258</v>
      </c>
      <c r="R3" s="124">
        <f t="shared" si="0"/>
        <v>154235.53087129517</v>
      </c>
      <c r="S3" s="124">
        <f t="shared" si="0"/>
        <v>155717.70368522336</v>
      </c>
      <c r="T3" s="124">
        <f t="shared" si="0"/>
        <v>157038.30729118455</v>
      </c>
      <c r="U3" s="124">
        <f t="shared" si="0"/>
        <v>158393.01542561737</v>
      </c>
      <c r="V3" s="124">
        <f t="shared" si="0"/>
        <v>159721.10444444444</v>
      </c>
      <c r="W3" s="124">
        <f t="shared" si="0"/>
        <v>161040.51769853645</v>
      </c>
      <c r="X3" s="124">
        <f t="shared" si="0"/>
        <v>162354.72703244563</v>
      </c>
      <c r="Y3" s="124">
        <f t="shared" si="0"/>
        <v>163663.0606662877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119477.70052822621</v>
      </c>
      <c r="C4" s="139">
        <f t="shared" si="1"/>
        <v>122165.37917569031</v>
      </c>
      <c r="D4" s="139">
        <f t="shared" si="1"/>
        <v>125306.95082177984</v>
      </c>
      <c r="E4" s="139">
        <f t="shared" si="1"/>
        <v>128186.35788324017</v>
      </c>
      <c r="F4" s="139">
        <f t="shared" si="1"/>
        <v>130895.0859897795</v>
      </c>
      <c r="G4" s="139">
        <f t="shared" si="1"/>
        <v>133607.15082681712</v>
      </c>
      <c r="H4" s="139">
        <f t="shared" si="1"/>
        <v>136388.83603675751</v>
      </c>
      <c r="I4" s="139">
        <f t="shared" si="1"/>
        <v>140487.92674731015</v>
      </c>
      <c r="J4" s="139">
        <f t="shared" si="1"/>
        <v>142416.49997481011</v>
      </c>
      <c r="K4" s="139">
        <f t="shared" si="1"/>
        <v>145396.81705721351</v>
      </c>
      <c r="L4" s="139">
        <f t="shared" si="1"/>
        <v>148509.16636174527</v>
      </c>
      <c r="M4" s="139">
        <f t="shared" si="1"/>
        <v>149546.65041562563</v>
      </c>
      <c r="N4" s="139">
        <f t="shared" si="1"/>
        <v>150060.89195188883</v>
      </c>
      <c r="O4" s="139">
        <f t="shared" si="1"/>
        <v>150763.81319661438</v>
      </c>
      <c r="P4" s="139">
        <f t="shared" si="1"/>
        <v>151808.81898215204</v>
      </c>
      <c r="Q4" s="139">
        <f t="shared" si="1"/>
        <v>152896.62034606258</v>
      </c>
      <c r="R4" s="139">
        <f t="shared" ref="R4:W4" si="2">SUM(R5:R14)</f>
        <v>154235.53087129517</v>
      </c>
      <c r="S4" s="139">
        <f t="shared" si="2"/>
        <v>155717.70368522336</v>
      </c>
      <c r="T4" s="139">
        <f t="shared" si="2"/>
        <v>157038.30729118455</v>
      </c>
      <c r="U4" s="139">
        <f t="shared" si="2"/>
        <v>158393.01542561737</v>
      </c>
      <c r="V4" s="139">
        <f t="shared" si="2"/>
        <v>159721.10444444444</v>
      </c>
      <c r="W4" s="139">
        <f t="shared" si="2"/>
        <v>161040.51769853645</v>
      </c>
      <c r="X4" s="139">
        <f t="shared" ref="X4:Y4" si="3">SUM(X5:X14)</f>
        <v>162354.72703244563</v>
      </c>
      <c r="Y4" s="139">
        <f t="shared" si="3"/>
        <v>163663.0606662877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8191.6308181965414</v>
      </c>
      <c r="C7" s="140">
        <v>7710.1112600046617</v>
      </c>
      <c r="D7" s="140">
        <v>7428.6711201198705</v>
      </c>
      <c r="E7" s="140">
        <v>7256.1841938742582</v>
      </c>
      <c r="F7" s="140">
        <v>7123.2087434411023</v>
      </c>
      <c r="G7" s="140">
        <v>6635.5250263207472</v>
      </c>
      <c r="H7" s="140">
        <v>6007.8334907607241</v>
      </c>
      <c r="I7" s="140">
        <v>5561.8126290649989</v>
      </c>
      <c r="J7" s="140">
        <v>5361.3128547160104</v>
      </c>
      <c r="K7" s="140">
        <v>5160.128966387846</v>
      </c>
      <c r="L7" s="140">
        <v>4977.8234182714523</v>
      </c>
      <c r="M7" s="140">
        <v>4943.6832996452913</v>
      </c>
      <c r="N7" s="140">
        <v>5279.6163013108908</v>
      </c>
      <c r="O7" s="140">
        <v>5442.8381164538814</v>
      </c>
      <c r="P7" s="140">
        <v>5558.9343743144755</v>
      </c>
      <c r="Q7" s="140">
        <v>5434.6979540519351</v>
      </c>
      <c r="R7" s="140">
        <v>5329.3256249798369</v>
      </c>
      <c r="S7" s="140">
        <v>4941.5983452695891</v>
      </c>
      <c r="T7" s="140">
        <v>4651.3995257361585</v>
      </c>
      <c r="U7" s="140">
        <v>3657.394814744121</v>
      </c>
      <c r="V7" s="140">
        <v>3316.8587520141264</v>
      </c>
      <c r="W7" s="140">
        <v>3162.231063803762</v>
      </c>
      <c r="X7" s="140">
        <v>3020.0943505216069</v>
      </c>
      <c r="Y7" s="140">
        <v>3089.4377342699363</v>
      </c>
      <c r="DA7" s="170" t="s">
        <v>249</v>
      </c>
    </row>
    <row r="8" spans="1:105" ht="12" customHeight="1" x14ac:dyDescent="0.25">
      <c r="A8" s="131" t="s">
        <v>73</v>
      </c>
      <c r="B8" s="140">
        <v>35.210518890420552</v>
      </c>
      <c r="C8" s="140">
        <v>34.293495883462654</v>
      </c>
      <c r="D8" s="140">
        <v>37.489045613757249</v>
      </c>
      <c r="E8" s="140">
        <v>41.43996474300048</v>
      </c>
      <c r="F8" s="140">
        <v>43.481057778448402</v>
      </c>
      <c r="G8" s="140">
        <v>52.356438480100721</v>
      </c>
      <c r="H8" s="140">
        <v>67.375731363610512</v>
      </c>
      <c r="I8" s="140">
        <v>104.75380214152854</v>
      </c>
      <c r="J8" s="140">
        <v>127.36908598988775</v>
      </c>
      <c r="K8" s="140">
        <v>148.7003280842174</v>
      </c>
      <c r="L8" s="140">
        <v>161.68785952644512</v>
      </c>
      <c r="M8" s="140">
        <v>187.87072312433673</v>
      </c>
      <c r="N8" s="140">
        <v>226.35952354482299</v>
      </c>
      <c r="O8" s="140">
        <v>285.31129617884108</v>
      </c>
      <c r="P8" s="140">
        <v>370.98995420788202</v>
      </c>
      <c r="Q8" s="140">
        <v>444.27840823853751</v>
      </c>
      <c r="R8" s="140">
        <v>507.21048930200698</v>
      </c>
      <c r="S8" s="140">
        <v>569.05180340158245</v>
      </c>
      <c r="T8" s="140">
        <v>675.8925924174938</v>
      </c>
      <c r="U8" s="140">
        <v>797.45718381524648</v>
      </c>
      <c r="V8" s="140">
        <v>961.92812654461943</v>
      </c>
      <c r="W8" s="140">
        <v>1118.91547317651</v>
      </c>
      <c r="X8" s="140">
        <v>1357.854717207603</v>
      </c>
      <c r="Y8" s="140">
        <v>1593.6003540665415</v>
      </c>
      <c r="DA8" s="170" t="s">
        <v>250</v>
      </c>
    </row>
    <row r="9" spans="1:105" ht="12" customHeight="1" x14ac:dyDescent="0.25">
      <c r="A9" s="131" t="s">
        <v>78</v>
      </c>
      <c r="B9" s="140">
        <v>11030.136224655758</v>
      </c>
      <c r="C9" s="140">
        <v>11269.502177104954</v>
      </c>
      <c r="D9" s="140">
        <v>12553.257310702978</v>
      </c>
      <c r="E9" s="140">
        <v>14045.038990366174</v>
      </c>
      <c r="F9" s="140">
        <v>15390.376913690523</v>
      </c>
      <c r="G9" s="140">
        <v>16685.230045644174</v>
      </c>
      <c r="H9" s="140">
        <v>17763.824298833348</v>
      </c>
      <c r="I9" s="140">
        <v>18141.309844236112</v>
      </c>
      <c r="J9" s="140">
        <v>18224.597498167317</v>
      </c>
      <c r="K9" s="140">
        <v>17943.433368487924</v>
      </c>
      <c r="L9" s="140">
        <v>17230.172900106423</v>
      </c>
      <c r="M9" s="140">
        <v>16842.546638635071</v>
      </c>
      <c r="N9" s="140">
        <v>17173.52500032034</v>
      </c>
      <c r="O9" s="140">
        <v>17884.569836082261</v>
      </c>
      <c r="P9" s="140">
        <v>17795.575142706683</v>
      </c>
      <c r="Q9" s="140">
        <v>19426.493125826506</v>
      </c>
      <c r="R9" s="140">
        <v>20280.474586469143</v>
      </c>
      <c r="S9" s="140">
        <v>21298.864962822656</v>
      </c>
      <c r="T9" s="140">
        <v>22321.397537463607</v>
      </c>
      <c r="U9" s="140">
        <v>25213.243295726941</v>
      </c>
      <c r="V9" s="140">
        <v>27565.803422533609</v>
      </c>
      <c r="W9" s="140">
        <v>27801.572792209656</v>
      </c>
      <c r="X9" s="140">
        <v>28583.875252996826</v>
      </c>
      <c r="Y9" s="140">
        <v>27882.683329467891</v>
      </c>
      <c r="DA9" s="170" t="s">
        <v>251</v>
      </c>
    </row>
    <row r="10" spans="1:105" ht="12" customHeight="1" x14ac:dyDescent="0.25">
      <c r="A10" s="131" t="s">
        <v>128</v>
      </c>
      <c r="B10" s="140">
        <v>3249.466884298251</v>
      </c>
      <c r="C10" s="140">
        <v>3265.8885136096055</v>
      </c>
      <c r="D10" s="140">
        <v>3658.1615166623064</v>
      </c>
      <c r="E10" s="140">
        <v>3795.6169865244228</v>
      </c>
      <c r="F10" s="140">
        <v>3839.1922754459924</v>
      </c>
      <c r="G10" s="140">
        <v>3933.9828965522152</v>
      </c>
      <c r="H10" s="140">
        <v>3972.055629684291</v>
      </c>
      <c r="I10" s="140">
        <v>3724.4990543419131</v>
      </c>
      <c r="J10" s="140">
        <v>3328.7584747827323</v>
      </c>
      <c r="K10" s="140">
        <v>2983.4258967982569</v>
      </c>
      <c r="L10" s="140">
        <v>2837.1117356675918</v>
      </c>
      <c r="M10" s="140">
        <v>3019.4767996372566</v>
      </c>
      <c r="N10" s="140">
        <v>3249.2762866133094</v>
      </c>
      <c r="O10" s="140">
        <v>3575.0695761343131</v>
      </c>
      <c r="P10" s="140">
        <v>4036.6412254366323</v>
      </c>
      <c r="Q10" s="140">
        <v>4118.3346751710642</v>
      </c>
      <c r="R10" s="140">
        <v>4526.9924506137213</v>
      </c>
      <c r="S10" s="140">
        <v>4922.6962055219865</v>
      </c>
      <c r="T10" s="140">
        <v>5157.4378113304074</v>
      </c>
      <c r="U10" s="140">
        <v>5086.1856717351229</v>
      </c>
      <c r="V10" s="140">
        <v>4980.4966651463355</v>
      </c>
      <c r="W10" s="140">
        <v>4560.4161314228131</v>
      </c>
      <c r="X10" s="140">
        <v>4167.9287902640035</v>
      </c>
      <c r="Y10" s="140">
        <v>4020.071146892989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70373.220031304183</v>
      </c>
      <c r="C12" s="140">
        <v>73494.768475874371</v>
      </c>
      <c r="D12" s="140">
        <v>76193.549509472374</v>
      </c>
      <c r="E12" s="140">
        <v>78534.392124283448</v>
      </c>
      <c r="F12" s="140">
        <v>80077.79666749209</v>
      </c>
      <c r="G12" s="140">
        <v>81295.215847759217</v>
      </c>
      <c r="H12" s="140">
        <v>82399.971621493256</v>
      </c>
      <c r="I12" s="140">
        <v>85629.750699023381</v>
      </c>
      <c r="J12" s="140">
        <v>88314.346926807746</v>
      </c>
      <c r="K12" s="140">
        <v>93350.283874251996</v>
      </c>
      <c r="L12" s="140">
        <v>98979.579460525652</v>
      </c>
      <c r="M12" s="140">
        <v>101747.62875682606</v>
      </c>
      <c r="N12" s="140">
        <v>103637.98224770591</v>
      </c>
      <c r="O12" s="140">
        <v>105636.30693083863</v>
      </c>
      <c r="P12" s="140">
        <v>107720.74090459752</v>
      </c>
      <c r="Q12" s="140">
        <v>108920.04530647796</v>
      </c>
      <c r="R12" s="140">
        <v>109607.73369283785</v>
      </c>
      <c r="S12" s="140">
        <v>110698.09756435886</v>
      </c>
      <c r="T12" s="140">
        <v>111969.86410259682</v>
      </c>
      <c r="U12" s="140">
        <v>112488.66856694514</v>
      </c>
      <c r="V12" s="140">
        <v>112501.02607588111</v>
      </c>
      <c r="W12" s="140">
        <v>113334.07165731101</v>
      </c>
      <c r="X12" s="140">
        <v>113912.16380487602</v>
      </c>
      <c r="Y12" s="140">
        <v>116039.89783791681</v>
      </c>
      <c r="DA12" s="170" t="s">
        <v>254</v>
      </c>
    </row>
    <row r="13" spans="1:105" ht="12" customHeight="1" x14ac:dyDescent="0.25">
      <c r="A13" s="131" t="s">
        <v>77</v>
      </c>
      <c r="B13" s="140">
        <v>649.17892197384811</v>
      </c>
      <c r="C13" s="140">
        <v>637.45056059403259</v>
      </c>
      <c r="D13" s="140">
        <v>623.93947244486287</v>
      </c>
      <c r="E13" s="140">
        <v>606.35961370848815</v>
      </c>
      <c r="F13" s="140">
        <v>594.92564405397979</v>
      </c>
      <c r="G13" s="140">
        <v>766.90808912030707</v>
      </c>
      <c r="H13" s="140">
        <v>1144.5522127533939</v>
      </c>
      <c r="I13" s="140">
        <v>1930.9716822563444</v>
      </c>
      <c r="J13" s="140">
        <v>2398.8210156720525</v>
      </c>
      <c r="K13" s="140">
        <v>2756.1828172259834</v>
      </c>
      <c r="L13" s="140">
        <v>2917.1574636587543</v>
      </c>
      <c r="M13" s="140">
        <v>3218.3081324936616</v>
      </c>
      <c r="N13" s="140">
        <v>3479.2033316191719</v>
      </c>
      <c r="O13" s="140">
        <v>3781.4655747042807</v>
      </c>
      <c r="P13" s="140">
        <v>4121.098969272859</v>
      </c>
      <c r="Q13" s="140">
        <v>4355.0712178837266</v>
      </c>
      <c r="R13" s="140">
        <v>4599.5363854357201</v>
      </c>
      <c r="S13" s="140">
        <v>4864.6079327698917</v>
      </c>
      <c r="T13" s="140">
        <v>5432.6101969391166</v>
      </c>
      <c r="U13" s="140">
        <v>6084.3652827874748</v>
      </c>
      <c r="V13" s="140">
        <v>6868.2289597100025</v>
      </c>
      <c r="W13" s="140">
        <v>7790.5166019317021</v>
      </c>
      <c r="X13" s="140">
        <v>8699.8255358557672</v>
      </c>
      <c r="Y13" s="140">
        <v>9567.5124087680633</v>
      </c>
      <c r="DA13" s="170" t="s">
        <v>255</v>
      </c>
    </row>
    <row r="14" spans="1:105" ht="12" customHeight="1" x14ac:dyDescent="0.25">
      <c r="A14" s="60" t="s">
        <v>76</v>
      </c>
      <c r="B14" s="141">
        <v>25948.857128907206</v>
      </c>
      <c r="C14" s="141">
        <v>25753.364692619212</v>
      </c>
      <c r="D14" s="141">
        <v>24811.882846763692</v>
      </c>
      <c r="E14" s="141">
        <v>23907.32600974038</v>
      </c>
      <c r="F14" s="141">
        <v>23826.104687877356</v>
      </c>
      <c r="G14" s="141">
        <v>24237.932482940367</v>
      </c>
      <c r="H14" s="141">
        <v>25033.223051868885</v>
      </c>
      <c r="I14" s="141">
        <v>25394.829036245861</v>
      </c>
      <c r="J14" s="141">
        <v>24661.294118674341</v>
      </c>
      <c r="K14" s="141">
        <v>23054.661805977295</v>
      </c>
      <c r="L14" s="141">
        <v>21405.633523988959</v>
      </c>
      <c r="M14" s="141">
        <v>19587.136065263934</v>
      </c>
      <c r="N14" s="141">
        <v>17014.929260774396</v>
      </c>
      <c r="O14" s="141">
        <v>14158.251866222183</v>
      </c>
      <c r="P14" s="141">
        <v>12204.838411615998</v>
      </c>
      <c r="Q14" s="141">
        <v>10197.699658412868</v>
      </c>
      <c r="R14" s="141">
        <v>9384.2576416568791</v>
      </c>
      <c r="S14" s="141">
        <v>8422.7868710788098</v>
      </c>
      <c r="T14" s="141">
        <v>6829.7055247009694</v>
      </c>
      <c r="U14" s="141">
        <v>5065.7006098633219</v>
      </c>
      <c r="V14" s="141">
        <v>3526.7624426146317</v>
      </c>
      <c r="W14" s="141">
        <v>3272.793978680972</v>
      </c>
      <c r="X14" s="141">
        <v>2612.9845807237652</v>
      </c>
      <c r="Y14" s="141">
        <v>1469.8578549054607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92879.664477345155</v>
      </c>
      <c r="C15" s="143">
        <f t="shared" si="4"/>
        <v>95774.563922477057</v>
      </c>
      <c r="D15" s="143">
        <f t="shared" si="4"/>
        <v>99871.128502571286</v>
      </c>
      <c r="E15" s="143">
        <f t="shared" si="4"/>
        <v>103672.6722597913</v>
      </c>
      <c r="F15" s="143">
        <f t="shared" si="4"/>
        <v>106474.05565784816</v>
      </c>
      <c r="G15" s="143">
        <f t="shared" si="4"/>
        <v>108602.31025475645</v>
      </c>
      <c r="H15" s="143">
        <f t="shared" si="4"/>
        <v>110211.06077213523</v>
      </c>
      <c r="I15" s="143">
        <f t="shared" si="4"/>
        <v>113162.12602880794</v>
      </c>
      <c r="J15" s="143">
        <f t="shared" si="4"/>
        <v>115356.3848404637</v>
      </c>
      <c r="K15" s="143">
        <f t="shared" si="4"/>
        <v>119585.97243401024</v>
      </c>
      <c r="L15" s="143">
        <f t="shared" si="4"/>
        <v>124186.37537409757</v>
      </c>
      <c r="M15" s="143">
        <f t="shared" si="4"/>
        <v>126741.20621786802</v>
      </c>
      <c r="N15" s="143">
        <f t="shared" si="4"/>
        <v>129566.75935949526</v>
      </c>
      <c r="O15" s="143">
        <f t="shared" si="4"/>
        <v>132824.09575568791</v>
      </c>
      <c r="P15" s="143">
        <f t="shared" si="4"/>
        <v>135482.88160126319</v>
      </c>
      <c r="Q15" s="143">
        <f t="shared" si="4"/>
        <v>138343.84946976599</v>
      </c>
      <c r="R15" s="143">
        <f t="shared" ref="R15:W15" si="5">SUM(R5:R12)</f>
        <v>140251.73684420256</v>
      </c>
      <c r="S15" s="143">
        <f t="shared" si="5"/>
        <v>142430.30888137466</v>
      </c>
      <c r="T15" s="143">
        <f t="shared" si="5"/>
        <v>144775.99156954448</v>
      </c>
      <c r="U15" s="143">
        <f t="shared" si="5"/>
        <v>147242.94953296657</v>
      </c>
      <c r="V15" s="143">
        <f t="shared" si="5"/>
        <v>149326.1130421198</v>
      </c>
      <c r="W15" s="143">
        <f t="shared" si="5"/>
        <v>149977.20711792377</v>
      </c>
      <c r="X15" s="143">
        <f t="shared" ref="X15:Y15" si="6">SUM(X5:X12)</f>
        <v>151041.91691586608</v>
      </c>
      <c r="Y15" s="143">
        <f t="shared" si="6"/>
        <v>152625.69040261419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23461.304570235137</v>
      </c>
      <c r="C16" s="139">
        <f t="shared" si="7"/>
        <v>24259.50317059565</v>
      </c>
      <c r="D16" s="139">
        <f t="shared" si="7"/>
        <v>25741.238351866927</v>
      </c>
      <c r="E16" s="139">
        <f t="shared" si="7"/>
        <v>26583.160770914008</v>
      </c>
      <c r="F16" s="139">
        <f t="shared" si="7"/>
        <v>27830.48527278873</v>
      </c>
      <c r="G16" s="139">
        <f t="shared" si="7"/>
        <v>29379.939008631769</v>
      </c>
      <c r="H16" s="139">
        <f t="shared" si="7"/>
        <v>31378.972600930279</v>
      </c>
      <c r="I16" s="139">
        <f t="shared" si="7"/>
        <v>34157.224517954768</v>
      </c>
      <c r="J16" s="139">
        <f t="shared" si="7"/>
        <v>36170.168982380528</v>
      </c>
      <c r="K16" s="139">
        <f t="shared" si="7"/>
        <v>37939.16855095957</v>
      </c>
      <c r="L16" s="139">
        <f t="shared" si="7"/>
        <v>39792.191994903907</v>
      </c>
      <c r="M16" s="139">
        <f t="shared" si="7"/>
        <v>41176.152848539619</v>
      </c>
      <c r="N16" s="139">
        <f t="shared" si="7"/>
        <v>42539.192465232882</v>
      </c>
      <c r="O16" s="139">
        <f t="shared" si="7"/>
        <v>44326.133071985998</v>
      </c>
      <c r="P16" s="139">
        <f t="shared" si="7"/>
        <v>46247.581344462174</v>
      </c>
      <c r="Q16" s="139">
        <f t="shared" si="7"/>
        <v>47485.324145807514</v>
      </c>
      <c r="R16" s="139">
        <f t="shared" ref="R16:W16" si="8">SUM(R17:R18)</f>
        <v>48751.512526499238</v>
      </c>
      <c r="S16" s="139">
        <f t="shared" si="8"/>
        <v>50413.072473790919</v>
      </c>
      <c r="T16" s="139">
        <f t="shared" si="8"/>
        <v>52227.272889546701</v>
      </c>
      <c r="U16" s="139">
        <f t="shared" si="8"/>
        <v>53968.950559673605</v>
      </c>
      <c r="V16" s="139">
        <f t="shared" si="8"/>
        <v>55518.558556073964</v>
      </c>
      <c r="W16" s="139">
        <f t="shared" si="8"/>
        <v>56942.034950039</v>
      </c>
      <c r="X16" s="139">
        <f t="shared" ref="X16:Y16" si="9">SUM(X17:X18)</f>
        <v>58892.211120119413</v>
      </c>
      <c r="Y16" s="139">
        <f t="shared" si="9"/>
        <v>61732.840031502834</v>
      </c>
      <c r="DA16" s="169" t="s">
        <v>257</v>
      </c>
    </row>
    <row r="17" spans="1:105" ht="12.95" customHeight="1" x14ac:dyDescent="0.25">
      <c r="A17" s="131" t="s">
        <v>73</v>
      </c>
      <c r="B17" s="140">
        <v>18.215568899281351</v>
      </c>
      <c r="C17" s="140">
        <v>19.570336128359614</v>
      </c>
      <c r="D17" s="140">
        <v>22.02647730457852</v>
      </c>
      <c r="E17" s="140">
        <v>23.018567133063961</v>
      </c>
      <c r="F17" s="140">
        <v>25.870696032067784</v>
      </c>
      <c r="G17" s="140">
        <v>29.351613014434399</v>
      </c>
      <c r="H17" s="140">
        <v>32.076172199353174</v>
      </c>
      <c r="I17" s="140">
        <v>34.741822785511097</v>
      </c>
      <c r="J17" s="140">
        <v>37.485183079071099</v>
      </c>
      <c r="K17" s="140">
        <v>38.899523589511489</v>
      </c>
      <c r="L17" s="140">
        <v>42.274692240099597</v>
      </c>
      <c r="M17" s="140">
        <v>47.116478749656949</v>
      </c>
      <c r="N17" s="140">
        <v>55.016651120306307</v>
      </c>
      <c r="O17" s="140">
        <v>69.005706695025012</v>
      </c>
      <c r="P17" s="140">
        <v>92.468763877193723</v>
      </c>
      <c r="Q17" s="140">
        <v>129.44517379335099</v>
      </c>
      <c r="R17" s="140">
        <v>165.51906364577644</v>
      </c>
      <c r="S17" s="140">
        <v>200.44256008047012</v>
      </c>
      <c r="T17" s="140">
        <v>223.03882394530376</v>
      </c>
      <c r="U17" s="140">
        <v>258.19931782739729</v>
      </c>
      <c r="V17" s="140">
        <v>357.57608107188082</v>
      </c>
      <c r="W17" s="140">
        <v>374.7102873915145</v>
      </c>
      <c r="X17" s="140">
        <v>385.32882143695241</v>
      </c>
      <c r="Y17" s="140">
        <v>408.68938899174157</v>
      </c>
      <c r="DA17" s="170" t="s">
        <v>258</v>
      </c>
    </row>
    <row r="18" spans="1:105" ht="12" customHeight="1" x14ac:dyDescent="0.25">
      <c r="A18" s="131" t="s">
        <v>72</v>
      </c>
      <c r="B18" s="140">
        <v>23443.089001335855</v>
      </c>
      <c r="C18" s="140">
        <v>24239.93283446729</v>
      </c>
      <c r="D18" s="140">
        <v>25719.211874562348</v>
      </c>
      <c r="E18" s="140">
        <v>26560.142203780943</v>
      </c>
      <c r="F18" s="140">
        <v>27804.614576756663</v>
      </c>
      <c r="G18" s="140">
        <v>29350.587395617335</v>
      </c>
      <c r="H18" s="140">
        <v>31346.896428730925</v>
      </c>
      <c r="I18" s="140">
        <v>34122.482695169259</v>
      </c>
      <c r="J18" s="140">
        <v>36132.683799301456</v>
      </c>
      <c r="K18" s="140">
        <v>37900.269027370057</v>
      </c>
      <c r="L18" s="140">
        <v>39749.917302663809</v>
      </c>
      <c r="M18" s="140">
        <v>41129.036369789959</v>
      </c>
      <c r="N18" s="140">
        <v>42484.175814112576</v>
      </c>
      <c r="O18" s="140">
        <v>44257.127365290973</v>
      </c>
      <c r="P18" s="140">
        <v>46155.112580584981</v>
      </c>
      <c r="Q18" s="140">
        <v>47355.878972014165</v>
      </c>
      <c r="R18" s="140">
        <v>48585.993462853461</v>
      </c>
      <c r="S18" s="140">
        <v>50212.629913710451</v>
      </c>
      <c r="T18" s="140">
        <v>52004.234065601398</v>
      </c>
      <c r="U18" s="140">
        <v>53710.751241846207</v>
      </c>
      <c r="V18" s="140">
        <v>55160.982475002085</v>
      </c>
      <c r="W18" s="140">
        <v>56567.324662647487</v>
      </c>
      <c r="X18" s="140">
        <v>58506.88229868246</v>
      </c>
      <c r="Y18" s="140">
        <v>61324.150642511093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119477.70052822621</v>
      </c>
      <c r="C19" s="139">
        <f t="shared" si="10"/>
        <v>122165.37917569029</v>
      </c>
      <c r="D19" s="139">
        <f t="shared" si="10"/>
        <v>125306.95082177987</v>
      </c>
      <c r="E19" s="139">
        <f t="shared" si="10"/>
        <v>128186.35788324018</v>
      </c>
      <c r="F19" s="139">
        <f t="shared" si="10"/>
        <v>130895.08598977952</v>
      </c>
      <c r="G19" s="139">
        <f t="shared" si="10"/>
        <v>133607.15082681715</v>
      </c>
      <c r="H19" s="139">
        <f t="shared" si="10"/>
        <v>136388.83603675751</v>
      </c>
      <c r="I19" s="139">
        <f t="shared" si="10"/>
        <v>140487.92674731009</v>
      </c>
      <c r="J19" s="139">
        <f t="shared" si="10"/>
        <v>142416.49997481011</v>
      </c>
      <c r="K19" s="139">
        <f t="shared" si="10"/>
        <v>145396.81705721351</v>
      </c>
      <c r="L19" s="139">
        <f t="shared" si="10"/>
        <v>148509.16636174533</v>
      </c>
      <c r="M19" s="139">
        <f t="shared" si="10"/>
        <v>149546.65041562566</v>
      </c>
      <c r="N19" s="139">
        <f t="shared" si="10"/>
        <v>150060.89195188886</v>
      </c>
      <c r="O19" s="139">
        <f t="shared" si="10"/>
        <v>150763.81319661444</v>
      </c>
      <c r="P19" s="139">
        <f t="shared" si="10"/>
        <v>151808.81898215204</v>
      </c>
      <c r="Q19" s="139">
        <f t="shared" si="10"/>
        <v>152896.62034606258</v>
      </c>
      <c r="R19" s="139">
        <f t="shared" ref="R19:W19" si="11">SUM(R20:R26)</f>
        <v>154235.5308712952</v>
      </c>
      <c r="S19" s="139">
        <f t="shared" si="11"/>
        <v>155717.70368522327</v>
      </c>
      <c r="T19" s="139">
        <f t="shared" si="11"/>
        <v>157038.30729118449</v>
      </c>
      <c r="U19" s="139">
        <f t="shared" si="11"/>
        <v>158393.01542561734</v>
      </c>
      <c r="V19" s="139">
        <f t="shared" si="11"/>
        <v>159721.10444444441</v>
      </c>
      <c r="W19" s="139">
        <f t="shared" si="11"/>
        <v>161040.51769853645</v>
      </c>
      <c r="X19" s="139">
        <f t="shared" ref="X19:Y19" si="12">SUM(X20:X26)</f>
        <v>162354.72703244557</v>
      </c>
      <c r="Y19" s="139">
        <f t="shared" si="12"/>
        <v>163663.06066628764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8541.1097068936033</v>
      </c>
      <c r="C22" s="140">
        <v>8425.5152475245541</v>
      </c>
      <c r="D22" s="140">
        <v>8339.5325750747143</v>
      </c>
      <c r="E22" s="140">
        <v>8246.7297799957341</v>
      </c>
      <c r="F22" s="140">
        <v>8037.7641696243527</v>
      </c>
      <c r="G22" s="140">
        <v>7601.2577319249476</v>
      </c>
      <c r="H22" s="140">
        <v>6944.0457098256929</v>
      </c>
      <c r="I22" s="140">
        <v>6370.7600666558292</v>
      </c>
      <c r="J22" s="140">
        <v>6049.9073511101715</v>
      </c>
      <c r="K22" s="140">
        <v>5791.6082848738488</v>
      </c>
      <c r="L22" s="140">
        <v>5493.9116346477294</v>
      </c>
      <c r="M22" s="140">
        <v>5120.4932154783446</v>
      </c>
      <c r="N22" s="140">
        <v>4926.2434602252351</v>
      </c>
      <c r="O22" s="140">
        <v>4816.9118474077886</v>
      </c>
      <c r="P22" s="140">
        <v>4719.6097575838448</v>
      </c>
      <c r="Q22" s="140">
        <v>4544.3583203514072</v>
      </c>
      <c r="R22" s="140">
        <v>4335.1310225945763</v>
      </c>
      <c r="S22" s="140">
        <v>3838.4085879158165</v>
      </c>
      <c r="T22" s="140">
        <v>3336.1073978857316</v>
      </c>
      <c r="U22" s="140">
        <v>2481.3614684833415</v>
      </c>
      <c r="V22" s="140">
        <v>2192.5264170143673</v>
      </c>
      <c r="W22" s="140">
        <v>1866.1751501425845</v>
      </c>
      <c r="X22" s="140">
        <v>1885.1694668878424</v>
      </c>
      <c r="Y22" s="140">
        <v>1912.0501906930558</v>
      </c>
      <c r="DA22" s="170" t="s">
        <v>263</v>
      </c>
    </row>
    <row r="23" spans="1:105" ht="12" customHeight="1" x14ac:dyDescent="0.25">
      <c r="A23" s="131" t="s">
        <v>149</v>
      </c>
      <c r="B23" s="140">
        <v>9683.5235524560703</v>
      </c>
      <c r="C23" s="140">
        <v>10005.842570260415</v>
      </c>
      <c r="D23" s="140">
        <v>11280.204230883139</v>
      </c>
      <c r="E23" s="140">
        <v>12807.513699262412</v>
      </c>
      <c r="F23" s="140">
        <v>14185.25378873863</v>
      </c>
      <c r="G23" s="140">
        <v>15655.689665006663</v>
      </c>
      <c r="H23" s="140">
        <v>16844.479140741016</v>
      </c>
      <c r="I23" s="140">
        <v>17577.915785593199</v>
      </c>
      <c r="J23" s="140">
        <v>18044.056927707577</v>
      </c>
      <c r="K23" s="140">
        <v>18024.570457386399</v>
      </c>
      <c r="L23" s="140">
        <v>17636.785172480362</v>
      </c>
      <c r="M23" s="140">
        <v>16467.719762165623</v>
      </c>
      <c r="N23" s="140">
        <v>15698.499312691491</v>
      </c>
      <c r="O23" s="140">
        <v>15366.808072270123</v>
      </c>
      <c r="P23" s="140">
        <v>15412.356991343977</v>
      </c>
      <c r="Q23" s="140">
        <v>16505.107199860839</v>
      </c>
      <c r="R23" s="140">
        <v>17504.315390225394</v>
      </c>
      <c r="S23" s="140">
        <v>18631.203326061164</v>
      </c>
      <c r="T23" s="140">
        <v>18877.695151431715</v>
      </c>
      <c r="U23" s="140">
        <v>19058.269221055176</v>
      </c>
      <c r="V23" s="140">
        <v>18763.171987409823</v>
      </c>
      <c r="W23" s="140">
        <v>17330.803257178344</v>
      </c>
      <c r="X23" s="140">
        <v>15714.627714217359</v>
      </c>
      <c r="Y23" s="140">
        <v>14362.811212443574</v>
      </c>
      <c r="DA23" s="170" t="s">
        <v>264</v>
      </c>
    </row>
    <row r="24" spans="1:105" ht="12" customHeight="1" x14ac:dyDescent="0.25">
      <c r="A24" s="131" t="s">
        <v>128</v>
      </c>
      <c r="B24" s="140">
        <v>1833.6027842158251</v>
      </c>
      <c r="C24" s="140">
        <v>1943.1996789268201</v>
      </c>
      <c r="D24" s="140">
        <v>2028.7256006730879</v>
      </c>
      <c r="E24" s="140">
        <v>2109.0931991460047</v>
      </c>
      <c r="F24" s="140">
        <v>2179.8034113257536</v>
      </c>
      <c r="G24" s="140">
        <v>2265.085390451015</v>
      </c>
      <c r="H24" s="140">
        <v>2350.8913039407171</v>
      </c>
      <c r="I24" s="140">
        <v>2446.1563215899369</v>
      </c>
      <c r="J24" s="140">
        <v>2541.9699336566187</v>
      </c>
      <c r="K24" s="140">
        <v>2645.6323293206992</v>
      </c>
      <c r="L24" s="140">
        <v>2751.6726269179126</v>
      </c>
      <c r="M24" s="140">
        <v>2846.5534694415924</v>
      </c>
      <c r="N24" s="140">
        <v>2919.8645942502649</v>
      </c>
      <c r="O24" s="140">
        <v>2960.3511744414386</v>
      </c>
      <c r="P24" s="140">
        <v>3022.6757508855412</v>
      </c>
      <c r="Q24" s="140">
        <v>3162.7761830251989</v>
      </c>
      <c r="R24" s="140">
        <v>3460.5798155885936</v>
      </c>
      <c r="S24" s="140">
        <v>3620.3120439159793</v>
      </c>
      <c r="T24" s="140">
        <v>3765.4419916645925</v>
      </c>
      <c r="U24" s="140">
        <v>3825.0090035236831</v>
      </c>
      <c r="V24" s="140">
        <v>3826.3265355153017</v>
      </c>
      <c r="W24" s="140">
        <v>3643.0339050792995</v>
      </c>
      <c r="X24" s="140">
        <v>3248.2896862418997</v>
      </c>
      <c r="Y24" s="140">
        <v>2967.4242381563513</v>
      </c>
      <c r="DA24" s="170" t="s">
        <v>265</v>
      </c>
    </row>
    <row r="25" spans="1:105" ht="12" customHeight="1" x14ac:dyDescent="0.25">
      <c r="A25" s="131" t="s">
        <v>162</v>
      </c>
      <c r="B25" s="140">
        <v>57716.139896289518</v>
      </c>
      <c r="C25" s="140">
        <v>60595.559363204899</v>
      </c>
      <c r="D25" s="140">
        <v>62645.642288790696</v>
      </c>
      <c r="E25" s="140">
        <v>64377.720096953599</v>
      </c>
      <c r="F25" s="140">
        <v>65403.525739447417</v>
      </c>
      <c r="G25" s="140">
        <v>66296.774790626616</v>
      </c>
      <c r="H25" s="140">
        <v>67203.940114196259</v>
      </c>
      <c r="I25" s="140">
        <v>70371.453648326627</v>
      </c>
      <c r="J25" s="140">
        <v>72818.657723668453</v>
      </c>
      <c r="K25" s="140">
        <v>77491.704802695327</v>
      </c>
      <c r="L25" s="140">
        <v>82623.9761073439</v>
      </c>
      <c r="M25" s="140">
        <v>84632.948720679167</v>
      </c>
      <c r="N25" s="140">
        <v>85494.60213618743</v>
      </c>
      <c r="O25" s="140">
        <v>86685.862616702303</v>
      </c>
      <c r="P25" s="140">
        <v>88579.756737337855</v>
      </c>
      <c r="Q25" s="140">
        <v>89992.073272555179</v>
      </c>
      <c r="R25" s="140">
        <v>91439.769341464722</v>
      </c>
      <c r="S25" s="140">
        <v>93091.746800728783</v>
      </c>
      <c r="T25" s="140">
        <v>96898.670328002612</v>
      </c>
      <c r="U25" s="140">
        <v>100395.60142273964</v>
      </c>
      <c r="V25" s="140">
        <v>105965.82518577576</v>
      </c>
      <c r="W25" s="140">
        <v>110214.88553419802</v>
      </c>
      <c r="X25" s="140">
        <v>116771.56658388041</v>
      </c>
      <c r="Y25" s="140">
        <v>125657.34902751118</v>
      </c>
      <c r="DA25" s="170" t="s">
        <v>266</v>
      </c>
    </row>
    <row r="26" spans="1:105" ht="12" customHeight="1" x14ac:dyDescent="0.25">
      <c r="A26" s="131" t="s">
        <v>24</v>
      </c>
      <c r="B26" s="141">
        <v>41703.324588371193</v>
      </c>
      <c r="C26" s="141">
        <v>41195.262315773616</v>
      </c>
      <c r="D26" s="141">
        <v>41012.846126358221</v>
      </c>
      <c r="E26" s="141">
        <v>40645.301107882435</v>
      </c>
      <c r="F26" s="141">
        <v>41088.738880643359</v>
      </c>
      <c r="G26" s="141">
        <v>41788.343248807927</v>
      </c>
      <c r="H26" s="141">
        <v>43045.479768053818</v>
      </c>
      <c r="I26" s="141">
        <v>43721.640925144515</v>
      </c>
      <c r="J26" s="141">
        <v>42961.908038667272</v>
      </c>
      <c r="K26" s="141">
        <v>41443.301182937248</v>
      </c>
      <c r="L26" s="141">
        <v>40002.82082035541</v>
      </c>
      <c r="M26" s="141">
        <v>40478.935247860929</v>
      </c>
      <c r="N26" s="141">
        <v>41021.682448534426</v>
      </c>
      <c r="O26" s="141">
        <v>40933.879485792771</v>
      </c>
      <c r="P26" s="141">
        <v>40074.419745000821</v>
      </c>
      <c r="Q26" s="141">
        <v>38692.305370269954</v>
      </c>
      <c r="R26" s="141">
        <v>37495.735301421904</v>
      </c>
      <c r="S26" s="141">
        <v>36536.03292660154</v>
      </c>
      <c r="T26" s="141">
        <v>34160.39242219986</v>
      </c>
      <c r="U26" s="141">
        <v>32632.774309815497</v>
      </c>
      <c r="V26" s="141">
        <v>28973.254318729152</v>
      </c>
      <c r="W26" s="141">
        <v>27985.619851938172</v>
      </c>
      <c r="X26" s="141">
        <v>24735.073581218039</v>
      </c>
      <c r="Y26" s="141">
        <v>18763.425997483457</v>
      </c>
      <c r="DA26" s="171" t="s">
        <v>267</v>
      </c>
    </row>
    <row r="27" spans="1:105" ht="12" customHeight="1" x14ac:dyDescent="0.25">
      <c r="A27" s="144" t="s">
        <v>26</v>
      </c>
      <c r="B27" s="150">
        <v>3123.9560689372533</v>
      </c>
      <c r="C27" s="150">
        <v>3139.3076823870615</v>
      </c>
      <c r="D27" s="150">
        <v>3272.3882003017893</v>
      </c>
      <c r="E27" s="150">
        <v>3300.0153730519478</v>
      </c>
      <c r="F27" s="150">
        <v>3430.6132330368896</v>
      </c>
      <c r="G27" s="150">
        <v>3698.9468192641543</v>
      </c>
      <c r="H27" s="150">
        <v>3907.2134125553853</v>
      </c>
      <c r="I27" s="150">
        <v>4181.320144289115</v>
      </c>
      <c r="J27" s="150">
        <v>4267.3407901293067</v>
      </c>
      <c r="K27" s="150">
        <v>4150.3015885610712</v>
      </c>
      <c r="L27" s="150">
        <v>5090.1628669101647</v>
      </c>
      <c r="M27" s="150">
        <v>5213.2524741535117</v>
      </c>
      <c r="N27" s="150">
        <v>5156.7437678526594</v>
      </c>
      <c r="O27" s="150">
        <v>5660.213925995472</v>
      </c>
      <c r="P27" s="150">
        <v>5427.7998743155822</v>
      </c>
      <c r="Q27" s="150">
        <v>5742.5193807484902</v>
      </c>
      <c r="R27" s="150">
        <v>5810.2096602104002</v>
      </c>
      <c r="S27" s="150">
        <v>5517.046744749372</v>
      </c>
      <c r="T27" s="150">
        <v>5698.176046386523</v>
      </c>
      <c r="U27" s="150">
        <v>5993.3742749166004</v>
      </c>
      <c r="V27" s="150">
        <v>6939.0822809116416</v>
      </c>
      <c r="W27" s="150">
        <v>6299.00991902846</v>
      </c>
      <c r="X27" s="150">
        <v>4860.9347045918093</v>
      </c>
      <c r="Y27" s="150">
        <v>5529.4225213117707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119477.70052822621</v>
      </c>
      <c r="C29" s="139">
        <f t="shared" si="13"/>
        <v>122165.37917569031</v>
      </c>
      <c r="D29" s="139">
        <f t="shared" si="13"/>
        <v>125306.95082177986</v>
      </c>
      <c r="E29" s="139">
        <f t="shared" si="13"/>
        <v>128186.35788324014</v>
      </c>
      <c r="F29" s="139">
        <f t="shared" si="13"/>
        <v>130895.08598977953</v>
      </c>
      <c r="G29" s="139">
        <f t="shared" si="13"/>
        <v>133607.15082681717</v>
      </c>
      <c r="H29" s="139">
        <f t="shared" si="13"/>
        <v>136388.83603675748</v>
      </c>
      <c r="I29" s="139">
        <f t="shared" si="13"/>
        <v>140487.92674731012</v>
      </c>
      <c r="J29" s="139">
        <f t="shared" si="13"/>
        <v>142416.49997481008</v>
      </c>
      <c r="K29" s="139">
        <f t="shared" si="13"/>
        <v>145396.81705721345</v>
      </c>
      <c r="L29" s="139">
        <f t="shared" si="13"/>
        <v>148509.16636174524</v>
      </c>
      <c r="M29" s="139">
        <f t="shared" si="13"/>
        <v>149546.65041562557</v>
      </c>
      <c r="N29" s="139">
        <f t="shared" si="13"/>
        <v>150060.89195188886</v>
      </c>
      <c r="O29" s="139">
        <f t="shared" si="13"/>
        <v>150763.81319661444</v>
      </c>
      <c r="P29" s="139">
        <f t="shared" si="13"/>
        <v>151808.81898215192</v>
      </c>
      <c r="Q29" s="139">
        <f t="shared" si="13"/>
        <v>152896.62034606258</v>
      </c>
      <c r="R29" s="139">
        <f t="shared" ref="R29:W29" si="14">SUM(R30:R33)</f>
        <v>154235.53087129522</v>
      </c>
      <c r="S29" s="139">
        <f t="shared" si="14"/>
        <v>155717.70368522327</v>
      </c>
      <c r="T29" s="139">
        <f t="shared" si="14"/>
        <v>157038.30729118461</v>
      </c>
      <c r="U29" s="139">
        <f t="shared" si="14"/>
        <v>158393.01542561734</v>
      </c>
      <c r="V29" s="139">
        <f t="shared" si="14"/>
        <v>159721.10444444435</v>
      </c>
      <c r="W29" s="139">
        <f t="shared" si="14"/>
        <v>161040.51769853639</v>
      </c>
      <c r="X29" s="139">
        <f t="shared" ref="X29:Y29" si="15">SUM(X30:X33)</f>
        <v>162354.72703244566</v>
      </c>
      <c r="Y29" s="139">
        <f t="shared" si="15"/>
        <v>163663.06066628755</v>
      </c>
      <c r="DA29" s="169" t="s">
        <v>269</v>
      </c>
    </row>
    <row r="30" spans="1:105" ht="12" customHeight="1" x14ac:dyDescent="0.25">
      <c r="A30" s="131" t="s">
        <v>52</v>
      </c>
      <c r="B30" s="140">
        <v>2582.6227386936348</v>
      </c>
      <c r="C30" s="140">
        <v>2579.1805246478734</v>
      </c>
      <c r="D30" s="140">
        <v>2889.1404411424014</v>
      </c>
      <c r="E30" s="140">
        <v>3442.9247220966026</v>
      </c>
      <c r="F30" s="140">
        <v>4078.6316557132541</v>
      </c>
      <c r="G30" s="140">
        <v>4645.7006856523622</v>
      </c>
      <c r="H30" s="140">
        <v>4879.0866292819646</v>
      </c>
      <c r="I30" s="140">
        <v>4969.3591830766745</v>
      </c>
      <c r="J30" s="140">
        <v>5131.0449391773109</v>
      </c>
      <c r="K30" s="140">
        <v>5372.6955177710061</v>
      </c>
      <c r="L30" s="140">
        <v>5767.572317054939</v>
      </c>
      <c r="M30" s="140">
        <v>5636.1925285660482</v>
      </c>
      <c r="N30" s="140">
        <v>5200.5440361059873</v>
      </c>
      <c r="O30" s="140">
        <v>5149.7605375074554</v>
      </c>
      <c r="P30" s="140">
        <v>5532.6101306816681</v>
      </c>
      <c r="Q30" s="140">
        <v>6135.8239565009953</v>
      </c>
      <c r="R30" s="140">
        <v>6764.6917556617527</v>
      </c>
      <c r="S30" s="140">
        <v>7222.5712809924216</v>
      </c>
      <c r="T30" s="140">
        <v>7428.7598704509619</v>
      </c>
      <c r="U30" s="140">
        <v>7570.6687972358641</v>
      </c>
      <c r="V30" s="140">
        <v>7880.9039291774634</v>
      </c>
      <c r="W30" s="140">
        <v>8489.7783848267973</v>
      </c>
      <c r="X30" s="140">
        <v>9462.4411687082356</v>
      </c>
      <c r="Y30" s="140">
        <v>10790.800970550883</v>
      </c>
      <c r="DA30" s="170" t="s">
        <v>270</v>
      </c>
    </row>
    <row r="31" spans="1:105" ht="12" customHeight="1" x14ac:dyDescent="0.25">
      <c r="A31" s="131" t="s">
        <v>149</v>
      </c>
      <c r="B31" s="140">
        <v>20087.55843150595</v>
      </c>
      <c r="C31" s="140">
        <v>20231.947156399583</v>
      </c>
      <c r="D31" s="140">
        <v>20484.366372002387</v>
      </c>
      <c r="E31" s="140">
        <v>20888.105790979975</v>
      </c>
      <c r="F31" s="140">
        <v>21479.900392607513</v>
      </c>
      <c r="G31" s="140">
        <v>22517.675349862802</v>
      </c>
      <c r="H31" s="140">
        <v>23266.597553262429</v>
      </c>
      <c r="I31" s="140">
        <v>23908.843194460962</v>
      </c>
      <c r="J31" s="140">
        <v>24281.692654626058</v>
      </c>
      <c r="K31" s="140">
        <v>24563.522023875703</v>
      </c>
      <c r="L31" s="140">
        <v>24539.456643681344</v>
      </c>
      <c r="M31" s="140">
        <v>24147.360587873645</v>
      </c>
      <c r="N31" s="140">
        <v>23709.974180335314</v>
      </c>
      <c r="O31" s="140">
        <v>23693.206764698079</v>
      </c>
      <c r="P31" s="140">
        <v>24051.796160577182</v>
      </c>
      <c r="Q31" s="140">
        <v>25007.061453636572</v>
      </c>
      <c r="R31" s="140">
        <v>25289.939365774477</v>
      </c>
      <c r="S31" s="140">
        <v>25641.545701362698</v>
      </c>
      <c r="T31" s="140">
        <v>26385.728581687777</v>
      </c>
      <c r="U31" s="140">
        <v>27624.549416881404</v>
      </c>
      <c r="V31" s="140">
        <v>28880.741267423251</v>
      </c>
      <c r="W31" s="140">
        <v>31479.228195609019</v>
      </c>
      <c r="X31" s="140">
        <v>36324.969082828029</v>
      </c>
      <c r="Y31" s="140">
        <v>44239.342659515998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96807.51935802662</v>
      </c>
      <c r="C33" s="152">
        <v>99354.251494642856</v>
      </c>
      <c r="D33" s="152">
        <v>101933.44400863507</v>
      </c>
      <c r="E33" s="152">
        <v>103855.32737016356</v>
      </c>
      <c r="F33" s="152">
        <v>105336.55394145875</v>
      </c>
      <c r="G33" s="152">
        <v>106443.774791302</v>
      </c>
      <c r="H33" s="152">
        <v>108243.15185421308</v>
      </c>
      <c r="I33" s="152">
        <v>111609.72436977249</v>
      </c>
      <c r="J33" s="152">
        <v>113003.7623810067</v>
      </c>
      <c r="K33" s="152">
        <v>115460.59951556675</v>
      </c>
      <c r="L33" s="152">
        <v>118202.13740100896</v>
      </c>
      <c r="M33" s="152">
        <v>119763.09729918587</v>
      </c>
      <c r="N33" s="152">
        <v>121150.37373544755</v>
      </c>
      <c r="O33" s="152">
        <v>121920.84589440889</v>
      </c>
      <c r="P33" s="152">
        <v>122224.41269089306</v>
      </c>
      <c r="Q33" s="152">
        <v>121753.73493592502</v>
      </c>
      <c r="R33" s="152">
        <v>122180.89974985899</v>
      </c>
      <c r="S33" s="152">
        <v>122853.58670286815</v>
      </c>
      <c r="T33" s="152">
        <v>123223.81883904587</v>
      </c>
      <c r="U33" s="152">
        <v>123197.79721150006</v>
      </c>
      <c r="V33" s="152">
        <v>122959.45924784365</v>
      </c>
      <c r="W33" s="152">
        <v>121071.51111810058</v>
      </c>
      <c r="X33" s="152">
        <v>116567.3167809094</v>
      </c>
      <c r="Y33" s="152">
        <v>108632.91703622068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1417.9940263630417</v>
      </c>
      <c r="C3" s="125">
        <f t="shared" si="0"/>
        <v>1466.0772388038079</v>
      </c>
      <c r="D3" s="125">
        <f t="shared" si="0"/>
        <v>1473.9819938967726</v>
      </c>
      <c r="E3" s="125">
        <f t="shared" si="0"/>
        <v>1518.089100670657</v>
      </c>
      <c r="F3" s="125">
        <f t="shared" si="0"/>
        <v>1518.7157765132156</v>
      </c>
      <c r="G3" s="125">
        <f t="shared" si="0"/>
        <v>1507.9944260713353</v>
      </c>
      <c r="H3" s="125">
        <f t="shared" si="0"/>
        <v>1531.6218582027957</v>
      </c>
      <c r="I3" s="125">
        <f t="shared" si="0"/>
        <v>1489.2452001878214</v>
      </c>
      <c r="J3" s="125">
        <f t="shared" si="0"/>
        <v>1488.8599883181014</v>
      </c>
      <c r="K3" s="125">
        <f t="shared" si="0"/>
        <v>1459.6189177382994</v>
      </c>
      <c r="L3" s="125">
        <f t="shared" si="0"/>
        <v>1582.0097906389374</v>
      </c>
      <c r="M3" s="125">
        <f t="shared" si="0"/>
        <v>1396.2929097790002</v>
      </c>
      <c r="N3" s="125">
        <f t="shared" si="0"/>
        <v>1416.6650521771544</v>
      </c>
      <c r="O3" s="125">
        <f t="shared" si="0"/>
        <v>1389.8371459904806</v>
      </c>
      <c r="P3" s="125">
        <f t="shared" si="0"/>
        <v>1256.8595770865652</v>
      </c>
      <c r="Q3" s="125">
        <f t="shared" si="0"/>
        <v>1321.8894420337112</v>
      </c>
      <c r="R3" s="125">
        <f t="shared" ref="R3:W3" si="1">SUM(R4,R16,R19,R29)</f>
        <v>1370.1034474968262</v>
      </c>
      <c r="S3" s="125">
        <f t="shared" si="1"/>
        <v>1400.0093068345407</v>
      </c>
      <c r="T3" s="125">
        <f t="shared" si="1"/>
        <v>1336.2080343940966</v>
      </c>
      <c r="U3" s="125">
        <f t="shared" si="1"/>
        <v>1277.8399283773322</v>
      </c>
      <c r="V3" s="125">
        <f t="shared" si="1"/>
        <v>1196.0934612660583</v>
      </c>
      <c r="W3" s="125">
        <f t="shared" si="1"/>
        <v>1377.8702527157968</v>
      </c>
      <c r="X3" s="125">
        <f t="shared" ref="X3:Y3" si="2">SUM(X4,X16,X19,X29)</f>
        <v>1243.7786575737507</v>
      </c>
      <c r="Y3" s="125">
        <f t="shared" si="2"/>
        <v>1200.0066820279226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1131.9886101161203</v>
      </c>
      <c r="C4" s="130">
        <f t="shared" si="3"/>
        <v>1177.0134132384662</v>
      </c>
      <c r="D4" s="130">
        <f t="shared" si="3"/>
        <v>1179.061345740233</v>
      </c>
      <c r="E4" s="130">
        <f t="shared" si="3"/>
        <v>1215.5003991350654</v>
      </c>
      <c r="F4" s="130">
        <f t="shared" si="3"/>
        <v>1210.3921577842202</v>
      </c>
      <c r="G4" s="130">
        <f t="shared" si="3"/>
        <v>1193.8449478035391</v>
      </c>
      <c r="H4" s="130">
        <f t="shared" si="3"/>
        <v>1210.6626211712598</v>
      </c>
      <c r="I4" s="130">
        <f t="shared" si="3"/>
        <v>1163.4551915284571</v>
      </c>
      <c r="J4" s="130">
        <f t="shared" si="3"/>
        <v>1159.4531795821911</v>
      </c>
      <c r="K4" s="130">
        <f t="shared" si="3"/>
        <v>1125.2909021721266</v>
      </c>
      <c r="L4" s="130">
        <f t="shared" si="3"/>
        <v>1244.3348559515525</v>
      </c>
      <c r="M4" s="130">
        <f t="shared" si="3"/>
        <v>1053.8018991585786</v>
      </c>
      <c r="N4" s="130">
        <f t="shared" si="3"/>
        <v>1071.7982849409348</v>
      </c>
      <c r="O4" s="130">
        <f t="shared" si="3"/>
        <v>1044.6975438841612</v>
      </c>
      <c r="P4" s="130">
        <f t="shared" si="3"/>
        <v>912.72875742970109</v>
      </c>
      <c r="Q4" s="130">
        <f t="shared" si="3"/>
        <v>976.24415402101579</v>
      </c>
      <c r="R4" s="130">
        <f t="shared" ref="R4:W4" si="4">SUM(R5:R15)</f>
        <v>1021.3713528594729</v>
      </c>
      <c r="S4" s="130">
        <f t="shared" si="4"/>
        <v>1048.2720048964336</v>
      </c>
      <c r="T4" s="130">
        <f t="shared" si="4"/>
        <v>990.89346308450149</v>
      </c>
      <c r="U4" s="130">
        <f t="shared" si="4"/>
        <v>937.53634968733854</v>
      </c>
      <c r="V4" s="130">
        <f t="shared" si="4"/>
        <v>911.91001635791099</v>
      </c>
      <c r="W4" s="130">
        <f t="shared" si="4"/>
        <v>1072.2885418809658</v>
      </c>
      <c r="X4" s="130">
        <f t="shared" ref="X4:Y4" si="5">SUM(X5:X15)</f>
        <v>934.01143528353373</v>
      </c>
      <c r="Y4" s="130">
        <f t="shared" si="5"/>
        <v>909.09467045138661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117.72411045819018</v>
      </c>
      <c r="C7" s="132">
        <v>108.22348780648534</v>
      </c>
      <c r="D7" s="132">
        <v>99.981856238810167</v>
      </c>
      <c r="E7" s="132">
        <v>99.51181191402803</v>
      </c>
      <c r="F7" s="132">
        <v>102.83402983840683</v>
      </c>
      <c r="G7" s="132">
        <v>89.53795299434482</v>
      </c>
      <c r="H7" s="132">
        <v>74.128285360098175</v>
      </c>
      <c r="I7" s="132">
        <v>64.87818469250827</v>
      </c>
      <c r="J7" s="132">
        <v>65.860605222043759</v>
      </c>
      <c r="K7" s="132">
        <v>60.608416424731736</v>
      </c>
      <c r="L7" s="132">
        <v>58.146429151843797</v>
      </c>
      <c r="M7" s="132">
        <v>44.945326368622283</v>
      </c>
      <c r="N7" s="132">
        <v>55.050462348310319</v>
      </c>
      <c r="O7" s="132">
        <v>50.140804737869146</v>
      </c>
      <c r="P7" s="132">
        <v>45.120597934251848</v>
      </c>
      <c r="Q7" s="132">
        <v>46.585953783872412</v>
      </c>
      <c r="R7" s="132">
        <v>46.731443381887942</v>
      </c>
      <c r="S7" s="132">
        <v>42.341081287346718</v>
      </c>
      <c r="T7" s="132">
        <v>46.92745267087875</v>
      </c>
      <c r="U7" s="132">
        <v>22.620253426741375</v>
      </c>
      <c r="V7" s="132">
        <v>26.921712036551469</v>
      </c>
      <c r="W7" s="132">
        <v>20.313996119606227</v>
      </c>
      <c r="X7" s="132">
        <v>27.437689161099158</v>
      </c>
      <c r="Y7" s="132">
        <v>21.891784353197941</v>
      </c>
      <c r="DA7" s="156" t="s">
        <v>277</v>
      </c>
    </row>
    <row r="8" spans="1:105" ht="12" customHeight="1" x14ac:dyDescent="0.25">
      <c r="A8" s="131" t="s">
        <v>73</v>
      </c>
      <c r="B8" s="132">
        <v>0.23203660059508865</v>
      </c>
      <c r="C8" s="132">
        <v>0.21182866646571349</v>
      </c>
      <c r="D8" s="132">
        <v>0.21145179437921729</v>
      </c>
      <c r="E8" s="132">
        <v>0.2477536191648291</v>
      </c>
      <c r="F8" s="132">
        <v>0.24549196872730356</v>
      </c>
      <c r="G8" s="132">
        <v>0.22936372347773051</v>
      </c>
      <c r="H8" s="132">
        <v>0.16481997457943343</v>
      </c>
      <c r="I8" s="132">
        <v>0.49488427053718465</v>
      </c>
      <c r="J8" s="132">
        <v>0.48959116994783702</v>
      </c>
      <c r="K8" s="132">
        <v>0.52521429580121459</v>
      </c>
      <c r="L8" s="132">
        <v>0.53928595786264311</v>
      </c>
      <c r="M8" s="132">
        <v>0.57559223641583734</v>
      </c>
      <c r="N8" s="132">
        <v>0.63230842674655607</v>
      </c>
      <c r="O8" s="132">
        <v>0.68705934512178923</v>
      </c>
      <c r="P8" s="132">
        <v>0.91021107482765584</v>
      </c>
      <c r="Q8" s="132">
        <v>1.1262925696633537</v>
      </c>
      <c r="R8" s="132">
        <v>1.2416409663987471</v>
      </c>
      <c r="S8" s="132">
        <v>1.2816604176425632</v>
      </c>
      <c r="T8" s="132">
        <v>1.4495117039465051</v>
      </c>
      <c r="U8" s="132">
        <v>1.6053372536728567</v>
      </c>
      <c r="V8" s="132">
        <v>1.9765034297360673</v>
      </c>
      <c r="W8" s="132">
        <v>2.1743247805789285</v>
      </c>
      <c r="X8" s="132">
        <v>2.6161750143683165</v>
      </c>
      <c r="Y8" s="132">
        <v>3.1250586503359212</v>
      </c>
      <c r="DA8" s="156" t="s">
        <v>278</v>
      </c>
    </row>
    <row r="9" spans="1:105" ht="12" customHeight="1" x14ac:dyDescent="0.25">
      <c r="A9" s="131" t="s">
        <v>78</v>
      </c>
      <c r="B9" s="132">
        <v>141.44386405654146</v>
      </c>
      <c r="C9" s="132">
        <v>144.55803531510091</v>
      </c>
      <c r="D9" s="132">
        <v>151.83915549042214</v>
      </c>
      <c r="E9" s="132">
        <v>183.66834068708471</v>
      </c>
      <c r="F9" s="132">
        <v>184.73372114189164</v>
      </c>
      <c r="G9" s="132">
        <v>193.38062254256141</v>
      </c>
      <c r="H9" s="132">
        <v>216.53291541112728</v>
      </c>
      <c r="I9" s="132">
        <v>196.51068530156678</v>
      </c>
      <c r="J9" s="132">
        <v>194.04381765530007</v>
      </c>
      <c r="K9" s="132">
        <v>194.05059581413116</v>
      </c>
      <c r="L9" s="132">
        <v>191.79302672579956</v>
      </c>
      <c r="M9" s="132">
        <v>143.40698583449401</v>
      </c>
      <c r="N9" s="132">
        <v>165.06867237143476</v>
      </c>
      <c r="O9" s="132">
        <v>176.88920564054843</v>
      </c>
      <c r="P9" s="132">
        <v>118.89089705817872</v>
      </c>
      <c r="Q9" s="132">
        <v>161.97321089239088</v>
      </c>
      <c r="R9" s="132">
        <v>170.22502727754463</v>
      </c>
      <c r="S9" s="132">
        <v>187.30358482159562</v>
      </c>
      <c r="T9" s="132">
        <v>141.50295902089437</v>
      </c>
      <c r="U9" s="132">
        <v>150.51269086729062</v>
      </c>
      <c r="V9" s="132">
        <v>166.64400128073677</v>
      </c>
      <c r="W9" s="132">
        <v>236.31524262412347</v>
      </c>
      <c r="X9" s="132">
        <v>188.47155731334857</v>
      </c>
      <c r="Y9" s="132">
        <v>174.95177611920471</v>
      </c>
      <c r="DA9" s="156" t="s">
        <v>279</v>
      </c>
    </row>
    <row r="10" spans="1:105" ht="12" customHeight="1" x14ac:dyDescent="0.25">
      <c r="A10" s="131" t="s">
        <v>128</v>
      </c>
      <c r="B10" s="132">
        <v>49.168870163370592</v>
      </c>
      <c r="C10" s="132">
        <v>40.729754454350875</v>
      </c>
      <c r="D10" s="132">
        <v>54.199666127447856</v>
      </c>
      <c r="E10" s="132">
        <v>55.079236893353205</v>
      </c>
      <c r="F10" s="132">
        <v>46.221640059808863</v>
      </c>
      <c r="G10" s="132">
        <v>49.345826463910129</v>
      </c>
      <c r="H10" s="132">
        <v>53.796705072997874</v>
      </c>
      <c r="I10" s="132">
        <v>44.251508367573493</v>
      </c>
      <c r="J10" s="132">
        <v>38.180984579697011</v>
      </c>
      <c r="K10" s="132">
        <v>30.641777756763524</v>
      </c>
      <c r="L10" s="132">
        <v>29.440918014625815</v>
      </c>
      <c r="M10" s="132">
        <v>32.557160633880493</v>
      </c>
      <c r="N10" s="132">
        <v>30.034727483012389</v>
      </c>
      <c r="O10" s="132">
        <v>31.675834727810855</v>
      </c>
      <c r="P10" s="132">
        <v>39.883885782517062</v>
      </c>
      <c r="Q10" s="132">
        <v>33.067170301276207</v>
      </c>
      <c r="R10" s="132">
        <v>40.782365727233881</v>
      </c>
      <c r="S10" s="132">
        <v>46.797600781904592</v>
      </c>
      <c r="T10" s="132">
        <v>53.674746422922524</v>
      </c>
      <c r="U10" s="132">
        <v>47.257721582219297</v>
      </c>
      <c r="V10" s="132">
        <v>42.502568691737906</v>
      </c>
      <c r="W10" s="132">
        <v>45.023152666979733</v>
      </c>
      <c r="X10" s="132">
        <v>36.013860055992389</v>
      </c>
      <c r="Y10" s="132">
        <v>34.548030095757305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573.22555318576883</v>
      </c>
      <c r="C12" s="132">
        <v>626.86723123629656</v>
      </c>
      <c r="D12" s="132">
        <v>628.58351708408213</v>
      </c>
      <c r="E12" s="132">
        <v>653.31985855217943</v>
      </c>
      <c r="F12" s="132">
        <v>651.66827484653982</v>
      </c>
      <c r="G12" s="132">
        <v>641.93443988220065</v>
      </c>
      <c r="H12" s="132">
        <v>639.53064504615315</v>
      </c>
      <c r="I12" s="132">
        <v>625.0223268521064</v>
      </c>
      <c r="J12" s="132">
        <v>639.10912430062251</v>
      </c>
      <c r="K12" s="132">
        <v>653.00567911928943</v>
      </c>
      <c r="L12" s="132">
        <v>770.68408266054098</v>
      </c>
      <c r="M12" s="132">
        <v>667.24785895425441</v>
      </c>
      <c r="N12" s="132">
        <v>684.41694257156223</v>
      </c>
      <c r="O12" s="132">
        <v>681.16525158214756</v>
      </c>
      <c r="P12" s="132">
        <v>614.11705880123429</v>
      </c>
      <c r="Q12" s="132">
        <v>662.87860163795995</v>
      </c>
      <c r="R12" s="132">
        <v>683.83736205465664</v>
      </c>
      <c r="S12" s="132">
        <v>690.51281842133062</v>
      </c>
      <c r="T12" s="132">
        <v>684.84632935562468</v>
      </c>
      <c r="U12" s="132">
        <v>669.3270340634574</v>
      </c>
      <c r="V12" s="132">
        <v>649.71804314795168</v>
      </c>
      <c r="W12" s="132">
        <v>721.47894075931731</v>
      </c>
      <c r="X12" s="132">
        <v>636.92977798860397</v>
      </c>
      <c r="Y12" s="132">
        <v>655.52966354394164</v>
      </c>
      <c r="DA12" s="156" t="s">
        <v>282</v>
      </c>
    </row>
    <row r="13" spans="1:105" ht="12" customHeight="1" x14ac:dyDescent="0.25">
      <c r="A13" s="131" t="s">
        <v>77</v>
      </c>
      <c r="B13" s="132">
        <v>2.7805396159874451</v>
      </c>
      <c r="C13" s="132">
        <v>2.7082545665669029</v>
      </c>
      <c r="D13" s="132">
        <v>2.6129740930905907</v>
      </c>
      <c r="E13" s="132">
        <v>2.4679744657460554</v>
      </c>
      <c r="F13" s="132">
        <v>2.3497353366236191</v>
      </c>
      <c r="G13" s="132">
        <v>2.0269678444742945</v>
      </c>
      <c r="H13" s="132">
        <v>1.8313463053736707</v>
      </c>
      <c r="I13" s="132">
        <v>6.6419019002501969</v>
      </c>
      <c r="J13" s="132">
        <v>6.7509834709811507</v>
      </c>
      <c r="K13" s="132">
        <v>6.9376232180974844</v>
      </c>
      <c r="L13" s="132">
        <v>7.2113450500678926</v>
      </c>
      <c r="M13" s="132">
        <v>7.4030273438540322</v>
      </c>
      <c r="N13" s="132">
        <v>7.5760650128844782</v>
      </c>
      <c r="O13" s="132">
        <v>7.672319160314145</v>
      </c>
      <c r="P13" s="132">
        <v>7.6471577779486717</v>
      </c>
      <c r="Q13" s="132">
        <v>8.2445937238793405</v>
      </c>
      <c r="R13" s="132">
        <v>8.8728623624150593</v>
      </c>
      <c r="S13" s="132">
        <v>8.6305770605320404</v>
      </c>
      <c r="T13" s="132">
        <v>9.1836424733831876</v>
      </c>
      <c r="U13" s="132">
        <v>9.7805282865437739</v>
      </c>
      <c r="V13" s="132">
        <v>10.432183578563921</v>
      </c>
      <c r="W13" s="132">
        <v>11.56925976017804</v>
      </c>
      <c r="X13" s="132">
        <v>12.702225602252083</v>
      </c>
      <c r="Y13" s="132">
        <v>13.260610092083146</v>
      </c>
      <c r="DA13" s="156" t="s">
        <v>283</v>
      </c>
    </row>
    <row r="14" spans="1:105" ht="12" customHeight="1" x14ac:dyDescent="0.25">
      <c r="A14" s="60" t="s">
        <v>76</v>
      </c>
      <c r="B14" s="65">
        <v>242.44221013043699</v>
      </c>
      <c r="C14" s="65">
        <v>248.7057093494501</v>
      </c>
      <c r="D14" s="65">
        <v>236.61381381317716</v>
      </c>
      <c r="E14" s="65">
        <v>215.83390926582251</v>
      </c>
      <c r="F14" s="65">
        <v>217.02615139741104</v>
      </c>
      <c r="G14" s="65">
        <v>212.18054538773953</v>
      </c>
      <c r="H14" s="65">
        <v>219.41371612029289</v>
      </c>
      <c r="I14" s="65">
        <v>220.79681627276531</v>
      </c>
      <c r="J14" s="65">
        <v>210.18323128866484</v>
      </c>
      <c r="K14" s="65">
        <v>174.74048260984554</v>
      </c>
      <c r="L14" s="65">
        <v>181.39541728178364</v>
      </c>
      <c r="M14" s="65">
        <v>153.46098974239464</v>
      </c>
      <c r="N14" s="65">
        <v>124.44836633064807</v>
      </c>
      <c r="O14" s="65">
        <v>91.797003958108007</v>
      </c>
      <c r="P14" s="65">
        <v>82.296060973495287</v>
      </c>
      <c r="Q14" s="65">
        <v>57.906582217314728</v>
      </c>
      <c r="R14" s="65">
        <v>64.99434929035138</v>
      </c>
      <c r="S14" s="65">
        <v>66.480971847040891</v>
      </c>
      <c r="T14" s="65">
        <v>48.75587685488604</v>
      </c>
      <c r="U14" s="65">
        <v>32.030558139805123</v>
      </c>
      <c r="V14" s="65">
        <v>9.1155105935235667</v>
      </c>
      <c r="W14" s="65">
        <v>29.760981522034722</v>
      </c>
      <c r="X14" s="65">
        <v>24.949128258777524</v>
      </c>
      <c r="Y14" s="65">
        <v>0.99856420210553243</v>
      </c>
      <c r="DA14" s="109" t="s">
        <v>284</v>
      </c>
    </row>
    <row r="15" spans="1:105" ht="12" customHeight="1" x14ac:dyDescent="0.25">
      <c r="A15" s="133" t="s">
        <v>80</v>
      </c>
      <c r="B15" s="134">
        <v>4.9714259052298946</v>
      </c>
      <c r="C15" s="134">
        <v>5.0091118437496469</v>
      </c>
      <c r="D15" s="134">
        <v>5.0189110988238408</v>
      </c>
      <c r="E15" s="134">
        <v>5.3715137376867279</v>
      </c>
      <c r="F15" s="134">
        <v>5.313113194811014</v>
      </c>
      <c r="G15" s="134">
        <v>5.2092289648306007</v>
      </c>
      <c r="H15" s="134">
        <v>5.2641878806373121</v>
      </c>
      <c r="I15" s="134">
        <v>4.8588838711497013</v>
      </c>
      <c r="J15" s="134">
        <v>4.8348418949338434</v>
      </c>
      <c r="K15" s="134">
        <v>4.781112933466579</v>
      </c>
      <c r="L15" s="134">
        <v>5.1243511090281864</v>
      </c>
      <c r="M15" s="134">
        <v>4.2049580446627743</v>
      </c>
      <c r="N15" s="134">
        <v>4.5707403963361308</v>
      </c>
      <c r="O15" s="134">
        <v>4.6700647322411442</v>
      </c>
      <c r="P15" s="134">
        <v>3.8628880272475445</v>
      </c>
      <c r="Q15" s="134">
        <v>4.4617488946590029</v>
      </c>
      <c r="R15" s="134">
        <v>4.6863017989848057</v>
      </c>
      <c r="S15" s="134">
        <v>4.9237102590406359</v>
      </c>
      <c r="T15" s="134">
        <v>4.5529445819652992</v>
      </c>
      <c r="U15" s="134">
        <v>4.4022260676081153</v>
      </c>
      <c r="V15" s="134">
        <v>4.5994935991095645</v>
      </c>
      <c r="W15" s="134">
        <v>5.652643648147496</v>
      </c>
      <c r="X15" s="134">
        <v>4.8910218890918333</v>
      </c>
      <c r="Y15" s="134">
        <v>4.7891833947603297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22.733278859691765</v>
      </c>
      <c r="C16" s="130">
        <f t="shared" si="6"/>
        <v>22.524980063922737</v>
      </c>
      <c r="D16" s="130">
        <f t="shared" si="6"/>
        <v>22.67178742429013</v>
      </c>
      <c r="E16" s="130">
        <f t="shared" si="6"/>
        <v>22.257224505731781</v>
      </c>
      <c r="F16" s="130">
        <f t="shared" si="6"/>
        <v>21.988690723888457</v>
      </c>
      <c r="G16" s="130">
        <f t="shared" si="6"/>
        <v>21.769040457070119</v>
      </c>
      <c r="H16" s="130">
        <f t="shared" si="6"/>
        <v>21.65701556706588</v>
      </c>
      <c r="I16" s="130">
        <f t="shared" si="6"/>
        <v>21.787324253998619</v>
      </c>
      <c r="J16" s="130">
        <f t="shared" si="6"/>
        <v>21.2802964300433</v>
      </c>
      <c r="K16" s="130">
        <f t="shared" si="6"/>
        <v>21.880178920266367</v>
      </c>
      <c r="L16" s="130">
        <f t="shared" si="6"/>
        <v>22.395999392133632</v>
      </c>
      <c r="M16" s="130">
        <f t="shared" si="6"/>
        <v>22.197469848023694</v>
      </c>
      <c r="N16" s="130">
        <f t="shared" si="6"/>
        <v>22.053586106119262</v>
      </c>
      <c r="O16" s="130">
        <f t="shared" si="6"/>
        <v>22.054495416641938</v>
      </c>
      <c r="P16" s="130">
        <f t="shared" si="6"/>
        <v>22.141610995215856</v>
      </c>
      <c r="Q16" s="130">
        <f t="shared" si="6"/>
        <v>21.826634259675476</v>
      </c>
      <c r="R16" s="130">
        <f t="shared" ref="R16:W16" si="7">SUM(R17:R18)</f>
        <v>21.630992900157796</v>
      </c>
      <c r="S16" s="130">
        <f t="shared" si="7"/>
        <v>21.482300242326339</v>
      </c>
      <c r="T16" s="130">
        <f t="shared" si="7"/>
        <v>22.324821981335393</v>
      </c>
      <c r="U16" s="130">
        <f t="shared" si="7"/>
        <v>21.770248836464479</v>
      </c>
      <c r="V16" s="130">
        <f t="shared" si="7"/>
        <v>20.561499050173239</v>
      </c>
      <c r="W16" s="130">
        <f t="shared" si="7"/>
        <v>20.691985480840092</v>
      </c>
      <c r="X16" s="130">
        <f t="shared" ref="X16:Y16" si="8">SUM(X17:X18)</f>
        <v>21.342508751614016</v>
      </c>
      <c r="Y16" s="130">
        <f t="shared" si="8"/>
        <v>21.331586607588697</v>
      </c>
      <c r="DA16" s="155" t="s">
        <v>215</v>
      </c>
    </row>
    <row r="17" spans="1:105" ht="12.95" customHeight="1" x14ac:dyDescent="0.25">
      <c r="A17" s="131" t="s">
        <v>73</v>
      </c>
      <c r="B17" s="132">
        <v>3.1466115793930875E-2</v>
      </c>
      <c r="C17" s="132">
        <v>3.3145882241346833E-2</v>
      </c>
      <c r="D17" s="132">
        <v>3.6414837314988166E-2</v>
      </c>
      <c r="E17" s="132">
        <v>3.7354872569699944E-2</v>
      </c>
      <c r="F17" s="132">
        <v>4.0943289417994418E-2</v>
      </c>
      <c r="G17" s="132">
        <v>4.5302499678727015E-2</v>
      </c>
      <c r="H17" s="132">
        <v>4.8441787805917097E-2</v>
      </c>
      <c r="I17" s="132">
        <v>5.1326696456287083E-2</v>
      </c>
      <c r="J17" s="132">
        <v>5.4114097781098561E-2</v>
      </c>
      <c r="K17" s="132">
        <v>5.5800161566669219E-2</v>
      </c>
      <c r="L17" s="132">
        <v>6.0143560458761236E-2</v>
      </c>
      <c r="M17" s="132">
        <v>6.5562191155393912E-2</v>
      </c>
      <c r="N17" s="132">
        <v>7.5085501701609617E-2</v>
      </c>
      <c r="O17" s="132">
        <v>9.2109866039494476E-2</v>
      </c>
      <c r="P17" s="132">
        <v>0.1211331413220413</v>
      </c>
      <c r="Q17" s="132">
        <v>0.16613243188599661</v>
      </c>
      <c r="R17" s="132">
        <v>0.21054648933235368</v>
      </c>
      <c r="S17" s="132">
        <v>0.25148853489980733</v>
      </c>
      <c r="T17" s="132">
        <v>0.28733983011011632</v>
      </c>
      <c r="U17" s="132">
        <v>0.31754410922147658</v>
      </c>
      <c r="V17" s="132">
        <v>0.30803689876472595</v>
      </c>
      <c r="W17" s="132">
        <v>0.32585161040678445</v>
      </c>
      <c r="X17" s="132">
        <v>0.33988556363304168</v>
      </c>
      <c r="Y17" s="132">
        <v>0.35080627560773064</v>
      </c>
      <c r="DA17" s="156" t="s">
        <v>286</v>
      </c>
    </row>
    <row r="18" spans="1:105" ht="12" customHeight="1" x14ac:dyDescent="0.25">
      <c r="A18" s="131" t="s">
        <v>72</v>
      </c>
      <c r="B18" s="132">
        <v>22.701812743897836</v>
      </c>
      <c r="C18" s="132">
        <v>22.491834181681391</v>
      </c>
      <c r="D18" s="132">
        <v>22.635372586975141</v>
      </c>
      <c r="E18" s="132">
        <v>22.21986963316208</v>
      </c>
      <c r="F18" s="132">
        <v>21.947747434470461</v>
      </c>
      <c r="G18" s="132">
        <v>21.723737957391393</v>
      </c>
      <c r="H18" s="132">
        <v>21.608573779259963</v>
      </c>
      <c r="I18" s="132">
        <v>21.735997557542333</v>
      </c>
      <c r="J18" s="132">
        <v>21.226182332262201</v>
      </c>
      <c r="K18" s="132">
        <v>21.824378758699698</v>
      </c>
      <c r="L18" s="132">
        <v>22.33585583167487</v>
      </c>
      <c r="M18" s="132">
        <v>22.1319076568683</v>
      </c>
      <c r="N18" s="132">
        <v>21.978500604417654</v>
      </c>
      <c r="O18" s="132">
        <v>21.962385550602445</v>
      </c>
      <c r="P18" s="132">
        <v>22.020477853893816</v>
      </c>
      <c r="Q18" s="132">
        <v>21.660501827789478</v>
      </c>
      <c r="R18" s="132">
        <v>21.420446410825441</v>
      </c>
      <c r="S18" s="132">
        <v>21.230811707426533</v>
      </c>
      <c r="T18" s="132">
        <v>22.037482151225277</v>
      </c>
      <c r="U18" s="132">
        <v>21.452704727243002</v>
      </c>
      <c r="V18" s="132">
        <v>20.253462151408513</v>
      </c>
      <c r="W18" s="132">
        <v>20.366133870433309</v>
      </c>
      <c r="X18" s="132">
        <v>21.002623187980973</v>
      </c>
      <c r="Y18" s="132">
        <v>20.980780331980966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141.34255263341018</v>
      </c>
      <c r="C19" s="130">
        <f t="shared" si="9"/>
        <v>141.92649069148953</v>
      </c>
      <c r="D19" s="130">
        <f t="shared" si="9"/>
        <v>144.03617373642834</v>
      </c>
      <c r="E19" s="130">
        <f t="shared" si="9"/>
        <v>146.00695848461544</v>
      </c>
      <c r="F19" s="130">
        <f t="shared" si="9"/>
        <v>147.58738901718095</v>
      </c>
      <c r="G19" s="130">
        <f t="shared" si="9"/>
        <v>150.25208413473598</v>
      </c>
      <c r="H19" s="130">
        <f t="shared" si="9"/>
        <v>152.81137481290142</v>
      </c>
      <c r="I19" s="130">
        <f t="shared" si="9"/>
        <v>155.2335840690547</v>
      </c>
      <c r="J19" s="130">
        <f t="shared" si="9"/>
        <v>156.59186196215248</v>
      </c>
      <c r="K19" s="130">
        <f t="shared" si="9"/>
        <v>158.05652789633618</v>
      </c>
      <c r="L19" s="130">
        <f t="shared" si="9"/>
        <v>158.00398938017227</v>
      </c>
      <c r="M19" s="130">
        <f t="shared" si="9"/>
        <v>159.41104522755865</v>
      </c>
      <c r="N19" s="130">
        <f t="shared" si="9"/>
        <v>160.83747245846595</v>
      </c>
      <c r="O19" s="130">
        <f t="shared" si="9"/>
        <v>160.81604842175076</v>
      </c>
      <c r="P19" s="130">
        <f t="shared" si="9"/>
        <v>162.37072116453967</v>
      </c>
      <c r="Q19" s="130">
        <f t="shared" si="9"/>
        <v>163.10052750344519</v>
      </c>
      <c r="R19" s="130">
        <f t="shared" ref="R19:W19" si="10">SUM(R20:R27)</f>
        <v>163.70163021853801</v>
      </c>
      <c r="S19" s="130">
        <f t="shared" si="10"/>
        <v>165.00700879418713</v>
      </c>
      <c r="T19" s="130">
        <f t="shared" si="10"/>
        <v>161.77068351426013</v>
      </c>
      <c r="U19" s="130">
        <f t="shared" si="10"/>
        <v>157.98536355965109</v>
      </c>
      <c r="V19" s="130">
        <f t="shared" si="10"/>
        <v>134.87461422560585</v>
      </c>
      <c r="W19" s="130">
        <f t="shared" si="10"/>
        <v>146.49119291740308</v>
      </c>
      <c r="X19" s="130">
        <f t="shared" ref="X19:Y19" si="11">SUM(X20:X27)</f>
        <v>151.28241758220719</v>
      </c>
      <c r="Y19" s="130">
        <f t="shared" si="11"/>
        <v>150.7520125182418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13.417764004406566</v>
      </c>
      <c r="C22" s="132">
        <v>12.915549166859396</v>
      </c>
      <c r="D22" s="132">
        <v>12.655461044078912</v>
      </c>
      <c r="E22" s="132">
        <v>12.497388429910039</v>
      </c>
      <c r="F22" s="132">
        <v>12.302857521868305</v>
      </c>
      <c r="G22" s="132">
        <v>11.80074004090884</v>
      </c>
      <c r="H22" s="132">
        <v>10.197424012214835</v>
      </c>
      <c r="I22" s="132">
        <v>8.959820466563075</v>
      </c>
      <c r="J22" s="132">
        <v>8.9053449069330348</v>
      </c>
      <c r="K22" s="132">
        <v>8.6878862407884743</v>
      </c>
      <c r="L22" s="132">
        <v>8.0902862393857848</v>
      </c>
      <c r="M22" s="132">
        <v>7.0132290913949218</v>
      </c>
      <c r="N22" s="132">
        <v>6.9419710136844888</v>
      </c>
      <c r="O22" s="132">
        <v>6.862118735905562</v>
      </c>
      <c r="P22" s="132">
        <v>6.6731251955847997</v>
      </c>
      <c r="Q22" s="132">
        <v>6.3853273855170372</v>
      </c>
      <c r="R22" s="132">
        <v>6.2333029637698747</v>
      </c>
      <c r="S22" s="132">
        <v>5.3731921434357321</v>
      </c>
      <c r="T22" s="132">
        <v>5.2007502525950136</v>
      </c>
      <c r="U22" s="132">
        <v>2.3524034950127004</v>
      </c>
      <c r="V22" s="132">
        <v>2.6778580408345891</v>
      </c>
      <c r="W22" s="132">
        <v>1.9230632097144875</v>
      </c>
      <c r="X22" s="132">
        <v>2.6402988010676443</v>
      </c>
      <c r="Y22" s="132">
        <v>2.255163196243152</v>
      </c>
      <c r="DA22" s="156" t="s">
        <v>290</v>
      </c>
    </row>
    <row r="23" spans="1:105" ht="12" customHeight="1" x14ac:dyDescent="0.25">
      <c r="A23" s="131" t="s">
        <v>149</v>
      </c>
      <c r="B23" s="132">
        <v>14.641995299667798</v>
      </c>
      <c r="C23" s="132">
        <v>14.676346689763722</v>
      </c>
      <c r="D23" s="132">
        <v>15.689780804797842</v>
      </c>
      <c r="E23" s="132">
        <v>18.921926578085664</v>
      </c>
      <c r="F23" s="132">
        <v>19.399823267453321</v>
      </c>
      <c r="G23" s="132">
        <v>21.670105165085303</v>
      </c>
      <c r="H23" s="132">
        <v>23.694718089472712</v>
      </c>
      <c r="I23" s="132">
        <v>23.72808386305373</v>
      </c>
      <c r="J23" s="132">
        <v>24.03374269897056</v>
      </c>
      <c r="K23" s="132">
        <v>24.186317330766041</v>
      </c>
      <c r="L23" s="132">
        <v>24.310260307180354</v>
      </c>
      <c r="M23" s="132">
        <v>20.390293401099346</v>
      </c>
      <c r="N23" s="132">
        <v>20.280604647771494</v>
      </c>
      <c r="O23" s="132">
        <v>20.154182599407211</v>
      </c>
      <c r="P23" s="132">
        <v>18.254316224773813</v>
      </c>
      <c r="Q23" s="132">
        <v>21.213125950434339</v>
      </c>
      <c r="R23" s="132">
        <v>21.663432280669458</v>
      </c>
      <c r="S23" s="132">
        <v>22.647832294863569</v>
      </c>
      <c r="T23" s="132">
        <v>21.857196976040406</v>
      </c>
      <c r="U23" s="132">
        <v>22.547448255832034</v>
      </c>
      <c r="V23" s="132">
        <v>14.83621128532268</v>
      </c>
      <c r="W23" s="132">
        <v>19.054349526470844</v>
      </c>
      <c r="X23" s="132">
        <v>14.9373310151874</v>
      </c>
      <c r="Y23" s="132">
        <v>14.332417064402918</v>
      </c>
      <c r="DA23" s="156" t="s">
        <v>291</v>
      </c>
    </row>
    <row r="24" spans="1:105" ht="12" customHeight="1" x14ac:dyDescent="0.25">
      <c r="A24" s="131" t="s">
        <v>128</v>
      </c>
      <c r="B24" s="132">
        <v>3.1384385210662105</v>
      </c>
      <c r="C24" s="132">
        <v>3.4089385809027806</v>
      </c>
      <c r="D24" s="132">
        <v>3.4099641391041611</v>
      </c>
      <c r="E24" s="132">
        <v>3.3902386010577947</v>
      </c>
      <c r="F24" s="132">
        <v>3.386614454378591</v>
      </c>
      <c r="G24" s="132">
        <v>3.4630299419368242</v>
      </c>
      <c r="H24" s="132">
        <v>3.4784453999170108</v>
      </c>
      <c r="I24" s="132">
        <v>3.5177091732691474</v>
      </c>
      <c r="J24" s="132">
        <v>3.545412668798273</v>
      </c>
      <c r="K24" s="132">
        <v>3.584877445300128</v>
      </c>
      <c r="L24" s="132">
        <v>3.6000966027430623</v>
      </c>
      <c r="M24" s="132">
        <v>3.6603802087678137</v>
      </c>
      <c r="N24" s="132">
        <v>3.7241719150959582</v>
      </c>
      <c r="O24" s="132">
        <v>3.6757559858606768</v>
      </c>
      <c r="P24" s="132">
        <v>3.6421675278870169</v>
      </c>
      <c r="Q24" s="132">
        <v>3.6968021836765166</v>
      </c>
      <c r="R24" s="132">
        <v>4.1940745135227813</v>
      </c>
      <c r="S24" s="132">
        <v>4.4334396308211117</v>
      </c>
      <c r="T24" s="132">
        <v>4.9602492778512852</v>
      </c>
      <c r="U24" s="132">
        <v>4.3138175407385395</v>
      </c>
      <c r="V24" s="132">
        <v>3.8160039651838602</v>
      </c>
      <c r="W24" s="132">
        <v>3.9972256649205322</v>
      </c>
      <c r="X24" s="132">
        <v>3.3177822483928301</v>
      </c>
      <c r="Y24" s="132">
        <v>3.0844720538557699</v>
      </c>
      <c r="DA24" s="156" t="s">
        <v>292</v>
      </c>
    </row>
    <row r="25" spans="1:105" ht="12" customHeight="1" x14ac:dyDescent="0.25">
      <c r="A25" s="131" t="s">
        <v>162</v>
      </c>
      <c r="B25" s="132">
        <v>58.378574071324849</v>
      </c>
      <c r="C25" s="132">
        <v>61.892699976085268</v>
      </c>
      <c r="D25" s="132">
        <v>62.564892202246192</v>
      </c>
      <c r="E25" s="132">
        <v>63.671628980064675</v>
      </c>
      <c r="F25" s="132">
        <v>64.200684740734687</v>
      </c>
      <c r="G25" s="132">
        <v>65.097202422184324</v>
      </c>
      <c r="H25" s="132">
        <v>64.754221677836767</v>
      </c>
      <c r="I25" s="132">
        <v>66.866495159930977</v>
      </c>
      <c r="J25" s="132">
        <v>69.188382148216917</v>
      </c>
      <c r="K25" s="132">
        <v>73.802403425852262</v>
      </c>
      <c r="L25" s="132">
        <v>79.416261277549751</v>
      </c>
      <c r="M25" s="132">
        <v>81.533998311437813</v>
      </c>
      <c r="N25" s="132">
        <v>81.752962845462619</v>
      </c>
      <c r="O25" s="132">
        <v>82.926665872709989</v>
      </c>
      <c r="P25" s="132">
        <v>86.776234405988845</v>
      </c>
      <c r="Q25" s="132">
        <v>88.327245309589969</v>
      </c>
      <c r="R25" s="132">
        <v>88.602104841302051</v>
      </c>
      <c r="S25" s="132">
        <v>88.890277021490022</v>
      </c>
      <c r="T25" s="132">
        <v>93.218502974555918</v>
      </c>
      <c r="U25" s="132">
        <v>91.836680467927806</v>
      </c>
      <c r="V25" s="132">
        <v>87.562782303467131</v>
      </c>
      <c r="W25" s="132">
        <v>91.377809025720552</v>
      </c>
      <c r="X25" s="132">
        <v>102.96884625903095</v>
      </c>
      <c r="Y25" s="132">
        <v>115.49045683439006</v>
      </c>
      <c r="DA25" s="156" t="s">
        <v>293</v>
      </c>
    </row>
    <row r="26" spans="1:105" ht="12" customHeight="1" x14ac:dyDescent="0.25">
      <c r="A26" s="131" t="s">
        <v>24</v>
      </c>
      <c r="B26" s="65">
        <v>50.667070504786565</v>
      </c>
      <c r="C26" s="65">
        <v>47.910342348385683</v>
      </c>
      <c r="D26" s="65">
        <v>48.569643903896861</v>
      </c>
      <c r="E26" s="65">
        <v>46.355440555858415</v>
      </c>
      <c r="F26" s="65">
        <v>47.079266298438235</v>
      </c>
      <c r="G26" s="65">
        <v>46.931238722832205</v>
      </c>
      <c r="H26" s="65">
        <v>49.325172684190981</v>
      </c>
      <c r="I26" s="65">
        <v>50.680649954819032</v>
      </c>
      <c r="J26" s="65">
        <v>49.342625282999819</v>
      </c>
      <c r="K26" s="65">
        <v>46.099256695245764</v>
      </c>
      <c r="L26" s="65">
        <v>40.823026483837808</v>
      </c>
      <c r="M26" s="65">
        <v>44.956222460774505</v>
      </c>
      <c r="N26" s="65">
        <v>46.223488605668919</v>
      </c>
      <c r="O26" s="65">
        <v>45.221142940679023</v>
      </c>
      <c r="P26" s="65">
        <v>45.002263880812507</v>
      </c>
      <c r="Q26" s="65">
        <v>41.397373191854143</v>
      </c>
      <c r="R26" s="65">
        <v>40.899085352721848</v>
      </c>
      <c r="S26" s="65">
        <v>41.52357466832305</v>
      </c>
      <c r="T26" s="65">
        <v>34.372075176811649</v>
      </c>
      <c r="U26" s="65">
        <v>34.746019819056613</v>
      </c>
      <c r="V26" s="65">
        <v>23.792764649714208</v>
      </c>
      <c r="W26" s="65">
        <v>28.137369738212108</v>
      </c>
      <c r="X26" s="65">
        <v>25.11858918114228</v>
      </c>
      <c r="Y26" s="65">
        <v>13.434301305721366</v>
      </c>
      <c r="DA26" s="109" t="s">
        <v>294</v>
      </c>
    </row>
    <row r="27" spans="1:105" ht="12" customHeight="1" x14ac:dyDescent="0.25">
      <c r="A27" s="144" t="s">
        <v>26</v>
      </c>
      <c r="B27" s="145">
        <v>1.098710232158211</v>
      </c>
      <c r="C27" s="145">
        <v>1.1226139294926911</v>
      </c>
      <c r="D27" s="145">
        <v>1.146431642304385</v>
      </c>
      <c r="E27" s="145">
        <v>1.1703353396388647</v>
      </c>
      <c r="F27" s="145">
        <v>1.218142734307825</v>
      </c>
      <c r="G27" s="145">
        <v>1.2897678417884775</v>
      </c>
      <c r="H27" s="145">
        <v>1.3613929492691308</v>
      </c>
      <c r="I27" s="145">
        <v>1.4808254514187458</v>
      </c>
      <c r="J27" s="145">
        <v>1.5763542562338779</v>
      </c>
      <c r="K27" s="145">
        <v>1.6957867583834914</v>
      </c>
      <c r="L27" s="145">
        <v>1.7640584694754948</v>
      </c>
      <c r="M27" s="145">
        <v>1.8569217540842642</v>
      </c>
      <c r="N27" s="145">
        <v>1.9142734307824592</v>
      </c>
      <c r="O27" s="145">
        <v>1.9761822871883044</v>
      </c>
      <c r="P27" s="145">
        <v>2.022613929492691</v>
      </c>
      <c r="Q27" s="145">
        <v>2.0806534823731737</v>
      </c>
      <c r="R27" s="145">
        <v>2.1096302665520219</v>
      </c>
      <c r="S27" s="145">
        <v>2.1386930352536551</v>
      </c>
      <c r="T27" s="145">
        <v>2.1619088564058471</v>
      </c>
      <c r="U27" s="145">
        <v>2.1889939810834038</v>
      </c>
      <c r="V27" s="145">
        <v>2.1889939810834029</v>
      </c>
      <c r="W27" s="145">
        <v>2.0013757523645723</v>
      </c>
      <c r="X27" s="145">
        <v>2.2995700773860706</v>
      </c>
      <c r="Y27" s="145">
        <v>2.1552020636285456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121.9295847538195</v>
      </c>
      <c r="C29" s="130">
        <f t="shared" si="12"/>
        <v>124.61235480992913</v>
      </c>
      <c r="D29" s="130">
        <f t="shared" si="12"/>
        <v>128.21268699582095</v>
      </c>
      <c r="E29" s="130">
        <f t="shared" si="12"/>
        <v>134.32451854524422</v>
      </c>
      <c r="F29" s="130">
        <f t="shared" si="12"/>
        <v>138.74753898792596</v>
      </c>
      <c r="G29" s="130">
        <f t="shared" si="12"/>
        <v>142.12835367599016</v>
      </c>
      <c r="H29" s="130">
        <f t="shared" si="12"/>
        <v>146.49084665156849</v>
      </c>
      <c r="I29" s="130">
        <f t="shared" si="12"/>
        <v>148.76910033631106</v>
      </c>
      <c r="J29" s="130">
        <f t="shared" si="12"/>
        <v>151.53465034371439</v>
      </c>
      <c r="K29" s="130">
        <f t="shared" si="12"/>
        <v>154.39130874957033</v>
      </c>
      <c r="L29" s="130">
        <f t="shared" si="12"/>
        <v>157.27494591507883</v>
      </c>
      <c r="M29" s="130">
        <f t="shared" si="12"/>
        <v>160.88249554483912</v>
      </c>
      <c r="N29" s="130">
        <f t="shared" si="12"/>
        <v>161.97570867163461</v>
      </c>
      <c r="O29" s="130">
        <f t="shared" si="12"/>
        <v>162.26905826792671</v>
      </c>
      <c r="P29" s="130">
        <f t="shared" si="12"/>
        <v>159.61848749710862</v>
      </c>
      <c r="Q29" s="130">
        <f t="shared" si="12"/>
        <v>160.71812624957471</v>
      </c>
      <c r="R29" s="130">
        <f t="shared" ref="R29:W29" si="13">SUM(R30:R33)</f>
        <v>163.39947151865755</v>
      </c>
      <c r="S29" s="130">
        <f t="shared" si="13"/>
        <v>165.24799290159362</v>
      </c>
      <c r="T29" s="130">
        <f t="shared" si="13"/>
        <v>161.21906581399969</v>
      </c>
      <c r="U29" s="130">
        <f t="shared" si="13"/>
        <v>160.54796629387809</v>
      </c>
      <c r="V29" s="130">
        <f t="shared" si="13"/>
        <v>128.74733163236823</v>
      </c>
      <c r="W29" s="130">
        <f t="shared" si="13"/>
        <v>138.3985324365878</v>
      </c>
      <c r="X29" s="130">
        <f t="shared" ref="X29:Y29" si="14">SUM(X30:X33)</f>
        <v>137.1422959563958</v>
      </c>
      <c r="Y29" s="130">
        <f t="shared" si="14"/>
        <v>118.82841245070549</v>
      </c>
      <c r="DA29" s="155" t="s">
        <v>217</v>
      </c>
    </row>
    <row r="30" spans="1:105" ht="12" customHeight="1" x14ac:dyDescent="0.25">
      <c r="A30" s="131" t="s">
        <v>52</v>
      </c>
      <c r="B30" s="132">
        <v>3.2960447119518479</v>
      </c>
      <c r="C30" s="132">
        <v>3.2960447119518475</v>
      </c>
      <c r="D30" s="132">
        <v>3.2960447119518479</v>
      </c>
      <c r="E30" s="132">
        <v>4.3947549441100593</v>
      </c>
      <c r="F30" s="132">
        <v>5.4934651762682689</v>
      </c>
      <c r="G30" s="132">
        <v>6.592175408426483</v>
      </c>
      <c r="H30" s="132">
        <v>6.592175408426483</v>
      </c>
      <c r="I30" s="132">
        <v>6.592175408426483</v>
      </c>
      <c r="J30" s="132">
        <v>6.5921754084264821</v>
      </c>
      <c r="K30" s="132">
        <v>6.5921754084264821</v>
      </c>
      <c r="L30" s="132">
        <v>8.7895098882201168</v>
      </c>
      <c r="M30" s="132">
        <v>7.6907996560619072</v>
      </c>
      <c r="N30" s="132">
        <v>6.5921754084264892</v>
      </c>
      <c r="O30" s="132">
        <v>7.6907996560619125</v>
      </c>
      <c r="P30" s="132">
        <v>4.3947549441100637</v>
      </c>
      <c r="Q30" s="132">
        <v>9.114703353396381</v>
      </c>
      <c r="R30" s="132">
        <v>9.62889079965605</v>
      </c>
      <c r="S30" s="132">
        <v>9.555288048151322</v>
      </c>
      <c r="T30" s="132">
        <v>9.8047291487532124</v>
      </c>
      <c r="U30" s="132">
        <v>9.6245055889939763</v>
      </c>
      <c r="V30" s="132">
        <v>8.1325021496130674</v>
      </c>
      <c r="W30" s="132">
        <v>8.7543422184006907</v>
      </c>
      <c r="X30" s="132">
        <v>9.8036113499570057</v>
      </c>
      <c r="Y30" s="132">
        <v>10.30679277730011</v>
      </c>
      <c r="DA30" s="156" t="s">
        <v>296</v>
      </c>
    </row>
    <row r="31" spans="1:105" ht="12" customHeight="1" x14ac:dyDescent="0.25">
      <c r="A31" s="131" t="s">
        <v>149</v>
      </c>
      <c r="B31" s="132">
        <v>25.254335261881515</v>
      </c>
      <c r="C31" s="132">
        <v>25.459422466204735</v>
      </c>
      <c r="D31" s="132">
        <v>26.006086153051442</v>
      </c>
      <c r="E31" s="132">
        <v>26.895561474393492</v>
      </c>
      <c r="F31" s="132">
        <v>27.357922310153704</v>
      </c>
      <c r="G31" s="132">
        <v>30.069790935920832</v>
      </c>
      <c r="H31" s="132">
        <v>30.969594848794522</v>
      </c>
      <c r="I31" s="132">
        <v>31.390944202005944</v>
      </c>
      <c r="J31" s="132">
        <v>31.78733283027908</v>
      </c>
      <c r="K31" s="132">
        <v>32.574161821638597</v>
      </c>
      <c r="L31" s="132">
        <v>32.658676397967781</v>
      </c>
      <c r="M31" s="132">
        <v>32.063114058245546</v>
      </c>
      <c r="N31" s="132">
        <v>31.735590445294815</v>
      </c>
      <c r="O31" s="132">
        <v>31.364802824033703</v>
      </c>
      <c r="P31" s="132">
        <v>30.22894551035624</v>
      </c>
      <c r="Q31" s="132">
        <v>34.494496969039183</v>
      </c>
      <c r="R31" s="132">
        <v>34.128140604283544</v>
      </c>
      <c r="S31" s="132">
        <v>31.534006587920029</v>
      </c>
      <c r="T31" s="132">
        <v>34.329217748458206</v>
      </c>
      <c r="U31" s="132">
        <v>38.722310554395754</v>
      </c>
      <c r="V31" s="132">
        <v>23.643931542241056</v>
      </c>
      <c r="W31" s="132">
        <v>33.426018216803335</v>
      </c>
      <c r="X31" s="132">
        <v>33.850356338518509</v>
      </c>
      <c r="Y31" s="132">
        <v>43.914060549089854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93.379204779986139</v>
      </c>
      <c r="C33" s="68">
        <v>95.856887631772551</v>
      </c>
      <c r="D33" s="68">
        <v>98.910556130817668</v>
      </c>
      <c r="E33" s="68">
        <v>103.03420212674067</v>
      </c>
      <c r="F33" s="68">
        <v>105.89615150150399</v>
      </c>
      <c r="G33" s="68">
        <v>105.46638733164284</v>
      </c>
      <c r="H33" s="68">
        <v>108.92907639434748</v>
      </c>
      <c r="I33" s="68">
        <v>110.78598072587863</v>
      </c>
      <c r="J33" s="68">
        <v>113.15514210500884</v>
      </c>
      <c r="K33" s="68">
        <v>115.22497151950525</v>
      </c>
      <c r="L33" s="68">
        <v>115.82675962889094</v>
      </c>
      <c r="M33" s="68">
        <v>121.12858183053166</v>
      </c>
      <c r="N33" s="68">
        <v>123.64794281791329</v>
      </c>
      <c r="O33" s="68">
        <v>123.21345578783109</v>
      </c>
      <c r="P33" s="68">
        <v>124.99478704264233</v>
      </c>
      <c r="Q33" s="68">
        <v>117.10892592713914</v>
      </c>
      <c r="R33" s="68">
        <v>119.64244011471794</v>
      </c>
      <c r="S33" s="68">
        <v>124.15869826552226</v>
      </c>
      <c r="T33" s="68">
        <v>117.08511891678828</v>
      </c>
      <c r="U33" s="68">
        <v>112.20115015048836</v>
      </c>
      <c r="V33" s="68">
        <v>96.970897940514092</v>
      </c>
      <c r="W33" s="68">
        <v>96.218172001383792</v>
      </c>
      <c r="X33" s="68">
        <v>93.488328267920295</v>
      </c>
      <c r="Y33" s="68">
        <v>64.607559124315529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1004.7367206126597</v>
      </c>
      <c r="C3" s="125">
        <f t="shared" si="0"/>
        <v>1053.2994639376479</v>
      </c>
      <c r="D3" s="125">
        <f t="shared" si="0"/>
        <v>1064.478594782353</v>
      </c>
      <c r="E3" s="125">
        <f t="shared" si="0"/>
        <v>1098.6070857867933</v>
      </c>
      <c r="F3" s="125">
        <f t="shared" si="0"/>
        <v>1107.9752336842421</v>
      </c>
      <c r="G3" s="125">
        <f t="shared" si="0"/>
        <v>1108.6157854041733</v>
      </c>
      <c r="H3" s="125">
        <f t="shared" si="0"/>
        <v>1133.8326626672003</v>
      </c>
      <c r="I3" s="125">
        <f t="shared" si="0"/>
        <v>1129.3752627143092</v>
      </c>
      <c r="J3" s="125">
        <f t="shared" si="0"/>
        <v>1143.0587016535856</v>
      </c>
      <c r="K3" s="125">
        <f t="shared" si="0"/>
        <v>1136.2853963039172</v>
      </c>
      <c r="L3" s="125">
        <f t="shared" si="0"/>
        <v>1248.9382702716916</v>
      </c>
      <c r="M3" s="125">
        <f t="shared" si="0"/>
        <v>1125.5099733298798</v>
      </c>
      <c r="N3" s="125">
        <f t="shared" si="0"/>
        <v>1149.3052571598807</v>
      </c>
      <c r="O3" s="125">
        <f t="shared" si="0"/>
        <v>1141.3141779811212</v>
      </c>
      <c r="P3" s="125">
        <f t="shared" si="0"/>
        <v>1054.6385270193152</v>
      </c>
      <c r="Q3" s="125">
        <f t="shared" si="0"/>
        <v>1111.4799884574095</v>
      </c>
      <c r="R3" s="125">
        <f t="shared" ref="R3:W3" si="1">SUM(R4,R16,R19,R29)</f>
        <v>1160.0731812781062</v>
      </c>
      <c r="S3" s="125">
        <f t="shared" si="1"/>
        <v>1195.2827299574617</v>
      </c>
      <c r="T3" s="125">
        <f t="shared" si="1"/>
        <v>1168.5291677343989</v>
      </c>
      <c r="U3" s="125">
        <f t="shared" si="1"/>
        <v>1140.2500620359356</v>
      </c>
      <c r="V3" s="125">
        <f t="shared" si="1"/>
        <v>1088.0429730777741</v>
      </c>
      <c r="W3" s="125">
        <f t="shared" si="1"/>
        <v>1248.5156412846432</v>
      </c>
      <c r="X3" s="125">
        <f t="shared" ref="X3:Y3" si="2">SUM(X4,X16,X19,X29)</f>
        <v>1160.3839644715006</v>
      </c>
      <c r="Y3" s="125">
        <f t="shared" si="2"/>
        <v>1140.7779371902798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776.5939239556335</v>
      </c>
      <c r="C4" s="130">
        <f t="shared" si="3"/>
        <v>820.15005458905557</v>
      </c>
      <c r="D4" s="130">
        <f t="shared" si="3"/>
        <v>823.65790055763239</v>
      </c>
      <c r="E4" s="130">
        <f t="shared" si="3"/>
        <v>850.12085046986294</v>
      </c>
      <c r="F4" s="130">
        <f t="shared" si="3"/>
        <v>852.08336259747523</v>
      </c>
      <c r="G4" s="130">
        <f t="shared" si="3"/>
        <v>845.13026476595769</v>
      </c>
      <c r="H4" s="130">
        <f t="shared" si="3"/>
        <v>860.55611313395252</v>
      </c>
      <c r="I4" s="130">
        <f t="shared" si="3"/>
        <v>845.65010933572387</v>
      </c>
      <c r="J4" s="130">
        <f t="shared" si="3"/>
        <v>850.95512411094023</v>
      </c>
      <c r="K4" s="130">
        <f t="shared" si="3"/>
        <v>835.72668265812649</v>
      </c>
      <c r="L4" s="130">
        <f t="shared" si="3"/>
        <v>940.55363472366798</v>
      </c>
      <c r="M4" s="130">
        <f t="shared" si="3"/>
        <v>808.78040357220607</v>
      </c>
      <c r="N4" s="130">
        <f t="shared" si="3"/>
        <v>826.14802347852685</v>
      </c>
      <c r="O4" s="130">
        <f t="shared" si="3"/>
        <v>812.54599305220836</v>
      </c>
      <c r="P4" s="130">
        <f t="shared" si="3"/>
        <v>719.60854148650787</v>
      </c>
      <c r="Q4" s="130">
        <f t="shared" si="3"/>
        <v>772.65340308177292</v>
      </c>
      <c r="R4" s="130">
        <f t="shared" ref="R4:W4" si="4">SUM(R5:R15)</f>
        <v>813.4173517814769</v>
      </c>
      <c r="S4" s="130">
        <f t="shared" si="4"/>
        <v>839.49662155454519</v>
      </c>
      <c r="T4" s="130">
        <f t="shared" si="4"/>
        <v>807.56444297419966</v>
      </c>
      <c r="U4" s="130">
        <f t="shared" si="4"/>
        <v>780.2289974886163</v>
      </c>
      <c r="V4" s="130">
        <f t="shared" si="4"/>
        <v>768.70231701665352</v>
      </c>
      <c r="W4" s="130">
        <f t="shared" si="4"/>
        <v>908.44267314266369</v>
      </c>
      <c r="X4" s="130">
        <f t="shared" ref="X4:Y4" si="5">SUM(X5:X15)</f>
        <v>808.51470803936729</v>
      </c>
      <c r="Y4" s="130">
        <f t="shared" si="5"/>
        <v>801.67567548067825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54.157878737201891</v>
      </c>
      <c r="C7" s="132">
        <v>49.893357666742155</v>
      </c>
      <c r="D7" s="132">
        <v>46.350551353610946</v>
      </c>
      <c r="E7" s="132">
        <v>46.511324141271217</v>
      </c>
      <c r="F7" s="132">
        <v>48.542335350146331</v>
      </c>
      <c r="G7" s="132">
        <v>42.490142922798029</v>
      </c>
      <c r="H7" s="132">
        <v>35.307289200859117</v>
      </c>
      <c r="I7" s="132">
        <v>31.174388238234055</v>
      </c>
      <c r="J7" s="132">
        <v>32.183960390960522</v>
      </c>
      <c r="K7" s="132">
        <v>30.2069629728961</v>
      </c>
      <c r="L7" s="132">
        <v>29.678857970683545</v>
      </c>
      <c r="M7" s="132">
        <v>23.711150708037508</v>
      </c>
      <c r="N7" s="132">
        <v>30.484769049481148</v>
      </c>
      <c r="O7" s="132">
        <v>29.006155347844</v>
      </c>
      <c r="P7" s="132">
        <v>26.385747998630276</v>
      </c>
      <c r="Q7" s="132">
        <v>27.428894890829373</v>
      </c>
      <c r="R7" s="132">
        <v>27.813282918029845</v>
      </c>
      <c r="S7" s="132">
        <v>25.370735180998</v>
      </c>
      <c r="T7" s="132">
        <v>28.378263940553012</v>
      </c>
      <c r="U7" s="132">
        <v>13.788943359606833</v>
      </c>
      <c r="V7" s="132">
        <v>16.479685647926122</v>
      </c>
      <c r="W7" s="132">
        <v>12.4773350806917</v>
      </c>
      <c r="X7" s="132">
        <v>16.990089191853126</v>
      </c>
      <c r="Y7" s="132">
        <v>13.986813110971957</v>
      </c>
      <c r="DA7" s="156" t="s">
        <v>305</v>
      </c>
    </row>
    <row r="8" spans="1:105" ht="12" customHeight="1" x14ac:dyDescent="0.25">
      <c r="A8" s="131" t="s">
        <v>73</v>
      </c>
      <c r="B8" s="132">
        <v>0.23567718827702933</v>
      </c>
      <c r="C8" s="132">
        <v>0.21880650861921977</v>
      </c>
      <c r="D8" s="132">
        <v>0.23046772784916014</v>
      </c>
      <c r="E8" s="132">
        <v>0.28556131455470218</v>
      </c>
      <c r="F8" s="132">
        <v>0.29484271918542154</v>
      </c>
      <c r="G8" s="132">
        <v>0.29681123465416576</v>
      </c>
      <c r="H8" s="132">
        <v>0.23099838357970889</v>
      </c>
      <c r="I8" s="132">
        <v>0.76232420789901612</v>
      </c>
      <c r="J8" s="132">
        <v>0.78814133794440111</v>
      </c>
      <c r="K8" s="132">
        <v>0.87615838319556094</v>
      </c>
      <c r="L8" s="132">
        <v>0.92347543634551899</v>
      </c>
      <c r="M8" s="132">
        <v>1.0213534309584569</v>
      </c>
      <c r="N8" s="132">
        <v>1.1690139296104103</v>
      </c>
      <c r="O8" s="132">
        <v>1.32975243989303</v>
      </c>
      <c r="P8" s="132">
        <v>1.8388480376927034</v>
      </c>
      <c r="Q8" s="132">
        <v>2.3506173518680917</v>
      </c>
      <c r="R8" s="132">
        <v>2.6740790178046496</v>
      </c>
      <c r="S8" s="132">
        <v>2.8442990173976135</v>
      </c>
      <c r="T8" s="132">
        <v>3.3435243004529474</v>
      </c>
      <c r="U8" s="132">
        <v>3.8316600331261257</v>
      </c>
      <c r="V8" s="132">
        <v>4.8772988930004146</v>
      </c>
      <c r="W8" s="132">
        <v>5.5099751049940275</v>
      </c>
      <c r="X8" s="132">
        <v>6.8133210280708587</v>
      </c>
      <c r="Y8" s="132">
        <v>8.3117930119317229</v>
      </c>
      <c r="DA8" s="156" t="s">
        <v>306</v>
      </c>
    </row>
    <row r="9" spans="1:105" ht="12" customHeight="1" x14ac:dyDescent="0.25">
      <c r="A9" s="131" t="s">
        <v>78</v>
      </c>
      <c r="B9" s="132">
        <v>70.333723316029094</v>
      </c>
      <c r="C9" s="132">
        <v>72.535553324650891</v>
      </c>
      <c r="D9" s="132">
        <v>77.447438258112712</v>
      </c>
      <c r="E9" s="132">
        <v>95.180962003772493</v>
      </c>
      <c r="F9" s="132">
        <v>97.048625091525253</v>
      </c>
      <c r="G9" s="132">
        <v>102.87663877187462</v>
      </c>
      <c r="H9" s="132">
        <v>116.50163733971034</v>
      </c>
      <c r="I9" s="132">
        <v>106.67157522466668</v>
      </c>
      <c r="J9" s="132">
        <v>106.23304509121118</v>
      </c>
      <c r="K9" s="132">
        <v>107.09686549480598</v>
      </c>
      <c r="L9" s="132">
        <v>106.65575974870124</v>
      </c>
      <c r="M9" s="132">
        <v>80.654187112463433</v>
      </c>
      <c r="N9" s="132">
        <v>94.653878264569897</v>
      </c>
      <c r="O9" s="132">
        <v>103.98363778056505</v>
      </c>
      <c r="P9" s="132">
        <v>70.64638351115056</v>
      </c>
      <c r="Q9" s="132">
        <v>99.39368343356054</v>
      </c>
      <c r="R9" s="132">
        <v>107.400856950472</v>
      </c>
      <c r="S9" s="132">
        <v>122.17109298517438</v>
      </c>
      <c r="T9" s="132">
        <v>95.473175107083264</v>
      </c>
      <c r="U9" s="132">
        <v>105.66502380041115</v>
      </c>
      <c r="V9" s="132">
        <v>120.51536445337349</v>
      </c>
      <c r="W9" s="132">
        <v>174.01170633554932</v>
      </c>
      <c r="X9" s="132">
        <v>141.09830923075052</v>
      </c>
      <c r="Y9" s="132">
        <v>132.27195091809551</v>
      </c>
      <c r="DA9" s="156" t="s">
        <v>307</v>
      </c>
    </row>
    <row r="10" spans="1:105" ht="12" customHeight="1" x14ac:dyDescent="0.25">
      <c r="A10" s="131" t="s">
        <v>128</v>
      </c>
      <c r="B10" s="132">
        <v>22.291539590639807</v>
      </c>
      <c r="C10" s="132">
        <v>18.753483936601754</v>
      </c>
      <c r="D10" s="132">
        <v>25.770316496356639</v>
      </c>
      <c r="E10" s="132">
        <v>26.677657127125617</v>
      </c>
      <c r="F10" s="132">
        <v>22.720138217263656</v>
      </c>
      <c r="G10" s="132">
        <v>24.647844958383942</v>
      </c>
      <c r="H10" s="132">
        <v>27.257629289169</v>
      </c>
      <c r="I10" s="132">
        <v>22.607150169735178</v>
      </c>
      <c r="J10" s="132">
        <v>19.675532125360498</v>
      </c>
      <c r="K10" s="132">
        <v>15.940909813904828</v>
      </c>
      <c r="L10" s="132">
        <v>15.516621492752526</v>
      </c>
      <c r="M10" s="132">
        <v>17.549742154881876</v>
      </c>
      <c r="N10" s="132">
        <v>16.531706837672839</v>
      </c>
      <c r="O10" s="132">
        <v>17.702801445680834</v>
      </c>
      <c r="P10" s="132">
        <v>22.301816307400426</v>
      </c>
      <c r="Q10" s="132">
        <v>18.496357520016499</v>
      </c>
      <c r="R10" s="132">
        <v>22.825101562399691</v>
      </c>
      <c r="S10" s="132">
        <v>26.208060394802569</v>
      </c>
      <c r="T10" s="132">
        <v>30.07562304562094</v>
      </c>
      <c r="U10" s="132">
        <v>26.487614194517349</v>
      </c>
      <c r="V10" s="132">
        <v>23.827909006818224</v>
      </c>
      <c r="W10" s="132">
        <v>25.244259076803701</v>
      </c>
      <c r="X10" s="132">
        <v>20.194322567788312</v>
      </c>
      <c r="Y10" s="132">
        <v>19.372936138533923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451.50001646349835</v>
      </c>
      <c r="C12" s="132">
        <v>495.6277667455841</v>
      </c>
      <c r="D12" s="132">
        <v>498.79271915594097</v>
      </c>
      <c r="E12" s="132">
        <v>520.26413903895002</v>
      </c>
      <c r="F12" s="132">
        <v>520.69398275391268</v>
      </c>
      <c r="G12" s="132">
        <v>514.65424023085575</v>
      </c>
      <c r="H12" s="132">
        <v>514.52732309348687</v>
      </c>
      <c r="I12" s="132">
        <v>505.00643544624012</v>
      </c>
      <c r="J12" s="132">
        <v>518.57386860305166</v>
      </c>
      <c r="K12" s="132">
        <v>532.44430955146402</v>
      </c>
      <c r="L12" s="132">
        <v>631.55097548764957</v>
      </c>
      <c r="M12" s="132">
        <v>549.35838151935445</v>
      </c>
      <c r="N12" s="132">
        <v>566.37253531463807</v>
      </c>
      <c r="O12" s="132">
        <v>566.5908913108625</v>
      </c>
      <c r="P12" s="132">
        <v>512.08907812900213</v>
      </c>
      <c r="Q12" s="132">
        <v>554.47999662604491</v>
      </c>
      <c r="R12" s="132">
        <v>574.25739102755063</v>
      </c>
      <c r="S12" s="132">
        <v>582.94163951053599</v>
      </c>
      <c r="T12" s="132">
        <v>581.36209635367527</v>
      </c>
      <c r="U12" s="132">
        <v>571.2796458395062</v>
      </c>
      <c r="V12" s="132">
        <v>557.57836844424367</v>
      </c>
      <c r="W12" s="132">
        <v>622.93094856070547</v>
      </c>
      <c r="X12" s="132">
        <v>553.46699042690364</v>
      </c>
      <c r="Y12" s="132">
        <v>573.8381277374491</v>
      </c>
      <c r="DA12" s="156" t="s">
        <v>310</v>
      </c>
    </row>
    <row r="13" spans="1:105" ht="12" customHeight="1" x14ac:dyDescent="0.25">
      <c r="A13" s="131" t="s">
        <v>77</v>
      </c>
      <c r="B13" s="132">
        <v>4.2816281770587281</v>
      </c>
      <c r="C13" s="132">
        <v>4.2299095705011007</v>
      </c>
      <c r="D13" s="132">
        <v>4.1464947030428316</v>
      </c>
      <c r="E13" s="132">
        <v>3.9827033137783663</v>
      </c>
      <c r="F13" s="132">
        <v>3.8767388423993787</v>
      </c>
      <c r="G13" s="132">
        <v>3.6553070916813502</v>
      </c>
      <c r="H13" s="132">
        <v>3.6520122643871513</v>
      </c>
      <c r="I13" s="132">
        <v>14.495184232879764</v>
      </c>
      <c r="J13" s="132">
        <v>15.313654283208145</v>
      </c>
      <c r="K13" s="132">
        <v>16.188312836636062</v>
      </c>
      <c r="L13" s="132">
        <v>17.158281968833506</v>
      </c>
      <c r="M13" s="132">
        <v>18.086930809672552</v>
      </c>
      <c r="N13" s="132">
        <v>18.997828985515039</v>
      </c>
      <c r="O13" s="132">
        <v>19.779067166144785</v>
      </c>
      <c r="P13" s="132">
        <v>20.156182036063836</v>
      </c>
      <c r="Q13" s="132">
        <v>22.165496800660005</v>
      </c>
      <c r="R13" s="132">
        <v>24.477311671284312</v>
      </c>
      <c r="S13" s="132">
        <v>24.534748434981612</v>
      </c>
      <c r="T13" s="132">
        <v>27.278537873437365</v>
      </c>
      <c r="U13" s="132">
        <v>30.359708516548796</v>
      </c>
      <c r="V13" s="132">
        <v>33.862256558979695</v>
      </c>
      <c r="W13" s="132">
        <v>39.251064293888511</v>
      </c>
      <c r="X13" s="132">
        <v>44.795965229134218</v>
      </c>
      <c r="Y13" s="132">
        <v>48.273273838827812</v>
      </c>
      <c r="DA13" s="156" t="s">
        <v>311</v>
      </c>
    </row>
    <row r="14" spans="1:105" ht="12" customHeight="1" x14ac:dyDescent="0.25">
      <c r="A14" s="60" t="s">
        <v>76</v>
      </c>
      <c r="B14" s="65">
        <v>168.82203457769879</v>
      </c>
      <c r="C14" s="65">
        <v>173.88206499260667</v>
      </c>
      <c r="D14" s="65">
        <v>165.90100176389538</v>
      </c>
      <c r="E14" s="65">
        <v>151.84698979272363</v>
      </c>
      <c r="F14" s="65">
        <v>153.59358642823153</v>
      </c>
      <c r="G14" s="65">
        <v>151.30005059087918</v>
      </c>
      <c r="H14" s="65">
        <v>157.81503568212295</v>
      </c>
      <c r="I14" s="65">
        <v>160.0741679449194</v>
      </c>
      <c r="J14" s="65">
        <v>153.35208038427007</v>
      </c>
      <c r="K14" s="65">
        <v>128.19205067175736</v>
      </c>
      <c r="L14" s="65">
        <v>133.94531150967381</v>
      </c>
      <c r="M14" s="65">
        <v>114.19369979217495</v>
      </c>
      <c r="N14" s="65">
        <v>93.367550700703262</v>
      </c>
      <c r="O14" s="65">
        <v>69.48362282897692</v>
      </c>
      <c r="P14" s="65">
        <v>62.327597439320492</v>
      </c>
      <c r="Q14" s="65">
        <v>43.876607564134538</v>
      </c>
      <c r="R14" s="65">
        <v>49.283026834950981</v>
      </c>
      <c r="S14" s="65">
        <v>50.502335771614398</v>
      </c>
      <c r="T14" s="65">
        <v>37.100277771411633</v>
      </c>
      <c r="U14" s="65">
        <v>24.414175677291649</v>
      </c>
      <c r="V14" s="65">
        <v>6.9619404132023908</v>
      </c>
      <c r="W14" s="65">
        <v>23.364741041883445</v>
      </c>
      <c r="X14" s="65">
        <v>20.264688475774861</v>
      </c>
      <c r="Y14" s="65">
        <v>0.83159733010791126</v>
      </c>
      <c r="DA14" s="109" t="s">
        <v>312</v>
      </c>
    </row>
    <row r="15" spans="1:105" ht="12" customHeight="1" x14ac:dyDescent="0.25">
      <c r="A15" s="133" t="s">
        <v>80</v>
      </c>
      <c r="B15" s="134">
        <v>4.9714259052298946</v>
      </c>
      <c r="C15" s="134">
        <v>5.0091118437496469</v>
      </c>
      <c r="D15" s="134">
        <v>5.0189110988238408</v>
      </c>
      <c r="E15" s="134">
        <v>5.3715137376867279</v>
      </c>
      <c r="F15" s="134">
        <v>5.313113194811014</v>
      </c>
      <c r="G15" s="134">
        <v>5.2092289648306007</v>
      </c>
      <c r="H15" s="134">
        <v>5.2641878806373121</v>
      </c>
      <c r="I15" s="134">
        <v>4.8588838711497013</v>
      </c>
      <c r="J15" s="134">
        <v>4.8348418949338434</v>
      </c>
      <c r="K15" s="134">
        <v>4.781112933466579</v>
      </c>
      <c r="L15" s="134">
        <v>5.1243511090281864</v>
      </c>
      <c r="M15" s="134">
        <v>4.2049580446627743</v>
      </c>
      <c r="N15" s="134">
        <v>4.5707403963361308</v>
      </c>
      <c r="O15" s="134">
        <v>4.6700647322411442</v>
      </c>
      <c r="P15" s="134">
        <v>3.8628880272475445</v>
      </c>
      <c r="Q15" s="134">
        <v>4.4617488946590029</v>
      </c>
      <c r="R15" s="134">
        <v>4.6863017989848057</v>
      </c>
      <c r="S15" s="134">
        <v>4.9237102590406359</v>
      </c>
      <c r="T15" s="134">
        <v>4.5529445819652992</v>
      </c>
      <c r="U15" s="134">
        <v>4.4022260676081153</v>
      </c>
      <c r="V15" s="134">
        <v>4.5994935991095645</v>
      </c>
      <c r="W15" s="134">
        <v>5.652643648147496</v>
      </c>
      <c r="X15" s="134">
        <v>4.8910218890918333</v>
      </c>
      <c r="Y15" s="134">
        <v>4.7891833947603297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47.487387085340607</v>
      </c>
      <c r="C16" s="130">
        <f t="shared" si="6"/>
        <v>49.144879506658704</v>
      </c>
      <c r="D16" s="130">
        <f t="shared" si="6"/>
        <v>52.230394969756667</v>
      </c>
      <c r="E16" s="130">
        <f t="shared" si="6"/>
        <v>53.981776228545641</v>
      </c>
      <c r="F16" s="130">
        <f t="shared" si="6"/>
        <v>56.591872404518945</v>
      </c>
      <c r="G16" s="130">
        <f t="shared" si="6"/>
        <v>59.829737535701838</v>
      </c>
      <c r="H16" s="130">
        <f t="shared" si="6"/>
        <v>64.010634633373456</v>
      </c>
      <c r="I16" s="130">
        <f t="shared" si="6"/>
        <v>69.779048817516994</v>
      </c>
      <c r="J16" s="130">
        <f t="shared" si="6"/>
        <v>74.003531106494819</v>
      </c>
      <c r="K16" s="130">
        <f t="shared" si="6"/>
        <v>77.746060525870959</v>
      </c>
      <c r="L16" s="130">
        <f t="shared" si="6"/>
        <v>82.00377497756304</v>
      </c>
      <c r="M16" s="130">
        <f t="shared" si="6"/>
        <v>84.660015711115861</v>
      </c>
      <c r="N16" s="130">
        <f t="shared" si="6"/>
        <v>87.716731271207451</v>
      </c>
      <c r="O16" s="130">
        <f t="shared" si="6"/>
        <v>91.586135359677883</v>
      </c>
      <c r="P16" s="130">
        <f t="shared" si="6"/>
        <v>96.225819551656556</v>
      </c>
      <c r="Q16" s="130">
        <f t="shared" si="6"/>
        <v>99.006386088283932</v>
      </c>
      <c r="R16" s="130">
        <f t="shared" ref="R16:W16" si="7">SUM(R17:R18)</f>
        <v>102.55135057768189</v>
      </c>
      <c r="S16" s="130">
        <f t="shared" si="7"/>
        <v>106.20637837296127</v>
      </c>
      <c r="T16" s="130">
        <f t="shared" si="7"/>
        <v>114.32840764125986</v>
      </c>
      <c r="U16" s="130">
        <f t="shared" si="7"/>
        <v>114.48249036536969</v>
      </c>
      <c r="V16" s="130">
        <f t="shared" si="7"/>
        <v>110.93771179688503</v>
      </c>
      <c r="W16" s="130">
        <f t="shared" si="7"/>
        <v>114.18027264860368</v>
      </c>
      <c r="X16" s="130">
        <f t="shared" ref="X16:Y16" si="8">SUM(X17:X18)</f>
        <v>120.03111744040716</v>
      </c>
      <c r="Y16" s="130">
        <f t="shared" si="8"/>
        <v>121.75985679086705</v>
      </c>
      <c r="DA16" s="155" t="s">
        <v>314</v>
      </c>
    </row>
    <row r="17" spans="1:105" ht="12.95" customHeight="1" x14ac:dyDescent="0.25">
      <c r="A17" s="131" t="s">
        <v>73</v>
      </c>
      <c r="B17" s="132">
        <v>3.6869636499126522E-2</v>
      </c>
      <c r="C17" s="132">
        <v>3.9645569168077446E-2</v>
      </c>
      <c r="D17" s="132">
        <v>4.4692939542555897E-2</v>
      </c>
      <c r="E17" s="132">
        <v>4.6743242866679295E-2</v>
      </c>
      <c r="F17" s="132">
        <v>5.2606740935789237E-2</v>
      </c>
      <c r="G17" s="132">
        <v>5.9772054066796115E-2</v>
      </c>
      <c r="H17" s="132">
        <v>6.5432866945716886E-2</v>
      </c>
      <c r="I17" s="132">
        <v>7.0973311865119015E-2</v>
      </c>
      <c r="J17" s="132">
        <v>7.669402687546191E-2</v>
      </c>
      <c r="K17" s="132">
        <v>7.9714048328589748E-2</v>
      </c>
      <c r="L17" s="132">
        <v>8.7119713087100398E-2</v>
      </c>
      <c r="M17" s="132">
        <v>9.687359200046973E-2</v>
      </c>
      <c r="N17" s="132">
        <v>0.11344551981577564</v>
      </c>
      <c r="O17" s="132">
        <v>0.14257878041599598</v>
      </c>
      <c r="P17" s="132">
        <v>0.19239671196507188</v>
      </c>
      <c r="Q17" s="132">
        <v>0.26989178413307691</v>
      </c>
      <c r="R17" s="132">
        <v>0.34817798758552942</v>
      </c>
      <c r="S17" s="132">
        <v>0.42227694788923154</v>
      </c>
      <c r="T17" s="132">
        <v>0.48824440130683816</v>
      </c>
      <c r="U17" s="132">
        <v>0.54770938862033258</v>
      </c>
      <c r="V17" s="132">
        <v>0.54512947006455204</v>
      </c>
      <c r="W17" s="132">
        <v>0.58256519359396841</v>
      </c>
      <c r="X17" s="132">
        <v>0.61385517060023276</v>
      </c>
      <c r="Y17" s="132">
        <v>0.64103965928320272</v>
      </c>
      <c r="DA17" s="156" t="s">
        <v>315</v>
      </c>
    </row>
    <row r="18" spans="1:105" ht="12" customHeight="1" x14ac:dyDescent="0.25">
      <c r="A18" s="131" t="s">
        <v>72</v>
      </c>
      <c r="B18" s="132">
        <v>47.450517448841481</v>
      </c>
      <c r="C18" s="132">
        <v>49.105233937490624</v>
      </c>
      <c r="D18" s="132">
        <v>52.185702030214109</v>
      </c>
      <c r="E18" s="132">
        <v>53.935032985678959</v>
      </c>
      <c r="F18" s="132">
        <v>56.539265663583159</v>
      </c>
      <c r="G18" s="132">
        <v>59.76996548163504</v>
      </c>
      <c r="H18" s="132">
        <v>63.945201766427743</v>
      </c>
      <c r="I18" s="132">
        <v>69.708075505651877</v>
      </c>
      <c r="J18" s="132">
        <v>73.926837079619361</v>
      </c>
      <c r="K18" s="132">
        <v>77.666346477542376</v>
      </c>
      <c r="L18" s="132">
        <v>81.916655264475935</v>
      </c>
      <c r="M18" s="132">
        <v>84.563142119115398</v>
      </c>
      <c r="N18" s="132">
        <v>87.603285751391681</v>
      </c>
      <c r="O18" s="132">
        <v>91.44355657926188</v>
      </c>
      <c r="P18" s="132">
        <v>96.033422839691482</v>
      </c>
      <c r="Q18" s="132">
        <v>98.736494304150852</v>
      </c>
      <c r="R18" s="132">
        <v>102.20317259009636</v>
      </c>
      <c r="S18" s="132">
        <v>105.78410142507204</v>
      </c>
      <c r="T18" s="132">
        <v>113.84016323995301</v>
      </c>
      <c r="U18" s="132">
        <v>113.93478097674935</v>
      </c>
      <c r="V18" s="132">
        <v>110.39258232682047</v>
      </c>
      <c r="W18" s="132">
        <v>113.59770745500971</v>
      </c>
      <c r="X18" s="132">
        <v>119.41726226980693</v>
      </c>
      <c r="Y18" s="132">
        <v>121.11881713158384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97.926165429900507</v>
      </c>
      <c r="C19" s="130">
        <f t="shared" si="9"/>
        <v>99.213267355177962</v>
      </c>
      <c r="D19" s="130">
        <f t="shared" si="9"/>
        <v>101.11030787926416</v>
      </c>
      <c r="E19" s="130">
        <f t="shared" si="9"/>
        <v>102.75429493853468</v>
      </c>
      <c r="F19" s="130">
        <f t="shared" si="9"/>
        <v>104.4014634937876</v>
      </c>
      <c r="G19" s="130">
        <f t="shared" si="9"/>
        <v>106.72693915544241</v>
      </c>
      <c r="H19" s="130">
        <f t="shared" si="9"/>
        <v>109.05287252417949</v>
      </c>
      <c r="I19" s="130">
        <f t="shared" si="9"/>
        <v>111.83915971395436</v>
      </c>
      <c r="J19" s="130">
        <f t="shared" si="9"/>
        <v>113.72182584405805</v>
      </c>
      <c r="K19" s="130">
        <f t="shared" si="9"/>
        <v>116.10757602151935</v>
      </c>
      <c r="L19" s="130">
        <f t="shared" si="9"/>
        <v>117.68030847251626</v>
      </c>
      <c r="M19" s="130">
        <f t="shared" si="9"/>
        <v>120.25789250632602</v>
      </c>
      <c r="N19" s="130">
        <f t="shared" si="9"/>
        <v>122.34040450235256</v>
      </c>
      <c r="O19" s="130">
        <f t="shared" si="9"/>
        <v>123.66191371927472</v>
      </c>
      <c r="P19" s="130">
        <f t="shared" si="9"/>
        <v>126.00853836658116</v>
      </c>
      <c r="Q19" s="130">
        <f t="shared" si="9"/>
        <v>127.40402251738509</v>
      </c>
      <c r="R19" s="130">
        <f t="shared" ref="R19:W19" si="10">SUM(R20:R27)</f>
        <v>129.00583305546434</v>
      </c>
      <c r="S19" s="130">
        <f t="shared" si="10"/>
        <v>131.60370194274881</v>
      </c>
      <c r="T19" s="130">
        <f t="shared" si="10"/>
        <v>131.15967961496054</v>
      </c>
      <c r="U19" s="130">
        <f t="shared" si="10"/>
        <v>130.06760125620551</v>
      </c>
      <c r="V19" s="130">
        <f t="shared" si="10"/>
        <v>113.15547005124502</v>
      </c>
      <c r="W19" s="130">
        <f t="shared" si="10"/>
        <v>123.93972448829955</v>
      </c>
      <c r="X19" s="130">
        <f t="shared" ref="X19:Y19" si="11">SUM(X20:X27)</f>
        <v>130.1334323842411</v>
      </c>
      <c r="Y19" s="130">
        <f t="shared" si="11"/>
        <v>132.10928993232955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7.0421279759398825</v>
      </c>
      <c r="C22" s="132">
        <v>6.7957861530590549</v>
      </c>
      <c r="D22" s="132">
        <v>6.6793649988927859</v>
      </c>
      <c r="E22" s="132">
        <v>6.6188947719020987</v>
      </c>
      <c r="F22" s="132">
        <v>6.5377217056987762</v>
      </c>
      <c r="G22" s="132">
        <v>6.2870163180134773</v>
      </c>
      <c r="H22" s="132">
        <v>5.4414647996518948</v>
      </c>
      <c r="I22" s="132">
        <v>4.7941632821778999</v>
      </c>
      <c r="J22" s="132">
        <v>4.7937727230671952</v>
      </c>
      <c r="K22" s="132">
        <v>4.7149841805155814</v>
      </c>
      <c r="L22" s="132">
        <v>4.4331859437715977</v>
      </c>
      <c r="M22" s="132">
        <v>3.8906241938828598</v>
      </c>
      <c r="N22" s="132">
        <v>3.9344835360186075</v>
      </c>
      <c r="O22" s="132">
        <v>3.9953018153504813</v>
      </c>
      <c r="P22" s="132">
        <v>3.9140937089040309</v>
      </c>
      <c r="Q22" s="132">
        <v>3.7781253867179103</v>
      </c>
      <c r="R22" s="132">
        <v>3.7349458471833508</v>
      </c>
      <c r="S22" s="132">
        <v>3.2465033444419276</v>
      </c>
      <c r="T22" s="132">
        <v>3.1684273897894295</v>
      </c>
      <c r="U22" s="132">
        <v>1.4433249541870812</v>
      </c>
      <c r="V22" s="132">
        <v>1.6493326459239985</v>
      </c>
      <c r="W22" s="132">
        <v>1.187971348519359</v>
      </c>
      <c r="X22" s="132">
        <v>1.6545337652160164</v>
      </c>
      <c r="Y22" s="132">
        <v>1.4619555466990688</v>
      </c>
      <c r="DA22" s="156" t="s">
        <v>320</v>
      </c>
    </row>
    <row r="23" spans="1:105" ht="12" customHeight="1" x14ac:dyDescent="0.25">
      <c r="A23" s="131" t="s">
        <v>149</v>
      </c>
      <c r="B23" s="132">
        <v>7.8573026498076421</v>
      </c>
      <c r="C23" s="132">
        <v>7.9558812924127578</v>
      </c>
      <c r="D23" s="132">
        <v>8.6575502709152268</v>
      </c>
      <c r="E23" s="132">
        <v>10.624803416460468</v>
      </c>
      <c r="F23" s="132">
        <v>11.056887030633677</v>
      </c>
      <c r="G23" s="132">
        <v>12.528619693839737</v>
      </c>
      <c r="H23" s="132">
        <v>13.870529147111471</v>
      </c>
      <c r="I23" s="132">
        <v>14.038093775191184</v>
      </c>
      <c r="J23" s="132">
        <v>14.362615231411585</v>
      </c>
      <c r="K23" s="132">
        <v>14.583668137296693</v>
      </c>
      <c r="L23" s="132">
        <v>14.783337221191536</v>
      </c>
      <c r="M23" s="132">
        <v>12.479476309099935</v>
      </c>
      <c r="N23" s="132">
        <v>12.555788212724387</v>
      </c>
      <c r="O23" s="132">
        <v>12.686277786571665</v>
      </c>
      <c r="P23" s="132">
        <v>11.638373647609191</v>
      </c>
      <c r="Q23" s="132">
        <v>13.918370353700883</v>
      </c>
      <c r="R23" s="132">
        <v>14.666385353969758</v>
      </c>
      <c r="S23" s="132">
        <v>15.896009736114634</v>
      </c>
      <c r="T23" s="132">
        <v>15.807929049933005</v>
      </c>
      <c r="U23" s="132">
        <v>16.774781835991142</v>
      </c>
      <c r="V23" s="132">
        <v>11.294090359427781</v>
      </c>
      <c r="W23" s="132">
        <v>14.726187125666453</v>
      </c>
      <c r="X23" s="132">
        <v>11.700947437154014</v>
      </c>
      <c r="Y23" s="132">
        <v>11.347339579906931</v>
      </c>
      <c r="DA23" s="156" t="s">
        <v>321</v>
      </c>
    </row>
    <row r="24" spans="1:105" ht="12" customHeight="1" x14ac:dyDescent="0.25">
      <c r="A24" s="131" t="s">
        <v>128</v>
      </c>
      <c r="B24" s="132">
        <v>1.4377152376381335</v>
      </c>
      <c r="C24" s="132">
        <v>1.6057109925923214</v>
      </c>
      <c r="D24" s="132">
        <v>1.6477189870222546</v>
      </c>
      <c r="E24" s="132">
        <v>1.6804106645330394</v>
      </c>
      <c r="F24" s="132">
        <v>1.7213706607187436</v>
      </c>
      <c r="G24" s="132">
        <v>1.808204266126934</v>
      </c>
      <c r="H24" s="132">
        <v>1.8668106814350365</v>
      </c>
      <c r="I24" s="132">
        <v>1.9426215795529114</v>
      </c>
      <c r="J24" s="132">
        <v>2.0158823358806122</v>
      </c>
      <c r="K24" s="132">
        <v>2.1009135892291422</v>
      </c>
      <c r="L24" s="132">
        <v>2.1760164034468024</v>
      </c>
      <c r="M24" s="132">
        <v>2.2835854626487104</v>
      </c>
      <c r="N24" s="132">
        <v>2.3989947001219587</v>
      </c>
      <c r="O24" s="132">
        <v>2.4336905003572076</v>
      </c>
      <c r="P24" s="132">
        <v>2.4338722751605522</v>
      </c>
      <c r="Q24" s="132">
        <v>2.503424581013074</v>
      </c>
      <c r="R24" s="132">
        <v>2.8966131756534472</v>
      </c>
      <c r="S24" s="132">
        <v>3.1185252090666453</v>
      </c>
      <c r="T24" s="132">
        <v>3.5479908129750672</v>
      </c>
      <c r="U24" s="132">
        <v>3.1303130279838012</v>
      </c>
      <c r="V24" s="132">
        <v>2.8043398361880598</v>
      </c>
      <c r="W24" s="132">
        <v>2.9631291854666482</v>
      </c>
      <c r="X24" s="132">
        <v>2.4758508487941477</v>
      </c>
      <c r="Y24" s="132">
        <v>2.3150758164012242</v>
      </c>
      <c r="DA24" s="156" t="s">
        <v>322</v>
      </c>
    </row>
    <row r="25" spans="1:105" ht="12" customHeight="1" x14ac:dyDescent="0.25">
      <c r="A25" s="131" t="s">
        <v>162</v>
      </c>
      <c r="B25" s="132">
        <v>46.748505432661283</v>
      </c>
      <c r="C25" s="132">
        <v>49.759656611322207</v>
      </c>
      <c r="D25" s="132">
        <v>50.48074574334435</v>
      </c>
      <c r="E25" s="132">
        <v>51.555051688218818</v>
      </c>
      <c r="F25" s="132">
        <v>52.15722629905688</v>
      </c>
      <c r="G25" s="132">
        <v>53.067918632035635</v>
      </c>
      <c r="H25" s="132">
        <v>52.980643052732212</v>
      </c>
      <c r="I25" s="132">
        <v>54.963356920179777</v>
      </c>
      <c r="J25" s="132">
        <v>57.124450471937443</v>
      </c>
      <c r="K25" s="132">
        <v>61.251668223540044</v>
      </c>
      <c r="L25" s="132">
        <v>66.256486881702415</v>
      </c>
      <c r="M25" s="132">
        <v>68.34445127796198</v>
      </c>
      <c r="N25" s="132">
        <v>68.873537773813226</v>
      </c>
      <c r="O25" s="132">
        <v>70.225617634253311</v>
      </c>
      <c r="P25" s="132">
        <v>73.68968876220147</v>
      </c>
      <c r="Q25" s="132">
        <v>75.271750581729904</v>
      </c>
      <c r="R25" s="132">
        <v>75.857112189563111</v>
      </c>
      <c r="S25" s="132">
        <v>76.561860122748826</v>
      </c>
      <c r="T25" s="132">
        <v>80.848837801824445</v>
      </c>
      <c r="U25" s="132">
        <v>80.193942380956031</v>
      </c>
      <c r="V25" s="132">
        <v>77.03387714490961</v>
      </c>
      <c r="W25" s="132">
        <v>80.968272129611805</v>
      </c>
      <c r="X25" s="132">
        <v>91.96453194113208</v>
      </c>
      <c r="Y25" s="132">
        <v>103.98120465020949</v>
      </c>
      <c r="DA25" s="156" t="s">
        <v>323</v>
      </c>
    </row>
    <row r="26" spans="1:105" ht="12" customHeight="1" x14ac:dyDescent="0.25">
      <c r="A26" s="131" t="s">
        <v>24</v>
      </c>
      <c r="B26" s="65">
        <v>33.741803901695363</v>
      </c>
      <c r="C26" s="65">
        <v>31.973618376298923</v>
      </c>
      <c r="D26" s="65">
        <v>32.498496236785158</v>
      </c>
      <c r="E26" s="65">
        <v>31.104799057781396</v>
      </c>
      <c r="F26" s="65">
        <v>31.710115063371706</v>
      </c>
      <c r="G26" s="65">
        <v>31.745412403638152</v>
      </c>
      <c r="H26" s="65">
        <v>33.532031893979749</v>
      </c>
      <c r="I26" s="65">
        <v>34.620098705433826</v>
      </c>
      <c r="J26" s="65">
        <v>33.848750825527318</v>
      </c>
      <c r="K26" s="65">
        <v>31.760555132554398</v>
      </c>
      <c r="L26" s="65">
        <v>28.267223552928399</v>
      </c>
      <c r="M26" s="65">
        <v>31.402833508648268</v>
      </c>
      <c r="N26" s="65">
        <v>32.663326848891934</v>
      </c>
      <c r="O26" s="65">
        <v>32.344843695553756</v>
      </c>
      <c r="P26" s="65">
        <v>32.309896043213236</v>
      </c>
      <c r="Q26" s="65">
        <v>29.851698131850139</v>
      </c>
      <c r="R26" s="65">
        <v>29.741146222542657</v>
      </c>
      <c r="S26" s="65">
        <v>30.642110495123109</v>
      </c>
      <c r="T26" s="65">
        <v>25.624585704032732</v>
      </c>
      <c r="U26" s="65">
        <v>26.336245076004055</v>
      </c>
      <c r="V26" s="65">
        <v>18.184836083712174</v>
      </c>
      <c r="W26" s="65">
        <v>22.092788946670719</v>
      </c>
      <c r="X26" s="65">
        <v>20.037998314558774</v>
      </c>
      <c r="Y26" s="65">
        <v>10.848512275484309</v>
      </c>
      <c r="DA26" s="109" t="s">
        <v>324</v>
      </c>
    </row>
    <row r="27" spans="1:105" ht="12" customHeight="1" x14ac:dyDescent="0.25">
      <c r="A27" s="144" t="s">
        <v>26</v>
      </c>
      <c r="B27" s="145">
        <v>1.098710232158211</v>
      </c>
      <c r="C27" s="145">
        <v>1.1226139294926911</v>
      </c>
      <c r="D27" s="145">
        <v>1.146431642304385</v>
      </c>
      <c r="E27" s="145">
        <v>1.1703353396388647</v>
      </c>
      <c r="F27" s="145">
        <v>1.218142734307825</v>
      </c>
      <c r="G27" s="145">
        <v>1.2897678417884775</v>
      </c>
      <c r="H27" s="145">
        <v>1.3613929492691308</v>
      </c>
      <c r="I27" s="145">
        <v>1.4808254514187458</v>
      </c>
      <c r="J27" s="145">
        <v>1.5763542562338779</v>
      </c>
      <c r="K27" s="145">
        <v>1.6957867583834914</v>
      </c>
      <c r="L27" s="145">
        <v>1.7640584694754948</v>
      </c>
      <c r="M27" s="145">
        <v>1.8569217540842642</v>
      </c>
      <c r="N27" s="145">
        <v>1.9142734307824592</v>
      </c>
      <c r="O27" s="145">
        <v>1.9761822871883044</v>
      </c>
      <c r="P27" s="145">
        <v>2.022613929492691</v>
      </c>
      <c r="Q27" s="145">
        <v>2.0806534823731737</v>
      </c>
      <c r="R27" s="145">
        <v>2.1096302665520219</v>
      </c>
      <c r="S27" s="145">
        <v>2.1386930352536551</v>
      </c>
      <c r="T27" s="145">
        <v>2.1619088564058471</v>
      </c>
      <c r="U27" s="145">
        <v>2.1889939810834038</v>
      </c>
      <c r="V27" s="145">
        <v>2.1889939810834029</v>
      </c>
      <c r="W27" s="145">
        <v>2.0013757523645723</v>
      </c>
      <c r="X27" s="145">
        <v>2.2995700773860706</v>
      </c>
      <c r="Y27" s="145">
        <v>2.1552020636285456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82.729244141785088</v>
      </c>
      <c r="C29" s="130">
        <f t="shared" si="12"/>
        <v>84.791262486755627</v>
      </c>
      <c r="D29" s="130">
        <f t="shared" si="12"/>
        <v>87.479991375699882</v>
      </c>
      <c r="E29" s="130">
        <f t="shared" si="12"/>
        <v>91.75016414985005</v>
      </c>
      <c r="F29" s="130">
        <f t="shared" si="12"/>
        <v>94.898535188460187</v>
      </c>
      <c r="G29" s="130">
        <f t="shared" si="12"/>
        <v>96.928843947071215</v>
      </c>
      <c r="H29" s="130">
        <f t="shared" si="12"/>
        <v>100.21304237569478</v>
      </c>
      <c r="I29" s="130">
        <f t="shared" si="12"/>
        <v>102.10694484711401</v>
      </c>
      <c r="J29" s="130">
        <f t="shared" si="12"/>
        <v>104.37822059209239</v>
      </c>
      <c r="K29" s="130">
        <f t="shared" si="12"/>
        <v>106.70507709840035</v>
      </c>
      <c r="L29" s="130">
        <f t="shared" si="12"/>
        <v>108.70055209794448</v>
      </c>
      <c r="M29" s="130">
        <f t="shared" si="12"/>
        <v>111.81166154023194</v>
      </c>
      <c r="N29" s="130">
        <f t="shared" si="12"/>
        <v>113.10009790779401</v>
      </c>
      <c r="O29" s="130">
        <f t="shared" si="12"/>
        <v>113.5201358499602</v>
      </c>
      <c r="P29" s="130">
        <f t="shared" si="12"/>
        <v>112.7956276145697</v>
      </c>
      <c r="Q29" s="130">
        <f t="shared" si="12"/>
        <v>112.41617676996742</v>
      </c>
      <c r="R29" s="130">
        <f t="shared" ref="R29:W29" si="13">SUM(R30:R33)</f>
        <v>115.09864586348321</v>
      </c>
      <c r="S29" s="130">
        <f t="shared" si="13"/>
        <v>117.97602808720654</v>
      </c>
      <c r="T29" s="130">
        <f t="shared" si="13"/>
        <v>115.47663750397879</v>
      </c>
      <c r="U29" s="130">
        <f t="shared" si="13"/>
        <v>115.47097292574412</v>
      </c>
      <c r="V29" s="130">
        <f t="shared" si="13"/>
        <v>95.247474212990682</v>
      </c>
      <c r="W29" s="130">
        <f t="shared" si="13"/>
        <v>101.95297100507634</v>
      </c>
      <c r="X29" s="130">
        <f t="shared" ref="X29:Y29" si="14">SUM(X30:X33)</f>
        <v>101.70470660748506</v>
      </c>
      <c r="Y29" s="130">
        <f t="shared" si="14"/>
        <v>85.2331149864049</v>
      </c>
      <c r="DA29" s="155" t="s">
        <v>326</v>
      </c>
    </row>
    <row r="30" spans="1:105" ht="12" customHeight="1" x14ac:dyDescent="0.25">
      <c r="A30" s="131" t="s">
        <v>52</v>
      </c>
      <c r="B30" s="132">
        <v>1.7889803574146197</v>
      </c>
      <c r="C30" s="132">
        <v>1.791096221429892</v>
      </c>
      <c r="D30" s="132">
        <v>1.795530299992488</v>
      </c>
      <c r="E30" s="132">
        <v>2.4009398539911362</v>
      </c>
      <c r="F30" s="132">
        <v>3.0087882960969234</v>
      </c>
      <c r="G30" s="132">
        <v>3.6179738434951516</v>
      </c>
      <c r="H30" s="132">
        <v>3.6232630740272356</v>
      </c>
      <c r="I30" s="132">
        <v>3.6281160566186856</v>
      </c>
      <c r="J30" s="132">
        <v>3.6338123344985012</v>
      </c>
      <c r="K30" s="132">
        <v>3.6403948561433306</v>
      </c>
      <c r="L30" s="132">
        <v>4.8618153110533457</v>
      </c>
      <c r="M30" s="132">
        <v>4.2561920317739466</v>
      </c>
      <c r="N30" s="132">
        <v>3.649630387514283</v>
      </c>
      <c r="O30" s="132">
        <v>4.2631590066890119</v>
      </c>
      <c r="P30" s="132">
        <v>2.4407950126455491</v>
      </c>
      <c r="Q30" s="132">
        <v>5.0754498469660092</v>
      </c>
      <c r="R30" s="132">
        <v>5.3834260527125837</v>
      </c>
      <c r="S30" s="132">
        <v>5.3686654715973123</v>
      </c>
      <c r="T30" s="132">
        <v>5.5353738003109498</v>
      </c>
      <c r="U30" s="132">
        <v>5.4638591621966492</v>
      </c>
      <c r="V30" s="132">
        <v>4.6520924340979937</v>
      </c>
      <c r="W30" s="132">
        <v>5.0543675033218065</v>
      </c>
      <c r="X30" s="132">
        <v>5.7130790273517267</v>
      </c>
      <c r="Y30" s="132">
        <v>6.0547883347111346</v>
      </c>
      <c r="DA30" s="156" t="s">
        <v>327</v>
      </c>
    </row>
    <row r="31" spans="1:105" ht="12" customHeight="1" x14ac:dyDescent="0.25">
      <c r="A31" s="131" t="s">
        <v>149</v>
      </c>
      <c r="B31" s="132">
        <v>13.876706038245592</v>
      </c>
      <c r="C31" s="132">
        <v>14.007124148321886</v>
      </c>
      <c r="D31" s="132">
        <v>14.328831321351013</v>
      </c>
      <c r="E31" s="132">
        <v>14.84363654391214</v>
      </c>
      <c r="F31" s="132">
        <v>15.127001876861772</v>
      </c>
      <c r="G31" s="132">
        <v>16.662036066479544</v>
      </c>
      <c r="H31" s="132">
        <v>17.196143157715522</v>
      </c>
      <c r="I31" s="132">
        <v>17.467164031798934</v>
      </c>
      <c r="J31" s="132">
        <v>17.726246363042602</v>
      </c>
      <c r="K31" s="132">
        <v>18.207741267764032</v>
      </c>
      <c r="L31" s="132">
        <v>18.286016362852667</v>
      </c>
      <c r="M31" s="132">
        <v>17.962513723375476</v>
      </c>
      <c r="N31" s="132">
        <v>17.793334304620746</v>
      </c>
      <c r="O31" s="132">
        <v>17.606848915284584</v>
      </c>
      <c r="P31" s="132">
        <v>16.991564369404156</v>
      </c>
      <c r="Q31" s="132">
        <v>19.425776698798305</v>
      </c>
      <c r="R31" s="132">
        <v>19.273715240309809</v>
      </c>
      <c r="S31" s="132">
        <v>17.889120846324051</v>
      </c>
      <c r="T31" s="132">
        <v>19.601006232247464</v>
      </c>
      <c r="U31" s="132">
        <v>22.29360176510443</v>
      </c>
      <c r="V31" s="132">
        <v>13.729046802937713</v>
      </c>
      <c r="W31" s="132">
        <v>19.597803939947422</v>
      </c>
      <c r="X31" s="132">
        <v>20.039771611127168</v>
      </c>
      <c r="Y31" s="132">
        <v>26.228888803257554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67.063557746124872</v>
      </c>
      <c r="C33" s="68">
        <v>68.993042117003853</v>
      </c>
      <c r="D33" s="68">
        <v>71.355629754356386</v>
      </c>
      <c r="E33" s="68">
        <v>74.505587751946777</v>
      </c>
      <c r="F33" s="68">
        <v>76.762745015501494</v>
      </c>
      <c r="G33" s="68">
        <v>76.64883403709652</v>
      </c>
      <c r="H33" s="68">
        <v>79.393636143952023</v>
      </c>
      <c r="I33" s="68">
        <v>81.011664758696384</v>
      </c>
      <c r="J33" s="68">
        <v>83.018161894551284</v>
      </c>
      <c r="K33" s="68">
        <v>84.856940974492986</v>
      </c>
      <c r="L33" s="68">
        <v>85.552720424038469</v>
      </c>
      <c r="M33" s="68">
        <v>89.592955785082509</v>
      </c>
      <c r="N33" s="68">
        <v>91.657133215658973</v>
      </c>
      <c r="O33" s="68">
        <v>91.650127927986603</v>
      </c>
      <c r="P33" s="68">
        <v>93.363268232519999</v>
      </c>
      <c r="Q33" s="68">
        <v>87.91495022420311</v>
      </c>
      <c r="R33" s="68">
        <v>90.441504570460822</v>
      </c>
      <c r="S33" s="68">
        <v>94.718241769285186</v>
      </c>
      <c r="T33" s="68">
        <v>90.340257471420387</v>
      </c>
      <c r="U33" s="68">
        <v>87.713511998443039</v>
      </c>
      <c r="V33" s="68">
        <v>76.86633497595497</v>
      </c>
      <c r="W33" s="68">
        <v>77.300799561807111</v>
      </c>
      <c r="X33" s="68">
        <v>75.951855969006161</v>
      </c>
      <c r="Y33" s="68">
        <v>52.949437848436204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0.70856202630815746</v>
      </c>
      <c r="C3" s="126">
        <f>IF(SER_hh_tes!C3=0,"",SER_hh_tes!C3/SER_hh_fec!C3)</f>
        <v>0.71844745696826251</v>
      </c>
      <c r="D3" s="126">
        <f>IF(SER_hh_tes!D3=0,"",SER_hh_tes!D3/SER_hh_fec!D3)</f>
        <v>0.72217883202778232</v>
      </c>
      <c r="E3" s="126">
        <f>IF(SER_hh_tes!E3=0,"",SER_hh_tes!E3/SER_hh_fec!E3)</f>
        <v>0.72367760581474028</v>
      </c>
      <c r="F3" s="126">
        <f>IF(SER_hh_tes!F3=0,"",SER_hh_tes!F3/SER_hh_fec!F3)</f>
        <v>0.72954745767375695</v>
      </c>
      <c r="G3" s="126">
        <f>IF(SER_hh_tes!G3=0,"",SER_hh_tes!G3/SER_hh_fec!G3)</f>
        <v>0.73515907369257771</v>
      </c>
      <c r="H3" s="126">
        <f>IF(SER_hh_tes!H3=0,"",SER_hh_tes!H3/SER_hh_fec!H3)</f>
        <v>0.74028237230672522</v>
      </c>
      <c r="I3" s="126">
        <f>IF(SER_hh_tes!I3=0,"",SER_hh_tes!I3/SER_hh_fec!I3)</f>
        <v>0.75835413978294108</v>
      </c>
      <c r="J3" s="126">
        <f>IF(SER_hh_tes!J3=0,"",SER_hh_tes!J3/SER_hh_fec!J3)</f>
        <v>0.76774089613681396</v>
      </c>
      <c r="K3" s="126">
        <f>IF(SER_hh_tes!K3=0,"",SER_hh_tes!K3/SER_hh_fec!K3)</f>
        <v>0.77848086407691119</v>
      </c>
      <c r="L3" s="126">
        <f>IF(SER_hh_tes!L3=0,"",SER_hh_tes!L3/SER_hh_fec!L3)</f>
        <v>0.78946304736032902</v>
      </c>
      <c r="M3" s="126">
        <f>IF(SER_hh_tes!M3=0,"",SER_hh_tes!M3/SER_hh_fec!M3)</f>
        <v>0.80607010566860293</v>
      </c>
      <c r="N3" s="126">
        <f>IF(SER_hh_tes!N3=0,"",SER_hh_tes!N3/SER_hh_fec!N3)</f>
        <v>0.81127522373309724</v>
      </c>
      <c r="O3" s="126">
        <f>IF(SER_hh_tes!O3=0,"",SER_hh_tes!O3/SER_hh_fec!O3)</f>
        <v>0.82118554772671071</v>
      </c>
      <c r="P3" s="126">
        <f>IF(SER_hh_tes!P3=0,"",SER_hh_tes!P3/SER_hh_fec!P3)</f>
        <v>0.83910609128188851</v>
      </c>
      <c r="Q3" s="126">
        <f>IF(SER_hh_tes!Q3=0,"",SER_hh_tes!Q3/SER_hh_fec!Q3)</f>
        <v>0.8408267386926177</v>
      </c>
      <c r="R3" s="126">
        <f>IF(SER_hh_tes!R3=0,"",SER_hh_tes!R3/SER_hh_fec!R3)</f>
        <v>0.84670481152175436</v>
      </c>
      <c r="S3" s="126">
        <f>IF(SER_hh_tes!S3=0,"",SER_hh_tes!S3/SER_hh_fec!S3)</f>
        <v>0.85376770291622461</v>
      </c>
      <c r="T3" s="126">
        <f>IF(SER_hh_tes!T3=0,"",SER_hh_tes!T3/SER_hh_fec!T3)</f>
        <v>0.87451140664954041</v>
      </c>
      <c r="U3" s="126">
        <f>IF(SER_hh_tes!U3=0,"",SER_hh_tes!U3/SER_hh_fec!U3)</f>
        <v>0.89232621137757417</v>
      </c>
      <c r="V3" s="126">
        <f>IF(SER_hh_tes!V3=0,"",SER_hh_tes!V3/SER_hh_fec!V3)</f>
        <v>0.90966384175872572</v>
      </c>
      <c r="W3" s="126">
        <f>IF(SER_hh_tes!W3=0,"",SER_hh_tes!W3/SER_hh_fec!W3)</f>
        <v>0.90611988960775203</v>
      </c>
      <c r="X3" s="126">
        <f>IF(SER_hh_tes!X3=0,"",SER_hh_tes!X3/SER_hh_fec!X3)</f>
        <v>0.93295053537505712</v>
      </c>
      <c r="Y3" s="126">
        <f>IF(SER_hh_tes!Y3=0,"",SER_hh_tes!Y3/SER_hh_fec!Y3)</f>
        <v>0.95064298747274423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0.68604393808871444</v>
      </c>
      <c r="C4" s="135">
        <f>IF(SER_hh_tes!C4=0,"",SER_hh_tes!C4/SER_hh_fec!C4)</f>
        <v>0.69680603922131423</v>
      </c>
      <c r="D4" s="135">
        <f>IF(SER_hh_tes!D4=0,"",SER_hh_tes!D4/SER_hh_fec!D4)</f>
        <v>0.69857086192621065</v>
      </c>
      <c r="E4" s="135">
        <f>IF(SER_hh_tes!E4=0,"",SER_hh_tes!E4/SER_hh_fec!E4)</f>
        <v>0.69939989412985637</v>
      </c>
      <c r="F4" s="135">
        <f>IF(SER_hh_tes!F4=0,"",SER_hh_tes!F4/SER_hh_fec!F4)</f>
        <v>0.7039729703448544</v>
      </c>
      <c r="G4" s="135">
        <f>IF(SER_hh_tes!G4=0,"",SER_hh_tes!G4/SER_hh_fec!G4)</f>
        <v>0.70790622041903017</v>
      </c>
      <c r="H4" s="135">
        <f>IF(SER_hh_tes!H4=0,"",SER_hh_tes!H4/SER_hh_fec!H4)</f>
        <v>0.71081414267288145</v>
      </c>
      <c r="I4" s="135">
        <f>IF(SER_hh_tes!I4=0,"",SER_hh_tes!I4/SER_hh_fec!I4)</f>
        <v>0.72684372848495726</v>
      </c>
      <c r="J4" s="135">
        <f>IF(SER_hh_tes!J4=0,"",SER_hh_tes!J4/SER_hh_fec!J4)</f>
        <v>0.73392797492485373</v>
      </c>
      <c r="K4" s="135">
        <f>IF(SER_hh_tes!K4=0,"",SER_hh_tes!K4/SER_hh_fec!K4)</f>
        <v>0.7426761213877584</v>
      </c>
      <c r="L4" s="135">
        <f>IF(SER_hh_tes!L4=0,"",SER_hh_tes!L4/SER_hh_fec!L4)</f>
        <v>0.75586859134024609</v>
      </c>
      <c r="M4" s="135">
        <f>IF(SER_hh_tes!M4=0,"",SER_hh_tes!M4/SER_hh_fec!M4)</f>
        <v>0.76748808691461545</v>
      </c>
      <c r="N4" s="135">
        <f>IF(SER_hh_tes!N4=0,"",SER_hh_tes!N4/SER_hh_fec!N4)</f>
        <v>0.77080550984838969</v>
      </c>
      <c r="O4" s="135">
        <f>IF(SER_hh_tes!O4=0,"",SER_hh_tes!O4/SER_hh_fec!O4)</f>
        <v>0.77778108870743701</v>
      </c>
      <c r="P4" s="135">
        <f>IF(SER_hh_tes!P4=0,"",SER_hh_tes!P4/SER_hh_fec!P4)</f>
        <v>0.78841445021735557</v>
      </c>
      <c r="Q4" s="135">
        <f>IF(SER_hh_tes!Q4=0,"",SER_hh_tes!Q4/SER_hh_fec!Q4)</f>
        <v>0.79145508825770639</v>
      </c>
      <c r="R4" s="135">
        <f>IF(SER_hh_tes!R4=0,"",SER_hh_tes!R4/SER_hh_fec!R4)</f>
        <v>0.79639726481871698</v>
      </c>
      <c r="S4" s="135">
        <f>IF(SER_hh_tes!S4=0,"",SER_hh_tes!S4/SER_hh_fec!S4)</f>
        <v>0.80083853964743168</v>
      </c>
      <c r="T4" s="135">
        <f>IF(SER_hh_tes!T4=0,"",SER_hh_tes!T4/SER_hh_fec!T4)</f>
        <v>0.81498614438364914</v>
      </c>
      <c r="U4" s="135">
        <f>IF(SER_hh_tes!U4=0,"",SER_hh_tes!U4/SER_hh_fec!U4)</f>
        <v>0.83221199663225531</v>
      </c>
      <c r="V4" s="135">
        <f>IF(SER_hh_tes!V4=0,"",SER_hh_tes!V4/SER_hh_fec!V4)</f>
        <v>0.84295851918238984</v>
      </c>
      <c r="W4" s="135">
        <f>IF(SER_hh_tes!W4=0,"",SER_hh_tes!W4/SER_hh_fec!W4)</f>
        <v>0.84719983256475895</v>
      </c>
      <c r="X4" s="135">
        <f>IF(SER_hh_tes!X4=0,"",SER_hh_tes!X4/SER_hh_fec!X4)</f>
        <v>0.86563684072447145</v>
      </c>
      <c r="Y4" s="135">
        <f>IF(SER_hh_tes!Y4=0,"",SER_hh_tes!Y4/SER_hh_fec!Y4)</f>
        <v>0.88183959442048832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0.46004067073784438</v>
      </c>
      <c r="C7" s="136">
        <f>IF(SER_hh_tes!C7=0,"",SER_hh_tes!C7/SER_hh_fec!C7)</f>
        <v>0.46102152756300535</v>
      </c>
      <c r="D7" s="136">
        <f>IF(SER_hh_tes!D7=0,"",SER_hh_tes!D7/SER_hh_fec!D7)</f>
        <v>0.46358962613077548</v>
      </c>
      <c r="E7" s="136">
        <f>IF(SER_hh_tes!E7=0,"",SER_hh_tes!E7/SER_hh_fec!E7)</f>
        <v>0.46739500815696217</v>
      </c>
      <c r="F7" s="136">
        <f>IF(SER_hh_tes!F7=0,"",SER_hh_tes!F7/SER_hh_fec!F7)</f>
        <v>0.47204544474650706</v>
      </c>
      <c r="G7" s="136">
        <f>IF(SER_hh_tes!G7=0,"",SER_hh_tes!G7/SER_hh_fec!G7)</f>
        <v>0.47454896501243099</v>
      </c>
      <c r="H7" s="136">
        <f>IF(SER_hh_tes!H7=0,"",SER_hh_tes!H7/SER_hh_fec!H7)</f>
        <v>0.47629982306139174</v>
      </c>
      <c r="I7" s="136">
        <f>IF(SER_hh_tes!I7=0,"",SER_hh_tes!I7/SER_hh_fec!I7)</f>
        <v>0.48050648127696272</v>
      </c>
      <c r="J7" s="136">
        <f>IF(SER_hh_tes!J7=0,"",SER_hh_tes!J7/SER_hh_fec!J7)</f>
        <v>0.48866785056795142</v>
      </c>
      <c r="K7" s="136">
        <f>IF(SER_hh_tes!K7=0,"",SER_hh_tes!K7/SER_hh_fec!K7)</f>
        <v>0.49839551591666259</v>
      </c>
      <c r="L7" s="136">
        <f>IF(SER_hh_tes!L7=0,"",SER_hh_tes!L7/SER_hh_fec!L7)</f>
        <v>0.5104158312659246</v>
      </c>
      <c r="M7" s="136">
        <f>IF(SER_hh_tes!M7=0,"",SER_hh_tes!M7/SER_hh_fec!M7)</f>
        <v>0.52755542397375921</v>
      </c>
      <c r="N7" s="136">
        <f>IF(SER_hh_tes!N7=0,"",SER_hh_tes!N7/SER_hh_fec!N7)</f>
        <v>0.55376045448266475</v>
      </c>
      <c r="O7" s="136">
        <f>IF(SER_hh_tes!O7=0,"",SER_hh_tes!O7/SER_hh_fec!O7)</f>
        <v>0.57849401299969416</v>
      </c>
      <c r="P7" s="136">
        <f>IF(SER_hh_tes!P7=0,"",SER_hh_tes!P7/SER_hh_fec!P7)</f>
        <v>0.58478276456084788</v>
      </c>
      <c r="Q7" s="136">
        <f>IF(SER_hh_tes!Q7=0,"",SER_hh_tes!Q7/SER_hh_fec!Q7)</f>
        <v>0.58878036538826817</v>
      </c>
      <c r="R7" s="136">
        <f>IF(SER_hh_tes!R7=0,"",SER_hh_tes!R7/SER_hh_fec!R7)</f>
        <v>0.59517277672637969</v>
      </c>
      <c r="S7" s="136">
        <f>IF(SER_hh_tes!S7=0,"",SER_hh_tes!S7/SER_hh_fec!S7)</f>
        <v>0.59919903813556685</v>
      </c>
      <c r="T7" s="136">
        <f>IF(SER_hh_tes!T7=0,"",SER_hh_tes!T7/SER_hh_fec!T7)</f>
        <v>0.60472628121499117</v>
      </c>
      <c r="U7" s="136">
        <f>IF(SER_hh_tes!U7=0,"",SER_hh_tes!U7/SER_hh_fec!U7)</f>
        <v>0.60958394671678262</v>
      </c>
      <c r="V7" s="136">
        <f>IF(SER_hh_tes!V7=0,"",SER_hh_tes!V7/SER_hh_fec!V7)</f>
        <v>0.61213364237577972</v>
      </c>
      <c r="W7" s="136">
        <f>IF(SER_hh_tes!W7=0,"",SER_hh_tes!W7/SER_hh_fec!W7)</f>
        <v>0.61422356326282324</v>
      </c>
      <c r="X7" s="136">
        <f>IF(SER_hh_tes!X7=0,"",SER_hh_tes!X7/SER_hh_fec!X7)</f>
        <v>0.61922449416554659</v>
      </c>
      <c r="Y7" s="136">
        <f>IF(SER_hh_tes!Y7=0,"",SER_hh_tes!Y7/SER_hh_fec!Y7)</f>
        <v>0.63890694725068264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1.0156897130564915</v>
      </c>
      <c r="C8" s="136">
        <f>IF(SER_hh_tes!C8=0,"",SER_hh_tes!C8/SER_hh_fec!C8)</f>
        <v>1.0329409719181502</v>
      </c>
      <c r="D8" s="136">
        <f>IF(SER_hh_tes!D8=0,"",SER_hh_tes!D8/SER_hh_fec!D8)</f>
        <v>1.0899303480765914</v>
      </c>
      <c r="E8" s="136">
        <f>IF(SER_hh_tes!E8=0,"",SER_hh_tes!E8/SER_hh_fec!E8)</f>
        <v>1.1526019903052147</v>
      </c>
      <c r="F8" s="136">
        <f>IF(SER_hh_tes!F8=0,"",SER_hh_tes!F8/SER_hh_fec!F8)</f>
        <v>1.2010279632118539</v>
      </c>
      <c r="G8" s="136">
        <f>IF(SER_hh_tes!G8=0,"",SER_hh_tes!G8/SER_hh_fec!G8)</f>
        <v>1.2940635517847436</v>
      </c>
      <c r="H8" s="136">
        <f>IF(SER_hh_tes!H8=0,"",SER_hh_tes!H8/SER_hh_fec!H8)</f>
        <v>1.4015193496367238</v>
      </c>
      <c r="I8" s="136">
        <f>IF(SER_hh_tes!I8=0,"",SER_hh_tes!I8/SER_hh_fec!I8)</f>
        <v>1.5404090476982266</v>
      </c>
      <c r="J8" s="136">
        <f>IF(SER_hh_tes!J8=0,"",SER_hh_tes!J8/SER_hh_fec!J8)</f>
        <v>1.6097948376568409</v>
      </c>
      <c r="K8" s="136">
        <f>IF(SER_hh_tes!K8=0,"",SER_hh_tes!K8/SER_hh_fec!K8)</f>
        <v>1.6681921840283898</v>
      </c>
      <c r="L8" s="136">
        <f>IF(SER_hh_tes!L8=0,"",SER_hh_tes!L8/SER_hh_fec!L8)</f>
        <v>1.7124040091930772</v>
      </c>
      <c r="M8" s="136">
        <f>IF(SER_hh_tes!M8=0,"",SER_hh_tes!M8/SER_hh_fec!M8)</f>
        <v>1.7744392059877938</v>
      </c>
      <c r="N8" s="136">
        <f>IF(SER_hh_tes!N8=0,"",SER_hh_tes!N8/SER_hh_fec!N8)</f>
        <v>1.8488033373608324</v>
      </c>
      <c r="O8" s="136">
        <f>IF(SER_hh_tes!O8=0,"",SER_hh_tes!O8/SER_hh_fec!O8)</f>
        <v>1.9354258832725957</v>
      </c>
      <c r="P8" s="136">
        <f>IF(SER_hh_tes!P8=0,"",SER_hh_tes!P8/SER_hh_fec!P8)</f>
        <v>2.0202435331177226</v>
      </c>
      <c r="Q8" s="136">
        <f>IF(SER_hh_tes!Q8=0,"",SER_hh_tes!Q8/SER_hh_fec!Q8)</f>
        <v>2.0870397401011762</v>
      </c>
      <c r="R8" s="136">
        <f>IF(SER_hh_tes!R8=0,"",SER_hh_tes!R8/SER_hh_fec!R8)</f>
        <v>2.1536652624796546</v>
      </c>
      <c r="S8" s="136">
        <f>IF(SER_hh_tes!S8=0,"",SER_hh_tes!S8/SER_hh_fec!S8)</f>
        <v>2.2192298195721043</v>
      </c>
      <c r="T8" s="136">
        <f>IF(SER_hh_tes!T8=0,"",SER_hh_tes!T8/SER_hh_fec!T8)</f>
        <v>2.3066556077813787</v>
      </c>
      <c r="U8" s="136">
        <f>IF(SER_hh_tes!U8=0,"",SER_hh_tes!U8/SER_hh_fec!U8)</f>
        <v>2.3868255871840369</v>
      </c>
      <c r="V8" s="136">
        <f>IF(SER_hh_tes!V8=0,"",SER_hh_tes!V8/SER_hh_fec!V8)</f>
        <v>2.4676399846428323</v>
      </c>
      <c r="W8" s="136">
        <f>IF(SER_hh_tes!W8=0,"",SER_hh_tes!W8/SER_hh_fec!W8)</f>
        <v>2.5341085904962917</v>
      </c>
      <c r="X8" s="136">
        <f>IF(SER_hh_tes!X8=0,"",SER_hh_tes!X8/SER_hh_fec!X8)</f>
        <v>2.6043062832766775</v>
      </c>
      <c r="Y8" s="136">
        <f>IF(SER_hh_tes!Y8=0,"",SER_hh_tes!Y8/SER_hh_fec!Y8)</f>
        <v>2.6597238458351065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0.49725538668763708</v>
      </c>
      <c r="C9" s="136">
        <f>IF(SER_hh_tes!C9=0,"",SER_hh_tes!C9/SER_hh_fec!C9)</f>
        <v>0.50177462059816491</v>
      </c>
      <c r="D9" s="136">
        <f>IF(SER_hh_tes!D9=0,"",SER_hh_tes!D9/SER_hh_fec!D9)</f>
        <v>0.5100623617667448</v>
      </c>
      <c r="E9" s="136">
        <f>IF(SER_hh_tes!E9=0,"",SER_hh_tes!E9/SER_hh_fec!E9)</f>
        <v>0.5182219300708556</v>
      </c>
      <c r="F9" s="136">
        <f>IF(SER_hh_tes!F9=0,"",SER_hh_tes!F9/SER_hh_fec!F9)</f>
        <v>0.52534331302179227</v>
      </c>
      <c r="G9" s="136">
        <f>IF(SER_hh_tes!G9=0,"",SER_hh_tes!G9/SER_hh_fec!G9)</f>
        <v>0.53199042085632109</v>
      </c>
      <c r="H9" s="136">
        <f>IF(SER_hh_tes!H9=0,"",SER_hh_tes!H9/SER_hh_fec!H9)</f>
        <v>0.53803199905432719</v>
      </c>
      <c r="I9" s="136">
        <f>IF(SER_hh_tes!I9=0,"",SER_hh_tes!I9/SER_hh_fec!I9)</f>
        <v>0.54282837119502014</v>
      </c>
      <c r="J9" s="136">
        <f>IF(SER_hh_tes!J9=0,"",SER_hh_tes!J9/SER_hh_fec!J9)</f>
        <v>0.54746936220314857</v>
      </c>
      <c r="K9" s="136">
        <f>IF(SER_hh_tes!K9=0,"",SER_hh_tes!K9/SER_hh_fec!K9)</f>
        <v>0.55190176070053054</v>
      </c>
      <c r="L9" s="136">
        <f>IF(SER_hh_tes!L9=0,"",SER_hh_tes!L9/SER_hh_fec!L9)</f>
        <v>0.55609821467171283</v>
      </c>
      <c r="M9" s="136">
        <f>IF(SER_hh_tes!M9=0,"",SER_hh_tes!M9/SER_hh_fec!M9)</f>
        <v>0.56241463163828309</v>
      </c>
      <c r="N9" s="136">
        <f>IF(SER_hh_tes!N9=0,"",SER_hh_tes!N9/SER_hh_fec!N9)</f>
        <v>0.57342121254589928</v>
      </c>
      <c r="O9" s="136">
        <f>IF(SER_hh_tes!O9=0,"",SER_hh_tes!O9/SER_hh_fec!O9)</f>
        <v>0.58784614586300576</v>
      </c>
      <c r="P9" s="136">
        <f>IF(SER_hh_tes!P9=0,"",SER_hh_tes!P9/SER_hh_fec!P9)</f>
        <v>0.5942118804653318</v>
      </c>
      <c r="Q9" s="136">
        <f>IF(SER_hh_tes!Q9=0,"",SER_hh_tes!Q9/SER_hh_fec!Q9)</f>
        <v>0.61364273070806807</v>
      </c>
      <c r="R9" s="136">
        <f>IF(SER_hh_tes!R9=0,"",SER_hh_tes!R9/SER_hh_fec!R9)</f>
        <v>0.63093458504993805</v>
      </c>
      <c r="S9" s="136">
        <f>IF(SER_hh_tes!S9=0,"",SER_hh_tes!S9/SER_hh_fec!S9)</f>
        <v>0.65226243855151445</v>
      </c>
      <c r="T9" s="136">
        <f>IF(SER_hh_tes!T9=0,"",SER_hh_tes!T9/SER_hh_fec!T9)</f>
        <v>0.67470797619847422</v>
      </c>
      <c r="U9" s="136">
        <f>IF(SER_hh_tes!U9=0,"",SER_hh_tes!U9/SER_hh_fec!U9)</f>
        <v>0.70203398259338579</v>
      </c>
      <c r="V9" s="136">
        <f>IF(SER_hh_tes!V9=0,"",SER_hh_tes!V9/SER_hh_fec!V9)</f>
        <v>0.72319053507571096</v>
      </c>
      <c r="W9" s="136">
        <f>IF(SER_hh_tes!W9=0,"",SER_hh_tes!W9/SER_hh_fec!W9)</f>
        <v>0.7363541361245477</v>
      </c>
      <c r="X9" s="136">
        <f>IF(SER_hh_tes!X9=0,"",SER_hh_tes!X9/SER_hh_fec!X9)</f>
        <v>0.74864510720927324</v>
      </c>
      <c r="Y9" s="136">
        <f>IF(SER_hh_tes!Y9=0,"",SER_hh_tes!Y9/SER_hh_fec!Y9)</f>
        <v>0.75604805994064916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0.45336692741917772</v>
      </c>
      <c r="C10" s="136">
        <f>IF(SER_hh_tes!C10=0,"",SER_hh_tes!C10/SER_hh_fec!C10)</f>
        <v>0.46043695052520628</v>
      </c>
      <c r="D10" s="136">
        <f>IF(SER_hh_tes!D10=0,"",SER_hh_tes!D10/SER_hh_fec!D10)</f>
        <v>0.47547002292890522</v>
      </c>
      <c r="E10" s="136">
        <f>IF(SER_hh_tes!E10=0,"",SER_hh_tes!E10/SER_hh_fec!E10)</f>
        <v>0.48435052175432364</v>
      </c>
      <c r="F10" s="136">
        <f>IF(SER_hh_tes!F10=0,"",SER_hh_tes!F10/SER_hh_fec!F10)</f>
        <v>0.49154764278949753</v>
      </c>
      <c r="G10" s="136">
        <f>IF(SER_hh_tes!G10=0,"",SER_hh_tes!G10/SER_hh_fec!G10)</f>
        <v>0.49949198796803096</v>
      </c>
      <c r="H10" s="136">
        <f>IF(SER_hh_tes!H10=0,"",SER_hh_tes!H10/SER_hh_fec!H10)</f>
        <v>0.50667841556806414</v>
      </c>
      <c r="I10" s="136">
        <f>IF(SER_hh_tes!I10=0,"",SER_hh_tes!I10/SER_hh_fec!I10)</f>
        <v>0.51087863450777171</v>
      </c>
      <c r="J10" s="136">
        <f>IF(SER_hh_tes!J10=0,"",SER_hh_tes!J10/SER_hh_fec!J10)</f>
        <v>0.51532280641665518</v>
      </c>
      <c r="K10" s="136">
        <f>IF(SER_hh_tes!K10=0,"",SER_hh_tes!K10/SER_hh_fec!K10)</f>
        <v>0.52023449619812645</v>
      </c>
      <c r="L10" s="136">
        <f>IF(SER_hh_tes!L10=0,"",SER_hh_tes!L10/SER_hh_fec!L10)</f>
        <v>0.52704271942349412</v>
      </c>
      <c r="M10" s="136">
        <f>IF(SER_hh_tes!M10=0,"",SER_hh_tes!M10/SER_hh_fec!M10)</f>
        <v>0.53904400178616318</v>
      </c>
      <c r="N10" s="136">
        <f>IF(SER_hh_tes!N10=0,"",SER_hh_tes!N10/SER_hh_fec!N10)</f>
        <v>0.5504197381855106</v>
      </c>
      <c r="O10" s="136">
        <f>IF(SER_hh_tes!O10=0,"",SER_hh_tes!O10/SER_hh_fec!O10)</f>
        <v>0.55887403119129386</v>
      </c>
      <c r="P10" s="136">
        <f>IF(SER_hh_tes!P10=0,"",SER_hh_tes!P10/SER_hh_fec!P10)</f>
        <v>0.55916859327624324</v>
      </c>
      <c r="Q10" s="136">
        <f>IF(SER_hh_tes!Q10=0,"",SER_hh_tes!Q10/SER_hh_fec!Q10)</f>
        <v>0.55935713130260334</v>
      </c>
      <c r="R10" s="136">
        <f>IF(SER_hh_tes!R10=0,"",SER_hh_tes!R10/SER_hh_fec!R10)</f>
        <v>0.5596806648015864</v>
      </c>
      <c r="S10" s="136">
        <f>IF(SER_hh_tes!S10=0,"",SER_hh_tes!S10/SER_hh_fec!S10)</f>
        <v>0.56003000061782104</v>
      </c>
      <c r="T10" s="136">
        <f>IF(SER_hh_tes!T10=0,"",SER_hh_tes!T10/SER_hh_fec!T10)</f>
        <v>0.56033097592384229</v>
      </c>
      <c r="U10" s="136">
        <f>IF(SER_hh_tes!U10=0,"",SER_hh_tes!U10/SER_hh_fec!U10)</f>
        <v>0.56049283181022647</v>
      </c>
      <c r="V10" s="136">
        <f>IF(SER_hh_tes!V10=0,"",SER_hh_tes!V10/SER_hh_fec!V10)</f>
        <v>0.56062279858041009</v>
      </c>
      <c r="W10" s="136">
        <f>IF(SER_hh_tes!W10=0,"",SER_hh_tes!W10/SER_hh_fec!W10)</f>
        <v>0.56069505535355368</v>
      </c>
      <c r="X10" s="136">
        <f>IF(SER_hh_tes!X10=0,"",SER_hh_tes!X10/SER_hh_fec!X10)</f>
        <v>0.56073751984350684</v>
      </c>
      <c r="Y10" s="136">
        <f>IF(SER_hh_tes!Y10=0,"",SER_hh_tes!Y10/SER_hh_fec!Y10)</f>
        <v>0.56075371258036011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0.78764809760177923</v>
      </c>
      <c r="C12" s="136">
        <f>IF(SER_hh_tes!C12=0,"",SER_hh_tes!C12/SER_hh_fec!C12)</f>
        <v>0.79064232751186514</v>
      </c>
      <c r="D12" s="136">
        <f>IF(SER_hh_tes!D12=0,"",SER_hh_tes!D12/SER_hh_fec!D12)</f>
        <v>0.79351861065300611</v>
      </c>
      <c r="E12" s="136">
        <f>IF(SER_hh_tes!E12=0,"",SER_hh_tes!E12/SER_hh_fec!E12)</f>
        <v>0.79633908602121195</v>
      </c>
      <c r="F12" s="136">
        <f>IF(SER_hh_tes!F12=0,"",SER_hh_tes!F12/SER_hh_fec!F12)</f>
        <v>0.79901692755647802</v>
      </c>
      <c r="G12" s="136">
        <f>IF(SER_hh_tes!G12=0,"",SER_hh_tes!G12/SER_hh_fec!G12)</f>
        <v>0.80172398964183678</v>
      </c>
      <c r="H12" s="136">
        <f>IF(SER_hh_tes!H12=0,"",SER_hh_tes!H12/SER_hh_fec!H12)</f>
        <v>0.80453896475336983</v>
      </c>
      <c r="I12" s="136">
        <f>IF(SER_hh_tes!I12=0,"",SER_hh_tes!I12/SER_hh_fec!I12)</f>
        <v>0.80798143322284133</v>
      </c>
      <c r="J12" s="136">
        <f>IF(SER_hh_tes!J12=0,"",SER_hh_tes!J12/SER_hh_fec!J12)</f>
        <v>0.81140113461926766</v>
      </c>
      <c r="K12" s="136">
        <f>IF(SER_hh_tes!K12=0,"",SER_hh_tes!K12/SER_hh_fec!K12)</f>
        <v>0.815374699756935</v>
      </c>
      <c r="L12" s="136">
        <f>IF(SER_hh_tes!L12=0,"",SER_hh_tes!L12/SER_hh_fec!L12)</f>
        <v>0.81946804105181625</v>
      </c>
      <c r="M12" s="136">
        <f>IF(SER_hh_tes!M12=0,"",SER_hh_tes!M12/SER_hh_fec!M12)</f>
        <v>0.82331981159195855</v>
      </c>
      <c r="N12" s="136">
        <f>IF(SER_hh_tes!N12=0,"",SER_hh_tes!N12/SER_hh_fec!N12)</f>
        <v>0.82752559161759576</v>
      </c>
      <c r="O12" s="136">
        <f>IF(SER_hh_tes!O12=0,"",SER_hh_tes!O12/SER_hh_fec!O12)</f>
        <v>0.83179652807426341</v>
      </c>
      <c r="P12" s="136">
        <f>IF(SER_hh_tes!P12=0,"",SER_hh_tes!P12/SER_hh_fec!P12)</f>
        <v>0.83386232443796249</v>
      </c>
      <c r="Q12" s="136">
        <f>IF(SER_hh_tes!Q12=0,"",SER_hh_tes!Q12/SER_hh_fec!Q12)</f>
        <v>0.83647291563784953</v>
      </c>
      <c r="R12" s="136">
        <f>IF(SER_hh_tes!R12=0,"",SER_hh_tes!R12/SER_hh_fec!R12)</f>
        <v>0.8397572623147378</v>
      </c>
      <c r="S12" s="136">
        <f>IF(SER_hh_tes!S12=0,"",SER_hh_tes!S12/SER_hh_fec!S12)</f>
        <v>0.84421552208585093</v>
      </c>
      <c r="T12" s="136">
        <f>IF(SER_hh_tes!T12=0,"",SER_hh_tes!T12/SER_hh_fec!T12)</f>
        <v>0.8488942284332337</v>
      </c>
      <c r="U12" s="136">
        <f>IF(SER_hh_tes!U12=0,"",SER_hh_tes!U12/SER_hh_fec!U12)</f>
        <v>0.8535134796084517</v>
      </c>
      <c r="V12" s="136">
        <f>IF(SER_hh_tes!V12=0,"",SER_hh_tes!V12/SER_hh_fec!V12)</f>
        <v>0.85818513788337836</v>
      </c>
      <c r="W12" s="136">
        <f>IF(SER_hh_tes!W12=0,"",SER_hh_tes!W12/SER_hh_fec!W12)</f>
        <v>0.86340835936958127</v>
      </c>
      <c r="X12" s="136">
        <f>IF(SER_hh_tes!X12=0,"",SER_hh_tes!X12/SER_hh_fec!X12)</f>
        <v>0.86896077017269924</v>
      </c>
      <c r="Y12" s="136">
        <f>IF(SER_hh_tes!Y12=0,"",SER_hh_tes!Y12/SER_hh_fec!Y12)</f>
        <v>0.87538087084442584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1.5398551246816909</v>
      </c>
      <c r="C13" s="136">
        <f>IF(SER_hh_tes!C13=0,"",SER_hh_tes!C13/SER_hh_fec!C13)</f>
        <v>1.5618581881920766</v>
      </c>
      <c r="D13" s="136">
        <f>IF(SER_hh_tes!D13=0,"",SER_hh_tes!D13/SER_hh_fec!D13)</f>
        <v>1.586887031910222</v>
      </c>
      <c r="E13" s="136">
        <f>IF(SER_hh_tes!E13=0,"",SER_hh_tes!E13/SER_hh_fec!E13)</f>
        <v>1.6137538572849117</v>
      </c>
      <c r="F13" s="136">
        <f>IF(SER_hh_tes!F13=0,"",SER_hh_tes!F13/SER_hh_fec!F13)</f>
        <v>1.6498619150742062</v>
      </c>
      <c r="G13" s="136">
        <f>IF(SER_hh_tes!G13=0,"",SER_hh_tes!G13/SER_hh_fec!G13)</f>
        <v>1.803337483446549</v>
      </c>
      <c r="H13" s="136">
        <f>IF(SER_hh_tes!H13=0,"",SER_hh_tes!H13/SER_hh_fec!H13)</f>
        <v>1.9941680356528686</v>
      </c>
      <c r="I13" s="136">
        <f>IF(SER_hh_tes!I13=0,"",SER_hh_tes!I13/SER_hh_fec!I13)</f>
        <v>2.1823845715537802</v>
      </c>
      <c r="J13" s="136">
        <f>IF(SER_hh_tes!J13=0,"",SER_hh_tes!J13/SER_hh_fec!J13)</f>
        <v>2.2683590248788659</v>
      </c>
      <c r="K13" s="136">
        <f>IF(SER_hh_tes!K13=0,"",SER_hh_tes!K13/SER_hh_fec!K13)</f>
        <v>2.3334090549061859</v>
      </c>
      <c r="L13" s="136">
        <f>IF(SER_hh_tes!L13=0,"",SER_hh_tes!L13/SER_hh_fec!L13)</f>
        <v>2.3793455797364689</v>
      </c>
      <c r="M13" s="136">
        <f>IF(SER_hh_tes!M13=0,"",SER_hh_tes!M13/SER_hh_fec!M13)</f>
        <v>2.4431803327983461</v>
      </c>
      <c r="N13" s="136">
        <f>IF(SER_hh_tes!N13=0,"",SER_hh_tes!N13/SER_hh_fec!N13)</f>
        <v>2.5076116629418794</v>
      </c>
      <c r="O13" s="136">
        <f>IF(SER_hh_tes!O13=0,"",SER_hh_tes!O13/SER_hh_fec!O13)</f>
        <v>2.5779776300827044</v>
      </c>
      <c r="P13" s="136">
        <f>IF(SER_hh_tes!P13=0,"",SER_hh_tes!P13/SER_hh_fec!P13)</f>
        <v>2.6357743126715865</v>
      </c>
      <c r="Q13" s="136">
        <f>IF(SER_hh_tes!Q13=0,"",SER_hh_tes!Q13/SER_hh_fec!Q13)</f>
        <v>2.688488668211833</v>
      </c>
      <c r="R13" s="136">
        <f>IF(SER_hh_tes!R13=0,"",SER_hh_tes!R13/SER_hh_fec!R13)</f>
        <v>2.7586714040520692</v>
      </c>
      <c r="S13" s="136">
        <f>IF(SER_hh_tes!S13=0,"",SER_hh_tes!S13/SER_hh_fec!S13)</f>
        <v>2.8427703342317581</v>
      </c>
      <c r="T13" s="136">
        <f>IF(SER_hh_tes!T13=0,"",SER_hh_tes!T13/SER_hh_fec!T13)</f>
        <v>2.9703397048064906</v>
      </c>
      <c r="U13" s="136">
        <f>IF(SER_hh_tes!U13=0,"",SER_hh_tes!U13/SER_hh_fec!U13)</f>
        <v>3.104097000396004</v>
      </c>
      <c r="V13" s="136">
        <f>IF(SER_hh_tes!V13=0,"",SER_hh_tes!V13/SER_hh_fec!V13)</f>
        <v>3.2459413989377981</v>
      </c>
      <c r="W13" s="136">
        <f>IF(SER_hh_tes!W13=0,"",SER_hh_tes!W13/SER_hh_fec!W13)</f>
        <v>3.3927031726777024</v>
      </c>
      <c r="X13" s="136">
        <f>IF(SER_hh_tes!X13=0,"",SER_hh_tes!X13/SER_hh_fec!X13)</f>
        <v>3.5266233360862342</v>
      </c>
      <c r="Y13" s="136">
        <f>IF(SER_hh_tes!Y13=0,"",SER_hh_tes!Y13/SER_hh_fec!Y13)</f>
        <v>3.6403508966490117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0.6963392822020158</v>
      </c>
      <c r="C14" s="137">
        <f>IF(SER_hh_tes!C14=0,"",SER_hh_tes!C14/SER_hh_fec!C14)</f>
        <v>0.69914786213568336</v>
      </c>
      <c r="D14" s="137">
        <f>IF(SER_hh_tes!D14=0,"",SER_hh_tes!D14/SER_hh_fec!D14)</f>
        <v>0.701146729729337</v>
      </c>
      <c r="E14" s="137">
        <f>IF(SER_hh_tes!E14=0,"",SER_hh_tes!E14/SER_hh_fec!E14)</f>
        <v>0.70353629932036232</v>
      </c>
      <c r="F14" s="137">
        <f>IF(SER_hh_tes!F14=0,"",SER_hh_tes!F14/SER_hh_fec!F14)</f>
        <v>0.70771925613229936</v>
      </c>
      <c r="G14" s="137">
        <f>IF(SER_hh_tes!G14=0,"",SER_hh_tes!G14/SER_hh_fec!G14)</f>
        <v>0.7130722108117542</v>
      </c>
      <c r="H14" s="137">
        <f>IF(SER_hh_tes!H14=0,"",SER_hh_tes!H14/SER_hh_fec!H14)</f>
        <v>0.7192578407249679</v>
      </c>
      <c r="I14" s="137">
        <f>IF(SER_hh_tes!I14=0,"",SER_hh_tes!I14/SER_hh_fec!I14)</f>
        <v>0.72498404029145469</v>
      </c>
      <c r="J14" s="137">
        <f>IF(SER_hh_tes!J14=0,"",SER_hh_tes!J14/SER_hh_fec!J14)</f>
        <v>0.72961139403959829</v>
      </c>
      <c r="K14" s="137">
        <f>IF(SER_hh_tes!K14=0,"",SER_hh_tes!K14/SER_hh_fec!K14)</f>
        <v>0.73361392138294645</v>
      </c>
      <c r="L14" s="137">
        <f>IF(SER_hh_tes!L14=0,"",SER_hh_tes!L14/SER_hh_fec!L14)</f>
        <v>0.73841618226551009</v>
      </c>
      <c r="M14" s="137">
        <f>IF(SER_hh_tes!M14=0,"",SER_hh_tes!M14/SER_hh_fec!M14)</f>
        <v>0.74412200770935188</v>
      </c>
      <c r="N14" s="137">
        <f>IF(SER_hh_tes!N14=0,"",SER_hh_tes!N14/SER_hh_fec!N14)</f>
        <v>0.75025131669976375</v>
      </c>
      <c r="O14" s="137">
        <f>IF(SER_hh_tes!O14=0,"",SER_hh_tes!O14/SER_hh_fec!O14)</f>
        <v>0.75692691300345816</v>
      </c>
      <c r="P14" s="137">
        <f>IF(SER_hh_tes!P14=0,"",SER_hh_tes!P14/SER_hh_fec!P14)</f>
        <v>0.75735821012616944</v>
      </c>
      <c r="Q14" s="137">
        <f>IF(SER_hh_tes!Q14=0,"",SER_hh_tes!Q14/SER_hh_fec!Q14)</f>
        <v>0.75771364642921257</v>
      </c>
      <c r="R14" s="137">
        <f>IF(SER_hh_tes!R14=0,"",SER_hh_tes!R14/SER_hh_fec!R14)</f>
        <v>0.75826633196660387</v>
      </c>
      <c r="S14" s="137">
        <f>IF(SER_hh_tes!S14=0,"",SER_hh_tes!S14/SER_hh_fec!S14)</f>
        <v>0.75965098536480391</v>
      </c>
      <c r="T14" s="137">
        <f>IF(SER_hh_tes!T14=0,"",SER_hh_tes!T14/SER_hh_fec!T14)</f>
        <v>0.76093960696952678</v>
      </c>
      <c r="U14" s="137">
        <f>IF(SER_hh_tes!U14=0,"",SER_hh_tes!U14/SER_hh_fec!U14)</f>
        <v>0.76221511878531967</v>
      </c>
      <c r="V14" s="137">
        <f>IF(SER_hh_tes!V14=0,"",SER_hh_tes!V14/SER_hh_fec!V14)</f>
        <v>0.76374662085838008</v>
      </c>
      <c r="W14" s="137">
        <f>IF(SER_hh_tes!W14=0,"",SER_hh_tes!W14/SER_hh_fec!W14)</f>
        <v>0.78507965285299586</v>
      </c>
      <c r="X14" s="137">
        <f>IF(SER_hh_tes!X14=0,"",SER_hh_tes!X14/SER_hh_fec!X14)</f>
        <v>0.81224034225105246</v>
      </c>
      <c r="Y14" s="137">
        <f>IF(SER_hh_tes!Y14=0,"",SER_hh_tes!Y14/SER_hh_fec!Y14)</f>
        <v>0.83279305261938941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2.0888930003643336</v>
      </c>
      <c r="C16" s="135">
        <f>IF(SER_hh_tes!C16=0,"",SER_hh_tes!C16/SER_hh_fec!C16)</f>
        <v>2.1817945839327013</v>
      </c>
      <c r="D16" s="135">
        <f>IF(SER_hh_tes!D16=0,"",SER_hh_tes!D16/SER_hh_fec!D16)</f>
        <v>2.3037616749087015</v>
      </c>
      <c r="E16" s="135">
        <f>IF(SER_hh_tes!E16=0,"",SER_hh_tes!E16/SER_hh_fec!E16)</f>
        <v>2.425359739469942</v>
      </c>
      <c r="F16" s="135">
        <f>IF(SER_hh_tes!F16=0,"",SER_hh_tes!F16/SER_hh_fec!F16)</f>
        <v>2.5736808578164991</v>
      </c>
      <c r="G16" s="135">
        <f>IF(SER_hh_tes!G16=0,"",SER_hh_tes!G16/SER_hh_fec!G16)</f>
        <v>2.7483865287351432</v>
      </c>
      <c r="H16" s="135">
        <f>IF(SER_hh_tes!H16=0,"",SER_hh_tes!H16/SER_hh_fec!H16)</f>
        <v>2.9556535356937781</v>
      </c>
      <c r="I16" s="135">
        <f>IF(SER_hh_tes!I16=0,"",SER_hh_tes!I16/SER_hh_fec!I16)</f>
        <v>3.2027360498254152</v>
      </c>
      <c r="J16" s="135">
        <f>IF(SER_hh_tes!J16=0,"",SER_hh_tes!J16/SER_hh_fec!J16)</f>
        <v>3.477561102110279</v>
      </c>
      <c r="K16" s="135">
        <f>IF(SER_hh_tes!K16=0,"",SER_hh_tes!K16/SER_hh_fec!K16)</f>
        <v>3.5532643864195825</v>
      </c>
      <c r="L16" s="135">
        <f>IF(SER_hh_tes!L16=0,"",SER_hh_tes!L16/SER_hh_fec!L16)</f>
        <v>3.6615367567104879</v>
      </c>
      <c r="M16" s="135">
        <f>IF(SER_hh_tes!M16=0,"",SER_hh_tes!M16/SER_hh_fec!M16)</f>
        <v>3.8139489000658959</v>
      </c>
      <c r="N16" s="135">
        <f>IF(SER_hh_tes!N16=0,"",SER_hh_tes!N16/SER_hh_fec!N16)</f>
        <v>3.9774361797271816</v>
      </c>
      <c r="O16" s="135">
        <f>IF(SER_hh_tes!O16=0,"",SER_hh_tes!O16/SER_hh_fec!O16)</f>
        <v>4.152719598860946</v>
      </c>
      <c r="P16" s="135">
        <f>IF(SER_hh_tes!P16=0,"",SER_hh_tes!P16/SER_hh_fec!P16)</f>
        <v>4.3459267517818869</v>
      </c>
      <c r="Q16" s="135">
        <f>IF(SER_hh_tes!Q16=0,"",SER_hh_tes!Q16/SER_hh_fec!Q16)</f>
        <v>4.536035419404878</v>
      </c>
      <c r="R16" s="135">
        <f>IF(SER_hh_tes!R16=0,"",SER_hh_tes!R16/SER_hh_fec!R16)</f>
        <v>4.7409451360382899</v>
      </c>
      <c r="S16" s="135">
        <f>IF(SER_hh_tes!S16=0,"",SER_hh_tes!S16/SER_hh_fec!S16)</f>
        <v>4.943901592237502</v>
      </c>
      <c r="T16" s="135">
        <f>IF(SER_hh_tes!T16=0,"",SER_hh_tes!T16/SER_hh_fec!T16)</f>
        <v>5.1211341231228547</v>
      </c>
      <c r="U16" s="135">
        <f>IF(SER_hh_tes!U16=0,"",SER_hh_tes!U16/SER_hh_fec!U16)</f>
        <v>5.2586670563735192</v>
      </c>
      <c r="V16" s="135">
        <f>IF(SER_hh_tes!V16=0,"",SER_hh_tes!V16/SER_hh_fec!V16)</f>
        <v>5.3954097182398932</v>
      </c>
      <c r="W16" s="135">
        <f>IF(SER_hh_tes!W16=0,"",SER_hh_tes!W16/SER_hh_fec!W16)</f>
        <v>5.5180916666662947</v>
      </c>
      <c r="X16" s="135">
        <f>IF(SER_hh_tes!X16=0,"",SER_hh_tes!X16/SER_hh_fec!X16)</f>
        <v>5.6240397432813456</v>
      </c>
      <c r="Y16" s="135">
        <f>IF(SER_hh_tes!Y16=0,"",SER_hh_tes!Y16/SER_hh_fec!Y16)</f>
        <v>5.7079606421564097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1.1717250626223739</v>
      </c>
      <c r="C17" s="136">
        <f>IF(SER_hh_tes!C17=0,"",SER_hh_tes!C17/SER_hh_fec!C17)</f>
        <v>1.196093345152321</v>
      </c>
      <c r="D17" s="136">
        <f>IF(SER_hh_tes!D17=0,"",SER_hh_tes!D17/SER_hh_fec!D17)</f>
        <v>1.2273277278698842</v>
      </c>
      <c r="E17" s="136">
        <f>IF(SER_hh_tes!E17=0,"",SER_hh_tes!E17/SER_hh_fec!E17)</f>
        <v>1.2513292015509281</v>
      </c>
      <c r="F17" s="136">
        <f>IF(SER_hh_tes!F17=0,"",SER_hh_tes!F17/SER_hh_fec!F17)</f>
        <v>1.2848684530136647</v>
      </c>
      <c r="G17" s="136">
        <f>IF(SER_hh_tes!G17=0,"",SER_hh_tes!G17/SER_hh_fec!G17)</f>
        <v>1.3193985870687763</v>
      </c>
      <c r="H17" s="136">
        <f>IF(SER_hh_tes!H17=0,"",SER_hh_tes!H17/SER_hh_fec!H17)</f>
        <v>1.3507525198672448</v>
      </c>
      <c r="I17" s="136">
        <f>IF(SER_hh_tes!I17=0,"",SER_hh_tes!I17/SER_hh_fec!I17)</f>
        <v>1.3827757632047131</v>
      </c>
      <c r="J17" s="136">
        <f>IF(SER_hh_tes!J17=0,"",SER_hh_tes!J17/SER_hh_fec!J17)</f>
        <v>1.4172651863420749</v>
      </c>
      <c r="K17" s="136">
        <f>IF(SER_hh_tes!K17=0,"",SER_hh_tes!K17/SER_hh_fec!K17)</f>
        <v>1.4285630380003214</v>
      </c>
      <c r="L17" s="136">
        <f>IF(SER_hh_tes!L17=0,"",SER_hh_tes!L17/SER_hh_fec!L17)</f>
        <v>1.4485293591295774</v>
      </c>
      <c r="M17" s="136">
        <f>IF(SER_hh_tes!M17=0,"",SER_hh_tes!M17/SER_hh_fec!M17)</f>
        <v>1.4775831968590296</v>
      </c>
      <c r="N17" s="136">
        <f>IF(SER_hh_tes!N17=0,"",SER_hh_tes!N17/SER_hh_fec!N17)</f>
        <v>1.5108844882812269</v>
      </c>
      <c r="O17" s="136">
        <f>IF(SER_hh_tes!O17=0,"",SER_hh_tes!O17/SER_hh_fec!O17)</f>
        <v>1.5479208313565633</v>
      </c>
      <c r="P17" s="136">
        <f>IF(SER_hh_tes!P17=0,"",SER_hh_tes!P17/SER_hh_fec!P17)</f>
        <v>1.5883077898027196</v>
      </c>
      <c r="Q17" s="136">
        <f>IF(SER_hh_tes!Q17=0,"",SER_hh_tes!Q17/SER_hh_fec!Q17)</f>
        <v>1.6245580773673503</v>
      </c>
      <c r="R17" s="136">
        <f>IF(SER_hh_tes!R17=0,"",SER_hh_tes!R17/SER_hh_fec!R17)</f>
        <v>1.6536869775867906</v>
      </c>
      <c r="S17" s="136">
        <f>IF(SER_hh_tes!S17=0,"",SER_hh_tes!S17/SER_hh_fec!S17)</f>
        <v>1.6791101354082247</v>
      </c>
      <c r="T17" s="136">
        <f>IF(SER_hh_tes!T17=0,"",SER_hh_tes!T17/SER_hh_fec!T17)</f>
        <v>1.6991880350166901</v>
      </c>
      <c r="U17" s="136">
        <f>IF(SER_hh_tes!U17=0,"",SER_hh_tes!U17/SER_hh_fec!U17)</f>
        <v>1.7248293157229482</v>
      </c>
      <c r="V17" s="136">
        <f>IF(SER_hh_tes!V17=0,"",SER_hh_tes!V17/SER_hh_fec!V17)</f>
        <v>1.7696888660111914</v>
      </c>
      <c r="W17" s="136">
        <f>IF(SER_hh_tes!W17=0,"",SER_hh_tes!W17/SER_hh_fec!W17)</f>
        <v>1.7878235828471418</v>
      </c>
      <c r="X17" s="136">
        <f>IF(SER_hh_tes!X17=0,"",SER_hh_tes!X17/SER_hh_fec!X17)</f>
        <v>1.8060642648035004</v>
      </c>
      <c r="Y17" s="136">
        <f>IF(SER_hh_tes!Y17=0,"",SER_hh_tes!Y17/SER_hh_fec!Y17)</f>
        <v>1.8273323593561057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2.0901642518215207</v>
      </c>
      <c r="C18" s="136">
        <f>IF(SER_hh_tes!C18=0,"",SER_hh_tes!C18/SER_hh_fec!C18)</f>
        <v>2.1832471972198992</v>
      </c>
      <c r="D18" s="136">
        <f>IF(SER_hh_tes!D18=0,"",SER_hh_tes!D18/SER_hh_fec!D18)</f>
        <v>2.3054933966601832</v>
      </c>
      <c r="E18" s="136">
        <f>IF(SER_hh_tes!E18=0,"",SER_hh_tes!E18/SER_hh_fec!E18)</f>
        <v>2.4273334576717556</v>
      </c>
      <c r="F18" s="136">
        <f>IF(SER_hh_tes!F18=0,"",SER_hh_tes!F18/SER_hh_fec!F18)</f>
        <v>2.5760851236507452</v>
      </c>
      <c r="G18" s="136">
        <f>IF(SER_hh_tes!G18=0,"",SER_hh_tes!G18/SER_hh_fec!G18)</f>
        <v>2.7513665281208479</v>
      </c>
      <c r="H18" s="136">
        <f>IF(SER_hh_tes!H18=0,"",SER_hh_tes!H18/SER_hh_fec!H18)</f>
        <v>2.9592513795520703</v>
      </c>
      <c r="I18" s="136">
        <f>IF(SER_hh_tes!I18=0,"",SER_hh_tes!I18/SER_hh_fec!I18)</f>
        <v>3.2070336464250917</v>
      </c>
      <c r="J18" s="136">
        <f>IF(SER_hh_tes!J18=0,"",SER_hh_tes!J18/SER_hh_fec!J18)</f>
        <v>3.4828136271710117</v>
      </c>
      <c r="K18" s="136">
        <f>IF(SER_hh_tes!K18=0,"",SER_hh_tes!K18/SER_hh_fec!K18)</f>
        <v>3.5586967829076368</v>
      </c>
      <c r="L18" s="136">
        <f>IF(SER_hh_tes!L18=0,"",SER_hh_tes!L18/SER_hh_fec!L18)</f>
        <v>3.6674957020589507</v>
      </c>
      <c r="M18" s="136">
        <f>IF(SER_hh_tes!M18=0,"",SER_hh_tes!M18/SER_hh_fec!M18)</f>
        <v>3.8208700049800051</v>
      </c>
      <c r="N18" s="136">
        <f>IF(SER_hh_tes!N18=0,"",SER_hh_tes!N18/SER_hh_fec!N18)</f>
        <v>3.9858626995593829</v>
      </c>
      <c r="O18" s="136">
        <f>IF(SER_hh_tes!O18=0,"",SER_hh_tes!O18/SER_hh_fec!O18)</f>
        <v>4.1636440799462022</v>
      </c>
      <c r="P18" s="136">
        <f>IF(SER_hh_tes!P18=0,"",SER_hh_tes!P18/SER_hh_fec!P18)</f>
        <v>4.3610962249263894</v>
      </c>
      <c r="Q18" s="136">
        <f>IF(SER_hh_tes!Q18=0,"",SER_hh_tes!Q18/SER_hh_fec!Q18)</f>
        <v>4.5583659644245289</v>
      </c>
      <c r="R18" s="136">
        <f>IF(SER_hh_tes!R18=0,"",SER_hh_tes!R18/SER_hh_fec!R18)</f>
        <v>4.7712905058059407</v>
      </c>
      <c r="S18" s="136">
        <f>IF(SER_hh_tes!S18=0,"",SER_hh_tes!S18/SER_hh_fec!S18)</f>
        <v>4.9825745187155883</v>
      </c>
      <c r="T18" s="136">
        <f>IF(SER_hh_tes!T18=0,"",SER_hh_tes!T18/SER_hh_fec!T18)</f>
        <v>5.1657518067971999</v>
      </c>
      <c r="U18" s="136">
        <f>IF(SER_hh_tes!U18=0,"",SER_hh_tes!U18/SER_hh_fec!U18)</f>
        <v>5.3109751159751175</v>
      </c>
      <c r="V18" s="136">
        <f>IF(SER_hh_tes!V18=0,"",SER_hh_tes!V18/SER_hh_fec!V18)</f>
        <v>5.4505536634457972</v>
      </c>
      <c r="W18" s="136">
        <f>IF(SER_hh_tes!W18=0,"",SER_hh_tes!W18/SER_hh_fec!W18)</f>
        <v>5.5777747596919243</v>
      </c>
      <c r="X18" s="136">
        <f>IF(SER_hh_tes!X18=0,"",SER_hh_tes!X18/SER_hh_fec!X18)</f>
        <v>5.6858260609153346</v>
      </c>
      <c r="Y18" s="136">
        <f>IF(SER_hh_tes!Y18=0,"",SER_hh_tes!Y18/SER_hh_fec!Y18)</f>
        <v>5.7728461580126567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0.69282861817194163</v>
      </c>
      <c r="C19" s="135">
        <f>IF(SER_hh_tes!C19=0,"",SER_hh_tes!C19/SER_hh_fec!C19)</f>
        <v>0.69904685779091957</v>
      </c>
      <c r="D19" s="135">
        <f>IF(SER_hh_tes!D19=0,"",SER_hh_tes!D19/SER_hh_fec!D19)</f>
        <v>0.70197857424542398</v>
      </c>
      <c r="E19" s="135">
        <f>IF(SER_hh_tes!E19=0,"",SER_hh_tes!E19/SER_hh_fec!E19)</f>
        <v>0.7037629987296925</v>
      </c>
      <c r="F19" s="135">
        <f>IF(SER_hh_tes!F19=0,"",SER_hh_tes!F19/SER_hh_fec!F19)</f>
        <v>0.70738742780817143</v>
      </c>
      <c r="G19" s="135">
        <f>IF(SER_hh_tes!G19=0,"",SER_hh_tes!G19/SER_hh_fec!G19)</f>
        <v>0.71031919304185398</v>
      </c>
      <c r="H19" s="135">
        <f>IF(SER_hh_tes!H19=0,"",SER_hh_tes!H19/SER_hh_fec!H19)</f>
        <v>0.71364368429837899</v>
      </c>
      <c r="I19" s="135">
        <f>IF(SER_hh_tes!I19=0,"",SER_hh_tes!I19/SER_hh_fec!I19)</f>
        <v>0.72045724116118715</v>
      </c>
      <c r="J19" s="135">
        <f>IF(SER_hh_tes!J19=0,"",SER_hh_tes!J19/SER_hh_fec!J19)</f>
        <v>0.72623075311247065</v>
      </c>
      <c r="K19" s="135">
        <f>IF(SER_hh_tes!K19=0,"",SER_hh_tes!K19/SER_hh_fec!K19)</f>
        <v>0.73459525884100341</v>
      </c>
      <c r="L19" s="135">
        <f>IF(SER_hh_tes!L19=0,"",SER_hh_tes!L19/SER_hh_fec!L19)</f>
        <v>0.74479327347467483</v>
      </c>
      <c r="M19" s="135">
        <f>IF(SER_hh_tes!M19=0,"",SER_hh_tes!M19/SER_hh_fec!M19)</f>
        <v>0.75438870835241278</v>
      </c>
      <c r="N19" s="135">
        <f>IF(SER_hh_tes!N19=0,"",SER_hh_tes!N19/SER_hh_fec!N19)</f>
        <v>0.76064615187201023</v>
      </c>
      <c r="O19" s="135">
        <f>IF(SER_hh_tes!O19=0,"",SER_hh_tes!O19/SER_hh_fec!O19)</f>
        <v>0.76896500649588861</v>
      </c>
      <c r="P19" s="135">
        <f>IF(SER_hh_tes!P19=0,"",SER_hh_tes!P19/SER_hh_fec!P19)</f>
        <v>0.77605455874578155</v>
      </c>
      <c r="Q19" s="135">
        <f>IF(SER_hh_tes!Q19=0,"",SER_hh_tes!Q19/SER_hh_fec!Q19)</f>
        <v>0.78113801633593072</v>
      </c>
      <c r="R19" s="135">
        <f>IF(SER_hh_tes!R19=0,"",SER_hh_tes!R19/SER_hh_fec!R19)</f>
        <v>0.78805466312854944</v>
      </c>
      <c r="S19" s="135">
        <f>IF(SER_hh_tes!S19=0,"",SER_hh_tes!S19/SER_hh_fec!S19)</f>
        <v>0.79756431502190195</v>
      </c>
      <c r="T19" s="135">
        <f>IF(SER_hh_tes!T19=0,"",SER_hh_tes!T19/SER_hh_fec!T19)</f>
        <v>0.81077533188143314</v>
      </c>
      <c r="U19" s="135">
        <f>IF(SER_hh_tes!U19=0,"",SER_hh_tes!U19/SER_hh_fec!U19)</f>
        <v>0.82328893212373699</v>
      </c>
      <c r="V19" s="135">
        <f>IF(SER_hh_tes!V19=0,"",SER_hh_tes!V19/SER_hh_fec!V19)</f>
        <v>0.8389678865881236</v>
      </c>
      <c r="W19" s="135">
        <f>IF(SER_hh_tes!W19=0,"",SER_hh_tes!W19/SER_hh_fec!W19)</f>
        <v>0.8460558073151957</v>
      </c>
      <c r="X19" s="135">
        <f>IF(SER_hh_tes!X19=0,"",SER_hh_tes!X19/SER_hh_fec!X19)</f>
        <v>0.86020196176152675</v>
      </c>
      <c r="Y19" s="135">
        <f>IF(SER_hh_tes!Y19=0,"",SER_hh_tes!Y19/SER_hh_fec!Y19)</f>
        <v>0.87633516611490425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0.52483617789276649</v>
      </c>
      <c r="C22" s="136">
        <f>IF(SER_hh_tes!C22=0,"",SER_hh_tes!C22/SER_hh_fec!C22)</f>
        <v>0.5261709018534555</v>
      </c>
      <c r="D22" s="136">
        <f>IF(SER_hh_tes!D22=0,"",SER_hh_tes!D22/SER_hh_fec!D22)</f>
        <v>0.52778519689078007</v>
      </c>
      <c r="E22" s="136">
        <f>IF(SER_hh_tes!E22=0,"",SER_hh_tes!E22/SER_hh_fec!E22)</f>
        <v>0.52962223339886572</v>
      </c>
      <c r="F22" s="136">
        <f>IF(SER_hh_tes!F22=0,"",SER_hh_tes!F22/SER_hh_fec!F22)</f>
        <v>0.53139863597363368</v>
      </c>
      <c r="G22" s="136">
        <f>IF(SER_hh_tes!G22=0,"",SER_hh_tes!G22/SER_hh_fec!G22)</f>
        <v>0.53276458054483844</v>
      </c>
      <c r="H22" s="136">
        <f>IF(SER_hh_tes!H22=0,"",SER_hh_tes!H22/SER_hh_fec!H22)</f>
        <v>0.53361170361592458</v>
      </c>
      <c r="I22" s="136">
        <f>IF(SER_hh_tes!I22=0,"",SER_hh_tes!I22/SER_hh_fec!I22)</f>
        <v>0.53507358769844948</v>
      </c>
      <c r="J22" s="136">
        <f>IF(SER_hh_tes!J22=0,"",SER_hh_tes!J22/SER_hh_fec!J22)</f>
        <v>0.53830287014881617</v>
      </c>
      <c r="K22" s="136">
        <f>IF(SER_hh_tes!K22=0,"",SER_hh_tes!K22/SER_hh_fec!K22)</f>
        <v>0.54270786355136136</v>
      </c>
      <c r="L22" s="136">
        <f>IF(SER_hh_tes!L22=0,"",SER_hh_tes!L22/SER_hh_fec!L22)</f>
        <v>0.54796404139443222</v>
      </c>
      <c r="M22" s="136">
        <f>IF(SER_hh_tes!M22=0,"",SER_hh_tes!M22/SER_hh_fec!M22)</f>
        <v>0.55475504124862685</v>
      </c>
      <c r="N22" s="136">
        <f>IF(SER_hh_tes!N22=0,"",SER_hh_tes!N22/SER_hh_fec!N22)</f>
        <v>0.56676749704985574</v>
      </c>
      <c r="O22" s="136">
        <f>IF(SER_hh_tes!O22=0,"",SER_hh_tes!O22/SER_hh_fec!O22)</f>
        <v>0.58222568992362966</v>
      </c>
      <c r="P22" s="136">
        <f>IF(SER_hh_tes!P22=0,"",SER_hh_tes!P22/SER_hh_fec!P22)</f>
        <v>0.58654582286179013</v>
      </c>
      <c r="Q22" s="136">
        <f>IF(SER_hh_tes!Q22=0,"",SER_hh_tes!Q22/SER_hh_fec!Q22)</f>
        <v>0.59168859458754053</v>
      </c>
      <c r="R22" s="136">
        <f>IF(SER_hh_tes!R22=0,"",SER_hh_tes!R22/SER_hh_fec!R22)</f>
        <v>0.59919209268218721</v>
      </c>
      <c r="S22" s="136">
        <f>IF(SER_hh_tes!S22=0,"",SER_hh_tes!S22/SER_hh_fec!S22)</f>
        <v>0.60420384340956124</v>
      </c>
      <c r="T22" s="136">
        <f>IF(SER_hh_tes!T22=0,"",SER_hh_tes!T22/SER_hh_fec!T22)</f>
        <v>0.60922506098201545</v>
      </c>
      <c r="U22" s="136">
        <f>IF(SER_hh_tes!U22=0,"",SER_hh_tes!U22/SER_hh_fec!U22)</f>
        <v>0.61355331143107694</v>
      </c>
      <c r="V22" s="136">
        <f>IF(SER_hh_tes!V22=0,"",SER_hh_tes!V22/SER_hh_fec!V22)</f>
        <v>0.61591489196714944</v>
      </c>
      <c r="W22" s="136">
        <f>IF(SER_hh_tes!W22=0,"",SER_hh_tes!W22/SER_hh_fec!W22)</f>
        <v>0.61774950636996184</v>
      </c>
      <c r="X22" s="136">
        <f>IF(SER_hh_tes!X22=0,"",SER_hh_tes!X22/SER_hh_fec!X22)</f>
        <v>0.62664641007562516</v>
      </c>
      <c r="Y22" s="136">
        <f>IF(SER_hh_tes!Y22=0,"",SER_hh_tes!Y22/SER_hh_fec!Y22)</f>
        <v>0.64827039973626843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0.53662786314279931</v>
      </c>
      <c r="C23" s="136">
        <f>IF(SER_hh_tes!C23=0,"",SER_hh_tes!C23/SER_hh_fec!C23)</f>
        <v>0.54208867237796499</v>
      </c>
      <c r="D23" s="136">
        <f>IF(SER_hh_tes!D23=0,"",SER_hh_tes!D23/SER_hh_fec!D23)</f>
        <v>0.55179548896360608</v>
      </c>
      <c r="E23" s="136">
        <f>IF(SER_hh_tes!E23=0,"",SER_hh_tes!E23/SER_hh_fec!E23)</f>
        <v>0.56150748564712916</v>
      </c>
      <c r="F23" s="136">
        <f>IF(SER_hh_tes!F23=0,"",SER_hh_tes!F23/SER_hh_fec!F23)</f>
        <v>0.56994782262700228</v>
      </c>
      <c r="G23" s="136">
        <f>IF(SER_hh_tes!G23=0,"",SER_hh_tes!G23/SER_hh_fec!G23)</f>
        <v>0.57815223315232211</v>
      </c>
      <c r="H23" s="136">
        <f>IF(SER_hh_tes!H23=0,"",SER_hh_tes!H23/SER_hh_fec!H23)</f>
        <v>0.58538485643659066</v>
      </c>
      <c r="I23" s="136">
        <f>IF(SER_hh_tes!I23=0,"",SER_hh_tes!I23/SER_hh_fec!I23)</f>
        <v>0.59162357382972119</v>
      </c>
      <c r="J23" s="136">
        <f>IF(SER_hh_tes!J23=0,"",SER_hh_tes!J23/SER_hh_fec!J23)</f>
        <v>0.59760210514472978</v>
      </c>
      <c r="K23" s="136">
        <f>IF(SER_hh_tes!K23=0,"",SER_hh_tes!K23/SER_hh_fec!K23)</f>
        <v>0.60297183477145722</v>
      </c>
      <c r="L23" s="136">
        <f>IF(SER_hh_tes!L23=0,"",SER_hh_tes!L23/SER_hh_fec!L23)</f>
        <v>0.60811102120634564</v>
      </c>
      <c r="M23" s="136">
        <f>IF(SER_hh_tes!M23=0,"",SER_hh_tes!M23/SER_hh_fec!M23)</f>
        <v>0.61203024711881304</v>
      </c>
      <c r="N23" s="136">
        <f>IF(SER_hh_tes!N23=0,"",SER_hh_tes!N23/SER_hh_fec!N23)</f>
        <v>0.61910324819157025</v>
      </c>
      <c r="O23" s="136">
        <f>IF(SER_hh_tes!O23=0,"",SER_hh_tes!O23/SER_hh_fec!O23)</f>
        <v>0.6294612904293525</v>
      </c>
      <c r="P23" s="136">
        <f>IF(SER_hh_tes!P23=0,"",SER_hh_tes!P23/SER_hh_fec!P23)</f>
        <v>0.63756831558632654</v>
      </c>
      <c r="Q23" s="136">
        <f>IF(SER_hh_tes!Q23=0,"",SER_hh_tes!Q23/SER_hh_fec!Q23)</f>
        <v>0.65612066728034035</v>
      </c>
      <c r="R23" s="136">
        <f>IF(SER_hh_tes!R23=0,"",SER_hh_tes!R23/SER_hh_fec!R23)</f>
        <v>0.67701115704812631</v>
      </c>
      <c r="S23" s="136">
        <f>IF(SER_hh_tes!S23=0,"",SER_hh_tes!S23/SER_hh_fec!S23)</f>
        <v>0.70187775718030987</v>
      </c>
      <c r="T23" s="136">
        <f>IF(SER_hh_tes!T23=0,"",SER_hh_tes!T23/SER_hh_fec!T23)</f>
        <v>0.72323679322931778</v>
      </c>
      <c r="U23" s="136">
        <f>IF(SER_hh_tes!U23=0,"",SER_hh_tes!U23/SER_hh_fec!U23)</f>
        <v>0.74397695232107885</v>
      </c>
      <c r="V23" s="136">
        <f>IF(SER_hh_tes!V23=0,"",SER_hh_tes!V23/SER_hh_fec!V23)</f>
        <v>0.76125165261032068</v>
      </c>
      <c r="W23" s="136">
        <f>IF(SER_hh_tes!W23=0,"",SER_hh_tes!W23/SER_hh_fec!W23)</f>
        <v>0.77285173682829822</v>
      </c>
      <c r="X23" s="136">
        <f>IF(SER_hh_tes!X23=0,"",SER_hh_tes!X23/SER_hh_fec!X23)</f>
        <v>0.78333588679645505</v>
      </c>
      <c r="Y23" s="136">
        <f>IF(SER_hh_tes!Y23=0,"",SER_hh_tes!Y23/SER_hh_fec!Y23)</f>
        <v>0.79172546604787597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0.458098901089738</v>
      </c>
      <c r="C24" s="136">
        <f>IF(SER_hh_tes!C24=0,"",SER_hh_tes!C24/SER_hh_fec!C24)</f>
        <v>0.47102960481238271</v>
      </c>
      <c r="D24" s="136">
        <f>IF(SER_hh_tes!D24=0,"",SER_hh_tes!D24/SER_hh_fec!D24)</f>
        <v>0.48320713057561082</v>
      </c>
      <c r="E24" s="136">
        <f>IF(SER_hh_tes!E24=0,"",SER_hh_tes!E24/SER_hh_fec!E24)</f>
        <v>0.4956614746846229</v>
      </c>
      <c r="F24" s="136">
        <f>IF(SER_hh_tes!F24=0,"",SER_hh_tes!F24/SER_hh_fec!F24)</f>
        <v>0.50828657466254079</v>
      </c>
      <c r="G24" s="136">
        <f>IF(SER_hh_tes!G24=0,"",SER_hh_tes!G24/SER_hh_fec!G24)</f>
        <v>0.5221451435431802</v>
      </c>
      <c r="H24" s="136">
        <f>IF(SER_hh_tes!H24=0,"",SER_hh_tes!H24/SER_hh_fec!H24)</f>
        <v>0.53667959873096616</v>
      </c>
      <c r="I24" s="136">
        <f>IF(SER_hh_tes!I24=0,"",SER_hh_tes!I24/SER_hh_fec!I24)</f>
        <v>0.55224053037549881</v>
      </c>
      <c r="J24" s="136">
        <f>IF(SER_hh_tes!J24=0,"",SER_hh_tes!J24/SER_hh_fec!J24)</f>
        <v>0.56858891311061421</v>
      </c>
      <c r="K24" s="136">
        <f>IF(SER_hh_tes!K24=0,"",SER_hh_tes!K24/SER_hh_fec!K24)</f>
        <v>0.58604892950622267</v>
      </c>
      <c r="L24" s="136">
        <f>IF(SER_hh_tes!L24=0,"",SER_hh_tes!L24/SER_hh_fec!L24)</f>
        <v>0.60443278155058555</v>
      </c>
      <c r="M24" s="136">
        <f>IF(SER_hh_tes!M24=0,"",SER_hh_tes!M24/SER_hh_fec!M24)</f>
        <v>0.62386564575416859</v>
      </c>
      <c r="N24" s="136">
        <f>IF(SER_hh_tes!N24=0,"",SER_hh_tes!N24/SER_hh_fec!N24)</f>
        <v>0.64416862454647061</v>
      </c>
      <c r="O24" s="136">
        <f>IF(SER_hh_tes!O24=0,"",SER_hh_tes!O24/SER_hh_fec!O24)</f>
        <v>0.66209250824014099</v>
      </c>
      <c r="P24" s="136">
        <f>IF(SER_hh_tes!P24=0,"",SER_hh_tes!P24/SER_hh_fec!P24)</f>
        <v>0.66824830448492567</v>
      </c>
      <c r="Q24" s="136">
        <f>IF(SER_hh_tes!Q24=0,"",SER_hh_tes!Q24/SER_hh_fec!Q24)</f>
        <v>0.67718651327006807</v>
      </c>
      <c r="R24" s="136">
        <f>IF(SER_hh_tes!R24=0,"",SER_hh_tes!R24/SER_hh_fec!R24)</f>
        <v>0.69064418534148997</v>
      </c>
      <c r="S24" s="136">
        <f>IF(SER_hh_tes!S24=0,"",SER_hh_tes!S24/SER_hh_fec!S24)</f>
        <v>0.70340987331524063</v>
      </c>
      <c r="T24" s="136">
        <f>IF(SER_hh_tes!T24=0,"",SER_hh_tes!T24/SER_hh_fec!T24)</f>
        <v>0.71528477990364436</v>
      </c>
      <c r="U24" s="136">
        <f>IF(SER_hh_tes!U24=0,"",SER_hh_tes!U24/SER_hh_fec!U24)</f>
        <v>0.72564799007421199</v>
      </c>
      <c r="V24" s="136">
        <f>IF(SER_hh_tes!V24=0,"",SER_hh_tes!V24/SER_hh_fec!V24)</f>
        <v>0.73488913056015204</v>
      </c>
      <c r="W24" s="136">
        <f>IF(SER_hh_tes!W24=0,"",SER_hh_tes!W24/SER_hh_fec!W24)</f>
        <v>0.74129644755134372</v>
      </c>
      <c r="X24" s="136">
        <f>IF(SER_hh_tes!X24=0,"",SER_hh_tes!X24/SER_hh_fec!X24)</f>
        <v>0.7462366916917097</v>
      </c>
      <c r="Y24" s="136">
        <f>IF(SER_hh_tes!Y24=0,"",SER_hh_tes!Y24/SER_hh_fec!Y24)</f>
        <v>0.75055820768654535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0.80078189946101863</v>
      </c>
      <c r="C25" s="136">
        <f>IF(SER_hh_tes!C25=0,"",SER_hh_tes!C25/SER_hh_fec!C25)</f>
        <v>0.80396648765603773</v>
      </c>
      <c r="D25" s="136">
        <f>IF(SER_hh_tes!D25=0,"",SER_hh_tes!D25/SER_hh_fec!D25)</f>
        <v>0.80685419516365764</v>
      </c>
      <c r="E25" s="136">
        <f>IF(SER_hh_tes!E25=0,"",SER_hh_tes!E25/SER_hh_fec!E25)</f>
        <v>0.80970209988440056</v>
      </c>
      <c r="F25" s="136">
        <f>IF(SER_hh_tes!F25=0,"",SER_hh_tes!F25/SER_hh_fec!F25)</f>
        <v>0.81240919017743196</v>
      </c>
      <c r="G25" s="136">
        <f>IF(SER_hh_tes!G25=0,"",SER_hh_tes!G25/SER_hh_fec!G25)</f>
        <v>0.81521043389647641</v>
      </c>
      <c r="H25" s="136">
        <f>IF(SER_hh_tes!H25=0,"",SER_hh_tes!H25/SER_hh_fec!H25)</f>
        <v>0.81818052445012612</v>
      </c>
      <c r="I25" s="136">
        <f>IF(SER_hh_tes!I25=0,"",SER_hh_tes!I25/SER_hh_fec!I25)</f>
        <v>0.82198650891928271</v>
      </c>
      <c r="J25" s="136">
        <f>IF(SER_hh_tes!J25=0,"",SER_hh_tes!J25/SER_hh_fec!J25)</f>
        <v>0.82563645366882776</v>
      </c>
      <c r="K25" s="136">
        <f>IF(SER_hh_tes!K25=0,"",SER_hh_tes!K25/SER_hh_fec!K25)</f>
        <v>0.82994137562306247</v>
      </c>
      <c r="L25" s="136">
        <f>IF(SER_hh_tes!L25=0,"",SER_hh_tes!L25/SER_hh_fec!L25)</f>
        <v>0.8342937052922248</v>
      </c>
      <c r="M25" s="136">
        <f>IF(SER_hh_tes!M25=0,"",SER_hh_tes!M25/SER_hh_fec!M25)</f>
        <v>0.83823254952988646</v>
      </c>
      <c r="N25" s="136">
        <f>IF(SER_hh_tes!N25=0,"",SER_hh_tes!N25/SER_hh_fec!N25)</f>
        <v>0.84245922565527886</v>
      </c>
      <c r="O25" s="136">
        <f>IF(SER_hh_tes!O25=0,"",SER_hh_tes!O25/SER_hh_fec!O25)</f>
        <v>0.84683999887379513</v>
      </c>
      <c r="P25" s="136">
        <f>IF(SER_hh_tes!P25=0,"",SER_hh_tes!P25/SER_hh_fec!P25)</f>
        <v>0.84919205432951805</v>
      </c>
      <c r="Q25" s="136">
        <f>IF(SER_hh_tes!Q25=0,"",SER_hh_tes!Q25/SER_hh_fec!Q25)</f>
        <v>0.85219175938182923</v>
      </c>
      <c r="R25" s="136">
        <f>IF(SER_hh_tes!R25=0,"",SER_hh_tes!R25/SER_hh_fec!R25)</f>
        <v>0.85615474175735573</v>
      </c>
      <c r="S25" s="136">
        <f>IF(SER_hh_tes!S25=0,"",SER_hh_tes!S25/SER_hh_fec!S25)</f>
        <v>0.86130747577982358</v>
      </c>
      <c r="T25" s="136">
        <f>IF(SER_hh_tes!T25=0,"",SER_hh_tes!T25/SER_hh_fec!T25)</f>
        <v>0.86730461466316633</v>
      </c>
      <c r="U25" s="136">
        <f>IF(SER_hh_tes!U25=0,"",SER_hh_tes!U25/SER_hh_fec!U25)</f>
        <v>0.87322344375200089</v>
      </c>
      <c r="V25" s="136">
        <f>IF(SER_hh_tes!V25=0,"",SER_hh_tes!V25/SER_hh_fec!V25)</f>
        <v>0.87975593189732826</v>
      </c>
      <c r="W25" s="136">
        <f>IF(SER_hh_tes!W25=0,"",SER_hh_tes!W25/SER_hh_fec!W25)</f>
        <v>0.88608244160046856</v>
      </c>
      <c r="X25" s="136">
        <f>IF(SER_hh_tes!X25=0,"",SER_hh_tes!X25/SER_hh_fec!X25)</f>
        <v>0.89312967253982678</v>
      </c>
      <c r="Y25" s="136">
        <f>IF(SER_hh_tes!Y25=0,"",SER_hh_tes!Y25/SER_hh_fec!Y25)</f>
        <v>0.90034456093039361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0.66595134799648115</v>
      </c>
      <c r="C26" s="137">
        <f>IF(SER_hh_tes!C26=0,"",SER_hh_tes!C26/SER_hh_fec!C26)</f>
        <v>0.66736359644017984</v>
      </c>
      <c r="D26" s="137">
        <f>IF(SER_hh_tes!D26=0,"",SER_hh_tes!D26/SER_hh_fec!D26)</f>
        <v>0.66911127248717017</v>
      </c>
      <c r="E26" s="137">
        <f>IF(SER_hh_tes!E26=0,"",SER_hh_tes!E26/SER_hh_fec!E26)</f>
        <v>0.67100643818280703</v>
      </c>
      <c r="F26" s="137">
        <f>IF(SER_hh_tes!F26=0,"",SER_hh_tes!F26/SER_hh_fec!F26)</f>
        <v>0.67354735017235456</v>
      </c>
      <c r="G26" s="137">
        <f>IF(SER_hh_tes!G26=0,"",SER_hh_tes!G26/SER_hh_fec!G26)</f>
        <v>0.6764239186423584</v>
      </c>
      <c r="H26" s="137">
        <f>IF(SER_hh_tes!H26=0,"",SER_hh_tes!H26/SER_hh_fec!H26)</f>
        <v>0.6798158033560614</v>
      </c>
      <c r="I26" s="137">
        <f>IF(SER_hh_tes!I26=0,"",SER_hh_tes!I26/SER_hh_fec!I26)</f>
        <v>0.68310289501608756</v>
      </c>
      <c r="J26" s="137">
        <f>IF(SER_hh_tes!J26=0,"",SER_hh_tes!J26/SER_hh_fec!J26)</f>
        <v>0.68599412032479234</v>
      </c>
      <c r="K26" s="137">
        <f>IF(SER_hh_tes!K26=0,"",SER_hh_tes!K26/SER_hh_fec!K26)</f>
        <v>0.68896024381733423</v>
      </c>
      <c r="L26" s="137">
        <f>IF(SER_hh_tes!L26=0,"",SER_hh_tes!L26/SER_hh_fec!L26)</f>
        <v>0.69243331491161342</v>
      </c>
      <c r="M26" s="137">
        <f>IF(SER_hh_tes!M26=0,"",SER_hh_tes!M26/SER_hh_fec!M26)</f>
        <v>0.69852028906672647</v>
      </c>
      <c r="N26" s="137">
        <f>IF(SER_hh_tes!N26=0,"",SER_hh_tes!N26/SER_hh_fec!N26)</f>
        <v>0.70663915325694504</v>
      </c>
      <c r="O26" s="137">
        <f>IF(SER_hh_tes!O26=0,"",SER_hh_tes!O26/SER_hh_fec!O26)</f>
        <v>0.71525931438715817</v>
      </c>
      <c r="P26" s="137">
        <f>IF(SER_hh_tes!P26=0,"",SER_hh_tes!P26/SER_hh_fec!P26)</f>
        <v>0.71796157030644669</v>
      </c>
      <c r="Q26" s="137">
        <f>IF(SER_hh_tes!Q26=0,"",SER_hh_tes!Q26/SER_hh_fec!Q26)</f>
        <v>0.7211012639257055</v>
      </c>
      <c r="R26" s="137">
        <f>IF(SER_hh_tes!R26=0,"",SER_hh_tes!R26/SER_hh_fec!R26)</f>
        <v>0.72718365132249529</v>
      </c>
      <c r="S26" s="137">
        <f>IF(SER_hh_tes!S26=0,"",SER_hh_tes!S26/SER_hh_fec!S26)</f>
        <v>0.73794490816078395</v>
      </c>
      <c r="T26" s="137">
        <f>IF(SER_hh_tes!T26=0,"",SER_hh_tes!T26/SER_hh_fec!T26)</f>
        <v>0.74550592515053571</v>
      </c>
      <c r="U26" s="137">
        <f>IF(SER_hh_tes!U26=0,"",SER_hh_tes!U26/SER_hh_fec!U26)</f>
        <v>0.75796437154968233</v>
      </c>
      <c r="V26" s="137">
        <f>IF(SER_hh_tes!V26=0,"",SER_hh_tes!V26/SER_hh_fec!V26)</f>
        <v>0.76430109537231128</v>
      </c>
      <c r="W26" s="137">
        <f>IF(SER_hh_tes!W26=0,"",SER_hh_tes!W26/SER_hh_fec!W26)</f>
        <v>0.78517605420194936</v>
      </c>
      <c r="X26" s="137">
        <f>IF(SER_hh_tes!X26=0,"",SER_hh_tes!X26/SER_hh_fec!X26)</f>
        <v>0.79773581908024727</v>
      </c>
      <c r="Y26" s="137">
        <f>IF(SER_hh_tes!Y26=0,"",SER_hh_tes!Y26/SER_hh_fec!Y26)</f>
        <v>0.80752337085548109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0.67850017129820139</v>
      </c>
      <c r="C29" s="135">
        <f>IF(SER_hh_tes!C29=0,"",SER_hh_tes!C29/SER_hh_fec!C29)</f>
        <v>0.68044025502998884</v>
      </c>
      <c r="D29" s="135">
        <f>IF(SER_hh_tes!D29=0,"",SER_hh_tes!D29/SER_hh_fec!D29)</f>
        <v>0.68230370508147342</v>
      </c>
      <c r="E29" s="135">
        <f>IF(SER_hh_tes!E29=0,"",SER_hh_tes!E29/SER_hh_fec!E29)</f>
        <v>0.68304852415269257</v>
      </c>
      <c r="F29" s="135">
        <f>IF(SER_hh_tes!F29=0,"",SER_hh_tes!F29/SER_hh_fec!F29)</f>
        <v>0.68396553827681517</v>
      </c>
      <c r="G29" s="135">
        <f>IF(SER_hh_tes!G29=0,"",SER_hh_tes!G29/SER_hh_fec!G29)</f>
        <v>0.68198105050903346</v>
      </c>
      <c r="H29" s="135">
        <f>IF(SER_hh_tes!H29=0,"",SER_hh_tes!H29/SER_hh_fec!H29)</f>
        <v>0.68409081295061103</v>
      </c>
      <c r="I29" s="135">
        <f>IF(SER_hh_tes!I29=0,"",SER_hh_tes!I29/SER_hh_fec!I29)</f>
        <v>0.68634511209847049</v>
      </c>
      <c r="J29" s="135">
        <f>IF(SER_hh_tes!J29=0,"",SER_hh_tes!J29/SER_hh_fec!J29)</f>
        <v>0.68880761169369054</v>
      </c>
      <c r="K29" s="135">
        <f>IF(SER_hh_tes!K29=0,"",SER_hh_tes!K29/SER_hh_fec!K29)</f>
        <v>0.69113396319141773</v>
      </c>
      <c r="L29" s="135">
        <f>IF(SER_hh_tes!L29=0,"",SER_hh_tes!L29/SER_hh_fec!L29)</f>
        <v>0.69114982978050254</v>
      </c>
      <c r="M29" s="135">
        <f>IF(SER_hh_tes!M29=0,"",SER_hh_tes!M29/SER_hh_fec!M29)</f>
        <v>0.69498960195498227</v>
      </c>
      <c r="N29" s="135">
        <f>IF(SER_hh_tes!N29=0,"",SER_hh_tes!N29/SER_hh_fec!N29)</f>
        <v>0.69825345315868492</v>
      </c>
      <c r="O29" s="135">
        <f>IF(SER_hh_tes!O29=0,"",SER_hh_tes!O29/SER_hh_fec!O29)</f>
        <v>0.69957967995675496</v>
      </c>
      <c r="P29" s="135">
        <f>IF(SER_hh_tes!P29=0,"",SER_hh_tes!P29/SER_hh_fec!P29)</f>
        <v>0.70665766468068381</v>
      </c>
      <c r="Q29" s="135">
        <f>IF(SER_hh_tes!Q29=0,"",SER_hh_tes!Q29/SER_hh_fec!Q29)</f>
        <v>0.69946171843367233</v>
      </c>
      <c r="R29" s="135">
        <f>IF(SER_hh_tes!R29=0,"",SER_hh_tes!R29/SER_hh_fec!R29)</f>
        <v>0.70440035572783866</v>
      </c>
      <c r="S29" s="135">
        <f>IF(SER_hh_tes!S29=0,"",SER_hh_tes!S29/SER_hh_fec!S29)</f>
        <v>0.71393319831401603</v>
      </c>
      <c r="T29" s="135">
        <f>IF(SER_hh_tes!T29=0,"",SER_hh_tes!T29/SER_hh_fec!T29)</f>
        <v>0.71627159555189046</v>
      </c>
      <c r="U29" s="135">
        <f>IF(SER_hh_tes!U29=0,"",SER_hh_tes!U29/SER_hh_fec!U29)</f>
        <v>0.71923036828992326</v>
      </c>
      <c r="V29" s="135">
        <f>IF(SER_hh_tes!V29=0,"",SER_hh_tes!V29/SER_hh_fec!V29)</f>
        <v>0.73980154000368126</v>
      </c>
      <c r="W29" s="135">
        <f>IF(SER_hh_tes!W29=0,"",SER_hh_tes!W29/SER_hh_fec!W29)</f>
        <v>0.73666222618212884</v>
      </c>
      <c r="X29" s="135">
        <f>IF(SER_hh_tes!X29=0,"",SER_hh_tes!X29/SER_hh_fec!X29)</f>
        <v>0.74159985362810266</v>
      </c>
      <c r="Y29" s="135">
        <f>IF(SER_hh_tes!Y29=0,"",SER_hh_tes!Y29/SER_hh_fec!Y29)</f>
        <v>0.71727891695736334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0.54276580379130335</v>
      </c>
      <c r="C30" s="136">
        <f>IF(SER_hh_tes!C30=0,"",SER_hh_tes!C30/SER_hh_fec!C30)</f>
        <v>0.54340774411680937</v>
      </c>
      <c r="D30" s="136">
        <f>IF(SER_hh_tes!D30=0,"",SER_hh_tes!D30/SER_hh_fec!D30)</f>
        <v>0.54475301669351839</v>
      </c>
      <c r="E30" s="136">
        <f>IF(SER_hh_tes!E30=0,"",SER_hh_tes!E30/SER_hh_fec!E30)</f>
        <v>0.54631939312314215</v>
      </c>
      <c r="F30" s="136">
        <f>IF(SER_hh_tes!F30=0,"",SER_hh_tes!F30/SER_hh_fec!F30)</f>
        <v>0.54770317086833786</v>
      </c>
      <c r="G30" s="136">
        <f>IF(SER_hh_tes!G30=0,"",SER_hh_tes!G30/SER_hh_fec!G30)</f>
        <v>0.54882851552621881</v>
      </c>
      <c r="H30" s="136">
        <f>IF(SER_hh_tes!H30=0,"",SER_hh_tes!H30/SER_hh_fec!H30)</f>
        <v>0.54963086531280414</v>
      </c>
      <c r="I30" s="136">
        <f>IF(SER_hh_tes!I30=0,"",SER_hh_tes!I30/SER_hh_fec!I30)</f>
        <v>0.5503670384712499</v>
      </c>
      <c r="J30" s="136">
        <f>IF(SER_hh_tes!J30=0,"",SER_hh_tes!J30/SER_hh_fec!J30)</f>
        <v>0.55123113530224965</v>
      </c>
      <c r="K30" s="136">
        <f>IF(SER_hh_tes!K30=0,"",SER_hh_tes!K30/SER_hh_fec!K30)</f>
        <v>0.55222967087465191</v>
      </c>
      <c r="L30" s="136">
        <f>IF(SER_hh_tes!L30=0,"",SER_hh_tes!L30/SER_hh_fec!L30)</f>
        <v>0.55313838574426677</v>
      </c>
      <c r="M30" s="136">
        <f>IF(SER_hh_tes!M30=0,"",SER_hh_tes!M30/SER_hh_fec!M30)</f>
        <v>0.55341345791255991</v>
      </c>
      <c r="N30" s="136">
        <f>IF(SER_hh_tes!N30=0,"",SER_hh_tes!N30/SER_hh_fec!N30)</f>
        <v>0.5536306547379064</v>
      </c>
      <c r="O30" s="136">
        <f>IF(SER_hh_tes!O30=0,"",SER_hh_tes!O30/SER_hh_fec!O30)</f>
        <v>0.55431934224535107</v>
      </c>
      <c r="P30" s="136">
        <f>IF(SER_hh_tes!P30=0,"",SER_hh_tes!P30/SER_hh_fec!P30)</f>
        <v>0.55538819426479058</v>
      </c>
      <c r="Q30" s="136">
        <f>IF(SER_hh_tes!Q30=0,"",SER_hh_tes!Q30/SER_hh_fec!Q30)</f>
        <v>0.55684202218986767</v>
      </c>
      <c r="R30" s="136">
        <f>IF(SER_hh_tes!R30=0,"",SER_hh_tes!R30/SER_hh_fec!R30)</f>
        <v>0.55909098615023067</v>
      </c>
      <c r="S30" s="136">
        <f>IF(SER_hh_tes!S30=0,"",SER_hh_tes!S30/SER_hh_fec!S30)</f>
        <v>0.56185281328447212</v>
      </c>
      <c r="T30" s="136">
        <f>IF(SER_hh_tes!T30=0,"",SER_hh_tes!T30/SER_hh_fec!T30)</f>
        <v>0.56456162289958189</v>
      </c>
      <c r="U30" s="136">
        <f>IF(SER_hh_tes!U30=0,"",SER_hh_tes!U30/SER_hh_fec!U30)</f>
        <v>0.56770284059524057</v>
      </c>
      <c r="V30" s="136">
        <f>IF(SER_hh_tes!V30=0,"",SER_hh_tes!V30/SER_hh_fec!V30)</f>
        <v>0.57203703712753806</v>
      </c>
      <c r="W30" s="136">
        <f>IF(SER_hh_tes!W30=0,"",SER_hh_tes!W30/SER_hh_fec!W30)</f>
        <v>0.57735548568093065</v>
      </c>
      <c r="X30" s="136">
        <f>IF(SER_hh_tes!X30=0,"",SER_hh_tes!X30/SER_hh_fec!X30)</f>
        <v>0.58275250042187587</v>
      </c>
      <c r="Y30" s="136">
        <f>IF(SER_hh_tes!Y30=0,"",SER_hh_tes!Y30/SER_hh_fec!Y30)</f>
        <v>0.58745610448735552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0.54947817451330294</v>
      </c>
      <c r="C31" s="136">
        <f>IF(SER_hh_tes!C31=0,"",SER_hh_tes!C31/SER_hh_fec!C31)</f>
        <v>0.55017446554081018</v>
      </c>
      <c r="D31" s="136">
        <f>IF(SER_hh_tes!D31=0,"",SER_hh_tes!D31/SER_hh_fec!D31)</f>
        <v>0.55097992204681401</v>
      </c>
      <c r="E31" s="136">
        <f>IF(SER_hh_tes!E31=0,"",SER_hh_tes!E31/SER_hh_fec!E31)</f>
        <v>0.55189911383870338</v>
      </c>
      <c r="F31" s="136">
        <f>IF(SER_hh_tes!F31=0,"",SER_hh_tes!F31/SER_hh_fec!F31)</f>
        <v>0.55292948438732459</v>
      </c>
      <c r="G31" s="136">
        <f>IF(SER_hh_tes!G31=0,"",SER_hh_tes!G31/SER_hh_fec!G31)</f>
        <v>0.55411213539816717</v>
      </c>
      <c r="H31" s="136">
        <f>IF(SER_hh_tes!H31=0,"",SER_hh_tes!H31/SER_hh_fec!H31)</f>
        <v>0.55525889962957897</v>
      </c>
      <c r="I31" s="136">
        <f>IF(SER_hh_tes!I31=0,"",SER_hh_tes!I31/SER_hh_fec!I31)</f>
        <v>0.55643958714318464</v>
      </c>
      <c r="J31" s="136">
        <f>IF(SER_hh_tes!J31=0,"",SER_hh_tes!J31/SER_hh_fec!J31)</f>
        <v>0.55765126497676565</v>
      </c>
      <c r="K31" s="136">
        <f>IF(SER_hh_tes!K31=0,"",SER_hh_tes!K31/SER_hh_fec!K31)</f>
        <v>0.55896269464925608</v>
      </c>
      <c r="L31" s="136">
        <f>IF(SER_hh_tes!L31=0,"",SER_hh_tes!L31/SER_hh_fec!L31)</f>
        <v>0.55991296585401518</v>
      </c>
      <c r="M31" s="136">
        <f>IF(SER_hh_tes!M31=0,"",SER_hh_tes!M31/SER_hh_fec!M31)</f>
        <v>0.56022361679358235</v>
      </c>
      <c r="N31" s="136">
        <f>IF(SER_hh_tes!N31=0,"",SER_hh_tes!N31/SER_hh_fec!N31)</f>
        <v>0.5606744369635267</v>
      </c>
      <c r="O31" s="136">
        <f>IF(SER_hh_tes!O31=0,"",SER_hh_tes!O31/SER_hh_fec!O31)</f>
        <v>0.56135691380125941</v>
      </c>
      <c r="P31" s="136">
        <f>IF(SER_hh_tes!P31=0,"",SER_hh_tes!P31/SER_hh_fec!P31)</f>
        <v>0.5620958350526305</v>
      </c>
      <c r="Q31" s="136">
        <f>IF(SER_hh_tes!Q31=0,"",SER_hh_tes!Q31/SER_hh_fec!Q31)</f>
        <v>0.56315581920890367</v>
      </c>
      <c r="R31" s="136">
        <f>IF(SER_hh_tes!R31=0,"",SER_hh_tes!R31/SER_hh_fec!R31)</f>
        <v>0.56474554133461041</v>
      </c>
      <c r="S31" s="136">
        <f>IF(SER_hh_tes!S31=0,"",SER_hh_tes!S31/SER_hh_fec!S31)</f>
        <v>0.56729615998675453</v>
      </c>
      <c r="T31" s="136">
        <f>IF(SER_hh_tes!T31=0,"",SER_hh_tes!T31/SER_hh_fec!T31)</f>
        <v>0.57097153730302475</v>
      </c>
      <c r="U31" s="136">
        <f>IF(SER_hh_tes!U31=0,"",SER_hh_tes!U31/SER_hh_fec!U31)</f>
        <v>0.57573015261543226</v>
      </c>
      <c r="V31" s="136">
        <f>IF(SER_hh_tes!V31=0,"",SER_hh_tes!V31/SER_hh_fec!V31)</f>
        <v>0.5806583722512515</v>
      </c>
      <c r="W31" s="136">
        <f>IF(SER_hh_tes!W31=0,"",SER_hh_tes!W31/SER_hh_fec!W31)</f>
        <v>0.58630387301397335</v>
      </c>
      <c r="X31" s="136">
        <f>IF(SER_hh_tes!X31=0,"",SER_hh_tes!X31/SER_hh_fec!X31)</f>
        <v>0.59201065450303103</v>
      </c>
      <c r="Y31" s="136">
        <f>IF(SER_hh_tes!Y31=0,"",SER_hh_tes!Y31/SER_hh_fec!Y31)</f>
        <v>0.59727769364295702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0.71818514522730792</v>
      </c>
      <c r="C33" s="149">
        <f>IF(SER_hh_tes!C33=0,"",SER_hh_tes!C33/SER_hh_fec!C33)</f>
        <v>0.71975049286010351</v>
      </c>
      <c r="D33" s="149">
        <f>IF(SER_hh_tes!D33=0,"",SER_hh_tes!D33/SER_hh_fec!D33)</f>
        <v>0.721415716842017</v>
      </c>
      <c r="E33" s="149">
        <f>IF(SER_hh_tes!E33=0,"",SER_hh_tes!E33/SER_hh_fec!E33)</f>
        <v>0.7231151036652731</v>
      </c>
      <c r="F33" s="149">
        <f>IF(SER_hh_tes!F33=0,"",SER_hh_tes!F33/SER_hh_fec!F33)</f>
        <v>0.72488701361740482</v>
      </c>
      <c r="G33" s="149">
        <f>IF(SER_hh_tes!G33=0,"",SER_hh_tes!G33/SER_hh_fec!G33)</f>
        <v>0.72676078110148512</v>
      </c>
      <c r="H33" s="149">
        <f>IF(SER_hh_tes!H33=0,"",SER_hh_tes!H33/SER_hh_fec!H33)</f>
        <v>0.72885623170556779</v>
      </c>
      <c r="I33" s="149">
        <f>IF(SER_hh_tes!I33=0,"",SER_hh_tes!I33/SER_hh_fec!I33)</f>
        <v>0.73124473176029547</v>
      </c>
      <c r="J33" s="149">
        <f>IF(SER_hh_tes!J33=0,"",SER_hh_tes!J33/SER_hh_fec!J33)</f>
        <v>0.73366671942764916</v>
      </c>
      <c r="K33" s="149">
        <f>IF(SER_hh_tes!K33=0,"",SER_hh_tes!K33/SER_hh_fec!K33)</f>
        <v>0.73644575351557739</v>
      </c>
      <c r="L33" s="149">
        <f>IF(SER_hh_tes!L33=0,"",SER_hh_tes!L33/SER_hh_fec!L33)</f>
        <v>0.73862655484923756</v>
      </c>
      <c r="M33" s="149">
        <f>IF(SER_hh_tes!M33=0,"",SER_hh_tes!M33/SER_hh_fec!M33)</f>
        <v>0.73965165307086689</v>
      </c>
      <c r="N33" s="149">
        <f>IF(SER_hh_tes!N33=0,"",SER_hh_tes!N33/SER_hh_fec!N33)</f>
        <v>0.74127503561167452</v>
      </c>
      <c r="O33" s="149">
        <f>IF(SER_hh_tes!O33=0,"",SER_hh_tes!O33/SER_hh_fec!O33)</f>
        <v>0.74383213539440574</v>
      </c>
      <c r="P33" s="149">
        <f>IF(SER_hh_tes!P33=0,"",SER_hh_tes!P33/SER_hh_fec!P33)</f>
        <v>0.74693729587833813</v>
      </c>
      <c r="Q33" s="149">
        <f>IF(SER_hh_tes!Q33=0,"",SER_hh_tes!Q33/SER_hh_fec!Q33)</f>
        <v>0.75071092598783251</v>
      </c>
      <c r="R33" s="149">
        <f>IF(SER_hh_tes!R33=0,"",SER_hh_tes!R33/SER_hh_fec!R33)</f>
        <v>0.75593162830632588</v>
      </c>
      <c r="S33" s="149">
        <f>IF(SER_hh_tes!S33=0,"",SER_hh_tes!S33/SER_hh_fec!S33)</f>
        <v>0.76288043522108651</v>
      </c>
      <c r="T33" s="149">
        <f>IF(SER_hh_tes!T33=0,"",SER_hh_tes!T33/SER_hh_fec!T33)</f>
        <v>0.77157762068486846</v>
      </c>
      <c r="U33" s="149">
        <f>IF(SER_hh_tes!U33=0,"",SER_hh_tes!U33/SER_hh_fec!U33)</f>
        <v>0.78175234283069661</v>
      </c>
      <c r="V33" s="149">
        <f>IF(SER_hh_tes!V33=0,"",SER_hh_tes!V33/SER_hh_fec!V33)</f>
        <v>0.7926742621596421</v>
      </c>
      <c r="W33" s="149">
        <f>IF(SER_hh_tes!W33=0,"",SER_hh_tes!W33/SER_hh_fec!W33)</f>
        <v>0.80339085594658133</v>
      </c>
      <c r="X33" s="149">
        <f>IF(SER_hh_tes!X33=0,"",SER_hh_tes!X33/SER_hh_fec!X33)</f>
        <v>0.81242073076055188</v>
      </c>
      <c r="Y33" s="149">
        <f>IF(SER_hh_tes!Y33=0,"",SER_hh_tes!Y33/SER_hh_fec!Y33)</f>
        <v>0.8195548410450364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877.91577276470878</v>
      </c>
      <c r="C3" s="125">
        <f t="shared" si="0"/>
        <v>843.23867390271369</v>
      </c>
      <c r="D3" s="125">
        <f t="shared" si="0"/>
        <v>855.28971227035811</v>
      </c>
      <c r="E3" s="125">
        <f t="shared" si="0"/>
        <v>945.91863956605096</v>
      </c>
      <c r="F3" s="125">
        <f t="shared" si="0"/>
        <v>943.58361559224886</v>
      </c>
      <c r="G3" s="125">
        <f t="shared" si="0"/>
        <v>935.44305340753181</v>
      </c>
      <c r="H3" s="125">
        <f t="shared" si="0"/>
        <v>940.69255063481944</v>
      </c>
      <c r="I3" s="125">
        <f t="shared" si="0"/>
        <v>855.44592202317347</v>
      </c>
      <c r="J3" s="125">
        <f t="shared" si="0"/>
        <v>842.58409705174199</v>
      </c>
      <c r="K3" s="125">
        <f t="shared" si="0"/>
        <v>819.24607817243657</v>
      </c>
      <c r="L3" s="125">
        <f t="shared" si="0"/>
        <v>808.14124006684858</v>
      </c>
      <c r="M3" s="125">
        <f t="shared" si="0"/>
        <v>648.15660564573773</v>
      </c>
      <c r="N3" s="125">
        <f t="shared" si="0"/>
        <v>723.43560399621276</v>
      </c>
      <c r="O3" s="125">
        <f t="shared" si="0"/>
        <v>730.11161298425191</v>
      </c>
      <c r="P3" s="125">
        <f t="shared" si="0"/>
        <v>583.20608866531848</v>
      </c>
      <c r="Q3" s="125">
        <f t="shared" si="0"/>
        <v>700.57577280282055</v>
      </c>
      <c r="R3" s="125">
        <f t="shared" ref="R3:W3" si="1">SUM(R4,R16,R19,R29)</f>
        <v>706.93443125856243</v>
      </c>
      <c r="S3" s="125">
        <f t="shared" si="1"/>
        <v>727.56818232949399</v>
      </c>
      <c r="T3" s="125">
        <f t="shared" si="1"/>
        <v>641.21713593870663</v>
      </c>
      <c r="U3" s="125">
        <f t="shared" si="1"/>
        <v>570.40362229046866</v>
      </c>
      <c r="V3" s="125">
        <f t="shared" si="1"/>
        <v>535.93804932236822</v>
      </c>
      <c r="W3" s="125">
        <f t="shared" si="1"/>
        <v>632.51890092464657</v>
      </c>
      <c r="X3" s="125">
        <f t="shared" ref="X3:Y3" si="2">SUM(X4,X16,X19,X29)</f>
        <v>510.88928535901442</v>
      </c>
      <c r="Y3" s="125">
        <f t="shared" si="2"/>
        <v>461.81158910931111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734.44617029817789</v>
      </c>
      <c r="C4" s="130">
        <f t="shared" si="3"/>
        <v>701.06784961268966</v>
      </c>
      <c r="D4" s="130">
        <f t="shared" si="3"/>
        <v>710.57096120074027</v>
      </c>
      <c r="E4" s="130">
        <f t="shared" si="3"/>
        <v>787.79296247699961</v>
      </c>
      <c r="F4" s="130">
        <f t="shared" si="3"/>
        <v>782.42694691035376</v>
      </c>
      <c r="G4" s="130">
        <f t="shared" si="3"/>
        <v>761.77907763036296</v>
      </c>
      <c r="H4" s="130">
        <f t="shared" si="3"/>
        <v>765.88711083709961</v>
      </c>
      <c r="I4" s="130">
        <f t="shared" si="3"/>
        <v>682.51109537704883</v>
      </c>
      <c r="J4" s="130">
        <f t="shared" si="3"/>
        <v>668.86936832425215</v>
      </c>
      <c r="K4" s="130">
        <f t="shared" si="3"/>
        <v>644.11026036513249</v>
      </c>
      <c r="L4" s="130">
        <f t="shared" si="3"/>
        <v>629.11773129932794</v>
      </c>
      <c r="M4" s="130">
        <f t="shared" si="3"/>
        <v>485.07538104602281</v>
      </c>
      <c r="N4" s="130">
        <f t="shared" si="3"/>
        <v>564.46100865530275</v>
      </c>
      <c r="O4" s="130">
        <f t="shared" si="3"/>
        <v>571.1323596566865</v>
      </c>
      <c r="P4" s="130">
        <f t="shared" si="3"/>
        <v>438.68118595920157</v>
      </c>
      <c r="Q4" s="130">
        <f t="shared" si="3"/>
        <v>527.95515573233013</v>
      </c>
      <c r="R4" s="130">
        <f t="shared" ref="R4:W4" si="4">SUM(R5:R15)</f>
        <v>537.80727895019288</v>
      </c>
      <c r="S4" s="130">
        <f t="shared" si="4"/>
        <v>565.07049192504735</v>
      </c>
      <c r="T4" s="130">
        <f t="shared" si="4"/>
        <v>476.65487334956674</v>
      </c>
      <c r="U4" s="130">
        <f t="shared" si="4"/>
        <v>408.72236862211025</v>
      </c>
      <c r="V4" s="130">
        <f t="shared" si="4"/>
        <v>429.45497231985189</v>
      </c>
      <c r="W4" s="130">
        <f t="shared" si="4"/>
        <v>507.61092258089934</v>
      </c>
      <c r="X4" s="130">
        <f t="shared" ref="X4:Y4" si="5">SUM(X5:X15)</f>
        <v>399.87856062174421</v>
      </c>
      <c r="Y4" s="130">
        <f t="shared" si="5"/>
        <v>342.12592053138121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366.22736714617099</v>
      </c>
      <c r="C7" s="132">
        <v>336.26829922774505</v>
      </c>
      <c r="D7" s="132">
        <v>311.52952155289347</v>
      </c>
      <c r="E7" s="132">
        <v>309.11901093171144</v>
      </c>
      <c r="F7" s="132">
        <v>319.22271012095518</v>
      </c>
      <c r="G7" s="132">
        <v>279.26905014086412</v>
      </c>
      <c r="H7" s="132">
        <v>230.71832567213139</v>
      </c>
      <c r="I7" s="132">
        <v>202.74995888843154</v>
      </c>
      <c r="J7" s="132">
        <v>205.97395725068193</v>
      </c>
      <c r="K7" s="132">
        <v>188.14929351523537</v>
      </c>
      <c r="L7" s="132">
        <v>180.51160866184981</v>
      </c>
      <c r="M7" s="132">
        <v>139.5545480317102</v>
      </c>
      <c r="N7" s="132">
        <v>171.26315331413682</v>
      </c>
      <c r="O7" s="132">
        <v>155.79231199869903</v>
      </c>
      <c r="P7" s="132">
        <v>140.44756442762971</v>
      </c>
      <c r="Q7" s="132">
        <v>144.58319651208896</v>
      </c>
      <c r="R7" s="132">
        <v>145.02996195834399</v>
      </c>
      <c r="S7" s="132">
        <v>131.42785848285376</v>
      </c>
      <c r="T7" s="132">
        <v>145.57864389453798</v>
      </c>
      <c r="U7" s="132">
        <v>70.204423298436652</v>
      </c>
      <c r="V7" s="132">
        <v>83.581911901689992</v>
      </c>
      <c r="W7" s="132">
        <v>63.116000666850653</v>
      </c>
      <c r="X7" s="132">
        <v>85.261867662611621</v>
      </c>
      <c r="Y7" s="132">
        <v>68.072635806325366</v>
      </c>
      <c r="DA7" s="156" t="s">
        <v>360</v>
      </c>
    </row>
    <row r="8" spans="1:105" ht="12" customHeight="1" x14ac:dyDescent="0.25">
      <c r="A8" s="131" t="s">
        <v>73</v>
      </c>
      <c r="B8" s="132">
        <v>0.52228386028762375</v>
      </c>
      <c r="C8" s="132">
        <v>0.47421690141044376</v>
      </c>
      <c r="D8" s="132">
        <v>0.46984457261579055</v>
      </c>
      <c r="E8" s="132">
        <v>0.56123463286216635</v>
      </c>
      <c r="F8" s="132">
        <v>0.55022812576485158</v>
      </c>
      <c r="G8" s="132">
        <v>0.51387405192645774</v>
      </c>
      <c r="H8" s="132">
        <v>0.36869750789985112</v>
      </c>
      <c r="I8" s="132">
        <v>1.1195549341147588</v>
      </c>
      <c r="J8" s="132">
        <v>1.1066237107706958</v>
      </c>
      <c r="K8" s="132">
        <v>1.1938878199789946</v>
      </c>
      <c r="L8" s="132">
        <v>1.220351896099912</v>
      </c>
      <c r="M8" s="132">
        <v>1.3013483428393213</v>
      </c>
      <c r="N8" s="132">
        <v>1.4273252658785855</v>
      </c>
      <c r="O8" s="132">
        <v>1.5321933133223098</v>
      </c>
      <c r="P8" s="132">
        <v>2.0519373072188491</v>
      </c>
      <c r="Q8" s="132">
        <v>2.5692931497371818</v>
      </c>
      <c r="R8" s="132">
        <v>2.716725902058311</v>
      </c>
      <c r="S8" s="132">
        <v>2.7861882153893625</v>
      </c>
      <c r="T8" s="132">
        <v>3.0800724021074282</v>
      </c>
      <c r="U8" s="132">
        <v>3.2998455733090726</v>
      </c>
      <c r="V8" s="132">
        <v>3.8136786818099404</v>
      </c>
      <c r="W8" s="132">
        <v>3.8727660668640485</v>
      </c>
      <c r="X8" s="132">
        <v>3.9771032076456909</v>
      </c>
      <c r="Y8" s="132">
        <v>4.4627990083052582</v>
      </c>
      <c r="DA8" s="156" t="s">
        <v>361</v>
      </c>
    </row>
    <row r="9" spans="1:105" ht="12" customHeight="1" x14ac:dyDescent="0.25">
      <c r="A9" s="131" t="s">
        <v>78</v>
      </c>
      <c r="B9" s="132">
        <v>318.3715290776932</v>
      </c>
      <c r="C9" s="132">
        <v>323.6193888432208</v>
      </c>
      <c r="D9" s="132">
        <v>337.38565958819663</v>
      </c>
      <c r="E9" s="132">
        <v>416.06267590117437</v>
      </c>
      <c r="F9" s="132">
        <v>414.04893885705667</v>
      </c>
      <c r="G9" s="132">
        <v>433.25632564408266</v>
      </c>
      <c r="H9" s="132">
        <v>484.37785829105383</v>
      </c>
      <c r="I9" s="132">
        <v>444.55748633277892</v>
      </c>
      <c r="J9" s="132">
        <v>438.59755389113525</v>
      </c>
      <c r="K9" s="132">
        <v>441.10498258380096</v>
      </c>
      <c r="L9" s="132">
        <v>434.00904550009574</v>
      </c>
      <c r="M9" s="132">
        <v>324.22682510344907</v>
      </c>
      <c r="N9" s="132">
        <v>372.61354857005546</v>
      </c>
      <c r="O9" s="132">
        <v>394.47605218629309</v>
      </c>
      <c r="P9" s="132">
        <v>268.02208181062252</v>
      </c>
      <c r="Q9" s="132">
        <v>369.49250345418159</v>
      </c>
      <c r="R9" s="132">
        <v>372.45448023899434</v>
      </c>
      <c r="S9" s="132">
        <v>407.17730964182101</v>
      </c>
      <c r="T9" s="132">
        <v>300.68012401014732</v>
      </c>
      <c r="U9" s="132">
        <v>309.38585368833611</v>
      </c>
      <c r="V9" s="132">
        <v>321.54089164455405</v>
      </c>
      <c r="W9" s="132">
        <v>420.90936041016539</v>
      </c>
      <c r="X9" s="132">
        <v>286.51402563825934</v>
      </c>
      <c r="Y9" s="132">
        <v>249.84318706533801</v>
      </c>
      <c r="DA9" s="156" t="s">
        <v>362</v>
      </c>
    </row>
    <row r="10" spans="1:105" ht="12" customHeight="1" x14ac:dyDescent="0.25">
      <c r="A10" s="131" t="s">
        <v>128</v>
      </c>
      <c r="B10" s="132">
        <v>49.324990214026158</v>
      </c>
      <c r="C10" s="132">
        <v>40.705944640313355</v>
      </c>
      <c r="D10" s="132">
        <v>61.185935487034371</v>
      </c>
      <c r="E10" s="132">
        <v>62.050041011251672</v>
      </c>
      <c r="F10" s="132">
        <v>48.605069806577056</v>
      </c>
      <c r="G10" s="132">
        <v>48.739827793489695</v>
      </c>
      <c r="H10" s="132">
        <v>50.422229366014591</v>
      </c>
      <c r="I10" s="132">
        <v>34.084095221723558</v>
      </c>
      <c r="J10" s="132">
        <v>23.191233471664326</v>
      </c>
      <c r="K10" s="132">
        <v>13.662096446117232</v>
      </c>
      <c r="L10" s="132">
        <v>13.376725241282429</v>
      </c>
      <c r="M10" s="132">
        <v>19.992659568024241</v>
      </c>
      <c r="N10" s="132">
        <v>19.156981505231883</v>
      </c>
      <c r="O10" s="132">
        <v>19.331802158372032</v>
      </c>
      <c r="P10" s="132">
        <v>28.159602413730457</v>
      </c>
      <c r="Q10" s="132">
        <v>11.310162616322426</v>
      </c>
      <c r="R10" s="132">
        <v>17.606110850796163</v>
      </c>
      <c r="S10" s="132">
        <v>23.67913558498325</v>
      </c>
      <c r="T10" s="132">
        <v>27.316033042774045</v>
      </c>
      <c r="U10" s="132">
        <v>25.832246062028407</v>
      </c>
      <c r="V10" s="132">
        <v>20.518490091797879</v>
      </c>
      <c r="W10" s="132">
        <v>19.71279543701927</v>
      </c>
      <c r="X10" s="132">
        <v>24.125564113227568</v>
      </c>
      <c r="Y10" s="132">
        <v>19.747298651412589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7.082608684562601E-2</v>
      </c>
      <c r="C16" s="130">
        <f t="shared" si="6"/>
        <v>7.4203070968919663E-2</v>
      </c>
      <c r="D16" s="130">
        <f t="shared" si="6"/>
        <v>8.0913542140249428E-2</v>
      </c>
      <c r="E16" s="130">
        <f t="shared" si="6"/>
        <v>8.4619745467051116E-2</v>
      </c>
      <c r="F16" s="130">
        <f t="shared" si="6"/>
        <v>9.1767358076530733E-2</v>
      </c>
      <c r="G16" s="130">
        <f t="shared" si="6"/>
        <v>0.10149721463937079</v>
      </c>
      <c r="H16" s="130">
        <f t="shared" si="6"/>
        <v>0.10836287584577557</v>
      </c>
      <c r="I16" s="130">
        <f t="shared" si="6"/>
        <v>0.11611412948540875</v>
      </c>
      <c r="J16" s="130">
        <f t="shared" si="6"/>
        <v>0.12231418245943414</v>
      </c>
      <c r="K16" s="130">
        <f t="shared" si="6"/>
        <v>0.12684181253230908</v>
      </c>
      <c r="L16" s="130">
        <f t="shared" si="6"/>
        <v>0.13609905278257423</v>
      </c>
      <c r="M16" s="130">
        <f t="shared" si="6"/>
        <v>0.14822863029609676</v>
      </c>
      <c r="N16" s="130">
        <f t="shared" si="6"/>
        <v>0.1694923381478731</v>
      </c>
      <c r="O16" s="130">
        <f t="shared" si="6"/>
        <v>0.20541183500198251</v>
      </c>
      <c r="P16" s="130">
        <f t="shared" si="6"/>
        <v>0.27307689248493588</v>
      </c>
      <c r="Q16" s="130">
        <f t="shared" si="6"/>
        <v>0.37898049822121477</v>
      </c>
      <c r="R16" s="130">
        <f t="shared" ref="R16:W16" si="7">SUM(R17:R18)</f>
        <v>0.46067834151418852</v>
      </c>
      <c r="S16" s="130">
        <f t="shared" si="7"/>
        <v>0.54670830322762864</v>
      </c>
      <c r="T16" s="130">
        <f t="shared" si="7"/>
        <v>0.61056939267119481</v>
      </c>
      <c r="U16" s="130">
        <f t="shared" si="7"/>
        <v>0.65272672190687053</v>
      </c>
      <c r="V16" s="130">
        <f t="shared" si="7"/>
        <v>0.59435958286535984</v>
      </c>
      <c r="W16" s="130">
        <f t="shared" si="7"/>
        <v>0.58038572290952639</v>
      </c>
      <c r="X16" s="130">
        <f t="shared" ref="X16:Y16" si="8">SUM(X17:X18)</f>
        <v>0.51669324794152593</v>
      </c>
      <c r="Y16" s="130">
        <f t="shared" si="8"/>
        <v>0.50097552528211053</v>
      </c>
      <c r="DA16" s="155" t="s">
        <v>235</v>
      </c>
    </row>
    <row r="17" spans="1:105" ht="12.95" customHeight="1" x14ac:dyDescent="0.25">
      <c r="A17" s="131" t="s">
        <v>73</v>
      </c>
      <c r="B17" s="132">
        <v>7.082608684562601E-2</v>
      </c>
      <c r="C17" s="132">
        <v>7.4203070968919663E-2</v>
      </c>
      <c r="D17" s="132">
        <v>8.0913542140249428E-2</v>
      </c>
      <c r="E17" s="132">
        <v>8.4619745467051116E-2</v>
      </c>
      <c r="F17" s="132">
        <v>9.1767358076530733E-2</v>
      </c>
      <c r="G17" s="132">
        <v>0.10149721463937079</v>
      </c>
      <c r="H17" s="132">
        <v>0.10836287584577557</v>
      </c>
      <c r="I17" s="132">
        <v>0.11611412948540875</v>
      </c>
      <c r="J17" s="132">
        <v>0.12231418245943414</v>
      </c>
      <c r="K17" s="132">
        <v>0.12684181253230908</v>
      </c>
      <c r="L17" s="132">
        <v>0.13609905278257423</v>
      </c>
      <c r="M17" s="132">
        <v>0.14822863029609676</v>
      </c>
      <c r="N17" s="132">
        <v>0.1694923381478731</v>
      </c>
      <c r="O17" s="132">
        <v>0.20541183500198251</v>
      </c>
      <c r="P17" s="132">
        <v>0.27307689248493588</v>
      </c>
      <c r="Q17" s="132">
        <v>0.37898049822121477</v>
      </c>
      <c r="R17" s="132">
        <v>0.46067834151418852</v>
      </c>
      <c r="S17" s="132">
        <v>0.54670830322762864</v>
      </c>
      <c r="T17" s="132">
        <v>0.61056939267119481</v>
      </c>
      <c r="U17" s="132">
        <v>0.65272672190687053</v>
      </c>
      <c r="V17" s="132">
        <v>0.59435958286535984</v>
      </c>
      <c r="W17" s="132">
        <v>0.58038572290952639</v>
      </c>
      <c r="X17" s="132">
        <v>0.51669324794152593</v>
      </c>
      <c r="Y17" s="132">
        <v>0.50097552528211053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77.846865985313642</v>
      </c>
      <c r="C19" s="130">
        <f t="shared" si="9"/>
        <v>76.393360711302748</v>
      </c>
      <c r="D19" s="130">
        <f t="shared" si="9"/>
        <v>78.144751482816119</v>
      </c>
      <c r="E19" s="130">
        <f t="shared" si="9"/>
        <v>85.504345278858111</v>
      </c>
      <c r="F19" s="130">
        <f t="shared" si="9"/>
        <v>85.233787367615093</v>
      </c>
      <c r="G19" s="130">
        <f t="shared" si="9"/>
        <v>88.777451340336015</v>
      </c>
      <c r="H19" s="130">
        <f t="shared" si="9"/>
        <v>88.003314789382841</v>
      </c>
      <c r="I19" s="130">
        <f t="shared" si="9"/>
        <v>84.388683421194543</v>
      </c>
      <c r="J19" s="130">
        <f t="shared" si="9"/>
        <v>84.327779179997378</v>
      </c>
      <c r="K19" s="130">
        <f t="shared" si="9"/>
        <v>83.547533897539878</v>
      </c>
      <c r="L19" s="130">
        <f t="shared" si="9"/>
        <v>81.763238298993855</v>
      </c>
      <c r="M19" s="130">
        <f t="shared" si="9"/>
        <v>70.123856039455433</v>
      </c>
      <c r="N19" s="130">
        <f t="shared" si="9"/>
        <v>69.751903324378375</v>
      </c>
      <c r="O19" s="130">
        <f t="shared" si="9"/>
        <v>68.509905165191228</v>
      </c>
      <c r="P19" s="130">
        <f t="shared" si="9"/>
        <v>64.494729083312649</v>
      </c>
      <c r="Q19" s="130">
        <f t="shared" si="9"/>
        <v>69.473088673137866</v>
      </c>
      <c r="R19" s="130">
        <f t="shared" ref="R19:W19" si="10">SUM(R20:R27)</f>
        <v>68.55539173789262</v>
      </c>
      <c r="S19" s="130">
        <f t="shared" si="10"/>
        <v>68.155697570042562</v>
      </c>
      <c r="T19" s="130">
        <f t="shared" si="10"/>
        <v>65.10259276330693</v>
      </c>
      <c r="U19" s="130">
        <f t="shared" si="10"/>
        <v>56.006311905376208</v>
      </c>
      <c r="V19" s="130">
        <f t="shared" si="10"/>
        <v>38.782548353494668</v>
      </c>
      <c r="W19" s="130">
        <f t="shared" si="10"/>
        <v>41.66349906527693</v>
      </c>
      <c r="X19" s="130">
        <f t="shared" ref="X19:Y19" si="11">SUM(X20:X27)</f>
        <v>33.134923493305024</v>
      </c>
      <c r="Y19" s="130">
        <f t="shared" si="11"/>
        <v>29.243174885773769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41.741257293829165</v>
      </c>
      <c r="C22" s="132">
        <v>40.130750172254821</v>
      </c>
      <c r="D22" s="132">
        <v>39.432651807106552</v>
      </c>
      <c r="E22" s="132">
        <v>38.821324588288583</v>
      </c>
      <c r="F22" s="132">
        <v>38.191166159044919</v>
      </c>
      <c r="G22" s="132">
        <v>36.806531219135884</v>
      </c>
      <c r="H22" s="132">
        <v>31.738662007868665</v>
      </c>
      <c r="I22" s="132">
        <v>28.000216711568395</v>
      </c>
      <c r="J22" s="132">
        <v>27.85077854931809</v>
      </c>
      <c r="K22" s="132">
        <v>26.970176004764681</v>
      </c>
      <c r="L22" s="132">
        <v>25.115739778150189</v>
      </c>
      <c r="M22" s="132">
        <v>21.775968608289826</v>
      </c>
      <c r="N22" s="132">
        <v>21.596618725863106</v>
      </c>
      <c r="O22" s="132">
        <v>21.321264161300935</v>
      </c>
      <c r="P22" s="132">
        <v>20.771537252370312</v>
      </c>
      <c r="Q22" s="132">
        <v>19.817369167910851</v>
      </c>
      <c r="R22" s="132">
        <v>19.344912681656094</v>
      </c>
      <c r="S22" s="132">
        <v>16.67853335714625</v>
      </c>
      <c r="T22" s="132">
        <v>16.133800705461994</v>
      </c>
      <c r="U22" s="132">
        <v>7.3009407815633152</v>
      </c>
      <c r="V22" s="132">
        <v>8.3137541383099585</v>
      </c>
      <c r="W22" s="132">
        <v>5.974996653149323</v>
      </c>
      <c r="X22" s="132">
        <v>8.2046562173883668</v>
      </c>
      <c r="Y22" s="132">
        <v>7.0124435936745995</v>
      </c>
      <c r="DA22" s="156" t="s">
        <v>373</v>
      </c>
    </row>
    <row r="23" spans="1:105" ht="12" customHeight="1" x14ac:dyDescent="0.25">
      <c r="A23" s="131" t="s">
        <v>149</v>
      </c>
      <c r="B23" s="132">
        <v>32.957205060801961</v>
      </c>
      <c r="C23" s="132">
        <v>32.855664756647478</v>
      </c>
      <c r="D23" s="132">
        <v>34.862595412385943</v>
      </c>
      <c r="E23" s="132">
        <v>42.863714975770293</v>
      </c>
      <c r="F23" s="132">
        <v>43.481375182898212</v>
      </c>
      <c r="G23" s="132">
        <v>48.550418427158291</v>
      </c>
      <c r="H23" s="132">
        <v>53.004397872709227</v>
      </c>
      <c r="I23" s="132">
        <v>53.679001228176148</v>
      </c>
      <c r="J23" s="132">
        <v>54.323507370601874</v>
      </c>
      <c r="K23" s="132">
        <v>54.978986486455923</v>
      </c>
      <c r="L23" s="132">
        <v>55.01176477527757</v>
      </c>
      <c r="M23" s="132">
        <v>46.100125833452047</v>
      </c>
      <c r="N23" s="132">
        <v>45.779904547534308</v>
      </c>
      <c r="O23" s="132">
        <v>44.94532245801085</v>
      </c>
      <c r="P23" s="132">
        <v>41.151677358436864</v>
      </c>
      <c r="Q23" s="132">
        <v>48.391280078544547</v>
      </c>
      <c r="R23" s="132">
        <v>47.399859699442544</v>
      </c>
      <c r="S23" s="132">
        <v>49.233886430018082</v>
      </c>
      <c r="T23" s="132">
        <v>46.444432983904029</v>
      </c>
      <c r="U23" s="132">
        <v>46.347331158107487</v>
      </c>
      <c r="V23" s="132">
        <v>28.626584627388507</v>
      </c>
      <c r="W23" s="132">
        <v>33.938369709715325</v>
      </c>
      <c r="X23" s="132">
        <v>22.707696070750583</v>
      </c>
      <c r="Y23" s="132">
        <v>20.467678792127369</v>
      </c>
      <c r="DA23" s="156" t="s">
        <v>374</v>
      </c>
    </row>
    <row r="24" spans="1:105" ht="12" customHeight="1" x14ac:dyDescent="0.25">
      <c r="A24" s="131" t="s">
        <v>128</v>
      </c>
      <c r="B24" s="132">
        <v>3.1484036306825232</v>
      </c>
      <c r="C24" s="132">
        <v>3.4069457824004576</v>
      </c>
      <c r="D24" s="132">
        <v>3.8495042633236305</v>
      </c>
      <c r="E24" s="132">
        <v>3.8193057147992335</v>
      </c>
      <c r="F24" s="132">
        <v>3.5612460256719625</v>
      </c>
      <c r="G24" s="132">
        <v>3.4205016940418438</v>
      </c>
      <c r="H24" s="132">
        <v>3.2602549088049573</v>
      </c>
      <c r="I24" s="132">
        <v>2.709465481449997</v>
      </c>
      <c r="J24" s="132">
        <v>2.1534932600774157</v>
      </c>
      <c r="K24" s="132">
        <v>1.598371406319272</v>
      </c>
      <c r="L24" s="132">
        <v>1.6357337455660963</v>
      </c>
      <c r="M24" s="132">
        <v>2.2477615977135654</v>
      </c>
      <c r="N24" s="132">
        <v>2.3753800509809624</v>
      </c>
      <c r="O24" s="132">
        <v>2.2433185458794473</v>
      </c>
      <c r="P24" s="132">
        <v>2.5715144725054739</v>
      </c>
      <c r="Q24" s="132">
        <v>1.2644394266824688</v>
      </c>
      <c r="R24" s="132">
        <v>1.8106193567939806</v>
      </c>
      <c r="S24" s="132">
        <v>2.2432777828782244</v>
      </c>
      <c r="T24" s="132">
        <v>2.5243590739409085</v>
      </c>
      <c r="U24" s="132">
        <v>2.3580399657054096</v>
      </c>
      <c r="V24" s="132">
        <v>1.842209587796207</v>
      </c>
      <c r="W24" s="132">
        <v>1.7501327024122777</v>
      </c>
      <c r="X24" s="132">
        <v>2.2225712051660795</v>
      </c>
      <c r="Y24" s="132">
        <v>1.7630524999717987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65.551910394371632</v>
      </c>
      <c r="C29" s="130">
        <f t="shared" si="12"/>
        <v>65.703260507752375</v>
      </c>
      <c r="D29" s="130">
        <f t="shared" si="12"/>
        <v>66.493086044661467</v>
      </c>
      <c r="E29" s="130">
        <f t="shared" si="12"/>
        <v>72.536712064726203</v>
      </c>
      <c r="F29" s="130">
        <f t="shared" si="12"/>
        <v>75.831113956203637</v>
      </c>
      <c r="G29" s="130">
        <f t="shared" si="12"/>
        <v>84.785027222193378</v>
      </c>
      <c r="H29" s="130">
        <f t="shared" si="12"/>
        <v>86.693762132491287</v>
      </c>
      <c r="I29" s="130">
        <f t="shared" si="12"/>
        <v>88.43002909544478</v>
      </c>
      <c r="J29" s="130">
        <f t="shared" si="12"/>
        <v>89.264635365032916</v>
      </c>
      <c r="K29" s="130">
        <f t="shared" si="12"/>
        <v>91.461442097231881</v>
      </c>
      <c r="L29" s="130">
        <f t="shared" si="12"/>
        <v>97.124171415744172</v>
      </c>
      <c r="M29" s="130">
        <f t="shared" si="12"/>
        <v>92.809139929963465</v>
      </c>
      <c r="N29" s="130">
        <f t="shared" si="12"/>
        <v>89.05319967838372</v>
      </c>
      <c r="O29" s="130">
        <f t="shared" si="12"/>
        <v>90.263936327372164</v>
      </c>
      <c r="P29" s="130">
        <f t="shared" si="12"/>
        <v>79.757096730319248</v>
      </c>
      <c r="Q29" s="130">
        <f t="shared" si="12"/>
        <v>102.76854789913121</v>
      </c>
      <c r="R29" s="130">
        <f t="shared" ref="R29:W29" si="13">SUM(R30:R33)</f>
        <v>100.11108222896281</v>
      </c>
      <c r="S29" s="130">
        <f t="shared" si="13"/>
        <v>93.795284531176435</v>
      </c>
      <c r="T29" s="130">
        <f t="shared" si="13"/>
        <v>98.849100433161823</v>
      </c>
      <c r="U29" s="130">
        <f t="shared" si="13"/>
        <v>105.02221504107533</v>
      </c>
      <c r="V29" s="130">
        <f t="shared" si="13"/>
        <v>67.106169066156241</v>
      </c>
      <c r="W29" s="130">
        <f t="shared" si="13"/>
        <v>82.664093555560839</v>
      </c>
      <c r="X29" s="130">
        <f t="shared" ref="X29:Y29" si="14">SUM(X30:X33)</f>
        <v>77.35910799602361</v>
      </c>
      <c r="Y29" s="130">
        <f t="shared" si="14"/>
        <v>89.941518166874019</v>
      </c>
      <c r="DA29" s="155" t="s">
        <v>237</v>
      </c>
    </row>
    <row r="30" spans="1:105" ht="12" customHeight="1" x14ac:dyDescent="0.25">
      <c r="A30" s="131" t="s">
        <v>52</v>
      </c>
      <c r="B30" s="132">
        <v>8.707724279999999</v>
      </c>
      <c r="C30" s="132">
        <v>8.707724279999999</v>
      </c>
      <c r="D30" s="132">
        <v>8.707724279999999</v>
      </c>
      <c r="E30" s="132">
        <v>11.610374759999999</v>
      </c>
      <c r="F30" s="132">
        <v>14.513025239999996</v>
      </c>
      <c r="G30" s="132">
        <v>17.415675720000003</v>
      </c>
      <c r="H30" s="132">
        <v>17.415675720000003</v>
      </c>
      <c r="I30" s="132">
        <v>17.415675720000003</v>
      </c>
      <c r="J30" s="132">
        <v>17.415675719999999</v>
      </c>
      <c r="K30" s="132">
        <v>17.415675719999999</v>
      </c>
      <c r="L30" s="132">
        <v>23.220749519999995</v>
      </c>
      <c r="M30" s="132">
        <v>20.31809904</v>
      </c>
      <c r="N30" s="132">
        <v>17.415675720000017</v>
      </c>
      <c r="O30" s="132">
        <v>20.318099040000014</v>
      </c>
      <c r="P30" s="132">
        <v>11.610374760000012</v>
      </c>
      <c r="Q30" s="132">
        <v>24.079868639999983</v>
      </c>
      <c r="R30" s="132">
        <v>25.438285439999973</v>
      </c>
      <c r="S30" s="132">
        <v>25.243836479999974</v>
      </c>
      <c r="T30" s="132">
        <v>25.902827639999973</v>
      </c>
      <c r="U30" s="132">
        <v>25.426700279999991</v>
      </c>
      <c r="V30" s="132">
        <v>21.485019959999999</v>
      </c>
      <c r="W30" s="132">
        <v>23.12784108000001</v>
      </c>
      <c r="X30" s="132">
        <v>25.899874559999997</v>
      </c>
      <c r="Y30" s="132">
        <v>27.229214880000068</v>
      </c>
      <c r="DA30" s="156" t="s">
        <v>379</v>
      </c>
    </row>
    <row r="31" spans="1:105" ht="12" customHeight="1" x14ac:dyDescent="0.25">
      <c r="A31" s="131" t="s">
        <v>149</v>
      </c>
      <c r="B31" s="132">
        <v>56.844186114371638</v>
      </c>
      <c r="C31" s="132">
        <v>56.995536227752375</v>
      </c>
      <c r="D31" s="132">
        <v>57.785361764661474</v>
      </c>
      <c r="E31" s="132">
        <v>60.926337304726204</v>
      </c>
      <c r="F31" s="132">
        <v>61.318088716203647</v>
      </c>
      <c r="G31" s="132">
        <v>67.369351502193382</v>
      </c>
      <c r="H31" s="132">
        <v>69.278086412491291</v>
      </c>
      <c r="I31" s="132">
        <v>71.01435337544477</v>
      </c>
      <c r="J31" s="132">
        <v>71.84895964503292</v>
      </c>
      <c r="K31" s="132">
        <v>74.045766377231885</v>
      </c>
      <c r="L31" s="132">
        <v>73.903421895744174</v>
      </c>
      <c r="M31" s="132">
        <v>72.491040889963472</v>
      </c>
      <c r="N31" s="132">
        <v>71.63752395838371</v>
      </c>
      <c r="O31" s="132">
        <v>69.945837287372157</v>
      </c>
      <c r="P31" s="132">
        <v>68.146721970319234</v>
      </c>
      <c r="Q31" s="132">
        <v>78.68867925913122</v>
      </c>
      <c r="R31" s="132">
        <v>74.672796788962842</v>
      </c>
      <c r="S31" s="132">
        <v>68.551448051176465</v>
      </c>
      <c r="T31" s="132">
        <v>72.946272793161853</v>
      </c>
      <c r="U31" s="132">
        <v>79.595514761075336</v>
      </c>
      <c r="V31" s="132">
        <v>45.621149106156246</v>
      </c>
      <c r="W31" s="132">
        <v>59.536252475560829</v>
      </c>
      <c r="X31" s="132">
        <v>51.459233436023609</v>
      </c>
      <c r="Y31" s="132">
        <v>62.712303286873947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138028.02074104335</v>
      </c>
      <c r="C3" s="125">
        <f>IF(SER_hh_fec!C3=0,0,11630*1000*SER_hh_fec!C3/SER_hh_num!C3)</f>
        <v>139568.82385448497</v>
      </c>
      <c r="D3" s="125">
        <f>IF(SER_hh_fec!D3=0,0,11630*1000*SER_hh_fec!D3/SER_hh_num!D3)</f>
        <v>136803.34950772667</v>
      </c>
      <c r="E3" s="125">
        <f>IF(SER_hh_fec!E3=0,0,11630*1000*SER_hh_fec!E3/SER_hh_num!E3)</f>
        <v>137732.09982985331</v>
      </c>
      <c r="F3" s="125">
        <f>IF(SER_hh_fec!F3=0,0,11630*1000*SER_hh_fec!F3/SER_hh_num!F3)</f>
        <v>134937.56734479571</v>
      </c>
      <c r="G3" s="125">
        <f>IF(SER_hh_fec!G3=0,0,11630*1000*SER_hh_fec!G3/SER_hh_num!G3)</f>
        <v>131265.24341457235</v>
      </c>
      <c r="H3" s="125">
        <f>IF(SER_hh_fec!H3=0,0,11630*1000*SER_hh_fec!H3/SER_hh_num!H3)</f>
        <v>130602.78779780686</v>
      </c>
      <c r="I3" s="125">
        <f>IF(SER_hh_fec!I3=0,0,11630*1000*SER_hh_fec!I3/SER_hh_num!I3)</f>
        <v>123284.05777769783</v>
      </c>
      <c r="J3" s="125">
        <f>IF(SER_hh_fec!J3=0,0,11630*1000*SER_hh_fec!J3/SER_hh_num!J3)</f>
        <v>121583.1147879788</v>
      </c>
      <c r="K3" s="125">
        <f>IF(SER_hh_fec!K3=0,0,11630*1000*SER_hh_fec!K3/SER_hh_num!K3)</f>
        <v>116751.9919409008</v>
      </c>
      <c r="L3" s="125">
        <f>IF(SER_hh_fec!L3=0,0,11630*1000*SER_hh_fec!L3/SER_hh_num!L3)</f>
        <v>123889.81983990324</v>
      </c>
      <c r="M3" s="125">
        <f>IF(SER_hh_fec!M3=0,0,11630*1000*SER_hh_fec!M3/SER_hh_num!M3)</f>
        <v>108587.43071541926</v>
      </c>
      <c r="N3" s="125">
        <f>IF(SER_hh_fec!N3=0,0,11630*1000*SER_hh_fec!N3/SER_hh_num!N3)</f>
        <v>109794.19316061797</v>
      </c>
      <c r="O3" s="125">
        <f>IF(SER_hh_fec!O3=0,0,11630*1000*SER_hh_fec!O3/SER_hh_num!O3)</f>
        <v>107212.76986268394</v>
      </c>
      <c r="P3" s="125">
        <f>IF(SER_hh_fec!P3=0,0,11630*1000*SER_hh_fec!P3/SER_hh_num!P3)</f>
        <v>96287.402665554546</v>
      </c>
      <c r="Q3" s="125">
        <f>IF(SER_hh_fec!Q3=0,0,11630*1000*SER_hh_fec!Q3/SER_hh_num!Q3)</f>
        <v>100548.81642286062</v>
      </c>
      <c r="R3" s="125">
        <f>IF(SER_hh_fec!R3=0,0,11630*1000*SER_hh_fec!R3/SER_hh_num!R3)</f>
        <v>103311.49381970083</v>
      </c>
      <c r="S3" s="125">
        <f>IF(SER_hh_fec!S3=0,0,11630*1000*SER_hh_fec!S3/SER_hh_num!S3)</f>
        <v>104561.70270401168</v>
      </c>
      <c r="T3" s="125">
        <f>IF(SER_hh_fec!T3=0,0,11630*1000*SER_hh_fec!T3/SER_hh_num!T3)</f>
        <v>98957.379941624589</v>
      </c>
      <c r="U3" s="125">
        <f>IF(SER_hh_fec!U3=0,0,11630*1000*SER_hh_fec!U3/SER_hh_num!U3)</f>
        <v>93825.338996764971</v>
      </c>
      <c r="V3" s="125">
        <f>IF(SER_hh_fec!V3=0,0,11630*1000*SER_hh_fec!V3/SER_hh_num!V3)</f>
        <v>87092.854779017318</v>
      </c>
      <c r="W3" s="125">
        <f>IF(SER_hh_fec!W3=0,0,11630*1000*SER_hh_fec!W3/SER_hh_num!W3)</f>
        <v>99506.827648693958</v>
      </c>
      <c r="X3" s="125">
        <f>IF(SER_hh_fec!X3=0,0,11630*1000*SER_hh_fec!X3/SER_hh_num!X3)</f>
        <v>89095.93241896767</v>
      </c>
      <c r="Y3" s="125">
        <f>IF(SER_hh_fec!Y3=0,0,11630*1000*SER_hh_fec!Y3/SER_hh_num!Y3)</f>
        <v>85273.229372396163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110188.15626218286</v>
      </c>
      <c r="C4" s="130">
        <f>IF(SER_hh_fec!C4=0,0,11630*1000*SER_hh_fec!C4/SER_hh_num!C4)</f>
        <v>112050.28861963595</v>
      </c>
      <c r="D4" s="130">
        <f>IF(SER_hh_fec!D4=0,0,11630*1000*SER_hh_fec!D4/SER_hh_num!D4)</f>
        <v>109431.14776180091</v>
      </c>
      <c r="E4" s="130">
        <f>IF(SER_hh_fec!E4=0,0,11630*1000*SER_hh_fec!E4/SER_hh_num!E4)</f>
        <v>110279.04899846655</v>
      </c>
      <c r="F4" s="130">
        <f>IF(SER_hh_fec!F4=0,0,11630*1000*SER_hh_fec!F4/SER_hh_num!F4)</f>
        <v>107543.08069387436</v>
      </c>
      <c r="G4" s="130">
        <f>IF(SER_hh_fec!G4=0,0,11630*1000*SER_hh_fec!G4/SER_hh_num!G4)</f>
        <v>103919.71280752985</v>
      </c>
      <c r="H4" s="130">
        <f>IF(SER_hh_fec!H4=0,0,11630*1000*SER_hh_fec!H4/SER_hh_num!H4)</f>
        <v>103234.30196608699</v>
      </c>
      <c r="I4" s="130">
        <f>IF(SER_hh_fec!I4=0,0,11630*1000*SER_hh_fec!I4/SER_hh_num!I4)</f>
        <v>96314.211411302123</v>
      </c>
      <c r="J4" s="130">
        <f>IF(SER_hh_fec!J4=0,0,11630*1000*SER_hh_fec!J4/SER_hh_num!J4)</f>
        <v>94683.133491736837</v>
      </c>
      <c r="K4" s="130">
        <f>IF(SER_hh_fec!K4=0,0,11630*1000*SER_hh_fec!K4/SER_hh_num!K4)</f>
        <v>90009.764017819311</v>
      </c>
      <c r="L4" s="130">
        <f>IF(SER_hh_fec!L4=0,0,11630*1000*SER_hh_fec!L4/SER_hh_num!L4)</f>
        <v>97445.933670289087</v>
      </c>
      <c r="M4" s="130">
        <f>IF(SER_hh_fec!M4=0,0,11630*1000*SER_hh_fec!M4/SER_hh_num!M4)</f>
        <v>81952.461343351562</v>
      </c>
      <c r="N4" s="130">
        <f>IF(SER_hh_fec!N4=0,0,11630*1000*SER_hh_fec!N4/SER_hh_num!N4)</f>
        <v>83066.373201749942</v>
      </c>
      <c r="O4" s="130">
        <f>IF(SER_hh_fec!O4=0,0,11630*1000*SER_hh_fec!O4/SER_hh_num!O4)</f>
        <v>80588.519073392847</v>
      </c>
      <c r="P4" s="130">
        <f>IF(SER_hh_fec!P4=0,0,11630*1000*SER_hh_fec!P4/SER_hh_num!P4)</f>
        <v>69923.707463631727</v>
      </c>
      <c r="Q4" s="130">
        <f>IF(SER_hh_fec!Q4=0,0,11630*1000*SER_hh_fec!Q4/SER_hh_num!Q4)</f>
        <v>74257.491667027527</v>
      </c>
      <c r="R4" s="130">
        <f>IF(SER_hh_fec!R4=0,0,11630*1000*SER_hh_fec!R4/SER_hh_num!R4)</f>
        <v>77015.64462256078</v>
      </c>
      <c r="S4" s="130">
        <f>IF(SER_hh_fec!S4=0,0,11630*1000*SER_hh_fec!S4/SER_hh_num!S4)</f>
        <v>78291.697915029115</v>
      </c>
      <c r="T4" s="130">
        <f>IF(SER_hh_fec!T4=0,0,11630*1000*SER_hh_fec!T4/SER_hh_num!T4)</f>
        <v>73383.947996233052</v>
      </c>
      <c r="U4" s="130">
        <f>IF(SER_hh_fec!U4=0,0,11630*1000*SER_hh_fec!U4/SER_hh_num!U4)</f>
        <v>68838.564109439161</v>
      </c>
      <c r="V4" s="130">
        <f>IF(SER_hh_fec!V4=0,0,11630*1000*SER_hh_fec!V4/SER_hh_num!V4)</f>
        <v>66400.201320492401</v>
      </c>
      <c r="W4" s="130">
        <f>IF(SER_hh_fec!W4=0,0,11630*1000*SER_hh_fec!W4/SER_hh_num!W4)</f>
        <v>77438.373400043827</v>
      </c>
      <c r="X4" s="130">
        <f>IF(SER_hh_fec!X4=0,0,11630*1000*SER_hh_fec!X4/SER_hh_num!X4)</f>
        <v>66906.293342334786</v>
      </c>
      <c r="Y4" s="130">
        <f>IF(SER_hh_fec!Y4=0,0,11630*1000*SER_hh_fec!Y4/SER_hh_num!Y4)</f>
        <v>64600.838908345489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167137.83067315744</v>
      </c>
      <c r="C7" s="132">
        <f>IF(SER_hh_fec!C7=0,0,11630*1000*SER_hh_fec!C7/SER_hh_num!C7)</f>
        <v>163245.26595594984</v>
      </c>
      <c r="D7" s="132">
        <f>IF(SER_hh_fec!D7=0,0,11630*1000*SER_hh_fec!D7/SER_hh_num!D7)</f>
        <v>156527.18625651035</v>
      </c>
      <c r="E7" s="132">
        <f>IF(SER_hh_fec!E7=0,0,11630*1000*SER_hh_fec!E7/SER_hh_num!E7)</f>
        <v>159494.62439737527</v>
      </c>
      <c r="F7" s="132">
        <f>IF(SER_hh_fec!F7=0,0,11630*1000*SER_hh_fec!F7/SER_hh_num!F7)</f>
        <v>167896.21224028929</v>
      </c>
      <c r="G7" s="132">
        <f>IF(SER_hh_fec!G7=0,0,11630*1000*SER_hh_fec!G7/SER_hh_num!G7)</f>
        <v>156932.02711069013</v>
      </c>
      <c r="H7" s="132">
        <f>IF(SER_hh_fec!H7=0,0,11630*1000*SER_hh_fec!H7/SER_hh_num!H7)</f>
        <v>143497.97810870744</v>
      </c>
      <c r="I7" s="132">
        <f>IF(SER_hh_fec!I7=0,0,11630*1000*SER_hh_fec!I7/SER_hh_num!I7)</f>
        <v>135663.19800685492</v>
      </c>
      <c r="J7" s="132">
        <f>IF(SER_hh_fec!J7=0,0,11630*1000*SER_hh_fec!J7/SER_hh_num!J7)</f>
        <v>142867.77501868838</v>
      </c>
      <c r="K7" s="132">
        <f>IF(SER_hh_fec!K7=0,0,11630*1000*SER_hh_fec!K7/SER_hh_num!K7)</f>
        <v>136600.43917721146</v>
      </c>
      <c r="L7" s="132">
        <f>IF(SER_hh_fec!L7=0,0,11630*1000*SER_hh_fec!L7/SER_hh_num!L7)</f>
        <v>135851.13697559977</v>
      </c>
      <c r="M7" s="132">
        <f>IF(SER_hh_fec!M7=0,0,11630*1000*SER_hh_fec!M7/SER_hh_num!M7)</f>
        <v>105733.74425189853</v>
      </c>
      <c r="N7" s="132">
        <f>IF(SER_hh_fec!N7=0,0,11630*1000*SER_hh_fec!N7/SER_hh_num!N7)</f>
        <v>121265.79671175778</v>
      </c>
      <c r="O7" s="132">
        <f>IF(SER_hh_fec!O7=0,0,11630*1000*SER_hh_fec!O7/SER_hh_num!O7)</f>
        <v>107138.50873840503</v>
      </c>
      <c r="P7" s="132">
        <f>IF(SER_hh_fec!P7=0,0,11630*1000*SER_hh_fec!P7/SER_hh_num!P7)</f>
        <v>94398.048014384272</v>
      </c>
      <c r="Q7" s="132">
        <f>IF(SER_hh_fec!Q7=0,0,11630*1000*SER_hh_fec!Q7/SER_hh_num!Q7)</f>
        <v>99691.767065452383</v>
      </c>
      <c r="R7" s="132">
        <f>IF(SER_hh_fec!R7=0,0,11630*1000*SER_hh_fec!R7/SER_hh_num!R7)</f>
        <v>101980.38640834844</v>
      </c>
      <c r="S7" s="132">
        <f>IF(SER_hh_fec!S7=0,0,11630*1000*SER_hh_fec!S7/SER_hh_num!S7)</f>
        <v>99649.29178091223</v>
      </c>
      <c r="T7" s="132">
        <f>IF(SER_hh_fec!T7=0,0,11630*1000*SER_hh_fec!T7/SER_hh_num!T7)</f>
        <v>117333.77697241426</v>
      </c>
      <c r="U7" s="132">
        <f>IF(SER_hh_fec!U7=0,0,11630*1000*SER_hh_fec!U7/SER_hh_num!U7)</f>
        <v>71929.217565593164</v>
      </c>
      <c r="V7" s="132">
        <f>IF(SER_hh_fec!V7=0,0,11630*1000*SER_hh_fec!V7/SER_hh_num!V7)</f>
        <v>94396.395624313911</v>
      </c>
      <c r="W7" s="132">
        <f>IF(SER_hh_fec!W7=0,0,11630*1000*SER_hh_fec!W7/SER_hh_num!W7)</f>
        <v>74710.47184858135</v>
      </c>
      <c r="X7" s="132">
        <f>IF(SER_hh_fec!X7=0,0,11630*1000*SER_hh_fec!X7/SER_hh_num!X7)</f>
        <v>105659.05826368328</v>
      </c>
      <c r="Y7" s="132">
        <f>IF(SER_hh_fec!Y7=0,0,11630*1000*SER_hh_fec!Y7/SER_hh_num!Y7)</f>
        <v>82410.287543101047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76641.462550415978</v>
      </c>
      <c r="C8" s="132">
        <f>IF(SER_hh_fec!C8=0,0,11630*1000*SER_hh_fec!C8/SER_hh_num!C8)</f>
        <v>71837.74437485254</v>
      </c>
      <c r="D8" s="132">
        <f>IF(SER_hh_fec!D8=0,0,11630*1000*SER_hh_fec!D8/SER_hh_num!D8)</f>
        <v>65597.411947127752</v>
      </c>
      <c r="E8" s="132">
        <f>IF(SER_hh_fec!E8=0,0,11630*1000*SER_hh_fec!E8/SER_hh_num!E8)</f>
        <v>69531.299284554727</v>
      </c>
      <c r="F8" s="132">
        <f>IF(SER_hh_fec!F8=0,0,11630*1000*SER_hh_fec!F8/SER_hh_num!F8)</f>
        <v>65662.422723158103</v>
      </c>
      <c r="G8" s="132">
        <f>IF(SER_hh_fec!G8=0,0,11630*1000*SER_hh_fec!G8/SER_hh_num!G8)</f>
        <v>50948.84567176683</v>
      </c>
      <c r="H8" s="132">
        <f>IF(SER_hh_fec!H8=0,0,11630*1000*SER_hh_fec!H8/SER_hh_num!H8)</f>
        <v>28450.248562260516</v>
      </c>
      <c r="I8" s="132">
        <f>IF(SER_hh_fec!I8=0,0,11630*1000*SER_hh_fec!I8/SER_hh_num!I8)</f>
        <v>54943.151930384673</v>
      </c>
      <c r="J8" s="132">
        <f>IF(SER_hh_fec!J8=0,0,11630*1000*SER_hh_fec!J8/SER_hh_num!J8)</f>
        <v>44704.295883425009</v>
      </c>
      <c r="K8" s="132">
        <f>IF(SER_hh_fec!K8=0,0,11630*1000*SER_hh_fec!K8/SER_hh_num!K8)</f>
        <v>41077.5304860705</v>
      </c>
      <c r="L8" s="132">
        <f>IF(SER_hh_fec!L8=0,0,11630*1000*SER_hh_fec!L8/SER_hh_num!L8)</f>
        <v>38790.146077211997</v>
      </c>
      <c r="M8" s="132">
        <f>IF(SER_hh_fec!M8=0,0,11630*1000*SER_hh_fec!M8/SER_hh_num!M8)</f>
        <v>35631.617306789572</v>
      </c>
      <c r="N8" s="132">
        <f>IF(SER_hh_fec!N8=0,0,11630*1000*SER_hh_fec!N8/SER_hh_num!N8)</f>
        <v>32487.022802936241</v>
      </c>
      <c r="O8" s="132">
        <f>IF(SER_hh_fec!O8=0,0,11630*1000*SER_hh_fec!O8/SER_hh_num!O8)</f>
        <v>28006.25243648867</v>
      </c>
      <c r="P8" s="132">
        <f>IF(SER_hh_fec!P8=0,0,11630*1000*SER_hh_fec!P8/SER_hh_num!P8)</f>
        <v>28533.804433728608</v>
      </c>
      <c r="Q8" s="132">
        <f>IF(SER_hh_fec!Q8=0,0,11630*1000*SER_hh_fec!Q8/SER_hh_num!Q8)</f>
        <v>29483.275221765754</v>
      </c>
      <c r="R8" s="132">
        <f>IF(SER_hh_fec!R8=0,0,11630*1000*SER_hh_fec!R8/SER_hh_num!R8)</f>
        <v>28470.00356615119</v>
      </c>
      <c r="S8" s="132">
        <f>IF(SER_hh_fec!S8=0,0,11630*1000*SER_hh_fec!S8/SER_hh_num!S8)</f>
        <v>26193.943272092543</v>
      </c>
      <c r="T8" s="132">
        <f>IF(SER_hh_fec!T8=0,0,11630*1000*SER_hh_fec!T8/SER_hh_num!T8)</f>
        <v>24941.568092352911</v>
      </c>
      <c r="U8" s="132">
        <f>IF(SER_hh_fec!U8=0,0,11630*1000*SER_hh_fec!U8/SER_hh_num!U8)</f>
        <v>23412.005859540634</v>
      </c>
      <c r="V8" s="132">
        <f>IF(SER_hh_fec!V8=0,0,11630*1000*SER_hh_fec!V8/SER_hh_num!V8)</f>
        <v>23896.520180153202</v>
      </c>
      <c r="W8" s="132">
        <f>IF(SER_hh_fec!W8=0,0,11630*1000*SER_hh_fec!W8/SER_hh_num!W8)</f>
        <v>22599.917334545458</v>
      </c>
      <c r="X8" s="132">
        <f>IF(SER_hh_fec!X8=0,0,11630*1000*SER_hh_fec!X8/SER_hh_num!X8)</f>
        <v>22407.489572724044</v>
      </c>
      <c r="Y8" s="132">
        <f>IF(SER_hh_fec!Y8=0,0,11630*1000*SER_hh_fec!Y8/SER_hh_num!Y8)</f>
        <v>22806.490981671297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149136.15801956391</v>
      </c>
      <c r="C9" s="132">
        <f>IF(SER_hh_fec!C9=0,0,11630*1000*SER_hh_fec!C9/SER_hh_num!C9)</f>
        <v>149182.27303155934</v>
      </c>
      <c r="D9" s="132">
        <f>IF(SER_hh_fec!D9=0,0,11630*1000*SER_hh_fec!D9/SER_hh_num!D9)</f>
        <v>140671.80610151298</v>
      </c>
      <c r="E9" s="132">
        <f>IF(SER_hh_fec!E9=0,0,11630*1000*SER_hh_fec!E9/SER_hh_num!E9)</f>
        <v>152086.64095955671</v>
      </c>
      <c r="F9" s="132">
        <f>IF(SER_hh_fec!F9=0,0,11630*1000*SER_hh_fec!F9/SER_hh_num!F9)</f>
        <v>139597.17743943239</v>
      </c>
      <c r="G9" s="132">
        <f>IF(SER_hh_fec!G9=0,0,11630*1000*SER_hh_fec!G9/SER_hh_num!G9)</f>
        <v>134790.86797230673</v>
      </c>
      <c r="H9" s="132">
        <f>IF(SER_hh_fec!H9=0,0,11630*1000*SER_hh_fec!H9/SER_hh_num!H9)</f>
        <v>141764.39509125295</v>
      </c>
      <c r="I9" s="132">
        <f>IF(SER_hh_fec!I9=0,0,11630*1000*SER_hh_fec!I9/SER_hh_num!I9)</f>
        <v>125978.73525562153</v>
      </c>
      <c r="J9" s="132">
        <f>IF(SER_hh_fec!J9=0,0,11630*1000*SER_hh_fec!J9/SER_hh_num!J9)</f>
        <v>123828.77589247603</v>
      </c>
      <c r="K9" s="132">
        <f>IF(SER_hh_fec!K9=0,0,11630*1000*SER_hh_fec!K9/SER_hh_num!K9)</f>
        <v>125773.50069924352</v>
      </c>
      <c r="L9" s="132">
        <f>IF(SER_hh_fec!L9=0,0,11630*1000*SER_hh_fec!L9/SER_hh_num!L9)</f>
        <v>129456.2111333933</v>
      </c>
      <c r="M9" s="132">
        <f>IF(SER_hh_fec!M9=0,0,11630*1000*SER_hh_fec!M9/SER_hh_num!M9)</f>
        <v>99024.410087091601</v>
      </c>
      <c r="N9" s="132">
        <f>IF(SER_hh_fec!N9=0,0,11630*1000*SER_hh_fec!N9/SER_hh_num!N9)</f>
        <v>111785.35912947265</v>
      </c>
      <c r="O9" s="132">
        <f>IF(SER_hh_fec!O9=0,0,11630*1000*SER_hh_fec!O9/SER_hh_num!O9)</f>
        <v>115027.72951514425</v>
      </c>
      <c r="P9" s="132">
        <f>IF(SER_hh_fec!P9=0,0,11630*1000*SER_hh_fec!P9/SER_hh_num!P9)</f>
        <v>77699.153958128911</v>
      </c>
      <c r="Q9" s="132">
        <f>IF(SER_hh_fec!Q9=0,0,11630*1000*SER_hh_fec!Q9/SER_hh_num!Q9)</f>
        <v>96968.013242398389</v>
      </c>
      <c r="R9" s="132">
        <f>IF(SER_hh_fec!R9=0,0,11630*1000*SER_hh_fec!R9/SER_hh_num!R9)</f>
        <v>97616.900373657147</v>
      </c>
      <c r="S9" s="132">
        <f>IF(SER_hh_fec!S9=0,0,11630*1000*SER_hh_fec!S9/SER_hh_num!S9)</f>
        <v>102274.96607342546</v>
      </c>
      <c r="T9" s="132">
        <f>IF(SER_hh_fec!T9=0,0,11630*1000*SER_hh_fec!T9/SER_hh_num!T9)</f>
        <v>73726.540224506083</v>
      </c>
      <c r="U9" s="132">
        <f>IF(SER_hh_fec!U9=0,0,11630*1000*SER_hh_fec!U9/SER_hh_num!U9)</f>
        <v>69426.315934660117</v>
      </c>
      <c r="V9" s="132">
        <f>IF(SER_hh_fec!V9=0,0,11630*1000*SER_hh_fec!V9/SER_hh_num!V9)</f>
        <v>70307.028791720164</v>
      </c>
      <c r="W9" s="132">
        <f>IF(SER_hh_fec!W9=0,0,11630*1000*SER_hh_fec!W9/SER_hh_num!W9)</f>
        <v>98855.783888912803</v>
      </c>
      <c r="X9" s="132">
        <f>IF(SER_hh_fec!X9=0,0,11630*1000*SER_hh_fec!X9/SER_hh_num!X9)</f>
        <v>76683.941283449152</v>
      </c>
      <c r="Y9" s="132">
        <f>IF(SER_hh_fec!Y9=0,0,11630*1000*SER_hh_fec!Y9/SER_hh_num!Y9)</f>
        <v>72973.218976954915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175977.77738962625</v>
      </c>
      <c r="C10" s="132">
        <f>IF(SER_hh_fec!C10=0,0,11630*1000*SER_hh_fec!C10/SER_hh_num!C10)</f>
        <v>145040.78823577496</v>
      </c>
      <c r="D10" s="132">
        <f>IF(SER_hh_fec!D10=0,0,11630*1000*SER_hh_fec!D10/SER_hh_num!D10)</f>
        <v>172311.17712848843</v>
      </c>
      <c r="E10" s="132">
        <f>IF(SER_hh_fec!E10=0,0,11630*1000*SER_hh_fec!E10/SER_hh_num!E10)</f>
        <v>168766.11295183853</v>
      </c>
      <c r="F10" s="132">
        <f>IF(SER_hh_fec!F10=0,0,11630*1000*SER_hh_fec!F10/SER_hh_num!F10)</f>
        <v>140018.42974460818</v>
      </c>
      <c r="G10" s="132">
        <f>IF(SER_hh_fec!G10=0,0,11630*1000*SER_hh_fec!G10/SER_hh_num!G10)</f>
        <v>145880.64484933065</v>
      </c>
      <c r="H10" s="132">
        <f>IF(SER_hh_fec!H10=0,0,11630*1000*SER_hh_fec!H10/SER_hh_num!H10)</f>
        <v>157514.32968945956</v>
      </c>
      <c r="I10" s="132">
        <f>IF(SER_hh_fec!I10=0,0,11630*1000*SER_hh_fec!I10/SER_hh_num!I10)</f>
        <v>138178.32540859998</v>
      </c>
      <c r="J10" s="132">
        <f>IF(SER_hh_fec!J10=0,0,11630*1000*SER_hh_fec!J10/SER_hh_num!J10)</f>
        <v>133396.53628395463</v>
      </c>
      <c r="K10" s="132">
        <f>IF(SER_hh_fec!K10=0,0,11630*1000*SER_hh_fec!K10/SER_hh_num!K10)</f>
        <v>119447.87222421083</v>
      </c>
      <c r="L10" s="132">
        <f>IF(SER_hh_fec!L10=0,0,11630*1000*SER_hh_fec!L10/SER_hh_num!L10)</f>
        <v>120685.36892838648</v>
      </c>
      <c r="M10" s="132">
        <f>IF(SER_hh_fec!M10=0,0,11630*1000*SER_hh_fec!M10/SER_hh_num!M10)</f>
        <v>125399.1347830584</v>
      </c>
      <c r="N10" s="132">
        <f>IF(SER_hh_fec!N10=0,0,11630*1000*SER_hh_fec!N10/SER_hh_num!N10)</f>
        <v>107502.05578593942</v>
      </c>
      <c r="O10" s="132">
        <f>IF(SER_hh_fec!O10=0,0,11630*1000*SER_hh_fec!O10/SER_hh_num!O10)</f>
        <v>103044.13663545442</v>
      </c>
      <c r="P10" s="132">
        <f>IF(SER_hh_fec!P10=0,0,11630*1000*SER_hh_fec!P10/SER_hh_num!P10)</f>
        <v>114909.78904138306</v>
      </c>
      <c r="Q10" s="132">
        <f>IF(SER_hh_fec!Q10=0,0,11630*1000*SER_hh_fec!Q10/SER_hh_num!Q10)</f>
        <v>93380.266767141322</v>
      </c>
      <c r="R10" s="132">
        <f>IF(SER_hh_fec!R10=0,0,11630*1000*SER_hh_fec!R10/SER_hh_num!R10)</f>
        <v>104771.30646494223</v>
      </c>
      <c r="S10" s="132">
        <f>IF(SER_hh_fec!S10=0,0,11630*1000*SER_hh_fec!S10/SER_hh_num!S10)</f>
        <v>110560.56973067655</v>
      </c>
      <c r="T10" s="132">
        <f>IF(SER_hh_fec!T10=0,0,11630*1000*SER_hh_fec!T10/SER_hh_num!T10)</f>
        <v>121036.32147094399</v>
      </c>
      <c r="U10" s="132">
        <f>IF(SER_hh_fec!U10=0,0,11630*1000*SER_hh_fec!U10/SER_hh_num!U10)</f>
        <v>108058.83573135761</v>
      </c>
      <c r="V10" s="132">
        <f>IF(SER_hh_fec!V10=0,0,11630*1000*SER_hh_fec!V10/SER_hh_num!V10)</f>
        <v>99248.108596090853</v>
      </c>
      <c r="W10" s="132">
        <f>IF(SER_hh_fec!W10=0,0,11630*1000*SER_hh_fec!W10/SER_hh_num!W10)</f>
        <v>114818.30833573718</v>
      </c>
      <c r="X10" s="132">
        <f>IF(SER_hh_fec!X10=0,0,11630*1000*SER_hh_fec!X10/SER_hh_num!X10)</f>
        <v>100491.44635809898</v>
      </c>
      <c r="Y10" s="132">
        <f>IF(SER_hh_fec!Y10=0,0,11630*1000*SER_hh_fec!Y10/SER_hh_num!Y10)</f>
        <v>99946.885349079836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94732.245882524279</v>
      </c>
      <c r="C12" s="132">
        <f>IF(SER_hh_fec!C12=0,0,11630*1000*SER_hh_fec!C12/SER_hh_num!C12)</f>
        <v>99197.07280486665</v>
      </c>
      <c r="D12" s="132">
        <f>IF(SER_hh_fec!D12=0,0,11630*1000*SER_hh_fec!D12/SER_hh_num!D12)</f>
        <v>95945.475053357935</v>
      </c>
      <c r="E12" s="132">
        <f>IF(SER_hh_fec!E12=0,0,11630*1000*SER_hh_fec!E12/SER_hh_num!E12)</f>
        <v>96748.822387745342</v>
      </c>
      <c r="F12" s="132">
        <f>IF(SER_hh_fec!F12=0,0,11630*1000*SER_hh_fec!F12/SER_hh_num!F12)</f>
        <v>94644.237877013715</v>
      </c>
      <c r="G12" s="132">
        <f>IF(SER_hh_fec!G12=0,0,11630*1000*SER_hh_fec!G12/SER_hh_num!G12)</f>
        <v>91834.402036780797</v>
      </c>
      <c r="H12" s="132">
        <f>IF(SER_hh_fec!H12=0,0,11630*1000*SER_hh_fec!H12/SER_hh_num!H12)</f>
        <v>90263.883051468132</v>
      </c>
      <c r="I12" s="132">
        <f>IF(SER_hh_fec!I12=0,0,11630*1000*SER_hh_fec!I12/SER_hh_num!I12)</f>
        <v>84888.833634930823</v>
      </c>
      <c r="J12" s="132">
        <f>IF(SER_hh_fec!J12=0,0,11630*1000*SER_hh_fec!J12/SER_hh_num!J12)</f>
        <v>84163.438606145748</v>
      </c>
      <c r="K12" s="132">
        <f>IF(SER_hh_fec!K12=0,0,11630*1000*SER_hh_fec!K12/SER_hh_num!K12)</f>
        <v>81354.396933462878</v>
      </c>
      <c r="L12" s="132">
        <f>IF(SER_hh_fec!L12=0,0,11630*1000*SER_hh_fec!L12/SER_hh_num!L12)</f>
        <v>90554.5965157053</v>
      </c>
      <c r="M12" s="132">
        <f>IF(SER_hh_fec!M12=0,0,11630*1000*SER_hh_fec!M12/SER_hh_num!M12)</f>
        <v>76268.043731853249</v>
      </c>
      <c r="N12" s="132">
        <f>IF(SER_hh_fec!N12=0,0,11630*1000*SER_hh_fec!N12/SER_hh_num!N12)</f>
        <v>76803.589470533741</v>
      </c>
      <c r="O12" s="132">
        <f>IF(SER_hh_fec!O12=0,0,11630*1000*SER_hh_fec!O12/SER_hh_num!O12)</f>
        <v>74992.700010678847</v>
      </c>
      <c r="P12" s="132">
        <f>IF(SER_hh_fec!P12=0,0,11630*1000*SER_hh_fec!P12/SER_hh_num!P12)</f>
        <v>66302.750369901391</v>
      </c>
      <c r="Q12" s="132">
        <f>IF(SER_hh_fec!Q12=0,0,11630*1000*SER_hh_fec!Q12/SER_hh_num!Q12)</f>
        <v>70779.241005245611</v>
      </c>
      <c r="R12" s="132">
        <f>IF(SER_hh_fec!R12=0,0,11630*1000*SER_hh_fec!R12/SER_hh_num!R12)</f>
        <v>72559.008865040843</v>
      </c>
      <c r="S12" s="132">
        <f>IF(SER_hh_fec!S12=0,0,11630*1000*SER_hh_fec!S12/SER_hh_num!S12)</f>
        <v>72545.637684253074</v>
      </c>
      <c r="T12" s="132">
        <f>IF(SER_hh_fec!T12=0,0,11630*1000*SER_hh_fec!T12/SER_hh_num!T12)</f>
        <v>71133.09348225953</v>
      </c>
      <c r="U12" s="132">
        <f>IF(SER_hh_fec!U12=0,0,11630*1000*SER_hh_fec!U12/SER_hh_num!U12)</f>
        <v>69200.511529971322</v>
      </c>
      <c r="V12" s="132">
        <f>IF(SER_hh_fec!V12=0,0,11630*1000*SER_hh_fec!V12/SER_hh_num!V12)</f>
        <v>67165.794885408977</v>
      </c>
      <c r="W12" s="132">
        <f>IF(SER_hh_fec!W12=0,0,11630*1000*SER_hh_fec!W12/SER_hh_num!W12)</f>
        <v>74035.988986632176</v>
      </c>
      <c r="X12" s="132">
        <f>IF(SER_hh_fec!X12=0,0,11630*1000*SER_hh_fec!X12/SER_hh_num!X12)</f>
        <v>65028.115265161752</v>
      </c>
      <c r="Y12" s="132">
        <f>IF(SER_hh_fec!Y12=0,0,11630*1000*SER_hh_fec!Y12/SER_hh_num!Y12)</f>
        <v>65699.902611642159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49813.194235589639</v>
      </c>
      <c r="C13" s="132">
        <f>IF(SER_hh_fec!C13=0,0,11630*1000*SER_hh_fec!C13/SER_hh_num!C13)</f>
        <v>49410.891693030127</v>
      </c>
      <c r="D13" s="132">
        <f>IF(SER_hh_fec!D13=0,0,11630*1000*SER_hh_fec!D13/SER_hh_num!D13)</f>
        <v>48704.866488999083</v>
      </c>
      <c r="E13" s="132">
        <f>IF(SER_hh_fec!E13=0,0,11630*1000*SER_hh_fec!E13/SER_hh_num!E13)</f>
        <v>47335.84227531615</v>
      </c>
      <c r="F13" s="132">
        <f>IF(SER_hh_fec!F13=0,0,11630*1000*SER_hh_fec!F13/SER_hh_num!F13)</f>
        <v>45934.180578797124</v>
      </c>
      <c r="G13" s="132">
        <f>IF(SER_hh_fec!G13=0,0,11630*1000*SER_hh_fec!G13/SER_hh_num!G13)</f>
        <v>30738.541378897859</v>
      </c>
      <c r="H13" s="132">
        <f>IF(SER_hh_fec!H13=0,0,11630*1000*SER_hh_fec!H13/SER_hh_num!H13)</f>
        <v>18608.637766082233</v>
      </c>
      <c r="I13" s="132">
        <f>IF(SER_hh_fec!I13=0,0,11630*1000*SER_hh_fec!I13/SER_hh_num!I13)</f>
        <v>40003.341224376978</v>
      </c>
      <c r="J13" s="132">
        <f>IF(SER_hh_fec!J13=0,0,11630*1000*SER_hh_fec!J13/SER_hh_num!J13)</f>
        <v>32730.219242936873</v>
      </c>
      <c r="K13" s="132">
        <f>IF(SER_hh_fec!K13=0,0,11630*1000*SER_hh_fec!K13/SER_hh_num!K13)</f>
        <v>29274.022580142333</v>
      </c>
      <c r="L13" s="132">
        <f>IF(SER_hh_fec!L13=0,0,11630*1000*SER_hh_fec!L13/SER_hh_num!L13)</f>
        <v>28749.885454280833</v>
      </c>
      <c r="M13" s="132">
        <f>IF(SER_hh_fec!M13=0,0,11630*1000*SER_hh_fec!M13/SER_hh_num!M13)</f>
        <v>26752.319686154839</v>
      </c>
      <c r="N13" s="132">
        <f>IF(SER_hh_fec!N13=0,0,11630*1000*SER_hh_fec!N13/SER_hh_num!N13)</f>
        <v>25324.658463936772</v>
      </c>
      <c r="O13" s="132">
        <f>IF(SER_hh_fec!O13=0,0,11630*1000*SER_hh_fec!O13/SER_hh_num!O13)</f>
        <v>23596.425796215644</v>
      </c>
      <c r="P13" s="132">
        <f>IF(SER_hh_fec!P13=0,0,11630*1000*SER_hh_fec!P13/SER_hh_num!P13)</f>
        <v>21580.759312178154</v>
      </c>
      <c r="Q13" s="132">
        <f>IF(SER_hh_fec!Q13=0,0,11630*1000*SER_hh_fec!Q13/SER_hh_num!Q13)</f>
        <v>22016.775435261479</v>
      </c>
      <c r="R13" s="132">
        <f>IF(SER_hh_fec!R13=0,0,11630*1000*SER_hh_fec!R13/SER_hh_num!R13)</f>
        <v>22435.171858111455</v>
      </c>
      <c r="S13" s="132">
        <f>IF(SER_hh_fec!S13=0,0,11630*1000*SER_hh_fec!S13/SER_hh_num!S13)</f>
        <v>20633.443147151065</v>
      </c>
      <c r="T13" s="132">
        <f>IF(SER_hh_fec!T13=0,0,11630*1000*SER_hh_fec!T13/SER_hh_num!T13)</f>
        <v>19660.118818321218</v>
      </c>
      <c r="U13" s="132">
        <f>IF(SER_hh_fec!U13=0,0,11630*1000*SER_hh_fec!U13/SER_hh_num!U13)</f>
        <v>18695.05506092693</v>
      </c>
      <c r="V13" s="132">
        <f>IF(SER_hh_fec!V13=0,0,11630*1000*SER_hh_fec!V13/SER_hh_num!V13)</f>
        <v>17664.858834848914</v>
      </c>
      <c r="W13" s="132">
        <f>IF(SER_hh_fec!W13=0,0,11630*1000*SER_hh_fec!W13/SER_hh_num!W13)</f>
        <v>17271.061456631523</v>
      </c>
      <c r="X13" s="132">
        <f>IF(SER_hh_fec!X13=0,0,11630*1000*SER_hh_fec!X13/SER_hh_num!X13)</f>
        <v>16980.442095688581</v>
      </c>
      <c r="Y13" s="132">
        <f>IF(SER_hh_fec!Y13=0,0,11630*1000*SER_hh_fec!Y13/SER_hh_num!Y13)</f>
        <v>16119.226062314023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108660.00339860537</v>
      </c>
      <c r="C14" s="65">
        <f>IF(SER_hh_fec!C14=0,0,11630*1000*SER_hh_fec!C14/SER_hh_num!C14)</f>
        <v>112313.37863060145</v>
      </c>
      <c r="D14" s="65">
        <f>IF(SER_hh_fec!D14=0,0,11630*1000*SER_hh_fec!D14/SER_hh_num!D14)</f>
        <v>110907.28872299912</v>
      </c>
      <c r="E14" s="65">
        <f>IF(SER_hh_fec!E14=0,0,11630*1000*SER_hh_fec!E14/SER_hh_num!E14)</f>
        <v>104994.94438394428</v>
      </c>
      <c r="F14" s="65">
        <f>IF(SER_hh_fec!F14=0,0,11630*1000*SER_hh_fec!F14/SER_hh_num!F14)</f>
        <v>105934.82123144118</v>
      </c>
      <c r="G14" s="65">
        <f>IF(SER_hh_fec!G14=0,0,11630*1000*SER_hh_fec!G14/SER_hh_num!G14)</f>
        <v>101809.82823498866</v>
      </c>
      <c r="H14" s="65">
        <f>IF(SER_hh_fec!H14=0,0,11630*1000*SER_hh_fec!H14/SER_hh_num!H14)</f>
        <v>101935.79600963529</v>
      </c>
      <c r="I14" s="65">
        <f>IF(SER_hh_fec!I14=0,0,11630*1000*SER_hh_fec!I14/SER_hh_num!I14)</f>
        <v>101117.71060112916</v>
      </c>
      <c r="J14" s="65">
        <f>IF(SER_hh_fec!J14=0,0,11630*1000*SER_hh_fec!J14/SER_hh_num!J14)</f>
        <v>99120.142200330389</v>
      </c>
      <c r="K14" s="65">
        <f>IF(SER_hh_fec!K14=0,0,11630*1000*SER_hh_fec!K14/SER_hh_num!K14)</f>
        <v>88148.411364924672</v>
      </c>
      <c r="L14" s="65">
        <f>IF(SER_hh_fec!L14=0,0,11630*1000*SER_hh_fec!L14/SER_hh_num!L14)</f>
        <v>98554.83607261219</v>
      </c>
      <c r="M14" s="65">
        <f>IF(SER_hh_fec!M14=0,0,11630*1000*SER_hh_fec!M14/SER_hh_num!M14)</f>
        <v>91118.543556204197</v>
      </c>
      <c r="N14" s="65">
        <f>IF(SER_hh_fec!N14=0,0,11630*1000*SER_hh_fec!N14/SER_hh_num!N14)</f>
        <v>85062.622256212941</v>
      </c>
      <c r="O14" s="65">
        <f>IF(SER_hh_fec!O14=0,0,11630*1000*SER_hh_fec!O14/SER_hh_num!O14)</f>
        <v>75404.729773158178</v>
      </c>
      <c r="P14" s="65">
        <f>IF(SER_hh_fec!P14=0,0,11630*1000*SER_hh_fec!P14/SER_hh_num!P14)</f>
        <v>78419.980408001458</v>
      </c>
      <c r="Q14" s="65">
        <f>IF(SER_hh_fec!Q14=0,0,11630*1000*SER_hh_fec!Q14/SER_hh_num!Q14)</f>
        <v>66039.751487658941</v>
      </c>
      <c r="R14" s="65">
        <f>IF(SER_hh_fec!R14=0,0,11630*1000*SER_hh_fec!R14/SER_hh_num!R14)</f>
        <v>80548.116975327212</v>
      </c>
      <c r="S14" s="65">
        <f>IF(SER_hh_fec!S14=0,0,11630*1000*SER_hh_fec!S14/SER_hh_num!S14)</f>
        <v>91795.472735505144</v>
      </c>
      <c r="T14" s="65">
        <f>IF(SER_hh_fec!T14=0,0,11630*1000*SER_hh_fec!T14/SER_hh_num!T14)</f>
        <v>83024.201522532181</v>
      </c>
      <c r="U14" s="65">
        <f>IF(SER_hh_fec!U14=0,0,11630*1000*SER_hh_fec!U14/SER_hh_num!U14)</f>
        <v>73536.795767325166</v>
      </c>
      <c r="V14" s="65">
        <f>IF(SER_hh_fec!V14=0,0,11630*1000*SER_hh_fec!V14/SER_hh_num!V14)</f>
        <v>30059.690701504711</v>
      </c>
      <c r="W14" s="65">
        <f>IF(SER_hh_fec!W14=0,0,11630*1000*SER_hh_fec!W14/SER_hh_num!W14)</f>
        <v>105756.79903956558</v>
      </c>
      <c r="X14" s="65">
        <f>IF(SER_hh_fec!X14=0,0,11630*1000*SER_hh_fec!X14/SER_hh_num!X14)</f>
        <v>111044.80439345427</v>
      </c>
      <c r="Y14" s="65">
        <f>IF(SER_hh_fec!Y14=0,0,11630*1000*SER_hh_fec!Y14/SER_hh_num!Y14)</f>
        <v>7900.9692207511416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622.50099204359572</v>
      </c>
      <c r="C15" s="134">
        <f>IF(SER_hh_fec!C15=0,0,11630*1000*SER_hh_fec!C15/SER_hh_num!C15)</f>
        <v>608.26140424886307</v>
      </c>
      <c r="D15" s="134">
        <f>IF(SER_hh_fec!D15=0,0,11630*1000*SER_hh_fec!D15/SER_hh_num!D15)</f>
        <v>584.4525535507338</v>
      </c>
      <c r="E15" s="134">
        <f>IF(SER_hh_fec!E15=0,0,11630*1000*SER_hh_fec!E15/SER_hh_num!E15)</f>
        <v>602.57639171056132</v>
      </c>
      <c r="F15" s="134">
        <f>IF(SER_hh_fec!F15=0,0,11630*1000*SER_hh_fec!F15/SER_hh_num!F15)</f>
        <v>580.34331531633984</v>
      </c>
      <c r="G15" s="134">
        <f>IF(SER_hh_fec!G15=0,0,11630*1000*SER_hh_fec!G15/SER_hh_num!G15)</f>
        <v>557.84570990124519</v>
      </c>
      <c r="H15" s="134">
        <f>IF(SER_hh_fec!H15=0,0,11630*1000*SER_hh_fec!H15/SER_hh_num!H15)</f>
        <v>555.50236630415304</v>
      </c>
      <c r="I15" s="134">
        <f>IF(SER_hh_fec!I15=0,0,11630*1000*SER_hh_fec!I15/SER_hh_num!I15)</f>
        <v>499.36159212036591</v>
      </c>
      <c r="J15" s="134">
        <f>IF(SER_hh_fec!J15=0,0,11630*1000*SER_hh_fec!J15/SER_hh_num!J15)</f>
        <v>487.43908987651469</v>
      </c>
      <c r="K15" s="134">
        <f>IF(SER_hh_fec!K15=0,0,11630*1000*SER_hh_fec!K15/SER_hh_num!K15)</f>
        <v>464.97379487297161</v>
      </c>
      <c r="L15" s="134">
        <f>IF(SER_hh_fec!L15=0,0,11630*1000*SER_hh_fec!L15/SER_hh_num!L15)</f>
        <v>479.89325091799248</v>
      </c>
      <c r="M15" s="134">
        <f>IF(SER_hh_fec!M15=0,0,11630*1000*SER_hh_fec!M15/SER_hh_num!M15)</f>
        <v>385.85447873490108</v>
      </c>
      <c r="N15" s="134">
        <f>IF(SER_hh_fec!N15=0,0,11630*1000*SER_hh_fec!N15/SER_hh_num!N15)</f>
        <v>410.27275106802733</v>
      </c>
      <c r="O15" s="134">
        <f>IF(SER_hh_fec!O15=0,0,11630*1000*SER_hh_fec!O15/SER_hh_num!O15)</f>
        <v>408.90813166811017</v>
      </c>
      <c r="P15" s="134">
        <f>IF(SER_hh_fec!P15=0,0,11630*1000*SER_hh_fec!P15/SER_hh_num!P15)</f>
        <v>331.59456918777312</v>
      </c>
      <c r="Q15" s="134">
        <f>IF(SER_hh_fec!Q15=0,0,11630*1000*SER_hh_fec!Q15/SER_hh_num!Q15)</f>
        <v>375.08092946498795</v>
      </c>
      <c r="R15" s="134">
        <f>IF(SER_hh_fec!R15=0,0,11630*1000*SER_hh_fec!R15/SER_hh_num!R15)</f>
        <v>388.59903733481764</v>
      </c>
      <c r="S15" s="134">
        <f>IF(SER_hh_fec!S15=0,0,11630*1000*SER_hh_fec!S15/SER_hh_num!S15)</f>
        <v>402.04048395580458</v>
      </c>
      <c r="T15" s="134">
        <f>IF(SER_hh_fec!T15=0,0,11630*1000*SER_hh_fec!T15/SER_hh_num!T15)</f>
        <v>365.74258559176269</v>
      </c>
      <c r="U15" s="134">
        <f>IF(SER_hh_fec!U15=0,0,11630*1000*SER_hh_fec!U15/SER_hh_num!U15)</f>
        <v>347.71029328517739</v>
      </c>
      <c r="V15" s="134">
        <f>IF(SER_hh_fec!V15=0,0,11630*1000*SER_hh_fec!V15/SER_hh_num!V15)</f>
        <v>358.22341764535139</v>
      </c>
      <c r="W15" s="134">
        <f>IF(SER_hh_fec!W15=0,0,11630*1000*SER_hh_fec!W15/SER_hh_num!W15)</f>
        <v>438.33491029250382</v>
      </c>
      <c r="X15" s="134">
        <f>IF(SER_hh_fec!X15=0,0,11630*1000*SER_hh_fec!X15/SER_hh_num!X15)</f>
        <v>376.60131526153077</v>
      </c>
      <c r="Y15" s="134">
        <f>IF(SER_hh_fec!Y15=0,0,11630*1000*SER_hh_fec!Y15/SER_hh_num!Y15)</f>
        <v>364.93333942755834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11269.110477072054</v>
      </c>
      <c r="C16" s="130">
        <f>IF(SER_hh_fec!C16=0,0,11630*1000*SER_hh_fec!C16/SER_hh_num!C16)</f>
        <v>10798.470038782305</v>
      </c>
      <c r="D16" s="130">
        <f>IF(SER_hh_fec!D16=0,0,11630*1000*SER_hh_fec!D16/SER_hh_num!D16)</f>
        <v>10243.2091315984</v>
      </c>
      <c r="E16" s="130">
        <f>IF(SER_hh_fec!E16=0,0,11630*1000*SER_hh_fec!E16/SER_hh_num!E16)</f>
        <v>9737.4245008849084</v>
      </c>
      <c r="F16" s="130">
        <f>IF(SER_hh_fec!F16=0,0,11630*1000*SER_hh_fec!F16/SER_hh_num!F16)</f>
        <v>9188.7895813610339</v>
      </c>
      <c r="G16" s="130">
        <f>IF(SER_hh_fec!G16=0,0,11630*1000*SER_hh_fec!G16/SER_hh_num!G16)</f>
        <v>8617.2384647001309</v>
      </c>
      <c r="H16" s="130">
        <f>IF(SER_hh_fec!H16=0,0,11630*1000*SER_hh_fec!H16/SER_hh_num!H16)</f>
        <v>8026.747537218891</v>
      </c>
      <c r="I16" s="130">
        <f>IF(SER_hh_fec!I16=0,0,11630*1000*SER_hh_fec!I16/SER_hh_num!I16)</f>
        <v>7418.2426895022199</v>
      </c>
      <c r="J16" s="130">
        <f>IF(SER_hh_fec!J16=0,0,11630*1000*SER_hh_fec!J16/SER_hh_num!J16)</f>
        <v>6842.3746541511218</v>
      </c>
      <c r="K16" s="130">
        <f>IF(SER_hh_fec!K16=0,0,11630*1000*SER_hh_fec!K16/SER_hh_num!K16)</f>
        <v>6707.2234464205676</v>
      </c>
      <c r="L16" s="130">
        <f>IF(SER_hh_fec!L16=0,0,11630*1000*SER_hh_fec!L16/SER_hh_num!L16)</f>
        <v>6545.6427472975438</v>
      </c>
      <c r="M16" s="130">
        <f>IF(SER_hh_fec!M16=0,0,11630*1000*SER_hh_fec!M16/SER_hh_num!M16)</f>
        <v>6269.5651845403409</v>
      </c>
      <c r="N16" s="130">
        <f>IF(SER_hh_fec!N16=0,0,11630*1000*SER_hh_fec!N16/SER_hh_num!N16)</f>
        <v>6029.3388649488297</v>
      </c>
      <c r="O16" s="130">
        <f>IF(SER_hh_fec!O16=0,0,11630*1000*SER_hh_fec!O16/SER_hh_num!O16)</f>
        <v>5786.5138219703886</v>
      </c>
      <c r="P16" s="130">
        <f>IF(SER_hh_fec!P16=0,0,11630*1000*SER_hh_fec!P16/SER_hh_num!P16)</f>
        <v>5568.0087128533714</v>
      </c>
      <c r="Q16" s="130">
        <f>IF(SER_hh_fec!Q16=0,0,11630*1000*SER_hh_fec!Q16/SER_hh_num!Q16)</f>
        <v>5345.7307285210491</v>
      </c>
      <c r="R16" s="130">
        <f>IF(SER_hh_fec!R16=0,0,11630*1000*SER_hh_fec!R16/SER_hh_num!R16)</f>
        <v>5160.2183069108542</v>
      </c>
      <c r="S16" s="130">
        <f>IF(SER_hh_fec!S16=0,0,11630*1000*SER_hh_fec!S16/SER_hh_num!S16)</f>
        <v>4955.8406095590262</v>
      </c>
      <c r="T16" s="130">
        <f>IF(SER_hh_fec!T16=0,0,11630*1000*SER_hh_fec!T16/SER_hh_num!T16)</f>
        <v>4971.3045556107745</v>
      </c>
      <c r="U16" s="130">
        <f>IF(SER_hh_fec!U16=0,0,11630*1000*SER_hh_fec!U16/SER_hh_num!U16)</f>
        <v>4691.3640406650356</v>
      </c>
      <c r="V16" s="130">
        <f>IF(SER_hh_fec!V16=0,0,11630*1000*SER_hh_fec!V16/SER_hh_num!V16)</f>
        <v>4307.2125821132822</v>
      </c>
      <c r="W16" s="130">
        <f>IF(SER_hh_fec!W16=0,0,11630*1000*SER_hh_fec!W16/SER_hh_num!W16)</f>
        <v>4226.1888138229497</v>
      </c>
      <c r="X16" s="130">
        <f>IF(SER_hh_fec!X16=0,0,11630*1000*SER_hh_fec!X16/SER_hh_num!X16)</f>
        <v>4214.7063603199231</v>
      </c>
      <c r="Y16" s="130">
        <f>IF(SER_hh_fec!Y16=0,0,11630*1000*SER_hh_fec!Y16/SER_hh_num!Y16)</f>
        <v>4018.7095251029409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20090.008097296031</v>
      </c>
      <c r="C17" s="132">
        <f>IF(SER_hh_fec!C17=0,0,11630*1000*SER_hh_fec!C17/SER_hh_num!C17)</f>
        <v>19697.49563515418</v>
      </c>
      <c r="D17" s="132">
        <f>IF(SER_hh_fec!D17=0,0,11630*1000*SER_hh_fec!D17/SER_hh_num!D17)</f>
        <v>19227.067139114472</v>
      </c>
      <c r="E17" s="132">
        <f>IF(SER_hh_fec!E17=0,0,11630*1000*SER_hh_fec!E17/SER_hh_num!E17)</f>
        <v>18873.336705723228</v>
      </c>
      <c r="F17" s="132">
        <f>IF(SER_hh_fec!F17=0,0,11630*1000*SER_hh_fec!F17/SER_hh_num!F17)</f>
        <v>18405.784496135799</v>
      </c>
      <c r="G17" s="132">
        <f>IF(SER_hh_fec!G17=0,0,11630*1000*SER_hh_fec!G17/SER_hh_num!G17)</f>
        <v>17950.225461356909</v>
      </c>
      <c r="H17" s="132">
        <f>IF(SER_hh_fec!H17=0,0,11630*1000*SER_hh_fec!H17/SER_hh_num!H17)</f>
        <v>17563.75382578151</v>
      </c>
      <c r="I17" s="132">
        <f>IF(SER_hh_fec!I17=0,0,11630*1000*SER_hh_fec!I17/SER_hh_num!I17)</f>
        <v>17181.869917187109</v>
      </c>
      <c r="J17" s="132">
        <f>IF(SER_hh_fec!J17=0,0,11630*1000*SER_hh_fec!J17/SER_hh_num!J17)</f>
        <v>16789.219246085428</v>
      </c>
      <c r="K17" s="132">
        <f>IF(SER_hh_fec!K17=0,0,11630*1000*SER_hh_fec!K17/SER_hh_num!K17)</f>
        <v>16682.874727939896</v>
      </c>
      <c r="L17" s="132">
        <f>IF(SER_hh_fec!L17=0,0,11630*1000*SER_hh_fec!L17/SER_hh_num!L17)</f>
        <v>16545.82377945527</v>
      </c>
      <c r="M17" s="132">
        <f>IF(SER_hh_fec!M17=0,0,11630*1000*SER_hh_fec!M17/SER_hh_num!M17)</f>
        <v>16183.048975042153</v>
      </c>
      <c r="N17" s="132">
        <f>IF(SER_hh_fec!N17=0,0,11630*1000*SER_hh_fec!N17/SER_hh_num!N17)</f>
        <v>15872.365311370446</v>
      </c>
      <c r="O17" s="132">
        <f>IF(SER_hh_fec!O17=0,0,11630*1000*SER_hh_fec!O17/SER_hh_num!O17)</f>
        <v>15523.900751770027</v>
      </c>
      <c r="P17" s="132">
        <f>IF(SER_hh_fec!P17=0,0,11630*1000*SER_hh_fec!P17/SER_hh_num!P17)</f>
        <v>15235.181854991772</v>
      </c>
      <c r="Q17" s="132">
        <f>IF(SER_hh_fec!Q17=0,0,11630*1000*SER_hh_fec!Q17/SER_hh_num!Q17)</f>
        <v>14926.166238678145</v>
      </c>
      <c r="R17" s="132">
        <f>IF(SER_hh_fec!R17=0,0,11630*1000*SER_hh_fec!R17/SER_hh_num!R17)</f>
        <v>14793.798472516646</v>
      </c>
      <c r="S17" s="132">
        <f>IF(SER_hh_fec!S17=0,0,11630*1000*SER_hh_fec!S17/SER_hh_num!S17)</f>
        <v>14591.769630713947</v>
      </c>
      <c r="T17" s="132">
        <f>IF(SER_hh_fec!T17=0,0,11630*1000*SER_hh_fec!T17/SER_hh_num!T17)</f>
        <v>14982.872331680514</v>
      </c>
      <c r="U17" s="132">
        <f>IF(SER_hh_fec!U17=0,0,11630*1000*SER_hh_fec!U17/SER_hh_num!U17)</f>
        <v>14303.050919423877</v>
      </c>
      <c r="V17" s="132">
        <f>IF(SER_hh_fec!V17=0,0,11630*1000*SER_hh_fec!V17/SER_hh_num!V17)</f>
        <v>10018.760544315061</v>
      </c>
      <c r="W17" s="132">
        <f>IF(SER_hh_fec!W17=0,0,11630*1000*SER_hh_fec!W17/SER_hh_num!W17)</f>
        <v>10113.55801147594</v>
      </c>
      <c r="X17" s="132">
        <f>IF(SER_hh_fec!X17=0,0,11630*1000*SER_hh_fec!X17/SER_hh_num!X17)</f>
        <v>10258.430942983703</v>
      </c>
      <c r="Y17" s="132">
        <f>IF(SER_hh_fec!Y17=0,0,11630*1000*SER_hh_fec!Y17/SER_hh_num!Y17)</f>
        <v>9982.8307149916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11262.256530975381</v>
      </c>
      <c r="C18" s="132">
        <f>IF(SER_hh_fec!C18=0,0,11630*1000*SER_hh_fec!C18/SER_hh_num!C18)</f>
        <v>10791.285327367254</v>
      </c>
      <c r="D18" s="132">
        <f>IF(SER_hh_fec!D18=0,0,11630*1000*SER_hh_fec!D18/SER_hh_num!D18)</f>
        <v>10235.515165489513</v>
      </c>
      <c r="E18" s="132">
        <f>IF(SER_hh_fec!E18=0,0,11630*1000*SER_hh_fec!E18/SER_hh_num!E18)</f>
        <v>9729.5067869361137</v>
      </c>
      <c r="F18" s="132">
        <f>IF(SER_hh_fec!F18=0,0,11630*1000*SER_hh_fec!F18/SER_hh_num!F18)</f>
        <v>9180.2136641113611</v>
      </c>
      <c r="G18" s="132">
        <f>IF(SER_hh_fec!G18=0,0,11630*1000*SER_hh_fec!G18/SER_hh_num!G18)</f>
        <v>8607.9051515741539</v>
      </c>
      <c r="H18" s="132">
        <f>IF(SER_hh_fec!H18=0,0,11630*1000*SER_hh_fec!H18/SER_hh_num!H18)</f>
        <v>8016.9886554529176</v>
      </c>
      <c r="I18" s="132">
        <f>IF(SER_hh_fec!I18=0,0,11630*1000*SER_hh_fec!I18/SER_hh_num!I18)</f>
        <v>7408.3018475676427</v>
      </c>
      <c r="J18" s="132">
        <f>IF(SER_hh_fec!J18=0,0,11630*1000*SER_hh_fec!J18/SER_hh_num!J18)</f>
        <v>6832.0554845965216</v>
      </c>
      <c r="K18" s="132">
        <f>IF(SER_hh_fec!K18=0,0,11630*1000*SER_hh_fec!K18/SER_hh_num!K18)</f>
        <v>6696.9847834161983</v>
      </c>
      <c r="L18" s="132">
        <f>IF(SER_hh_fec!L18=0,0,11630*1000*SER_hh_fec!L18/SER_hh_num!L18)</f>
        <v>6535.0073899391664</v>
      </c>
      <c r="M18" s="132">
        <f>IF(SER_hh_fec!M18=0,0,11630*1000*SER_hh_fec!M18/SER_hh_num!M18)</f>
        <v>6258.208525362852</v>
      </c>
      <c r="N18" s="132">
        <f>IF(SER_hh_fec!N18=0,0,11630*1000*SER_hh_fec!N18/SER_hh_num!N18)</f>
        <v>6016.5922283107511</v>
      </c>
      <c r="O18" s="132">
        <f>IF(SER_hh_fec!O18=0,0,11630*1000*SER_hh_fec!O18/SER_hh_num!O18)</f>
        <v>5771.3312896540083</v>
      </c>
      <c r="P18" s="132">
        <f>IF(SER_hh_fec!P18=0,0,11630*1000*SER_hh_fec!P18/SER_hh_num!P18)</f>
        <v>5548.6411606871925</v>
      </c>
      <c r="Q18" s="132">
        <f>IF(SER_hh_fec!Q18=0,0,11630*1000*SER_hh_fec!Q18/SER_hh_num!Q18)</f>
        <v>5319.5430372238152</v>
      </c>
      <c r="R18" s="132">
        <f>IF(SER_hh_fec!R18=0,0,11630*1000*SER_hh_fec!R18/SER_hh_num!R18)</f>
        <v>5127.399359413429</v>
      </c>
      <c r="S18" s="132">
        <f>IF(SER_hh_fec!S18=0,0,11630*1000*SER_hh_fec!S18/SER_hh_num!S18)</f>
        <v>4917.3751819350764</v>
      </c>
      <c r="T18" s="132">
        <f>IF(SER_hh_fec!T18=0,0,11630*1000*SER_hh_fec!T18/SER_hh_num!T18)</f>
        <v>4928.3663536980903</v>
      </c>
      <c r="U18" s="132">
        <f>IF(SER_hh_fec!U18=0,0,11630*1000*SER_hh_fec!U18/SER_hh_num!U18)</f>
        <v>4645.1585615405411</v>
      </c>
      <c r="V18" s="132">
        <f>IF(SER_hh_fec!V18=0,0,11630*1000*SER_hh_fec!V18/SER_hh_num!V18)</f>
        <v>4270.1879889036927</v>
      </c>
      <c r="W18" s="132">
        <f>IF(SER_hh_fec!W18=0,0,11630*1000*SER_hh_fec!W18/SER_hh_num!W18)</f>
        <v>4187.190013416729</v>
      </c>
      <c r="X18" s="132">
        <f>IF(SER_hh_fec!X18=0,0,11630*1000*SER_hh_fec!X18/SER_hh_num!X18)</f>
        <v>4174.9021325260283</v>
      </c>
      <c r="Y18" s="132">
        <f>IF(SER_hh_fec!Y18=0,0,11630*1000*SER_hh_fec!Y18/SER_hh_num!Y18)</f>
        <v>3978.9621658744773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13758.332139462416</v>
      </c>
      <c r="C19" s="130">
        <f>IF(SER_hh_fec!C19=0,0,11630*1000*SER_hh_fec!C19/SER_hh_num!C19)</f>
        <v>13511.234507513216</v>
      </c>
      <c r="D19" s="130">
        <f>IF(SER_hh_fec!D19=0,0,11630*1000*SER_hh_fec!D19/SER_hh_num!D19)</f>
        <v>13368.298323188483</v>
      </c>
      <c r="E19" s="130">
        <f>IF(SER_hh_fec!E19=0,0,11630*1000*SER_hh_fec!E19/SER_hh_num!E19)</f>
        <v>13246.814678382338</v>
      </c>
      <c r="F19" s="130">
        <f>IF(SER_hh_fec!F19=0,0,11630*1000*SER_hh_fec!F19/SER_hh_num!F19)</f>
        <v>13113.107503545525</v>
      </c>
      <c r="G19" s="130">
        <f>IF(SER_hh_fec!G19=0,0,11630*1000*SER_hh_fec!G19/SER_hh_num!G19)</f>
        <v>13078.878844980514</v>
      </c>
      <c r="H19" s="130">
        <f>IF(SER_hh_fec!H19=0,0,11630*1000*SER_hh_fec!H19/SER_hh_num!H19)</f>
        <v>13030.364806362009</v>
      </c>
      <c r="I19" s="130">
        <f>IF(SER_hh_fec!I19=0,0,11630*1000*SER_hh_fec!I19/SER_hh_num!I19)</f>
        <v>12850.688486351895</v>
      </c>
      <c r="J19" s="130">
        <f>IF(SER_hh_fec!J19=0,0,11630*1000*SER_hh_fec!J19/SER_hh_num!J19)</f>
        <v>12787.586796066123</v>
      </c>
      <c r="K19" s="130">
        <f>IF(SER_hh_fec!K19=0,0,11630*1000*SER_hh_fec!K19/SER_hh_num!K19)</f>
        <v>12642.62489811631</v>
      </c>
      <c r="L19" s="130">
        <f>IF(SER_hh_fec!L19=0,0,11630*1000*SER_hh_fec!L19/SER_hh_num!L19)</f>
        <v>12373.555393983746</v>
      </c>
      <c r="M19" s="130">
        <f>IF(SER_hh_fec!M19=0,0,11630*1000*SER_hh_fec!M19/SER_hh_num!M19)</f>
        <v>12397.137955573986</v>
      </c>
      <c r="N19" s="130">
        <f>IF(SER_hh_fec!N19=0,0,11630*1000*SER_hh_fec!N19/SER_hh_num!N19)</f>
        <v>12465.205160127092</v>
      </c>
      <c r="O19" s="130">
        <f>IF(SER_hh_fec!O19=0,0,11630*1000*SER_hh_fec!O19/SER_hh_num!O19)</f>
        <v>12405.434722627198</v>
      </c>
      <c r="P19" s="130">
        <f>IF(SER_hh_fec!P19=0,0,11630*1000*SER_hh_fec!P19/SER_hh_num!P19)</f>
        <v>12439.142204021822</v>
      </c>
      <c r="Q19" s="130">
        <f>IF(SER_hh_fec!Q19=0,0,11630*1000*SER_hh_fec!Q19/SER_hh_num!Q19)</f>
        <v>12406.15476373357</v>
      </c>
      <c r="R19" s="130">
        <f>IF(SER_hh_fec!R19=0,0,11630*1000*SER_hh_fec!R19/SER_hh_num!R19)</f>
        <v>12343.783230015275</v>
      </c>
      <c r="S19" s="130">
        <f>IF(SER_hh_fec!S19=0,0,11630*1000*SER_hh_fec!S19/SER_hh_num!S19)</f>
        <v>12323.785072991039</v>
      </c>
      <c r="T19" s="130">
        <f>IF(SER_hh_fec!T19=0,0,11630*1000*SER_hh_fec!T19/SER_hh_num!T19)</f>
        <v>11980.47203719738</v>
      </c>
      <c r="U19" s="130">
        <f>IF(SER_hh_fec!U19=0,0,11630*1000*SER_hh_fec!U19/SER_hh_num!U19)</f>
        <v>11600.068180162818</v>
      </c>
      <c r="V19" s="130">
        <f>IF(SER_hh_fec!V19=0,0,11630*1000*SER_hh_fec!V19/SER_hh_num!V19)</f>
        <v>9820.8171606363849</v>
      </c>
      <c r="W19" s="130">
        <f>IF(SER_hh_fec!W19=0,0,11630*1000*SER_hh_fec!W19/SER_hh_num!W19)</f>
        <v>10579.279040934685</v>
      </c>
      <c r="X19" s="130">
        <f>IF(SER_hh_fec!X19=0,0,11630*1000*SER_hh_fec!X19/SER_hh_num!X19)</f>
        <v>10836.854267442804</v>
      </c>
      <c r="Y19" s="130">
        <f>IF(SER_hh_fec!Y19=0,0,11630*1000*SER_hh_fec!Y19/SER_hh_num!Y19)</f>
        <v>10712.532800312569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18270.295163788869</v>
      </c>
      <c r="C22" s="132">
        <f>IF(SER_hh_fec!C22=0,0,11630*1000*SER_hh_fec!C22/SER_hh_num!C22)</f>
        <v>17827.733070058399</v>
      </c>
      <c r="D22" s="132">
        <f>IF(SER_hh_fec!D22=0,0,11630*1000*SER_hh_fec!D22/SER_hh_num!D22)</f>
        <v>17648.832307765057</v>
      </c>
      <c r="E22" s="132">
        <f>IF(SER_hh_fec!E22=0,0,11630*1000*SER_hh_fec!E22/SER_hh_num!E22)</f>
        <v>17624.516786328961</v>
      </c>
      <c r="F22" s="132">
        <f>IF(SER_hh_fec!F22=0,0,11630*1000*SER_hh_fec!F22/SER_hh_num!F22)</f>
        <v>17801.247954008508</v>
      </c>
      <c r="G22" s="132">
        <f>IF(SER_hh_fec!G22=0,0,11630*1000*SER_hh_fec!G22/SER_hh_num!G22)</f>
        <v>18055.249738389597</v>
      </c>
      <c r="H22" s="132">
        <f>IF(SER_hh_fec!H22=0,0,11630*1000*SER_hh_fec!H22/SER_hh_num!H22)</f>
        <v>17078.810569211459</v>
      </c>
      <c r="I22" s="132">
        <f>IF(SER_hh_fec!I22=0,0,11630*1000*SER_hh_fec!I22/SER_hh_num!I22)</f>
        <v>16356.401894888369</v>
      </c>
      <c r="J22" s="132">
        <f>IF(SER_hh_fec!J22=0,0,11630*1000*SER_hh_fec!J22/SER_hh_num!J22)</f>
        <v>17119.131791105199</v>
      </c>
      <c r="K22" s="132">
        <f>IF(SER_hh_fec!K22=0,0,11630*1000*SER_hh_fec!K22/SER_hh_num!K22)</f>
        <v>17445.951454324018</v>
      </c>
      <c r="L22" s="132">
        <f>IF(SER_hh_fec!L22=0,0,11630*1000*SER_hh_fec!L22/SER_hh_num!L22)</f>
        <v>17126.236317794315</v>
      </c>
      <c r="M22" s="132">
        <f>IF(SER_hh_fec!M22=0,0,11630*1000*SER_hh_fec!M22/SER_hh_num!M22)</f>
        <v>15928.905849610315</v>
      </c>
      <c r="N22" s="132">
        <f>IF(SER_hh_fec!N22=0,0,11630*1000*SER_hh_fec!N22/SER_hh_num!N22)</f>
        <v>16388.780526380902</v>
      </c>
      <c r="O22" s="132">
        <f>IF(SER_hh_fec!O22=0,0,11630*1000*SER_hh_fec!O22/SER_hh_num!O22)</f>
        <v>16567.967906975369</v>
      </c>
      <c r="P22" s="132">
        <f>IF(SER_hh_fec!P22=0,0,11630*1000*SER_hh_fec!P22/SER_hh_num!P22)</f>
        <v>16443.826928687013</v>
      </c>
      <c r="Q22" s="132">
        <f>IF(SER_hh_fec!Q22=0,0,11630*1000*SER_hh_fec!Q22/SER_hh_num!Q22)</f>
        <v>16341.439705797813</v>
      </c>
      <c r="R22" s="132">
        <f>IF(SER_hh_fec!R22=0,0,11630*1000*SER_hh_fec!R22/SER_hh_num!R22)</f>
        <v>16722.28892063714</v>
      </c>
      <c r="S22" s="132">
        <f>IF(SER_hh_fec!S22=0,0,11630*1000*SER_hh_fec!S22/SER_hh_num!S22)</f>
        <v>16280.243021780174</v>
      </c>
      <c r="T22" s="132">
        <f>IF(SER_hh_fec!T22=0,0,11630*1000*SER_hh_fec!T22/SER_hh_num!T22)</f>
        <v>18130.329220220065</v>
      </c>
      <c r="U22" s="132">
        <f>IF(SER_hh_fec!U22=0,0,11630*1000*SER_hh_fec!U22/SER_hh_num!U22)</f>
        <v>11025.581316743726</v>
      </c>
      <c r="V22" s="132">
        <f>IF(SER_hh_fec!V22=0,0,11630*1000*SER_hh_fec!V22/SER_hh_num!V22)</f>
        <v>14204.384847191646</v>
      </c>
      <c r="W22" s="132">
        <f>IF(SER_hh_fec!W22=0,0,11630*1000*SER_hh_fec!W22/SER_hh_num!W22)</f>
        <v>11984.526279470971</v>
      </c>
      <c r="X22" s="132">
        <f>IF(SER_hh_fec!X22=0,0,11630*1000*SER_hh_fec!X22/SER_hh_num!X22)</f>
        <v>16288.548905425056</v>
      </c>
      <c r="Y22" s="132">
        <f>IF(SER_hh_fec!Y22=0,0,11630*1000*SER_hh_fec!Y22/SER_hh_num!Y22)</f>
        <v>13716.976729989094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17585.169738338282</v>
      </c>
      <c r="C23" s="132">
        <f>IF(SER_hh_fec!C23=0,0,11630*1000*SER_hh_fec!C23/SER_hh_num!C23)</f>
        <v>17058.624578930365</v>
      </c>
      <c r="D23" s="132">
        <f>IF(SER_hh_fec!D23=0,0,11630*1000*SER_hh_fec!D23/SER_hh_num!D23)</f>
        <v>16176.316228408654</v>
      </c>
      <c r="E23" s="132">
        <f>IF(SER_hh_fec!E23=0,0,11630*1000*SER_hh_fec!E23/SER_hh_num!E23)</f>
        <v>17182.258108051814</v>
      </c>
      <c r="F23" s="132">
        <f>IF(SER_hh_fec!F23=0,0,11630*1000*SER_hh_fec!F23/SER_hh_num!F23)</f>
        <v>15905.24554305803</v>
      </c>
      <c r="G23" s="132">
        <f>IF(SER_hh_fec!G23=0,0,11630*1000*SER_hh_fec!G23/SER_hh_num!G23)</f>
        <v>16097.874220977976</v>
      </c>
      <c r="H23" s="132">
        <f>IF(SER_hh_fec!H23=0,0,11630*1000*SER_hh_fec!H23/SER_hh_num!H23)</f>
        <v>16359.637426488265</v>
      </c>
      <c r="I23" s="132">
        <f>IF(SER_hh_fec!I23=0,0,11630*1000*SER_hh_fec!I23/SER_hh_num!I23)</f>
        <v>15699.108966803038</v>
      </c>
      <c r="J23" s="132">
        <f>IF(SER_hh_fec!J23=0,0,11630*1000*SER_hh_fec!J23/SER_hh_num!J23)</f>
        <v>15490.553410958368</v>
      </c>
      <c r="K23" s="132">
        <f>IF(SER_hh_fec!K23=0,0,11630*1000*SER_hh_fec!K23/SER_hh_num!K23)</f>
        <v>15605.746124259998</v>
      </c>
      <c r="L23" s="132">
        <f>IF(SER_hh_fec!L23=0,0,11630*1000*SER_hh_fec!L23/SER_hh_num!L23)</f>
        <v>16030.604478511421</v>
      </c>
      <c r="M23" s="132">
        <f>IF(SER_hh_fec!M23=0,0,11630*1000*SER_hh_fec!M23/SER_hh_num!M23)</f>
        <v>14400.239722296556</v>
      </c>
      <c r="N23" s="132">
        <f>IF(SER_hh_fec!N23=0,0,11630*1000*SER_hh_fec!N23/SER_hh_num!N23)</f>
        <v>15024.584666057735</v>
      </c>
      <c r="O23" s="132">
        <f>IF(SER_hh_fec!O23=0,0,11630*1000*SER_hh_fec!O23/SER_hh_num!O23)</f>
        <v>15253.209549358236</v>
      </c>
      <c r="P23" s="132">
        <f>IF(SER_hh_fec!P23=0,0,11630*1000*SER_hh_fec!P23/SER_hh_num!P23)</f>
        <v>13774.512088796797</v>
      </c>
      <c r="Q23" s="132">
        <f>IF(SER_hh_fec!Q23=0,0,11630*1000*SER_hh_fec!Q23/SER_hh_num!Q23)</f>
        <v>14947.413053193104</v>
      </c>
      <c r="R23" s="132">
        <f>IF(SER_hh_fec!R23=0,0,11630*1000*SER_hh_fec!R23/SER_hh_num!R23)</f>
        <v>14393.348828990769</v>
      </c>
      <c r="S23" s="132">
        <f>IF(SER_hh_fec!S23=0,0,11630*1000*SER_hh_fec!S23/SER_hh_num!S23)</f>
        <v>14137.266658500243</v>
      </c>
      <c r="T23" s="132">
        <f>IF(SER_hh_fec!T23=0,0,11630*1000*SER_hh_fec!T23/SER_hh_num!T23)</f>
        <v>13465.584584994796</v>
      </c>
      <c r="U23" s="132">
        <f>IF(SER_hh_fec!U23=0,0,11630*1000*SER_hh_fec!U23/SER_hh_num!U23)</f>
        <v>13759.214972450061</v>
      </c>
      <c r="V23" s="132">
        <f>IF(SER_hh_fec!V23=0,0,11630*1000*SER_hh_fec!V23/SER_hh_num!V23)</f>
        <v>9195.9471119318932</v>
      </c>
      <c r="W23" s="132">
        <f>IF(SER_hh_fec!W23=0,0,11630*1000*SER_hh_fec!W23/SER_hh_num!W23)</f>
        <v>12786.602080954861</v>
      </c>
      <c r="X23" s="132">
        <f>IF(SER_hh_fec!X23=0,0,11630*1000*SER_hh_fec!X23/SER_hh_num!X23)</f>
        <v>11054.742299078471</v>
      </c>
      <c r="Y23" s="132">
        <f>IF(SER_hh_fec!Y23=0,0,11630*1000*SER_hh_fec!Y23/SER_hh_num!Y23)</f>
        <v>11605.388944651269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19906.187051090219</v>
      </c>
      <c r="C24" s="132">
        <f>IF(SER_hh_fec!C24=0,0,11630*1000*SER_hh_fec!C24/SER_hh_num!C24)</f>
        <v>20402.409554634545</v>
      </c>
      <c r="D24" s="132">
        <f>IF(SER_hh_fec!D24=0,0,11630*1000*SER_hh_fec!D24/SER_hh_num!D24)</f>
        <v>19548.174935350424</v>
      </c>
      <c r="E24" s="132">
        <f>IF(SER_hh_fec!E24=0,0,11630*1000*SER_hh_fec!E24/SER_hh_num!E24)</f>
        <v>18694.515228756689</v>
      </c>
      <c r="F24" s="132">
        <f>IF(SER_hh_fec!F24=0,0,11630*1000*SER_hh_fec!F24/SER_hh_num!F24)</f>
        <v>18068.751475376535</v>
      </c>
      <c r="G24" s="132">
        <f>IF(SER_hh_fec!G24=0,0,11630*1000*SER_hh_fec!G24/SER_hh_num!G24)</f>
        <v>17780.803493993601</v>
      </c>
      <c r="H24" s="132">
        <f>IF(SER_hh_fec!H24=0,0,11630*1000*SER_hh_fec!H24/SER_hh_num!H24)</f>
        <v>17208.07760580962</v>
      </c>
      <c r="I24" s="132">
        <f>IF(SER_hh_fec!I24=0,0,11630*1000*SER_hh_fec!I24/SER_hh_num!I24)</f>
        <v>16724.58841817973</v>
      </c>
      <c r="J24" s="132">
        <f>IF(SER_hh_fec!J24=0,0,11630*1000*SER_hh_fec!J24/SER_hh_num!J24)</f>
        <v>16220.942975045387</v>
      </c>
      <c r="K24" s="132">
        <f>IF(SER_hh_fec!K24=0,0,11630*1000*SER_hh_fec!K24/SER_hh_num!K24)</f>
        <v>15758.850625908963</v>
      </c>
      <c r="L24" s="132">
        <f>IF(SER_hh_fec!L24=0,0,11630*1000*SER_hh_fec!L24/SER_hh_num!L24)</f>
        <v>15215.881090040313</v>
      </c>
      <c r="M24" s="132">
        <f>IF(SER_hh_fec!M24=0,0,11630*1000*SER_hh_fec!M24/SER_hh_num!M24)</f>
        <v>14955.005161494704</v>
      </c>
      <c r="N24" s="132">
        <f>IF(SER_hh_fec!N24=0,0,11630*1000*SER_hh_fec!N24/SER_hh_num!N24)</f>
        <v>14833.605454806122</v>
      </c>
      <c r="O24" s="132">
        <f>IF(SER_hh_fec!O24=0,0,11630*1000*SER_hh_fec!O24/SER_hh_num!O24)</f>
        <v>14440.530733191001</v>
      </c>
      <c r="P24" s="132">
        <f>IF(SER_hh_fec!P24=0,0,11630*1000*SER_hh_fec!P24/SER_hh_num!P24)</f>
        <v>14013.54688372262</v>
      </c>
      <c r="Q24" s="132">
        <f>IF(SER_hh_fec!Q24=0,0,11630*1000*SER_hh_fec!Q24/SER_hh_num!Q24)</f>
        <v>13593.693296069488</v>
      </c>
      <c r="R24" s="132">
        <f>IF(SER_hh_fec!R24=0,0,11630*1000*SER_hh_fec!R24/SER_hh_num!R24)</f>
        <v>14095.06186580288</v>
      </c>
      <c r="S24" s="132">
        <f>IF(SER_hh_fec!S24=0,0,11630*1000*SER_hh_fec!S24/SER_hh_num!S24)</f>
        <v>14242.115674282511</v>
      </c>
      <c r="T24" s="132">
        <f>IF(SER_hh_fec!T24=0,0,11630*1000*SER_hh_fec!T24/SER_hh_num!T24)</f>
        <v>15320.299510419067</v>
      </c>
      <c r="U24" s="132">
        <f>IF(SER_hh_fec!U24=0,0,11630*1000*SER_hh_fec!U24/SER_hh_num!U24)</f>
        <v>13116.230040915401</v>
      </c>
      <c r="V24" s="132">
        <f>IF(SER_hh_fec!V24=0,0,11630*1000*SER_hh_fec!V24/SER_hh_num!V24)</f>
        <v>11598.624869874442</v>
      </c>
      <c r="W24" s="132">
        <f>IF(SER_hh_fec!W24=0,0,11630*1000*SER_hh_fec!W24/SER_hh_num!W24)</f>
        <v>12760.719689764695</v>
      </c>
      <c r="X24" s="132">
        <f>IF(SER_hh_fec!X24=0,0,11630*1000*SER_hh_fec!X24/SER_hh_num!X24)</f>
        <v>11878.807395854636</v>
      </c>
      <c r="Y24" s="132">
        <f>IF(SER_hh_fec!Y24=0,0,11630*1000*SER_hh_fec!Y24/SER_hh_num!Y24)</f>
        <v>12088.736596904657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11763.482756634528</v>
      </c>
      <c r="C25" s="132">
        <f>IF(SER_hh_fec!C25=0,0,11630*1000*SER_hh_fec!C25/SER_hh_num!C25)</f>
        <v>11878.957934976323</v>
      </c>
      <c r="D25" s="132">
        <f>IF(SER_hh_fec!D25=0,0,11630*1000*SER_hh_fec!D25/SER_hh_num!D25)</f>
        <v>11615.008957172418</v>
      </c>
      <c r="E25" s="132">
        <f>IF(SER_hh_fec!E25=0,0,11630*1000*SER_hh_fec!E25/SER_hh_num!E25)</f>
        <v>11502.442831509861</v>
      </c>
      <c r="F25" s="132">
        <f>IF(SER_hh_fec!F25=0,0,11630*1000*SER_hh_fec!F25/SER_hh_num!F25)</f>
        <v>11416.111824142965</v>
      </c>
      <c r="G25" s="132">
        <f>IF(SER_hh_fec!G25=0,0,11630*1000*SER_hh_fec!G25/SER_hh_num!G25)</f>
        <v>11419.567038682606</v>
      </c>
      <c r="H25" s="132">
        <f>IF(SER_hh_fec!H25=0,0,11630*1000*SER_hh_fec!H25/SER_hh_num!H25)</f>
        <v>11206.063168819433</v>
      </c>
      <c r="I25" s="132">
        <f>IF(SER_hh_fec!I25=0,0,11630*1000*SER_hh_fec!I25/SER_hh_num!I25)</f>
        <v>11050.749961713906</v>
      </c>
      <c r="J25" s="132">
        <f>IF(SER_hh_fec!J25=0,0,11630*1000*SER_hh_fec!J25/SER_hh_num!J25)</f>
        <v>11050.202098441338</v>
      </c>
      <c r="K25" s="132">
        <f>IF(SER_hh_fec!K25=0,0,11630*1000*SER_hh_fec!K25/SER_hh_num!K25)</f>
        <v>11076.307509662733</v>
      </c>
      <c r="L25" s="132">
        <f>IF(SER_hh_fec!L25=0,0,11630*1000*SER_hh_fec!L25/SER_hh_num!L25)</f>
        <v>11178.487918058569</v>
      </c>
      <c r="M25" s="132">
        <f>IF(SER_hh_fec!M25=0,0,11630*1000*SER_hh_fec!M25/SER_hh_num!M25)</f>
        <v>11204.151748175227</v>
      </c>
      <c r="N25" s="132">
        <f>IF(SER_hh_fec!N25=0,0,11630*1000*SER_hh_fec!N25/SER_hh_num!N25)</f>
        <v>11121.017399182552</v>
      </c>
      <c r="O25" s="132">
        <f>IF(SER_hh_fec!O25=0,0,11630*1000*SER_hh_fec!O25/SER_hh_num!O25)</f>
        <v>11125.656421786511</v>
      </c>
      <c r="P25" s="132">
        <f>IF(SER_hh_fec!P25=0,0,11630*1000*SER_hh_fec!P25/SER_hh_num!P25)</f>
        <v>11393.208147254398</v>
      </c>
      <c r="Q25" s="132">
        <f>IF(SER_hh_fec!Q25=0,0,11630*1000*SER_hh_fec!Q25/SER_hh_num!Q25)</f>
        <v>11414.848281574259</v>
      </c>
      <c r="R25" s="132">
        <f>IF(SER_hh_fec!R25=0,0,11630*1000*SER_hh_fec!R25/SER_hh_num!R25)</f>
        <v>11269.084411798416</v>
      </c>
      <c r="S25" s="132">
        <f>IF(SER_hh_fec!S25=0,0,11630*1000*SER_hh_fec!S25/SER_hh_num!S25)</f>
        <v>11105.108210858449</v>
      </c>
      <c r="T25" s="132">
        <f>IF(SER_hh_fec!T25=0,0,11630*1000*SER_hh_fec!T25/SER_hh_num!T25)</f>
        <v>11188.297898457164</v>
      </c>
      <c r="U25" s="132">
        <f>IF(SER_hh_fec!U25=0,0,11630*1000*SER_hh_fec!U25/SER_hh_num!U25)</f>
        <v>10638.519802721998</v>
      </c>
      <c r="V25" s="132">
        <f>IF(SER_hh_fec!V25=0,0,11630*1000*SER_hh_fec!V25/SER_hh_num!V25)</f>
        <v>9610.2225071524372</v>
      </c>
      <c r="W25" s="132">
        <f>IF(SER_hh_fec!W25=0,0,11630*1000*SER_hh_fec!W25/SER_hh_num!W25)</f>
        <v>9642.2902752040955</v>
      </c>
      <c r="X25" s="132">
        <f>IF(SER_hh_fec!X25=0,0,11630*1000*SER_hh_fec!X25/SER_hh_num!X25)</f>
        <v>10255.302014230589</v>
      </c>
      <c r="Y25" s="132">
        <f>IF(SER_hh_fec!Y25=0,0,11630*1000*SER_hh_fec!Y25/SER_hh_num!Y25)</f>
        <v>10689.020764634217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14129.761494722174</v>
      </c>
      <c r="C26" s="65">
        <f>IF(SER_hh_fec!C26=0,0,11630*1000*SER_hh_fec!C26/SER_hh_num!C26)</f>
        <v>13525.761220808525</v>
      </c>
      <c r="D26" s="65">
        <f>IF(SER_hh_fec!D26=0,0,11630*1000*SER_hh_fec!D26/SER_hh_num!D26)</f>
        <v>13772.878791732814</v>
      </c>
      <c r="E26" s="65">
        <f>IF(SER_hh_fec!E26=0,0,11630*1000*SER_hh_fec!E26/SER_hh_num!E26)</f>
        <v>13263.864677338603</v>
      </c>
      <c r="F26" s="65">
        <f>IF(SER_hh_fec!F26=0,0,11630*1000*SER_hh_fec!F26/SER_hh_num!F26)</f>
        <v>13325.5943591098</v>
      </c>
      <c r="G26" s="65">
        <f>IF(SER_hh_fec!G26=0,0,11630*1000*SER_hh_fec!G26/SER_hh_num!G26)</f>
        <v>13061.305232820125</v>
      </c>
      <c r="H26" s="65">
        <f>IF(SER_hh_fec!H26=0,0,11630*1000*SER_hh_fec!H26/SER_hh_num!H26)</f>
        <v>13326.643387603184</v>
      </c>
      <c r="I26" s="65">
        <f>IF(SER_hh_fec!I26=0,0,11630*1000*SER_hh_fec!I26/SER_hh_num!I26)</f>
        <v>13481.10332783895</v>
      </c>
      <c r="J26" s="65">
        <f>IF(SER_hh_fec!J26=0,0,11630*1000*SER_hh_fec!J26/SER_hh_num!J26)</f>
        <v>13357.291569191895</v>
      </c>
      <c r="K26" s="65">
        <f>IF(SER_hh_fec!K26=0,0,11630*1000*SER_hh_fec!K26/SER_hh_num!K26)</f>
        <v>12936.574550350777</v>
      </c>
      <c r="L26" s="65">
        <f>IF(SER_hh_fec!L26=0,0,11630*1000*SER_hh_fec!L26/SER_hh_num!L26)</f>
        <v>11868.457980479376</v>
      </c>
      <c r="M26" s="65">
        <f>IF(SER_hh_fec!M26=0,0,11630*1000*SER_hh_fec!M26/SER_hh_num!M26)</f>
        <v>12916.369069921042</v>
      </c>
      <c r="N26" s="65">
        <f>IF(SER_hh_fec!N26=0,0,11630*1000*SER_hh_fec!N26/SER_hh_num!N26)</f>
        <v>13104.756811434376</v>
      </c>
      <c r="O26" s="65">
        <f>IF(SER_hh_fec!O26=0,0,11630*1000*SER_hh_fec!O26/SER_hh_num!O26)</f>
        <v>12848.083274946677</v>
      </c>
      <c r="P26" s="65">
        <f>IF(SER_hh_fec!P26=0,0,11630*1000*SER_hh_fec!P26/SER_hh_num!P26)</f>
        <v>13060.109972001261</v>
      </c>
      <c r="Q26" s="65">
        <f>IF(SER_hh_fec!Q26=0,0,11630*1000*SER_hh_fec!Q26/SER_hh_num!Q26)</f>
        <v>12443.079977115995</v>
      </c>
      <c r="R26" s="65">
        <f>IF(SER_hh_fec!R26=0,0,11630*1000*SER_hh_fec!R26/SER_hh_num!R26)</f>
        <v>12685.612345735686</v>
      </c>
      <c r="S26" s="65">
        <f>IF(SER_hh_fec!S26=0,0,11630*1000*SER_hh_fec!S26/SER_hh_num!S26)</f>
        <v>13217.613810529172</v>
      </c>
      <c r="T26" s="65">
        <f>IF(SER_hh_fec!T26=0,0,11630*1000*SER_hh_fec!T26/SER_hh_num!T26)</f>
        <v>11702.067978778112</v>
      </c>
      <c r="U26" s="65">
        <f>IF(SER_hh_fec!U26=0,0,11630*1000*SER_hh_fec!U26/SER_hh_num!U26)</f>
        <v>12383.139927336235</v>
      </c>
      <c r="V26" s="65">
        <f>IF(SER_hh_fec!V26=0,0,11630*1000*SER_hh_fec!V26/SER_hh_num!V26)</f>
        <v>9550.5271804176646</v>
      </c>
      <c r="W26" s="65">
        <f>IF(SER_hh_fec!W26=0,0,11630*1000*SER_hh_fec!W26/SER_hh_num!W26)</f>
        <v>11693.062786770601</v>
      </c>
      <c r="X26" s="65">
        <f>IF(SER_hh_fec!X26=0,0,11630*1000*SER_hh_fec!X26/SER_hh_num!X26)</f>
        <v>11810.322343189056</v>
      </c>
      <c r="Y26" s="65">
        <f>IF(SER_hh_fec!Y26=0,0,11630*1000*SER_hh_fec!Y26/SER_hh_num!Y26)</f>
        <v>8326.8867959664967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106.94882763483746</v>
      </c>
      <c r="C27" s="145">
        <f>IF(SER_hh_fec!C27=0,0,11630*1000*SER_hh_fec!C27/SER_hh_num!C19)</f>
        <v>106.87152193277041</v>
      </c>
      <c r="D27" s="145">
        <f>IF(SER_hh_fec!D27=0,0,11630*1000*SER_hh_fec!D27/SER_hh_num!D19)</f>
        <v>106.4027167891357</v>
      </c>
      <c r="E27" s="145">
        <f>IF(SER_hh_fec!E27=0,0,11630*1000*SER_hh_fec!E27/SER_hh_num!E19)</f>
        <v>106.18134585271321</v>
      </c>
      <c r="F27" s="145">
        <f>IF(SER_hh_fec!F27=0,0,11630*1000*SER_hh_fec!F27/SER_hh_num!F19)</f>
        <v>108.23171773695299</v>
      </c>
      <c r="G27" s="145">
        <f>IF(SER_hh_fec!G27=0,0,11630*1000*SER_hh_fec!G27/SER_hh_num!G19)</f>
        <v>112.26943997513378</v>
      </c>
      <c r="H27" s="145">
        <f>IF(SER_hh_fec!H27=0,0,11630*1000*SER_hh_fec!H27/SER_hh_num!H19)</f>
        <v>116.08721402778828</v>
      </c>
      <c r="I27" s="145">
        <f>IF(SER_hh_fec!I27=0,0,11630*1000*SER_hh_fec!I27/SER_hh_num!I19)</f>
        <v>122.58704643692639</v>
      </c>
      <c r="J27" s="145">
        <f>IF(SER_hh_fec!J27=0,0,11630*1000*SER_hh_fec!J27/SER_hh_num!J19)</f>
        <v>128.72806172910194</v>
      </c>
      <c r="K27" s="145">
        <f>IF(SER_hh_fec!K27=0,0,11630*1000*SER_hh_fec!K27/SER_hh_num!K19)</f>
        <v>135.64258419934609</v>
      </c>
      <c r="L27" s="145">
        <f>IF(SER_hh_fec!L27=0,0,11630*1000*SER_hh_fec!L27/SER_hh_num!L19)</f>
        <v>138.14635488577321</v>
      </c>
      <c r="M27" s="145">
        <f>IF(SER_hh_fec!M27=0,0,11630*1000*SER_hh_fec!M27/SER_hh_num!M19)</f>
        <v>144.40978744745922</v>
      </c>
      <c r="N27" s="145">
        <f>IF(SER_hh_fec!N27=0,0,11630*1000*SER_hh_fec!N27/SER_hh_num!N19)</f>
        <v>148.3597738919062</v>
      </c>
      <c r="O27" s="145">
        <f>IF(SER_hh_fec!O27=0,0,11630*1000*SER_hh_fec!O27/SER_hh_num!O19)</f>
        <v>152.44374304878679</v>
      </c>
      <c r="P27" s="145">
        <f>IF(SER_hh_fec!P27=0,0,11630*1000*SER_hh_fec!P27/SER_hh_num!P19)</f>
        <v>154.95147223802303</v>
      </c>
      <c r="Q27" s="145">
        <f>IF(SER_hh_fec!Q27=0,0,11630*1000*SER_hh_fec!Q27/SER_hh_num!Q19)</f>
        <v>158.26379906390889</v>
      </c>
      <c r="R27" s="145">
        <f>IF(SER_hh_fec!R27=0,0,11630*1000*SER_hh_fec!R27/SER_hh_num!R19)</f>
        <v>159.07488930338442</v>
      </c>
      <c r="S27" s="145">
        <f>IF(SER_hh_fec!S27=0,0,11630*1000*SER_hh_fec!S27/SER_hh_num!S19)</f>
        <v>159.73135623859264</v>
      </c>
      <c r="T27" s="145">
        <f>IF(SER_hh_fec!T27=0,0,11630*1000*SER_hh_fec!T27/SER_hh_num!T19)</f>
        <v>160.10743132488813</v>
      </c>
      <c r="U27" s="145">
        <f>IF(SER_hh_fec!U27=0,0,11630*1000*SER_hh_fec!U27/SER_hh_num!U19)</f>
        <v>160.72678414254491</v>
      </c>
      <c r="V27" s="145">
        <f>IF(SER_hh_fec!V27=0,0,11630*1000*SER_hh_fec!V27/SER_hh_num!V19)</f>
        <v>159.39033284643358</v>
      </c>
      <c r="W27" s="145">
        <f>IF(SER_hh_fec!W27=0,0,11630*1000*SER_hh_fec!W27/SER_hh_num!W19)</f>
        <v>144.53505448592776</v>
      </c>
      <c r="X27" s="145">
        <f>IF(SER_hh_fec!X27=0,0,11630*1000*SER_hh_fec!X27/SER_hh_num!X19)</f>
        <v>164.72572427568051</v>
      </c>
      <c r="Y27" s="145">
        <f>IF(SER_hh_fec!Y27=0,0,11630*1000*SER_hh_fec!Y27/SER_hh_num!Y19)</f>
        <v>153.15001380249169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4090.3264060134411</v>
      </c>
      <c r="C28" s="146">
        <f>IF(SER_hh_fec!C27=0,0,11630*1000*SER_hh_fec!C27/SER_hh_num!C27)</f>
        <v>4158.878746817355</v>
      </c>
      <c r="D28" s="146">
        <f>IF(SER_hh_fec!D27=0,0,11630*1000*SER_hh_fec!D27/SER_hh_num!D27)</f>
        <v>4074.3943517368721</v>
      </c>
      <c r="E28" s="146">
        <f>IF(SER_hh_fec!E27=0,0,11630*1000*SER_hh_fec!E27/SER_hh_num!E27)</f>
        <v>4124.526240437528</v>
      </c>
      <c r="F28" s="146">
        <f>IF(SER_hh_fec!F27=0,0,11630*1000*SER_hh_fec!F27/SER_hh_num!F27)</f>
        <v>4129.582391734355</v>
      </c>
      <c r="G28" s="146">
        <f>IF(SER_hh_fec!G27=0,0,11630*1000*SER_hh_fec!G27/SER_hh_num!G27)</f>
        <v>4055.2083425151814</v>
      </c>
      <c r="H28" s="146">
        <f>IF(SER_hh_fec!H27=0,0,11630*1000*SER_hh_fec!H27/SER_hh_num!H27)</f>
        <v>4052.2485792873376</v>
      </c>
      <c r="I28" s="146">
        <f>IF(SER_hh_fec!I27=0,0,11630*1000*SER_hh_fec!I27/SER_hh_num!I27)</f>
        <v>4118.7948795363063</v>
      </c>
      <c r="J28" s="146">
        <f>IF(SER_hh_fec!J27=0,0,11630*1000*SER_hh_fec!J27/SER_hh_num!J27)</f>
        <v>4296.1180982792994</v>
      </c>
      <c r="K28" s="146">
        <f>IF(SER_hh_fec!K27=0,0,11630*1000*SER_hh_fec!K27/SER_hh_num!K27)</f>
        <v>4751.9438236385404</v>
      </c>
      <c r="L28" s="146">
        <f>IF(SER_hh_fec!L27=0,0,11630*1000*SER_hh_fec!L27/SER_hh_num!L27)</f>
        <v>4030.5193638044916</v>
      </c>
      <c r="M28" s="146">
        <f>IF(SER_hh_fec!M27=0,0,11630*1000*SER_hh_fec!M27/SER_hh_num!M27)</f>
        <v>4142.5194937459055</v>
      </c>
      <c r="N28" s="146">
        <f>IF(SER_hh_fec!N27=0,0,11630*1000*SER_hh_fec!N27/SER_hh_num!N27)</f>
        <v>4317.2593020402537</v>
      </c>
      <c r="O28" s="146">
        <f>IF(SER_hh_fec!O27=0,0,11630*1000*SER_hh_fec!O27/SER_hh_num!O27)</f>
        <v>4060.4472375941023</v>
      </c>
      <c r="P28" s="146">
        <f>IF(SER_hh_fec!P27=0,0,11630*1000*SER_hh_fec!P27/SER_hh_num!P27)</f>
        <v>4333.800166677318</v>
      </c>
      <c r="Q28" s="146">
        <f>IF(SER_hh_fec!Q27=0,0,11630*1000*SER_hh_fec!Q27/SER_hh_num!Q27)</f>
        <v>4213.829922999058</v>
      </c>
      <c r="R28" s="146">
        <f>IF(SER_hh_fec!R27=0,0,11630*1000*SER_hh_fec!R27/SER_hh_num!R27)</f>
        <v>4222.7391840988312</v>
      </c>
      <c r="S28" s="146">
        <f>IF(SER_hh_fec!S27=0,0,11630*1000*SER_hh_fec!S27/SER_hh_num!S27)</f>
        <v>4508.3902948025388</v>
      </c>
      <c r="T28" s="146">
        <f>IF(SER_hh_fec!T27=0,0,11630*1000*SER_hh_fec!T27/SER_hh_num!T27)</f>
        <v>4412.4645843373582</v>
      </c>
      <c r="U28" s="146">
        <f>IF(SER_hh_fec!U27=0,0,11630*1000*SER_hh_fec!U27/SER_hh_num!U27)</f>
        <v>4247.6906717717447</v>
      </c>
      <c r="V28" s="146">
        <f>IF(SER_hh_fec!V27=0,0,11630*1000*SER_hh_fec!V27/SER_hh_num!V27)</f>
        <v>3668.7848579099655</v>
      </c>
      <c r="W28" s="146">
        <f>IF(SER_hh_fec!W27=0,0,11630*1000*SER_hh_fec!W27/SER_hh_num!W27)</f>
        <v>3695.1838938507335</v>
      </c>
      <c r="X28" s="146">
        <f>IF(SER_hh_fec!X27=0,0,11630*1000*SER_hh_fec!X27/SER_hh_num!X27)</f>
        <v>5501.8225146568375</v>
      </c>
      <c r="Y28" s="146">
        <f>IF(SER_hh_fec!Y27=0,0,11630*1000*SER_hh_fec!Y27/SER_hh_num!Y27)</f>
        <v>4533.0230966060626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11868.667244327431</v>
      </c>
      <c r="C29" s="130">
        <f>IF(SER_hh_fec!C29=0,0,11630*1000*SER_hh_fec!C29/SER_hh_num!C29)</f>
        <v>11862.949194102452</v>
      </c>
      <c r="D29" s="130">
        <f>IF(SER_hh_fec!D29=0,0,11630*1000*SER_hh_fec!D29/SER_hh_num!D29)</f>
        <v>11899.687447364046</v>
      </c>
      <c r="E29" s="130">
        <f>IF(SER_hh_fec!E29=0,0,11630*1000*SER_hh_fec!E29/SER_hh_num!E29)</f>
        <v>12186.898640993692</v>
      </c>
      <c r="F29" s="130">
        <f>IF(SER_hh_fec!F29=0,0,11630*1000*SER_hh_fec!F29/SER_hh_num!F29)</f>
        <v>12327.688745745381</v>
      </c>
      <c r="G29" s="130">
        <f>IF(SER_hh_fec!G29=0,0,11630*1000*SER_hh_fec!G29/SER_hh_num!G29)</f>
        <v>12371.738660862084</v>
      </c>
      <c r="H29" s="130">
        <f>IF(SER_hh_fec!H29=0,0,11630*1000*SER_hh_fec!H29/SER_hh_num!H29)</f>
        <v>12491.407625904139</v>
      </c>
      <c r="I29" s="130">
        <f>IF(SER_hh_fec!I29=0,0,11630*1000*SER_hh_fec!I29/SER_hh_num!I29)</f>
        <v>12315.539683515366</v>
      </c>
      <c r="J29" s="130">
        <f>IF(SER_hh_fec!J29=0,0,11630*1000*SER_hh_fec!J29/SER_hh_num!J29)</f>
        <v>12374.605356887114</v>
      </c>
      <c r="K29" s="130">
        <f>IF(SER_hh_fec!K29=0,0,11630*1000*SER_hh_fec!K29/SER_hh_num!K29)</f>
        <v>12349.451364199729</v>
      </c>
      <c r="L29" s="130">
        <f>IF(SER_hh_fec!L29=0,0,11630*1000*SER_hh_fec!L29/SER_hh_num!L29)</f>
        <v>12316.462786794891</v>
      </c>
      <c r="M29" s="130">
        <f>IF(SER_hh_fec!M29=0,0,11630*1000*SER_hh_fec!M29/SER_hh_num!M29)</f>
        <v>12511.570255745282</v>
      </c>
      <c r="N29" s="130">
        <f>IF(SER_hh_fec!N29=0,0,11630*1000*SER_hh_fec!N29/SER_hh_num!N29)</f>
        <v>12553.420597120466</v>
      </c>
      <c r="O29" s="130">
        <f>IF(SER_hh_fec!O29=0,0,11630*1000*SER_hh_fec!O29/SER_hh_num!O29)</f>
        <v>12517.520667873148</v>
      </c>
      <c r="P29" s="130">
        <f>IF(SER_hh_fec!P29=0,0,11630*1000*SER_hh_fec!P29/SER_hh_num!P29)</f>
        <v>12228.294917501629</v>
      </c>
      <c r="Q29" s="130">
        <f>IF(SER_hh_fec!Q29=0,0,11630*1000*SER_hh_fec!Q29/SER_hh_num!Q29)</f>
        <v>12224.938681129512</v>
      </c>
      <c r="R29" s="130">
        <f>IF(SER_hh_fec!R29=0,0,11630*1000*SER_hh_fec!R29/SER_hh_num!R29)</f>
        <v>12320.999208332603</v>
      </c>
      <c r="S29" s="130">
        <f>IF(SER_hh_fec!S29=0,0,11630*1000*SER_hh_fec!S29/SER_hh_num!S29)</f>
        <v>12341.783316625577</v>
      </c>
      <c r="T29" s="130">
        <f>IF(SER_hh_fec!T29=0,0,11630*1000*SER_hh_fec!T29/SER_hh_num!T29)</f>
        <v>11939.6201331958</v>
      </c>
      <c r="U29" s="130">
        <f>IF(SER_hh_fec!U29=0,0,11630*1000*SER_hh_fec!U29/SER_hh_num!U29)</f>
        <v>11788.227170121918</v>
      </c>
      <c r="V29" s="130">
        <f>IF(SER_hh_fec!V29=0,0,11630*1000*SER_hh_fec!V29/SER_hh_num!V29)</f>
        <v>9374.662616393678</v>
      </c>
      <c r="W29" s="130">
        <f>IF(SER_hh_fec!W29=0,0,11630*1000*SER_hh_fec!W29/SER_hh_num!W29)</f>
        <v>9994.8444977716608</v>
      </c>
      <c r="X29" s="130">
        <f>IF(SER_hh_fec!X29=0,0,11630*1000*SER_hh_fec!X29/SER_hh_num!X29)</f>
        <v>9823.9511169523175</v>
      </c>
      <c r="Y29" s="130">
        <f>IF(SER_hh_fec!Y29=0,0,11630*1000*SER_hh_fec!Y29/SER_hh_num!Y29)</f>
        <v>8444.0217063982454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14842.663400148769</v>
      </c>
      <c r="C30" s="132">
        <f>IF(SER_hh_fec!C30=0,0,11630*1000*SER_hh_fec!C30/SER_hh_num!C30)</f>
        <v>14862.472647289183</v>
      </c>
      <c r="D30" s="132">
        <f>IF(SER_hh_fec!D30=0,0,11630*1000*SER_hh_fec!D30/SER_hh_num!D30)</f>
        <v>13267.960066642747</v>
      </c>
      <c r="E30" s="132">
        <f>IF(SER_hh_fec!E30=0,0,11630*1000*SER_hh_fec!E30/SER_hh_num!E30)</f>
        <v>14845.227277834716</v>
      </c>
      <c r="F30" s="132">
        <f>IF(SER_hh_fec!F30=0,0,11630*1000*SER_hh_fec!F30/SER_hh_num!F30)</f>
        <v>15664.322104327739</v>
      </c>
      <c r="G30" s="132">
        <f>IF(SER_hh_fec!G30=0,0,11630*1000*SER_hh_fec!G30/SER_hh_num!G30)</f>
        <v>16502.785088323919</v>
      </c>
      <c r="H30" s="132">
        <f>IF(SER_hh_fec!H30=0,0,11630*1000*SER_hh_fec!H30/SER_hh_num!H30)</f>
        <v>15713.391834422659</v>
      </c>
      <c r="I30" s="132">
        <f>IF(SER_hh_fec!I30=0,0,11630*1000*SER_hh_fec!I30/SER_hh_num!I30)</f>
        <v>15427.944967450156</v>
      </c>
      <c r="J30" s="132">
        <f>IF(SER_hh_fec!J30=0,0,11630*1000*SER_hh_fec!J30/SER_hh_num!J30)</f>
        <v>14941.790787022894</v>
      </c>
      <c r="K30" s="132">
        <f>IF(SER_hh_fec!K30=0,0,11630*1000*SER_hh_fec!K30/SER_hh_num!K30)</f>
        <v>14269.745930401647</v>
      </c>
      <c r="L30" s="132">
        <f>IF(SER_hh_fec!L30=0,0,11630*1000*SER_hh_fec!L30/SER_hh_num!L30)</f>
        <v>17723.574908237468</v>
      </c>
      <c r="M30" s="132">
        <f>IF(SER_hh_fec!M30=0,0,11630*1000*SER_hh_fec!M30/SER_hh_num!M30)</f>
        <v>15869.578540241278</v>
      </c>
      <c r="N30" s="132">
        <f>IF(SER_hh_fec!N30=0,0,11630*1000*SER_hh_fec!N30/SER_hh_num!N30)</f>
        <v>14742.111492128821</v>
      </c>
      <c r="O30" s="132">
        <f>IF(SER_hh_fec!O30=0,0,11630*1000*SER_hh_fec!O30/SER_hh_num!O30)</f>
        <v>17368.574586827679</v>
      </c>
      <c r="P30" s="132">
        <f>IF(SER_hh_fec!P30=0,0,11630*1000*SER_hh_fec!P30/SER_hh_num!P30)</f>
        <v>9238.1351284014472</v>
      </c>
      <c r="Q30" s="132">
        <f>IF(SER_hh_fec!Q30=0,0,11630*1000*SER_hh_fec!Q30/SER_hh_num!Q30)</f>
        <v>17276.245334204403</v>
      </c>
      <c r="R30" s="132">
        <f>IF(SER_hh_fec!R30=0,0,11630*1000*SER_hh_fec!R30/SER_hh_num!R30)</f>
        <v>16554.191091748435</v>
      </c>
      <c r="S30" s="132">
        <f>IF(SER_hh_fec!S30=0,0,11630*1000*SER_hh_fec!S30/SER_hh_num!S30)</f>
        <v>15386.210211930269</v>
      </c>
      <c r="T30" s="132">
        <f>IF(SER_hh_fec!T30=0,0,11630*1000*SER_hh_fec!T30/SER_hh_num!T30)</f>
        <v>15349.6683145686</v>
      </c>
      <c r="U30" s="132">
        <f>IF(SER_hh_fec!U30=0,0,11630*1000*SER_hh_fec!U30/SER_hh_num!U30)</f>
        <v>14785.087420660633</v>
      </c>
      <c r="V30" s="132">
        <f>IF(SER_hh_fec!V30=0,0,11630*1000*SER_hh_fec!V30/SER_hh_num!V30)</f>
        <v>12001.288284943155</v>
      </c>
      <c r="W30" s="132">
        <f>IF(SER_hh_fec!W30=0,0,11630*1000*SER_hh_fec!W30/SER_hh_num!W30)</f>
        <v>11992.421401948897</v>
      </c>
      <c r="X30" s="132">
        <f>IF(SER_hh_fec!X30=0,0,11630*1000*SER_hh_fec!X30/SER_hh_num!X30)</f>
        <v>12049.321942105649</v>
      </c>
      <c r="Y30" s="132">
        <f>IF(SER_hh_fec!Y30=0,0,11630*1000*SER_hh_fec!Y30/SER_hh_num!Y30)</f>
        <v>11108.35055962309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14621.384679335713</v>
      </c>
      <c r="C31" s="132">
        <f>IF(SER_hh_fec!C31=0,0,11630*1000*SER_hh_fec!C31/SER_hh_num!C31)</f>
        <v>14634.92767122534</v>
      </c>
      <c r="D31" s="132">
        <f>IF(SER_hh_fec!D31=0,0,11630*1000*SER_hh_fec!D31/SER_hh_num!D31)</f>
        <v>14764.956673171584</v>
      </c>
      <c r="E31" s="132">
        <f>IF(SER_hh_fec!E31=0,0,11630*1000*SER_hh_fec!E31/SER_hh_num!E31)</f>
        <v>14974.808298906139</v>
      </c>
      <c r="F31" s="132">
        <f>IF(SER_hh_fec!F31=0,0,11630*1000*SER_hh_fec!F31/SER_hh_num!F31)</f>
        <v>14812.575042321394</v>
      </c>
      <c r="G31" s="132">
        <f>IF(SER_hh_fec!G31=0,0,11630*1000*SER_hh_fec!G31/SER_hh_num!G31)</f>
        <v>15530.54048214129</v>
      </c>
      <c r="H31" s="132">
        <f>IF(SER_hh_fec!H31=0,0,11630*1000*SER_hh_fec!H31/SER_hh_num!H31)</f>
        <v>15480.406504086224</v>
      </c>
      <c r="I31" s="132">
        <f>IF(SER_hh_fec!I31=0,0,11630*1000*SER_hh_fec!I31/SER_hh_num!I31)</f>
        <v>15269.525091615793</v>
      </c>
      <c r="J31" s="132">
        <f>IF(SER_hh_fec!J31=0,0,11630*1000*SER_hh_fec!J31/SER_hh_num!J31)</f>
        <v>15224.913933078482</v>
      </c>
      <c r="K31" s="132">
        <f>IF(SER_hh_fec!K31=0,0,11630*1000*SER_hh_fec!K31/SER_hh_num!K31)</f>
        <v>15422.76802233114</v>
      </c>
      <c r="L31" s="132">
        <f>IF(SER_hh_fec!L31=0,0,11630*1000*SER_hh_fec!L31/SER_hh_num!L31)</f>
        <v>15477.946884621224</v>
      </c>
      <c r="M31" s="132">
        <f>IF(SER_hh_fec!M31=0,0,11630*1000*SER_hh_fec!M31/SER_hh_num!M31)</f>
        <v>15442.433765811082</v>
      </c>
      <c r="N31" s="132">
        <f>IF(SER_hh_fec!N31=0,0,11630*1000*SER_hh_fec!N31/SER_hh_num!N31)</f>
        <v>15566.651995129207</v>
      </c>
      <c r="O31" s="132">
        <f>IF(SER_hh_fec!O31=0,0,11630*1000*SER_hh_fec!O31/SER_hh_num!O31)</f>
        <v>15395.664270613148</v>
      </c>
      <c r="P31" s="132">
        <f>IF(SER_hh_fec!P31=0,0,11630*1000*SER_hh_fec!P31/SER_hh_num!P31)</f>
        <v>14616.897380066872</v>
      </c>
      <c r="Q31" s="132">
        <f>IF(SER_hh_fec!Q31=0,0,11630*1000*SER_hh_fec!Q31/SER_hh_num!Q31)</f>
        <v>16042.308709230076</v>
      </c>
      <c r="R31" s="132">
        <f>IF(SER_hh_fec!R31=0,0,11630*1000*SER_hh_fec!R31/SER_hh_num!R31)</f>
        <v>15694.394102224162</v>
      </c>
      <c r="S31" s="132">
        <f>IF(SER_hh_fec!S31=0,0,11630*1000*SER_hh_fec!S31/SER_hh_num!S31)</f>
        <v>14302.589277916262</v>
      </c>
      <c r="T31" s="132">
        <f>IF(SER_hh_fec!T31=0,0,11630*1000*SER_hh_fec!T31/SER_hh_num!T31)</f>
        <v>15131.240404392531</v>
      </c>
      <c r="U31" s="132">
        <f>IF(SER_hh_fec!U31=0,0,11630*1000*SER_hh_fec!U31/SER_hh_num!U31)</f>
        <v>16302.183429367316</v>
      </c>
      <c r="V31" s="132">
        <f>IF(SER_hh_fec!V31=0,0,11630*1000*SER_hh_fec!V31/SER_hh_num!V31)</f>
        <v>9521.1864989917267</v>
      </c>
      <c r="W31" s="132">
        <f>IF(SER_hh_fec!W31=0,0,11630*1000*SER_hh_fec!W31/SER_hh_num!W31)</f>
        <v>12349.241520338421</v>
      </c>
      <c r="X31" s="132">
        <f>IF(SER_hh_fec!X31=0,0,11630*1000*SER_hh_fec!X31/SER_hh_num!X31)</f>
        <v>10837.714502090937</v>
      </c>
      <c r="Y31" s="132">
        <f>IF(SER_hh_fec!Y31=0,0,11630*1000*SER_hh_fec!Y31/SER_hh_num!Y31)</f>
        <v>11544.48718003403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11218.138413141716</v>
      </c>
      <c r="C33" s="68">
        <f>IF(SER_hh_fec!C33=0,0,11630*1000*SER_hh_fec!C33/SER_hh_num!C33)</f>
        <v>11220.612972134617</v>
      </c>
      <c r="D33" s="68">
        <f>IF(SER_hh_fec!D33=0,0,11630*1000*SER_hh_fec!D33/SER_hh_num!D33)</f>
        <v>11285.106463232634</v>
      </c>
      <c r="E33" s="68">
        <f>IF(SER_hh_fec!E33=0,0,11630*1000*SER_hh_fec!E33/SER_hh_num!E33)</f>
        <v>11538.048177952673</v>
      </c>
      <c r="F33" s="68">
        <f>IF(SER_hh_fec!F33=0,0,11630*1000*SER_hh_fec!F33/SER_hh_num!F33)</f>
        <v>11691.78405671922</v>
      </c>
      <c r="G33" s="68">
        <f>IF(SER_hh_fec!G33=0,0,11630*1000*SER_hh_fec!G33/SER_hh_num!G33)</f>
        <v>11523.211076193769</v>
      </c>
      <c r="H33" s="68">
        <f>IF(SER_hh_fec!H33=0,0,11630*1000*SER_hh_fec!H33/SER_hh_num!H33)</f>
        <v>11703.697987033001</v>
      </c>
      <c r="I33" s="68">
        <f>IF(SER_hh_fec!I33=0,0,11630*1000*SER_hh_fec!I33/SER_hh_num!I33)</f>
        <v>11544.163943755064</v>
      </c>
      <c r="J33" s="68">
        <f>IF(SER_hh_fec!J33=0,0,11630*1000*SER_hh_fec!J33/SER_hh_num!J33)</f>
        <v>11645.579536053046</v>
      </c>
      <c r="K33" s="68">
        <f>IF(SER_hh_fec!K33=0,0,11630*1000*SER_hh_fec!K33/SER_hh_num!K33)</f>
        <v>11606.265898447671</v>
      </c>
      <c r="L33" s="68">
        <f>IF(SER_hh_fec!L33=0,0,11630*1000*SER_hh_fec!L33/SER_hh_num!L33)</f>
        <v>11396.284738185312</v>
      </c>
      <c r="M33" s="68">
        <f>IF(SER_hh_fec!M33=0,0,11630*1000*SER_hh_fec!M33/SER_hh_num!M33)</f>
        <v>11762.599986620915</v>
      </c>
      <c r="N33" s="68">
        <f>IF(SER_hh_fec!N33=0,0,11630*1000*SER_hh_fec!N33/SER_hh_num!N33)</f>
        <v>11869.757646084568</v>
      </c>
      <c r="O33" s="68">
        <f>IF(SER_hh_fec!O33=0,0,11630*1000*SER_hh_fec!O33/SER_hh_num!O33)</f>
        <v>11753.301745080737</v>
      </c>
      <c r="P33" s="68">
        <f>IF(SER_hh_fec!P33=0,0,11630*1000*SER_hh_fec!P33/SER_hh_num!P33)</f>
        <v>11893.608987775031</v>
      </c>
      <c r="Q33" s="68">
        <f>IF(SER_hh_fec!Q33=0,0,11630*1000*SER_hh_fec!Q33/SER_hh_num!Q33)</f>
        <v>11186.324667981577</v>
      </c>
      <c r="R33" s="68">
        <f>IF(SER_hh_fec!R33=0,0,11630*1000*SER_hh_fec!R33/SER_hh_num!R33)</f>
        <v>11388.372334651885</v>
      </c>
      <c r="S33" s="68">
        <f>IF(SER_hh_fec!S33=0,0,11630*1000*SER_hh_fec!S33/SER_hh_num!S33)</f>
        <v>11753.549078875309</v>
      </c>
      <c r="T33" s="68">
        <f>IF(SER_hh_fec!T33=0,0,11630*1000*SER_hh_fec!T33/SER_hh_num!T33)</f>
        <v>11050.622727257714</v>
      </c>
      <c r="U33" s="68">
        <f>IF(SER_hh_fec!U33=0,0,11630*1000*SER_hh_fec!U33/SER_hh_num!U33)</f>
        <v>10591.90509721526</v>
      </c>
      <c r="V33" s="68">
        <f>IF(SER_hh_fec!V33=0,0,11630*1000*SER_hh_fec!V33/SER_hh_num!V33)</f>
        <v>9171.8973875363445</v>
      </c>
      <c r="W33" s="68">
        <f>IF(SER_hh_fec!W33=0,0,11630*1000*SER_hh_fec!W33/SER_hh_num!W33)</f>
        <v>9242.614798823608</v>
      </c>
      <c r="X33" s="68">
        <f>IF(SER_hh_fec!X33=0,0,11630*1000*SER_hh_fec!X33/SER_hh_num!X33)</f>
        <v>9327.3937136209224</v>
      </c>
      <c r="Y33" s="68">
        <f>IF(SER_hh_fec!Y33=0,0,11630*1000*SER_hh_fec!Y33/SER_hh_num!Y33)</f>
        <v>6916.742485753748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97801.414063578079</v>
      </c>
      <c r="C3" s="125">
        <f>IF(SER_hh_tes!C3=0,0,11630*1000*SER_hh_tes!C3/SER_hh_num!C3)</f>
        <v>100272.8665703061</v>
      </c>
      <c r="D3" s="125">
        <f>IF(SER_hh_tes!D3=0,0,11630*1000*SER_hh_tes!D3/SER_hh_num!D3)</f>
        <v>98796.483164978534</v>
      </c>
      <c r="E3" s="125">
        <f>IF(SER_hh_tes!E3=0,0,11630*1000*SER_hh_tes!E3/SER_hh_num!E3)</f>
        <v>99673.63624870505</v>
      </c>
      <c r="F3" s="125">
        <f>IF(SER_hh_tes!F3=0,0,11630*1000*SER_hh_tes!F3/SER_hh_num!F3)</f>
        <v>98443.359201077081</v>
      </c>
      <c r="G3" s="125">
        <f>IF(SER_hh_tes!G3=0,0,11630*1000*SER_hh_tes!G3/SER_hh_num!G3)</f>
        <v>96500.834756687749</v>
      </c>
      <c r="H3" s="125">
        <f>IF(SER_hh_tes!H3=0,0,11630*1000*SER_hh_tes!H3/SER_hh_num!H3)</f>
        <v>96682.941580832296</v>
      </c>
      <c r="I3" s="125">
        <f>IF(SER_hh_tes!I3=0,0,11630*1000*SER_hh_tes!I3/SER_hh_num!I3)</f>
        <v>93492.975584956439</v>
      </c>
      <c r="J3" s="125">
        <f>IF(SER_hh_tes!J3=0,0,11630*1000*SER_hh_tes!J3/SER_hh_num!J3)</f>
        <v>93344.329502427965</v>
      </c>
      <c r="K3" s="125">
        <f>IF(SER_hh_tes!K3=0,0,11630*1000*SER_hh_tes!K3/SER_hh_num!K3)</f>
        <v>90889.191568853028</v>
      </c>
      <c r="L3" s="125">
        <f>IF(SER_hh_tes!L3=0,0,11630*1000*SER_hh_tes!L3/SER_hh_num!L3)</f>
        <v>97806.434707732173</v>
      </c>
      <c r="M3" s="125">
        <f>IF(SER_hh_tes!M3=0,0,11630*1000*SER_hh_tes!M3/SER_hh_num!M3)</f>
        <v>87529.081751060105</v>
      </c>
      <c r="N3" s="125">
        <f>IF(SER_hh_tes!N3=0,0,11630*1000*SER_hh_tes!N3/SER_hh_num!N3)</f>
        <v>89073.308620975236</v>
      </c>
      <c r="O3" s="125">
        <f>IF(SER_hh_tes!O3=0,0,11630*1000*SER_hh_tes!O3/SER_hh_num!O3)</f>
        <v>88041.577142985901</v>
      </c>
      <c r="P3" s="125">
        <f>IF(SER_hh_tes!P3=0,0,11630*1000*SER_hh_tes!P3/SER_hh_num!P3)</f>
        <v>80795.346090378778</v>
      </c>
      <c r="Q3" s="125">
        <f>IF(SER_hh_tes!Q3=0,0,11630*1000*SER_hh_tes!Q3/SER_hh_num!Q3)</f>
        <v>84544.133392236603</v>
      </c>
      <c r="R3" s="125">
        <f>IF(SER_hh_tes!R3=0,0,11630*1000*SER_hh_tes!R3/SER_hh_num!R3)</f>
        <v>87474.338902640695</v>
      </c>
      <c r="S3" s="125">
        <f>IF(SER_hh_tes!S3=0,0,11630*1000*SER_hh_tes!S3/SER_hh_num!S3)</f>
        <v>89271.404730613242</v>
      </c>
      <c r="T3" s="125">
        <f>IF(SER_hh_tes!T3=0,0,11630*1000*SER_hh_tes!T3/SER_hh_num!T3)</f>
        <v>86539.357531103131</v>
      </c>
      <c r="U3" s="125">
        <f>IF(SER_hh_tes!U3=0,0,11630*1000*SER_hh_tes!U3/SER_hh_num!U3)</f>
        <v>83722.809278199857</v>
      </c>
      <c r="V3" s="125">
        <f>IF(SER_hh_tes!V3=0,0,11630*1000*SER_hh_tes!V3/SER_hh_num!V3)</f>
        <v>79225.220868015691</v>
      </c>
      <c r="W3" s="125">
        <f>IF(SER_hh_tes!W3=0,0,11630*1000*SER_hh_tes!W3/SER_hh_num!W3)</f>
        <v>90165.115684252174</v>
      </c>
      <c r="X3" s="125">
        <f>IF(SER_hh_tes!X3=0,0,11630*1000*SER_hh_tes!X3/SER_hh_num!X3)</f>
        <v>83122.097850015809</v>
      </c>
      <c r="Y3" s="125">
        <f>IF(SER_hh_tes!Y3=0,0,11630*1000*SER_hh_tes!Y3/SER_hh_num!Y3)</f>
        <v>81064.397522023253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75593.91665284257</v>
      </c>
      <c r="C4" s="130">
        <f>IF(SER_hh_tes!C4=0,0,11630*1000*SER_hh_tes!C4/SER_hh_num!C4)</f>
        <v>78077.31780665362</v>
      </c>
      <c r="D4" s="130">
        <f>IF(SER_hh_tes!D4=0,0,11630*1000*SER_hh_tes!D4/SER_hh_num!D4)</f>
        <v>76445.411213535772</v>
      </c>
      <c r="E4" s="130">
        <f>IF(SER_hh_tes!E4=0,0,11630*1000*SER_hh_tes!E4/SER_hh_num!E4)</f>
        <v>77129.155194268751</v>
      </c>
      <c r="F4" s="130">
        <f>IF(SER_hh_tes!F4=0,0,11630*1000*SER_hh_tes!F4/SER_hh_num!F4)</f>
        <v>75707.421956103106</v>
      </c>
      <c r="G4" s="130">
        <f>IF(SER_hh_tes!G4=0,0,11630*1000*SER_hh_tes!G4/SER_hh_num!G4)</f>
        <v>73565.41112060954</v>
      </c>
      <c r="H4" s="130">
        <f>IF(SER_hh_tes!H4=0,0,11630*1000*SER_hh_tes!H4/SER_hh_num!H4)</f>
        <v>73380.401846457476</v>
      </c>
      <c r="I4" s="130">
        <f>IF(SER_hh_tes!I4=0,0,11630*1000*SER_hh_tes!I4/SER_hh_num!I4)</f>
        <v>70005.38052827926</v>
      </c>
      <c r="J4" s="130">
        <f>IF(SER_hh_tes!J4=0,0,11630*1000*SER_hh_tes!J4/SER_hh_num!J4)</f>
        <v>69490.600423130003</v>
      </c>
      <c r="K4" s="130">
        <f>IF(SER_hh_tes!K4=0,0,11630*1000*SER_hh_tes!K4/SER_hh_num!K4)</f>
        <v>66848.102427781458</v>
      </c>
      <c r="L4" s="130">
        <f>IF(SER_hh_tes!L4=0,0,11630*1000*SER_hh_tes!L4/SER_hh_num!L4)</f>
        <v>73656.320615196455</v>
      </c>
      <c r="M4" s="130">
        <f>IF(SER_hh_tes!M4=0,0,11630*1000*SER_hh_tes!M4/SER_hh_num!M4)</f>
        <v>62897.537774352866</v>
      </c>
      <c r="N4" s="130">
        <f>IF(SER_hh_tes!N4=0,0,11630*1000*SER_hh_tes!N4/SER_hh_num!N4)</f>
        <v>64028.018147031478</v>
      </c>
      <c r="O4" s="130">
        <f>IF(SER_hh_tes!O4=0,0,11630*1000*SER_hh_tes!O4/SER_hh_num!O4)</f>
        <v>62680.226102223547</v>
      </c>
      <c r="P4" s="130">
        <f>IF(SER_hh_tes!P4=0,0,11630*1000*SER_hh_tes!P4/SER_hh_num!P4)</f>
        <v>55128.861377098416</v>
      </c>
      <c r="Q4" s="130">
        <f>IF(SER_hh_tes!Q4=0,0,11630*1000*SER_hh_tes!Q4/SER_hh_num!Q4)</f>
        <v>58771.469621123164</v>
      </c>
      <c r="R4" s="130">
        <f>IF(SER_hh_tes!R4=0,0,11630*1000*SER_hh_tes!R4/SER_hh_num!R4)</f>
        <v>61335.048725657733</v>
      </c>
      <c r="S4" s="130">
        <f>IF(SER_hh_tes!S4=0,0,11630*1000*SER_hh_tes!S4/SER_hh_num!S4)</f>
        <v>62699.00902478979</v>
      </c>
      <c r="T4" s="130">
        <f>IF(SER_hh_tes!T4=0,0,11630*1000*SER_hh_tes!T4/SER_hh_num!T4)</f>
        <v>59806.900837100184</v>
      </c>
      <c r="U4" s="130">
        <f>IF(SER_hh_tes!U4=0,0,11630*1000*SER_hh_tes!U4/SER_hh_num!U4)</f>
        <v>57288.27888281388</v>
      </c>
      <c r="V4" s="130">
        <f>IF(SER_hh_tes!V4=0,0,11630*1000*SER_hh_tes!V4/SER_hh_num!V4)</f>
        <v>55972.615378534843</v>
      </c>
      <c r="W4" s="130">
        <f>IF(SER_hh_tes!W4=0,0,11630*1000*SER_hh_tes!W4/SER_hh_num!W4)</f>
        <v>65605.776978604408</v>
      </c>
      <c r="X4" s="130">
        <f>IF(SER_hh_tes!X4=0,0,11630*1000*SER_hh_tes!X4/SER_hh_num!X4)</f>
        <v>57916.55239344341</v>
      </c>
      <c r="Y4" s="130">
        <f>IF(SER_hh_tes!Y4=0,0,11630*1000*SER_hh_tes!Y4/SER_hh_num!Y4)</f>
        <v>56967.577582158687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76890.19972854761</v>
      </c>
      <c r="C7" s="132">
        <f>IF(SER_hh_tes!C7=0,0,11630*1000*SER_hh_tes!C7/SER_hh_num!C7)</f>
        <v>75259.581878441066</v>
      </c>
      <c r="D7" s="132">
        <f>IF(SER_hh_tes!D7=0,0,11630*1000*SER_hh_tes!D7/SER_hh_num!D7)</f>
        <v>72564.379755957882</v>
      </c>
      <c r="E7" s="132">
        <f>IF(SER_hh_tes!E7=0,0,11630*1000*SER_hh_tes!E7/SER_hh_num!E7)</f>
        <v>74546.991271202831</v>
      </c>
      <c r="F7" s="132">
        <f>IF(SER_hh_tes!F7=0,0,11630*1000*SER_hh_tes!F7/SER_hh_num!F7)</f>
        <v>79254.642178221286</v>
      </c>
      <c r="G7" s="132">
        <f>IF(SER_hh_tes!G7=0,0,11630*1000*SER_hh_tes!G7/SER_hh_num!G7)</f>
        <v>74471.93104268075</v>
      </c>
      <c r="H7" s="132">
        <f>IF(SER_hh_tes!H7=0,0,11630*1000*SER_hh_tes!H7/SER_hh_num!H7)</f>
        <v>68348.061582844821</v>
      </c>
      <c r="I7" s="132">
        <f>IF(SER_hh_tes!I7=0,0,11630*1000*SER_hh_tes!I7/SER_hh_num!I7)</f>
        <v>65187.045913053713</v>
      </c>
      <c r="J7" s="132">
        <f>IF(SER_hh_tes!J7=0,0,11630*1000*SER_hh_tes!J7/SER_hh_num!J7)</f>
        <v>69814.888533808116</v>
      </c>
      <c r="K7" s="132">
        <f>IF(SER_hh_tes!K7=0,0,11630*1000*SER_hh_tes!K7/SER_hh_num!K7)</f>
        <v>68081.046358169013</v>
      </c>
      <c r="L7" s="132">
        <f>IF(SER_hh_tes!L7=0,0,11630*1000*SER_hh_tes!L7/SER_hh_num!L7)</f>
        <v>69340.571007821753</v>
      </c>
      <c r="M7" s="132">
        <f>IF(SER_hh_tes!M7=0,0,11630*1000*SER_hh_tes!M7/SER_hh_num!M7)</f>
        <v>55780.410277143361</v>
      </c>
      <c r="N7" s="132">
        <f>IF(SER_hh_tes!N7=0,0,11630*1000*SER_hh_tes!N7/SER_hh_num!N7)</f>
        <v>67152.202700305425</v>
      </c>
      <c r="O7" s="132">
        <f>IF(SER_hh_tes!O7=0,0,11630*1000*SER_hh_tes!O7/SER_hh_num!O7)</f>
        <v>61978.985866882729</v>
      </c>
      <c r="P7" s="132">
        <f>IF(SER_hh_tes!P7=0,0,11630*1000*SER_hh_tes!P7/SER_hh_num!P7)</f>
        <v>55202.351486999287</v>
      </c>
      <c r="Q7" s="132">
        <f>IF(SER_hh_tes!Q7=0,0,11630*1000*SER_hh_tes!Q7/SER_hh_num!Q7)</f>
        <v>58696.555038999177</v>
      </c>
      <c r="R7" s="132">
        <f>IF(SER_hh_tes!R7=0,0,11630*1000*SER_hh_tes!R7/SER_hh_num!R7)</f>
        <v>60695.949750285879</v>
      </c>
      <c r="S7" s="132">
        <f>IF(SER_hh_tes!S7=0,0,11630*1000*SER_hh_tes!S7/SER_hh_num!S7)</f>
        <v>59709.759786013055</v>
      </c>
      <c r="T7" s="132">
        <f>IF(SER_hh_tes!T7=0,0,11630*1000*SER_hh_tes!T7/SER_hh_num!T7)</f>
        <v>70954.818609437236</v>
      </c>
      <c r="U7" s="132">
        <f>IF(SER_hh_tes!U7=0,0,11630*1000*SER_hh_tes!U7/SER_hh_num!U7)</f>
        <v>43846.896327884402</v>
      </c>
      <c r="V7" s="132">
        <f>IF(SER_hh_tes!V7=0,0,11630*1000*SER_hh_tes!V7/SER_hh_num!V7)</f>
        <v>57783.209480656391</v>
      </c>
      <c r="W7" s="132">
        <f>IF(SER_hh_tes!W7=0,0,11630*1000*SER_hh_tes!W7/SER_hh_num!W7)</f>
        <v>45888.932231882478</v>
      </c>
      <c r="X7" s="132">
        <f>IF(SER_hh_tes!X7=0,0,11630*1000*SER_hh_tes!X7/SER_hh_num!X7)</f>
        <v>65426.6769073373</v>
      </c>
      <c r="Y7" s="132">
        <f>IF(SER_hh_tes!Y7=0,0,11630*1000*SER_hh_tes!Y7/SER_hh_num!Y7)</f>
        <v>52652.505236213648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77843.945106061845</v>
      </c>
      <c r="C8" s="132">
        <f>IF(SER_hh_tes!C8=0,0,11630*1000*SER_hh_tes!C8/SER_hh_num!C8)</f>
        <v>74204.149494967802</v>
      </c>
      <c r="D8" s="132">
        <f>IF(SER_hh_tes!D8=0,0,11630*1000*SER_hh_tes!D8/SER_hh_num!D8)</f>
        <v>71496.610036456521</v>
      </c>
      <c r="E8" s="132">
        <f>IF(SER_hh_tes!E8=0,0,11630*1000*SER_hh_tes!E8/SER_hh_num!E8)</f>
        <v>80141.913943885316</v>
      </c>
      <c r="F8" s="132">
        <f>IF(SER_hh_tes!F8=0,0,11630*1000*SER_hh_tes!F8/SER_hh_num!F8)</f>
        <v>78862.405822750326</v>
      </c>
      <c r="G8" s="132">
        <f>IF(SER_hh_tes!G8=0,0,11630*1000*SER_hh_tes!G8/SER_hh_num!G8)</f>
        <v>65931.044189339344</v>
      </c>
      <c r="H8" s="132">
        <f>IF(SER_hh_tes!H8=0,0,11630*1000*SER_hh_tes!H8/SER_hh_num!H8)</f>
        <v>39873.573861982499</v>
      </c>
      <c r="I8" s="132">
        <f>IF(SER_hh_tes!I8=0,0,11630*1000*SER_hh_tes!I8/SER_hh_num!I8)</f>
        <v>84634.928342622821</v>
      </c>
      <c r="J8" s="132">
        <f>IF(SER_hh_tes!J8=0,0,11630*1000*SER_hh_tes!J8/SER_hh_num!J8)</f>
        <v>71964.744734221546</v>
      </c>
      <c r="K8" s="132">
        <f>IF(SER_hh_tes!K8=0,0,11630*1000*SER_hh_tes!K8/SER_hh_num!K8)</f>
        <v>68525.215296050708</v>
      </c>
      <c r="L8" s="132">
        <f>IF(SER_hh_tes!L8=0,0,11630*1000*SER_hh_tes!L8/SER_hh_num!L8)</f>
        <v>66424.401659802941</v>
      </c>
      <c r="M8" s="132">
        <f>IF(SER_hh_tes!M8=0,0,11630*1000*SER_hh_tes!M8/SER_hh_num!M8)</f>
        <v>63226.138721920615</v>
      </c>
      <c r="N8" s="132">
        <f>IF(SER_hh_tes!N8=0,0,11630*1000*SER_hh_tes!N8/SER_hh_num!N8)</f>
        <v>60062.116178985983</v>
      </c>
      <c r="O8" s="132">
        <f>IF(SER_hh_tes!O8=0,0,11630*1000*SER_hh_tes!O8/SER_hh_num!O8)</f>
        <v>54204.025859046371</v>
      </c>
      <c r="P8" s="132">
        <f>IF(SER_hh_tes!P8=0,0,11630*1000*SER_hh_tes!P8/SER_hh_num!P8)</f>
        <v>57645.233882486027</v>
      </c>
      <c r="Q8" s="132">
        <f>IF(SER_hh_tes!Q8=0,0,11630*1000*SER_hh_tes!Q8/SER_hh_num!Q8)</f>
        <v>61532.767056165452</v>
      </c>
      <c r="R8" s="132">
        <f>IF(SER_hh_tes!R8=0,0,11630*1000*SER_hh_tes!R8/SER_hh_num!R8)</f>
        <v>61314.8577030917</v>
      </c>
      <c r="S8" s="132">
        <f>IF(SER_hh_tes!S8=0,0,11630*1000*SER_hh_tes!S8/SER_hh_num!S8)</f>
        <v>58130.380001607875</v>
      </c>
      <c r="T8" s="132">
        <f>IF(SER_hh_tes!T8=0,0,11630*1000*SER_hh_tes!T8/SER_hh_num!T8)</f>
        <v>57531.607907086945</v>
      </c>
      <c r="U8" s="132">
        <f>IF(SER_hh_tes!U8=0,0,11630*1000*SER_hh_tes!U8/SER_hh_num!U8)</f>
        <v>55880.374632854189</v>
      </c>
      <c r="V8" s="132">
        <f>IF(SER_hh_tes!V8=0,0,11630*1000*SER_hh_tes!V8/SER_hh_num!V8)</f>
        <v>58968.008690370385</v>
      </c>
      <c r="W8" s="132">
        <f>IF(SER_hh_tes!W8=0,0,11630*1000*SER_hh_tes!W8/SER_hh_num!W8)</f>
        <v>57270.644661977698</v>
      </c>
      <c r="X8" s="132">
        <f>IF(SER_hh_tes!X8=0,0,11630*1000*SER_hh_tes!X8/SER_hh_num!X8)</f>
        <v>58355.965886701866</v>
      </c>
      <c r="Y8" s="132">
        <f>IF(SER_hh_tes!Y8=0,0,11630*1000*SER_hh_tes!Y8/SER_hh_num!Y8)</f>
        <v>60658.967903774443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74158.757925126803</v>
      </c>
      <c r="C9" s="132">
        <f>IF(SER_hh_tes!C9=0,0,11630*1000*SER_hh_tes!C9/SER_hh_num!C9)</f>
        <v>74855.87845038253</v>
      </c>
      <c r="D9" s="132">
        <f>IF(SER_hh_tes!D9=0,0,11630*1000*SER_hh_tes!D9/SER_hh_num!D9)</f>
        <v>71751.393654131287</v>
      </c>
      <c r="E9" s="132">
        <f>IF(SER_hh_tes!E9=0,0,11630*1000*SER_hh_tes!E9/SER_hh_num!E9)</f>
        <v>78814.632616054718</v>
      </c>
      <c r="F9" s="132">
        <f>IF(SER_hh_tes!F9=0,0,11630*1000*SER_hh_tes!F9/SER_hh_num!F9)</f>
        <v>73336.443684522397</v>
      </c>
      <c r="G9" s="132">
        <f>IF(SER_hh_tes!G9=0,0,11630*1000*SER_hh_tes!G9/SER_hh_num!G9)</f>
        <v>71707.450580176272</v>
      </c>
      <c r="H9" s="132">
        <f>IF(SER_hh_tes!H9=0,0,11630*1000*SER_hh_tes!H9/SER_hh_num!H9)</f>
        <v>76273.780885674278</v>
      </c>
      <c r="I9" s="132">
        <f>IF(SER_hh_tes!I9=0,0,11630*1000*SER_hh_tes!I9/SER_hh_num!I9)</f>
        <v>68384.831664017693</v>
      </c>
      <c r="J9" s="132">
        <f>IF(SER_hh_tes!J9=0,0,11630*1000*SER_hh_tes!J9/SER_hh_num!J9)</f>
        <v>67792.460960250464</v>
      </c>
      <c r="K9" s="132">
        <f>IF(SER_hh_tes!K9=0,0,11630*1000*SER_hh_tes!K9/SER_hh_num!K9)</f>
        <v>69414.616485381906</v>
      </c>
      <c r="L9" s="132">
        <f>IF(SER_hh_tes!L9=0,0,11630*1000*SER_hh_tes!L9/SER_hh_num!L9)</f>
        <v>71990.367889444329</v>
      </c>
      <c r="M9" s="132">
        <f>IF(SER_hh_tes!M9=0,0,11630*1000*SER_hh_tes!M9/SER_hh_num!M9)</f>
        <v>55692.777122329906</v>
      </c>
      <c r="N9" s="132">
        <f>IF(SER_hh_tes!N9=0,0,11630*1000*SER_hh_tes!N9/SER_hh_num!N9)</f>
        <v>64100.09617690101</v>
      </c>
      <c r="O9" s="132">
        <f>IF(SER_hh_tes!O9=0,0,11630*1000*SER_hh_tes!O9/SER_hh_num!O9)</f>
        <v>67618.607462849861</v>
      </c>
      <c r="P9" s="132">
        <f>IF(SER_hh_tes!P9=0,0,11630*1000*SER_hh_tes!P9/SER_hh_num!P9)</f>
        <v>46169.76038402511</v>
      </c>
      <c r="Q9" s="132">
        <f>IF(SER_hh_tes!Q9=0,0,11630*1000*SER_hh_tes!Q9/SER_hh_num!Q9)</f>
        <v>59503.716437401454</v>
      </c>
      <c r="R9" s="132">
        <f>IF(SER_hh_tes!R9=0,0,11630*1000*SER_hh_tes!R9/SER_hh_num!R9)</f>
        <v>61589.878531114511</v>
      </c>
      <c r="S9" s="132">
        <f>IF(SER_hh_tes!S9=0,0,11630*1000*SER_hh_tes!S9/SER_hh_num!S9)</f>
        <v>66710.118773825889</v>
      </c>
      <c r="T9" s="132">
        <f>IF(SER_hh_tes!T9=0,0,11630*1000*SER_hh_tes!T9/SER_hh_num!T9)</f>
        <v>49743.884746991891</v>
      </c>
      <c r="U9" s="132">
        <f>IF(SER_hh_tes!U9=0,0,11630*1000*SER_hh_tes!U9/SER_hh_num!U9)</f>
        <v>48739.633072396085</v>
      </c>
      <c r="V9" s="132">
        <f>IF(SER_hh_tes!V9=0,0,11630*1000*SER_hh_tes!V9/SER_hh_num!V9)</f>
        <v>50845.377771467516</v>
      </c>
      <c r="W9" s="132">
        <f>IF(SER_hh_tes!W9=0,0,11630*1000*SER_hh_tes!W9/SER_hh_num!W9)</f>
        <v>72792.86534643537</v>
      </c>
      <c r="X9" s="132">
        <f>IF(SER_hh_tes!X9=0,0,11630*1000*SER_hh_tes!X9/SER_hh_num!X9)</f>
        <v>57409.057443377395</v>
      </c>
      <c r="Y9" s="132">
        <f>IF(SER_hh_tes!Y9=0,0,11630*1000*SER_hh_tes!Y9/SER_hh_num!Y9)</f>
        <v>55171.260635150931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79782.50422919089</v>
      </c>
      <c r="C10" s="132">
        <f>IF(SER_hh_tes!C10=0,0,11630*1000*SER_hh_tes!C10/SER_hh_num!C10)</f>
        <v>66782.138237052437</v>
      </c>
      <c r="D10" s="132">
        <f>IF(SER_hh_tes!D10=0,0,11630*1000*SER_hh_tes!D10/SER_hh_num!D10)</f>
        <v>81928.799340189042</v>
      </c>
      <c r="E10" s="132">
        <f>IF(SER_hh_tes!E10=0,0,11630*1000*SER_hh_tes!E10/SER_hh_num!E10)</f>
        <v>81741.954862672123</v>
      </c>
      <c r="F10" s="132">
        <f>IF(SER_hh_tes!F10=0,0,11630*1000*SER_hh_tes!F10/SER_hh_num!F10)</f>
        <v>68825.729088049004</v>
      </c>
      <c r="G10" s="132">
        <f>IF(SER_hh_tes!G10=0,0,11630*1000*SER_hh_tes!G10/SER_hh_num!G10)</f>
        <v>72866.213301850468</v>
      </c>
      <c r="H10" s="132">
        <f>IF(SER_hh_tes!H10=0,0,11630*1000*SER_hh_tes!H10/SER_hh_num!H10)</f>
        <v>79809.110996321047</v>
      </c>
      <c r="I10" s="132">
        <f>IF(SER_hh_tes!I10=0,0,11630*1000*SER_hh_tes!I10/SER_hh_num!I10)</f>
        <v>70592.354203316077</v>
      </c>
      <c r="J10" s="132">
        <f>IF(SER_hh_tes!J10=0,0,11630*1000*SER_hh_tes!J10/SER_hh_num!J10)</f>
        <v>68742.277444108666</v>
      </c>
      <c r="K10" s="132">
        <f>IF(SER_hh_tes!K10=0,0,11630*1000*SER_hh_tes!K10/SER_hh_num!K10)</f>
        <v>62140.903628500491</v>
      </c>
      <c r="L10" s="132">
        <f>IF(SER_hh_tes!L10=0,0,11630*1000*SER_hh_tes!L10/SER_hh_num!L10)</f>
        <v>63606.345034644466</v>
      </c>
      <c r="M10" s="132">
        <f>IF(SER_hh_tes!M10=0,0,11630*1000*SER_hh_tes!M10/SER_hh_num!M10)</f>
        <v>67595.651433982232</v>
      </c>
      <c r="N10" s="132">
        <f>IF(SER_hh_tes!N10=0,0,11630*1000*SER_hh_tes!N10/SER_hh_num!N10)</f>
        <v>59171.253400100934</v>
      </c>
      <c r="O10" s="132">
        <f>IF(SER_hh_tes!O10=0,0,11630*1000*SER_hh_tes!O10/SER_hh_num!O10)</f>
        <v>57588.692032082894</v>
      </c>
      <c r="P10" s="132">
        <f>IF(SER_hh_tes!P10=0,0,11630*1000*SER_hh_tes!P10/SER_hh_num!P10)</f>
        <v>64253.945091940041</v>
      </c>
      <c r="Q10" s="132">
        <f>IF(SER_hh_tes!Q10=0,0,11630*1000*SER_hh_tes!Q10/SER_hh_num!Q10)</f>
        <v>52232.918139139991</v>
      </c>
      <c r="R10" s="132">
        <f>IF(SER_hh_tes!R10=0,0,11630*1000*SER_hh_tes!R10/SER_hh_num!R10)</f>
        <v>58638.474454429612</v>
      </c>
      <c r="S10" s="132">
        <f>IF(SER_hh_tes!S10=0,0,11630*1000*SER_hh_tes!S10/SER_hh_num!S10)</f>
        <v>61917.235934577424</v>
      </c>
      <c r="T10" s="132">
        <f>IF(SER_hh_tes!T10=0,0,11630*1000*SER_hh_tes!T10/SER_hh_num!T10)</f>
        <v>67820.40013204595</v>
      </c>
      <c r="U10" s="132">
        <f>IF(SER_hh_tes!U10=0,0,11630*1000*SER_hh_tes!U10/SER_hh_num!U10)</f>
        <v>60566.202841184713</v>
      </c>
      <c r="V10" s="132">
        <f>IF(SER_hh_tes!V10=0,0,11630*1000*SER_hh_tes!V10/SER_hh_num!V10)</f>
        <v>55640.752394952913</v>
      </c>
      <c r="W10" s="132">
        <f>IF(SER_hh_tes!W10=0,0,11630*1000*SER_hh_tes!W10/SER_hh_num!W10)</f>
        <v>64378.057747907558</v>
      </c>
      <c r="X10" s="132">
        <f>IF(SER_hh_tes!X10=0,0,11630*1000*SER_hh_tes!X10/SER_hh_num!X10)</f>
        <v>56349.324396327233</v>
      </c>
      <c r="Y10" s="132">
        <f>IF(SER_hh_tes!Y10=0,0,11630*1000*SER_hh_tes!Y10/SER_hh_num!Y10)</f>
        <v>56045.587020340121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74615.673250914246</v>
      </c>
      <c r="C12" s="132">
        <f>IF(SER_hh_tes!C12=0,0,11630*1000*SER_hh_tes!C12/SER_hh_num!C12)</f>
        <v>78429.404524803729</v>
      </c>
      <c r="D12" s="132">
        <f>IF(SER_hh_tes!D12=0,0,11630*1000*SER_hh_tes!D12/SER_hh_num!D12)</f>
        <v>76134.520062783253</v>
      </c>
      <c r="E12" s="132">
        <f>IF(SER_hh_tes!E12=0,0,11630*1000*SER_hh_tes!E12/SER_hh_num!E12)</f>
        <v>77044.868793885689</v>
      </c>
      <c r="F12" s="132">
        <f>IF(SER_hh_tes!F12=0,0,11630*1000*SER_hh_tes!F12/SER_hh_num!F12)</f>
        <v>75622.348159415938</v>
      </c>
      <c r="G12" s="132">
        <f>IF(SER_hh_tes!G12=0,0,11630*1000*SER_hh_tes!G12/SER_hh_num!G12)</f>
        <v>73625.843187300328</v>
      </c>
      <c r="H12" s="132">
        <f>IF(SER_hh_tes!H12=0,0,11630*1000*SER_hh_tes!H12/SER_hh_num!H12)</f>
        <v>72620.811024847426</v>
      </c>
      <c r="I12" s="132">
        <f>IF(SER_hh_tes!I12=0,0,11630*1000*SER_hh_tes!I12/SER_hh_num!I12)</f>
        <v>68588.601464966749</v>
      </c>
      <c r="J12" s="132">
        <f>IF(SER_hh_tes!J12=0,0,11630*1000*SER_hh_tes!J12/SER_hh_num!J12)</f>
        <v>68290.309578485729</v>
      </c>
      <c r="K12" s="132">
        <f>IF(SER_hh_tes!K12=0,0,11630*1000*SER_hh_tes!K12/SER_hh_num!K12)</f>
        <v>66334.31697352881</v>
      </c>
      <c r="L12" s="132">
        <f>IF(SER_hh_tes!L12=0,0,11630*1000*SER_hh_tes!L12/SER_hh_num!L12)</f>
        <v>74206.597814962646</v>
      </c>
      <c r="M12" s="132">
        <f>IF(SER_hh_tes!M12=0,0,11630*1000*SER_hh_tes!M12/SER_hh_num!M12)</f>
        <v>62792.991395796664</v>
      </c>
      <c r="N12" s="132">
        <f>IF(SER_hh_tes!N12=0,0,11630*1000*SER_hh_tes!N12/SER_hh_num!N12)</f>
        <v>63556.935814958386</v>
      </c>
      <c r="O12" s="132">
        <f>IF(SER_hh_tes!O12=0,0,11630*1000*SER_hh_tes!O12/SER_hh_num!O12)</f>
        <v>62378.667499797441</v>
      </c>
      <c r="P12" s="132">
        <f>IF(SER_hh_tes!P12=0,0,11630*1000*SER_hh_tes!P12/SER_hh_num!P12)</f>
        <v>55287.365540075953</v>
      </c>
      <c r="Q12" s="132">
        <f>IF(SER_hh_tes!Q12=0,0,11630*1000*SER_hh_tes!Q12/SER_hh_num!Q12)</f>
        <v>59204.918090291831</v>
      </c>
      <c r="R12" s="132">
        <f>IF(SER_hh_tes!R12=0,0,11630*1000*SER_hh_tes!R12/SER_hh_num!R12)</f>
        <v>60931.954640777483</v>
      </c>
      <c r="S12" s="132">
        <f>IF(SER_hh_tes!S12=0,0,11630*1000*SER_hh_tes!S12/SER_hh_num!S12)</f>
        <v>61244.153392662687</v>
      </c>
      <c r="T12" s="132">
        <f>IF(SER_hh_tes!T12=0,0,11630*1000*SER_hh_tes!T12/SER_hh_num!T12)</f>
        <v>60384.472507691789</v>
      </c>
      <c r="U12" s="132">
        <f>IF(SER_hh_tes!U12=0,0,11630*1000*SER_hh_tes!U12/SER_hh_num!U12)</f>
        <v>59063.569386630603</v>
      </c>
      <c r="V12" s="132">
        <f>IF(SER_hh_tes!V12=0,0,11630*1000*SER_hh_tes!V12/SER_hh_num!V12)</f>
        <v>57640.686944781417</v>
      </c>
      <c r="W12" s="132">
        <f>IF(SER_hh_tes!W12=0,0,11630*1000*SER_hh_tes!W12/SER_hh_num!W12)</f>
        <v>63923.291785252477</v>
      </c>
      <c r="X12" s="132">
        <f>IF(SER_hh_tes!X12=0,0,11630*1000*SER_hh_tes!X12/SER_hh_num!X12)</f>
        <v>56506.881123694016</v>
      </c>
      <c r="Y12" s="132">
        <f>IF(SER_hh_tes!Y12=0,0,11630*1000*SER_hh_tes!Y12/SER_hh_num!Y12)</f>
        <v>57512.437962573284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76705.102420437164</v>
      </c>
      <c r="C13" s="132">
        <f>IF(SER_hh_tes!C13=0,0,11630*1000*SER_hh_tes!C13/SER_hh_num!C13)</f>
        <v>77172.805776630965</v>
      </c>
      <c r="D13" s="132">
        <f>IF(SER_hh_tes!D13=0,0,11630*1000*SER_hh_tes!D13/SER_hh_num!D13)</f>
        <v>77289.121022311389</v>
      </c>
      <c r="E13" s="132">
        <f>IF(SER_hh_tes!E13=0,0,11630*1000*SER_hh_tes!E13/SER_hh_num!E13)</f>
        <v>76388.398059621642</v>
      </c>
      <c r="F13" s="132">
        <f>IF(SER_hh_tes!F13=0,0,11630*1000*SER_hh_tes!F13/SER_hh_num!F13)</f>
        <v>75785.055137098636</v>
      </c>
      <c r="G13" s="132">
        <f>IF(SER_hh_tes!G13=0,0,11630*1000*SER_hh_tes!G13/SER_hh_num!G13)</f>
        <v>55431.963855039285</v>
      </c>
      <c r="H13" s="132">
        <f>IF(SER_hh_tes!H13=0,0,11630*1000*SER_hh_tes!H13/SER_hh_num!H13)</f>
        <v>37108.750620163992</v>
      </c>
      <c r="I13" s="132">
        <f>IF(SER_hh_tes!I13=0,0,11630*1000*SER_hh_tes!I13/SER_hh_num!I13)</f>
        <v>87302.674698681629</v>
      </c>
      <c r="J13" s="132">
        <f>IF(SER_hh_tes!J13=0,0,11630*1000*SER_hh_tes!J13/SER_hh_num!J13)</f>
        <v>74243.888205979776</v>
      </c>
      <c r="K13" s="132">
        <f>IF(SER_hh_tes!K13=0,0,11630*1000*SER_hh_tes!K13/SER_hh_num!K13)</f>
        <v>68308.269362032253</v>
      </c>
      <c r="L13" s="132">
        <f>IF(SER_hh_tes!L13=0,0,11630*1000*SER_hh_tes!L13/SER_hh_num!L13)</f>
        <v>68405.912873572917</v>
      </c>
      <c r="M13" s="132">
        <f>IF(SER_hh_tes!M13=0,0,11630*1000*SER_hh_tes!M13/SER_hh_num!M13)</f>
        <v>65360.741313947532</v>
      </c>
      <c r="N13" s="132">
        <f>IF(SER_hh_tes!N13=0,0,11630*1000*SER_hh_tes!N13/SER_hh_num!N13)</f>
        <v>63504.408924187643</v>
      </c>
      <c r="O13" s="132">
        <f>IF(SER_hh_tes!O13=0,0,11630*1000*SER_hh_tes!O13/SER_hh_num!O13)</f>
        <v>60831.057852550395</v>
      </c>
      <c r="P13" s="132">
        <f>IF(SER_hh_tes!P13=0,0,11630*1000*SER_hh_tes!P13/SER_hh_num!P13)</f>
        <v>56882.011042987317</v>
      </c>
      <c r="Q13" s="132">
        <f>IF(SER_hh_tes!Q13=0,0,11630*1000*SER_hh_tes!Q13/SER_hh_num!Q13)</f>
        <v>59191.851268265142</v>
      </c>
      <c r="R13" s="132">
        <f>IF(SER_hh_tes!R13=0,0,11630*1000*SER_hh_tes!R13/SER_hh_num!R13)</f>
        <v>61891.267049965791</v>
      </c>
      <c r="S13" s="132">
        <f>IF(SER_hh_tes!S13=0,0,11630*1000*SER_hh_tes!S13/SER_hh_num!S13)</f>
        <v>58656.140071778616</v>
      </c>
      <c r="T13" s="132">
        <f>IF(SER_hh_tes!T13=0,0,11630*1000*SER_hh_tes!T13/SER_hh_num!T13)</f>
        <v>58397.231527272772</v>
      </c>
      <c r="U13" s="132">
        <f>IF(SER_hh_tes!U13=0,0,11630*1000*SER_hh_tes!U13/SER_hh_num!U13)</f>
        <v>58031.264336861415</v>
      </c>
      <c r="V13" s="132">
        <f>IF(SER_hh_tes!V13=0,0,11630*1000*SER_hh_tes!V13/SER_hh_num!V13)</f>
        <v>57339.096598428201</v>
      </c>
      <c r="W13" s="132">
        <f>IF(SER_hh_tes!W13=0,0,11630*1000*SER_hh_tes!W13/SER_hh_num!W13)</f>
        <v>58595.584999425351</v>
      </c>
      <c r="X13" s="132">
        <f>IF(SER_hh_tes!X13=0,0,11630*1000*SER_hh_tes!X13/SER_hh_num!X13)</f>
        <v>59883.623351716393</v>
      </c>
      <c r="Y13" s="132">
        <f>IF(SER_hh_tes!Y13=0,0,11630*1000*SER_hh_tes!Y13/SER_hh_num!Y13)</f>
        <v>58679.639049232966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75664.22877065347</v>
      </c>
      <c r="C14" s="65">
        <f>IF(SER_hh_tes!C14=0,0,11630*1000*SER_hh_tes!C14/SER_hh_num!C14)</f>
        <v>78523.658558820549</v>
      </c>
      <c r="D14" s="65">
        <f>IF(SER_hh_tes!D14=0,0,11630*1000*SER_hh_tes!D14/SER_hh_num!D14)</f>
        <v>77762.282791278209</v>
      </c>
      <c r="E14" s="65">
        <f>IF(SER_hh_tes!E14=0,0,11630*1000*SER_hh_tes!E14/SER_hh_num!E14)</f>
        <v>73867.754619227417</v>
      </c>
      <c r="F14" s="65">
        <f>IF(SER_hh_tes!F14=0,0,11630*1000*SER_hh_tes!F14/SER_hh_num!F14)</f>
        <v>74972.112880423665</v>
      </c>
      <c r="G14" s="65">
        <f>IF(SER_hh_tes!G14=0,0,11630*1000*SER_hh_tes!G14/SER_hh_num!G14)</f>
        <v>72597.759301888305</v>
      </c>
      <c r="H14" s="65">
        <f>IF(SER_hh_tes!H14=0,0,11630*1000*SER_hh_tes!H14/SER_hh_num!H14)</f>
        <v>73318.120530471075</v>
      </c>
      <c r="I14" s="65">
        <f>IF(SER_hh_tes!I14=0,0,11630*1000*SER_hh_tes!I14/SER_hh_num!I14)</f>
        <v>73308.726376628663</v>
      </c>
      <c r="J14" s="65">
        <f>IF(SER_hh_tes!J14=0,0,11630*1000*SER_hh_tes!J14/SER_hh_num!J14)</f>
        <v>72319.185128186276</v>
      </c>
      <c r="K14" s="65">
        <f>IF(SER_hh_tes!K14=0,0,11630*1000*SER_hh_tes!K14/SER_hh_num!K14)</f>
        <v>64666.901725099473</v>
      </c>
      <c r="L14" s="65">
        <f>IF(SER_hh_tes!L14=0,0,11630*1000*SER_hh_tes!L14/SER_hh_num!L14)</f>
        <v>72774.48579654147</v>
      </c>
      <c r="M14" s="65">
        <f>IF(SER_hh_tes!M14=0,0,11630*1000*SER_hh_tes!M14/SER_hh_num!M14)</f>
        <v>67803.313570594692</v>
      </c>
      <c r="N14" s="65">
        <f>IF(SER_hh_tes!N14=0,0,11630*1000*SER_hh_tes!N14/SER_hh_num!N14)</f>
        <v>63818.3443496584</v>
      </c>
      <c r="O14" s="65">
        <f>IF(SER_hh_tes!O14=0,0,11630*1000*SER_hh_tes!O14/SER_hh_num!O14)</f>
        <v>57075.869333056566</v>
      </c>
      <c r="P14" s="65">
        <f>IF(SER_hh_tes!P14=0,0,11630*1000*SER_hh_tes!P14/SER_hh_num!P14)</f>
        <v>59392.015999933254</v>
      </c>
      <c r="Q14" s="65">
        <f>IF(SER_hh_tes!Q14=0,0,11630*1000*SER_hh_tes!Q14/SER_hh_num!Q14)</f>
        <v>50039.220908993069</v>
      </c>
      <c r="R14" s="65">
        <f>IF(SER_hh_tes!R14=0,0,11630*1000*SER_hh_tes!R14/SER_hh_num!R14)</f>
        <v>61076.925205698295</v>
      </c>
      <c r="S14" s="65">
        <f>IF(SER_hh_tes!S14=0,0,11630*1000*SER_hh_tes!S14/SER_hh_num!S14)</f>
        <v>69732.521315554477</v>
      </c>
      <c r="T14" s="65">
        <f>IF(SER_hh_tes!T14=0,0,11630*1000*SER_hh_tes!T14/SER_hh_num!T14)</f>
        <v>63176.403275514429</v>
      </c>
      <c r="U14" s="65">
        <f>IF(SER_hh_tes!U14=0,0,11630*1000*SER_hh_tes!U14/SER_hh_num!U14)</f>
        <v>56050.857520883532</v>
      </c>
      <c r="V14" s="65">
        <f>IF(SER_hh_tes!V14=0,0,11630*1000*SER_hh_tes!V14/SER_hh_num!V14)</f>
        <v>22957.987197322287</v>
      </c>
      <c r="W14" s="65">
        <f>IF(SER_hh_tes!W14=0,0,11630*1000*SER_hh_tes!W14/SER_hh_num!W14)</f>
        <v>83027.511076826195</v>
      </c>
      <c r="X14" s="65">
        <f>IF(SER_hh_tes!X14=0,0,11630*1000*SER_hh_tes!X14/SER_hh_num!X14)</f>
        <v>90195.069925740463</v>
      </c>
      <c r="Y14" s="65">
        <f>IF(SER_hh_tes!Y14=0,0,11630*1000*SER_hh_tes!Y14/SER_hh_num!Y14)</f>
        <v>6579.8722760011815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622.50099204359572</v>
      </c>
      <c r="C15" s="134">
        <f>IF(SER_hh_tes!C15=0,0,11630*1000*SER_hh_tes!C15/SER_hh_num!C15)</f>
        <v>608.26140424886307</v>
      </c>
      <c r="D15" s="134">
        <f>IF(SER_hh_tes!D15=0,0,11630*1000*SER_hh_tes!D15/SER_hh_num!D15)</f>
        <v>584.4525535507338</v>
      </c>
      <c r="E15" s="134">
        <f>IF(SER_hh_tes!E15=0,0,11630*1000*SER_hh_tes!E15/SER_hh_num!E15)</f>
        <v>602.57639171056132</v>
      </c>
      <c r="F15" s="134">
        <f>IF(SER_hh_tes!F15=0,0,11630*1000*SER_hh_tes!F15/SER_hh_num!F15)</f>
        <v>580.34331531633984</v>
      </c>
      <c r="G15" s="134">
        <f>IF(SER_hh_tes!G15=0,0,11630*1000*SER_hh_tes!G15/SER_hh_num!G15)</f>
        <v>557.84570990124519</v>
      </c>
      <c r="H15" s="134">
        <f>IF(SER_hh_tes!H15=0,0,11630*1000*SER_hh_tes!H15/SER_hh_num!H15)</f>
        <v>555.50236630415304</v>
      </c>
      <c r="I15" s="134">
        <f>IF(SER_hh_tes!I15=0,0,11630*1000*SER_hh_tes!I15/SER_hh_num!I15)</f>
        <v>499.36159212036591</v>
      </c>
      <c r="J15" s="134">
        <f>IF(SER_hh_tes!J15=0,0,11630*1000*SER_hh_tes!J15/SER_hh_num!J15)</f>
        <v>487.43908987651469</v>
      </c>
      <c r="K15" s="134">
        <f>IF(SER_hh_tes!K15=0,0,11630*1000*SER_hh_tes!K15/SER_hh_num!K15)</f>
        <v>464.97379487297161</v>
      </c>
      <c r="L15" s="134">
        <f>IF(SER_hh_tes!L15=0,0,11630*1000*SER_hh_tes!L15/SER_hh_num!L15)</f>
        <v>479.89325091799248</v>
      </c>
      <c r="M15" s="134">
        <f>IF(SER_hh_tes!M15=0,0,11630*1000*SER_hh_tes!M15/SER_hh_num!M15)</f>
        <v>385.85447873490108</v>
      </c>
      <c r="N15" s="134">
        <f>IF(SER_hh_tes!N15=0,0,11630*1000*SER_hh_tes!N15/SER_hh_num!N15)</f>
        <v>410.27275106802733</v>
      </c>
      <c r="O15" s="134">
        <f>IF(SER_hh_tes!O15=0,0,11630*1000*SER_hh_tes!O15/SER_hh_num!O15)</f>
        <v>408.90813166811017</v>
      </c>
      <c r="P15" s="134">
        <f>IF(SER_hh_tes!P15=0,0,11630*1000*SER_hh_tes!P15/SER_hh_num!P15)</f>
        <v>331.59456918777312</v>
      </c>
      <c r="Q15" s="134">
        <f>IF(SER_hh_tes!Q15=0,0,11630*1000*SER_hh_tes!Q15/SER_hh_num!Q15)</f>
        <v>375.08092946498795</v>
      </c>
      <c r="R15" s="134">
        <f>IF(SER_hh_tes!R15=0,0,11630*1000*SER_hh_tes!R15/SER_hh_num!R15)</f>
        <v>388.59903733481764</v>
      </c>
      <c r="S15" s="134">
        <f>IF(SER_hh_tes!S15=0,0,11630*1000*SER_hh_tes!S15/SER_hh_num!S15)</f>
        <v>402.04048395580458</v>
      </c>
      <c r="T15" s="134">
        <f>IF(SER_hh_tes!T15=0,0,11630*1000*SER_hh_tes!T15/SER_hh_num!T15)</f>
        <v>365.74258559176269</v>
      </c>
      <c r="U15" s="134">
        <f>IF(SER_hh_tes!U15=0,0,11630*1000*SER_hh_tes!U15/SER_hh_num!U15)</f>
        <v>347.71029328517739</v>
      </c>
      <c r="V15" s="134">
        <f>IF(SER_hh_tes!V15=0,0,11630*1000*SER_hh_tes!V15/SER_hh_num!V15)</f>
        <v>358.22341764535139</v>
      </c>
      <c r="W15" s="134">
        <f>IF(SER_hh_tes!W15=0,0,11630*1000*SER_hh_tes!W15/SER_hh_num!W15)</f>
        <v>438.33491029250382</v>
      </c>
      <c r="X15" s="134">
        <f>IF(SER_hh_tes!X15=0,0,11630*1000*SER_hh_tes!X15/SER_hh_num!X15)</f>
        <v>376.60131526153077</v>
      </c>
      <c r="Y15" s="134">
        <f>IF(SER_hh_tes!Y15=0,0,11630*1000*SER_hh_tes!Y15/SER_hh_num!Y15)</f>
        <v>364.93333942755834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23539.965995888186</v>
      </c>
      <c r="C16" s="130">
        <f>IF(SER_hh_tes!C16=0,0,11630*1000*SER_hh_tes!C16/SER_hh_num!C16)</f>
        <v>23560.04344537478</v>
      </c>
      <c r="D16" s="130">
        <f>IF(SER_hh_tes!D16=0,0,11630*1000*SER_hh_tes!D16/SER_hh_num!D16)</f>
        <v>23597.912625451234</v>
      </c>
      <c r="E16" s="130">
        <f>IF(SER_hh_tes!E16=0,0,11630*1000*SER_hh_tes!E16/SER_hh_num!E16)</f>
        <v>23616.757350574451</v>
      </c>
      <c r="F16" s="130">
        <f>IF(SER_hh_tes!F16=0,0,11630*1000*SER_hh_tes!F16/SER_hh_num!F16)</f>
        <v>23649.011852052576</v>
      </c>
      <c r="G16" s="130">
        <f>IF(SER_hh_tes!G16=0,0,11630*1000*SER_hh_tes!G16/SER_hh_num!G16)</f>
        <v>23683.502111280144</v>
      </c>
      <c r="H16" s="130">
        <f>IF(SER_hh_tes!H16=0,0,11630*1000*SER_hh_tes!H16/SER_hh_num!H16)</f>
        <v>23724.284738502338</v>
      </c>
      <c r="I16" s="130">
        <f>IF(SER_hh_tes!I16=0,0,11630*1000*SER_hh_tes!I16/SER_hh_num!I16)</f>
        <v>23758.673288022601</v>
      </c>
      <c r="J16" s="130">
        <f>IF(SER_hh_tes!J16=0,0,11630*1000*SER_hh_tes!J16/SER_hh_num!J16)</f>
        <v>23794.775943341214</v>
      </c>
      <c r="K16" s="130">
        <f>IF(SER_hh_tes!K16=0,0,11630*1000*SER_hh_tes!K16/SER_hh_num!K16)</f>
        <v>23832.538203924614</v>
      </c>
      <c r="L16" s="130">
        <f>IF(SER_hh_tes!L16=0,0,11630*1000*SER_hh_tes!L16/SER_hh_num!L16)</f>
        <v>23967.111515525376</v>
      </c>
      <c r="M16" s="130">
        <f>IF(SER_hh_tes!M16=0,0,11630*1000*SER_hh_tes!M16/SER_hh_num!M16)</f>
        <v>23911.801239469067</v>
      </c>
      <c r="N16" s="130">
        <f>IF(SER_hh_tes!N16=0,0,11630*1000*SER_hh_tes!N16/SER_hh_num!N16)</f>
        <v>23981.310541282695</v>
      </c>
      <c r="O16" s="130">
        <f>IF(SER_hh_tes!O16=0,0,11630*1000*SER_hh_tes!O16/SER_hh_num!O16)</f>
        <v>24029.769357576191</v>
      </c>
      <c r="P16" s="130">
        <f>IF(SER_hh_tes!P16=0,0,11630*1000*SER_hh_tes!P16/SER_hh_num!P16)</f>
        <v>24198.158019344097</v>
      </c>
      <c r="Q16" s="130">
        <f>IF(SER_hh_tes!Q16=0,0,11630*1000*SER_hh_tes!Q16/SER_hh_num!Q16)</f>
        <v>24248.423927172524</v>
      </c>
      <c r="R16" s="130">
        <f>IF(SER_hh_tes!R16=0,0,11630*1000*SER_hh_tes!R16/SER_hh_num!R16)</f>
        <v>24464.311883044749</v>
      </c>
      <c r="S16" s="130">
        <f>IF(SER_hh_tes!S16=0,0,11630*1000*SER_hh_tes!S16/SER_hh_num!S16)</f>
        <v>24501.18828047414</v>
      </c>
      <c r="T16" s="130">
        <f>IF(SER_hh_tes!T16=0,0,11630*1000*SER_hh_tes!T16/SER_hh_num!T16)</f>
        <v>25458.717396174437</v>
      </c>
      <c r="U16" s="130">
        <f>IF(SER_hh_tes!U16=0,0,11630*1000*SER_hh_tes!U16/SER_hh_num!U16)</f>
        <v>24670.32153010058</v>
      </c>
      <c r="V16" s="130">
        <f>IF(SER_hh_tes!V16=0,0,11630*1000*SER_hh_tes!V16/SER_hh_num!V16)</f>
        <v>23239.176624059142</v>
      </c>
      <c r="W16" s="130">
        <f>IF(SER_hh_tes!W16=0,0,11630*1000*SER_hh_tes!W16/SER_hh_num!W16)</f>
        <v>23320.49727531473</v>
      </c>
      <c r="X16" s="130">
        <f>IF(SER_hh_tes!X16=0,0,11630*1000*SER_hh_tes!X16/SER_hh_num!X16)</f>
        <v>23703.676076699914</v>
      </c>
      <c r="Y16" s="130">
        <f>IF(SER_hh_tes!Y16=0,0,11630*1000*SER_hh_tes!Y16/SER_hh_num!Y16)</f>
        <v>22938.635801546658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23539.965995888189</v>
      </c>
      <c r="C17" s="132">
        <f>IF(SER_hh_tes!C17=0,0,11630*1000*SER_hh_tes!C17/SER_hh_num!C17)</f>
        <v>23560.043445374806</v>
      </c>
      <c r="D17" s="132">
        <f>IF(SER_hh_tes!D17=0,0,11630*1000*SER_hh_tes!D17/SER_hh_num!D17)</f>
        <v>23597.912625451077</v>
      </c>
      <c r="E17" s="132">
        <f>IF(SER_hh_tes!E17=0,0,11630*1000*SER_hh_tes!E17/SER_hh_num!E17)</f>
        <v>23616.757350574473</v>
      </c>
      <c r="F17" s="132">
        <f>IF(SER_hh_tes!F17=0,0,11630*1000*SER_hh_tes!F17/SER_hh_num!F17)</f>
        <v>23649.011852052896</v>
      </c>
      <c r="G17" s="132">
        <f>IF(SER_hh_tes!G17=0,0,11630*1000*SER_hh_tes!G17/SER_hh_num!G17)</f>
        <v>23683.502111280279</v>
      </c>
      <c r="H17" s="132">
        <f>IF(SER_hh_tes!H17=0,0,11630*1000*SER_hh_tes!H17/SER_hh_num!H17)</f>
        <v>23724.284738502334</v>
      </c>
      <c r="I17" s="132">
        <f>IF(SER_hh_tes!I17=0,0,11630*1000*SER_hh_tes!I17/SER_hh_num!I17)</f>
        <v>23758.673288022506</v>
      </c>
      <c r="J17" s="132">
        <f>IF(SER_hh_tes!J17=0,0,11630*1000*SER_hh_tes!J17/SER_hh_num!J17)</f>
        <v>23794.77594334121</v>
      </c>
      <c r="K17" s="132">
        <f>IF(SER_hh_tes!K17=0,0,11630*1000*SER_hh_tes!K17/SER_hh_num!K17)</f>
        <v>23832.538203924603</v>
      </c>
      <c r="L17" s="132">
        <f>IF(SER_hh_tes!L17=0,0,11630*1000*SER_hh_tes!L17/SER_hh_num!L17)</f>
        <v>23967.111515525266</v>
      </c>
      <c r="M17" s="132">
        <f>IF(SER_hh_tes!M17=0,0,11630*1000*SER_hh_tes!M17/SER_hh_num!M17)</f>
        <v>23911.801239469027</v>
      </c>
      <c r="N17" s="132">
        <f>IF(SER_hh_tes!N17=0,0,11630*1000*SER_hh_tes!N17/SER_hh_num!N17)</f>
        <v>23981.310541282633</v>
      </c>
      <c r="O17" s="132">
        <f>IF(SER_hh_tes!O17=0,0,11630*1000*SER_hh_tes!O17/SER_hh_num!O17)</f>
        <v>24029.769357576639</v>
      </c>
      <c r="P17" s="132">
        <f>IF(SER_hh_tes!P17=0,0,11630*1000*SER_hh_tes!P17/SER_hh_num!P17)</f>
        <v>24198.158019344472</v>
      </c>
      <c r="Q17" s="132">
        <f>IF(SER_hh_tes!Q17=0,0,11630*1000*SER_hh_tes!Q17/SER_hh_num!Q17)</f>
        <v>24248.423927172422</v>
      </c>
      <c r="R17" s="132">
        <f>IF(SER_hh_tes!R17=0,0,11630*1000*SER_hh_tes!R17/SER_hh_num!R17)</f>
        <v>24464.311883044134</v>
      </c>
      <c r="S17" s="132">
        <f>IF(SER_hh_tes!S17=0,0,11630*1000*SER_hh_tes!S17/SER_hh_num!S17)</f>
        <v>24501.188280473718</v>
      </c>
      <c r="T17" s="132">
        <f>IF(SER_hh_tes!T17=0,0,11630*1000*SER_hh_tes!T17/SER_hh_num!T17)</f>
        <v>25458.717396174146</v>
      </c>
      <c r="U17" s="132">
        <f>IF(SER_hh_tes!U17=0,0,11630*1000*SER_hh_tes!U17/SER_hh_num!U17)</f>
        <v>24670.321530100369</v>
      </c>
      <c r="V17" s="132">
        <f>IF(SER_hh_tes!V17=0,0,11630*1000*SER_hh_tes!V17/SER_hh_num!V17)</f>
        <v>17730.088986506587</v>
      </c>
      <c r="W17" s="132">
        <f>IF(SER_hh_tes!W17=0,0,11630*1000*SER_hh_tes!W17/SER_hh_num!W17)</f>
        <v>18081.25751940933</v>
      </c>
      <c r="X17" s="132">
        <f>IF(SER_hh_tes!X17=0,0,11630*1000*SER_hh_tes!X17/SER_hh_num!X17)</f>
        <v>18527.385539077342</v>
      </c>
      <c r="Y17" s="132">
        <f>IF(SER_hh_tes!Y17=0,0,11630*1000*SER_hh_tes!Y17/SER_hh_num!Y17)</f>
        <v>18241.949603478199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23539.965995888189</v>
      </c>
      <c r="C18" s="132">
        <f>IF(SER_hh_tes!C18=0,0,11630*1000*SER_hh_tes!C18/SER_hh_num!C18)</f>
        <v>23560.043445374777</v>
      </c>
      <c r="D18" s="132">
        <f>IF(SER_hh_tes!D18=0,0,11630*1000*SER_hh_tes!D18/SER_hh_num!D18)</f>
        <v>23597.912625451234</v>
      </c>
      <c r="E18" s="132">
        <f>IF(SER_hh_tes!E18=0,0,11630*1000*SER_hh_tes!E18/SER_hh_num!E18)</f>
        <v>23616.757350574455</v>
      </c>
      <c r="F18" s="132">
        <f>IF(SER_hh_tes!F18=0,0,11630*1000*SER_hh_tes!F18/SER_hh_num!F18)</f>
        <v>23649.011852052576</v>
      </c>
      <c r="G18" s="132">
        <f>IF(SER_hh_tes!G18=0,0,11630*1000*SER_hh_tes!G18/SER_hh_num!G18)</f>
        <v>23683.502111280144</v>
      </c>
      <c r="H18" s="132">
        <f>IF(SER_hh_tes!H18=0,0,11630*1000*SER_hh_tes!H18/SER_hh_num!H18)</f>
        <v>23724.284738502341</v>
      </c>
      <c r="I18" s="132">
        <f>IF(SER_hh_tes!I18=0,0,11630*1000*SER_hh_tes!I18/SER_hh_num!I18)</f>
        <v>23758.673288022601</v>
      </c>
      <c r="J18" s="132">
        <f>IF(SER_hh_tes!J18=0,0,11630*1000*SER_hh_tes!J18/SER_hh_num!J18)</f>
        <v>23794.775943341214</v>
      </c>
      <c r="K18" s="132">
        <f>IF(SER_hh_tes!K18=0,0,11630*1000*SER_hh_tes!K18/SER_hh_num!K18)</f>
        <v>23832.538203924621</v>
      </c>
      <c r="L18" s="132">
        <f>IF(SER_hh_tes!L18=0,0,11630*1000*SER_hh_tes!L18/SER_hh_num!L18)</f>
        <v>23967.111515525376</v>
      </c>
      <c r="M18" s="132">
        <f>IF(SER_hh_tes!M18=0,0,11630*1000*SER_hh_tes!M18/SER_hh_num!M18)</f>
        <v>23911.801239469074</v>
      </c>
      <c r="N18" s="132">
        <f>IF(SER_hh_tes!N18=0,0,11630*1000*SER_hh_tes!N18/SER_hh_num!N18)</f>
        <v>23981.310541282695</v>
      </c>
      <c r="O18" s="132">
        <f>IF(SER_hh_tes!O18=0,0,11630*1000*SER_hh_tes!O18/SER_hh_num!O18)</f>
        <v>24029.769357576188</v>
      </c>
      <c r="P18" s="132">
        <f>IF(SER_hh_tes!P18=0,0,11630*1000*SER_hh_tes!P18/SER_hh_num!P18)</f>
        <v>24198.158019344097</v>
      </c>
      <c r="Q18" s="132">
        <f>IF(SER_hh_tes!Q18=0,0,11630*1000*SER_hh_tes!Q18/SER_hh_num!Q18)</f>
        <v>24248.423927172524</v>
      </c>
      <c r="R18" s="132">
        <f>IF(SER_hh_tes!R18=0,0,11630*1000*SER_hh_tes!R18/SER_hh_num!R18)</f>
        <v>24464.311883044757</v>
      </c>
      <c r="S18" s="132">
        <f>IF(SER_hh_tes!S18=0,0,11630*1000*SER_hh_tes!S18/SER_hh_num!S18)</f>
        <v>24501.188280474144</v>
      </c>
      <c r="T18" s="132">
        <f>IF(SER_hh_tes!T18=0,0,11630*1000*SER_hh_tes!T18/SER_hh_num!T18)</f>
        <v>25458.717396174437</v>
      </c>
      <c r="U18" s="132">
        <f>IF(SER_hh_tes!U18=0,0,11630*1000*SER_hh_tes!U18/SER_hh_num!U18)</f>
        <v>24670.32153010058</v>
      </c>
      <c r="V18" s="132">
        <f>IF(SER_hh_tes!V18=0,0,11630*1000*SER_hh_tes!V18/SER_hh_num!V18)</f>
        <v>23274.888786521264</v>
      </c>
      <c r="W18" s="132">
        <f>IF(SER_hh_tes!W18=0,0,11630*1000*SER_hh_tes!W18/SER_hh_num!W18)</f>
        <v>23355.202770869921</v>
      </c>
      <c r="X18" s="132">
        <f>IF(SER_hh_tes!X18=0,0,11630*1000*SER_hh_tes!X18/SER_hh_num!X18)</f>
        <v>23737.767346887496</v>
      </c>
      <c r="Y18" s="132">
        <f>IF(SER_hh_tes!Y18=0,0,11630*1000*SER_hh_tes!Y18/SER_hh_num!Y18)</f>
        <v>22969.936452146194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9532.1662445343591</v>
      </c>
      <c r="C19" s="130">
        <f>IF(SER_hh_tes!C19=0,0,11630*1000*SER_hh_tes!C19/SER_hh_num!C19)</f>
        <v>9444.9860273533577</v>
      </c>
      <c r="D19" s="130">
        <f>IF(SER_hh_tes!D19=0,0,11630*1000*SER_hh_tes!D19/SER_hh_num!D19)</f>
        <v>9384.2589969993442</v>
      </c>
      <c r="E19" s="130">
        <f>IF(SER_hh_tes!E19=0,0,11630*1000*SER_hh_tes!E19/SER_hh_num!E19)</f>
        <v>9322.6180216748617</v>
      </c>
      <c r="F19" s="130">
        <f>IF(SER_hh_tes!F19=0,0,11630*1000*SER_hh_tes!F19/SER_hh_num!F19)</f>
        <v>9276.0473875051011</v>
      </c>
      <c r="G19" s="130">
        <f>IF(SER_hh_tes!G19=0,0,11630*1000*SER_hh_tes!G19/SER_hh_num!G19)</f>
        <v>9290.1786670587335</v>
      </c>
      <c r="H19" s="130">
        <f>IF(SER_hh_tes!H19=0,0,11630*1000*SER_hh_tes!H19/SER_hh_num!H19)</f>
        <v>9299.0375481641186</v>
      </c>
      <c r="I19" s="130">
        <f>IF(SER_hh_tes!I19=0,0,11630*1000*SER_hh_tes!I19/SER_hh_num!I19)</f>
        <v>9258.3715738989176</v>
      </c>
      <c r="J19" s="130">
        <f>IF(SER_hh_tes!J19=0,0,11630*1000*SER_hh_tes!J19/SER_hh_num!J19)</f>
        <v>9286.7387893981868</v>
      </c>
      <c r="K19" s="130">
        <f>IF(SER_hh_tes!K19=0,0,11630*1000*SER_hh_tes!K19/SER_hh_num!K19)</f>
        <v>9287.2123094614653</v>
      </c>
      <c r="L19" s="130">
        <f>IF(SER_hh_tes!L19=0,0,11630*1000*SER_hh_tes!L19/SER_hh_num!L19)</f>
        <v>9215.7408264053738</v>
      </c>
      <c r="M19" s="130">
        <f>IF(SER_hh_tes!M19=0,0,11630*1000*SER_hh_tes!M19/SER_hh_num!M19)</f>
        <v>9352.2608895721296</v>
      </c>
      <c r="N19" s="130">
        <f>IF(SER_hh_tes!N19=0,0,11630*1000*SER_hh_tes!N19/SER_hh_num!N19)</f>
        <v>9481.6103373457972</v>
      </c>
      <c r="O19" s="130">
        <f>IF(SER_hh_tes!O19=0,0,11630*1000*SER_hh_tes!O19/SER_hh_num!O19)</f>
        <v>9539.345192069346</v>
      </c>
      <c r="P19" s="130">
        <f>IF(SER_hh_tes!P19=0,0,11630*1000*SER_hh_tes!P19/SER_hh_num!P19)</f>
        <v>9653.4530143181819</v>
      </c>
      <c r="Q19" s="130">
        <f>IF(SER_hh_tes!Q19=0,0,11630*1000*SER_hh_tes!Q19/SER_hh_num!Q19)</f>
        <v>9690.9191224993974</v>
      </c>
      <c r="R19" s="130">
        <f>IF(SER_hh_tes!R19=0,0,11630*1000*SER_hh_tes!R19/SER_hh_num!R19)</f>
        <v>9727.5759350615263</v>
      </c>
      <c r="S19" s="130">
        <f>IF(SER_hh_tes!S19=0,0,11630*1000*SER_hh_tes!S19/SER_hh_num!S19)</f>
        <v>9829.0112002172391</v>
      </c>
      <c r="T19" s="130">
        <f>IF(SER_hh_tes!T19=0,0,11630*1000*SER_hh_tes!T19/SER_hh_num!T19)</f>
        <v>9713.4711920549362</v>
      </c>
      <c r="U19" s="130">
        <f>IF(SER_hh_tes!U19=0,0,11630*1000*SER_hh_tes!U19/SER_hh_num!U19)</f>
        <v>9550.2077446087878</v>
      </c>
      <c r="V19" s="130">
        <f>IF(SER_hh_tes!V19=0,0,11630*1000*SER_hh_tes!V19/SER_hh_num!V19)</f>
        <v>8239.3502178274848</v>
      </c>
      <c r="W19" s="130">
        <f>IF(SER_hh_tes!W19=0,0,11630*1000*SER_hh_tes!W19/SER_hh_num!W19)</f>
        <v>8950.6604697907242</v>
      </c>
      <c r="X19" s="130">
        <f>IF(SER_hh_tes!X19=0,0,11630*1000*SER_hh_tes!X19/SER_hh_num!X19)</f>
        <v>9321.8833001780731</v>
      </c>
      <c r="Y19" s="130">
        <f>IF(SER_hh_tes!Y19=0,0,11630*1000*SER_hh_tes!Y19/SER_hh_num!Y19)</f>
        <v>9387.7692110732751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9588.9118827356451</v>
      </c>
      <c r="C22" s="132">
        <f>IF(SER_hh_tes!C22=0,0,11630*1000*SER_hh_tes!C22/SER_hh_num!C22)</f>
        <v>9380.4343874753013</v>
      </c>
      <c r="D22" s="132">
        <f>IF(SER_hh_tes!D22=0,0,11630*1000*SER_hh_tes!D22/SER_hh_num!D22)</f>
        <v>9314.7924344461426</v>
      </c>
      <c r="E22" s="132">
        <f>IF(SER_hh_tes!E22=0,0,11630*1000*SER_hh_tes!E22/SER_hh_num!E22)</f>
        <v>9334.3359429513439</v>
      </c>
      <c r="F22" s="132">
        <f>IF(SER_hh_tes!F22=0,0,11630*1000*SER_hh_tes!F22/SER_hh_num!F22)</f>
        <v>9459.558881388557</v>
      </c>
      <c r="G22" s="132">
        <f>IF(SER_hh_tes!G22=0,0,11630*1000*SER_hh_tes!G22/SER_hh_num!G22)</f>
        <v>9619.1975535054371</v>
      </c>
      <c r="H22" s="132">
        <f>IF(SER_hh_tes!H22=0,0,11630*1000*SER_hh_tes!H22/SER_hh_num!H22)</f>
        <v>9113.4532035705852</v>
      </c>
      <c r="I22" s="132">
        <f>IF(SER_hh_tes!I22=0,0,11630*1000*SER_hh_tes!I22/SER_hh_num!I22)</f>
        <v>8751.8786437356375</v>
      </c>
      <c r="J22" s="132">
        <f>IF(SER_hh_tes!J22=0,0,11630*1000*SER_hh_tes!J22/SER_hh_num!J22)</f>
        <v>9215.2777776077746</v>
      </c>
      <c r="K22" s="132">
        <f>IF(SER_hh_tes!K22=0,0,11630*1000*SER_hh_tes!K22/SER_hh_num!K22)</f>
        <v>9468.0550413969559</v>
      </c>
      <c r="L22" s="132">
        <f>IF(SER_hh_tes!L22=0,0,11630*1000*SER_hh_tes!L22/SER_hh_num!L22)</f>
        <v>9384.5616665746729</v>
      </c>
      <c r="M22" s="132">
        <f>IF(SER_hh_tes!M22=0,0,11630*1000*SER_hh_tes!M22/SER_hh_num!M22)</f>
        <v>8836.6408216460641</v>
      </c>
      <c r="N22" s="132">
        <f>IF(SER_hh_tes!N22=0,0,11630*1000*SER_hh_tes!N22/SER_hh_num!N22)</f>
        <v>9288.6281186363212</v>
      </c>
      <c r="O22" s="132">
        <f>IF(SER_hh_tes!O22=0,0,11630*1000*SER_hh_tes!O22/SER_hh_num!O22)</f>
        <v>9646.2965452712888</v>
      </c>
      <c r="P22" s="132">
        <f>IF(SER_hh_tes!P22=0,0,11630*1000*SER_hh_tes!P22/SER_hh_num!P22)</f>
        <v>9645.05799688359</v>
      </c>
      <c r="Q22" s="132">
        <f>IF(SER_hh_tes!Q22=0,0,11630*1000*SER_hh_tes!Q22/SER_hh_num!Q22)</f>
        <v>9669.0434930605406</v>
      </c>
      <c r="R22" s="132">
        <f>IF(SER_hh_tes!R22=0,0,11630*1000*SER_hh_tes!R22/SER_hh_num!R22)</f>
        <v>10019.863292792721</v>
      </c>
      <c r="S22" s="132">
        <f>IF(SER_hh_tes!S22=0,0,11630*1000*SER_hh_tes!S22/SER_hh_num!S22)</f>
        <v>9836.5854054012689</v>
      </c>
      <c r="T22" s="132">
        <f>IF(SER_hh_tes!T22=0,0,11630*1000*SER_hh_tes!T22/SER_hh_num!T22)</f>
        <v>11045.450924812587</v>
      </c>
      <c r="U22" s="132">
        <f>IF(SER_hh_tes!U22=0,0,11630*1000*SER_hh_tes!U22/SER_hh_num!U22)</f>
        <v>6764.7819273407258</v>
      </c>
      <c r="V22" s="132">
        <f>IF(SER_hh_tes!V22=0,0,11630*1000*SER_hh_tes!V22/SER_hh_num!V22)</f>
        <v>8748.6921586178578</v>
      </c>
      <c r="W22" s="132">
        <f>IF(SER_hh_tes!W22=0,0,11630*1000*SER_hh_tes!W22/SER_hh_num!W22)</f>
        <v>7403.4351932210275</v>
      </c>
      <c r="X22" s="132">
        <f>IF(SER_hh_tes!X22=0,0,11630*1000*SER_hh_tes!X22/SER_hh_num!X22)</f>
        <v>10207.160696925865</v>
      </c>
      <c r="Y22" s="132">
        <f>IF(SER_hh_tes!Y22=0,0,11630*1000*SER_hh_tes!Y22/SER_hh_num!Y22)</f>
        <v>8892.3099879231213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9436.6920596878899</v>
      </c>
      <c r="C23" s="132">
        <f>IF(SER_hh_tes!C23=0,0,11630*1000*SER_hh_tes!C23/SER_hh_num!C23)</f>
        <v>9247.2871505864841</v>
      </c>
      <c r="D23" s="132">
        <f>IF(SER_hh_tes!D23=0,0,11630*1000*SER_hh_tes!D23/SER_hh_num!D23)</f>
        <v>8926.0183228846709</v>
      </c>
      <c r="E23" s="132">
        <f>IF(SER_hh_tes!E23=0,0,11630*1000*SER_hh_tes!E23/SER_hh_num!E23)</f>
        <v>9647.9665479921732</v>
      </c>
      <c r="F23" s="132">
        <f>IF(SER_hh_tes!F23=0,0,11630*1000*SER_hh_tes!F23/SER_hh_num!F23)</f>
        <v>9065.1600656137562</v>
      </c>
      <c r="G23" s="132">
        <f>IF(SER_hh_tes!G23=0,0,11630*1000*SER_hh_tes!G23/SER_hh_num!G23)</f>
        <v>9307.021929863613</v>
      </c>
      <c r="H23" s="132">
        <f>IF(SER_hh_tes!H23=0,0,11630*1000*SER_hh_tes!H23/SER_hh_num!H23)</f>
        <v>9576.6840062595093</v>
      </c>
      <c r="I23" s="132">
        <f>IF(SER_hh_tes!I23=0,0,11630*1000*SER_hh_tes!I23/SER_hh_num!I23)</f>
        <v>9287.9629528822352</v>
      </c>
      <c r="J23" s="132">
        <f>IF(SER_hh_tes!J23=0,0,11630*1000*SER_hh_tes!J23/SER_hh_num!J23)</f>
        <v>9257.1873282455963</v>
      </c>
      <c r="K23" s="132">
        <f>IF(SER_hh_tes!K23=0,0,11630*1000*SER_hh_tes!K23/SER_hh_num!K23)</f>
        <v>9409.8253735226081</v>
      </c>
      <c r="L23" s="132">
        <f>IF(SER_hh_tes!L23=0,0,11630*1000*SER_hh_tes!L23/SER_hh_num!L23)</f>
        <v>9748.3872599825991</v>
      </c>
      <c r="M23" s="132">
        <f>IF(SER_hh_tes!M23=0,0,11630*1000*SER_hh_tes!M23/SER_hh_num!M23)</f>
        <v>8813.3822758073075</v>
      </c>
      <c r="N23" s="132">
        <f>IF(SER_hh_tes!N23=0,0,11630*1000*SER_hh_tes!N23/SER_hh_num!N23)</f>
        <v>9301.7691694856021</v>
      </c>
      <c r="O23" s="132">
        <f>IF(SER_hh_tes!O23=0,0,11630*1000*SER_hh_tes!O23/SER_hh_num!O23)</f>
        <v>9601.3049661283585</v>
      </c>
      <c r="P23" s="132">
        <f>IF(SER_hh_tes!P23=0,0,11630*1000*SER_hh_tes!P23/SER_hh_num!P23)</f>
        <v>8782.1924704776666</v>
      </c>
      <c r="Q23" s="132">
        <f>IF(SER_hh_tes!Q23=0,0,11630*1000*SER_hh_tes!Q23/SER_hh_num!Q23)</f>
        <v>9807.306626575928</v>
      </c>
      <c r="R23" s="132">
        <f>IF(SER_hh_tes!R23=0,0,11630*1000*SER_hh_tes!R23/SER_hh_num!R23)</f>
        <v>9744.4577445123341</v>
      </c>
      <c r="S23" s="132">
        <f>IF(SER_hh_tes!S23=0,0,11630*1000*SER_hh_tes!S23/SER_hh_num!S23)</f>
        <v>9922.6330149281239</v>
      </c>
      <c r="T23" s="132">
        <f>IF(SER_hh_tes!T23=0,0,11630*1000*SER_hh_tes!T23/SER_hh_num!T23)</f>
        <v>9738.8062142097715</v>
      </c>
      <c r="U23" s="132">
        <f>IF(SER_hh_tes!U23=0,0,11630*1000*SER_hh_tes!U23/SER_hh_num!U23)</f>
        <v>10236.538821533954</v>
      </c>
      <c r="V23" s="132">
        <f>IF(SER_hh_tes!V23=0,0,11630*1000*SER_hh_tes!V23/SER_hh_num!V23)</f>
        <v>7000.4299362752599</v>
      </c>
      <c r="W23" s="132">
        <f>IF(SER_hh_tes!W23=0,0,11630*1000*SER_hh_tes!W23/SER_hh_num!W23)</f>
        <v>9882.1476263982968</v>
      </c>
      <c r="X23" s="132">
        <f>IF(SER_hh_tes!X23=0,0,11630*1000*SER_hh_tes!X23/SER_hh_num!X23)</f>
        <v>8659.5763621549158</v>
      </c>
      <c r="Y23" s="132">
        <f>IF(SER_hh_tes!Y23=0,0,11630*1000*SER_hh_tes!Y23/SER_hh_num!Y23)</f>
        <v>9188.2819708708939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9119.0024129911999</v>
      </c>
      <c r="C24" s="132">
        <f>IF(SER_hh_tes!C24=0,0,11630*1000*SER_hh_tes!C24/SER_hh_num!C24)</f>
        <v>9610.1389097398915</v>
      </c>
      <c r="D24" s="132">
        <f>IF(SER_hh_tes!D24=0,0,11630*1000*SER_hh_tes!D24/SER_hh_num!D24)</f>
        <v>9445.8175185007549</v>
      </c>
      <c r="E24" s="132">
        <f>IF(SER_hh_tes!E24=0,0,11630*1000*SER_hh_tes!E24/SER_hh_num!E24)</f>
        <v>9266.1509867996829</v>
      </c>
      <c r="F24" s="132">
        <f>IF(SER_hh_tes!F24=0,0,11630*1000*SER_hh_tes!F24/SER_hh_num!F24)</f>
        <v>9184.1037958478682</v>
      </c>
      <c r="G24" s="132">
        <f>IF(SER_hh_tes!G24=0,0,11630*1000*SER_hh_tes!G24/SER_hh_num!G24)</f>
        <v>9284.1601926843687</v>
      </c>
      <c r="H24" s="132">
        <f>IF(SER_hh_tes!H24=0,0,11630*1000*SER_hh_tes!H24/SER_hh_num!H24)</f>
        <v>9235.2241844172331</v>
      </c>
      <c r="I24" s="132">
        <f>IF(SER_hh_tes!I24=0,0,11630*1000*SER_hh_tes!I24/SER_hh_num!I24)</f>
        <v>9235.9955783674977</v>
      </c>
      <c r="J24" s="132">
        <f>IF(SER_hh_tes!J24=0,0,11630*1000*SER_hh_tes!J24/SER_hh_num!J24)</f>
        <v>9223.0483358103083</v>
      </c>
      <c r="K24" s="132">
        <f>IF(SER_hh_tes!K24=0,0,11630*1000*SER_hh_tes!K24/SER_hh_num!K24)</f>
        <v>9235.4575395624142</v>
      </c>
      <c r="L24" s="132">
        <f>IF(SER_hh_tes!L24=0,0,11630*1000*SER_hh_tes!L24/SER_hh_num!L24)</f>
        <v>9196.9773309960201</v>
      </c>
      <c r="M24" s="132">
        <f>IF(SER_hh_tes!M24=0,0,11630*1000*SER_hh_tes!M24/SER_hh_num!M24)</f>
        <v>9329.9139523328176</v>
      </c>
      <c r="N24" s="132">
        <f>IF(SER_hh_tes!N24=0,0,11630*1000*SER_hh_tes!N24/SER_hh_num!N24)</f>
        <v>9555.3432228874826</v>
      </c>
      <c r="O24" s="132">
        <f>IF(SER_hh_tes!O24=0,0,11630*1000*SER_hh_tes!O24/SER_hh_num!O24)</f>
        <v>9560.967213457272</v>
      </c>
      <c r="P24" s="132">
        <f>IF(SER_hh_tes!P24=0,0,11630*1000*SER_hh_tes!P24/SER_hh_num!P24)</f>
        <v>9364.528944867654</v>
      </c>
      <c r="Q24" s="132">
        <f>IF(SER_hh_tes!Q24=0,0,11630*1000*SER_hh_tes!Q24/SER_hh_num!Q24)</f>
        <v>9205.465765627996</v>
      </c>
      <c r="R24" s="132">
        <f>IF(SER_hh_tes!R24=0,0,11630*1000*SER_hh_tes!R24/SER_hh_num!R24)</f>
        <v>9734.6725196453317</v>
      </c>
      <c r="S24" s="132">
        <f>IF(SER_hh_tes!S24=0,0,11630*1000*SER_hh_tes!S24/SER_hh_num!S24)</f>
        <v>10018.044782188064</v>
      </c>
      <c r="T24" s="132">
        <f>IF(SER_hh_tes!T24=0,0,11630*1000*SER_hh_tes!T24/SER_hh_num!T24)</f>
        <v>10958.377063368011</v>
      </c>
      <c r="U24" s="132">
        <f>IF(SER_hh_tes!U24=0,0,11630*1000*SER_hh_tes!U24/SER_hh_num!U24)</f>
        <v>9517.7659665412593</v>
      </c>
      <c r="V24" s="132">
        <f>IF(SER_hh_tes!V24=0,0,11630*1000*SER_hh_tes!V24/SER_hh_num!V24)</f>
        <v>8523.7033463153857</v>
      </c>
      <c r="W24" s="132">
        <f>IF(SER_hh_tes!W24=0,0,11630*1000*SER_hh_tes!W24/SER_hh_num!W24)</f>
        <v>9459.476174221054</v>
      </c>
      <c r="X24" s="132">
        <f>IF(SER_hh_tes!X24=0,0,11630*1000*SER_hh_tes!X24/SER_hh_num!X24)</f>
        <v>8864.4019323255779</v>
      </c>
      <c r="Y24" s="132">
        <f>IF(SER_hh_tes!Y24=0,0,11630*1000*SER_hh_tes!Y24/SER_hh_num!Y24)</f>
        <v>9073.3004733675079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9419.9840661347371</v>
      </c>
      <c r="C25" s="132">
        <f>IF(SER_hh_tes!C25=0,0,11630*1000*SER_hh_tes!C25/SER_hh_num!C25)</f>
        <v>9550.2840879967353</v>
      </c>
      <c r="D25" s="132">
        <f>IF(SER_hh_tes!D25=0,0,11630*1000*SER_hh_tes!D25/SER_hh_num!D25)</f>
        <v>9371.6187039580254</v>
      </c>
      <c r="E25" s="132">
        <f>IF(SER_hh_tes!E25=0,0,11630*1000*SER_hh_tes!E25/SER_hh_num!E25)</f>
        <v>9313.5521144738032</v>
      </c>
      <c r="F25" s="132">
        <f>IF(SER_hh_tes!F25=0,0,11630*1000*SER_hh_tes!F25/SER_hh_num!F25)</f>
        <v>9274.5541620269923</v>
      </c>
      <c r="G25" s="132">
        <f>IF(SER_hh_tes!G25=0,0,11630*1000*SER_hh_tes!G25/SER_hh_num!G25)</f>
        <v>9309.3502005143473</v>
      </c>
      <c r="H25" s="132">
        <f>IF(SER_hh_tes!H25=0,0,11630*1000*SER_hh_tes!H25/SER_hh_num!H25)</f>
        <v>9168.5826404859272</v>
      </c>
      <c r="I25" s="132">
        <f>IF(SER_hh_tes!I25=0,0,11630*1000*SER_hh_tes!I25/SER_hh_num!I25)</f>
        <v>9083.5673819691092</v>
      </c>
      <c r="J25" s="132">
        <f>IF(SER_hh_tes!J25=0,0,11630*1000*SER_hh_tes!J25/SER_hh_num!J25)</f>
        <v>9123.4496728809445</v>
      </c>
      <c r="K25" s="132">
        <f>IF(SER_hh_tes!K25=0,0,11630*1000*SER_hh_tes!K25/SER_hh_num!K25)</f>
        <v>9192.6858913935448</v>
      </c>
      <c r="L25" s="132">
        <f>IF(SER_hh_tes!L25=0,0,11630*1000*SER_hh_tes!L25/SER_hh_num!L25)</f>
        <v>9326.1421047214499</v>
      </c>
      <c r="M25" s="132">
        <f>IF(SER_hh_tes!M25=0,0,11630*1000*SER_hh_tes!M25/SER_hh_num!M25)</f>
        <v>9391.6846851926548</v>
      </c>
      <c r="N25" s="132">
        <f>IF(SER_hh_tes!N25=0,0,11630*1000*SER_hh_tes!N25/SER_hh_num!N25)</f>
        <v>9369.0037066142158</v>
      </c>
      <c r="O25" s="132">
        <f>IF(SER_hh_tes!O25=0,0,11630*1000*SER_hh_tes!O25/SER_hh_num!O25)</f>
        <v>9421.6508716959197</v>
      </c>
      <c r="P25" s="132">
        <f>IF(SER_hh_tes!P25=0,0,11630*1000*SER_hh_tes!P25/SER_hh_num!P25)</f>
        <v>9675.0218319707637</v>
      </c>
      <c r="Q25" s="132">
        <f>IF(SER_hh_tes!Q25=0,0,11630*1000*SER_hh_tes!Q25/SER_hh_num!Q25)</f>
        <v>9727.6396401514194</v>
      </c>
      <c r="R25" s="132">
        <f>IF(SER_hh_tes!R25=0,0,11630*1000*SER_hh_tes!R25/SER_hh_num!R25)</f>
        <v>9648.080054425116</v>
      </c>
      <c r="S25" s="132">
        <f>IF(SER_hh_tes!S25=0,0,11630*1000*SER_hh_tes!S25/SER_hh_num!S25)</f>
        <v>9564.9127213562842</v>
      </c>
      <c r="T25" s="132">
        <f>IF(SER_hh_tes!T25=0,0,11630*1000*SER_hh_tes!T25/SER_hh_num!T25)</f>
        <v>9703.662397558106</v>
      </c>
      <c r="U25" s="132">
        <f>IF(SER_hh_tes!U25=0,0,11630*1000*SER_hh_tes!U25/SER_hh_num!U25)</f>
        <v>9289.8048985567602</v>
      </c>
      <c r="V25" s="132">
        <f>IF(SER_hh_tes!V25=0,0,11630*1000*SER_hh_tes!V25/SER_hh_num!V25)</f>
        <v>8454.6502575205704</v>
      </c>
      <c r="W25" s="132">
        <f>IF(SER_hh_tes!W25=0,0,11630*1000*SER_hh_tes!W25/SER_hh_num!W25)</f>
        <v>8543.864109673299</v>
      </c>
      <c r="X25" s="132">
        <f>IF(SER_hh_tes!X25=0,0,11630*1000*SER_hh_tes!X25/SER_hh_num!X25)</f>
        <v>9159.3145297667907</v>
      </c>
      <c r="Y25" s="132">
        <f>IF(SER_hh_tes!Y25=0,0,11630*1000*SER_hh_tes!Y25/SER_hh_num!Y25)</f>
        <v>9623.801707110455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9409.7337142790057</v>
      </c>
      <c r="C26" s="65">
        <f>IF(SER_hh_tes!C26=0,0,11630*1000*SER_hh_tes!C26/SER_hh_num!C26)</f>
        <v>9026.6006529098941</v>
      </c>
      <c r="D26" s="65">
        <f>IF(SER_hh_tes!D26=0,0,11630*1000*SER_hh_tes!D26/SER_hh_num!D26)</f>
        <v>9215.5884541479027</v>
      </c>
      <c r="E26" s="65">
        <f>IF(SER_hh_tes!E26=0,0,11630*1000*SER_hh_tes!E26/SER_hh_num!E26)</f>
        <v>8900.1385936797215</v>
      </c>
      <c r="F26" s="65">
        <f>IF(SER_hh_tes!F26=0,0,11630*1000*SER_hh_tes!F26/SER_hh_num!F26)</f>
        <v>8975.4187700500806</v>
      </c>
      <c r="G26" s="65">
        <f>IF(SER_hh_tes!G26=0,0,11630*1000*SER_hh_tes!G26/SER_hh_num!G26)</f>
        <v>8834.9792681681301</v>
      </c>
      <c r="H26" s="65">
        <f>IF(SER_hh_tes!H26=0,0,11630*1000*SER_hh_tes!H26/SER_hh_num!H26)</f>
        <v>9059.6627805832031</v>
      </c>
      <c r="I26" s="65">
        <f>IF(SER_hh_tes!I26=0,0,11630*1000*SER_hh_tes!I26/SER_hh_num!I26)</f>
        <v>9208.9807112577982</v>
      </c>
      <c r="J26" s="65">
        <f>IF(SER_hh_tes!J26=0,0,11630*1000*SER_hh_tes!J26/SER_hh_num!J26)</f>
        <v>9163.0234799295595</v>
      </c>
      <c r="K26" s="65">
        <f>IF(SER_hh_tes!K26=0,0,11630*1000*SER_hh_tes!K26/SER_hh_num!K26)</f>
        <v>8912.7855563707926</v>
      </c>
      <c r="L26" s="65">
        <f>IF(SER_hh_tes!L26=0,0,11630*1000*SER_hh_tes!L26/SER_hh_num!L26)</f>
        <v>8218.115702312527</v>
      </c>
      <c r="M26" s="65">
        <f>IF(SER_hh_tes!M26=0,0,11630*1000*SER_hh_tes!M26/SER_hh_num!M26)</f>
        <v>9022.3458564137691</v>
      </c>
      <c r="N26" s="65">
        <f>IF(SER_hh_tes!N26=0,0,11630*1000*SER_hh_tes!N26/SER_hh_num!N26)</f>
        <v>9260.3342568701719</v>
      </c>
      <c r="O26" s="65">
        <f>IF(SER_hh_tes!O26=0,0,11630*1000*SER_hh_tes!O26/SER_hh_num!O26)</f>
        <v>9189.7112344274756</v>
      </c>
      <c r="P26" s="65">
        <f>IF(SER_hh_tes!P26=0,0,11630*1000*SER_hh_tes!P26/SER_hh_num!P26)</f>
        <v>9376.6570638729081</v>
      </c>
      <c r="Q26" s="65">
        <f>IF(SER_hh_tes!Q26=0,0,11630*1000*SER_hh_tes!Q26/SER_hh_num!Q26)</f>
        <v>8972.7206986269812</v>
      </c>
      <c r="R26" s="65">
        <f>IF(SER_hh_tes!R26=0,0,11630*1000*SER_hh_tes!R26/SER_hh_num!R26)</f>
        <v>9224.7699048338</v>
      </c>
      <c r="S26" s="65">
        <f>IF(SER_hh_tes!S26=0,0,11630*1000*SER_hh_tes!S26/SER_hh_num!S26)</f>
        <v>9753.8708095156599</v>
      </c>
      <c r="T26" s="65">
        <f>IF(SER_hh_tes!T26=0,0,11630*1000*SER_hh_tes!T26/SER_hh_num!T26)</f>
        <v>8723.9610146934374</v>
      </c>
      <c r="U26" s="65">
        <f>IF(SER_hh_tes!U26=0,0,11630*1000*SER_hh_tes!U26/SER_hh_num!U26)</f>
        <v>9385.9788728351887</v>
      </c>
      <c r="V26" s="65">
        <f>IF(SER_hh_tes!V26=0,0,11630*1000*SER_hh_tes!V26/SER_hh_num!V26)</f>
        <v>7299.4783853762519</v>
      </c>
      <c r="W26" s="65">
        <f>IF(SER_hh_tes!W26=0,0,11630*1000*SER_hh_tes!W26/SER_hh_num!W26)</f>
        <v>9181.1129004521899</v>
      </c>
      <c r="X26" s="65">
        <f>IF(SER_hh_tes!X26=0,0,11630*1000*SER_hh_tes!X26/SER_hh_num!X26)</f>
        <v>9421.517168045666</v>
      </c>
      <c r="Y26" s="65">
        <f>IF(SER_hh_tes!Y26=0,0,11630*1000*SER_hh_tes!Y26/SER_hh_num!Y26)</f>
        <v>6724.1556942108618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106.94882763483746</v>
      </c>
      <c r="C27" s="145">
        <f>IF(SER_hh_tes!C27=0,0,11630*1000*SER_hh_tes!C27/SER_hh_num!C19)</f>
        <v>106.87152193277041</v>
      </c>
      <c r="D27" s="145">
        <f>IF(SER_hh_tes!D27=0,0,11630*1000*SER_hh_tes!D27/SER_hh_num!D19)</f>
        <v>106.4027167891357</v>
      </c>
      <c r="E27" s="145">
        <f>IF(SER_hh_tes!E27=0,0,11630*1000*SER_hh_tes!E27/SER_hh_num!E19)</f>
        <v>106.18134585271321</v>
      </c>
      <c r="F27" s="145">
        <f>IF(SER_hh_tes!F27=0,0,11630*1000*SER_hh_tes!F27/SER_hh_num!F19)</f>
        <v>108.23171773695299</v>
      </c>
      <c r="G27" s="145">
        <f>IF(SER_hh_tes!G27=0,0,11630*1000*SER_hh_tes!G27/SER_hh_num!G19)</f>
        <v>112.26943997513378</v>
      </c>
      <c r="H27" s="145">
        <f>IF(SER_hh_tes!H27=0,0,11630*1000*SER_hh_tes!H27/SER_hh_num!H19)</f>
        <v>116.08721402778828</v>
      </c>
      <c r="I27" s="145">
        <f>IF(SER_hh_tes!I27=0,0,11630*1000*SER_hh_tes!I27/SER_hh_num!I19)</f>
        <v>122.58704643692639</v>
      </c>
      <c r="J27" s="145">
        <f>IF(SER_hh_tes!J27=0,0,11630*1000*SER_hh_tes!J27/SER_hh_num!J19)</f>
        <v>128.72806172910194</v>
      </c>
      <c r="K27" s="145">
        <f>IF(SER_hh_tes!K27=0,0,11630*1000*SER_hh_tes!K27/SER_hh_num!K19)</f>
        <v>135.64258419934609</v>
      </c>
      <c r="L27" s="145">
        <f>IF(SER_hh_tes!L27=0,0,11630*1000*SER_hh_tes!L27/SER_hh_num!L19)</f>
        <v>138.14635488577321</v>
      </c>
      <c r="M27" s="145">
        <f>IF(SER_hh_tes!M27=0,0,11630*1000*SER_hh_tes!M27/SER_hh_num!M19)</f>
        <v>144.40978744745922</v>
      </c>
      <c r="N27" s="145">
        <f>IF(SER_hh_tes!N27=0,0,11630*1000*SER_hh_tes!N27/SER_hh_num!N19)</f>
        <v>148.3597738919062</v>
      </c>
      <c r="O27" s="145">
        <f>IF(SER_hh_tes!O27=0,0,11630*1000*SER_hh_tes!O27/SER_hh_num!O19)</f>
        <v>152.44374304878679</v>
      </c>
      <c r="P27" s="145">
        <f>IF(SER_hh_tes!P27=0,0,11630*1000*SER_hh_tes!P27/SER_hh_num!P19)</f>
        <v>154.95147223802303</v>
      </c>
      <c r="Q27" s="145">
        <f>IF(SER_hh_tes!Q27=0,0,11630*1000*SER_hh_tes!Q27/SER_hh_num!Q19)</f>
        <v>158.26379906390889</v>
      </c>
      <c r="R27" s="145">
        <f>IF(SER_hh_tes!R27=0,0,11630*1000*SER_hh_tes!R27/SER_hh_num!R19)</f>
        <v>159.07488930338442</v>
      </c>
      <c r="S27" s="145">
        <f>IF(SER_hh_tes!S27=0,0,11630*1000*SER_hh_tes!S27/SER_hh_num!S19)</f>
        <v>159.73135623859264</v>
      </c>
      <c r="T27" s="145">
        <f>IF(SER_hh_tes!T27=0,0,11630*1000*SER_hh_tes!T27/SER_hh_num!T19)</f>
        <v>160.10743132488813</v>
      </c>
      <c r="U27" s="145">
        <f>IF(SER_hh_tes!U27=0,0,11630*1000*SER_hh_tes!U27/SER_hh_num!U19)</f>
        <v>160.72678414254491</v>
      </c>
      <c r="V27" s="145">
        <f>IF(SER_hh_tes!V27=0,0,11630*1000*SER_hh_tes!V27/SER_hh_num!V19)</f>
        <v>159.39033284643358</v>
      </c>
      <c r="W27" s="145">
        <f>IF(SER_hh_tes!W27=0,0,11630*1000*SER_hh_tes!W27/SER_hh_num!W19)</f>
        <v>144.53505448592776</v>
      </c>
      <c r="X27" s="145">
        <f>IF(SER_hh_tes!X27=0,0,11630*1000*SER_hh_tes!X27/SER_hh_num!X19)</f>
        <v>164.72572427568051</v>
      </c>
      <c r="Y27" s="145">
        <f>IF(SER_hh_tes!Y27=0,0,11630*1000*SER_hh_tes!Y27/SER_hh_num!Y19)</f>
        <v>153.15001380249169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4090.3264060134411</v>
      </c>
      <c r="C28" s="146">
        <f>IF(SER_hh_tes!C27=0,0,11630*1000*SER_hh_tes!C27/SER_hh_num!C27)</f>
        <v>4158.878746817355</v>
      </c>
      <c r="D28" s="146">
        <f>IF(SER_hh_tes!D27=0,0,11630*1000*SER_hh_tes!D27/SER_hh_num!D27)</f>
        <v>4074.3943517368721</v>
      </c>
      <c r="E28" s="146">
        <f>IF(SER_hh_tes!E27=0,0,11630*1000*SER_hh_tes!E27/SER_hh_num!E27)</f>
        <v>4124.526240437528</v>
      </c>
      <c r="F28" s="146">
        <f>IF(SER_hh_tes!F27=0,0,11630*1000*SER_hh_tes!F27/SER_hh_num!F27)</f>
        <v>4129.582391734355</v>
      </c>
      <c r="G28" s="146">
        <f>IF(SER_hh_tes!G27=0,0,11630*1000*SER_hh_tes!G27/SER_hh_num!G27)</f>
        <v>4055.2083425151814</v>
      </c>
      <c r="H28" s="146">
        <f>IF(SER_hh_tes!H27=0,0,11630*1000*SER_hh_tes!H27/SER_hh_num!H27)</f>
        <v>4052.2485792873376</v>
      </c>
      <c r="I28" s="146">
        <f>IF(SER_hh_tes!I27=0,0,11630*1000*SER_hh_tes!I27/SER_hh_num!I27)</f>
        <v>4118.7948795363063</v>
      </c>
      <c r="J28" s="146">
        <f>IF(SER_hh_tes!J27=0,0,11630*1000*SER_hh_tes!J27/SER_hh_num!J27)</f>
        <v>4296.1180982792994</v>
      </c>
      <c r="K28" s="146">
        <f>IF(SER_hh_tes!K27=0,0,11630*1000*SER_hh_tes!K27/SER_hh_num!K27)</f>
        <v>4751.9438236385404</v>
      </c>
      <c r="L28" s="146">
        <f>IF(SER_hh_tes!L27=0,0,11630*1000*SER_hh_tes!L27/SER_hh_num!L27)</f>
        <v>4030.5193638044916</v>
      </c>
      <c r="M28" s="146">
        <f>IF(SER_hh_tes!M27=0,0,11630*1000*SER_hh_tes!M27/SER_hh_num!M27)</f>
        <v>4142.5194937459055</v>
      </c>
      <c r="N28" s="146">
        <f>IF(SER_hh_tes!N27=0,0,11630*1000*SER_hh_tes!N27/SER_hh_num!N27)</f>
        <v>4317.2593020402537</v>
      </c>
      <c r="O28" s="146">
        <f>IF(SER_hh_tes!O27=0,0,11630*1000*SER_hh_tes!O27/SER_hh_num!O27)</f>
        <v>4060.4472375941023</v>
      </c>
      <c r="P28" s="146">
        <f>IF(SER_hh_tes!P27=0,0,11630*1000*SER_hh_tes!P27/SER_hh_num!P27)</f>
        <v>4333.800166677318</v>
      </c>
      <c r="Q28" s="146">
        <f>IF(SER_hh_tes!Q27=0,0,11630*1000*SER_hh_tes!Q27/SER_hh_num!Q27)</f>
        <v>4213.829922999058</v>
      </c>
      <c r="R28" s="146">
        <f>IF(SER_hh_tes!R27=0,0,11630*1000*SER_hh_tes!R27/SER_hh_num!R27)</f>
        <v>4222.7391840988312</v>
      </c>
      <c r="S28" s="146">
        <f>IF(SER_hh_tes!S27=0,0,11630*1000*SER_hh_tes!S27/SER_hh_num!S27)</f>
        <v>4508.3902948025388</v>
      </c>
      <c r="T28" s="146">
        <f>IF(SER_hh_tes!T27=0,0,11630*1000*SER_hh_tes!T27/SER_hh_num!T27)</f>
        <v>4412.4645843373582</v>
      </c>
      <c r="U28" s="146">
        <f>IF(SER_hh_tes!U27=0,0,11630*1000*SER_hh_tes!U27/SER_hh_num!U27)</f>
        <v>4247.6906717717447</v>
      </c>
      <c r="V28" s="146">
        <f>IF(SER_hh_tes!V27=0,0,11630*1000*SER_hh_tes!V27/SER_hh_num!V27)</f>
        <v>3668.7848579099655</v>
      </c>
      <c r="W28" s="146">
        <f>IF(SER_hh_tes!W27=0,0,11630*1000*SER_hh_tes!W27/SER_hh_num!W27)</f>
        <v>3695.1838938507335</v>
      </c>
      <c r="X28" s="146">
        <f>IF(SER_hh_tes!X27=0,0,11630*1000*SER_hh_tes!X27/SER_hh_num!X27)</f>
        <v>5501.8225146568375</v>
      </c>
      <c r="Y28" s="146">
        <f>IF(SER_hh_tes!Y27=0,0,11630*1000*SER_hh_tes!Y27/SER_hh_num!Y27)</f>
        <v>4533.0230966060626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8052.8927583575141</v>
      </c>
      <c r="C29" s="130">
        <f>IF(SER_hh_tes!C29=0,0,11630*1000*SER_hh_tes!C29/SER_hh_num!C29)</f>
        <v>8072.0281750428721</v>
      </c>
      <c r="D29" s="130">
        <f>IF(SER_hh_tes!D29=0,0,11630*1000*SER_hh_tes!D29/SER_hh_num!D29)</f>
        <v>8119.2008346479897</v>
      </c>
      <c r="E29" s="130">
        <f>IF(SER_hh_tes!E29=0,0,11630*1000*SER_hh_tes!E29/SER_hh_num!E29)</f>
        <v>8324.2431307291954</v>
      </c>
      <c r="F29" s="130">
        <f>IF(SER_hh_tes!F29=0,0,11630*1000*SER_hh_tes!F29/SER_hh_num!F29)</f>
        <v>8431.7142686927764</v>
      </c>
      <c r="G29" s="130">
        <f>IF(SER_hh_tes!G29=0,0,11630*1000*SER_hh_tes!G29/SER_hh_num!G29)</f>
        <v>8437.2913285579471</v>
      </c>
      <c r="H29" s="130">
        <f>IF(SER_hh_tes!H29=0,0,11630*1000*SER_hh_tes!H29/SER_hh_num!H29)</f>
        <v>8545.2571977022253</v>
      </c>
      <c r="I29" s="130">
        <f>IF(SER_hh_tes!I29=0,0,11630*1000*SER_hh_tes!I29/SER_hh_num!I29)</f>
        <v>8452.7104646355147</v>
      </c>
      <c r="J29" s="130">
        <f>IF(SER_hh_tes!J29=0,0,11630*1000*SER_hh_tes!J29/SER_hh_num!J29)</f>
        <v>8523.7223615293606</v>
      </c>
      <c r="K29" s="130">
        <f>IF(SER_hh_tes!K29=0,0,11630*1000*SER_hh_tes!K29/SER_hh_num!K29)</f>
        <v>8535.1252645790173</v>
      </c>
      <c r="L29" s="130">
        <f>IF(SER_hh_tes!L29=0,0,11630*1000*SER_hh_tes!L29/SER_hh_num!L29)</f>
        <v>8512.521158591182</v>
      </c>
      <c r="M29" s="130">
        <f>IF(SER_hh_tes!M29=0,0,11630*1000*SER_hh_tes!M29/SER_hh_num!M29)</f>
        <v>8695.4112318722109</v>
      </c>
      <c r="N29" s="130">
        <f>IF(SER_hh_tes!N29=0,0,11630*1000*SER_hh_tes!N29/SER_hh_num!N29)</f>
        <v>8765.4692808927266</v>
      </c>
      <c r="O29" s="130">
        <f>IF(SER_hh_tes!O29=0,0,11630*1000*SER_hh_tes!O29/SER_hh_num!O29)</f>
        <v>8757.0031026827637</v>
      </c>
      <c r="P29" s="130">
        <f>IF(SER_hh_tes!P29=0,0,11630*1000*SER_hh_tes!P29/SER_hh_num!P29)</f>
        <v>8641.2183294283768</v>
      </c>
      <c r="Q29" s="130">
        <f>IF(SER_hh_tes!Q29=0,0,11630*1000*SER_hh_tes!Q29/SER_hh_num!Q29)</f>
        <v>8550.876617649119</v>
      </c>
      <c r="R29" s="130">
        <f>IF(SER_hh_tes!R29=0,0,11630*1000*SER_hh_tes!R29/SER_hh_num!R29)</f>
        <v>8678.9162252719034</v>
      </c>
      <c r="S29" s="130">
        <f>IF(SER_hh_tes!S29=0,0,11630*1000*SER_hh_tes!S29/SER_hh_num!S29)</f>
        <v>8811.2088361370625</v>
      </c>
      <c r="T29" s="130">
        <f>IF(SER_hh_tes!T29=0,0,11630*1000*SER_hh_tes!T29/SER_hh_num!T29)</f>
        <v>8552.01076308763</v>
      </c>
      <c r="U29" s="130">
        <f>IF(SER_hh_tes!U29=0,0,11630*1000*SER_hh_tes!U29/SER_hh_num!U29)</f>
        <v>8478.4509690520645</v>
      </c>
      <c r="V29" s="130">
        <f>IF(SER_hh_tes!V29=0,0,11630*1000*SER_hh_tes!V29/SER_hh_num!V29)</f>
        <v>6935.3898406229828</v>
      </c>
      <c r="W29" s="130">
        <f>IF(SER_hh_tes!W29=0,0,11630*1000*SER_hh_tes!W29/SER_hh_num!W29)</f>
        <v>7362.824398072672</v>
      </c>
      <c r="X29" s="130">
        <f>IF(SER_hh_tes!X29=0,0,11630*1000*SER_hh_tes!X29/SER_hh_num!X29)</f>
        <v>7285.4407103814747</v>
      </c>
      <c r="Y29" s="130">
        <f>IF(SER_hh_tes!Y29=0,0,11630*1000*SER_hh_tes!Y29/SER_hh_num!Y29)</f>
        <v>6056.7187443297998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8056.0901307855074</v>
      </c>
      <c r="C30" s="132">
        <f>IF(SER_hh_tes!C30=0,0,11630*1000*SER_hh_tes!C30/SER_hh_num!C30)</f>
        <v>8076.3827332611991</v>
      </c>
      <c r="D30" s="132">
        <f>IF(SER_hh_tes!D30=0,0,11630*1000*SER_hh_tes!D30/SER_hh_num!D30)</f>
        <v>7227.7612716727717</v>
      </c>
      <c r="E30" s="132">
        <f>IF(SER_hh_tes!E30=0,0,11630*1000*SER_hh_tes!E30/SER_hh_num!E30)</f>
        <v>8110.2355572017777</v>
      </c>
      <c r="F30" s="132">
        <f>IF(SER_hh_tes!F30=0,0,11630*1000*SER_hh_tes!F30/SER_hh_num!F30)</f>
        <v>8579.3988860432964</v>
      </c>
      <c r="G30" s="132">
        <f>IF(SER_hh_tes!G30=0,0,11630*1000*SER_hh_tes!G30/SER_hh_num!G30)</f>
        <v>9057.1990420730344</v>
      </c>
      <c r="H30" s="132">
        <f>IF(SER_hh_tes!H30=0,0,11630*1000*SER_hh_tes!H30/SER_hh_num!H30)</f>
        <v>8636.5651509528761</v>
      </c>
      <c r="I30" s="132">
        <f>IF(SER_hh_tes!I30=0,0,11630*1000*SER_hh_tes!I30/SER_hh_num!I30)</f>
        <v>8491.0323814329658</v>
      </c>
      <c r="J30" s="132">
        <f>IF(SER_hh_tes!J30=0,0,11630*1000*SER_hh_tes!J30/SER_hh_num!J30)</f>
        <v>8236.3802989793239</v>
      </c>
      <c r="K30" s="132">
        <f>IF(SER_hh_tes!K30=0,0,11630*1000*SER_hh_tes!K30/SER_hh_num!K30)</f>
        <v>7880.1770986106067</v>
      </c>
      <c r="L30" s="132">
        <f>IF(SER_hh_tes!L30=0,0,11630*1000*SER_hh_tes!L30/SER_hh_num!L30)</f>
        <v>9803.5896143600639</v>
      </c>
      <c r="M30" s="132">
        <f>IF(SER_hh_tes!M30=0,0,11630*1000*SER_hh_tes!M30/SER_hh_num!M30)</f>
        <v>8782.438335569881</v>
      </c>
      <c r="N30" s="132">
        <f>IF(SER_hh_tes!N30=0,0,11630*1000*SER_hh_tes!N30/SER_hh_num!N30)</f>
        <v>8161.6848376064936</v>
      </c>
      <c r="O30" s="132">
        <f>IF(SER_hh_tes!O30=0,0,11630*1000*SER_hh_tes!O30/SER_hh_num!O30)</f>
        <v>9627.7368407096401</v>
      </c>
      <c r="P30" s="132">
        <f>IF(SER_hh_tes!P30=0,0,11630*1000*SER_hh_tes!P30/SER_hh_num!P30)</f>
        <v>5130.7511873370095</v>
      </c>
      <c r="Q30" s="132">
        <f>IF(SER_hh_tes!Q30=0,0,11630*1000*SER_hh_tes!Q30/SER_hh_num!Q30)</f>
        <v>9620.1393877466453</v>
      </c>
      <c r="R30" s="132">
        <f>IF(SER_hh_tes!R30=0,0,11630*1000*SER_hh_tes!R30/SER_hh_num!R30)</f>
        <v>9255.2990224049954</v>
      </c>
      <c r="S30" s="132">
        <f>IF(SER_hh_tes!S30=0,0,11630*1000*SER_hh_tes!S30/SER_hh_num!S30)</f>
        <v>8644.7854933592953</v>
      </c>
      <c r="T30" s="132">
        <f>IF(SER_hh_tes!T30=0,0,11630*1000*SER_hh_tes!T30/SER_hh_num!T30)</f>
        <v>8665.8336546431383</v>
      </c>
      <c r="U30" s="132">
        <f>IF(SER_hh_tes!U30=0,0,11630*1000*SER_hh_tes!U30/SER_hh_num!U30)</f>
        <v>8393.5361271580005</v>
      </c>
      <c r="V30" s="132">
        <f>IF(SER_hh_tes!V30=0,0,11630*1000*SER_hh_tes!V30/SER_hh_num!V30)</f>
        <v>6865.1813922323163</v>
      </c>
      <c r="W30" s="132">
        <f>IF(SER_hh_tes!W30=0,0,11630*1000*SER_hh_tes!W30/SER_hh_num!W30)</f>
        <v>6923.8902830125926</v>
      </c>
      <c r="X30" s="132">
        <f>IF(SER_hh_tes!X30=0,0,11630*1000*SER_hh_tes!X30/SER_hh_num!X30)</f>
        <v>7021.7724901502406</v>
      </c>
      <c r="Y30" s="132">
        <f>IF(SER_hh_tes!Y30=0,0,11630*1000*SER_hh_tes!Y30/SER_hh_num!Y30)</f>
        <v>6525.6683470361158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8034.1317624581634</v>
      </c>
      <c r="C31" s="132">
        <f>IF(SER_hh_tes!C31=0,0,11630*1000*SER_hh_tes!C31/SER_hh_num!C31)</f>
        <v>8051.7635097448137</v>
      </c>
      <c r="D31" s="132">
        <f>IF(SER_hh_tes!D31=0,0,11630*1000*SER_hh_tes!D31/SER_hh_num!D31)</f>
        <v>8135.1946768086673</v>
      </c>
      <c r="E31" s="132">
        <f>IF(SER_hh_tes!E31=0,0,11630*1000*SER_hh_tes!E31/SER_hh_num!E31)</f>
        <v>8264.5834300707611</v>
      </c>
      <c r="F31" s="132">
        <f>IF(SER_hh_tes!F31=0,0,11630*1000*SER_hh_tes!F31/SER_hh_num!F31)</f>
        <v>8190.3094805993214</v>
      </c>
      <c r="G31" s="132">
        <f>IF(SER_hh_tes!G31=0,0,11630*1000*SER_hh_tes!G31/SER_hh_num!G31)</f>
        <v>8605.6609504469907</v>
      </c>
      <c r="H31" s="132">
        <f>IF(SER_hh_tes!H31=0,0,11630*1000*SER_hh_tes!H31/SER_hh_num!H31)</f>
        <v>8595.633481277493</v>
      </c>
      <c r="I31" s="132">
        <f>IF(SER_hh_tes!I31=0,0,11630*1000*SER_hh_tes!I31/SER_hh_num!I31)</f>
        <v>8496.5682378511901</v>
      </c>
      <c r="J31" s="132">
        <f>IF(SER_hh_tes!J31=0,0,11630*1000*SER_hh_tes!J31/SER_hh_num!J31)</f>
        <v>8490.1925139435989</v>
      </c>
      <c r="K31" s="132">
        <f>IF(SER_hh_tes!K31=0,0,11630*1000*SER_hh_tes!K31/SER_hh_num!K31)</f>
        <v>8620.7519727125928</v>
      </c>
      <c r="L31" s="132">
        <f>IF(SER_hh_tes!L31=0,0,11630*1000*SER_hh_tes!L31/SER_hh_num!L31)</f>
        <v>8666.3031454991851</v>
      </c>
      <c r="M31" s="132">
        <f>IF(SER_hh_tes!M31=0,0,11630*1000*SER_hh_tes!M31/SER_hh_num!M31)</f>
        <v>8651.2160963780243</v>
      </c>
      <c r="N31" s="132">
        <f>IF(SER_hh_tes!N31=0,0,11630*1000*SER_hh_tes!N31/SER_hh_num!N31)</f>
        <v>8727.823842776228</v>
      </c>
      <c r="O31" s="132">
        <f>IF(SER_hh_tes!O31=0,0,11630*1000*SER_hh_tes!O31/SER_hh_num!O31)</f>
        <v>8642.4625808717137</v>
      </c>
      <c r="P31" s="132">
        <f>IF(SER_hh_tes!P31=0,0,11630*1000*SER_hh_tes!P31/SER_hh_num!P31)</f>
        <v>8216.0971387272948</v>
      </c>
      <c r="Q31" s="132">
        <f>IF(SER_hh_tes!Q31=0,0,11630*1000*SER_hh_tes!Q31/SER_hh_num!Q31)</f>
        <v>9034.3195031485939</v>
      </c>
      <c r="R31" s="132">
        <f>IF(SER_hh_tes!R31=0,0,11630*1000*SER_hh_tes!R31/SER_hh_num!R31)</f>
        <v>8863.3390931793019</v>
      </c>
      <c r="S31" s="132">
        <f>IF(SER_hh_tes!S31=0,0,11630*1000*SER_hh_tes!S31/SER_hh_num!S31)</f>
        <v>8113.8039752296236</v>
      </c>
      <c r="T31" s="132">
        <f>IF(SER_hh_tes!T31=0,0,11630*1000*SER_hh_tes!T31/SER_hh_num!T31)</f>
        <v>8639.5075949976454</v>
      </c>
      <c r="U31" s="132">
        <f>IF(SER_hh_tes!U31=0,0,11630*1000*SER_hh_tes!U31/SER_hh_num!U31)</f>
        <v>9385.6585537544161</v>
      </c>
      <c r="V31" s="132">
        <f>IF(SER_hh_tes!V31=0,0,11630*1000*SER_hh_tes!V31/SER_hh_num!V31)</f>
        <v>5528.556654405128</v>
      </c>
      <c r="W31" s="132">
        <f>IF(SER_hh_tes!W31=0,0,11630*1000*SER_hh_tes!W31/SER_hh_num!W31)</f>
        <v>7240.408132159384</v>
      </c>
      <c r="X31" s="132">
        <f>IF(SER_hh_tes!X31=0,0,11630*1000*SER_hh_tes!X31/SER_hh_num!X31)</f>
        <v>6416.0424556998469</v>
      </c>
      <c r="Y31" s="132">
        <f>IF(SER_hh_tes!Y31=0,0,11630*1000*SER_hh_tes!Y31/SER_hh_num!Y31)</f>
        <v>6895.2646771814088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8056.7003654222253</v>
      </c>
      <c r="C33" s="68">
        <f>IF(SER_hh_tes!C33=0,0,11630*1000*SER_hh_tes!C33/SER_hh_num!C33)</f>
        <v>8076.0417168863605</v>
      </c>
      <c r="D33" s="68">
        <f>IF(SER_hh_tes!D33=0,0,11630*1000*SER_hh_tes!D33/SER_hh_num!D33)</f>
        <v>8141.2531688114495</v>
      </c>
      <c r="E33" s="68">
        <f>IF(SER_hh_tes!E33=0,0,11630*1000*SER_hh_tes!E33/SER_hh_num!E33)</f>
        <v>8343.3369042951617</v>
      </c>
      <c r="F33" s="68">
        <f>IF(SER_hh_tes!F33=0,0,11630*1000*SER_hh_tes!F33/SER_hh_num!F33)</f>
        <v>8475.2224287347817</v>
      </c>
      <c r="G33" s="68">
        <f>IF(SER_hh_tes!G33=0,0,11630*1000*SER_hh_tes!G33/SER_hh_num!G33)</f>
        <v>8374.6178825318675</v>
      </c>
      <c r="H33" s="68">
        <f>IF(SER_hh_tes!H33=0,0,11630*1000*SER_hh_tes!H33/SER_hh_num!H33)</f>
        <v>8530.313211848912</v>
      </c>
      <c r="I33" s="68">
        <f>IF(SER_hh_tes!I33=0,0,11630*1000*SER_hh_tes!I33/SER_hh_num!I33)</f>
        <v>8441.6090664480471</v>
      </c>
      <c r="J33" s="68">
        <f>IF(SER_hh_tes!J33=0,0,11630*1000*SER_hh_tes!J33/SER_hh_num!J33)</f>
        <v>8543.9741340498022</v>
      </c>
      <c r="K33" s="68">
        <f>IF(SER_hh_tes!K33=0,0,11630*1000*SER_hh_tes!K33/SER_hh_num!K33)</f>
        <v>8547.3852350844445</v>
      </c>
      <c r="L33" s="68">
        <f>IF(SER_hh_tes!L33=0,0,11630*1000*SER_hh_tes!L33/SER_hh_num!L33)</f>
        <v>8417.5985342467629</v>
      </c>
      <c r="M33" s="68">
        <f>IF(SER_hh_tes!M33=0,0,11630*1000*SER_hh_tes!M33/SER_hh_num!M33)</f>
        <v>8700.2265245155177</v>
      </c>
      <c r="N33" s="68">
        <f>IF(SER_hh_tes!N33=0,0,11630*1000*SER_hh_tes!N33/SER_hh_num!N33)</f>
        <v>8798.7550218032848</v>
      </c>
      <c r="O33" s="68">
        <f>IF(SER_hh_tes!O33=0,0,11630*1000*SER_hh_tes!O33/SER_hh_num!O33)</f>
        <v>8742.4835349781988</v>
      </c>
      <c r="P33" s="68">
        <f>IF(SER_hh_tes!P33=0,0,11630*1000*SER_hh_tes!P33/SER_hh_num!P33)</f>
        <v>8883.7801355629799</v>
      </c>
      <c r="Q33" s="68">
        <f>IF(SER_hh_tes!Q33=0,0,11630*1000*SER_hh_tes!Q33/SER_hh_num!Q33)</f>
        <v>8397.6961499009813</v>
      </c>
      <c r="R33" s="68">
        <f>IF(SER_hh_tes!R33=0,0,11630*1000*SER_hh_tes!R33/SER_hh_num!R33)</f>
        <v>8608.8308426921139</v>
      </c>
      <c r="S33" s="68">
        <f>IF(SER_hh_tes!S33=0,0,11630*1000*SER_hh_tes!S33/SER_hh_num!S33)</f>
        <v>8966.5526366847971</v>
      </c>
      <c r="T33" s="68">
        <f>IF(SER_hh_tes!T33=0,0,11630*1000*SER_hh_tes!T33/SER_hh_num!T33)</f>
        <v>8526.4131909836415</v>
      </c>
      <c r="U33" s="68">
        <f>IF(SER_hh_tes!U33=0,0,11630*1000*SER_hh_tes!U33/SER_hh_num!U33)</f>
        <v>8280.2466247884277</v>
      </c>
      <c r="V33" s="68">
        <f>IF(SER_hh_tes!V33=0,0,11630*1000*SER_hh_tes!V33/SER_hh_num!V33)</f>
        <v>7270.3269942693214</v>
      </c>
      <c r="W33" s="68">
        <f>IF(SER_hh_tes!W33=0,0,11630*1000*SER_hh_tes!W33/SER_hh_num!W33)</f>
        <v>7425.4322144114385</v>
      </c>
      <c r="X33" s="68">
        <f>IF(SER_hh_tes!X33=0,0,11630*1000*SER_hh_tes!X33/SER_hh_num!X33)</f>
        <v>7577.7680169112864</v>
      </c>
      <c r="Y33" s="68">
        <f>IF(SER_hh_tes!Y33=0,0,11630*1000*SER_hh_tes!Y33/SER_hh_num!Y33)</f>
        <v>5668.6497884613627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7347.9466786130861</v>
      </c>
      <c r="C3" s="125">
        <f>IF(SER_hh_emi!C3=0,0,1000000*SER_hh_emi!C3/SER_hh_num!C3)</f>
        <v>6902.4356948953809</v>
      </c>
      <c r="D3" s="125">
        <f>IF(SER_hh_emi!D3=0,0,1000000*SER_hh_emi!D3/SER_hh_num!D3)</f>
        <v>6825.5568159727218</v>
      </c>
      <c r="E3" s="125">
        <f>IF(SER_hh_emi!E3=0,0,1000000*SER_hh_emi!E3/SER_hh_num!E3)</f>
        <v>7379.2457729991092</v>
      </c>
      <c r="F3" s="125">
        <f>IF(SER_hh_emi!F3=0,0,1000000*SER_hh_emi!F3/SER_hh_num!F3)</f>
        <v>7208.701598361954</v>
      </c>
      <c r="G3" s="125">
        <f>IF(SER_hh_emi!G3=0,0,1000000*SER_hh_emi!G3/SER_hh_num!G3)</f>
        <v>7001.4445156461888</v>
      </c>
      <c r="H3" s="125">
        <f>IF(SER_hh_emi!H3=0,0,1000000*SER_hh_emi!H3/SER_hh_num!H3)</f>
        <v>6897.1374635186257</v>
      </c>
      <c r="I3" s="125">
        <f>IF(SER_hh_emi!I3=0,0,1000000*SER_hh_emi!I3/SER_hh_num!I3)</f>
        <v>6089.1063156041073</v>
      </c>
      <c r="J3" s="125">
        <f>IF(SER_hh_emi!J3=0,0,1000000*SER_hh_emi!J3/SER_hh_num!J3)</f>
        <v>5916.3376238060464</v>
      </c>
      <c r="K3" s="125">
        <f>IF(SER_hh_emi!K3=0,0,1000000*SER_hh_emi!K3/SER_hh_num!K3)</f>
        <v>5634.5530442393665</v>
      </c>
      <c r="L3" s="125">
        <f>IF(SER_hh_emi!L3=0,0,1000000*SER_hh_emi!L3/SER_hh_num!L3)</f>
        <v>5441.6926568582439</v>
      </c>
      <c r="M3" s="125">
        <f>IF(SER_hh_emi!M3=0,0,1000000*SER_hh_emi!M3/SER_hh_num!M3)</f>
        <v>4334.1432512487354</v>
      </c>
      <c r="N3" s="125">
        <f>IF(SER_hh_emi!N3=0,0,1000000*SER_hh_emi!N3/SER_hh_num!N3)</f>
        <v>4820.9469808306494</v>
      </c>
      <c r="O3" s="125">
        <f>IF(SER_hh_emi!O3=0,0,1000000*SER_hh_emi!O3/SER_hh_num!O3)</f>
        <v>4842.7510388855535</v>
      </c>
      <c r="P3" s="125">
        <f>IF(SER_hh_emi!P3=0,0,1000000*SER_hh_emi!P3/SER_hh_num!P3)</f>
        <v>3841.7141545240879</v>
      </c>
      <c r="Q3" s="125">
        <f>IF(SER_hh_emi!Q3=0,0,1000000*SER_hh_emi!Q3/SER_hh_num!Q3)</f>
        <v>4582.0226190556341</v>
      </c>
      <c r="R3" s="125">
        <f>IF(SER_hh_emi!R3=0,0,1000000*SER_hh_emi!R3/SER_hh_num!R3)</f>
        <v>4583.4732584963031</v>
      </c>
      <c r="S3" s="125">
        <f>IF(SER_hh_emi!S3=0,0,1000000*SER_hh_emi!S3/SER_hh_num!S3)</f>
        <v>4672.3536573608981</v>
      </c>
      <c r="T3" s="125">
        <f>IF(SER_hh_emi!T3=0,0,1000000*SER_hh_emi!T3/SER_hh_num!T3)</f>
        <v>4083.1892994729305</v>
      </c>
      <c r="U3" s="125">
        <f>IF(SER_hh_emi!U3=0,0,1000000*SER_hh_emi!U3/SER_hh_num!U3)</f>
        <v>3601.1917618825482</v>
      </c>
      <c r="V3" s="125">
        <f>IF(SER_hh_emi!V3=0,0,1000000*SER_hh_emi!V3/SER_hh_num!V3)</f>
        <v>3355.4617042407363</v>
      </c>
      <c r="W3" s="125">
        <f>IF(SER_hh_emi!W3=0,0,1000000*SER_hh_emi!W3/SER_hh_num!W3)</f>
        <v>3927.7003698454641</v>
      </c>
      <c r="X3" s="125">
        <f>IF(SER_hh_emi!X3=0,0,1000000*SER_hh_emi!X3/SER_hh_num!X3)</f>
        <v>3146.7472164017513</v>
      </c>
      <c r="Y3" s="125">
        <f>IF(SER_hh_emi!Y3=0,0,1000000*SER_hh_emi!Y3/SER_hh_num!Y3)</f>
        <v>2821.7215737578945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6147.1401529414889</v>
      </c>
      <c r="C4" s="130">
        <f>IF(SER_hh_emi!C4=0,0,1000000*SER_hh_emi!C4/SER_hh_num!C4)</f>
        <v>5738.6786202698177</v>
      </c>
      <c r="D4" s="130">
        <f>IF(SER_hh_emi!D4=0,0,1000000*SER_hh_emi!D4/SER_hh_num!D4)</f>
        <v>5670.6428218125193</v>
      </c>
      <c r="E4" s="130">
        <f>IF(SER_hh_emi!E4=0,0,1000000*SER_hh_emi!E4/SER_hh_num!E4)</f>
        <v>6145.6848878924293</v>
      </c>
      <c r="F4" s="130">
        <f>IF(SER_hh_emi!F4=0,0,1000000*SER_hh_emi!F4/SER_hh_num!F4)</f>
        <v>5977.5119974438685</v>
      </c>
      <c r="G4" s="130">
        <f>IF(SER_hh_emi!G4=0,0,1000000*SER_hh_emi!G4/SER_hh_num!G4)</f>
        <v>5701.6340286889917</v>
      </c>
      <c r="H4" s="130">
        <f>IF(SER_hh_emi!H4=0,0,1000000*SER_hh_emi!H4/SER_hh_num!H4)</f>
        <v>5615.4677544919368</v>
      </c>
      <c r="I4" s="130">
        <f>IF(SER_hh_emi!I4=0,0,1000000*SER_hh_emi!I4/SER_hh_num!I4)</f>
        <v>4858.1476798689855</v>
      </c>
      <c r="J4" s="130">
        <f>IF(SER_hh_emi!J4=0,0,1000000*SER_hh_emi!J4/SER_hh_num!J4)</f>
        <v>4696.5721559128206</v>
      </c>
      <c r="K4" s="130">
        <f>IF(SER_hh_emi!K4=0,0,1000000*SER_hh_emi!K4/SER_hh_num!K4)</f>
        <v>4430.0162369556938</v>
      </c>
      <c r="L4" s="130">
        <f>IF(SER_hh_emi!L4=0,0,1000000*SER_hh_emi!L4/SER_hh_num!L4)</f>
        <v>4236.2215525935608</v>
      </c>
      <c r="M4" s="130">
        <f>IF(SER_hh_emi!M4=0,0,1000000*SER_hh_emi!M4/SER_hh_num!M4)</f>
        <v>3243.6392235993467</v>
      </c>
      <c r="N4" s="130">
        <f>IF(SER_hh_emi!N4=0,0,1000000*SER_hh_emi!N4/SER_hh_num!N4)</f>
        <v>3761.5464050172059</v>
      </c>
      <c r="O4" s="130">
        <f>IF(SER_hh_emi!O4=0,0,1000000*SER_hh_emi!O4/SER_hh_num!O4)</f>
        <v>3788.2589166928296</v>
      </c>
      <c r="P4" s="130">
        <f>IF(SER_hh_emi!P4=0,0,1000000*SER_hh_emi!P4/SER_hh_num!P4)</f>
        <v>2889.69500520768</v>
      </c>
      <c r="Q4" s="130">
        <f>IF(SER_hh_emi!Q4=0,0,1000000*SER_hh_emi!Q4/SER_hh_num!Q4)</f>
        <v>3453.0204430769559</v>
      </c>
      <c r="R4" s="130">
        <f>IF(SER_hh_emi!R4=0,0,1000000*SER_hh_emi!R4/SER_hh_num!R4)</f>
        <v>3486.9220854108944</v>
      </c>
      <c r="S4" s="130">
        <f>IF(SER_hh_emi!S4=0,0,1000000*SER_hh_emi!S4/SER_hh_num!S4)</f>
        <v>3628.8134139668095</v>
      </c>
      <c r="T4" s="130">
        <f>IF(SER_hh_emi!T4=0,0,1000000*SER_hh_emi!T4/SER_hh_num!T4)</f>
        <v>3035.2777075324734</v>
      </c>
      <c r="U4" s="130">
        <f>IF(SER_hh_emi!U4=0,0,1000000*SER_hh_emi!U4/SER_hh_num!U4)</f>
        <v>2580.4317666649231</v>
      </c>
      <c r="V4" s="130">
        <f>IF(SER_hh_emi!V4=0,0,1000000*SER_hh_emi!V4/SER_hh_num!V4)</f>
        <v>2688.7803826151762</v>
      </c>
      <c r="W4" s="130">
        <f>IF(SER_hh_emi!W4=0,0,1000000*SER_hh_emi!W4/SER_hh_num!W4)</f>
        <v>3152.0696147483422</v>
      </c>
      <c r="X4" s="130">
        <f>IF(SER_hh_emi!X4=0,0,1000000*SER_hh_emi!X4/SER_hh_num!X4)</f>
        <v>2462.9930272484821</v>
      </c>
      <c r="Y4" s="130">
        <f>IF(SER_hh_emi!Y4=0,0,1000000*SER_hh_emi!Y4/SER_hh_num!Y4)</f>
        <v>2090.4284640563023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44707.503948133141</v>
      </c>
      <c r="C7" s="132">
        <f>IF(SER_hh_emi!C7=0,0,1000000*SER_hh_emi!C7/SER_hh_num!C7)</f>
        <v>43613.936023478571</v>
      </c>
      <c r="D7" s="132">
        <f>IF(SER_hh_emi!D7=0,0,1000000*SER_hh_emi!D7/SER_hh_num!D7)</f>
        <v>41936.103579702765</v>
      </c>
      <c r="E7" s="132">
        <f>IF(SER_hh_emi!E7=0,0,1000000*SER_hh_emi!E7/SER_hh_num!E7)</f>
        <v>42600.766831783672</v>
      </c>
      <c r="F7" s="132">
        <f>IF(SER_hh_emi!F7=0,0,1000000*SER_hh_emi!F7/SER_hh_num!F7)</f>
        <v>44814.453937614642</v>
      </c>
      <c r="G7" s="132">
        <f>IF(SER_hh_emi!G7=0,0,1000000*SER_hh_emi!G7/SER_hh_num!G7)</f>
        <v>42086.956048406719</v>
      </c>
      <c r="H7" s="132">
        <f>IF(SER_hh_emi!H7=0,0,1000000*SER_hh_emi!H7/SER_hh_num!H7)</f>
        <v>38402.91613057295</v>
      </c>
      <c r="I7" s="132">
        <f>IF(SER_hh_emi!I7=0,0,1000000*SER_hh_emi!I7/SER_hh_num!I7)</f>
        <v>36453.935508164723</v>
      </c>
      <c r="J7" s="132">
        <f>IF(SER_hh_emi!J7=0,0,1000000*SER_hh_emi!J7/SER_hh_num!J7)</f>
        <v>38418.567024959113</v>
      </c>
      <c r="K7" s="132">
        <f>IF(SER_hh_emi!K7=0,0,1000000*SER_hh_emi!K7/SER_hh_num!K7)</f>
        <v>36462.130063183708</v>
      </c>
      <c r="L7" s="132">
        <f>IF(SER_hh_emi!L7=0,0,1000000*SER_hh_emi!L7/SER_hh_num!L7)</f>
        <v>36263.160320084717</v>
      </c>
      <c r="M7" s="132">
        <f>IF(SER_hh_emi!M7=0,0,1000000*SER_hh_emi!M7/SER_hh_num!M7)</f>
        <v>28228.860866092135</v>
      </c>
      <c r="N7" s="132">
        <f>IF(SER_hh_emi!N7=0,0,1000000*SER_hh_emi!N7/SER_hh_num!N7)</f>
        <v>32438.560596082218</v>
      </c>
      <c r="O7" s="132">
        <f>IF(SER_hh_emi!O7=0,0,1000000*SER_hh_emi!O7/SER_hh_num!O7)</f>
        <v>28623.359479998802</v>
      </c>
      <c r="P7" s="132">
        <f>IF(SER_hh_emi!P7=0,0,1000000*SER_hh_emi!P7/SER_hh_num!P7)</f>
        <v>25265.195623927404</v>
      </c>
      <c r="Q7" s="132">
        <f>IF(SER_hh_emi!Q7=0,0,1000000*SER_hh_emi!Q7/SER_hh_num!Q7)</f>
        <v>26603.722549896705</v>
      </c>
      <c r="R7" s="132">
        <f>IF(SER_hh_emi!R7=0,0,1000000*SER_hh_emi!R7/SER_hh_num!R7)</f>
        <v>27213.567374932674</v>
      </c>
      <c r="S7" s="132">
        <f>IF(SER_hh_emi!S7=0,0,1000000*SER_hh_emi!S7/SER_hh_num!S7)</f>
        <v>26596.224399472863</v>
      </c>
      <c r="T7" s="132">
        <f>IF(SER_hh_emi!T7=0,0,1000000*SER_hh_emi!T7/SER_hh_num!T7)</f>
        <v>31297.815440073991</v>
      </c>
      <c r="U7" s="132">
        <f>IF(SER_hh_emi!U7=0,0,1000000*SER_hh_emi!U7/SER_hh_num!U7)</f>
        <v>19195.199548985063</v>
      </c>
      <c r="V7" s="132">
        <f>IF(SER_hh_emi!V7=0,0,1000000*SER_hh_emi!V7/SER_hh_num!V7)</f>
        <v>25199.117041368067</v>
      </c>
      <c r="W7" s="132">
        <f>IF(SER_hh_emi!W7=0,0,1000000*SER_hh_emi!W7/SER_hh_num!W7)</f>
        <v>19959.325992747072</v>
      </c>
      <c r="X7" s="132">
        <f>IF(SER_hh_emi!X7=0,0,1000000*SER_hh_emi!X7/SER_hh_num!X7)</f>
        <v>28231.524504486377</v>
      </c>
      <c r="Y7" s="132">
        <f>IF(SER_hh_emi!Y7=0,0,1000000*SER_hh_emi!Y7/SER_hh_num!Y7)</f>
        <v>22033.988596443287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14833.177037607287</v>
      </c>
      <c r="C8" s="132">
        <f>IF(SER_hh_emi!C8=0,0,1000000*SER_hh_emi!C8/SER_hh_num!C8)</f>
        <v>13828.187800448926</v>
      </c>
      <c r="D8" s="132">
        <f>IF(SER_hh_emi!D8=0,0,1000000*SER_hh_emi!D8/SER_hh_num!D8)</f>
        <v>12532.849661112019</v>
      </c>
      <c r="E8" s="132">
        <f>IF(SER_hh_emi!E8=0,0,1000000*SER_hh_emi!E8/SER_hh_num!E8)</f>
        <v>13543.318300167306</v>
      </c>
      <c r="F8" s="132">
        <f>IF(SER_hh_emi!F8=0,0,1000000*SER_hh_emi!F8/SER_hh_num!F8)</f>
        <v>12654.432846791846</v>
      </c>
      <c r="G8" s="132">
        <f>IF(SER_hh_emi!G8=0,0,1000000*SER_hh_emi!G8/SER_hh_num!G8)</f>
        <v>9814.9161181344971</v>
      </c>
      <c r="H8" s="132">
        <f>IF(SER_hh_emi!H8=0,0,1000000*SER_hh_emi!H8/SER_hh_num!H8)</f>
        <v>5472.2598246849439</v>
      </c>
      <c r="I8" s="132">
        <f>IF(SER_hh_emi!I8=0,0,1000000*SER_hh_emi!I8/SER_hh_num!I8)</f>
        <v>10687.48733914378</v>
      </c>
      <c r="J8" s="132">
        <f>IF(SER_hh_emi!J8=0,0,1000000*SER_hh_emi!J8/SER_hh_num!J8)</f>
        <v>8688.3226190266778</v>
      </c>
      <c r="K8" s="132">
        <f>IF(SER_hh_emi!K8=0,0,1000000*SER_hh_emi!K8/SER_hh_num!K8)</f>
        <v>8028.8176587130893</v>
      </c>
      <c r="L8" s="132">
        <f>IF(SER_hh_emi!L8=0,0,1000000*SER_hh_emi!L8/SER_hh_num!L8)</f>
        <v>7547.5790184501475</v>
      </c>
      <c r="M8" s="132">
        <f>IF(SER_hh_emi!M8=0,0,1000000*SER_hh_emi!M8/SER_hh_num!M8)</f>
        <v>6926.828838456443</v>
      </c>
      <c r="N8" s="132">
        <f>IF(SER_hh_emi!N8=0,0,1000000*SER_hh_emi!N8/SER_hh_num!N8)</f>
        <v>6305.5675481484714</v>
      </c>
      <c r="O8" s="132">
        <f>IF(SER_hh_emi!O8=0,0,1000000*SER_hh_emi!O8/SER_hh_num!O8)</f>
        <v>5370.251139169367</v>
      </c>
      <c r="P8" s="132">
        <f>IF(SER_hh_emi!P8=0,0,1000000*SER_hh_emi!P8/SER_hh_num!P8)</f>
        <v>5530.9780869943943</v>
      </c>
      <c r="Q8" s="132">
        <f>IF(SER_hh_emi!Q8=0,0,1000000*SER_hh_emi!Q8/SER_hh_num!Q8)</f>
        <v>5783.0700346745243</v>
      </c>
      <c r="R8" s="132">
        <f>IF(SER_hh_emi!R8=0,0,1000000*SER_hh_emi!R8/SER_hh_num!R8)</f>
        <v>5356.2100141046139</v>
      </c>
      <c r="S8" s="132">
        <f>IF(SER_hh_emi!S8=0,0,1000000*SER_hh_emi!S8/SER_hh_num!S8)</f>
        <v>4896.1943336872919</v>
      </c>
      <c r="T8" s="132">
        <f>IF(SER_hh_emi!T8=0,0,1000000*SER_hh_emi!T8/SER_hh_num!T8)</f>
        <v>4557.0441763399158</v>
      </c>
      <c r="U8" s="132">
        <f>IF(SER_hh_emi!U8=0,0,1000000*SER_hh_emi!U8/SER_hh_num!U8)</f>
        <v>4137.9595547960798</v>
      </c>
      <c r="V8" s="132">
        <f>IF(SER_hh_emi!V8=0,0,1000000*SER_hh_emi!V8/SER_hh_num!V8)</f>
        <v>3964.6191607986434</v>
      </c>
      <c r="W8" s="132">
        <f>IF(SER_hh_emi!W8=0,0,1000000*SER_hh_emi!W8/SER_hh_num!W8)</f>
        <v>3461.17839971377</v>
      </c>
      <c r="X8" s="132">
        <f>IF(SER_hh_emi!X8=0,0,1000000*SER_hh_emi!X8/SER_hh_num!X8)</f>
        <v>2928.9607770590601</v>
      </c>
      <c r="Y8" s="132">
        <f>IF(SER_hh_emi!Y8=0,0,1000000*SER_hh_emi!Y8/SER_hh_num!Y8)</f>
        <v>2800.4505627255353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28863.789403256382</v>
      </c>
      <c r="C9" s="132">
        <f>IF(SER_hh_emi!C9=0,0,1000000*SER_hh_emi!C9/SER_hh_num!C9)</f>
        <v>28716.387268701525</v>
      </c>
      <c r="D9" s="132">
        <f>IF(SER_hh_emi!D9=0,0,1000000*SER_hh_emi!D9/SER_hh_num!D9)</f>
        <v>26876.343823569976</v>
      </c>
      <c r="E9" s="132">
        <f>IF(SER_hh_emi!E9=0,0,1000000*SER_hh_emi!E9/SER_hh_num!E9)</f>
        <v>29623.461792207316</v>
      </c>
      <c r="F9" s="132">
        <f>IF(SER_hh_emi!F9=0,0,1000000*SER_hh_emi!F9/SER_hh_num!F9)</f>
        <v>26903.105828989745</v>
      </c>
      <c r="G9" s="132">
        <f>IF(SER_hh_emi!G9=0,0,1000000*SER_hh_emi!G9/SER_hh_num!G9)</f>
        <v>25966.458026581902</v>
      </c>
      <c r="H9" s="132">
        <f>IF(SER_hh_emi!H9=0,0,1000000*SER_hh_emi!H9/SER_hh_num!H9)</f>
        <v>27267.656454070293</v>
      </c>
      <c r="I9" s="132">
        <f>IF(SER_hh_emi!I9=0,0,1000000*SER_hh_emi!I9/SER_hh_num!I9)</f>
        <v>24505.258448800734</v>
      </c>
      <c r="J9" s="132">
        <f>IF(SER_hh_emi!J9=0,0,1000000*SER_hh_emi!J9/SER_hh_num!J9)</f>
        <v>24066.240910683544</v>
      </c>
      <c r="K9" s="132">
        <f>IF(SER_hh_emi!K9=0,0,1000000*SER_hh_emi!K9/SER_hh_num!K9)</f>
        <v>24583.086944690589</v>
      </c>
      <c r="L9" s="132">
        <f>IF(SER_hh_emi!L9=0,0,1000000*SER_hh_emi!L9/SER_hh_num!L9)</f>
        <v>25188.896711385587</v>
      </c>
      <c r="M9" s="132">
        <f>IF(SER_hh_emi!M9=0,0,1000000*SER_hh_emi!M9/SER_hh_num!M9)</f>
        <v>19250.463249999619</v>
      </c>
      <c r="N9" s="132">
        <f>IF(SER_hh_emi!N9=0,0,1000000*SER_hh_emi!N9/SER_hh_num!N9)</f>
        <v>21696.97534799088</v>
      </c>
      <c r="O9" s="132">
        <f>IF(SER_hh_emi!O9=0,0,1000000*SER_hh_emi!O9/SER_hh_num!O9)</f>
        <v>22056.781672793411</v>
      </c>
      <c r="P9" s="132">
        <f>IF(SER_hh_emi!P9=0,0,1000000*SER_hh_emi!P9/SER_hh_num!P9)</f>
        <v>15061.164343455815</v>
      </c>
      <c r="Q9" s="132">
        <f>IF(SER_hh_emi!Q9=0,0,1000000*SER_hh_emi!Q9/SER_hh_num!Q9)</f>
        <v>19020.031101905915</v>
      </c>
      <c r="R9" s="132">
        <f>IF(SER_hh_emi!R9=0,0,1000000*SER_hh_emi!R9/SER_hh_num!R9)</f>
        <v>18365.175758139849</v>
      </c>
      <c r="S9" s="132">
        <f>IF(SER_hh_emi!S9=0,0,1000000*SER_hh_emi!S9/SER_hh_num!S9)</f>
        <v>19117.324343459259</v>
      </c>
      <c r="T9" s="132">
        <f>IF(SER_hh_emi!T9=0,0,1000000*SER_hh_emi!T9/SER_hh_num!T9)</f>
        <v>13470.488283965835</v>
      </c>
      <c r="U9" s="132">
        <f>IF(SER_hh_emi!U9=0,0,1000000*SER_hh_emi!U9/SER_hh_num!U9)</f>
        <v>12270.76778895676</v>
      </c>
      <c r="V9" s="132">
        <f>IF(SER_hh_emi!V9=0,0,1000000*SER_hh_emi!V9/SER_hh_num!V9)</f>
        <v>11664.484677479459</v>
      </c>
      <c r="W9" s="132">
        <f>IF(SER_hh_emi!W9=0,0,1000000*SER_hh_emi!W9/SER_hh_num!W9)</f>
        <v>15139.767938888313</v>
      </c>
      <c r="X9" s="132">
        <f>IF(SER_hh_emi!X9=0,0,1000000*SER_hh_emi!X9/SER_hh_num!X9)</f>
        <v>10023.624267259573</v>
      </c>
      <c r="Y9" s="132">
        <f>IF(SER_hh_emi!Y9=0,0,1000000*SER_hh_emi!Y9/SER_hh_num!Y9)</f>
        <v>8960.5144567018961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15179.410029494205</v>
      </c>
      <c r="C10" s="132">
        <f>IF(SER_hh_emi!C10=0,0,1000000*SER_hh_emi!C10/SER_hh_num!C10)</f>
        <v>12463.972505700549</v>
      </c>
      <c r="D10" s="132">
        <f>IF(SER_hh_emi!D10=0,0,1000000*SER_hh_emi!D10/SER_hh_num!D10)</f>
        <v>16725.870415601607</v>
      </c>
      <c r="E10" s="132">
        <f>IF(SER_hh_emi!E10=0,0,1000000*SER_hh_emi!E10/SER_hh_num!E10)</f>
        <v>16347.814131812536</v>
      </c>
      <c r="F10" s="132">
        <f>IF(SER_hh_emi!F10=0,0,1000000*SER_hh_emi!F10/SER_hh_num!F10)</f>
        <v>12660.2332780873</v>
      </c>
      <c r="G10" s="132">
        <f>IF(SER_hh_emi!G10=0,0,1000000*SER_hh_emi!G10/SER_hh_num!G10)</f>
        <v>12389.435611478078</v>
      </c>
      <c r="H10" s="132">
        <f>IF(SER_hh_emi!H10=0,0,1000000*SER_hh_emi!H10/SER_hh_num!H10)</f>
        <v>12694.240480721131</v>
      </c>
      <c r="I10" s="132">
        <f>IF(SER_hh_emi!I10=0,0,1000000*SER_hh_emi!I10/SER_hh_num!I10)</f>
        <v>9151.3233657528544</v>
      </c>
      <c r="J10" s="132">
        <f>IF(SER_hh_emi!J10=0,0,1000000*SER_hh_emi!J10/SER_hh_num!J10)</f>
        <v>6966.9318598364252</v>
      </c>
      <c r="K10" s="132">
        <f>IF(SER_hh_emi!K10=0,0,1000000*SER_hh_emi!K10/SER_hh_num!K10)</f>
        <v>4579.3315868106783</v>
      </c>
      <c r="L10" s="132">
        <f>IF(SER_hh_emi!L10=0,0,1000000*SER_hh_emi!L10/SER_hh_num!L10)</f>
        <v>4714.9095585883915</v>
      </c>
      <c r="M10" s="132">
        <f>IF(SER_hh_emi!M10=0,0,1000000*SER_hh_emi!M10/SER_hh_num!M10)</f>
        <v>6621.2330462105383</v>
      </c>
      <c r="N10" s="132">
        <f>IF(SER_hh_emi!N10=0,0,1000000*SER_hh_emi!N10/SER_hh_num!N10)</f>
        <v>5895.7687236867841</v>
      </c>
      <c r="O10" s="132">
        <f>IF(SER_hh_emi!O10=0,0,1000000*SER_hh_emi!O10/SER_hh_num!O10)</f>
        <v>5407.3918693563764</v>
      </c>
      <c r="P10" s="132">
        <f>IF(SER_hh_emi!P10=0,0,1000000*SER_hh_emi!P10/SER_hh_num!P10)</f>
        <v>6975.9983216453702</v>
      </c>
      <c r="Q10" s="132">
        <f>IF(SER_hh_emi!Q10=0,0,1000000*SER_hh_emi!Q10/SER_hh_num!Q10)</f>
        <v>2746.295167439891</v>
      </c>
      <c r="R10" s="132">
        <f>IF(SER_hh_emi!R10=0,0,1000000*SER_hh_emi!R10/SER_hh_num!R10)</f>
        <v>3889.1407579902889</v>
      </c>
      <c r="S10" s="132">
        <f>IF(SER_hh_emi!S10=0,0,1000000*SER_hh_emi!S10/SER_hh_num!S10)</f>
        <v>4810.1964038368669</v>
      </c>
      <c r="T10" s="132">
        <f>IF(SER_hh_emi!T10=0,0,1000000*SER_hh_emi!T10/SER_hh_num!T10)</f>
        <v>5296.4347883678365</v>
      </c>
      <c r="U10" s="132">
        <f>IF(SER_hh_emi!U10=0,0,1000000*SER_hh_emi!U10/SER_hh_num!U10)</f>
        <v>5078.9034709414937</v>
      </c>
      <c r="V10" s="132">
        <f>IF(SER_hh_emi!V10=0,0,1000000*SER_hh_emi!V10/SER_hh_num!V10)</f>
        <v>4119.7678607812122</v>
      </c>
      <c r="W10" s="132">
        <f>IF(SER_hh_emi!W10=0,0,1000000*SER_hh_emi!W10/SER_hh_num!W10)</f>
        <v>4322.5869896370696</v>
      </c>
      <c r="X10" s="132">
        <f>IF(SER_hh_emi!X10=0,0,1000000*SER_hh_emi!X10/SER_hh_num!X10)</f>
        <v>5788.3820303224074</v>
      </c>
      <c r="Y10" s="132">
        <f>IF(SER_hh_emi!Y10=0,0,1000000*SER_hh_emi!Y10/SER_hh_num!Y10)</f>
        <v>4912.1764092843914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3.0188469116709551</v>
      </c>
      <c r="C16" s="130">
        <f>IF(SER_hh_emi!C16=0,0,1000000*SER_hh_emi!C16/SER_hh_num!C16)</f>
        <v>3.0587217902656554</v>
      </c>
      <c r="D16" s="130">
        <f>IF(SER_hh_emi!D16=0,0,1000000*SER_hh_emi!D16/SER_hh_num!D16)</f>
        <v>3.1433430293527831</v>
      </c>
      <c r="E16" s="130">
        <f>IF(SER_hh_emi!E16=0,0,1000000*SER_hh_emi!E16/SER_hh_num!E16)</f>
        <v>3.1832085806605024</v>
      </c>
      <c r="F16" s="130">
        <f>IF(SER_hh_emi!F16=0,0,1000000*SER_hh_emi!F16/SER_hh_num!F16)</f>
        <v>3.2973682340442805</v>
      </c>
      <c r="G16" s="130">
        <f>IF(SER_hh_emi!G16=0,0,1000000*SER_hh_emi!G16/SER_hh_num!G16)</f>
        <v>3.4546434766100473</v>
      </c>
      <c r="H16" s="130">
        <f>IF(SER_hh_emi!H16=0,0,1000000*SER_hh_emi!H16/SER_hh_num!H16)</f>
        <v>3.4533595864946509</v>
      </c>
      <c r="I16" s="130">
        <f>IF(SER_hh_emi!I16=0,0,1000000*SER_hh_emi!I16/SER_hh_num!I16)</f>
        <v>3.3994017700230086</v>
      </c>
      <c r="J16" s="130">
        <f>IF(SER_hh_emi!J16=0,0,1000000*SER_hh_emi!J16/SER_hh_num!J16)</f>
        <v>3.3816314908292711</v>
      </c>
      <c r="K16" s="130">
        <f>IF(SER_hh_emi!K16=0,0,1000000*SER_hh_emi!K16/SER_hh_num!K16)</f>
        <v>3.3432944731494638</v>
      </c>
      <c r="L16" s="130">
        <f>IF(SER_hh_emi!L16=0,0,1000000*SER_hh_emi!L16/SER_hh_num!L16)</f>
        <v>3.4202451777475371</v>
      </c>
      <c r="M16" s="130">
        <f>IF(SER_hh_emi!M16=0,0,1000000*SER_hh_emi!M16/SER_hh_num!M16)</f>
        <v>3.5998659428270003</v>
      </c>
      <c r="N16" s="130">
        <f>IF(SER_hh_emi!N16=0,0,1000000*SER_hh_emi!N16/SER_hh_num!N16)</f>
        <v>3.9843807163570046</v>
      </c>
      <c r="O16" s="130">
        <f>IF(SER_hh_emi!O16=0,0,1000000*SER_hh_emi!O16/SER_hh_num!O16)</f>
        <v>4.6341022951041557</v>
      </c>
      <c r="P16" s="130">
        <f>IF(SER_hh_emi!P16=0,0,1000000*SER_hh_emi!P16/SER_hh_num!P16)</f>
        <v>5.9046740293508329</v>
      </c>
      <c r="Q16" s="130">
        <f>IF(SER_hh_emi!Q16=0,0,1000000*SER_hh_emi!Q16/SER_hh_num!Q16)</f>
        <v>7.9810026579480553</v>
      </c>
      <c r="R16" s="130">
        <f>IF(SER_hh_emi!R16=0,0,1000000*SER_hh_emi!R16/SER_hh_num!R16)</f>
        <v>9.4495189511050235</v>
      </c>
      <c r="S16" s="130">
        <f>IF(SER_hh_emi!S16=0,0,1000000*SER_hh_emi!S16/SER_hh_num!S16)</f>
        <v>10.844574163018034</v>
      </c>
      <c r="T16" s="130">
        <f>IF(SER_hh_emi!T16=0,0,1000000*SER_hh_emi!T16/SER_hh_num!T16)</f>
        <v>11.690623670174448</v>
      </c>
      <c r="U16" s="130">
        <f>IF(SER_hh_emi!U16=0,0,1000000*SER_hh_emi!U16/SER_hh_num!U16)</f>
        <v>12.094486091315577</v>
      </c>
      <c r="V16" s="130">
        <f>IF(SER_hh_emi!V16=0,0,1000000*SER_hh_emi!V16/SER_hh_num!V16)</f>
        <v>10.705601844202318</v>
      </c>
      <c r="W16" s="130">
        <f>IF(SER_hh_emi!W16=0,0,1000000*SER_hh_emi!W16/SER_hh_num!W16)</f>
        <v>10.192570803252069</v>
      </c>
      <c r="X16" s="130">
        <f>IF(SER_hh_emi!X16=0,0,1000000*SER_hh_emi!X16/SER_hh_num!X16)</f>
        <v>8.7735413242958948</v>
      </c>
      <c r="Y16" s="130">
        <f>IF(SER_hh_emi!Y16=0,0,1000000*SER_hh_emi!Y16/SER_hh_num!Y16)</f>
        <v>8.1152191447284476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3888.2171200494467</v>
      </c>
      <c r="C17" s="132">
        <f>IF(SER_hh_emi!C17=0,0,1000000*SER_hh_emi!C17/SER_hh_num!C17)</f>
        <v>3791.6094277701795</v>
      </c>
      <c r="D17" s="132">
        <f>IF(SER_hh_emi!D17=0,0,1000000*SER_hh_emi!D17/SER_hh_num!D17)</f>
        <v>3673.4672104572246</v>
      </c>
      <c r="E17" s="132">
        <f>IF(SER_hh_emi!E17=0,0,1000000*SER_hh_emi!E17/SER_hh_num!E17)</f>
        <v>3676.1517334197133</v>
      </c>
      <c r="F17" s="132">
        <f>IF(SER_hh_emi!F17=0,0,1000000*SER_hh_emi!F17/SER_hh_num!F17)</f>
        <v>3547.1545861302434</v>
      </c>
      <c r="G17" s="132">
        <f>IF(SER_hh_emi!G17=0,0,1000000*SER_hh_emi!G17/SER_hh_num!G17)</f>
        <v>3457.9774061976414</v>
      </c>
      <c r="H17" s="132">
        <f>IF(SER_hh_emi!H17=0,0,1000000*SER_hh_emi!H17/SER_hh_num!H17)</f>
        <v>3378.2982324792715</v>
      </c>
      <c r="I17" s="132">
        <f>IF(SER_hh_emi!I17=0,0,1000000*SER_hh_emi!I17/SER_hh_num!I17)</f>
        <v>3342.2002697519247</v>
      </c>
      <c r="J17" s="132">
        <f>IF(SER_hh_emi!J17=0,0,1000000*SER_hh_emi!J17/SER_hh_num!J17)</f>
        <v>3263.0008022483194</v>
      </c>
      <c r="K17" s="132">
        <f>IF(SER_hh_emi!K17=0,0,1000000*SER_hh_emi!K17/SER_hh_num!K17)</f>
        <v>3260.7549097724564</v>
      </c>
      <c r="L17" s="132">
        <f>IF(SER_hh_emi!L17=0,0,1000000*SER_hh_emi!L17/SER_hh_num!L17)</f>
        <v>3219.3978375903512</v>
      </c>
      <c r="M17" s="132">
        <f>IF(SER_hh_emi!M17=0,0,1000000*SER_hh_emi!M17/SER_hh_num!M17)</f>
        <v>3146.0039932881446</v>
      </c>
      <c r="N17" s="132">
        <f>IF(SER_hh_emi!N17=0,0,1000000*SER_hh_emi!N17/SER_hh_num!N17)</f>
        <v>3080.7461867724355</v>
      </c>
      <c r="O17" s="132">
        <f>IF(SER_hh_emi!O17=0,0,1000000*SER_hh_emi!O17/SER_hh_num!O17)</f>
        <v>2976.7369227854274</v>
      </c>
      <c r="P17" s="132">
        <f>IF(SER_hh_emi!P17=0,0,1000000*SER_hh_emi!P17/SER_hh_num!P17)</f>
        <v>2953.1798743152326</v>
      </c>
      <c r="Q17" s="132">
        <f>IF(SER_hh_emi!Q17=0,0,1000000*SER_hh_emi!Q17/SER_hh_num!Q17)</f>
        <v>2927.7298420273837</v>
      </c>
      <c r="R17" s="132">
        <f>IF(SER_hh_emi!R17=0,0,1000000*SER_hh_emi!R17/SER_hh_num!R17)</f>
        <v>2783.2343378891733</v>
      </c>
      <c r="S17" s="132">
        <f>IF(SER_hh_emi!S17=0,0,1000000*SER_hh_emi!S17/SER_hh_num!S17)</f>
        <v>2727.5060895657389</v>
      </c>
      <c r="T17" s="132">
        <f>IF(SER_hh_emi!T17=0,0,1000000*SER_hh_emi!T17/SER_hh_num!T17)</f>
        <v>2737.502744459081</v>
      </c>
      <c r="U17" s="132">
        <f>IF(SER_hh_emi!U17=0,0,1000000*SER_hh_emi!U17/SER_hh_num!U17)</f>
        <v>2527.995532285679</v>
      </c>
      <c r="V17" s="132">
        <f>IF(SER_hh_emi!V17=0,0,1000000*SER_hh_emi!V17/SER_hh_num!V17)</f>
        <v>1662.1905500046023</v>
      </c>
      <c r="W17" s="132">
        <f>IF(SER_hh_emi!W17=0,0,1000000*SER_hh_emi!W17/SER_hh_num!W17)</f>
        <v>1548.8918837798356</v>
      </c>
      <c r="X17" s="132">
        <f>IF(SER_hh_emi!X17=0,0,1000000*SER_hh_emi!X17/SER_hh_num!X17)</f>
        <v>1340.9151332482597</v>
      </c>
      <c r="Y17" s="132">
        <f>IF(SER_hh_emi!Y17=0,0,1000000*SER_hh_emi!Y17/SER_hh_num!Y17)</f>
        <v>1225.8099641834201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651.55979434775429</v>
      </c>
      <c r="C19" s="130">
        <f>IF(SER_hh_emi!C19=0,0,1000000*SER_hh_emi!C19/SER_hh_num!C19)</f>
        <v>625.32741458149769</v>
      </c>
      <c r="D19" s="130">
        <f>IF(SER_hh_emi!D19=0,0,1000000*SER_hh_emi!D19/SER_hh_num!D19)</f>
        <v>623.62663020951595</v>
      </c>
      <c r="E19" s="130">
        <f>IF(SER_hh_emi!E19=0,0,1000000*SER_hh_emi!E19/SER_hh_num!E19)</f>
        <v>667.03155227126888</v>
      </c>
      <c r="F19" s="130">
        <f>IF(SER_hh_emi!F19=0,0,1000000*SER_hh_emi!F19/SER_hh_num!F19)</f>
        <v>651.16109381119372</v>
      </c>
      <c r="G19" s="130">
        <f>IF(SER_hh_emi!G19=0,0,1000000*SER_hh_emi!G19/SER_hh_num!G19)</f>
        <v>664.46631629328124</v>
      </c>
      <c r="H19" s="130">
        <f>IF(SER_hh_emi!H19=0,0,1000000*SER_hh_emi!H19/SER_hh_num!H19)</f>
        <v>645.23840327859011</v>
      </c>
      <c r="I19" s="130">
        <f>IF(SER_hh_emi!I19=0,0,1000000*SER_hh_emi!I19/SER_hh_num!I19)</f>
        <v>600.6828157766256</v>
      </c>
      <c r="J19" s="130">
        <f>IF(SER_hh_emi!J19=0,0,1000000*SER_hh_emi!J19/SER_hh_num!J19)</f>
        <v>592.12085112969942</v>
      </c>
      <c r="K19" s="130">
        <f>IF(SER_hh_emi!K19=0,0,1000000*SER_hh_emi!K19/SER_hh_num!K19)</f>
        <v>574.61735124960819</v>
      </c>
      <c r="L19" s="130">
        <f>IF(SER_hh_emi!L19=0,0,1000000*SER_hh_emi!L19/SER_hh_num!L19)</f>
        <v>550.56021323176287</v>
      </c>
      <c r="M19" s="130">
        <f>IF(SER_hh_emi!M19=0,0,1000000*SER_hh_emi!M19/SER_hh_num!M19)</f>
        <v>468.90957333089426</v>
      </c>
      <c r="N19" s="130">
        <f>IF(SER_hh_emi!N19=0,0,1000000*SER_hh_emi!N19/SER_hh_num!N19)</f>
        <v>464.82399522682823</v>
      </c>
      <c r="O19" s="130">
        <f>IF(SER_hh_emi!O19=0,0,1000000*SER_hh_emi!O19/SER_hh_num!O19)</f>
        <v>454.41876079272379</v>
      </c>
      <c r="P19" s="130">
        <f>IF(SER_hh_emi!P19=0,0,1000000*SER_hh_emi!P19/SER_hh_num!P19)</f>
        <v>424.84178136512088</v>
      </c>
      <c r="Q19" s="130">
        <f>IF(SER_hh_emi!Q19=0,0,1000000*SER_hh_emi!Q19/SER_hh_num!Q19)</f>
        <v>454.37949194621916</v>
      </c>
      <c r="R19" s="130">
        <f>IF(SER_hh_emi!R19=0,0,1000000*SER_hh_emi!R19/SER_hh_num!R19)</f>
        <v>444.48507649706198</v>
      </c>
      <c r="S19" s="130">
        <f>IF(SER_hh_emi!S19=0,0,1000000*SER_hh_emi!S19/SER_hh_num!S19)</f>
        <v>437.6875329976379</v>
      </c>
      <c r="T19" s="130">
        <f>IF(SER_hh_emi!T19=0,0,1000000*SER_hh_emi!T19/SER_hh_num!T19)</f>
        <v>414.5650439455643</v>
      </c>
      <c r="U19" s="130">
        <f>IF(SER_hh_emi!U19=0,0,1000000*SER_hh_emi!U19/SER_hh_num!U19)</f>
        <v>353.59079284450667</v>
      </c>
      <c r="V19" s="130">
        <f>IF(SER_hh_emi!V19=0,0,1000000*SER_hh_emi!V19/SER_hh_num!V19)</f>
        <v>242.8141759249126</v>
      </c>
      <c r="W19" s="130">
        <f>IF(SER_hh_emi!W19=0,0,1000000*SER_hh_emi!W19/SER_hh_num!W19)</f>
        <v>258.71438853214499</v>
      </c>
      <c r="X19" s="130">
        <f>IF(SER_hh_emi!X19=0,0,1000000*SER_hh_emi!X19/SER_hh_num!X19)</f>
        <v>204.08967511419127</v>
      </c>
      <c r="Y19" s="130">
        <f>IF(SER_hh_emi!Y19=0,0,1000000*SER_hh_emi!Y19/SER_hh_num!Y19)</f>
        <v>178.67913973209392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4887.1000053001817</v>
      </c>
      <c r="C22" s="132">
        <f>IF(SER_hh_emi!C22=0,0,1000000*SER_hh_emi!C22/SER_hh_num!C22)</f>
        <v>4763.0024981612105</v>
      </c>
      <c r="D22" s="132">
        <f>IF(SER_hh_emi!D22=0,0,1000000*SER_hh_emi!D22/SER_hh_num!D22)</f>
        <v>4728.4007169614388</v>
      </c>
      <c r="E22" s="132">
        <f>IF(SER_hh_emi!E22=0,0,1000000*SER_hh_emi!E22/SER_hh_num!E22)</f>
        <v>4707.4811014734942</v>
      </c>
      <c r="F22" s="132">
        <f>IF(SER_hh_emi!F22=0,0,1000000*SER_hh_emi!F22/SER_hh_num!F22)</f>
        <v>4751.4663721254465</v>
      </c>
      <c r="G22" s="132">
        <f>IF(SER_hh_emi!G22=0,0,1000000*SER_hh_emi!G22/SER_hh_num!G22)</f>
        <v>4842.1632994432066</v>
      </c>
      <c r="H22" s="132">
        <f>IF(SER_hh_emi!H22=0,0,1000000*SER_hh_emi!H22/SER_hh_num!H22)</f>
        <v>4570.6297645706827</v>
      </c>
      <c r="I22" s="132">
        <f>IF(SER_hh_emi!I22=0,0,1000000*SER_hh_emi!I22/SER_hh_num!I22)</f>
        <v>4395.1139924606214</v>
      </c>
      <c r="J22" s="132">
        <f>IF(SER_hh_emi!J22=0,0,1000000*SER_hh_emi!J22/SER_hh_num!J22)</f>
        <v>4603.5049684202868</v>
      </c>
      <c r="K22" s="132">
        <f>IF(SER_hh_emi!K22=0,0,1000000*SER_hh_emi!K22/SER_hh_num!K22)</f>
        <v>4656.7679784566326</v>
      </c>
      <c r="L22" s="132">
        <f>IF(SER_hh_emi!L22=0,0,1000000*SER_hh_emi!L22/SER_hh_num!L22)</f>
        <v>4571.5587450944895</v>
      </c>
      <c r="M22" s="132">
        <f>IF(SER_hh_emi!M22=0,0,1000000*SER_hh_emi!M22/SER_hh_num!M22)</f>
        <v>4252.7092004467322</v>
      </c>
      <c r="N22" s="132">
        <f>IF(SER_hh_emi!N22=0,0,1000000*SER_hh_emi!N22/SER_hh_num!N22)</f>
        <v>4383.9933816173343</v>
      </c>
      <c r="O22" s="132">
        <f>IF(SER_hh_emi!O22=0,0,1000000*SER_hh_emi!O22/SER_hh_num!O22)</f>
        <v>4426.3347216484626</v>
      </c>
      <c r="P22" s="132">
        <f>IF(SER_hh_emi!P22=0,0,1000000*SER_hh_emi!P22/SER_hh_num!P22)</f>
        <v>4401.1132952238167</v>
      </c>
      <c r="Q22" s="132">
        <f>IF(SER_hh_emi!Q22=0,0,1000000*SER_hh_emi!Q22/SER_hh_num!Q22)</f>
        <v>4360.872926582605</v>
      </c>
      <c r="R22" s="132">
        <f>IF(SER_hh_emi!R22=0,0,1000000*SER_hh_emi!R22/SER_hh_num!R22)</f>
        <v>4462.3594029409887</v>
      </c>
      <c r="S22" s="132">
        <f>IF(SER_hh_emi!S22=0,0,1000000*SER_hh_emi!S22/SER_hh_num!S22)</f>
        <v>4345.1688310760001</v>
      </c>
      <c r="T22" s="132">
        <f>IF(SER_hh_emi!T22=0,0,1000000*SER_hh_emi!T22/SER_hh_num!T22)</f>
        <v>4836.1155026624265</v>
      </c>
      <c r="U22" s="132">
        <f>IF(SER_hh_emi!U22=0,0,1000000*SER_hh_emi!U22/SER_hh_num!U22)</f>
        <v>2942.3124660776643</v>
      </c>
      <c r="V22" s="132">
        <f>IF(SER_hh_emi!V22=0,0,1000000*SER_hh_emi!V22/SER_hh_num!V22)</f>
        <v>3791.8604190097108</v>
      </c>
      <c r="W22" s="132">
        <f>IF(SER_hh_emi!W22=0,0,1000000*SER_hh_emi!W22/SER_hh_num!W22)</f>
        <v>3201.7341205581938</v>
      </c>
      <c r="X22" s="132">
        <f>IF(SER_hh_emi!X22=0,0,1000000*SER_hh_emi!X22/SER_hh_num!X22)</f>
        <v>4352.2114915923894</v>
      </c>
      <c r="Y22" s="132">
        <f>IF(SER_hh_emi!Y22=0,0,1000000*SER_hh_emi!Y22/SER_hh_num!Y22)</f>
        <v>3667.4997485985541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3403.4310839717941</v>
      </c>
      <c r="C23" s="132">
        <f>IF(SER_hh_emi!C23=0,0,1000000*SER_hh_emi!C23/SER_hh_num!C23)</f>
        <v>3283.6479812606494</v>
      </c>
      <c r="D23" s="132">
        <f>IF(SER_hh_emi!D23=0,0,1000000*SER_hh_emi!D23/SER_hh_num!D23)</f>
        <v>3090.599664582182</v>
      </c>
      <c r="E23" s="132">
        <f>IF(SER_hh_emi!E23=0,0,1000000*SER_hh_emi!E23/SER_hh_num!E23)</f>
        <v>3346.7631565554229</v>
      </c>
      <c r="F23" s="132">
        <f>IF(SER_hh_emi!F23=0,0,1000000*SER_hh_emi!F23/SER_hh_num!F23)</f>
        <v>3065.2518333804605</v>
      </c>
      <c r="G23" s="132">
        <f>IF(SER_hh_emi!G23=0,0,1000000*SER_hh_emi!G23/SER_hh_num!G23)</f>
        <v>3101.1357190911476</v>
      </c>
      <c r="H23" s="132">
        <f>IF(SER_hh_emi!H23=0,0,1000000*SER_hh_emi!H23/SER_hh_num!H23)</f>
        <v>3146.6926005749729</v>
      </c>
      <c r="I23" s="132">
        <f>IF(SER_hh_emi!I23=0,0,1000000*SER_hh_emi!I23/SER_hh_num!I23)</f>
        <v>3053.7750824913655</v>
      </c>
      <c r="J23" s="132">
        <f>IF(SER_hh_emi!J23=0,0,1000000*SER_hh_emi!J23/SER_hh_num!J23)</f>
        <v>3010.6038563414936</v>
      </c>
      <c r="K23" s="132">
        <f>IF(SER_hh_emi!K23=0,0,1000000*SER_hh_emi!K23/SER_hh_num!K23)</f>
        <v>3050.2245041809442</v>
      </c>
      <c r="L23" s="132">
        <f>IF(SER_hh_emi!L23=0,0,1000000*SER_hh_emi!L23/SER_hh_num!L23)</f>
        <v>3119.1492234716011</v>
      </c>
      <c r="M23" s="132">
        <f>IF(SER_hh_emi!M23=0,0,1000000*SER_hh_emi!M23/SER_hh_num!M23)</f>
        <v>2799.4237513906751</v>
      </c>
      <c r="N23" s="132">
        <f>IF(SER_hh_emi!N23=0,0,1000000*SER_hh_emi!N23/SER_hh_num!N23)</f>
        <v>2916.1962322426216</v>
      </c>
      <c r="O23" s="132">
        <f>IF(SER_hh_emi!O23=0,0,1000000*SER_hh_emi!O23/SER_hh_num!O23)</f>
        <v>2924.8313798566969</v>
      </c>
      <c r="P23" s="132">
        <f>IF(SER_hh_emi!P23=0,0,1000000*SER_hh_emi!P23/SER_hh_num!P23)</f>
        <v>2670.0443924020724</v>
      </c>
      <c r="Q23" s="132">
        <f>IF(SER_hh_emi!Q23=0,0,1000000*SER_hh_emi!Q23/SER_hh_num!Q23)</f>
        <v>2931.897351078856</v>
      </c>
      <c r="R23" s="132">
        <f>IF(SER_hh_emi!R23=0,0,1000000*SER_hh_emi!R23/SER_hh_num!R23)</f>
        <v>2707.8956613128184</v>
      </c>
      <c r="S23" s="132">
        <f>IF(SER_hh_emi!S23=0,0,1000000*SER_hh_emi!S23/SER_hh_num!S23)</f>
        <v>2642.55000433333</v>
      </c>
      <c r="T23" s="132">
        <f>IF(SER_hh_emi!T23=0,0,1000000*SER_hh_emi!T23/SER_hh_num!T23)</f>
        <v>2460.2809088365643</v>
      </c>
      <c r="U23" s="132">
        <f>IF(SER_hh_emi!U23=0,0,1000000*SER_hh_emi!U23/SER_hh_num!U23)</f>
        <v>2431.8751414689814</v>
      </c>
      <c r="V23" s="132">
        <f>IF(SER_hh_emi!V23=0,0,1000000*SER_hh_emi!V23/SER_hh_num!V23)</f>
        <v>1525.6793812153446</v>
      </c>
      <c r="W23" s="132">
        <f>IF(SER_hh_emi!W23=0,0,1000000*SER_hh_emi!W23/SER_hh_num!W23)</f>
        <v>1958.2687083853539</v>
      </c>
      <c r="X23" s="132">
        <f>IF(SER_hh_emi!X23=0,0,1000000*SER_hh_emi!X23/SER_hh_num!X23)</f>
        <v>1445.0037559723064</v>
      </c>
      <c r="Y23" s="132">
        <f>IF(SER_hh_emi!Y23=0,0,1000000*SER_hh_emi!Y23/SER_hh_num!Y23)</f>
        <v>1425.0468441996018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1717.0587096534093</v>
      </c>
      <c r="C24" s="132">
        <f>IF(SER_hh_emi!C24=0,0,1000000*SER_hh_emi!C24/SER_hh_num!C24)</f>
        <v>1753.2659249316198</v>
      </c>
      <c r="D24" s="132">
        <f>IF(SER_hh_emi!D24=0,0,1000000*SER_hh_emi!D24/SER_hh_num!D24)</f>
        <v>1897.4987361752853</v>
      </c>
      <c r="E24" s="132">
        <f>IF(SER_hh_emi!E24=0,0,1000000*SER_hh_emi!E24/SER_hh_num!E24)</f>
        <v>1810.8757433506082</v>
      </c>
      <c r="F24" s="132">
        <f>IF(SER_hh_emi!F24=0,0,1000000*SER_hh_emi!F24/SER_hh_num!F24)</f>
        <v>1633.7464228051729</v>
      </c>
      <c r="G24" s="132">
        <f>IF(SER_hh_emi!G24=0,0,1000000*SER_hh_emi!G24/SER_hh_num!G24)</f>
        <v>1510.0983426327989</v>
      </c>
      <c r="H24" s="132">
        <f>IF(SER_hh_emi!H24=0,0,1000000*SER_hh_emi!H24/SER_hh_num!H24)</f>
        <v>1386.8165250090065</v>
      </c>
      <c r="I24" s="132">
        <f>IF(SER_hh_emi!I24=0,0,1000000*SER_hh_emi!I24/SER_hh_num!I24)</f>
        <v>1107.6420004462004</v>
      </c>
      <c r="J24" s="132">
        <f>IF(SER_hh_emi!J24=0,0,1000000*SER_hh_emi!J24/SER_hh_num!J24)</f>
        <v>847.1749533951488</v>
      </c>
      <c r="K24" s="132">
        <f>IF(SER_hh_emi!K24=0,0,1000000*SER_hh_emi!K24/SER_hh_num!K24)</f>
        <v>604.15477562964122</v>
      </c>
      <c r="L24" s="132">
        <f>IF(SER_hh_emi!L24=0,0,1000000*SER_hh_emi!L24/SER_hh_num!L24)</f>
        <v>594.45070956651023</v>
      </c>
      <c r="M24" s="132">
        <f>IF(SER_hh_emi!M24=0,0,1000000*SER_hh_emi!M24/SER_hh_num!M24)</f>
        <v>789.64320250569835</v>
      </c>
      <c r="N24" s="132">
        <f>IF(SER_hh_emi!N24=0,0,1000000*SER_hh_emi!N24/SER_hh_num!N24)</f>
        <v>813.52404342944874</v>
      </c>
      <c r="O24" s="132">
        <f>IF(SER_hh_emi!O24=0,0,1000000*SER_hh_emi!O24/SER_hh_num!O24)</f>
        <v>757.78798314450603</v>
      </c>
      <c r="P24" s="132">
        <f>IF(SER_hh_emi!P24=0,0,1000000*SER_hh_emi!P24/SER_hh_num!P24)</f>
        <v>850.74109313647273</v>
      </c>
      <c r="Q24" s="132">
        <f>IF(SER_hh_emi!Q24=0,0,1000000*SER_hh_emi!Q24/SER_hh_num!Q24)</f>
        <v>399.78782990361054</v>
      </c>
      <c r="R24" s="132">
        <f>IF(SER_hh_emi!R24=0,0,1000000*SER_hh_emi!R24/SER_hh_num!R24)</f>
        <v>523.21271384576369</v>
      </c>
      <c r="S24" s="132">
        <f>IF(SER_hh_emi!S24=0,0,1000000*SER_hh_emi!S24/SER_hh_num!S24)</f>
        <v>619.63658261118849</v>
      </c>
      <c r="T24" s="132">
        <f>IF(SER_hh_emi!T24=0,0,1000000*SER_hh_emi!T24/SER_hh_num!T24)</f>
        <v>670.40179599871158</v>
      </c>
      <c r="U24" s="132">
        <f>IF(SER_hh_emi!U24=0,0,1000000*SER_hh_emi!U24/SER_hh_num!U24)</f>
        <v>616.47958567761043</v>
      </c>
      <c r="V24" s="132">
        <f>IF(SER_hh_emi!V24=0,0,1000000*SER_hh_emi!V24/SER_hh_num!V24)</f>
        <v>481.45644933780113</v>
      </c>
      <c r="W24" s="132">
        <f>IF(SER_hh_emi!W24=0,0,1000000*SER_hh_emi!W24/SER_hh_num!W24)</f>
        <v>480.4052742885965</v>
      </c>
      <c r="X24" s="132">
        <f>IF(SER_hh_emi!X24=0,0,1000000*SER_hh_emi!X24/SER_hh_num!X24)</f>
        <v>684.22813845075427</v>
      </c>
      <c r="Y24" s="132">
        <f>IF(SER_hh_emi!Y24=0,0,1000000*SER_hh_emi!Y24/SER_hh_num!Y24)</f>
        <v>594.13564036505147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548.65393378478359</v>
      </c>
      <c r="C29" s="130">
        <f>IF(SER_hh_emi!C29=0,0,1000000*SER_hh_emi!C29/SER_hh_num!C29)</f>
        <v>537.82226152028079</v>
      </c>
      <c r="D29" s="130">
        <f>IF(SER_hh_emi!D29=0,0,1000000*SER_hh_emi!D29/SER_hh_num!D29)</f>
        <v>530.64164125446246</v>
      </c>
      <c r="E29" s="130">
        <f>IF(SER_hh_emi!E29=0,0,1000000*SER_hh_emi!E29/SER_hh_num!E29)</f>
        <v>565.86920217202066</v>
      </c>
      <c r="F29" s="130">
        <f>IF(SER_hh_emi!F29=0,0,1000000*SER_hh_emi!F29/SER_hh_num!F29)</f>
        <v>579.32743145242773</v>
      </c>
      <c r="G29" s="130">
        <f>IF(SER_hh_emi!G29=0,0,1000000*SER_hh_emi!G29/SER_hh_num!G29)</f>
        <v>634.5845016341417</v>
      </c>
      <c r="H29" s="130">
        <f>IF(SER_hh_emi!H29=0,0,1000000*SER_hh_emi!H29/SER_hh_num!H29)</f>
        <v>635.63679148289589</v>
      </c>
      <c r="I29" s="130">
        <f>IF(SER_hh_emi!I29=0,0,1000000*SER_hh_emi!I29/SER_hh_num!I29)</f>
        <v>629.4493138510062</v>
      </c>
      <c r="J29" s="130">
        <f>IF(SER_hh_emi!J29=0,0,1000000*SER_hh_emi!J29/SER_hh_num!J29)</f>
        <v>626.78576836828313</v>
      </c>
      <c r="K29" s="130">
        <f>IF(SER_hh_emi!K29=0,0,1000000*SER_hh_emi!K29/SER_hh_num!K29)</f>
        <v>629.04707233888018</v>
      </c>
      <c r="L29" s="130">
        <f>IF(SER_hh_emi!L29=0,0,1000000*SER_hh_emi!L29/SER_hh_num!L29)</f>
        <v>653.99445566319309</v>
      </c>
      <c r="M29" s="130">
        <f>IF(SER_hh_emi!M29=0,0,1000000*SER_hh_emi!M29/SER_hh_num!M29)</f>
        <v>620.60326775641499</v>
      </c>
      <c r="N29" s="130">
        <f>IF(SER_hh_emi!N29=0,0,1000000*SER_hh_emi!N29/SER_hh_num!N29)</f>
        <v>593.44709017813341</v>
      </c>
      <c r="O29" s="130">
        <f>IF(SER_hh_emi!O29=0,0,1000000*SER_hh_emi!O29/SER_hh_num!O29)</f>
        <v>598.71088700613427</v>
      </c>
      <c r="P29" s="130">
        <f>IF(SER_hh_emi!P29=0,0,1000000*SER_hh_emi!P29/SER_hh_num!P29)</f>
        <v>525.37854694526175</v>
      </c>
      <c r="Q29" s="130">
        <f>IF(SER_hh_emi!Q29=0,0,1000000*SER_hh_emi!Q29/SER_hh_num!Q29)</f>
        <v>672.14401251333948</v>
      </c>
      <c r="R29" s="130">
        <f>IF(SER_hh_emi!R29=0,0,1000000*SER_hh_emi!R29/SER_hh_num!R29)</f>
        <v>649.07924693761004</v>
      </c>
      <c r="S29" s="130">
        <f>IF(SER_hh_emi!S29=0,0,1000000*SER_hh_emi!S29/SER_hh_num!S29)</f>
        <v>602.34181670685064</v>
      </c>
      <c r="T29" s="130">
        <f>IF(SER_hh_emi!T29=0,0,1000000*SER_hh_emi!T29/SER_hh_num!T29)</f>
        <v>629.45851963287657</v>
      </c>
      <c r="U29" s="130">
        <f>IF(SER_hh_emi!U29=0,0,1000000*SER_hh_emi!U29/SER_hh_num!U29)</f>
        <v>663.04827115558408</v>
      </c>
      <c r="V29" s="130">
        <f>IF(SER_hh_emi!V29=0,0,1000000*SER_hh_emi!V29/SER_hh_num!V29)</f>
        <v>420.14591183532491</v>
      </c>
      <c r="W29" s="130">
        <f>IF(SER_hh_emi!W29=0,0,1000000*SER_hh_emi!W29/SER_hh_num!W29)</f>
        <v>513.31239328419099</v>
      </c>
      <c r="X29" s="130">
        <f>IF(SER_hh_emi!X29=0,0,1000000*SER_hh_emi!X29/SER_hh_num!X29)</f>
        <v>476.4820181710129</v>
      </c>
      <c r="Y29" s="130">
        <f>IF(SER_hh_emi!Y29=0,0,1000000*SER_hh_emi!Y29/SER_hh_num!Y29)</f>
        <v>549.55295227104841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3371.6594179777949</v>
      </c>
      <c r="C30" s="132">
        <f>IF(SER_hh_emi!C30=0,0,1000000*SER_hh_emi!C30/SER_hh_num!C30)</f>
        <v>3376.159286558212</v>
      </c>
      <c r="D30" s="132">
        <f>IF(SER_hh_emi!D30=0,0,1000000*SER_hh_emi!D30/SER_hh_num!D30)</f>
        <v>3013.9498087385668</v>
      </c>
      <c r="E30" s="132">
        <f>IF(SER_hh_emi!E30=0,0,1000000*SER_hh_emi!E30/SER_hh_num!E30)</f>
        <v>3372.2418284329342</v>
      </c>
      <c r="F30" s="132">
        <f>IF(SER_hh_emi!F30=0,0,1000000*SER_hh_emi!F30/SER_hh_num!F30)</f>
        <v>3558.30740921909</v>
      </c>
      <c r="G30" s="132">
        <f>IF(SER_hh_emi!G30=0,0,1000000*SER_hh_emi!G30/SER_hh_num!G30)</f>
        <v>3748.7726606636616</v>
      </c>
      <c r="H30" s="132">
        <f>IF(SER_hh_emi!H30=0,0,1000000*SER_hh_emi!H30/SER_hh_num!H30)</f>
        <v>3569.4540891074516</v>
      </c>
      <c r="I30" s="132">
        <f>IF(SER_hh_emi!I30=0,0,1000000*SER_hh_emi!I30/SER_hh_num!I30)</f>
        <v>3504.6119788059782</v>
      </c>
      <c r="J30" s="132">
        <f>IF(SER_hh_emi!J30=0,0,1000000*SER_hh_emi!J30/SER_hh_num!J30)</f>
        <v>3394.1771951801206</v>
      </c>
      <c r="K30" s="132">
        <f>IF(SER_hh_emi!K30=0,0,1000000*SER_hh_emi!K30/SER_hh_num!K30)</f>
        <v>3241.5154855500386</v>
      </c>
      <c r="L30" s="132">
        <f>IF(SER_hh_emi!L30=0,0,1000000*SER_hh_emi!L30/SER_hh_num!L30)</f>
        <v>4026.0872761552246</v>
      </c>
      <c r="M30" s="132">
        <f>IF(SER_hh_emi!M30=0,0,1000000*SER_hh_emi!M30/SER_hh_num!M30)</f>
        <v>3604.9334612012094</v>
      </c>
      <c r="N30" s="132">
        <f>IF(SER_hh_emi!N30=0,0,1000000*SER_hh_emi!N30/SER_hh_num!N30)</f>
        <v>3348.8180465519831</v>
      </c>
      <c r="O30" s="132">
        <f>IF(SER_hh_emi!O30=0,0,1000000*SER_hh_emi!O30/SER_hh_num!O30)</f>
        <v>3945.4454031437767</v>
      </c>
      <c r="P30" s="132">
        <f>IF(SER_hh_emi!P30=0,0,1000000*SER_hh_emi!P30/SER_hh_num!P30)</f>
        <v>2098.5347757676732</v>
      </c>
      <c r="Q30" s="132">
        <f>IF(SER_hh_emi!Q30=0,0,1000000*SER_hh_emi!Q30/SER_hh_num!Q30)</f>
        <v>3924.4718901178721</v>
      </c>
      <c r="R30" s="132">
        <f>IF(SER_hh_emi!R30=0,0,1000000*SER_hh_emi!R30/SER_hh_num!R30)</f>
        <v>3760.4500484015748</v>
      </c>
      <c r="S30" s="132">
        <f>IF(SER_hh_emi!S30=0,0,1000000*SER_hh_emi!S30/SER_hh_num!S30)</f>
        <v>3495.13151174208</v>
      </c>
      <c r="T30" s="132">
        <f>IF(SER_hh_emi!T30=0,0,1000000*SER_hh_emi!T30/SER_hh_num!T30)</f>
        <v>3486.8306543374038</v>
      </c>
      <c r="U30" s="132">
        <f>IF(SER_hh_emi!U30=0,0,1000000*SER_hh_emi!U30/SER_hh_num!U30)</f>
        <v>3358.58045847727</v>
      </c>
      <c r="V30" s="132">
        <f>IF(SER_hh_emi!V30=0,0,1000000*SER_hh_emi!V30/SER_hh_num!V30)</f>
        <v>2726.2126468076876</v>
      </c>
      <c r="W30" s="132">
        <f>IF(SER_hh_emi!W30=0,0,1000000*SER_hh_emi!W30/SER_hh_num!W30)</f>
        <v>2724.1984456667119</v>
      </c>
      <c r="X30" s="132">
        <f>IF(SER_hh_emi!X30=0,0,1000000*SER_hh_emi!X30/SER_hh_num!X30)</f>
        <v>2737.1239723687199</v>
      </c>
      <c r="Y30" s="132">
        <f>IF(SER_hh_emi!Y30=0,0,1000000*SER_hh_emi!Y30/SER_hh_num!Y30)</f>
        <v>2523.3729131239816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2829.8205731770495</v>
      </c>
      <c r="C31" s="132">
        <f>IF(SER_hh_emi!C31=0,0,1000000*SER_hh_emi!C31/SER_hh_num!C31)</f>
        <v>2817.1058270940607</v>
      </c>
      <c r="D31" s="132">
        <f>IF(SER_hh_emi!D31=0,0,1000000*SER_hh_emi!D31/SER_hh_num!D31)</f>
        <v>2820.9494360363192</v>
      </c>
      <c r="E31" s="132">
        <f>IF(SER_hh_emi!E31=0,0,1000000*SER_hh_emi!E31/SER_hh_num!E31)</f>
        <v>2916.7957072984464</v>
      </c>
      <c r="F31" s="132">
        <f>IF(SER_hh_emi!F31=0,0,1000000*SER_hh_emi!F31/SER_hh_num!F31)</f>
        <v>2854.6728613930991</v>
      </c>
      <c r="G31" s="132">
        <f>IF(SER_hh_emi!G31=0,0,1000000*SER_hh_emi!G31/SER_hh_num!G31)</f>
        <v>2991.8430946116227</v>
      </c>
      <c r="H31" s="132">
        <f>IF(SER_hh_emi!H31=0,0,1000000*SER_hh_emi!H31/SER_hh_num!H31)</f>
        <v>2977.5770287812093</v>
      </c>
      <c r="I31" s="132">
        <f>IF(SER_hh_emi!I31=0,0,1000000*SER_hh_emi!I31/SER_hh_num!I31)</f>
        <v>2970.2128537903036</v>
      </c>
      <c r="J31" s="132">
        <f>IF(SER_hh_emi!J31=0,0,1000000*SER_hh_emi!J31/SER_hh_num!J31)</f>
        <v>2958.9765700021958</v>
      </c>
      <c r="K31" s="132">
        <f>IF(SER_hh_emi!K31=0,0,1000000*SER_hh_emi!K31/SER_hh_num!K31)</f>
        <v>3014.4604794564689</v>
      </c>
      <c r="L31" s="132">
        <f>IF(SER_hh_emi!L31=0,0,1000000*SER_hh_emi!L31/SER_hh_num!L31)</f>
        <v>3011.616066681474</v>
      </c>
      <c r="M31" s="132">
        <f>IF(SER_hh_emi!M31=0,0,1000000*SER_hh_emi!M31/SER_hh_num!M31)</f>
        <v>3002.0275146082477</v>
      </c>
      <c r="N31" s="132">
        <f>IF(SER_hh_emi!N31=0,0,1000000*SER_hh_emi!N31/SER_hh_num!N31)</f>
        <v>3021.408771410589</v>
      </c>
      <c r="O31" s="132">
        <f>IF(SER_hh_emi!O31=0,0,1000000*SER_hh_emi!O31/SER_hh_num!O31)</f>
        <v>2952.1473383496837</v>
      </c>
      <c r="P31" s="132">
        <f>IF(SER_hh_emi!P31=0,0,1000000*SER_hh_emi!P31/SER_hh_num!P31)</f>
        <v>2833.3319272852132</v>
      </c>
      <c r="Q31" s="132">
        <f>IF(SER_hh_emi!Q31=0,0,1000000*SER_hh_emi!Q31/SER_hh_num!Q31)</f>
        <v>3146.6583710773493</v>
      </c>
      <c r="R31" s="132">
        <f>IF(SER_hh_emi!R31=0,0,1000000*SER_hh_emi!R31/SER_hh_num!R31)</f>
        <v>2952.6680831042027</v>
      </c>
      <c r="S31" s="132">
        <f>IF(SER_hh_emi!S31=0,0,1000000*SER_hh_emi!S31/SER_hh_num!S31)</f>
        <v>2673.4522500932285</v>
      </c>
      <c r="T31" s="132">
        <f>IF(SER_hh_emi!T31=0,0,1000000*SER_hh_emi!T31/SER_hh_num!T31)</f>
        <v>2764.6108981727352</v>
      </c>
      <c r="U31" s="132">
        <f>IF(SER_hh_emi!U31=0,0,1000000*SER_hh_emi!U31/SER_hh_num!U31)</f>
        <v>2881.332598765734</v>
      </c>
      <c r="V31" s="132">
        <f>IF(SER_hh_emi!V31=0,0,1000000*SER_hh_emi!V31/SER_hh_num!V31)</f>
        <v>1579.6391333492452</v>
      </c>
      <c r="W31" s="132">
        <f>IF(SER_hh_emi!W31=0,0,1000000*SER_hh_emi!W31/SER_hh_num!W31)</f>
        <v>1891.2869180148907</v>
      </c>
      <c r="X31" s="132">
        <f>IF(SER_hh_emi!X31=0,0,1000000*SER_hh_emi!X31/SER_hh_num!X31)</f>
        <v>1416.6352989506061</v>
      </c>
      <c r="Y31" s="132">
        <f>IF(SER_hh_emi!Y31=0,0,1000000*SER_hh_emi!Y31/SER_hh_num!Y31)</f>
        <v>1417.5686056082111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153.36446749004818</v>
      </c>
      <c r="C3" s="125">
        <f>IF(SER_hh_fech!C3=0,0,SER_hh_fech!C3/SER_summary!C$26)</f>
        <v>155.07647094942774</v>
      </c>
      <c r="D3" s="125">
        <f>IF(SER_hh_fech!D3=0,0,SER_hh_fech!D3/SER_summary!D$26)</f>
        <v>152.00372167525185</v>
      </c>
      <c r="E3" s="125">
        <f>IF(SER_hh_fech!E3=0,0,SER_hh_fech!E3/SER_summary!E$26)</f>
        <v>153.0356664776148</v>
      </c>
      <c r="F3" s="125">
        <f>IF(SER_hh_fech!F3=0,0,SER_hh_fech!F3/SER_summary!F$26)</f>
        <v>149.93063038310635</v>
      </c>
      <c r="G3" s="125">
        <f>IF(SER_hh_fech!G3=0,0,SER_hh_fech!G3/SER_summary!G$26)</f>
        <v>145.85027046063595</v>
      </c>
      <c r="H3" s="125">
        <f>IF(SER_hh_fech!H3=0,0,SER_hh_fech!H3/SER_summary!H$26)</f>
        <v>145.11420866422986</v>
      </c>
      <c r="I3" s="125">
        <f>IF(SER_hh_fech!I3=0,0,SER_hh_fech!I3/SER_summary!I$26)</f>
        <v>136.98228641966426</v>
      </c>
      <c r="J3" s="125">
        <f>IF(SER_hh_fech!J3=0,0,SER_hh_fech!J3/SER_summary!J$26)</f>
        <v>135.0923497644209</v>
      </c>
      <c r="K3" s="125">
        <f>IF(SER_hh_fech!K3=0,0,SER_hh_fech!K3/SER_summary!K$26)</f>
        <v>129.72443548988977</v>
      </c>
      <c r="L3" s="125">
        <f>IF(SER_hh_fech!L3=0,0,SER_hh_fech!L3/SER_summary!L$26)</f>
        <v>137.65535537767028</v>
      </c>
      <c r="M3" s="125">
        <f>IF(SER_hh_fech!M3=0,0,SER_hh_fech!M3/SER_summary!M$26)</f>
        <v>120.65270079491029</v>
      </c>
      <c r="N3" s="125">
        <f>IF(SER_hh_fech!N3=0,0,SER_hh_fech!N3/SER_summary!N$26)</f>
        <v>121.9935479562422</v>
      </c>
      <c r="O3" s="125">
        <f>IF(SER_hh_fech!O3=0,0,SER_hh_fech!O3/SER_summary!O$26)</f>
        <v>119.1252998474266</v>
      </c>
      <c r="P3" s="125">
        <f>IF(SER_hh_fech!P3=0,0,SER_hh_fech!P3/SER_summary!P$26)</f>
        <v>106.98600296172728</v>
      </c>
      <c r="Q3" s="125">
        <f>IF(SER_hh_fech!Q3=0,0,SER_hh_fech!Q3/SER_summary!Q$26)</f>
        <v>111.7209071365118</v>
      </c>
      <c r="R3" s="125">
        <f>IF(SER_hh_fech!R3=0,0,SER_hh_fech!R3/SER_summary!R$26)</f>
        <v>114.79054868855648</v>
      </c>
      <c r="S3" s="125">
        <f>IF(SER_hh_fech!S3=0,0,SER_hh_fech!S3/SER_summary!S$26)</f>
        <v>116.17966967112409</v>
      </c>
      <c r="T3" s="125">
        <f>IF(SER_hh_fech!T3=0,0,SER_hh_fech!T3/SER_summary!T$26)</f>
        <v>109.95264437958286</v>
      </c>
      <c r="U3" s="125">
        <f>IF(SER_hh_fech!U3=0,0,SER_hh_fech!U3/SER_summary!U$26)</f>
        <v>104.2503766630722</v>
      </c>
      <c r="V3" s="125">
        <f>IF(SER_hh_fech!V3=0,0,SER_hh_fech!V3/SER_summary!V$26)</f>
        <v>96.769838643352571</v>
      </c>
      <c r="W3" s="125">
        <f>IF(SER_hh_fech!W3=0,0,SER_hh_fech!W3/SER_summary!W$26)</f>
        <v>110.56314183188216</v>
      </c>
      <c r="X3" s="125">
        <f>IF(SER_hh_fech!X3=0,0,SER_hh_fech!X3/SER_summary!X$26)</f>
        <v>98.995480465519634</v>
      </c>
      <c r="Y3" s="125">
        <f>IF(SER_hh_fech!Y3=0,0,SER_hh_fech!Y3/SER_summary!Y$26)</f>
        <v>94.748032635995742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122.43128473575875</v>
      </c>
      <c r="C4" s="130">
        <f>IF(SER_hh_fech!C4=0,0,SER_hh_fech!C4/SER_summary!C$26)</f>
        <v>124.50032068848438</v>
      </c>
      <c r="D4" s="130">
        <f>IF(SER_hh_fech!D4=0,0,SER_hh_fech!D4/SER_summary!D$26)</f>
        <v>121.59016417977878</v>
      </c>
      <c r="E4" s="130">
        <f>IF(SER_hh_fech!E4=0,0,SER_hh_fech!E4/SER_summary!E$26)</f>
        <v>122.53227666496285</v>
      </c>
      <c r="F4" s="130">
        <f>IF(SER_hh_fech!F4=0,0,SER_hh_fech!F4/SER_summary!F$26)</f>
        <v>119.49231188208263</v>
      </c>
      <c r="G4" s="130">
        <f>IF(SER_hh_fech!G4=0,0,SER_hh_fech!G4/SER_summary!G$26)</f>
        <v>115.46634756392206</v>
      </c>
      <c r="H4" s="130">
        <f>IF(SER_hh_fech!H4=0,0,SER_hh_fech!H4/SER_summary!H$26)</f>
        <v>114.7047799623189</v>
      </c>
      <c r="I4" s="130">
        <f>IF(SER_hh_fech!I4=0,0,SER_hh_fech!I4/SER_summary!I$26)</f>
        <v>107.01579045700235</v>
      </c>
      <c r="J4" s="130">
        <f>IF(SER_hh_fech!J4=0,0,SER_hh_fech!J4/SER_summary!J$26)</f>
        <v>105.20348165748537</v>
      </c>
      <c r="K4" s="130">
        <f>IF(SER_hh_fech!K4=0,0,SER_hh_fech!K4/SER_summary!K$26)</f>
        <v>100.0108489086881</v>
      </c>
      <c r="L4" s="130">
        <f>IF(SER_hh_fech!L4=0,0,SER_hh_fech!L4/SER_summary!L$26)</f>
        <v>108.27325963365455</v>
      </c>
      <c r="M4" s="130">
        <f>IF(SER_hh_fech!M4=0,0,SER_hh_fech!M4/SER_summary!M$26)</f>
        <v>91.058290381501735</v>
      </c>
      <c r="N4" s="130">
        <f>IF(SER_hh_fech!N4=0,0,SER_hh_fech!N4/SER_summary!N$26)</f>
        <v>92.295970224166609</v>
      </c>
      <c r="O4" s="130">
        <f>IF(SER_hh_fech!O4=0,0,SER_hh_fech!O4/SER_summary!O$26)</f>
        <v>89.542798970436493</v>
      </c>
      <c r="P4" s="130">
        <f>IF(SER_hh_fech!P4=0,0,SER_hh_fech!P4/SER_summary!P$26)</f>
        <v>77.693008292924134</v>
      </c>
      <c r="Q4" s="130">
        <f>IF(SER_hh_fech!Q4=0,0,SER_hh_fech!Q4/SER_summary!Q$26)</f>
        <v>82.508324074475027</v>
      </c>
      <c r="R4" s="130">
        <f>IF(SER_hh_fech!R4=0,0,SER_hh_fech!R4/SER_summary!R$26)</f>
        <v>85.572938469511982</v>
      </c>
      <c r="S4" s="130">
        <f>IF(SER_hh_fech!S4=0,0,SER_hh_fech!S4/SER_summary!S$26)</f>
        <v>86.990775461143457</v>
      </c>
      <c r="T4" s="130">
        <f>IF(SER_hh_fech!T4=0,0,SER_hh_fech!T4/SER_summary!T$26)</f>
        <v>81.537719995814498</v>
      </c>
      <c r="U4" s="130">
        <f>IF(SER_hh_fech!U4=0,0,SER_hh_fech!U4/SER_summary!U$26)</f>
        <v>76.487293454932413</v>
      </c>
      <c r="V4" s="130">
        <f>IF(SER_hh_fech!V4=0,0,SER_hh_fech!V4/SER_summary!V$26)</f>
        <v>73.778001467213784</v>
      </c>
      <c r="W4" s="130">
        <f>IF(SER_hh_fech!W4=0,0,SER_hh_fech!W4/SER_summary!W$26)</f>
        <v>86.042637111159792</v>
      </c>
      <c r="X4" s="130">
        <f>IF(SER_hh_fech!X4=0,0,SER_hh_fech!X4/SER_summary!X$26)</f>
        <v>74.340325935927538</v>
      </c>
      <c r="Y4" s="130">
        <f>IF(SER_hh_fech!Y4=0,0,SER_hh_fech!Y4/SER_summary!Y$26)</f>
        <v>71.778709898161665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185.70870074795275</v>
      </c>
      <c r="C7" s="132">
        <f>IF(SER_hh_fech!C7=0,0,SER_hh_fech!C7/SER_summary!C$26)</f>
        <v>181.38362883994427</v>
      </c>
      <c r="D7" s="132">
        <f>IF(SER_hh_fech!D7=0,0,SER_hh_fech!D7/SER_summary!D$26)</f>
        <v>173.91909584056705</v>
      </c>
      <c r="E7" s="132">
        <f>IF(SER_hh_fech!E7=0,0,SER_hh_fech!E7/SER_summary!E$26)</f>
        <v>177.21624933041699</v>
      </c>
      <c r="F7" s="132">
        <f>IF(SER_hh_fech!F7=0,0,SER_hh_fech!F7/SER_summary!F$26)</f>
        <v>186.55134693365477</v>
      </c>
      <c r="G7" s="132">
        <f>IF(SER_hh_fech!G7=0,0,SER_hh_fech!G7/SER_summary!G$26)</f>
        <v>174.36891901187792</v>
      </c>
      <c r="H7" s="132">
        <f>IF(SER_hh_fech!H7=0,0,SER_hh_fech!H7/SER_summary!H$26)</f>
        <v>159.44219789856385</v>
      </c>
      <c r="I7" s="132">
        <f>IF(SER_hh_fech!I7=0,0,SER_hh_fech!I7/SER_summary!I$26)</f>
        <v>150.73688667428323</v>
      </c>
      <c r="J7" s="132">
        <f>IF(SER_hh_fech!J7=0,0,SER_hh_fech!J7/SER_summary!J$26)</f>
        <v>158.74197224298709</v>
      </c>
      <c r="K7" s="132">
        <f>IF(SER_hh_fech!K7=0,0,SER_hh_fech!K7/SER_summary!K$26)</f>
        <v>151.77826575245717</v>
      </c>
      <c r="L7" s="132">
        <f>IF(SER_hh_fech!L7=0,0,SER_hh_fech!L7/SER_summary!L$26)</f>
        <v>150.9457077506664</v>
      </c>
      <c r="M7" s="132">
        <f>IF(SER_hh_fech!M7=0,0,SER_hh_fech!M7/SER_summary!M$26)</f>
        <v>117.48193805766503</v>
      </c>
      <c r="N7" s="132">
        <f>IF(SER_hh_fech!N7=0,0,SER_hh_fech!N7/SER_summary!N$26)</f>
        <v>134.73977412417531</v>
      </c>
      <c r="O7" s="132">
        <f>IF(SER_hh_fech!O7=0,0,SER_hh_fech!O7/SER_summary!O$26)</f>
        <v>119.0427874871167</v>
      </c>
      <c r="P7" s="132">
        <f>IF(SER_hh_fech!P7=0,0,SER_hh_fech!P7/SER_summary!P$26)</f>
        <v>104.88672001598252</v>
      </c>
      <c r="Q7" s="132">
        <f>IF(SER_hh_fech!Q7=0,0,SER_hh_fech!Q7/SER_summary!Q$26)</f>
        <v>110.76863007272487</v>
      </c>
      <c r="R7" s="132">
        <f>IF(SER_hh_fech!R7=0,0,SER_hh_fech!R7/SER_summary!R$26)</f>
        <v>113.31154045372048</v>
      </c>
      <c r="S7" s="132">
        <f>IF(SER_hh_fech!S7=0,0,SER_hh_fech!S7/SER_summary!S$26)</f>
        <v>110.7214353121247</v>
      </c>
      <c r="T7" s="132">
        <f>IF(SER_hh_fech!T7=0,0,SER_hh_fech!T7/SER_summary!T$26)</f>
        <v>130.37086330268249</v>
      </c>
      <c r="U7" s="132">
        <f>IF(SER_hh_fech!U7=0,0,SER_hh_fech!U7/SER_summary!U$26)</f>
        <v>79.921352850659076</v>
      </c>
      <c r="V7" s="132">
        <f>IF(SER_hh_fech!V7=0,0,SER_hh_fech!V7/SER_summary!V$26)</f>
        <v>104.88488402701546</v>
      </c>
      <c r="W7" s="132">
        <f>IF(SER_hh_fech!W7=0,0,SER_hh_fech!W7/SER_summary!W$26)</f>
        <v>83.011635387312595</v>
      </c>
      <c r="X7" s="132">
        <f>IF(SER_hh_fech!X7=0,0,SER_hh_fech!X7/SER_summary!X$26)</f>
        <v>117.39895362631476</v>
      </c>
      <c r="Y7" s="132">
        <f>IF(SER_hh_fech!Y7=0,0,SER_hh_fech!Y7/SER_summary!Y$26)</f>
        <v>91.566986159001175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85.157180611573324</v>
      </c>
      <c r="C8" s="132">
        <f>IF(SER_hh_fech!C8=0,0,SER_hh_fech!C8/SER_summary!C$26)</f>
        <v>79.819715972058376</v>
      </c>
      <c r="D8" s="132">
        <f>IF(SER_hh_fech!D8=0,0,SER_hh_fech!D8/SER_summary!D$26)</f>
        <v>72.886013274586389</v>
      </c>
      <c r="E8" s="132">
        <f>IF(SER_hh_fech!E8=0,0,SER_hh_fech!E8/SER_summary!E$26)</f>
        <v>77.256999205060822</v>
      </c>
      <c r="F8" s="132">
        <f>IF(SER_hh_fech!F8=0,0,SER_hh_fech!F8/SER_summary!F$26)</f>
        <v>72.958247470175664</v>
      </c>
      <c r="G8" s="132">
        <f>IF(SER_hh_fech!G8=0,0,SER_hh_fech!G8/SER_summary!G$26)</f>
        <v>56.609828524185367</v>
      </c>
      <c r="H8" s="132">
        <f>IF(SER_hh_fech!H8=0,0,SER_hh_fech!H8/SER_summary!H$26)</f>
        <v>31.611387291400579</v>
      </c>
      <c r="I8" s="132">
        <f>IF(SER_hh_fech!I8=0,0,SER_hh_fech!I8/SER_summary!I$26)</f>
        <v>61.047946589316304</v>
      </c>
      <c r="J8" s="132">
        <f>IF(SER_hh_fech!J8=0,0,SER_hh_fech!J8/SER_summary!J$26)</f>
        <v>49.671439870472234</v>
      </c>
      <c r="K8" s="132">
        <f>IF(SER_hh_fech!K8=0,0,SER_hh_fech!K8/SER_summary!K$26)</f>
        <v>45.641700540078325</v>
      </c>
      <c r="L8" s="132">
        <f>IF(SER_hh_fech!L8=0,0,SER_hh_fech!L8/SER_summary!L$26)</f>
        <v>43.100162308013331</v>
      </c>
      <c r="M8" s="132">
        <f>IF(SER_hh_fech!M8=0,0,SER_hh_fech!M8/SER_summary!M$26)</f>
        <v>39.590685896432859</v>
      </c>
      <c r="N8" s="132">
        <f>IF(SER_hh_fech!N8=0,0,SER_hh_fech!N8/SER_summary!N$26)</f>
        <v>36.09669200326249</v>
      </c>
      <c r="O8" s="132">
        <f>IF(SER_hh_fech!O8=0,0,SER_hh_fech!O8/SER_summary!O$26)</f>
        <v>31.118058262765189</v>
      </c>
      <c r="P8" s="132">
        <f>IF(SER_hh_fech!P8=0,0,SER_hh_fech!P8/SER_summary!P$26)</f>
        <v>31.704227148587343</v>
      </c>
      <c r="Q8" s="132">
        <f>IF(SER_hh_fech!Q8=0,0,SER_hh_fech!Q8/SER_summary!Q$26)</f>
        <v>32.75919469085084</v>
      </c>
      <c r="R8" s="132">
        <f>IF(SER_hh_fech!R8=0,0,SER_hh_fech!R8/SER_summary!R$26)</f>
        <v>31.633337295723546</v>
      </c>
      <c r="S8" s="132">
        <f>IF(SER_hh_fech!S8=0,0,SER_hh_fech!S8/SER_summary!S$26)</f>
        <v>29.104381413436158</v>
      </c>
      <c r="T8" s="132">
        <f>IF(SER_hh_fech!T8=0,0,SER_hh_fech!T8/SER_summary!T$26)</f>
        <v>27.712853435947675</v>
      </c>
      <c r="U8" s="132">
        <f>IF(SER_hh_fech!U8=0,0,SER_hh_fech!U8/SER_summary!U$26)</f>
        <v>26.013339843934041</v>
      </c>
      <c r="V8" s="132">
        <f>IF(SER_hh_fech!V8=0,0,SER_hh_fech!V8/SER_summary!V$26)</f>
        <v>26.551689089059114</v>
      </c>
      <c r="W8" s="132">
        <f>IF(SER_hh_fech!W8=0,0,SER_hh_fech!W8/SER_summary!W$26)</f>
        <v>25.11101926060606</v>
      </c>
      <c r="X8" s="132">
        <f>IF(SER_hh_fech!X8=0,0,SER_hh_fech!X8/SER_summary!X$26)</f>
        <v>24.89721063636005</v>
      </c>
      <c r="Y8" s="132">
        <f>IF(SER_hh_fech!Y8=0,0,SER_hh_fech!Y8/SER_summary!Y$26)</f>
        <v>25.340545535190333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165.70684224395993</v>
      </c>
      <c r="C9" s="132">
        <f>IF(SER_hh_fech!C9=0,0,SER_hh_fech!C9/SER_summary!C$26)</f>
        <v>165.75808114617703</v>
      </c>
      <c r="D9" s="132">
        <f>IF(SER_hh_fech!D9=0,0,SER_hh_fech!D9/SER_summary!D$26)</f>
        <v>156.30200677945888</v>
      </c>
      <c r="E9" s="132">
        <f>IF(SER_hh_fech!E9=0,0,SER_hh_fech!E9/SER_summary!E$26)</f>
        <v>168.98515662172969</v>
      </c>
      <c r="F9" s="132">
        <f>IF(SER_hh_fech!F9=0,0,SER_hh_fech!F9/SER_summary!F$26)</f>
        <v>155.10797493270266</v>
      </c>
      <c r="G9" s="132">
        <f>IF(SER_hh_fech!G9=0,0,SER_hh_fech!G9/SER_summary!G$26)</f>
        <v>149.76763108034081</v>
      </c>
      <c r="H9" s="132">
        <f>IF(SER_hh_fech!H9=0,0,SER_hh_fech!H9/SER_summary!H$26)</f>
        <v>157.51599454583663</v>
      </c>
      <c r="I9" s="132">
        <f>IF(SER_hh_fech!I9=0,0,SER_hh_fech!I9/SER_summary!I$26)</f>
        <v>139.97637250624615</v>
      </c>
      <c r="J9" s="132">
        <f>IF(SER_hh_fech!J9=0,0,SER_hh_fech!J9/SER_summary!J$26)</f>
        <v>137.58752876941782</v>
      </c>
      <c r="K9" s="132">
        <f>IF(SER_hh_fech!K9=0,0,SER_hh_fech!K9/SER_summary!K$26)</f>
        <v>139.74833411027058</v>
      </c>
      <c r="L9" s="132">
        <f>IF(SER_hh_fech!L9=0,0,SER_hh_fech!L9/SER_summary!L$26)</f>
        <v>143.84023459265921</v>
      </c>
      <c r="M9" s="132">
        <f>IF(SER_hh_fech!M9=0,0,SER_hh_fech!M9/SER_summary!M$26)</f>
        <v>110.02712231899066</v>
      </c>
      <c r="N9" s="132">
        <f>IF(SER_hh_fech!N9=0,0,SER_hh_fech!N9/SER_summary!N$26)</f>
        <v>124.20595458830294</v>
      </c>
      <c r="O9" s="132">
        <f>IF(SER_hh_fech!O9=0,0,SER_hh_fech!O9/SER_summary!O$26)</f>
        <v>127.80858835016028</v>
      </c>
      <c r="P9" s="132">
        <f>IF(SER_hh_fech!P9=0,0,SER_hh_fech!P9/SER_summary!P$26)</f>
        <v>86.332393286809904</v>
      </c>
      <c r="Q9" s="132">
        <f>IF(SER_hh_fech!Q9=0,0,SER_hh_fech!Q9/SER_summary!Q$26)</f>
        <v>107.74223693599821</v>
      </c>
      <c r="R9" s="132">
        <f>IF(SER_hh_fech!R9=0,0,SER_hh_fech!R9/SER_summary!R$26)</f>
        <v>108.46322263739683</v>
      </c>
      <c r="S9" s="132">
        <f>IF(SER_hh_fech!S9=0,0,SER_hh_fech!S9/SER_summary!S$26)</f>
        <v>113.63885119269496</v>
      </c>
      <c r="T9" s="132">
        <f>IF(SER_hh_fech!T9=0,0,SER_hh_fech!T9/SER_summary!T$26)</f>
        <v>81.918378027228968</v>
      </c>
      <c r="U9" s="132">
        <f>IF(SER_hh_fech!U9=0,0,SER_hh_fech!U9/SER_summary!U$26)</f>
        <v>77.140351038511255</v>
      </c>
      <c r="V9" s="132">
        <f>IF(SER_hh_fech!V9=0,0,SER_hh_fech!V9/SER_summary!V$26)</f>
        <v>78.118920879689071</v>
      </c>
      <c r="W9" s="132">
        <f>IF(SER_hh_fech!W9=0,0,SER_hh_fech!W9/SER_summary!W$26)</f>
        <v>109.83975987656977</v>
      </c>
      <c r="X9" s="132">
        <f>IF(SER_hh_fech!X9=0,0,SER_hh_fech!X9/SER_summary!X$26)</f>
        <v>85.204379203832389</v>
      </c>
      <c r="Y9" s="132">
        <f>IF(SER_hh_fech!Y9=0,0,SER_hh_fech!Y9/SER_summary!Y$26)</f>
        <v>81.081354418838799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195.53086376625143</v>
      </c>
      <c r="C10" s="132">
        <f>IF(SER_hh_fech!C10=0,0,SER_hh_fech!C10/SER_summary!C$26)</f>
        <v>161.15643137308328</v>
      </c>
      <c r="D10" s="132">
        <f>IF(SER_hh_fech!D10=0,0,SER_hh_fech!D10/SER_summary!D$26)</f>
        <v>191.45686347609825</v>
      </c>
      <c r="E10" s="132">
        <f>IF(SER_hh_fech!E10=0,0,SER_hh_fech!E10/SER_summary!E$26)</f>
        <v>187.51790327982062</v>
      </c>
      <c r="F10" s="132">
        <f>IF(SER_hh_fech!F10=0,0,SER_hh_fech!F10/SER_summary!F$26)</f>
        <v>155.57603304956464</v>
      </c>
      <c r="G10" s="132">
        <f>IF(SER_hh_fech!G10=0,0,SER_hh_fech!G10/SER_summary!G$26)</f>
        <v>162.08960538814517</v>
      </c>
      <c r="H10" s="132">
        <f>IF(SER_hh_fech!H10=0,0,SER_hh_fech!H10/SER_summary!H$26)</f>
        <v>175.01592187717731</v>
      </c>
      <c r="I10" s="132">
        <f>IF(SER_hh_fech!I10=0,0,SER_hh_fech!I10/SER_summary!I$26)</f>
        <v>153.53147267622219</v>
      </c>
      <c r="J10" s="132">
        <f>IF(SER_hh_fech!J10=0,0,SER_hh_fech!J10/SER_summary!J$26)</f>
        <v>148.21837364883848</v>
      </c>
      <c r="K10" s="132">
        <f>IF(SER_hh_fech!K10=0,0,SER_hh_fech!K10/SER_summary!K$26)</f>
        <v>132.71985802690091</v>
      </c>
      <c r="L10" s="132">
        <f>IF(SER_hh_fech!L10=0,0,SER_hh_fech!L10/SER_summary!L$26)</f>
        <v>134.09485436487387</v>
      </c>
      <c r="M10" s="132">
        <f>IF(SER_hh_fech!M10=0,0,SER_hh_fech!M10/SER_summary!M$26)</f>
        <v>139.33237198117601</v>
      </c>
      <c r="N10" s="132">
        <f>IF(SER_hh_fech!N10=0,0,SER_hh_fech!N10/SER_summary!N$26)</f>
        <v>119.4467286510438</v>
      </c>
      <c r="O10" s="132">
        <f>IF(SER_hh_fech!O10=0,0,SER_hh_fech!O10/SER_summary!O$26)</f>
        <v>114.49348515050491</v>
      </c>
      <c r="P10" s="132">
        <f>IF(SER_hh_fech!P10=0,0,SER_hh_fech!P10/SER_summary!P$26)</f>
        <v>127.67754337931451</v>
      </c>
      <c r="Q10" s="132">
        <f>IF(SER_hh_fech!Q10=0,0,SER_hh_fech!Q10/SER_summary!Q$26)</f>
        <v>103.75585196349036</v>
      </c>
      <c r="R10" s="132">
        <f>IF(SER_hh_fech!R10=0,0,SER_hh_fech!R10/SER_summary!R$26)</f>
        <v>116.4125627388247</v>
      </c>
      <c r="S10" s="132">
        <f>IF(SER_hh_fech!S10=0,0,SER_hh_fech!S10/SER_summary!S$26)</f>
        <v>122.8450774785295</v>
      </c>
      <c r="T10" s="132">
        <f>IF(SER_hh_fech!T10=0,0,SER_hh_fech!T10/SER_summary!T$26)</f>
        <v>134.48480163438219</v>
      </c>
      <c r="U10" s="132">
        <f>IF(SER_hh_fech!U10=0,0,SER_hh_fech!U10/SER_summary!U$26)</f>
        <v>120.06537303484181</v>
      </c>
      <c r="V10" s="132">
        <f>IF(SER_hh_fech!V10=0,0,SER_hh_fech!V10/SER_summary!V$26)</f>
        <v>110.27567621787873</v>
      </c>
      <c r="W10" s="132">
        <f>IF(SER_hh_fech!W10=0,0,SER_hh_fech!W10/SER_summary!W$26)</f>
        <v>127.57589815081907</v>
      </c>
      <c r="X10" s="132">
        <f>IF(SER_hh_fech!X10=0,0,SER_hh_fech!X10/SER_summary!X$26)</f>
        <v>111.65716262010999</v>
      </c>
      <c r="Y10" s="132">
        <f>IF(SER_hh_fech!Y10=0,0,SER_hh_fech!Y10/SER_summary!Y$26)</f>
        <v>111.05209483231094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105.25805098058255</v>
      </c>
      <c r="C12" s="132">
        <f>IF(SER_hh_fech!C12=0,0,SER_hh_fech!C12/SER_summary!C$26)</f>
        <v>110.21896978318517</v>
      </c>
      <c r="D12" s="132">
        <f>IF(SER_hh_fech!D12=0,0,SER_hh_fech!D12/SER_summary!D$26)</f>
        <v>106.60608339261992</v>
      </c>
      <c r="E12" s="132">
        <f>IF(SER_hh_fech!E12=0,0,SER_hh_fech!E12/SER_summary!E$26)</f>
        <v>107.49869154193928</v>
      </c>
      <c r="F12" s="132">
        <f>IF(SER_hh_fech!F12=0,0,SER_hh_fech!F12/SER_summary!F$26)</f>
        <v>105.16026430779301</v>
      </c>
      <c r="G12" s="132">
        <f>IF(SER_hh_fech!G12=0,0,SER_hh_fech!G12/SER_summary!G$26)</f>
        <v>102.038224485312</v>
      </c>
      <c r="H12" s="132">
        <f>IF(SER_hh_fech!H12=0,0,SER_hh_fech!H12/SER_summary!H$26)</f>
        <v>100.29320339052016</v>
      </c>
      <c r="I12" s="132">
        <f>IF(SER_hh_fech!I12=0,0,SER_hh_fech!I12/SER_summary!I$26)</f>
        <v>94.320926261034245</v>
      </c>
      <c r="J12" s="132">
        <f>IF(SER_hh_fech!J12=0,0,SER_hh_fech!J12/SER_summary!J$26)</f>
        <v>93.514931784606389</v>
      </c>
      <c r="K12" s="132">
        <f>IF(SER_hh_fech!K12=0,0,SER_hh_fech!K12/SER_summary!K$26)</f>
        <v>90.393774370514294</v>
      </c>
      <c r="L12" s="132">
        <f>IF(SER_hh_fech!L12=0,0,SER_hh_fech!L12/SER_summary!L$26)</f>
        <v>100.61621835078367</v>
      </c>
      <c r="M12" s="132">
        <f>IF(SER_hh_fech!M12=0,0,SER_hh_fech!M12/SER_summary!M$26)</f>
        <v>84.742270813170279</v>
      </c>
      <c r="N12" s="132">
        <f>IF(SER_hh_fech!N12=0,0,SER_hh_fech!N12/SER_summary!N$26)</f>
        <v>85.337321633926379</v>
      </c>
      <c r="O12" s="132">
        <f>IF(SER_hh_fech!O12=0,0,SER_hh_fech!O12/SER_summary!O$26)</f>
        <v>83.325222234087605</v>
      </c>
      <c r="P12" s="132">
        <f>IF(SER_hh_fech!P12=0,0,SER_hh_fech!P12/SER_summary!P$26)</f>
        <v>73.66972263322377</v>
      </c>
      <c r="Q12" s="132">
        <f>IF(SER_hh_fech!Q12=0,0,SER_hh_fech!Q12/SER_summary!Q$26)</f>
        <v>78.643601116939564</v>
      </c>
      <c r="R12" s="132">
        <f>IF(SER_hh_fech!R12=0,0,SER_hh_fech!R12/SER_summary!R$26)</f>
        <v>80.621120961156493</v>
      </c>
      <c r="S12" s="132">
        <f>IF(SER_hh_fech!S12=0,0,SER_hh_fech!S12/SER_summary!S$26)</f>
        <v>80.606264093614527</v>
      </c>
      <c r="T12" s="132">
        <f>IF(SER_hh_fech!T12=0,0,SER_hh_fech!T12/SER_summary!T$26)</f>
        <v>79.036770535843914</v>
      </c>
      <c r="U12" s="132">
        <f>IF(SER_hh_fech!U12=0,0,SER_hh_fech!U12/SER_summary!U$26)</f>
        <v>76.889457255523695</v>
      </c>
      <c r="V12" s="132">
        <f>IF(SER_hh_fech!V12=0,0,SER_hh_fech!V12/SER_summary!V$26)</f>
        <v>74.628660983787753</v>
      </c>
      <c r="W12" s="132">
        <f>IF(SER_hh_fech!W12=0,0,SER_hh_fech!W12/SER_summary!W$26)</f>
        <v>82.262209985146853</v>
      </c>
      <c r="X12" s="132">
        <f>IF(SER_hh_fech!X12=0,0,SER_hh_fech!X12/SER_summary!X$26)</f>
        <v>72.25346140573528</v>
      </c>
      <c r="Y12" s="132">
        <f>IF(SER_hh_fech!Y12=0,0,SER_hh_fech!Y12/SER_summary!Y$26)</f>
        <v>72.999891790713519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55.347993595099609</v>
      </c>
      <c r="C13" s="132">
        <f>IF(SER_hh_fech!C13=0,0,SER_hh_fech!C13/SER_summary!C$26)</f>
        <v>54.900990770033474</v>
      </c>
      <c r="D13" s="132">
        <f>IF(SER_hh_fech!D13=0,0,SER_hh_fech!D13/SER_summary!D$26)</f>
        <v>54.116518321110092</v>
      </c>
      <c r="E13" s="132">
        <f>IF(SER_hh_fech!E13=0,0,SER_hh_fech!E13/SER_summary!E$26)</f>
        <v>52.595380305906843</v>
      </c>
      <c r="F13" s="132">
        <f>IF(SER_hh_fech!F13=0,0,SER_hh_fech!F13/SER_summary!F$26)</f>
        <v>51.037978420885693</v>
      </c>
      <c r="G13" s="132">
        <f>IF(SER_hh_fech!G13=0,0,SER_hh_fech!G13/SER_summary!G$26)</f>
        <v>34.153934865442068</v>
      </c>
      <c r="H13" s="132">
        <f>IF(SER_hh_fech!H13=0,0,SER_hh_fech!H13/SER_summary!H$26)</f>
        <v>20.676264184535817</v>
      </c>
      <c r="I13" s="132">
        <f>IF(SER_hh_fech!I13=0,0,SER_hh_fech!I13/SER_summary!I$26)</f>
        <v>44.448156915974423</v>
      </c>
      <c r="J13" s="132">
        <f>IF(SER_hh_fech!J13=0,0,SER_hh_fech!J13/SER_summary!J$26)</f>
        <v>36.366910269929861</v>
      </c>
      <c r="K13" s="132">
        <f>IF(SER_hh_fech!K13=0,0,SER_hh_fech!K13/SER_summary!K$26)</f>
        <v>32.526691755713699</v>
      </c>
      <c r="L13" s="132">
        <f>IF(SER_hh_fech!L13=0,0,SER_hh_fech!L13/SER_summary!L$26)</f>
        <v>31.944317171423148</v>
      </c>
      <c r="M13" s="132">
        <f>IF(SER_hh_fech!M13=0,0,SER_hh_fech!M13/SER_summary!M$26)</f>
        <v>29.724799651283153</v>
      </c>
      <c r="N13" s="132">
        <f>IF(SER_hh_fech!N13=0,0,SER_hh_fech!N13/SER_summary!N$26)</f>
        <v>28.13850940437419</v>
      </c>
      <c r="O13" s="132">
        <f>IF(SER_hh_fech!O13=0,0,SER_hh_fech!O13/SER_summary!O$26)</f>
        <v>26.21825088468405</v>
      </c>
      <c r="P13" s="132">
        <f>IF(SER_hh_fech!P13=0,0,SER_hh_fech!P13/SER_summary!P$26)</f>
        <v>23.978621457975727</v>
      </c>
      <c r="Q13" s="132">
        <f>IF(SER_hh_fech!Q13=0,0,SER_hh_fech!Q13/SER_summary!Q$26)</f>
        <v>24.463083816957198</v>
      </c>
      <c r="R13" s="132">
        <f>IF(SER_hh_fech!R13=0,0,SER_hh_fech!R13/SER_summary!R$26)</f>
        <v>24.927968731234948</v>
      </c>
      <c r="S13" s="132">
        <f>IF(SER_hh_fech!S13=0,0,SER_hh_fech!S13/SER_summary!S$26)</f>
        <v>22.926047941278963</v>
      </c>
      <c r="T13" s="132">
        <f>IF(SER_hh_fech!T13=0,0,SER_hh_fech!T13/SER_summary!T$26)</f>
        <v>21.844576464801349</v>
      </c>
      <c r="U13" s="132">
        <f>IF(SER_hh_fech!U13=0,0,SER_hh_fech!U13/SER_summary!U$26)</f>
        <v>20.772283401029924</v>
      </c>
      <c r="V13" s="132">
        <f>IF(SER_hh_fech!V13=0,0,SER_hh_fech!V13/SER_summary!V$26)</f>
        <v>19.627620927609904</v>
      </c>
      <c r="W13" s="132">
        <f>IF(SER_hh_fech!W13=0,0,SER_hh_fech!W13/SER_summary!W$26)</f>
        <v>19.190068285146136</v>
      </c>
      <c r="X13" s="132">
        <f>IF(SER_hh_fech!X13=0,0,SER_hh_fech!X13/SER_summary!X$26)</f>
        <v>18.867157884098422</v>
      </c>
      <c r="Y13" s="132">
        <f>IF(SER_hh_fech!Y13=0,0,SER_hh_fech!Y13/SER_summary!Y$26)</f>
        <v>17.910251180348915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120.73333710956155</v>
      </c>
      <c r="C14" s="65">
        <f>IF(SER_hh_fech!C14=0,0,SER_hh_fech!C14/SER_summary!C$26)</f>
        <v>124.79264292289051</v>
      </c>
      <c r="D14" s="65">
        <f>IF(SER_hh_fech!D14=0,0,SER_hh_fech!D14/SER_summary!D$26)</f>
        <v>123.23032080333235</v>
      </c>
      <c r="E14" s="65">
        <f>IF(SER_hh_fech!E14=0,0,SER_hh_fech!E14/SER_summary!E$26)</f>
        <v>116.66104931549366</v>
      </c>
      <c r="F14" s="65">
        <f>IF(SER_hh_fech!F14=0,0,SER_hh_fech!F14/SER_summary!F$26)</f>
        <v>117.70535692382353</v>
      </c>
      <c r="G14" s="65">
        <f>IF(SER_hh_fech!G14=0,0,SER_hh_fech!G14/SER_summary!G$26)</f>
        <v>113.12203137220962</v>
      </c>
      <c r="H14" s="65">
        <f>IF(SER_hh_fech!H14=0,0,SER_hh_fech!H14/SER_summary!H$26)</f>
        <v>113.26199556626145</v>
      </c>
      <c r="I14" s="65">
        <f>IF(SER_hh_fech!I14=0,0,SER_hh_fech!I14/SER_summary!I$26)</f>
        <v>112.3530117790324</v>
      </c>
      <c r="J14" s="65">
        <f>IF(SER_hh_fech!J14=0,0,SER_hh_fech!J14/SER_summary!J$26)</f>
        <v>110.13349133370043</v>
      </c>
      <c r="K14" s="65">
        <f>IF(SER_hh_fech!K14=0,0,SER_hh_fech!K14/SER_summary!K$26)</f>
        <v>97.94267929436073</v>
      </c>
      <c r="L14" s="65">
        <f>IF(SER_hh_fech!L14=0,0,SER_hh_fech!L14/SER_summary!L$26)</f>
        <v>109.50537341401355</v>
      </c>
      <c r="M14" s="65">
        <f>IF(SER_hh_fech!M14=0,0,SER_hh_fech!M14/SER_summary!M$26)</f>
        <v>101.24282617356022</v>
      </c>
      <c r="N14" s="65">
        <f>IF(SER_hh_fech!N14=0,0,SER_hh_fech!N14/SER_summary!N$26)</f>
        <v>94.514024729125495</v>
      </c>
      <c r="O14" s="65">
        <f>IF(SER_hh_fech!O14=0,0,SER_hh_fech!O14/SER_summary!O$26)</f>
        <v>83.78303308128686</v>
      </c>
      <c r="P14" s="65">
        <f>IF(SER_hh_fech!P14=0,0,SER_hh_fech!P14/SER_summary!P$26)</f>
        <v>87.133311564446061</v>
      </c>
      <c r="Q14" s="65">
        <f>IF(SER_hh_fech!Q14=0,0,SER_hh_fech!Q14/SER_summary!Q$26)</f>
        <v>73.377501652954379</v>
      </c>
      <c r="R14" s="65">
        <f>IF(SER_hh_fech!R14=0,0,SER_hh_fech!R14/SER_summary!R$26)</f>
        <v>89.497907750363566</v>
      </c>
      <c r="S14" s="65">
        <f>IF(SER_hh_fech!S14=0,0,SER_hh_fech!S14/SER_summary!S$26)</f>
        <v>101.99496970611682</v>
      </c>
      <c r="T14" s="65">
        <f>IF(SER_hh_fech!T14=0,0,SER_hh_fech!T14/SER_summary!T$26)</f>
        <v>92.249112802813528</v>
      </c>
      <c r="U14" s="65">
        <f>IF(SER_hh_fech!U14=0,0,SER_hh_fech!U14/SER_summary!U$26)</f>
        <v>81.707550852583523</v>
      </c>
      <c r="V14" s="65">
        <f>IF(SER_hh_fech!V14=0,0,SER_hh_fech!V14/SER_summary!V$26)</f>
        <v>33.399656335005233</v>
      </c>
      <c r="W14" s="65">
        <f>IF(SER_hh_fech!W14=0,0,SER_hh_fech!W14/SER_summary!W$26)</f>
        <v>117.50755448840619</v>
      </c>
      <c r="X14" s="65">
        <f>IF(SER_hh_fech!X14=0,0,SER_hh_fech!X14/SER_summary!X$26)</f>
        <v>123.38311599272696</v>
      </c>
      <c r="Y14" s="65">
        <f>IF(SER_hh_fech!Y14=0,0,SER_hh_fech!Y14/SER_summary!Y$26)</f>
        <v>8.7788546897234916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0.69166776893732862</v>
      </c>
      <c r="C15" s="134">
        <f>IF(SER_hh_fech!C15=0,0,SER_hh_fech!C15/SER_summary!C$26)</f>
        <v>0.67584600472095901</v>
      </c>
      <c r="D15" s="134">
        <f>IF(SER_hh_fech!D15=0,0,SER_hh_fech!D15/SER_summary!D$26)</f>
        <v>0.64939172616748198</v>
      </c>
      <c r="E15" s="134">
        <f>IF(SER_hh_fech!E15=0,0,SER_hh_fech!E15/SER_summary!E$26)</f>
        <v>0.66952932412284605</v>
      </c>
      <c r="F15" s="134">
        <f>IF(SER_hh_fech!F15=0,0,SER_hh_fech!F15/SER_summary!F$26)</f>
        <v>0.64482590590704425</v>
      </c>
      <c r="G15" s="134">
        <f>IF(SER_hh_fech!G15=0,0,SER_hh_fech!G15/SER_summary!G$26)</f>
        <v>0.61982856655693908</v>
      </c>
      <c r="H15" s="134">
        <f>IF(SER_hh_fech!H15=0,0,SER_hh_fech!H15/SER_summary!H$26)</f>
        <v>0.61722485144905903</v>
      </c>
      <c r="I15" s="134">
        <f>IF(SER_hh_fech!I15=0,0,SER_hh_fech!I15/SER_summary!I$26)</f>
        <v>0.55484621346707319</v>
      </c>
      <c r="J15" s="134">
        <f>IF(SER_hh_fech!J15=0,0,SER_hh_fech!J15/SER_summary!J$26)</f>
        <v>0.541598988751683</v>
      </c>
      <c r="K15" s="134">
        <f>IF(SER_hh_fech!K15=0,0,SER_hh_fech!K15/SER_summary!K$26)</f>
        <v>0.51663754985885724</v>
      </c>
      <c r="L15" s="134">
        <f>IF(SER_hh_fech!L15=0,0,SER_hh_fech!L15/SER_summary!L$26)</f>
        <v>0.53321472324221386</v>
      </c>
      <c r="M15" s="134">
        <f>IF(SER_hh_fech!M15=0,0,SER_hh_fech!M15/SER_summary!M$26)</f>
        <v>0.42872719859433456</v>
      </c>
      <c r="N15" s="134">
        <f>IF(SER_hh_fech!N15=0,0,SER_hh_fech!N15/SER_summary!N$26)</f>
        <v>0.45585861229780816</v>
      </c>
      <c r="O15" s="134">
        <f>IF(SER_hh_fech!O15=0,0,SER_hh_fech!O15/SER_summary!O$26)</f>
        <v>0.45434236852012244</v>
      </c>
      <c r="P15" s="134">
        <f>IF(SER_hh_fech!P15=0,0,SER_hh_fech!P15/SER_summary!P$26)</f>
        <v>0.36843841020863682</v>
      </c>
      <c r="Q15" s="134">
        <f>IF(SER_hh_fech!Q15=0,0,SER_hh_fech!Q15/SER_summary!Q$26)</f>
        <v>0.41675658829443107</v>
      </c>
      <c r="R15" s="134">
        <f>IF(SER_hh_fech!R15=0,0,SER_hh_fech!R15/SER_summary!R$26)</f>
        <v>0.43177670814979735</v>
      </c>
      <c r="S15" s="134">
        <f>IF(SER_hh_fech!S15=0,0,SER_hh_fech!S15/SER_summary!S$26)</f>
        <v>0.44671164883978287</v>
      </c>
      <c r="T15" s="134">
        <f>IF(SER_hh_fech!T15=0,0,SER_hh_fech!T15/SER_summary!T$26)</f>
        <v>0.40638065065751405</v>
      </c>
      <c r="U15" s="134">
        <f>IF(SER_hh_fech!U15=0,0,SER_hh_fech!U15/SER_summary!U$26)</f>
        <v>0.38634477031686382</v>
      </c>
      <c r="V15" s="134">
        <f>IF(SER_hh_fech!V15=0,0,SER_hh_fech!V15/SER_summary!V$26)</f>
        <v>0.39802601960594597</v>
      </c>
      <c r="W15" s="134">
        <f>IF(SER_hh_fech!W15=0,0,SER_hh_fech!W15/SER_summary!W$26)</f>
        <v>0.4870387892138931</v>
      </c>
      <c r="X15" s="134">
        <f>IF(SER_hh_fech!X15=0,0,SER_hh_fech!X15/SER_summary!X$26)</f>
        <v>0.41844590584614533</v>
      </c>
      <c r="Y15" s="134">
        <f>IF(SER_hh_fech!Y15=0,0,SER_hh_fech!Y15/SER_summary!Y$26)</f>
        <v>0.40548148825284264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12.521233863413395</v>
      </c>
      <c r="C16" s="130">
        <f>IF(SER_hh_fech!C16=0,0,SER_hh_fech!C16/SER_summary!C$26)</f>
        <v>11.998300043091451</v>
      </c>
      <c r="D16" s="130">
        <f>IF(SER_hh_fech!D16=0,0,SER_hh_fech!D16/SER_summary!D$26)</f>
        <v>11.381343479553777</v>
      </c>
      <c r="E16" s="130">
        <f>IF(SER_hh_fech!E16=0,0,SER_hh_fech!E16/SER_summary!E$26)</f>
        <v>10.819360556538788</v>
      </c>
      <c r="F16" s="130">
        <f>IF(SER_hh_fech!F16=0,0,SER_hh_fech!F16/SER_summary!F$26)</f>
        <v>10.209766201512259</v>
      </c>
      <c r="G16" s="130">
        <f>IF(SER_hh_fech!G16=0,0,SER_hh_fech!G16/SER_summary!G$26)</f>
        <v>9.574709405222368</v>
      </c>
      <c r="H16" s="130">
        <f>IF(SER_hh_fech!H16=0,0,SER_hh_fech!H16/SER_summary!H$26)</f>
        <v>8.9186083746876577</v>
      </c>
      <c r="I16" s="130">
        <f>IF(SER_hh_fech!I16=0,0,SER_hh_fech!I16/SER_summary!I$26)</f>
        <v>8.2424918772246887</v>
      </c>
      <c r="J16" s="130">
        <f>IF(SER_hh_fech!J16=0,0,SER_hh_fech!J16/SER_summary!J$26)</f>
        <v>7.6026385046123579</v>
      </c>
      <c r="K16" s="130">
        <f>IF(SER_hh_fech!K16=0,0,SER_hh_fech!K16/SER_summary!K$26)</f>
        <v>7.4524704960228521</v>
      </c>
      <c r="L16" s="130">
        <f>IF(SER_hh_fech!L16=0,0,SER_hh_fech!L16/SER_summary!L$26)</f>
        <v>7.27293638588616</v>
      </c>
      <c r="M16" s="130">
        <f>IF(SER_hh_fech!M16=0,0,SER_hh_fech!M16/SER_summary!M$26)</f>
        <v>6.9661835383781563</v>
      </c>
      <c r="N16" s="130">
        <f>IF(SER_hh_fech!N16=0,0,SER_hh_fech!N16/SER_summary!N$26)</f>
        <v>6.6992654054987</v>
      </c>
      <c r="O16" s="130">
        <f>IF(SER_hh_fech!O16=0,0,SER_hh_fech!O16/SER_summary!O$26)</f>
        <v>6.4294598021893208</v>
      </c>
      <c r="P16" s="130">
        <f>IF(SER_hh_fech!P16=0,0,SER_hh_fech!P16/SER_summary!P$26)</f>
        <v>6.1866763476148572</v>
      </c>
      <c r="Q16" s="130">
        <f>IF(SER_hh_fech!Q16=0,0,SER_hh_fech!Q16/SER_summary!Q$26)</f>
        <v>5.9397008094678325</v>
      </c>
      <c r="R16" s="130">
        <f>IF(SER_hh_fech!R16=0,0,SER_hh_fech!R16/SER_summary!R$26)</f>
        <v>5.7335758965676158</v>
      </c>
      <c r="S16" s="130">
        <f>IF(SER_hh_fech!S16=0,0,SER_hh_fech!S16/SER_summary!S$26)</f>
        <v>5.5064895661766959</v>
      </c>
      <c r="T16" s="130">
        <f>IF(SER_hh_fech!T16=0,0,SER_hh_fech!T16/SER_summary!T$26)</f>
        <v>5.5236717284564154</v>
      </c>
      <c r="U16" s="130">
        <f>IF(SER_hh_fech!U16=0,0,SER_hh_fech!U16/SER_summary!U$26)</f>
        <v>5.2126267118500405</v>
      </c>
      <c r="V16" s="130">
        <f>IF(SER_hh_fech!V16=0,0,SER_hh_fech!V16/SER_summary!V$26)</f>
        <v>4.7857917579036471</v>
      </c>
      <c r="W16" s="130">
        <f>IF(SER_hh_fech!W16=0,0,SER_hh_fech!W16/SER_summary!W$26)</f>
        <v>4.6957653486921656</v>
      </c>
      <c r="X16" s="130">
        <f>IF(SER_hh_fech!X16=0,0,SER_hh_fech!X16/SER_summary!X$26)</f>
        <v>4.6830070670221371</v>
      </c>
      <c r="Y16" s="130">
        <f>IF(SER_hh_fech!Y16=0,0,SER_hh_fech!Y16/SER_summary!Y$26)</f>
        <v>4.4652328056699346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22.322231219217816</v>
      </c>
      <c r="C17" s="132">
        <f>IF(SER_hh_fech!C17=0,0,SER_hh_fech!C17/SER_summary!C$26)</f>
        <v>21.886106261282421</v>
      </c>
      <c r="D17" s="132">
        <f>IF(SER_hh_fech!D17=0,0,SER_hh_fech!D17/SER_summary!D$26)</f>
        <v>21.363407932349414</v>
      </c>
      <c r="E17" s="132">
        <f>IF(SER_hh_fech!E17=0,0,SER_hh_fech!E17/SER_summary!E$26)</f>
        <v>20.970374117470257</v>
      </c>
      <c r="F17" s="132">
        <f>IF(SER_hh_fech!F17=0,0,SER_hh_fech!F17/SER_summary!F$26)</f>
        <v>20.45087166237311</v>
      </c>
      <c r="G17" s="132">
        <f>IF(SER_hh_fech!G17=0,0,SER_hh_fech!G17/SER_summary!G$26)</f>
        <v>19.944694957063234</v>
      </c>
      <c r="H17" s="132">
        <f>IF(SER_hh_fech!H17=0,0,SER_hh_fech!H17/SER_summary!H$26)</f>
        <v>19.515282028646126</v>
      </c>
      <c r="I17" s="132">
        <f>IF(SER_hh_fech!I17=0,0,SER_hh_fech!I17/SER_summary!I$26)</f>
        <v>19.090966574652342</v>
      </c>
      <c r="J17" s="132">
        <f>IF(SER_hh_fech!J17=0,0,SER_hh_fech!J17/SER_summary!J$26)</f>
        <v>18.65468805120603</v>
      </c>
      <c r="K17" s="132">
        <f>IF(SER_hh_fech!K17=0,0,SER_hh_fech!K17/SER_summary!K$26)</f>
        <v>18.536527475488771</v>
      </c>
      <c r="L17" s="132">
        <f>IF(SER_hh_fech!L17=0,0,SER_hh_fech!L17/SER_summary!L$26)</f>
        <v>18.384248643839189</v>
      </c>
      <c r="M17" s="132">
        <f>IF(SER_hh_fech!M17=0,0,SER_hh_fech!M17/SER_summary!M$26)</f>
        <v>17.981165527824615</v>
      </c>
      <c r="N17" s="132">
        <f>IF(SER_hh_fech!N17=0,0,SER_hh_fech!N17/SER_summary!N$26)</f>
        <v>17.635961457078274</v>
      </c>
      <c r="O17" s="132">
        <f>IF(SER_hh_fech!O17=0,0,SER_hh_fech!O17/SER_summary!O$26)</f>
        <v>17.248778613077807</v>
      </c>
      <c r="P17" s="132">
        <f>IF(SER_hh_fech!P17=0,0,SER_hh_fech!P17/SER_summary!P$26)</f>
        <v>16.927979838879747</v>
      </c>
      <c r="Q17" s="132">
        <f>IF(SER_hh_fech!Q17=0,0,SER_hh_fech!Q17/SER_summary!Q$26)</f>
        <v>16.584629154086826</v>
      </c>
      <c r="R17" s="132">
        <f>IF(SER_hh_fech!R17=0,0,SER_hh_fech!R17/SER_summary!R$26)</f>
        <v>16.43755385835183</v>
      </c>
      <c r="S17" s="132">
        <f>IF(SER_hh_fech!S17=0,0,SER_hh_fech!S17/SER_summary!S$26)</f>
        <v>16.213077367459942</v>
      </c>
      <c r="T17" s="132">
        <f>IF(SER_hh_fech!T17=0,0,SER_hh_fech!T17/SER_summary!T$26)</f>
        <v>16.647635924089457</v>
      </c>
      <c r="U17" s="132">
        <f>IF(SER_hh_fech!U17=0,0,SER_hh_fech!U17/SER_summary!U$26)</f>
        <v>15.892278799359865</v>
      </c>
      <c r="V17" s="132">
        <f>IF(SER_hh_fech!V17=0,0,SER_hh_fech!V17/SER_summary!V$26)</f>
        <v>11.131956160350068</v>
      </c>
      <c r="W17" s="132">
        <f>IF(SER_hh_fech!W17=0,0,SER_hh_fech!W17/SER_summary!W$26)</f>
        <v>11.237286679417709</v>
      </c>
      <c r="X17" s="132">
        <f>IF(SER_hh_fech!X17=0,0,SER_hh_fech!X17/SER_summary!X$26)</f>
        <v>11.398256603315225</v>
      </c>
      <c r="Y17" s="132">
        <f>IF(SER_hh_fech!Y17=0,0,SER_hh_fech!Y17/SER_summary!Y$26)</f>
        <v>11.092034127768446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12.513618367750425</v>
      </c>
      <c r="C18" s="132">
        <f>IF(SER_hh_fech!C18=0,0,SER_hh_fech!C18/SER_summary!C$26)</f>
        <v>11.990317030408059</v>
      </c>
      <c r="D18" s="132">
        <f>IF(SER_hh_fech!D18=0,0,SER_hh_fech!D18/SER_summary!D$26)</f>
        <v>11.37279462832168</v>
      </c>
      <c r="E18" s="132">
        <f>IF(SER_hh_fech!E18=0,0,SER_hh_fech!E18/SER_summary!E$26)</f>
        <v>10.810563096595683</v>
      </c>
      <c r="F18" s="132">
        <f>IF(SER_hh_fech!F18=0,0,SER_hh_fech!F18/SER_summary!F$26)</f>
        <v>10.200237404568179</v>
      </c>
      <c r="G18" s="132">
        <f>IF(SER_hh_fech!G18=0,0,SER_hh_fech!G18/SER_summary!G$26)</f>
        <v>9.5643390573046148</v>
      </c>
      <c r="H18" s="132">
        <f>IF(SER_hh_fech!H18=0,0,SER_hh_fech!H18/SER_summary!H$26)</f>
        <v>8.9077651727254654</v>
      </c>
      <c r="I18" s="132">
        <f>IF(SER_hh_fech!I18=0,0,SER_hh_fech!I18/SER_summary!I$26)</f>
        <v>8.2314464972973802</v>
      </c>
      <c r="J18" s="132">
        <f>IF(SER_hh_fech!J18=0,0,SER_hh_fech!J18/SER_summary!J$26)</f>
        <v>7.5911727606628014</v>
      </c>
      <c r="K18" s="132">
        <f>IF(SER_hh_fech!K18=0,0,SER_hh_fech!K18/SER_summary!K$26)</f>
        <v>7.4410942037957746</v>
      </c>
      <c r="L18" s="132">
        <f>IF(SER_hh_fech!L18=0,0,SER_hh_fech!L18/SER_summary!L$26)</f>
        <v>7.2611193221546291</v>
      </c>
      <c r="M18" s="132">
        <f>IF(SER_hh_fech!M18=0,0,SER_hh_fech!M18/SER_summary!M$26)</f>
        <v>6.9535650281809467</v>
      </c>
      <c r="N18" s="132">
        <f>IF(SER_hh_fech!N18=0,0,SER_hh_fech!N18/SER_summary!N$26)</f>
        <v>6.6851024759008348</v>
      </c>
      <c r="O18" s="132">
        <f>IF(SER_hh_fech!O18=0,0,SER_hh_fech!O18/SER_summary!O$26)</f>
        <v>6.4125903218377873</v>
      </c>
      <c r="P18" s="132">
        <f>IF(SER_hh_fech!P18=0,0,SER_hh_fech!P18/SER_summary!P$26)</f>
        <v>6.1651568452079912</v>
      </c>
      <c r="Q18" s="132">
        <f>IF(SER_hh_fech!Q18=0,0,SER_hh_fech!Q18/SER_summary!Q$26)</f>
        <v>5.9106033746931281</v>
      </c>
      <c r="R18" s="132">
        <f>IF(SER_hh_fech!R18=0,0,SER_hh_fech!R18/SER_summary!R$26)</f>
        <v>5.6971103993482544</v>
      </c>
      <c r="S18" s="132">
        <f>IF(SER_hh_fech!S18=0,0,SER_hh_fech!S18/SER_summary!S$26)</f>
        <v>5.4637502021500852</v>
      </c>
      <c r="T18" s="132">
        <f>IF(SER_hh_fech!T18=0,0,SER_hh_fech!T18/SER_summary!T$26)</f>
        <v>5.4759626152200997</v>
      </c>
      <c r="U18" s="132">
        <f>IF(SER_hh_fech!U18=0,0,SER_hh_fech!U18/SER_summary!U$26)</f>
        <v>5.161287290600602</v>
      </c>
      <c r="V18" s="132">
        <f>IF(SER_hh_fech!V18=0,0,SER_hh_fech!V18/SER_summary!V$26)</f>
        <v>4.7446533210041029</v>
      </c>
      <c r="W18" s="132">
        <f>IF(SER_hh_fech!W18=0,0,SER_hh_fech!W18/SER_summary!W$26)</f>
        <v>4.6524333482408098</v>
      </c>
      <c r="X18" s="132">
        <f>IF(SER_hh_fech!X18=0,0,SER_hh_fech!X18/SER_summary!X$26)</f>
        <v>4.6387801472511425</v>
      </c>
      <c r="Y18" s="132">
        <f>IF(SER_hh_fech!Y18=0,0,SER_hh_fech!Y18/SER_summary!Y$26)</f>
        <v>4.4210690731938644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15.287035710513798</v>
      </c>
      <c r="C19" s="130">
        <f>IF(SER_hh_fech!C19=0,0,SER_hh_fech!C19/SER_summary!C$26)</f>
        <v>15.012482786125796</v>
      </c>
      <c r="D19" s="130">
        <f>IF(SER_hh_fech!D19=0,0,SER_hh_fech!D19/SER_summary!D$26)</f>
        <v>14.853664803542758</v>
      </c>
      <c r="E19" s="130">
        <f>IF(SER_hh_fech!E19=0,0,SER_hh_fech!E19/SER_summary!E$26)</f>
        <v>14.718682975980377</v>
      </c>
      <c r="F19" s="130">
        <f>IF(SER_hh_fech!F19=0,0,SER_hh_fech!F19/SER_summary!F$26)</f>
        <v>14.570119448383917</v>
      </c>
      <c r="G19" s="130">
        <f>IF(SER_hh_fech!G19=0,0,SER_hh_fech!G19/SER_summary!G$26)</f>
        <v>14.532087605533905</v>
      </c>
      <c r="H19" s="130">
        <f>IF(SER_hh_fech!H19=0,0,SER_hh_fech!H19/SER_summary!H$26)</f>
        <v>14.478183118180013</v>
      </c>
      <c r="I19" s="130">
        <f>IF(SER_hh_fech!I19=0,0,SER_hh_fech!I19/SER_summary!I$26)</f>
        <v>14.278542762613217</v>
      </c>
      <c r="J19" s="130">
        <f>IF(SER_hh_fech!J19=0,0,SER_hh_fech!J19/SER_summary!J$26)</f>
        <v>14.208429773406804</v>
      </c>
      <c r="K19" s="130">
        <f>IF(SER_hh_fech!K19=0,0,SER_hh_fech!K19/SER_summary!K$26)</f>
        <v>14.04736099790701</v>
      </c>
      <c r="L19" s="130">
        <f>IF(SER_hh_fech!L19=0,0,SER_hh_fech!L19/SER_summary!L$26)</f>
        <v>13.748394882204163</v>
      </c>
      <c r="M19" s="130">
        <f>IF(SER_hh_fech!M19=0,0,SER_hh_fech!M19/SER_summary!M$26)</f>
        <v>13.774597728415539</v>
      </c>
      <c r="N19" s="130">
        <f>IF(SER_hh_fech!N19=0,0,SER_hh_fech!N19/SER_summary!N$26)</f>
        <v>13.85022795569677</v>
      </c>
      <c r="O19" s="130">
        <f>IF(SER_hh_fech!O19=0,0,SER_hh_fech!O19/SER_summary!O$26)</f>
        <v>13.783816358474665</v>
      </c>
      <c r="P19" s="130">
        <f>IF(SER_hh_fech!P19=0,0,SER_hh_fech!P19/SER_summary!P$26)</f>
        <v>13.821269115579803</v>
      </c>
      <c r="Q19" s="130">
        <f>IF(SER_hh_fech!Q19=0,0,SER_hh_fech!Q19/SER_summary!Q$26)</f>
        <v>13.78461640414841</v>
      </c>
      <c r="R19" s="130">
        <f>IF(SER_hh_fech!R19=0,0,SER_hh_fech!R19/SER_summary!R$26)</f>
        <v>13.715314700016972</v>
      </c>
      <c r="S19" s="130">
        <f>IF(SER_hh_fech!S19=0,0,SER_hh_fech!S19/SER_summary!S$26)</f>
        <v>13.693094525545598</v>
      </c>
      <c r="T19" s="130">
        <f>IF(SER_hh_fech!T19=0,0,SER_hh_fech!T19/SER_summary!T$26)</f>
        <v>13.311635596885976</v>
      </c>
      <c r="U19" s="130">
        <f>IF(SER_hh_fech!U19=0,0,SER_hh_fech!U19/SER_summary!U$26)</f>
        <v>12.888964644625355</v>
      </c>
      <c r="V19" s="130">
        <f>IF(SER_hh_fech!V19=0,0,SER_hh_fech!V19/SER_summary!V$26)</f>
        <v>10.912019067373761</v>
      </c>
      <c r="W19" s="130">
        <f>IF(SER_hh_fech!W19=0,0,SER_hh_fech!W19/SER_summary!W$26)</f>
        <v>11.754754489927427</v>
      </c>
      <c r="X19" s="130">
        <f>IF(SER_hh_fech!X19=0,0,SER_hh_fech!X19/SER_summary!X$26)</f>
        <v>12.040949186047561</v>
      </c>
      <c r="Y19" s="130">
        <f>IF(SER_hh_fech!Y19=0,0,SER_hh_fech!Y19/SER_summary!Y$26)</f>
        <v>11.902814222569523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20.300327959765411</v>
      </c>
      <c r="C22" s="132">
        <f>IF(SER_hh_fech!C22=0,0,SER_hh_fech!C22/SER_summary!C$26)</f>
        <v>19.808592300064888</v>
      </c>
      <c r="D22" s="132">
        <f>IF(SER_hh_fech!D22=0,0,SER_hh_fech!D22/SER_summary!D$26)</f>
        <v>19.609813675294507</v>
      </c>
      <c r="E22" s="132">
        <f>IF(SER_hh_fech!E22=0,0,SER_hh_fech!E22/SER_summary!E$26)</f>
        <v>19.582796429254405</v>
      </c>
      <c r="F22" s="132">
        <f>IF(SER_hh_fech!F22=0,0,SER_hh_fech!F22/SER_summary!F$26)</f>
        <v>19.779164393342786</v>
      </c>
      <c r="G22" s="132">
        <f>IF(SER_hh_fech!G22=0,0,SER_hh_fech!G22/SER_summary!G$26)</f>
        <v>20.061388598210662</v>
      </c>
      <c r="H22" s="132">
        <f>IF(SER_hh_fech!H22=0,0,SER_hh_fech!H22/SER_summary!H$26)</f>
        <v>18.976456188012733</v>
      </c>
      <c r="I22" s="132">
        <f>IF(SER_hh_fech!I22=0,0,SER_hh_fech!I22/SER_summary!I$26)</f>
        <v>18.173779883209299</v>
      </c>
      <c r="J22" s="132">
        <f>IF(SER_hh_fech!J22=0,0,SER_hh_fech!J22/SER_summary!J$26)</f>
        <v>19.021257545672444</v>
      </c>
      <c r="K22" s="132">
        <f>IF(SER_hh_fech!K22=0,0,SER_hh_fech!K22/SER_summary!K$26)</f>
        <v>19.384390504804461</v>
      </c>
      <c r="L22" s="132">
        <f>IF(SER_hh_fech!L22=0,0,SER_hh_fech!L22/SER_summary!L$26)</f>
        <v>19.029151464215907</v>
      </c>
      <c r="M22" s="132">
        <f>IF(SER_hh_fech!M22=0,0,SER_hh_fech!M22/SER_summary!M$26)</f>
        <v>17.698784277344796</v>
      </c>
      <c r="N22" s="132">
        <f>IF(SER_hh_fech!N22=0,0,SER_hh_fech!N22/SER_summary!N$26)</f>
        <v>18.209756140423224</v>
      </c>
      <c r="O22" s="132">
        <f>IF(SER_hh_fech!O22=0,0,SER_hh_fech!O22/SER_summary!O$26)</f>
        <v>18.408853229972632</v>
      </c>
      <c r="P22" s="132">
        <f>IF(SER_hh_fech!P22=0,0,SER_hh_fech!P22/SER_summary!P$26)</f>
        <v>18.270918809652237</v>
      </c>
      <c r="Q22" s="132">
        <f>IF(SER_hh_fech!Q22=0,0,SER_hh_fech!Q22/SER_summary!Q$26)</f>
        <v>18.157155228664237</v>
      </c>
      <c r="R22" s="132">
        <f>IF(SER_hh_fech!R22=0,0,SER_hh_fech!R22/SER_summary!R$26)</f>
        <v>18.580321022930157</v>
      </c>
      <c r="S22" s="132">
        <f>IF(SER_hh_fech!S22=0,0,SER_hh_fech!S22/SER_summary!S$26)</f>
        <v>18.089158913089083</v>
      </c>
      <c r="T22" s="132">
        <f>IF(SER_hh_fech!T22=0,0,SER_hh_fech!T22/SER_summary!T$26)</f>
        <v>20.144810244688959</v>
      </c>
      <c r="U22" s="132">
        <f>IF(SER_hh_fech!U22=0,0,SER_hh_fech!U22/SER_summary!U$26)</f>
        <v>12.250645907493031</v>
      </c>
      <c r="V22" s="132">
        <f>IF(SER_hh_fech!V22=0,0,SER_hh_fech!V22/SER_summary!V$26)</f>
        <v>15.782649830212939</v>
      </c>
      <c r="W22" s="132">
        <f>IF(SER_hh_fech!W22=0,0,SER_hh_fech!W22/SER_summary!W$26)</f>
        <v>13.316140310523298</v>
      </c>
      <c r="X22" s="132">
        <f>IF(SER_hh_fech!X22=0,0,SER_hh_fech!X22/SER_summary!X$26)</f>
        <v>18.098387672694507</v>
      </c>
      <c r="Y22" s="132">
        <f>IF(SER_hh_fech!Y22=0,0,SER_hh_fech!Y22/SER_summary!Y$26)</f>
        <v>15.241085255543439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19.539077487042537</v>
      </c>
      <c r="C23" s="132">
        <f>IF(SER_hh_fech!C23=0,0,SER_hh_fech!C23/SER_summary!C$26)</f>
        <v>18.954027309922626</v>
      </c>
      <c r="D23" s="132">
        <f>IF(SER_hh_fech!D23=0,0,SER_hh_fech!D23/SER_summary!D$26)</f>
        <v>17.973684698231839</v>
      </c>
      <c r="E23" s="132">
        <f>IF(SER_hh_fech!E23=0,0,SER_hh_fech!E23/SER_summary!E$26)</f>
        <v>19.09139789783535</v>
      </c>
      <c r="F23" s="132">
        <f>IF(SER_hh_fech!F23=0,0,SER_hh_fech!F23/SER_summary!F$26)</f>
        <v>17.672495047842254</v>
      </c>
      <c r="G23" s="132">
        <f>IF(SER_hh_fech!G23=0,0,SER_hh_fech!G23/SER_summary!G$26)</f>
        <v>17.886526912197752</v>
      </c>
      <c r="H23" s="132">
        <f>IF(SER_hh_fech!H23=0,0,SER_hh_fech!H23/SER_summary!H$26)</f>
        <v>18.177374918320297</v>
      </c>
      <c r="I23" s="132">
        <f>IF(SER_hh_fech!I23=0,0,SER_hh_fech!I23/SER_summary!I$26)</f>
        <v>17.443454407558932</v>
      </c>
      <c r="J23" s="132">
        <f>IF(SER_hh_fech!J23=0,0,SER_hh_fech!J23/SER_summary!J$26)</f>
        <v>17.211726012175966</v>
      </c>
      <c r="K23" s="132">
        <f>IF(SER_hh_fech!K23=0,0,SER_hh_fech!K23/SER_summary!K$26)</f>
        <v>17.339717915844439</v>
      </c>
      <c r="L23" s="132">
        <f>IF(SER_hh_fech!L23=0,0,SER_hh_fech!L23/SER_summary!L$26)</f>
        <v>17.811782753901579</v>
      </c>
      <c r="M23" s="132">
        <f>IF(SER_hh_fech!M23=0,0,SER_hh_fech!M23/SER_summary!M$26)</f>
        <v>16.000266358107282</v>
      </c>
      <c r="N23" s="132">
        <f>IF(SER_hh_fech!N23=0,0,SER_hh_fech!N23/SER_summary!N$26)</f>
        <v>16.693982962286373</v>
      </c>
      <c r="O23" s="132">
        <f>IF(SER_hh_fech!O23=0,0,SER_hh_fech!O23/SER_summary!O$26)</f>
        <v>16.94801061039804</v>
      </c>
      <c r="P23" s="132">
        <f>IF(SER_hh_fech!P23=0,0,SER_hh_fech!P23/SER_summary!P$26)</f>
        <v>15.305013431996441</v>
      </c>
      <c r="Q23" s="132">
        <f>IF(SER_hh_fech!Q23=0,0,SER_hh_fech!Q23/SER_summary!Q$26)</f>
        <v>16.608236725770116</v>
      </c>
      <c r="R23" s="132">
        <f>IF(SER_hh_fech!R23=0,0,SER_hh_fech!R23/SER_summary!R$26)</f>
        <v>15.992609809989743</v>
      </c>
      <c r="S23" s="132">
        <f>IF(SER_hh_fech!S23=0,0,SER_hh_fech!S23/SER_summary!S$26)</f>
        <v>15.70807406500027</v>
      </c>
      <c r="T23" s="132">
        <f>IF(SER_hh_fech!T23=0,0,SER_hh_fech!T23/SER_summary!T$26)</f>
        <v>14.961760649994217</v>
      </c>
      <c r="U23" s="132">
        <f>IF(SER_hh_fech!U23=0,0,SER_hh_fech!U23/SER_summary!U$26)</f>
        <v>15.288016636055625</v>
      </c>
      <c r="V23" s="132">
        <f>IF(SER_hh_fech!V23=0,0,SER_hh_fech!V23/SER_summary!V$26)</f>
        <v>10.217719013257659</v>
      </c>
      <c r="W23" s="132">
        <f>IF(SER_hh_fech!W23=0,0,SER_hh_fech!W23/SER_summary!W$26)</f>
        <v>14.207335645505399</v>
      </c>
      <c r="X23" s="132">
        <f>IF(SER_hh_fech!X23=0,0,SER_hh_fech!X23/SER_summary!X$26)</f>
        <v>12.283046998976079</v>
      </c>
      <c r="Y23" s="132">
        <f>IF(SER_hh_fech!Y23=0,0,SER_hh_fech!Y23/SER_summary!Y$26)</f>
        <v>12.894876605168079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22.117985612322467</v>
      </c>
      <c r="C24" s="132">
        <f>IF(SER_hh_fech!C24=0,0,SER_hh_fech!C24/SER_summary!C$26)</f>
        <v>22.669343949593941</v>
      </c>
      <c r="D24" s="132">
        <f>IF(SER_hh_fech!D24=0,0,SER_hh_fech!D24/SER_summary!D$26)</f>
        <v>21.720194372611584</v>
      </c>
      <c r="E24" s="132">
        <f>IF(SER_hh_fech!E24=0,0,SER_hh_fech!E24/SER_summary!E$26)</f>
        <v>20.771683587507436</v>
      </c>
      <c r="F24" s="132">
        <f>IF(SER_hh_fech!F24=0,0,SER_hh_fech!F24/SER_summary!F$26)</f>
        <v>20.07639052819615</v>
      </c>
      <c r="G24" s="132">
        <f>IF(SER_hh_fech!G24=0,0,SER_hh_fech!G24/SER_summary!G$26)</f>
        <v>19.756448326659555</v>
      </c>
      <c r="H24" s="132">
        <f>IF(SER_hh_fech!H24=0,0,SER_hh_fech!H24/SER_summary!H$26)</f>
        <v>19.120086228677359</v>
      </c>
      <c r="I24" s="132">
        <f>IF(SER_hh_fech!I24=0,0,SER_hh_fech!I24/SER_summary!I$26)</f>
        <v>18.582876020199699</v>
      </c>
      <c r="J24" s="132">
        <f>IF(SER_hh_fech!J24=0,0,SER_hh_fech!J24/SER_summary!J$26)</f>
        <v>18.023269972272654</v>
      </c>
      <c r="K24" s="132">
        <f>IF(SER_hh_fech!K24=0,0,SER_hh_fech!K24/SER_summary!K$26)</f>
        <v>17.509834028787733</v>
      </c>
      <c r="L24" s="132">
        <f>IF(SER_hh_fech!L24=0,0,SER_hh_fech!L24/SER_summary!L$26)</f>
        <v>16.906534544489237</v>
      </c>
      <c r="M24" s="132">
        <f>IF(SER_hh_fech!M24=0,0,SER_hh_fech!M24/SER_summary!M$26)</f>
        <v>16.616672401660782</v>
      </c>
      <c r="N24" s="132">
        <f>IF(SER_hh_fech!N24=0,0,SER_hh_fech!N24/SER_summary!N$26)</f>
        <v>16.481783838673469</v>
      </c>
      <c r="O24" s="132">
        <f>IF(SER_hh_fech!O24=0,0,SER_hh_fech!O24/SER_summary!O$26)</f>
        <v>16.045034147990002</v>
      </c>
      <c r="P24" s="132">
        <f>IF(SER_hh_fech!P24=0,0,SER_hh_fech!P24/SER_summary!P$26)</f>
        <v>15.570607648580689</v>
      </c>
      <c r="Q24" s="132">
        <f>IF(SER_hh_fech!Q24=0,0,SER_hh_fech!Q24/SER_summary!Q$26)</f>
        <v>15.104103662299432</v>
      </c>
      <c r="R24" s="132">
        <f>IF(SER_hh_fech!R24=0,0,SER_hh_fech!R24/SER_summary!R$26)</f>
        <v>15.661179850892088</v>
      </c>
      <c r="S24" s="132">
        <f>IF(SER_hh_fech!S24=0,0,SER_hh_fech!S24/SER_summary!S$26)</f>
        <v>15.824572971425013</v>
      </c>
      <c r="T24" s="132">
        <f>IF(SER_hh_fech!T24=0,0,SER_hh_fech!T24/SER_summary!T$26)</f>
        <v>17.022555011576738</v>
      </c>
      <c r="U24" s="132">
        <f>IF(SER_hh_fech!U24=0,0,SER_hh_fech!U24/SER_summary!U$26)</f>
        <v>14.573588934350449</v>
      </c>
      <c r="V24" s="132">
        <f>IF(SER_hh_fech!V24=0,0,SER_hh_fech!V24/SER_summary!V$26)</f>
        <v>12.887360966527158</v>
      </c>
      <c r="W24" s="132">
        <f>IF(SER_hh_fech!W24=0,0,SER_hh_fech!W24/SER_summary!W$26)</f>
        <v>14.178577433071881</v>
      </c>
      <c r="X24" s="132">
        <f>IF(SER_hh_fech!X24=0,0,SER_hh_fech!X24/SER_summary!X$26)</f>
        <v>13.198674884282928</v>
      </c>
      <c r="Y24" s="132">
        <f>IF(SER_hh_fech!Y24=0,0,SER_hh_fech!Y24/SER_summary!Y$26)</f>
        <v>13.431929552116287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13.070536396260589</v>
      </c>
      <c r="C25" s="132">
        <f>IF(SER_hh_fech!C25=0,0,SER_hh_fech!C25/SER_summary!C$26)</f>
        <v>13.198842149973691</v>
      </c>
      <c r="D25" s="132">
        <f>IF(SER_hh_fech!D25=0,0,SER_hh_fech!D25/SER_summary!D$26)</f>
        <v>12.905565507969353</v>
      </c>
      <c r="E25" s="132">
        <f>IF(SER_hh_fech!E25=0,0,SER_hh_fech!E25/SER_summary!E$26)</f>
        <v>12.780492035010958</v>
      </c>
      <c r="F25" s="132">
        <f>IF(SER_hh_fech!F25=0,0,SER_hh_fech!F25/SER_summary!F$26)</f>
        <v>12.684568693492183</v>
      </c>
      <c r="G25" s="132">
        <f>IF(SER_hh_fech!G25=0,0,SER_hh_fech!G25/SER_summary!G$26)</f>
        <v>12.688407820758451</v>
      </c>
      <c r="H25" s="132">
        <f>IF(SER_hh_fech!H25=0,0,SER_hh_fech!H25/SER_summary!H$26)</f>
        <v>12.451181298688262</v>
      </c>
      <c r="I25" s="132">
        <f>IF(SER_hh_fech!I25=0,0,SER_hh_fech!I25/SER_summary!I$26)</f>
        <v>12.278611068571006</v>
      </c>
      <c r="J25" s="132">
        <f>IF(SER_hh_fech!J25=0,0,SER_hh_fech!J25/SER_summary!J$26)</f>
        <v>12.278002331601487</v>
      </c>
      <c r="K25" s="132">
        <f>IF(SER_hh_fech!K25=0,0,SER_hh_fech!K25/SER_summary!K$26)</f>
        <v>12.307008344069702</v>
      </c>
      <c r="L25" s="132">
        <f>IF(SER_hh_fech!L25=0,0,SER_hh_fech!L25/SER_summary!L$26)</f>
        <v>12.420542131176187</v>
      </c>
      <c r="M25" s="132">
        <f>IF(SER_hh_fech!M25=0,0,SER_hh_fech!M25/SER_summary!M$26)</f>
        <v>12.449057497972474</v>
      </c>
      <c r="N25" s="132">
        <f>IF(SER_hh_fech!N25=0,0,SER_hh_fech!N25/SER_summary!N$26)</f>
        <v>12.356685999091725</v>
      </c>
      <c r="O25" s="132">
        <f>IF(SER_hh_fech!O25=0,0,SER_hh_fech!O25/SER_summary!O$26)</f>
        <v>12.361840468651678</v>
      </c>
      <c r="P25" s="132">
        <f>IF(SER_hh_fech!P25=0,0,SER_hh_fech!P25/SER_summary!P$26)</f>
        <v>12.659120163615997</v>
      </c>
      <c r="Q25" s="132">
        <f>IF(SER_hh_fech!Q25=0,0,SER_hh_fech!Q25/SER_summary!Q$26)</f>
        <v>12.683164757304732</v>
      </c>
      <c r="R25" s="132">
        <f>IF(SER_hh_fech!R25=0,0,SER_hh_fech!R25/SER_summary!R$26)</f>
        <v>12.521204901998241</v>
      </c>
      <c r="S25" s="132">
        <f>IF(SER_hh_fech!S25=0,0,SER_hh_fech!S25/SER_summary!S$26)</f>
        <v>12.339009123176055</v>
      </c>
      <c r="T25" s="132">
        <f>IF(SER_hh_fech!T25=0,0,SER_hh_fech!T25/SER_summary!T$26)</f>
        <v>12.431442109396848</v>
      </c>
      <c r="U25" s="132">
        <f>IF(SER_hh_fech!U25=0,0,SER_hh_fech!U25/SER_summary!U$26)</f>
        <v>11.820577558579998</v>
      </c>
      <c r="V25" s="132">
        <f>IF(SER_hh_fech!V25=0,0,SER_hh_fech!V25/SER_summary!V$26)</f>
        <v>10.678025007947152</v>
      </c>
      <c r="W25" s="132">
        <f>IF(SER_hh_fech!W25=0,0,SER_hh_fech!W25/SER_summary!W$26)</f>
        <v>10.713655861337882</v>
      </c>
      <c r="X25" s="132">
        <f>IF(SER_hh_fech!X25=0,0,SER_hh_fech!X25/SER_summary!X$26)</f>
        <v>11.394780015811765</v>
      </c>
      <c r="Y25" s="132">
        <f>IF(SER_hh_fech!Y25=0,0,SER_hh_fech!Y25/SER_summary!Y$26)</f>
        <v>11.876689738482465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15.699734994135751</v>
      </c>
      <c r="C26" s="65">
        <f>IF(SER_hh_fech!C26=0,0,SER_hh_fech!C26/SER_summary!C$26)</f>
        <v>15.028623578676138</v>
      </c>
      <c r="D26" s="65">
        <f>IF(SER_hh_fech!D26=0,0,SER_hh_fech!D26/SER_summary!D$26)</f>
        <v>15.303198657480904</v>
      </c>
      <c r="E26" s="65">
        <f>IF(SER_hh_fech!E26=0,0,SER_hh_fech!E26/SER_summary!E$26)</f>
        <v>14.737627419265117</v>
      </c>
      <c r="F26" s="65">
        <f>IF(SER_hh_fech!F26=0,0,SER_hh_fech!F26/SER_summary!F$26)</f>
        <v>14.806215954566445</v>
      </c>
      <c r="G26" s="65">
        <f>IF(SER_hh_fech!G26=0,0,SER_hh_fech!G26/SER_summary!G$26)</f>
        <v>14.512561369800139</v>
      </c>
      <c r="H26" s="65">
        <f>IF(SER_hh_fech!H26=0,0,SER_hh_fech!H26/SER_summary!H$26)</f>
        <v>14.807381541781318</v>
      </c>
      <c r="I26" s="65">
        <f>IF(SER_hh_fech!I26=0,0,SER_hh_fech!I26/SER_summary!I$26)</f>
        <v>14.979003697598833</v>
      </c>
      <c r="J26" s="65">
        <f>IF(SER_hh_fech!J26=0,0,SER_hh_fech!J26/SER_summary!J$26)</f>
        <v>14.841435076879884</v>
      </c>
      <c r="K26" s="65">
        <f>IF(SER_hh_fech!K26=0,0,SER_hh_fech!K26/SER_summary!K$26)</f>
        <v>14.373971722611973</v>
      </c>
      <c r="L26" s="65">
        <f>IF(SER_hh_fech!L26=0,0,SER_hh_fech!L26/SER_summary!L$26)</f>
        <v>13.187175533865974</v>
      </c>
      <c r="M26" s="65">
        <f>IF(SER_hh_fech!M26=0,0,SER_hh_fech!M26/SER_summary!M$26)</f>
        <v>14.351521188801158</v>
      </c>
      <c r="N26" s="65">
        <f>IF(SER_hh_fech!N26=0,0,SER_hh_fech!N26/SER_summary!N$26)</f>
        <v>14.560840901593751</v>
      </c>
      <c r="O26" s="65">
        <f>IF(SER_hh_fech!O26=0,0,SER_hh_fech!O26/SER_summary!O$26)</f>
        <v>14.275648083274087</v>
      </c>
      <c r="P26" s="65">
        <f>IF(SER_hh_fech!P26=0,0,SER_hh_fech!P26/SER_summary!P$26)</f>
        <v>14.511233302223623</v>
      </c>
      <c r="Q26" s="65">
        <f>IF(SER_hh_fech!Q26=0,0,SER_hh_fech!Q26/SER_summary!Q$26)</f>
        <v>13.825644419017772</v>
      </c>
      <c r="R26" s="65">
        <f>IF(SER_hh_fech!R26=0,0,SER_hh_fech!R26/SER_summary!R$26)</f>
        <v>14.095124828595207</v>
      </c>
      <c r="S26" s="65">
        <f>IF(SER_hh_fech!S26=0,0,SER_hh_fech!S26/SER_summary!S$26)</f>
        <v>14.686237567254636</v>
      </c>
      <c r="T26" s="65">
        <f>IF(SER_hh_fech!T26=0,0,SER_hh_fech!T26/SER_summary!T$26)</f>
        <v>13.002297754197901</v>
      </c>
      <c r="U26" s="65">
        <f>IF(SER_hh_fech!U26=0,0,SER_hh_fech!U26/SER_summary!U$26)</f>
        <v>13.759044363706929</v>
      </c>
      <c r="V26" s="65">
        <f>IF(SER_hh_fech!V26=0,0,SER_hh_fech!V26/SER_summary!V$26)</f>
        <v>10.611696867130739</v>
      </c>
      <c r="W26" s="65">
        <f>IF(SER_hh_fech!W26=0,0,SER_hh_fech!W26/SER_summary!W$26)</f>
        <v>12.992291985300666</v>
      </c>
      <c r="X26" s="65">
        <f>IF(SER_hh_fech!X26=0,0,SER_hh_fech!X26/SER_summary!X$26)</f>
        <v>13.122580381321173</v>
      </c>
      <c r="Y26" s="65">
        <f>IF(SER_hh_fech!Y26=0,0,SER_hh_fech!Y26/SER_summary!Y$26)</f>
        <v>9.2520964399627754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0.11883203070537497</v>
      </c>
      <c r="C27" s="145">
        <f>IF(SER_hh_fech!C27=0,0,SER_hh_fech!C27/SER_summary!C$26)</f>
        <v>0.11874613548085601</v>
      </c>
      <c r="D27" s="145">
        <f>IF(SER_hh_fech!D27=0,0,SER_hh_fech!D27/SER_summary!D$26)</f>
        <v>0.11822524087681743</v>
      </c>
      <c r="E27" s="145">
        <f>IF(SER_hh_fech!E27=0,0,SER_hh_fech!E27/SER_summary!E$26)</f>
        <v>0.11797927316968136</v>
      </c>
      <c r="F27" s="145">
        <f>IF(SER_hh_fech!F27=0,0,SER_hh_fech!F27/SER_summary!F$26)</f>
        <v>0.12025746415216998</v>
      </c>
      <c r="G27" s="145">
        <f>IF(SER_hh_fech!G27=0,0,SER_hh_fech!G27/SER_summary!G$26)</f>
        <v>0.12474382219459308</v>
      </c>
      <c r="H27" s="145">
        <f>IF(SER_hh_fech!H27=0,0,SER_hh_fech!H27/SER_summary!H$26)</f>
        <v>0.12898579336420921</v>
      </c>
      <c r="I27" s="145">
        <f>IF(SER_hh_fech!I27=0,0,SER_hh_fech!I27/SER_summary!I$26)</f>
        <v>0.13620782937436265</v>
      </c>
      <c r="J27" s="145">
        <f>IF(SER_hh_fech!J27=0,0,SER_hh_fech!J27/SER_summary!J$26)</f>
        <v>0.14303117969900214</v>
      </c>
      <c r="K27" s="145">
        <f>IF(SER_hh_fech!K27=0,0,SER_hh_fech!K27/SER_summary!K$26)</f>
        <v>0.15071398244371786</v>
      </c>
      <c r="L27" s="145">
        <f>IF(SER_hh_fech!L27=0,0,SER_hh_fech!L27/SER_summary!L$26)</f>
        <v>0.15349594987308135</v>
      </c>
      <c r="M27" s="145">
        <f>IF(SER_hh_fech!M27=0,0,SER_hh_fech!M27/SER_summary!M$26)</f>
        <v>0.1604553193860658</v>
      </c>
      <c r="N27" s="145">
        <f>IF(SER_hh_fech!N27=0,0,SER_hh_fech!N27/SER_summary!N$26)</f>
        <v>0.1648441932132291</v>
      </c>
      <c r="O27" s="145">
        <f>IF(SER_hh_fech!O27=0,0,SER_hh_fech!O27/SER_summary!O$26)</f>
        <v>0.1693819367208742</v>
      </c>
      <c r="P27" s="145">
        <f>IF(SER_hh_fech!P27=0,0,SER_hh_fech!P27/SER_summary!P$26)</f>
        <v>0.17216830248669227</v>
      </c>
      <c r="Q27" s="145">
        <f>IF(SER_hh_fech!Q27=0,0,SER_hh_fech!Q27/SER_summary!Q$26)</f>
        <v>0.17584866562656543</v>
      </c>
      <c r="R27" s="145">
        <f>IF(SER_hh_fech!R27=0,0,SER_hh_fech!R27/SER_summary!R$26)</f>
        <v>0.17674987700376046</v>
      </c>
      <c r="S27" s="145">
        <f>IF(SER_hh_fech!S27=0,0,SER_hh_fech!S27/SER_summary!S$26)</f>
        <v>0.17747928470954738</v>
      </c>
      <c r="T27" s="145">
        <f>IF(SER_hh_fech!T27=0,0,SER_hh_fech!T27/SER_summary!T$26)</f>
        <v>0.17789714591654235</v>
      </c>
      <c r="U27" s="145">
        <f>IF(SER_hh_fech!U27=0,0,SER_hh_fech!U27/SER_summary!U$26)</f>
        <v>0.17858531571393882</v>
      </c>
      <c r="V27" s="145">
        <f>IF(SER_hh_fech!V27=0,0,SER_hh_fech!V27/SER_summary!V$26)</f>
        <v>0.17710036982937064</v>
      </c>
      <c r="W27" s="145">
        <f>IF(SER_hh_fech!W27=0,0,SER_hh_fech!W27/SER_summary!W$26)</f>
        <v>0.16059450498436414</v>
      </c>
      <c r="X27" s="145">
        <f>IF(SER_hh_fech!X27=0,0,SER_hh_fech!X27/SER_summary!X$26)</f>
        <v>0.18302858252853391</v>
      </c>
      <c r="Y27" s="145">
        <f>IF(SER_hh_fech!Y27=0,0,SER_hh_fech!Y27/SER_summary!Y$26)</f>
        <v>0.17016668200276855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4.544807117792713</v>
      </c>
      <c r="C28" s="146">
        <f>IF(SER_hh_fech!C28=0,0,SER_hh_fech!C28/SER_summary!C$26)</f>
        <v>4.6209763853526171</v>
      </c>
      <c r="D28" s="146">
        <f>IF(SER_hh_fech!D28=0,0,SER_hh_fech!D28/SER_summary!D$26)</f>
        <v>4.5271048352631915</v>
      </c>
      <c r="E28" s="146">
        <f>IF(SER_hh_fech!E28=0,0,SER_hh_fech!E28/SER_summary!E$26)</f>
        <v>4.5828069338194766</v>
      </c>
      <c r="F28" s="146">
        <f>IF(SER_hh_fech!F28=0,0,SER_hh_fech!F28/SER_summary!F$26)</f>
        <v>4.5884248797048386</v>
      </c>
      <c r="G28" s="146">
        <f>IF(SER_hh_fech!G28=0,0,SER_hh_fech!G28/SER_summary!G$26)</f>
        <v>4.5057870472390906</v>
      </c>
      <c r="H28" s="146">
        <f>IF(SER_hh_fech!H28=0,0,SER_hh_fech!H28/SER_summary!H$26)</f>
        <v>4.502498421430376</v>
      </c>
      <c r="I28" s="146">
        <f>IF(SER_hh_fech!I28=0,0,SER_hh_fech!I28/SER_summary!I$26)</f>
        <v>4.57643875504034</v>
      </c>
      <c r="J28" s="146">
        <f>IF(SER_hh_fech!J28=0,0,SER_hh_fech!J28/SER_summary!J$26)</f>
        <v>4.7734645536436657</v>
      </c>
      <c r="K28" s="146">
        <f>IF(SER_hh_fech!K28=0,0,SER_hh_fech!K28/SER_summary!K$26)</f>
        <v>5.2799375818206</v>
      </c>
      <c r="L28" s="146">
        <f>IF(SER_hh_fech!L28=0,0,SER_hh_fech!L28/SER_summary!L$26)</f>
        <v>4.4783548486716569</v>
      </c>
      <c r="M28" s="146">
        <f>IF(SER_hh_fech!M28=0,0,SER_hh_fech!M28/SER_summary!M$26)</f>
        <v>4.6027994374954506</v>
      </c>
      <c r="N28" s="146">
        <f>IF(SER_hh_fech!N28=0,0,SER_hh_fech!N28/SER_summary!N$26)</f>
        <v>4.7969547800447261</v>
      </c>
      <c r="O28" s="146">
        <f>IF(SER_hh_fech!O28=0,0,SER_hh_fech!O28/SER_summary!O$26)</f>
        <v>4.5116080417712245</v>
      </c>
      <c r="P28" s="146">
        <f>IF(SER_hh_fech!P28=0,0,SER_hh_fech!P28/SER_summary!P$26)</f>
        <v>4.8153335185303536</v>
      </c>
      <c r="Q28" s="146">
        <f>IF(SER_hh_fech!Q28=0,0,SER_hh_fech!Q28/SER_summary!Q$26)</f>
        <v>4.6820332477767312</v>
      </c>
      <c r="R28" s="146">
        <f>IF(SER_hh_fech!R28=0,0,SER_hh_fech!R28/SER_summary!R$26)</f>
        <v>4.6919324267764795</v>
      </c>
      <c r="S28" s="146">
        <f>IF(SER_hh_fech!S28=0,0,SER_hh_fech!S28/SER_summary!S$26)</f>
        <v>5.0093225497805989</v>
      </c>
      <c r="T28" s="146">
        <f>IF(SER_hh_fech!T28=0,0,SER_hh_fech!T28/SER_summary!T$26)</f>
        <v>4.9027384270415082</v>
      </c>
      <c r="U28" s="146">
        <f>IF(SER_hh_fech!U28=0,0,SER_hh_fech!U28/SER_summary!U$26)</f>
        <v>4.7196563019686062</v>
      </c>
      <c r="V28" s="146">
        <f>IF(SER_hh_fech!V28=0,0,SER_hh_fech!V28/SER_summary!V$26)</f>
        <v>4.0764276198999614</v>
      </c>
      <c r="W28" s="146">
        <f>IF(SER_hh_fech!W28=0,0,SER_hh_fech!W28/SER_summary!W$26)</f>
        <v>4.1057598820563701</v>
      </c>
      <c r="X28" s="146">
        <f>IF(SER_hh_fech!X28=0,0,SER_hh_fech!X28/SER_summary!X$26)</f>
        <v>6.1131361273964862</v>
      </c>
      <c r="Y28" s="146">
        <f>IF(SER_hh_fech!Y28=0,0,SER_hh_fech!Y28/SER_summary!Y$26)</f>
        <v>5.0366923295622925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13.187408049252703</v>
      </c>
      <c r="C29" s="130">
        <f>IF(SER_hh_fech!C29=0,0,SER_hh_fech!C29/SER_summary!C$26)</f>
        <v>13.181054660113835</v>
      </c>
      <c r="D29" s="130">
        <f>IF(SER_hh_fech!D29=0,0,SER_hh_fech!D29/SER_summary!D$26)</f>
        <v>13.221874941515606</v>
      </c>
      <c r="E29" s="130">
        <f>IF(SER_hh_fech!E29=0,0,SER_hh_fech!E29/SER_summary!E$26)</f>
        <v>13.540998489992992</v>
      </c>
      <c r="F29" s="130">
        <f>IF(SER_hh_fech!F29=0,0,SER_hh_fech!F29/SER_summary!F$26)</f>
        <v>13.69743193971709</v>
      </c>
      <c r="G29" s="130">
        <f>IF(SER_hh_fech!G29=0,0,SER_hh_fech!G29/SER_summary!G$26)</f>
        <v>13.74637628984676</v>
      </c>
      <c r="H29" s="130">
        <f>IF(SER_hh_fech!H29=0,0,SER_hh_fech!H29/SER_summary!H$26)</f>
        <v>13.879341806560157</v>
      </c>
      <c r="I29" s="130">
        <f>IF(SER_hh_fech!I29=0,0,SER_hh_fech!I29/SER_summary!I$26)</f>
        <v>13.683932981683739</v>
      </c>
      <c r="J29" s="130">
        <f>IF(SER_hh_fech!J29=0,0,SER_hh_fech!J29/SER_summary!J$26)</f>
        <v>13.749561507652349</v>
      </c>
      <c r="K29" s="130">
        <f>IF(SER_hh_fech!K29=0,0,SER_hh_fech!K29/SER_summary!K$26)</f>
        <v>13.721612626888586</v>
      </c>
      <c r="L29" s="130">
        <f>IF(SER_hh_fech!L29=0,0,SER_hh_fech!L29/SER_summary!L$26)</f>
        <v>13.684958651994323</v>
      </c>
      <c r="M29" s="130">
        <f>IF(SER_hh_fech!M29=0,0,SER_hh_fech!M29/SER_summary!M$26)</f>
        <v>13.90174472860587</v>
      </c>
      <c r="N29" s="130">
        <f>IF(SER_hh_fech!N29=0,0,SER_hh_fech!N29/SER_summary!N$26)</f>
        <v>13.94824510791163</v>
      </c>
      <c r="O29" s="130">
        <f>IF(SER_hh_fech!O29=0,0,SER_hh_fech!O29/SER_summary!O$26)</f>
        <v>13.908356297636832</v>
      </c>
      <c r="P29" s="130">
        <f>IF(SER_hh_fech!P29=0,0,SER_hh_fech!P29/SER_summary!P$26)</f>
        <v>13.586994352779588</v>
      </c>
      <c r="Q29" s="130">
        <f>IF(SER_hh_fech!Q29=0,0,SER_hh_fech!Q29/SER_summary!Q$26)</f>
        <v>13.583265201255013</v>
      </c>
      <c r="R29" s="130">
        <f>IF(SER_hh_fech!R29=0,0,SER_hh_fech!R29/SER_summary!R$26)</f>
        <v>13.68999912036956</v>
      </c>
      <c r="S29" s="130">
        <f>IF(SER_hh_fech!S29=0,0,SER_hh_fech!S29/SER_summary!S$26)</f>
        <v>13.713092574028419</v>
      </c>
      <c r="T29" s="130">
        <f>IF(SER_hh_fech!T29=0,0,SER_hh_fech!T29/SER_summary!T$26)</f>
        <v>13.266244592439776</v>
      </c>
      <c r="U29" s="130">
        <f>IF(SER_hh_fech!U29=0,0,SER_hh_fech!U29/SER_summary!U$26)</f>
        <v>13.098030189024355</v>
      </c>
      <c r="V29" s="130">
        <f>IF(SER_hh_fech!V29=0,0,SER_hh_fech!V29/SER_summary!V$26)</f>
        <v>10.416291795992976</v>
      </c>
      <c r="W29" s="130">
        <f>IF(SER_hh_fech!W29=0,0,SER_hh_fech!W29/SER_summary!W$26)</f>
        <v>11.105382775301845</v>
      </c>
      <c r="X29" s="130">
        <f>IF(SER_hh_fech!X29=0,0,SER_hh_fech!X29/SER_summary!X$26)</f>
        <v>10.915501241058131</v>
      </c>
      <c r="Y29" s="130">
        <f>IF(SER_hh_fech!Y29=0,0,SER_hh_fech!Y29/SER_summary!Y$26)</f>
        <v>9.3822463404424958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16.491848222387524</v>
      </c>
      <c r="C30" s="132">
        <f>IF(SER_hh_fech!C30=0,0,SER_hh_fech!C30/SER_summary!C$26)</f>
        <v>16.513858496987982</v>
      </c>
      <c r="D30" s="132">
        <f>IF(SER_hh_fech!D30=0,0,SER_hh_fech!D30/SER_summary!D$26)</f>
        <v>14.742177851825275</v>
      </c>
      <c r="E30" s="132">
        <f>IF(SER_hh_fech!E30=0,0,SER_hh_fech!E30/SER_summary!E$26)</f>
        <v>16.494696975371909</v>
      </c>
      <c r="F30" s="132">
        <f>IF(SER_hh_fech!F30=0,0,SER_hh_fech!F30/SER_summary!F$26)</f>
        <v>17.404802338141931</v>
      </c>
      <c r="G30" s="132">
        <f>IF(SER_hh_fech!G30=0,0,SER_hh_fech!G30/SER_summary!G$26)</f>
        <v>18.336427875915465</v>
      </c>
      <c r="H30" s="132">
        <f>IF(SER_hh_fech!H30=0,0,SER_hh_fech!H30/SER_summary!H$26)</f>
        <v>17.459324260469621</v>
      </c>
      <c r="I30" s="132">
        <f>IF(SER_hh_fech!I30=0,0,SER_hh_fech!I30/SER_summary!I$26)</f>
        <v>17.142161074944617</v>
      </c>
      <c r="J30" s="132">
        <f>IF(SER_hh_fech!J30=0,0,SER_hh_fech!J30/SER_summary!J$26)</f>
        <v>16.60198976335877</v>
      </c>
      <c r="K30" s="132">
        <f>IF(SER_hh_fech!K30=0,0,SER_hh_fech!K30/SER_summary!K$26)</f>
        <v>15.855273256001828</v>
      </c>
      <c r="L30" s="132">
        <f>IF(SER_hh_fech!L30=0,0,SER_hh_fech!L30/SER_summary!L$26)</f>
        <v>19.692861009152743</v>
      </c>
      <c r="M30" s="132">
        <f>IF(SER_hh_fech!M30=0,0,SER_hh_fech!M30/SER_summary!M$26)</f>
        <v>17.632865044712531</v>
      </c>
      <c r="N30" s="132">
        <f>IF(SER_hh_fech!N30=0,0,SER_hh_fech!N30/SER_summary!N$26)</f>
        <v>16.380123880143135</v>
      </c>
      <c r="O30" s="132">
        <f>IF(SER_hh_fech!O30=0,0,SER_hh_fech!O30/SER_summary!O$26)</f>
        <v>19.29841620758631</v>
      </c>
      <c r="P30" s="132">
        <f>IF(SER_hh_fech!P30=0,0,SER_hh_fech!P30/SER_summary!P$26)</f>
        <v>10.26459458711272</v>
      </c>
      <c r="Q30" s="132">
        <f>IF(SER_hh_fech!Q30=0,0,SER_hh_fech!Q30/SER_summary!Q$26)</f>
        <v>19.195828149116004</v>
      </c>
      <c r="R30" s="132">
        <f>IF(SER_hh_fech!R30=0,0,SER_hh_fech!R30/SER_summary!R$26)</f>
        <v>18.393545657498262</v>
      </c>
      <c r="S30" s="132">
        <f>IF(SER_hh_fech!S30=0,0,SER_hh_fech!S30/SER_summary!S$26)</f>
        <v>17.095789124366966</v>
      </c>
      <c r="T30" s="132">
        <f>IF(SER_hh_fech!T30=0,0,SER_hh_fech!T30/SER_summary!T$26)</f>
        <v>17.055187016187332</v>
      </c>
      <c r="U30" s="132">
        <f>IF(SER_hh_fech!U30=0,0,SER_hh_fech!U30/SER_summary!U$26)</f>
        <v>16.427874911845151</v>
      </c>
      <c r="V30" s="132">
        <f>IF(SER_hh_fech!V30=0,0,SER_hh_fech!V30/SER_summary!V$26)</f>
        <v>13.33476476104795</v>
      </c>
      <c r="W30" s="132">
        <f>IF(SER_hh_fech!W30=0,0,SER_hh_fech!W30/SER_summary!W$26)</f>
        <v>13.324912668832106</v>
      </c>
      <c r="X30" s="132">
        <f>IF(SER_hh_fech!X30=0,0,SER_hh_fech!X30/SER_summary!X$26)</f>
        <v>13.3881354912285</v>
      </c>
      <c r="Y30" s="132">
        <f>IF(SER_hh_fech!Y30=0,0,SER_hh_fech!Y30/SER_summary!Y$26)</f>
        <v>12.342611732914547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16.245982977039684</v>
      </c>
      <c r="C31" s="132">
        <f>IF(SER_hh_fech!C31=0,0,SER_hh_fech!C31/SER_summary!C$26)</f>
        <v>16.261030745805932</v>
      </c>
      <c r="D31" s="132">
        <f>IF(SER_hh_fech!D31=0,0,SER_hh_fech!D31/SER_summary!D$26)</f>
        <v>16.405507414635093</v>
      </c>
      <c r="E31" s="132">
        <f>IF(SER_hh_fech!E31=0,0,SER_hh_fech!E31/SER_summary!E$26)</f>
        <v>16.638675887673489</v>
      </c>
      <c r="F31" s="132">
        <f>IF(SER_hh_fech!F31=0,0,SER_hh_fech!F31/SER_summary!F$26)</f>
        <v>16.458416713690436</v>
      </c>
      <c r="G31" s="132">
        <f>IF(SER_hh_fech!G31=0,0,SER_hh_fech!G31/SER_summary!G$26)</f>
        <v>17.2561560912681</v>
      </c>
      <c r="H31" s="132">
        <f>IF(SER_hh_fech!H31=0,0,SER_hh_fech!H31/SER_summary!H$26)</f>
        <v>17.200451671206917</v>
      </c>
      <c r="I31" s="132">
        <f>IF(SER_hh_fech!I31=0,0,SER_hh_fech!I31/SER_summary!I$26)</f>
        <v>16.966138990684215</v>
      </c>
      <c r="J31" s="132">
        <f>IF(SER_hh_fech!J31=0,0,SER_hh_fech!J31/SER_summary!J$26)</f>
        <v>16.916571036753869</v>
      </c>
      <c r="K31" s="132">
        <f>IF(SER_hh_fech!K31=0,0,SER_hh_fech!K31/SER_summary!K$26)</f>
        <v>17.136408913701263</v>
      </c>
      <c r="L31" s="132">
        <f>IF(SER_hh_fech!L31=0,0,SER_hh_fech!L31/SER_summary!L$26)</f>
        <v>17.19771876069025</v>
      </c>
      <c r="M31" s="132">
        <f>IF(SER_hh_fech!M31=0,0,SER_hh_fech!M31/SER_summary!M$26)</f>
        <v>17.15825973979009</v>
      </c>
      <c r="N31" s="132">
        <f>IF(SER_hh_fech!N31=0,0,SER_hh_fech!N31/SER_summary!N$26)</f>
        <v>17.296279994588009</v>
      </c>
      <c r="O31" s="132">
        <f>IF(SER_hh_fech!O31=0,0,SER_hh_fech!O31/SER_summary!O$26)</f>
        <v>17.106293634014609</v>
      </c>
      <c r="P31" s="132">
        <f>IF(SER_hh_fech!P31=0,0,SER_hh_fech!P31/SER_summary!P$26)</f>
        <v>16.240997088963191</v>
      </c>
      <c r="Q31" s="132">
        <f>IF(SER_hh_fech!Q31=0,0,SER_hh_fech!Q31/SER_summary!Q$26)</f>
        <v>17.824787454700083</v>
      </c>
      <c r="R31" s="132">
        <f>IF(SER_hh_fech!R31=0,0,SER_hh_fech!R31/SER_summary!R$26)</f>
        <v>17.438215669137957</v>
      </c>
      <c r="S31" s="132">
        <f>IF(SER_hh_fech!S31=0,0,SER_hh_fech!S31/SER_summary!S$26)</f>
        <v>15.891765864351402</v>
      </c>
      <c r="T31" s="132">
        <f>IF(SER_hh_fech!T31=0,0,SER_hh_fech!T31/SER_summary!T$26)</f>
        <v>16.812489338213922</v>
      </c>
      <c r="U31" s="132">
        <f>IF(SER_hh_fech!U31=0,0,SER_hh_fech!U31/SER_summary!U$26)</f>
        <v>18.113537143741464</v>
      </c>
      <c r="V31" s="132">
        <f>IF(SER_hh_fech!V31=0,0,SER_hh_fech!V31/SER_summary!V$26)</f>
        <v>10.579096109990807</v>
      </c>
      <c r="W31" s="132">
        <f>IF(SER_hh_fech!W31=0,0,SER_hh_fech!W31/SER_summary!W$26)</f>
        <v>13.721379467042688</v>
      </c>
      <c r="X31" s="132">
        <f>IF(SER_hh_fech!X31=0,0,SER_hh_fech!X31/SER_summary!X$26)</f>
        <v>12.041905002323263</v>
      </c>
      <c r="Y31" s="132">
        <f>IF(SER_hh_fech!Y31=0,0,SER_hh_fech!Y31/SER_summary!Y$26)</f>
        <v>12.82720797781559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12.464598236824131</v>
      </c>
      <c r="C33" s="68">
        <f>IF(SER_hh_fech!C33=0,0,SER_hh_fech!C33/SER_summary!C$26)</f>
        <v>12.467347746816241</v>
      </c>
      <c r="D33" s="68">
        <f>IF(SER_hh_fech!D33=0,0,SER_hh_fech!D33/SER_summary!D$26)</f>
        <v>12.539007181369593</v>
      </c>
      <c r="E33" s="68">
        <f>IF(SER_hh_fech!E33=0,0,SER_hh_fech!E33/SER_summary!E$26)</f>
        <v>12.820053531058527</v>
      </c>
      <c r="F33" s="68">
        <f>IF(SER_hh_fech!F33=0,0,SER_hh_fech!F33/SER_summary!F$26)</f>
        <v>12.990871174132467</v>
      </c>
      <c r="G33" s="68">
        <f>IF(SER_hh_fech!G33=0,0,SER_hh_fech!G33/SER_summary!G$26)</f>
        <v>12.803567862437522</v>
      </c>
      <c r="H33" s="68">
        <f>IF(SER_hh_fech!H33=0,0,SER_hh_fech!H33/SER_summary!H$26)</f>
        <v>13.004108874481114</v>
      </c>
      <c r="I33" s="68">
        <f>IF(SER_hh_fech!I33=0,0,SER_hh_fech!I33/SER_summary!I$26)</f>
        <v>12.826848826394516</v>
      </c>
      <c r="J33" s="68">
        <f>IF(SER_hh_fech!J33=0,0,SER_hh_fech!J33/SER_summary!J$26)</f>
        <v>12.939532817836719</v>
      </c>
      <c r="K33" s="68">
        <f>IF(SER_hh_fech!K33=0,0,SER_hh_fech!K33/SER_summary!K$26)</f>
        <v>12.895850998275188</v>
      </c>
      <c r="L33" s="68">
        <f>IF(SER_hh_fech!L33=0,0,SER_hh_fech!L33/SER_summary!L$26)</f>
        <v>12.66253859798368</v>
      </c>
      <c r="M33" s="68">
        <f>IF(SER_hh_fech!M33=0,0,SER_hh_fech!M33/SER_summary!M$26)</f>
        <v>13.069555540689905</v>
      </c>
      <c r="N33" s="68">
        <f>IF(SER_hh_fech!N33=0,0,SER_hh_fech!N33/SER_summary!N$26)</f>
        <v>13.188619606760632</v>
      </c>
      <c r="O33" s="68">
        <f>IF(SER_hh_fech!O33=0,0,SER_hh_fech!O33/SER_summary!O$26)</f>
        <v>13.059224161200818</v>
      </c>
      <c r="P33" s="68">
        <f>IF(SER_hh_fech!P33=0,0,SER_hh_fech!P33/SER_summary!P$26)</f>
        <v>13.215121097527812</v>
      </c>
      <c r="Q33" s="68">
        <f>IF(SER_hh_fech!Q33=0,0,SER_hh_fech!Q33/SER_summary!Q$26)</f>
        <v>12.429249631090642</v>
      </c>
      <c r="R33" s="68">
        <f>IF(SER_hh_fech!R33=0,0,SER_hh_fech!R33/SER_summary!R$26)</f>
        <v>12.653747038502095</v>
      </c>
      <c r="S33" s="68">
        <f>IF(SER_hh_fech!S33=0,0,SER_hh_fech!S33/SER_summary!S$26)</f>
        <v>13.05949897652812</v>
      </c>
      <c r="T33" s="68">
        <f>IF(SER_hh_fech!T33=0,0,SER_hh_fech!T33/SER_summary!T$26)</f>
        <v>12.278469696953014</v>
      </c>
      <c r="U33" s="68">
        <f>IF(SER_hh_fech!U33=0,0,SER_hh_fech!U33/SER_summary!U$26)</f>
        <v>11.768783441350291</v>
      </c>
      <c r="V33" s="68">
        <f>IF(SER_hh_fech!V33=0,0,SER_hh_fech!V33/SER_summary!V$26)</f>
        <v>10.190997097262604</v>
      </c>
      <c r="W33" s="68">
        <f>IF(SER_hh_fech!W33=0,0,SER_hh_fech!W33/SER_summary!W$26)</f>
        <v>10.269571998692896</v>
      </c>
      <c r="X33" s="68">
        <f>IF(SER_hh_fech!X33=0,0,SER_hh_fech!X33/SER_summary!X$26)</f>
        <v>10.363770792912137</v>
      </c>
      <c r="Y33" s="68">
        <f>IF(SER_hh_fech!Y33=0,0,SER_hh_fech!Y33/SER_summary!Y$26)</f>
        <v>7.6852694286152765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108.66823784842011</v>
      </c>
      <c r="C3" s="125">
        <f>IF(SER_hh_tesh!C3=0,0,SER_hh_tesh!C3/SER_summary!C$26)</f>
        <v>111.41429618922899</v>
      </c>
      <c r="D3" s="125">
        <f>IF(SER_hh_tesh!D3=0,0,SER_hh_tesh!D3/SER_summary!D$26)</f>
        <v>109.77387018330948</v>
      </c>
      <c r="E3" s="125">
        <f>IF(SER_hh_tesh!E3=0,0,SER_hh_tesh!E3/SER_summary!E$26)</f>
        <v>110.74848472078341</v>
      </c>
      <c r="F3" s="125">
        <f>IF(SER_hh_tesh!F3=0,0,SER_hh_tesh!F3/SER_summary!F$26)</f>
        <v>109.38151022341899</v>
      </c>
      <c r="G3" s="125">
        <f>IF(SER_hh_tesh!G3=0,0,SER_hh_tesh!G3/SER_summary!G$26)</f>
        <v>107.22314972965306</v>
      </c>
      <c r="H3" s="125">
        <f>IF(SER_hh_tesh!H3=0,0,SER_hh_tesh!H3/SER_summary!H$26)</f>
        <v>107.42549064536924</v>
      </c>
      <c r="I3" s="125">
        <f>IF(SER_hh_tesh!I3=0,0,SER_hh_tesh!I3/SER_summary!I$26)</f>
        <v>103.88108398328494</v>
      </c>
      <c r="J3" s="125">
        <f>IF(SER_hh_tesh!J3=0,0,SER_hh_tesh!J3/SER_summary!J$26)</f>
        <v>103.71592166936441</v>
      </c>
      <c r="K3" s="125">
        <f>IF(SER_hh_tesh!K3=0,0,SER_hh_tesh!K3/SER_summary!K$26)</f>
        <v>100.98799063205891</v>
      </c>
      <c r="L3" s="125">
        <f>IF(SER_hh_tesh!L3=0,0,SER_hh_tesh!L3/SER_summary!L$26)</f>
        <v>108.67381634192463</v>
      </c>
      <c r="M3" s="125">
        <f>IF(SER_hh_tesh!M3=0,0,SER_hh_tesh!M3/SER_summary!M$26)</f>
        <v>97.254535278955672</v>
      </c>
      <c r="N3" s="125">
        <f>IF(SER_hh_tesh!N3=0,0,SER_hh_tesh!N3/SER_summary!N$26)</f>
        <v>98.97034291219471</v>
      </c>
      <c r="O3" s="125">
        <f>IF(SER_hh_tesh!O3=0,0,SER_hh_tesh!O3/SER_summary!O$26)</f>
        <v>97.823974603317666</v>
      </c>
      <c r="P3" s="125">
        <f>IF(SER_hh_tesh!P3=0,0,SER_hh_tesh!P3/SER_summary!P$26)</f>
        <v>89.772606767087538</v>
      </c>
      <c r="Q3" s="125">
        <f>IF(SER_hh_tesh!Q3=0,0,SER_hh_tesh!Q3/SER_summary!Q$26)</f>
        <v>93.937925991374001</v>
      </c>
      <c r="R3" s="125">
        <f>IF(SER_hh_tesh!R3=0,0,SER_hh_tesh!R3/SER_summary!R$26)</f>
        <v>97.193709891822991</v>
      </c>
      <c r="S3" s="125">
        <f>IF(SER_hh_tesh!S3=0,0,SER_hh_tesh!S3/SER_summary!S$26)</f>
        <v>99.190449700681384</v>
      </c>
      <c r="T3" s="125">
        <f>IF(SER_hh_tesh!T3=0,0,SER_hh_tesh!T3/SER_summary!T$26)</f>
        <v>96.154841701225692</v>
      </c>
      <c r="U3" s="125">
        <f>IF(SER_hh_tesh!U3=0,0,SER_hh_tesh!U3/SER_summary!U$26)</f>
        <v>93.025343642444298</v>
      </c>
      <c r="V3" s="125">
        <f>IF(SER_hh_tesh!V3=0,0,SER_hh_tesh!V3/SER_summary!V$26)</f>
        <v>88.028023186684095</v>
      </c>
      <c r="W3" s="125">
        <f>IF(SER_hh_tesh!W3=0,0,SER_hh_tesh!W3/SER_summary!W$26)</f>
        <v>100.18346187139129</v>
      </c>
      <c r="X3" s="125">
        <f>IF(SER_hh_tesh!X3=0,0,SER_hh_tesh!X3/SER_summary!X$26)</f>
        <v>92.357886500017571</v>
      </c>
      <c r="Y3" s="125">
        <f>IF(SER_hh_tesh!Y3=0,0,SER_hh_tesh!Y3/SER_summary!Y$26)</f>
        <v>90.071552802248064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83.993240725380645</v>
      </c>
      <c r="C4" s="130">
        <f>IF(SER_hh_tesh!C4=0,0,SER_hh_tesh!C4/SER_summary!C$26)</f>
        <v>86.752575340726239</v>
      </c>
      <c r="D4" s="130">
        <f>IF(SER_hh_tesh!D4=0,0,SER_hh_tesh!D4/SER_summary!D$26)</f>
        <v>84.93934579281752</v>
      </c>
      <c r="E4" s="130">
        <f>IF(SER_hh_tesh!E4=0,0,SER_hh_tesh!E4/SER_summary!E$26)</f>
        <v>85.699061326965293</v>
      </c>
      <c r="F4" s="130">
        <f>IF(SER_hh_tesh!F4=0,0,SER_hh_tesh!F4/SER_summary!F$26)</f>
        <v>84.119357729003454</v>
      </c>
      <c r="G4" s="130">
        <f>IF(SER_hh_tesh!G4=0,0,SER_hh_tesh!G4/SER_summary!G$26)</f>
        <v>81.73934568956615</v>
      </c>
      <c r="H4" s="130">
        <f>IF(SER_hh_tesh!H4=0,0,SER_hh_tesh!H4/SER_summary!H$26)</f>
        <v>81.533779829397204</v>
      </c>
      <c r="I4" s="130">
        <f>IF(SER_hh_tesh!I4=0,0,SER_hh_tesh!I4/SER_summary!I$26)</f>
        <v>77.783756142532511</v>
      </c>
      <c r="J4" s="130">
        <f>IF(SER_hh_tesh!J4=0,0,SER_hh_tesh!J4/SER_summary!J$26)</f>
        <v>77.211778247922226</v>
      </c>
      <c r="K4" s="130">
        <f>IF(SER_hh_tesh!K4=0,0,SER_hh_tesh!K4/SER_summary!K$26)</f>
        <v>74.275669364201605</v>
      </c>
      <c r="L4" s="130">
        <f>IF(SER_hh_tesh!L4=0,0,SER_hh_tesh!L4/SER_summary!L$26)</f>
        <v>81.840356239107166</v>
      </c>
      <c r="M4" s="130">
        <f>IF(SER_hh_tesh!M4=0,0,SER_hh_tesh!M4/SER_summary!M$26)</f>
        <v>69.8861530826143</v>
      </c>
      <c r="N4" s="130">
        <f>IF(SER_hh_tesh!N4=0,0,SER_hh_tesh!N4/SER_summary!N$26)</f>
        <v>71.142242385590535</v>
      </c>
      <c r="O4" s="130">
        <f>IF(SER_hh_tesh!O4=0,0,SER_hh_tesh!O4/SER_summary!O$26)</f>
        <v>69.644695669137278</v>
      </c>
      <c r="P4" s="130">
        <f>IF(SER_hh_tesh!P4=0,0,SER_hh_tesh!P4/SER_summary!P$26)</f>
        <v>61.254290418998238</v>
      </c>
      <c r="Q4" s="130">
        <f>IF(SER_hh_tesh!Q4=0,0,SER_hh_tesh!Q4/SER_summary!Q$26)</f>
        <v>65.301632912359068</v>
      </c>
      <c r="R4" s="130">
        <f>IF(SER_hh_tesh!R4=0,0,SER_hh_tesh!R4/SER_summary!R$26)</f>
        <v>68.150054139619698</v>
      </c>
      <c r="S4" s="130">
        <f>IF(SER_hh_tesh!S4=0,0,SER_hh_tesh!S4/SER_summary!S$26)</f>
        <v>69.665565583099763</v>
      </c>
      <c r="T4" s="130">
        <f>IF(SER_hh_tesh!T4=0,0,SER_hh_tesh!T4/SER_summary!T$26)</f>
        <v>66.452112041222421</v>
      </c>
      <c r="U4" s="130">
        <f>IF(SER_hh_tesh!U4=0,0,SER_hh_tesh!U4/SER_summary!U$26)</f>
        <v>63.653643203126542</v>
      </c>
      <c r="V4" s="130">
        <f>IF(SER_hh_tesh!V4=0,0,SER_hh_tesh!V4/SER_summary!V$26)</f>
        <v>62.191794865038716</v>
      </c>
      <c r="W4" s="130">
        <f>IF(SER_hh_tesh!W4=0,0,SER_hh_tesh!W4/SER_summary!W$26)</f>
        <v>72.895307754004889</v>
      </c>
      <c r="X4" s="130">
        <f>IF(SER_hh_tesh!X4=0,0,SER_hh_tesh!X4/SER_summary!X$26)</f>
        <v>64.351724881603786</v>
      </c>
      <c r="Y4" s="130">
        <f>IF(SER_hh_tesh!Y4=0,0,SER_hh_tesh!Y4/SER_summary!Y$26)</f>
        <v>63.297308424620773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85.433555253941805</v>
      </c>
      <c r="C7" s="132">
        <f>IF(SER_hh_tesh!C7=0,0,SER_hh_tesh!C7/SER_summary!C$26)</f>
        <v>83.621757642712296</v>
      </c>
      <c r="D7" s="132">
        <f>IF(SER_hh_tesh!D7=0,0,SER_hh_tesh!D7/SER_summary!D$26)</f>
        <v>80.627088617730976</v>
      </c>
      <c r="E7" s="132">
        <f>IF(SER_hh_tesh!E7=0,0,SER_hh_tesh!E7/SER_summary!E$26)</f>
        <v>82.829990301336494</v>
      </c>
      <c r="F7" s="132">
        <f>IF(SER_hh_tesh!F7=0,0,SER_hh_tesh!F7/SER_summary!F$26)</f>
        <v>88.060713531356981</v>
      </c>
      <c r="G7" s="132">
        <f>IF(SER_hh_tesh!G7=0,0,SER_hh_tesh!G7/SER_summary!G$26)</f>
        <v>82.746590047423055</v>
      </c>
      <c r="H7" s="132">
        <f>IF(SER_hh_tesh!H7=0,0,SER_hh_tesh!H7/SER_summary!H$26)</f>
        <v>75.942290647605361</v>
      </c>
      <c r="I7" s="132">
        <f>IF(SER_hh_tesh!I7=0,0,SER_hh_tesh!I7/SER_summary!I$26)</f>
        <v>72.43005101450413</v>
      </c>
      <c r="J7" s="132">
        <f>IF(SER_hh_tesh!J7=0,0,SER_hh_tesh!J7/SER_summary!J$26)</f>
        <v>77.572098370897905</v>
      </c>
      <c r="K7" s="132">
        <f>IF(SER_hh_tesh!K7=0,0,SER_hh_tesh!K7/SER_summary!K$26)</f>
        <v>75.64560706463223</v>
      </c>
      <c r="L7" s="132">
        <f>IF(SER_hh_tesh!L7=0,0,SER_hh_tesh!L7/SER_summary!L$26)</f>
        <v>77.045078897579728</v>
      </c>
      <c r="M7" s="132">
        <f>IF(SER_hh_tesh!M7=0,0,SER_hh_tesh!M7/SER_summary!M$26)</f>
        <v>61.9782336412704</v>
      </c>
      <c r="N7" s="132">
        <f>IF(SER_hh_tesh!N7=0,0,SER_hh_tesh!N7/SER_summary!N$26)</f>
        <v>74.613558555894912</v>
      </c>
      <c r="O7" s="132">
        <f>IF(SER_hh_tesh!O7=0,0,SER_hh_tesh!O7/SER_summary!O$26)</f>
        <v>68.865539852091928</v>
      </c>
      <c r="P7" s="132">
        <f>IF(SER_hh_tesh!P7=0,0,SER_hh_tesh!P7/SER_summary!P$26)</f>
        <v>61.335946096665872</v>
      </c>
      <c r="Q7" s="132">
        <f>IF(SER_hh_tesh!Q7=0,0,SER_hh_tesh!Q7/SER_summary!Q$26)</f>
        <v>65.218394487776862</v>
      </c>
      <c r="R7" s="132">
        <f>IF(SER_hh_tesh!R7=0,0,SER_hh_tesh!R7/SER_summary!R$26)</f>
        <v>67.439944166984304</v>
      </c>
      <c r="S7" s="132">
        <f>IF(SER_hh_tesh!S7=0,0,SER_hh_tesh!S7/SER_summary!S$26)</f>
        <v>66.344177540014499</v>
      </c>
      <c r="T7" s="132">
        <f>IF(SER_hh_tesh!T7=0,0,SER_hh_tesh!T7/SER_summary!T$26)</f>
        <v>78.838687343819146</v>
      </c>
      <c r="U7" s="132">
        <f>IF(SER_hh_tesh!U7=0,0,SER_hh_tesh!U7/SER_summary!U$26)</f>
        <v>48.71877369764934</v>
      </c>
      <c r="V7" s="132">
        <f>IF(SER_hh_tesh!V7=0,0,SER_hh_tesh!V7/SER_summary!V$26)</f>
        <v>64.203566089618207</v>
      </c>
      <c r="W7" s="132">
        <f>IF(SER_hh_tesh!W7=0,0,SER_hh_tesh!W7/SER_summary!W$26)</f>
        <v>50.987702479869412</v>
      </c>
      <c r="X7" s="132">
        <f>IF(SER_hh_tesh!X7=0,0,SER_hh_tesh!X7/SER_summary!X$26)</f>
        <v>72.696307674819224</v>
      </c>
      <c r="Y7" s="132">
        <f>IF(SER_hh_tesh!Y7=0,0,SER_hh_tesh!Y7/SER_summary!Y$26)</f>
        <v>58.502783595792948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86.493272340068728</v>
      </c>
      <c r="C8" s="132">
        <f>IF(SER_hh_tesh!C8=0,0,SER_hh_tesh!C8/SER_summary!C$26)</f>
        <v>82.449054994408669</v>
      </c>
      <c r="D8" s="132">
        <f>IF(SER_hh_tesh!D8=0,0,SER_hh_tesh!D8/SER_summary!D$26)</f>
        <v>79.440677818285025</v>
      </c>
      <c r="E8" s="132">
        <f>IF(SER_hh_tesh!E8=0,0,SER_hh_tesh!E8/SER_summary!E$26)</f>
        <v>89.046571048761479</v>
      </c>
      <c r="F8" s="132">
        <f>IF(SER_hh_tesh!F8=0,0,SER_hh_tesh!F8/SER_summary!F$26)</f>
        <v>87.624895358611468</v>
      </c>
      <c r="G8" s="132">
        <f>IF(SER_hh_tesh!G8=0,0,SER_hh_tesh!G8/SER_summary!G$26)</f>
        <v>73.256715765932597</v>
      </c>
      <c r="H8" s="132">
        <f>IF(SER_hh_tesh!H8=0,0,SER_hh_tesh!H8/SER_summary!H$26)</f>
        <v>44.303970957758338</v>
      </c>
      <c r="I8" s="132">
        <f>IF(SER_hh_tesh!I8=0,0,SER_hh_tesh!I8/SER_summary!I$26)</f>
        <v>94.038809269580909</v>
      </c>
      <c r="J8" s="132">
        <f>IF(SER_hh_tesh!J8=0,0,SER_hh_tesh!J8/SER_summary!J$26)</f>
        <v>79.960827482468389</v>
      </c>
      <c r="K8" s="132">
        <f>IF(SER_hh_tesh!K8=0,0,SER_hh_tesh!K8/SER_summary!K$26)</f>
        <v>76.139128106722993</v>
      </c>
      <c r="L8" s="132">
        <f>IF(SER_hh_tesh!L8=0,0,SER_hh_tesh!L8/SER_summary!L$26)</f>
        <v>73.804890733114377</v>
      </c>
      <c r="M8" s="132">
        <f>IF(SER_hh_tesh!M8=0,0,SER_hh_tesh!M8/SER_summary!M$26)</f>
        <v>70.251265246578456</v>
      </c>
      <c r="N8" s="132">
        <f>IF(SER_hh_tesh!N8=0,0,SER_hh_tesh!N8/SER_summary!N$26)</f>
        <v>66.735684643317754</v>
      </c>
      <c r="O8" s="132">
        <f>IF(SER_hh_tesh!O8=0,0,SER_hh_tesh!O8/SER_summary!O$26)</f>
        <v>60.226695398940414</v>
      </c>
      <c r="P8" s="132">
        <f>IF(SER_hh_tesh!P8=0,0,SER_hh_tesh!P8/SER_summary!P$26)</f>
        <v>64.050259869428913</v>
      </c>
      <c r="Q8" s="132">
        <f>IF(SER_hh_tesh!Q8=0,0,SER_hh_tesh!Q8/SER_summary!Q$26)</f>
        <v>68.36974117351717</v>
      </c>
      <c r="R8" s="132">
        <f>IF(SER_hh_tesh!R8=0,0,SER_hh_tesh!R8/SER_summary!R$26)</f>
        <v>68.127619670101893</v>
      </c>
      <c r="S8" s="132">
        <f>IF(SER_hh_tesh!S8=0,0,SER_hh_tesh!S8/SER_summary!S$26)</f>
        <v>64.589311112897633</v>
      </c>
      <c r="T8" s="132">
        <f>IF(SER_hh_tesh!T8=0,0,SER_hh_tesh!T8/SER_summary!T$26)</f>
        <v>63.924008785652155</v>
      </c>
      <c r="U8" s="132">
        <f>IF(SER_hh_tesh!U8=0,0,SER_hh_tesh!U8/SER_summary!U$26)</f>
        <v>62.089305147615775</v>
      </c>
      <c r="V8" s="132">
        <f>IF(SER_hh_tesh!V8=0,0,SER_hh_tesh!V8/SER_summary!V$26)</f>
        <v>65.520009655967101</v>
      </c>
      <c r="W8" s="132">
        <f>IF(SER_hh_tesh!W8=0,0,SER_hh_tesh!W8/SER_summary!W$26)</f>
        <v>63.634049624419653</v>
      </c>
      <c r="X8" s="132">
        <f>IF(SER_hh_tesh!X8=0,0,SER_hh_tesh!X8/SER_summary!X$26)</f>
        <v>64.839962096335412</v>
      </c>
      <c r="Y8" s="132">
        <f>IF(SER_hh_tesh!Y8=0,0,SER_hh_tesh!Y8/SER_summary!Y$26)</f>
        <v>67.398853226416051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82.398619916807576</v>
      </c>
      <c r="C9" s="132">
        <f>IF(SER_hh_tesh!C9=0,0,SER_hh_tesh!C9/SER_summary!C$26)</f>
        <v>83.173198278202804</v>
      </c>
      <c r="D9" s="132">
        <f>IF(SER_hh_tesh!D9=0,0,SER_hh_tesh!D9/SER_summary!D$26)</f>
        <v>79.723770726812546</v>
      </c>
      <c r="E9" s="132">
        <f>IF(SER_hh_tesh!E9=0,0,SER_hh_tesh!E9/SER_summary!E$26)</f>
        <v>87.571814017838591</v>
      </c>
      <c r="F9" s="132">
        <f>IF(SER_hh_tesh!F9=0,0,SER_hh_tesh!F9/SER_summary!F$26)</f>
        <v>81.484937427247104</v>
      </c>
      <c r="G9" s="132">
        <f>IF(SER_hh_tesh!G9=0,0,SER_hh_tesh!G9/SER_summary!G$26)</f>
        <v>79.674945089084744</v>
      </c>
      <c r="H9" s="132">
        <f>IF(SER_hh_tesh!H9=0,0,SER_hh_tesh!H9/SER_summary!H$26)</f>
        <v>84.748645428526984</v>
      </c>
      <c r="I9" s="132">
        <f>IF(SER_hh_tesh!I9=0,0,SER_hh_tesh!I9/SER_summary!I$26)</f>
        <v>75.983146293352988</v>
      </c>
      <c r="J9" s="132">
        <f>IF(SER_hh_tesh!J9=0,0,SER_hh_tesh!J9/SER_summary!J$26)</f>
        <v>75.324956622500522</v>
      </c>
      <c r="K9" s="132">
        <f>IF(SER_hh_tesh!K9=0,0,SER_hh_tesh!K9/SER_summary!K$26)</f>
        <v>77.12735165042433</v>
      </c>
      <c r="L9" s="132">
        <f>IF(SER_hh_tesh!L9=0,0,SER_hh_tesh!L9/SER_summary!L$26)</f>
        <v>79.989297654938142</v>
      </c>
      <c r="M9" s="132">
        <f>IF(SER_hh_tesh!M9=0,0,SER_hh_tesh!M9/SER_summary!M$26)</f>
        <v>61.880863469255452</v>
      </c>
      <c r="N9" s="132">
        <f>IF(SER_hh_tesh!N9=0,0,SER_hh_tesh!N9/SER_summary!N$26)</f>
        <v>71.222329085445566</v>
      </c>
      <c r="O9" s="132">
        <f>IF(SER_hh_tesh!O9=0,0,SER_hh_tesh!O9/SER_summary!O$26)</f>
        <v>75.131786069833183</v>
      </c>
      <c r="P9" s="132">
        <f>IF(SER_hh_tesh!P9=0,0,SER_hh_tesh!P9/SER_summary!P$26)</f>
        <v>51.299733760027898</v>
      </c>
      <c r="Q9" s="132">
        <f>IF(SER_hh_tesh!Q9=0,0,SER_hh_tesh!Q9/SER_summary!Q$26)</f>
        <v>66.115240486001611</v>
      </c>
      <c r="R9" s="132">
        <f>IF(SER_hh_tesh!R9=0,0,SER_hh_tesh!R9/SER_summary!R$26)</f>
        <v>68.433198367905007</v>
      </c>
      <c r="S9" s="132">
        <f>IF(SER_hh_tesh!S9=0,0,SER_hh_tesh!S9/SER_summary!S$26)</f>
        <v>74.12235419313987</v>
      </c>
      <c r="T9" s="132">
        <f>IF(SER_hh_tesh!T9=0,0,SER_hh_tesh!T9/SER_summary!T$26)</f>
        <v>55.270983052213204</v>
      </c>
      <c r="U9" s="132">
        <f>IF(SER_hh_tesh!U9=0,0,SER_hh_tesh!U9/SER_summary!U$26)</f>
        <v>54.15514785821788</v>
      </c>
      <c r="V9" s="132">
        <f>IF(SER_hh_tesh!V9=0,0,SER_hh_tesh!V9/SER_summary!V$26)</f>
        <v>56.494864190519465</v>
      </c>
      <c r="W9" s="132">
        <f>IF(SER_hh_tesh!W9=0,0,SER_hh_tesh!W9/SER_summary!W$26)</f>
        <v>80.880961496039291</v>
      </c>
      <c r="X9" s="132">
        <f>IF(SER_hh_tesh!X9=0,0,SER_hh_tesh!X9/SER_summary!X$26)</f>
        <v>63.787841603752661</v>
      </c>
      <c r="Y9" s="132">
        <f>IF(SER_hh_tesh!Y9=0,0,SER_hh_tesh!Y9/SER_summary!Y$26)</f>
        <v>61.301400705723267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88.647226921323224</v>
      </c>
      <c r="C10" s="132">
        <f>IF(SER_hh_tesh!C10=0,0,SER_hh_tesh!C10/SER_summary!C$26)</f>
        <v>74.202375818947147</v>
      </c>
      <c r="D10" s="132">
        <f>IF(SER_hh_tesh!D10=0,0,SER_hh_tesh!D10/SER_summary!D$26)</f>
        <v>91.03199926687671</v>
      </c>
      <c r="E10" s="132">
        <f>IF(SER_hh_tesh!E10=0,0,SER_hh_tesh!E10/SER_summary!E$26)</f>
        <v>90.824394291857928</v>
      </c>
      <c r="F10" s="132">
        <f>IF(SER_hh_tesh!F10=0,0,SER_hh_tesh!F10/SER_summary!F$26)</f>
        <v>76.473032320054443</v>
      </c>
      <c r="G10" s="132">
        <f>IF(SER_hh_tesh!G10=0,0,SER_hh_tesh!G10/SER_summary!G$26)</f>
        <v>80.962459224278291</v>
      </c>
      <c r="H10" s="132">
        <f>IF(SER_hh_tesh!H10=0,0,SER_hh_tesh!H10/SER_summary!H$26)</f>
        <v>88.676789995912287</v>
      </c>
      <c r="I10" s="132">
        <f>IF(SER_hh_tesh!I10=0,0,SER_hh_tesh!I10/SER_summary!I$26)</f>
        <v>78.435949114795648</v>
      </c>
      <c r="J10" s="132">
        <f>IF(SER_hh_tesh!J10=0,0,SER_hh_tesh!J10/SER_summary!J$26)</f>
        <v>76.380308271231854</v>
      </c>
      <c r="K10" s="132">
        <f>IF(SER_hh_tesh!K10=0,0,SER_hh_tesh!K10/SER_summary!K$26)</f>
        <v>69.045448476111645</v>
      </c>
      <c r="L10" s="132">
        <f>IF(SER_hh_tesh!L10=0,0,SER_hh_tesh!L10/SER_summary!L$26)</f>
        <v>70.673716705160516</v>
      </c>
      <c r="M10" s="132">
        <f>IF(SER_hh_tesh!M10=0,0,SER_hh_tesh!M10/SER_summary!M$26)</f>
        <v>75.106279371091375</v>
      </c>
      <c r="N10" s="132">
        <f>IF(SER_hh_tesh!N10=0,0,SER_hh_tesh!N10/SER_summary!N$26)</f>
        <v>65.745837111223253</v>
      </c>
      <c r="O10" s="132">
        <f>IF(SER_hh_tesh!O10=0,0,SER_hh_tesh!O10/SER_summary!O$26)</f>
        <v>63.987435591203216</v>
      </c>
      <c r="P10" s="132">
        <f>IF(SER_hh_tesh!P10=0,0,SER_hh_tesh!P10/SER_summary!P$26)</f>
        <v>71.393272324377818</v>
      </c>
      <c r="Q10" s="132">
        <f>IF(SER_hh_tesh!Q10=0,0,SER_hh_tesh!Q10/SER_summary!Q$26)</f>
        <v>58.036575710155546</v>
      </c>
      <c r="R10" s="132">
        <f>IF(SER_hh_tesh!R10=0,0,SER_hh_tesh!R10/SER_summary!R$26)</f>
        <v>65.153860504921795</v>
      </c>
      <c r="S10" s="132">
        <f>IF(SER_hh_tesh!S10=0,0,SER_hh_tesh!S10/SER_summary!S$26)</f>
        <v>68.796928816197138</v>
      </c>
      <c r="T10" s="132">
        <f>IF(SER_hh_tesh!T10=0,0,SER_hh_tesh!T10/SER_summary!T$26)</f>
        <v>75.356000146717719</v>
      </c>
      <c r="U10" s="132">
        <f>IF(SER_hh_tesh!U10=0,0,SER_hh_tesh!U10/SER_summary!U$26)</f>
        <v>67.295780934649684</v>
      </c>
      <c r="V10" s="132">
        <f>IF(SER_hh_tesh!V10=0,0,SER_hh_tesh!V10/SER_summary!V$26)</f>
        <v>61.823058216614349</v>
      </c>
      <c r="W10" s="132">
        <f>IF(SER_hh_tesh!W10=0,0,SER_hh_tesh!W10/SER_summary!W$26)</f>
        <v>71.531175275452838</v>
      </c>
      <c r="X10" s="132">
        <f>IF(SER_hh_tesh!X10=0,0,SER_hh_tesh!X10/SER_summary!X$26)</f>
        <v>62.610360440363593</v>
      </c>
      <c r="Y10" s="132">
        <f>IF(SER_hh_tesh!Y10=0,0,SER_hh_tesh!Y10/SER_summary!Y$26)</f>
        <v>62.272874467044588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82.906303612126948</v>
      </c>
      <c r="C12" s="132">
        <f>IF(SER_hh_tesh!C12=0,0,SER_hh_tesh!C12/SER_summary!C$26)</f>
        <v>87.14378280533748</v>
      </c>
      <c r="D12" s="132">
        <f>IF(SER_hh_tesh!D12=0,0,SER_hh_tesh!D12/SER_summary!D$26)</f>
        <v>84.593911180870279</v>
      </c>
      <c r="E12" s="132">
        <f>IF(SER_hh_tesh!E12=0,0,SER_hh_tesh!E12/SER_summary!E$26)</f>
        <v>85.60540977098411</v>
      </c>
      <c r="F12" s="132">
        <f>IF(SER_hh_tesh!F12=0,0,SER_hh_tesh!F12/SER_summary!F$26)</f>
        <v>84.024831288239938</v>
      </c>
      <c r="G12" s="132">
        <f>IF(SER_hh_tesh!G12=0,0,SER_hh_tesh!G12/SER_summary!G$26)</f>
        <v>81.806492430333705</v>
      </c>
      <c r="H12" s="132">
        <f>IF(SER_hh_tesh!H12=0,0,SER_hh_tesh!H12/SER_summary!H$26)</f>
        <v>80.689790027608268</v>
      </c>
      <c r="I12" s="132">
        <f>IF(SER_hh_tesh!I12=0,0,SER_hh_tesh!I12/SER_summary!I$26)</f>
        <v>76.209557183296383</v>
      </c>
      <c r="J12" s="132">
        <f>IF(SER_hh_tesh!J12=0,0,SER_hh_tesh!J12/SER_summary!J$26)</f>
        <v>75.878121753873032</v>
      </c>
      <c r="K12" s="132">
        <f>IF(SER_hh_tesh!K12=0,0,SER_hh_tesh!K12/SER_summary!K$26)</f>
        <v>73.704796637254219</v>
      </c>
      <c r="L12" s="132">
        <f>IF(SER_hh_tesh!L12=0,0,SER_hh_tesh!L12/SER_summary!L$26)</f>
        <v>82.451775349958496</v>
      </c>
      <c r="M12" s="132">
        <f>IF(SER_hh_tesh!M12=0,0,SER_hh_tesh!M12/SER_summary!M$26)</f>
        <v>69.769990439774077</v>
      </c>
      <c r="N12" s="132">
        <f>IF(SER_hh_tesh!N12=0,0,SER_hh_tesh!N12/SER_summary!N$26)</f>
        <v>70.618817572175985</v>
      </c>
      <c r="O12" s="132">
        <f>IF(SER_hh_tesh!O12=0,0,SER_hh_tesh!O12/SER_summary!O$26)</f>
        <v>69.309630555330486</v>
      </c>
      <c r="P12" s="132">
        <f>IF(SER_hh_tesh!P12=0,0,SER_hh_tesh!P12/SER_summary!P$26)</f>
        <v>61.43040615563995</v>
      </c>
      <c r="Q12" s="132">
        <f>IF(SER_hh_tesh!Q12=0,0,SER_hh_tesh!Q12/SER_summary!Q$26)</f>
        <v>65.783242322546485</v>
      </c>
      <c r="R12" s="132">
        <f>IF(SER_hh_tesh!R12=0,0,SER_hh_tesh!R12/SER_summary!R$26)</f>
        <v>67.70217182308609</v>
      </c>
      <c r="S12" s="132">
        <f>IF(SER_hh_tesh!S12=0,0,SER_hh_tesh!S12/SER_summary!S$26)</f>
        <v>68.049059325180764</v>
      </c>
      <c r="T12" s="132">
        <f>IF(SER_hh_tesh!T12=0,0,SER_hh_tesh!T12/SER_summary!T$26)</f>
        <v>67.093858341879752</v>
      </c>
      <c r="U12" s="132">
        <f>IF(SER_hh_tesh!U12=0,0,SER_hh_tesh!U12/SER_summary!U$26)</f>
        <v>65.626188207367349</v>
      </c>
      <c r="V12" s="132">
        <f>IF(SER_hh_tesh!V12=0,0,SER_hh_tesh!V12/SER_summary!V$26)</f>
        <v>64.045207716423803</v>
      </c>
      <c r="W12" s="132">
        <f>IF(SER_hh_tesh!W12=0,0,SER_hh_tesh!W12/SER_summary!W$26)</f>
        <v>71.025879761391636</v>
      </c>
      <c r="X12" s="132">
        <f>IF(SER_hh_tesh!X12=0,0,SER_hh_tesh!X12/SER_summary!X$26)</f>
        <v>62.785423470771129</v>
      </c>
      <c r="Y12" s="132">
        <f>IF(SER_hh_tesh!Y12=0,0,SER_hh_tesh!Y12/SER_summary!Y$26)</f>
        <v>63.902708847303657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85.227891578263524</v>
      </c>
      <c r="C13" s="132">
        <f>IF(SER_hh_tesh!C13=0,0,SER_hh_tesh!C13/SER_summary!C$26)</f>
        <v>85.747561974034411</v>
      </c>
      <c r="D13" s="132">
        <f>IF(SER_hh_tesh!D13=0,0,SER_hh_tesh!D13/SER_summary!D$26)</f>
        <v>85.876801135901545</v>
      </c>
      <c r="E13" s="132">
        <f>IF(SER_hh_tesh!E13=0,0,SER_hh_tesh!E13/SER_summary!E$26)</f>
        <v>84.875997844024056</v>
      </c>
      <c r="F13" s="132">
        <f>IF(SER_hh_tesh!F13=0,0,SER_hh_tesh!F13/SER_summary!F$26)</f>
        <v>84.205616818998479</v>
      </c>
      <c r="G13" s="132">
        <f>IF(SER_hh_tesh!G13=0,0,SER_hh_tesh!G13/SER_summary!G$26)</f>
        <v>61.591070950043651</v>
      </c>
      <c r="H13" s="132">
        <f>IF(SER_hh_tesh!H13=0,0,SER_hh_tesh!H13/SER_summary!H$26)</f>
        <v>41.231945133515552</v>
      </c>
      <c r="I13" s="132">
        <f>IF(SER_hh_tesh!I13=0,0,SER_hh_tesh!I13/SER_summary!I$26)</f>
        <v>97.002971887424039</v>
      </c>
      <c r="J13" s="132">
        <f>IF(SER_hh_tesh!J13=0,0,SER_hh_tesh!J13/SER_summary!J$26)</f>
        <v>82.493209117755313</v>
      </c>
      <c r="K13" s="132">
        <f>IF(SER_hh_tesh!K13=0,0,SER_hh_tesh!K13/SER_summary!K$26)</f>
        <v>75.898077068924721</v>
      </c>
      <c r="L13" s="132">
        <f>IF(SER_hh_tesh!L13=0,0,SER_hh_tesh!L13/SER_summary!L$26)</f>
        <v>76.00656985952547</v>
      </c>
      <c r="M13" s="132">
        <f>IF(SER_hh_tesh!M13=0,0,SER_hh_tesh!M13/SER_summary!M$26)</f>
        <v>72.623045904386146</v>
      </c>
      <c r="N13" s="132">
        <f>IF(SER_hh_tesh!N13=0,0,SER_hh_tesh!N13/SER_summary!N$26)</f>
        <v>70.560454360208496</v>
      </c>
      <c r="O13" s="132">
        <f>IF(SER_hh_tesh!O13=0,0,SER_hh_tesh!O13/SER_summary!O$26)</f>
        <v>67.590064280611557</v>
      </c>
      <c r="P13" s="132">
        <f>IF(SER_hh_tesh!P13=0,0,SER_hh_tesh!P13/SER_summary!P$26)</f>
        <v>63.202234492208127</v>
      </c>
      <c r="Q13" s="132">
        <f>IF(SER_hh_tesh!Q13=0,0,SER_hh_tesh!Q13/SER_summary!Q$26)</f>
        <v>65.768723631405706</v>
      </c>
      <c r="R13" s="132">
        <f>IF(SER_hh_tesh!R13=0,0,SER_hh_tesh!R13/SER_summary!R$26)</f>
        <v>68.768074499961983</v>
      </c>
      <c r="S13" s="132">
        <f>IF(SER_hh_tesh!S13=0,0,SER_hh_tesh!S13/SER_summary!S$26)</f>
        <v>65.173488968642914</v>
      </c>
      <c r="T13" s="132">
        <f>IF(SER_hh_tesh!T13=0,0,SER_hh_tesh!T13/SER_summary!T$26)</f>
        <v>64.885812808080843</v>
      </c>
      <c r="U13" s="132">
        <f>IF(SER_hh_tesh!U13=0,0,SER_hh_tesh!U13/SER_summary!U$26)</f>
        <v>64.479182596512686</v>
      </c>
      <c r="V13" s="132">
        <f>IF(SER_hh_tesh!V13=0,0,SER_hh_tesh!V13/SER_summary!V$26)</f>
        <v>63.71010733158689</v>
      </c>
      <c r="W13" s="132">
        <f>IF(SER_hh_tesh!W13=0,0,SER_hh_tesh!W13/SER_summary!W$26)</f>
        <v>65.106205554917054</v>
      </c>
      <c r="X13" s="132">
        <f>IF(SER_hh_tesh!X13=0,0,SER_hh_tesh!X13/SER_summary!X$26)</f>
        <v>66.537359279684878</v>
      </c>
      <c r="Y13" s="132">
        <f>IF(SER_hh_tesh!Y13=0,0,SER_hh_tesh!Y13/SER_summary!Y$26)</f>
        <v>65.199598943592193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84.071365300726086</v>
      </c>
      <c r="C14" s="65">
        <f>IF(SER_hh_tesh!C14=0,0,SER_hh_tesh!C14/SER_summary!C$26)</f>
        <v>87.248509509800613</v>
      </c>
      <c r="D14" s="65">
        <f>IF(SER_hh_tesh!D14=0,0,SER_hh_tesh!D14/SER_summary!D$26)</f>
        <v>86.402536434753571</v>
      </c>
      <c r="E14" s="65">
        <f>IF(SER_hh_tesh!E14=0,0,SER_hh_tesh!E14/SER_summary!E$26)</f>
        <v>82.075282910252696</v>
      </c>
      <c r="F14" s="65">
        <f>IF(SER_hh_tesh!F14=0,0,SER_hh_tesh!F14/SER_summary!F$26)</f>
        <v>83.302347644915187</v>
      </c>
      <c r="G14" s="65">
        <f>IF(SER_hh_tesh!G14=0,0,SER_hh_tesh!G14/SER_summary!G$26)</f>
        <v>80.664177002098114</v>
      </c>
      <c r="H14" s="65">
        <f>IF(SER_hh_tesh!H14=0,0,SER_hh_tesh!H14/SER_summary!H$26)</f>
        <v>81.4645783671901</v>
      </c>
      <c r="I14" s="65">
        <f>IF(SER_hh_tesh!I14=0,0,SER_hh_tesh!I14/SER_summary!I$26)</f>
        <v>81.4541404184763</v>
      </c>
      <c r="J14" s="65">
        <f>IF(SER_hh_tesh!J14=0,0,SER_hh_tesh!J14/SER_summary!J$26)</f>
        <v>80.354650142429193</v>
      </c>
      <c r="K14" s="65">
        <f>IF(SER_hh_tesh!K14=0,0,SER_hh_tesh!K14/SER_summary!K$26)</f>
        <v>71.852113027888294</v>
      </c>
      <c r="L14" s="65">
        <f>IF(SER_hh_tesh!L14=0,0,SER_hh_tesh!L14/SER_summary!L$26)</f>
        <v>80.860539773934974</v>
      </c>
      <c r="M14" s="65">
        <f>IF(SER_hh_tesh!M14=0,0,SER_hh_tesh!M14/SER_summary!M$26)</f>
        <v>75.33701507843854</v>
      </c>
      <c r="N14" s="65">
        <f>IF(SER_hh_tesh!N14=0,0,SER_hh_tesh!N14/SER_summary!N$26)</f>
        <v>70.909271499620445</v>
      </c>
      <c r="O14" s="65">
        <f>IF(SER_hh_tesh!O14=0,0,SER_hh_tesh!O14/SER_summary!O$26)</f>
        <v>63.417632592285074</v>
      </c>
      <c r="P14" s="65">
        <f>IF(SER_hh_tesh!P14=0,0,SER_hh_tesh!P14/SER_summary!P$26)</f>
        <v>65.991128888814728</v>
      </c>
      <c r="Q14" s="65">
        <f>IF(SER_hh_tesh!Q14=0,0,SER_hh_tesh!Q14/SER_summary!Q$26)</f>
        <v>55.59913434332563</v>
      </c>
      <c r="R14" s="65">
        <f>IF(SER_hh_tesh!R14=0,0,SER_hh_tesh!R14/SER_summary!R$26)</f>
        <v>67.863250228553667</v>
      </c>
      <c r="S14" s="65">
        <f>IF(SER_hh_tesh!S14=0,0,SER_hh_tesh!S14/SER_summary!S$26)</f>
        <v>77.480579239504976</v>
      </c>
      <c r="T14" s="65">
        <f>IF(SER_hh_tesh!T14=0,0,SER_hh_tesh!T14/SER_summary!T$26)</f>
        <v>70.196003639460471</v>
      </c>
      <c r="U14" s="65">
        <f>IF(SER_hh_tesh!U14=0,0,SER_hh_tesh!U14/SER_summary!U$26)</f>
        <v>62.278730578759486</v>
      </c>
      <c r="V14" s="65">
        <f>IF(SER_hh_tesh!V14=0,0,SER_hh_tesh!V14/SER_summary!V$26)</f>
        <v>25.508874663691429</v>
      </c>
      <c r="W14" s="65">
        <f>IF(SER_hh_tesh!W14=0,0,SER_hh_tesh!W14/SER_summary!W$26)</f>
        <v>92.25279008536242</v>
      </c>
      <c r="X14" s="65">
        <f>IF(SER_hh_tesh!X14=0,0,SER_hh_tesh!X14/SER_summary!X$26)</f>
        <v>100.21674436193385</v>
      </c>
      <c r="Y14" s="65">
        <f>IF(SER_hh_tesh!Y14=0,0,SER_hh_tesh!Y14/SER_summary!Y$26)</f>
        <v>7.3109691955568694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0.69166776893732862</v>
      </c>
      <c r="C15" s="134">
        <f>IF(SER_hh_tesh!C15=0,0,SER_hh_tesh!C15/SER_summary!C$26)</f>
        <v>0.67584600472095901</v>
      </c>
      <c r="D15" s="134">
        <f>IF(SER_hh_tesh!D15=0,0,SER_hh_tesh!D15/SER_summary!D$26)</f>
        <v>0.64939172616748198</v>
      </c>
      <c r="E15" s="134">
        <f>IF(SER_hh_tesh!E15=0,0,SER_hh_tesh!E15/SER_summary!E$26)</f>
        <v>0.66952932412284605</v>
      </c>
      <c r="F15" s="134">
        <f>IF(SER_hh_tesh!F15=0,0,SER_hh_tesh!F15/SER_summary!F$26)</f>
        <v>0.64482590590704425</v>
      </c>
      <c r="G15" s="134">
        <f>IF(SER_hh_tesh!G15=0,0,SER_hh_tesh!G15/SER_summary!G$26)</f>
        <v>0.61982856655693908</v>
      </c>
      <c r="H15" s="134">
        <f>IF(SER_hh_tesh!H15=0,0,SER_hh_tesh!H15/SER_summary!H$26)</f>
        <v>0.61722485144905903</v>
      </c>
      <c r="I15" s="134">
        <f>IF(SER_hh_tesh!I15=0,0,SER_hh_tesh!I15/SER_summary!I$26)</f>
        <v>0.55484621346707319</v>
      </c>
      <c r="J15" s="134">
        <f>IF(SER_hh_tesh!J15=0,0,SER_hh_tesh!J15/SER_summary!J$26)</f>
        <v>0.541598988751683</v>
      </c>
      <c r="K15" s="134">
        <f>IF(SER_hh_tesh!K15=0,0,SER_hh_tesh!K15/SER_summary!K$26)</f>
        <v>0.51663754985885724</v>
      </c>
      <c r="L15" s="134">
        <f>IF(SER_hh_tesh!L15=0,0,SER_hh_tesh!L15/SER_summary!L$26)</f>
        <v>0.53321472324221386</v>
      </c>
      <c r="M15" s="134">
        <f>IF(SER_hh_tesh!M15=0,0,SER_hh_tesh!M15/SER_summary!M$26)</f>
        <v>0.42872719859433456</v>
      </c>
      <c r="N15" s="134">
        <f>IF(SER_hh_tesh!N15=0,0,SER_hh_tesh!N15/SER_summary!N$26)</f>
        <v>0.45585861229780816</v>
      </c>
      <c r="O15" s="134">
        <f>IF(SER_hh_tesh!O15=0,0,SER_hh_tesh!O15/SER_summary!O$26)</f>
        <v>0.45434236852012244</v>
      </c>
      <c r="P15" s="134">
        <f>IF(SER_hh_tesh!P15=0,0,SER_hh_tesh!P15/SER_summary!P$26)</f>
        <v>0.36843841020863682</v>
      </c>
      <c r="Q15" s="134">
        <f>IF(SER_hh_tesh!Q15=0,0,SER_hh_tesh!Q15/SER_summary!Q$26)</f>
        <v>0.41675658829443107</v>
      </c>
      <c r="R15" s="134">
        <f>IF(SER_hh_tesh!R15=0,0,SER_hh_tesh!R15/SER_summary!R$26)</f>
        <v>0.43177670814979735</v>
      </c>
      <c r="S15" s="134">
        <f>IF(SER_hh_tesh!S15=0,0,SER_hh_tesh!S15/SER_summary!S$26)</f>
        <v>0.44671164883978287</v>
      </c>
      <c r="T15" s="134">
        <f>IF(SER_hh_tesh!T15=0,0,SER_hh_tesh!T15/SER_summary!T$26)</f>
        <v>0.40638065065751405</v>
      </c>
      <c r="U15" s="134">
        <f>IF(SER_hh_tesh!U15=0,0,SER_hh_tesh!U15/SER_summary!U$26)</f>
        <v>0.38634477031686382</v>
      </c>
      <c r="V15" s="134">
        <f>IF(SER_hh_tesh!V15=0,0,SER_hh_tesh!V15/SER_summary!V$26)</f>
        <v>0.39802601960594597</v>
      </c>
      <c r="W15" s="134">
        <f>IF(SER_hh_tesh!W15=0,0,SER_hh_tesh!W15/SER_summary!W$26)</f>
        <v>0.4870387892138931</v>
      </c>
      <c r="X15" s="134">
        <f>IF(SER_hh_tesh!X15=0,0,SER_hh_tesh!X15/SER_summary!X$26)</f>
        <v>0.41844590584614533</v>
      </c>
      <c r="Y15" s="134">
        <f>IF(SER_hh_tesh!Y15=0,0,SER_hh_tesh!Y15/SER_summary!Y$26)</f>
        <v>0.40548148825284264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26.155517773209098</v>
      </c>
      <c r="C16" s="130">
        <f>IF(SER_hh_tesh!C16=0,0,SER_hh_tesh!C16/SER_summary!C$26)</f>
        <v>26.177826050416421</v>
      </c>
      <c r="D16" s="130">
        <f>IF(SER_hh_tesh!D16=0,0,SER_hh_tesh!D16/SER_summary!D$26)</f>
        <v>26.219902917168039</v>
      </c>
      <c r="E16" s="130">
        <f>IF(SER_hh_tesh!E16=0,0,SER_hh_tesh!E16/SER_summary!E$26)</f>
        <v>26.240841500638282</v>
      </c>
      <c r="F16" s="130">
        <f>IF(SER_hh_tesh!F16=0,0,SER_hh_tesh!F16/SER_summary!F$26)</f>
        <v>26.276679835613972</v>
      </c>
      <c r="G16" s="130">
        <f>IF(SER_hh_tesh!G16=0,0,SER_hh_tesh!G16/SER_summary!G$26)</f>
        <v>26.315002345866827</v>
      </c>
      <c r="H16" s="130">
        <f>IF(SER_hh_tesh!H16=0,0,SER_hh_tesh!H16/SER_summary!H$26)</f>
        <v>26.360316376113712</v>
      </c>
      <c r="I16" s="130">
        <f>IF(SER_hh_tesh!I16=0,0,SER_hh_tesh!I16/SER_summary!I$26)</f>
        <v>26.398525875580667</v>
      </c>
      <c r="J16" s="130">
        <f>IF(SER_hh_tesh!J16=0,0,SER_hh_tesh!J16/SER_summary!J$26)</f>
        <v>26.438639937045792</v>
      </c>
      <c r="K16" s="130">
        <f>IF(SER_hh_tesh!K16=0,0,SER_hh_tesh!K16/SER_summary!K$26)</f>
        <v>26.480598004360679</v>
      </c>
      <c r="L16" s="130">
        <f>IF(SER_hh_tesh!L16=0,0,SER_hh_tesh!L16/SER_summary!L$26)</f>
        <v>26.630123906139307</v>
      </c>
      <c r="M16" s="130">
        <f>IF(SER_hh_tesh!M16=0,0,SER_hh_tesh!M16/SER_summary!M$26)</f>
        <v>26.568668043854519</v>
      </c>
      <c r="N16" s="130">
        <f>IF(SER_hh_tesh!N16=0,0,SER_hh_tesh!N16/SER_summary!N$26)</f>
        <v>26.645900601425218</v>
      </c>
      <c r="O16" s="130">
        <f>IF(SER_hh_tesh!O16=0,0,SER_hh_tesh!O16/SER_summary!O$26)</f>
        <v>26.699743730640211</v>
      </c>
      <c r="P16" s="130">
        <f>IF(SER_hh_tesh!P16=0,0,SER_hh_tesh!P16/SER_summary!P$26)</f>
        <v>26.886842243715662</v>
      </c>
      <c r="Q16" s="130">
        <f>IF(SER_hh_tesh!Q16=0,0,SER_hh_tesh!Q16/SER_summary!Q$26)</f>
        <v>26.942693252413914</v>
      </c>
      <c r="R16" s="130">
        <f>IF(SER_hh_tesh!R16=0,0,SER_hh_tesh!R16/SER_summary!R$26)</f>
        <v>27.182568758938611</v>
      </c>
      <c r="S16" s="130">
        <f>IF(SER_hh_tesh!S16=0,0,SER_hh_tesh!S16/SER_summary!S$26)</f>
        <v>27.223542533860154</v>
      </c>
      <c r="T16" s="130">
        <f>IF(SER_hh_tesh!T16=0,0,SER_hh_tesh!T16/SER_summary!T$26)</f>
        <v>28.287463773527151</v>
      </c>
      <c r="U16" s="130">
        <f>IF(SER_hh_tesh!U16=0,0,SER_hh_tesh!U16/SER_summary!U$26)</f>
        <v>27.411468366778426</v>
      </c>
      <c r="V16" s="130">
        <f>IF(SER_hh_tesh!V16=0,0,SER_hh_tesh!V16/SER_summary!V$26)</f>
        <v>25.821307360065713</v>
      </c>
      <c r="W16" s="130">
        <f>IF(SER_hh_tesh!W16=0,0,SER_hh_tesh!W16/SER_summary!W$26)</f>
        <v>25.911663639238586</v>
      </c>
      <c r="X16" s="130">
        <f>IF(SER_hh_tesh!X16=0,0,SER_hh_tesh!X16/SER_summary!X$26)</f>
        <v>26.337417862999903</v>
      </c>
      <c r="Y16" s="130">
        <f>IF(SER_hh_tesh!Y16=0,0,SER_hh_tesh!Y16/SER_summary!Y$26)</f>
        <v>25.487373112829623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26.155517773209102</v>
      </c>
      <c r="C17" s="132">
        <f>IF(SER_hh_tesh!C17=0,0,SER_hh_tesh!C17/SER_summary!C$26)</f>
        <v>26.177826050416449</v>
      </c>
      <c r="D17" s="132">
        <f>IF(SER_hh_tesh!D17=0,0,SER_hh_tesh!D17/SER_summary!D$26)</f>
        <v>26.219902917167865</v>
      </c>
      <c r="E17" s="132">
        <f>IF(SER_hh_tesh!E17=0,0,SER_hh_tesh!E17/SER_summary!E$26)</f>
        <v>26.240841500638307</v>
      </c>
      <c r="F17" s="132">
        <f>IF(SER_hh_tesh!F17=0,0,SER_hh_tesh!F17/SER_summary!F$26)</f>
        <v>26.276679835614328</v>
      </c>
      <c r="G17" s="132">
        <f>IF(SER_hh_tesh!G17=0,0,SER_hh_tesh!G17/SER_summary!G$26)</f>
        <v>26.315002345866976</v>
      </c>
      <c r="H17" s="132">
        <f>IF(SER_hh_tesh!H17=0,0,SER_hh_tesh!H17/SER_summary!H$26)</f>
        <v>26.360316376113708</v>
      </c>
      <c r="I17" s="132">
        <f>IF(SER_hh_tesh!I17=0,0,SER_hh_tesh!I17/SER_summary!I$26)</f>
        <v>26.398525875580564</v>
      </c>
      <c r="J17" s="132">
        <f>IF(SER_hh_tesh!J17=0,0,SER_hh_tesh!J17/SER_summary!J$26)</f>
        <v>26.438639937045789</v>
      </c>
      <c r="K17" s="132">
        <f>IF(SER_hh_tesh!K17=0,0,SER_hh_tesh!K17/SER_summary!K$26)</f>
        <v>26.480598004360665</v>
      </c>
      <c r="L17" s="132">
        <f>IF(SER_hh_tesh!L17=0,0,SER_hh_tesh!L17/SER_summary!L$26)</f>
        <v>26.630123906139186</v>
      </c>
      <c r="M17" s="132">
        <f>IF(SER_hh_tesh!M17=0,0,SER_hh_tesh!M17/SER_summary!M$26)</f>
        <v>26.568668043854473</v>
      </c>
      <c r="N17" s="132">
        <f>IF(SER_hh_tesh!N17=0,0,SER_hh_tesh!N17/SER_summary!N$26)</f>
        <v>26.645900601425147</v>
      </c>
      <c r="O17" s="132">
        <f>IF(SER_hh_tesh!O17=0,0,SER_hh_tesh!O17/SER_summary!O$26)</f>
        <v>26.699743730640709</v>
      </c>
      <c r="P17" s="132">
        <f>IF(SER_hh_tesh!P17=0,0,SER_hh_tesh!P17/SER_summary!P$26)</f>
        <v>26.886842243716078</v>
      </c>
      <c r="Q17" s="132">
        <f>IF(SER_hh_tesh!Q17=0,0,SER_hh_tesh!Q17/SER_summary!Q$26)</f>
        <v>26.9426932524138</v>
      </c>
      <c r="R17" s="132">
        <f>IF(SER_hh_tesh!R17=0,0,SER_hh_tesh!R17/SER_summary!R$26)</f>
        <v>27.182568758937926</v>
      </c>
      <c r="S17" s="132">
        <f>IF(SER_hh_tesh!S17=0,0,SER_hh_tesh!S17/SER_summary!S$26)</f>
        <v>27.223542533859685</v>
      </c>
      <c r="T17" s="132">
        <f>IF(SER_hh_tesh!T17=0,0,SER_hh_tesh!T17/SER_summary!T$26)</f>
        <v>28.287463773526827</v>
      </c>
      <c r="U17" s="132">
        <f>IF(SER_hh_tesh!U17=0,0,SER_hh_tesh!U17/SER_summary!U$26)</f>
        <v>27.411468366778191</v>
      </c>
      <c r="V17" s="132">
        <f>IF(SER_hh_tesh!V17=0,0,SER_hh_tesh!V17/SER_summary!V$26)</f>
        <v>19.700098873896209</v>
      </c>
      <c r="W17" s="132">
        <f>IF(SER_hh_tesh!W17=0,0,SER_hh_tesh!W17/SER_summary!W$26)</f>
        <v>20.090286132677029</v>
      </c>
      <c r="X17" s="132">
        <f>IF(SER_hh_tesh!X17=0,0,SER_hh_tesh!X17/SER_summary!X$26)</f>
        <v>20.585983932308157</v>
      </c>
      <c r="Y17" s="132">
        <f>IF(SER_hh_tesh!Y17=0,0,SER_hh_tesh!Y17/SER_summary!Y$26)</f>
        <v>20.268832892753558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26.155517773209102</v>
      </c>
      <c r="C18" s="132">
        <f>IF(SER_hh_tesh!C18=0,0,SER_hh_tesh!C18/SER_summary!C$26)</f>
        <v>26.177826050416417</v>
      </c>
      <c r="D18" s="132">
        <f>IF(SER_hh_tesh!D18=0,0,SER_hh_tesh!D18/SER_summary!D$26)</f>
        <v>26.219902917168039</v>
      </c>
      <c r="E18" s="132">
        <f>IF(SER_hh_tesh!E18=0,0,SER_hh_tesh!E18/SER_summary!E$26)</f>
        <v>26.240841500638286</v>
      </c>
      <c r="F18" s="132">
        <f>IF(SER_hh_tesh!F18=0,0,SER_hh_tesh!F18/SER_summary!F$26)</f>
        <v>26.276679835613972</v>
      </c>
      <c r="G18" s="132">
        <f>IF(SER_hh_tesh!G18=0,0,SER_hh_tesh!G18/SER_summary!G$26)</f>
        <v>26.315002345866827</v>
      </c>
      <c r="H18" s="132">
        <f>IF(SER_hh_tesh!H18=0,0,SER_hh_tesh!H18/SER_summary!H$26)</f>
        <v>26.360316376113715</v>
      </c>
      <c r="I18" s="132">
        <f>IF(SER_hh_tesh!I18=0,0,SER_hh_tesh!I18/SER_summary!I$26)</f>
        <v>26.398525875580667</v>
      </c>
      <c r="J18" s="132">
        <f>IF(SER_hh_tesh!J18=0,0,SER_hh_tesh!J18/SER_summary!J$26)</f>
        <v>26.438639937045792</v>
      </c>
      <c r="K18" s="132">
        <f>IF(SER_hh_tesh!K18=0,0,SER_hh_tesh!K18/SER_summary!K$26)</f>
        <v>26.480598004360687</v>
      </c>
      <c r="L18" s="132">
        <f>IF(SER_hh_tesh!L18=0,0,SER_hh_tesh!L18/SER_summary!L$26)</f>
        <v>26.630123906139307</v>
      </c>
      <c r="M18" s="132">
        <f>IF(SER_hh_tesh!M18=0,0,SER_hh_tesh!M18/SER_summary!M$26)</f>
        <v>26.568668043854526</v>
      </c>
      <c r="N18" s="132">
        <f>IF(SER_hh_tesh!N18=0,0,SER_hh_tesh!N18/SER_summary!N$26)</f>
        <v>26.645900601425218</v>
      </c>
      <c r="O18" s="132">
        <f>IF(SER_hh_tesh!O18=0,0,SER_hh_tesh!O18/SER_summary!O$26)</f>
        <v>26.699743730640208</v>
      </c>
      <c r="P18" s="132">
        <f>IF(SER_hh_tesh!P18=0,0,SER_hh_tesh!P18/SER_summary!P$26)</f>
        <v>26.886842243715662</v>
      </c>
      <c r="Q18" s="132">
        <f>IF(SER_hh_tesh!Q18=0,0,SER_hh_tesh!Q18/SER_summary!Q$26)</f>
        <v>26.942693252413914</v>
      </c>
      <c r="R18" s="132">
        <f>IF(SER_hh_tesh!R18=0,0,SER_hh_tesh!R18/SER_summary!R$26)</f>
        <v>27.182568758938618</v>
      </c>
      <c r="S18" s="132">
        <f>IF(SER_hh_tesh!S18=0,0,SER_hh_tesh!S18/SER_summary!S$26)</f>
        <v>27.223542533860158</v>
      </c>
      <c r="T18" s="132">
        <f>IF(SER_hh_tesh!T18=0,0,SER_hh_tesh!T18/SER_summary!T$26)</f>
        <v>28.287463773527151</v>
      </c>
      <c r="U18" s="132">
        <f>IF(SER_hh_tesh!U18=0,0,SER_hh_tesh!U18/SER_summary!U$26)</f>
        <v>27.411468366778426</v>
      </c>
      <c r="V18" s="132">
        <f>IF(SER_hh_tesh!V18=0,0,SER_hh_tesh!V18/SER_summary!V$26)</f>
        <v>25.860987540579181</v>
      </c>
      <c r="W18" s="132">
        <f>IF(SER_hh_tesh!W18=0,0,SER_hh_tesh!W18/SER_summary!W$26)</f>
        <v>25.950225300966576</v>
      </c>
      <c r="X18" s="132">
        <f>IF(SER_hh_tesh!X18=0,0,SER_hh_tesh!X18/SER_summary!X$26)</f>
        <v>26.375297052097217</v>
      </c>
      <c r="Y18" s="132">
        <f>IF(SER_hh_tesh!Y18=0,0,SER_hh_tesh!Y18/SER_summary!Y$26)</f>
        <v>25.522151613495776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10.591295827260399</v>
      </c>
      <c r="C19" s="130">
        <f>IF(SER_hh_tesh!C19=0,0,SER_hh_tesh!C19/SER_summary!C$26)</f>
        <v>10.494428919281509</v>
      </c>
      <c r="D19" s="130">
        <f>IF(SER_hh_tesh!D19=0,0,SER_hh_tesh!D19/SER_summary!D$26)</f>
        <v>10.426954441110382</v>
      </c>
      <c r="E19" s="130">
        <f>IF(SER_hh_tesh!E19=0,0,SER_hh_tesh!E19/SER_summary!E$26)</f>
        <v>10.358464468527625</v>
      </c>
      <c r="F19" s="130">
        <f>IF(SER_hh_tesh!F19=0,0,SER_hh_tesh!F19/SER_summary!F$26)</f>
        <v>10.306719319450112</v>
      </c>
      <c r="G19" s="130">
        <f>IF(SER_hh_tesh!G19=0,0,SER_hh_tesh!G19/SER_summary!G$26)</f>
        <v>10.322420741176371</v>
      </c>
      <c r="H19" s="130">
        <f>IF(SER_hh_tesh!H19=0,0,SER_hh_tesh!H19/SER_summary!H$26)</f>
        <v>10.332263942404577</v>
      </c>
      <c r="I19" s="130">
        <f>IF(SER_hh_tesh!I19=0,0,SER_hh_tesh!I19/SER_summary!I$26)</f>
        <v>10.287079526554352</v>
      </c>
      <c r="J19" s="130">
        <f>IF(SER_hh_tesh!J19=0,0,SER_hh_tesh!J19/SER_summary!J$26)</f>
        <v>10.318598654886873</v>
      </c>
      <c r="K19" s="130">
        <f>IF(SER_hh_tesh!K19=0,0,SER_hh_tesh!K19/SER_summary!K$26)</f>
        <v>10.319124788290516</v>
      </c>
      <c r="L19" s="130">
        <f>IF(SER_hh_tesh!L19=0,0,SER_hh_tesh!L19/SER_summary!L$26)</f>
        <v>10.239712029339303</v>
      </c>
      <c r="M19" s="130">
        <f>IF(SER_hh_tesh!M19=0,0,SER_hh_tesh!M19/SER_summary!M$26)</f>
        <v>10.391400988413478</v>
      </c>
      <c r="N19" s="130">
        <f>IF(SER_hh_tesh!N19=0,0,SER_hh_tesh!N19/SER_summary!N$26)</f>
        <v>10.535122597050886</v>
      </c>
      <c r="O19" s="130">
        <f>IF(SER_hh_tesh!O19=0,0,SER_hh_tesh!O19/SER_summary!O$26)</f>
        <v>10.599272435632606</v>
      </c>
      <c r="P19" s="130">
        <f>IF(SER_hh_tesh!P19=0,0,SER_hh_tesh!P19/SER_summary!P$26)</f>
        <v>10.726058904797981</v>
      </c>
      <c r="Q19" s="130">
        <f>IF(SER_hh_tesh!Q19=0,0,SER_hh_tesh!Q19/SER_summary!Q$26)</f>
        <v>10.767687913888219</v>
      </c>
      <c r="R19" s="130">
        <f>IF(SER_hh_tesh!R19=0,0,SER_hh_tesh!R19/SER_summary!R$26)</f>
        <v>10.808417705623919</v>
      </c>
      <c r="S19" s="130">
        <f>IF(SER_hh_tesh!S19=0,0,SER_hh_tesh!S19/SER_summary!S$26)</f>
        <v>10.921123555796932</v>
      </c>
      <c r="T19" s="130">
        <f>IF(SER_hh_tesh!T19=0,0,SER_hh_tesh!T19/SER_summary!T$26)</f>
        <v>10.792745768949928</v>
      </c>
      <c r="U19" s="130">
        <f>IF(SER_hh_tesh!U19=0,0,SER_hh_tesh!U19/SER_summary!U$26)</f>
        <v>10.61134193845421</v>
      </c>
      <c r="V19" s="130">
        <f>IF(SER_hh_tesh!V19=0,0,SER_hh_tesh!V19/SER_summary!V$26)</f>
        <v>9.1548335753638721</v>
      </c>
      <c r="W19" s="130">
        <f>IF(SER_hh_tesh!W19=0,0,SER_hh_tesh!W19/SER_summary!W$26)</f>
        <v>9.9451782997674698</v>
      </c>
      <c r="X19" s="130">
        <f>IF(SER_hh_tesh!X19=0,0,SER_hh_tesh!X19/SER_summary!X$26)</f>
        <v>10.35764811130897</v>
      </c>
      <c r="Y19" s="130">
        <f>IF(SER_hh_tesh!Y19=0,0,SER_hh_tesh!Y19/SER_summary!Y$26)</f>
        <v>10.430854678970308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10.654346536372941</v>
      </c>
      <c r="C22" s="132">
        <f>IF(SER_hh_tesh!C22=0,0,SER_hh_tesh!C22/SER_summary!C$26)</f>
        <v>10.422704874972556</v>
      </c>
      <c r="D22" s="132">
        <f>IF(SER_hh_tesh!D22=0,0,SER_hh_tesh!D22/SER_summary!D$26)</f>
        <v>10.349769371606826</v>
      </c>
      <c r="E22" s="132">
        <f>IF(SER_hh_tesh!E22=0,0,SER_hh_tesh!E22/SER_summary!E$26)</f>
        <v>10.37148438105705</v>
      </c>
      <c r="F22" s="132">
        <f>IF(SER_hh_tesh!F22=0,0,SER_hh_tesh!F22/SER_summary!F$26)</f>
        <v>10.510620979320619</v>
      </c>
      <c r="G22" s="132">
        <f>IF(SER_hh_tesh!G22=0,0,SER_hh_tesh!G22/SER_summary!G$26)</f>
        <v>10.687997281672708</v>
      </c>
      <c r="H22" s="132">
        <f>IF(SER_hh_tesh!H22=0,0,SER_hh_tesh!H22/SER_summary!H$26)</f>
        <v>10.12605911507843</v>
      </c>
      <c r="I22" s="132">
        <f>IF(SER_hh_tesh!I22=0,0,SER_hh_tesh!I22/SER_summary!I$26)</f>
        <v>9.724309604150708</v>
      </c>
      <c r="J22" s="132">
        <f>IF(SER_hh_tesh!J22=0,0,SER_hh_tesh!J22/SER_summary!J$26)</f>
        <v>10.239197530675305</v>
      </c>
      <c r="K22" s="132">
        <f>IF(SER_hh_tesh!K22=0,0,SER_hh_tesh!K22/SER_summary!K$26)</f>
        <v>10.520061157107728</v>
      </c>
      <c r="L22" s="132">
        <f>IF(SER_hh_tesh!L22=0,0,SER_hh_tesh!L22/SER_summary!L$26)</f>
        <v>10.427290740638526</v>
      </c>
      <c r="M22" s="132">
        <f>IF(SER_hh_tesh!M22=0,0,SER_hh_tesh!M22/SER_summary!M$26)</f>
        <v>9.8184898018289601</v>
      </c>
      <c r="N22" s="132">
        <f>IF(SER_hh_tesh!N22=0,0,SER_hh_tesh!N22/SER_summary!N$26)</f>
        <v>10.320697909595912</v>
      </c>
      <c r="O22" s="132">
        <f>IF(SER_hh_tesh!O22=0,0,SER_hh_tesh!O22/SER_summary!O$26)</f>
        <v>10.718107272523655</v>
      </c>
      <c r="P22" s="132">
        <f>IF(SER_hh_tesh!P22=0,0,SER_hh_tesh!P22/SER_summary!P$26)</f>
        <v>10.716731107648434</v>
      </c>
      <c r="Q22" s="132">
        <f>IF(SER_hh_tesh!Q22=0,0,SER_hh_tesh!Q22/SER_summary!Q$26)</f>
        <v>10.743381658956157</v>
      </c>
      <c r="R22" s="132">
        <f>IF(SER_hh_tesh!R22=0,0,SER_hh_tesh!R22/SER_summary!R$26)</f>
        <v>11.133181436436356</v>
      </c>
      <c r="S22" s="132">
        <f>IF(SER_hh_tesh!S22=0,0,SER_hh_tesh!S22/SER_summary!S$26)</f>
        <v>10.929539339334744</v>
      </c>
      <c r="T22" s="132">
        <f>IF(SER_hh_tesh!T22=0,0,SER_hh_tesh!T22/SER_summary!T$26)</f>
        <v>12.272723249791762</v>
      </c>
      <c r="U22" s="132">
        <f>IF(SER_hh_tesh!U22=0,0,SER_hh_tesh!U22/SER_summary!U$26)</f>
        <v>7.5164243637119181</v>
      </c>
      <c r="V22" s="132">
        <f>IF(SER_hh_tesh!V22=0,0,SER_hh_tesh!V22/SER_summary!V$26)</f>
        <v>9.7207690651309537</v>
      </c>
      <c r="W22" s="132">
        <f>IF(SER_hh_tesh!W22=0,0,SER_hh_tesh!W22/SER_summary!W$26)</f>
        <v>8.226039103578918</v>
      </c>
      <c r="X22" s="132">
        <f>IF(SER_hh_tesh!X22=0,0,SER_hh_tesh!X22/SER_summary!X$26)</f>
        <v>11.341289663250961</v>
      </c>
      <c r="Y22" s="132">
        <f>IF(SER_hh_tesh!Y22=0,0,SER_hh_tesh!Y22/SER_summary!Y$26)</f>
        <v>9.8803444310256907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10.485213399653212</v>
      </c>
      <c r="C23" s="132">
        <f>IF(SER_hh_tesh!C23=0,0,SER_hh_tesh!C23/SER_summary!C$26)</f>
        <v>10.274763500651648</v>
      </c>
      <c r="D23" s="132">
        <f>IF(SER_hh_tesh!D23=0,0,SER_hh_tesh!D23/SER_summary!D$26)</f>
        <v>9.9177981365385239</v>
      </c>
      <c r="E23" s="132">
        <f>IF(SER_hh_tesh!E23=0,0,SER_hh_tesh!E23/SER_summary!E$26)</f>
        <v>10.719962831102416</v>
      </c>
      <c r="F23" s="132">
        <f>IF(SER_hh_tesh!F23=0,0,SER_hh_tesh!F23/SER_summary!F$26)</f>
        <v>10.072400072904173</v>
      </c>
      <c r="G23" s="132">
        <f>IF(SER_hh_tesh!G23=0,0,SER_hh_tesh!G23/SER_summary!G$26)</f>
        <v>10.341135477626237</v>
      </c>
      <c r="H23" s="132">
        <f>IF(SER_hh_tesh!H23=0,0,SER_hh_tesh!H23/SER_summary!H$26)</f>
        <v>10.640760006955011</v>
      </c>
      <c r="I23" s="132">
        <f>IF(SER_hh_tesh!I23=0,0,SER_hh_tesh!I23/SER_summary!I$26)</f>
        <v>10.319958836535816</v>
      </c>
      <c r="J23" s="132">
        <f>IF(SER_hh_tesh!J23=0,0,SER_hh_tesh!J23/SER_summary!J$26)</f>
        <v>10.285763698050662</v>
      </c>
      <c r="K23" s="132">
        <f>IF(SER_hh_tesh!K23=0,0,SER_hh_tesh!K23/SER_summary!K$26)</f>
        <v>10.45536152613623</v>
      </c>
      <c r="L23" s="132">
        <f>IF(SER_hh_tesh!L23=0,0,SER_hh_tesh!L23/SER_summary!L$26)</f>
        <v>10.831541399980665</v>
      </c>
      <c r="M23" s="132">
        <f>IF(SER_hh_tesh!M23=0,0,SER_hh_tesh!M23/SER_summary!M$26)</f>
        <v>9.7926469731192309</v>
      </c>
      <c r="N23" s="132">
        <f>IF(SER_hh_tesh!N23=0,0,SER_hh_tesh!N23/SER_summary!N$26)</f>
        <v>10.335299077206225</v>
      </c>
      <c r="O23" s="132">
        <f>IF(SER_hh_tesh!O23=0,0,SER_hh_tesh!O23/SER_summary!O$26)</f>
        <v>10.668116629031509</v>
      </c>
      <c r="P23" s="132">
        <f>IF(SER_hh_tesh!P23=0,0,SER_hh_tesh!P23/SER_summary!P$26)</f>
        <v>9.7579916338640746</v>
      </c>
      <c r="Q23" s="132">
        <f>IF(SER_hh_tesh!Q23=0,0,SER_hh_tesh!Q23/SER_summary!Q$26)</f>
        <v>10.897007362862142</v>
      </c>
      <c r="R23" s="132">
        <f>IF(SER_hh_tesh!R23=0,0,SER_hh_tesh!R23/SER_summary!R$26)</f>
        <v>10.827175271680371</v>
      </c>
      <c r="S23" s="132">
        <f>IF(SER_hh_tesh!S23=0,0,SER_hh_tesh!S23/SER_summary!S$26)</f>
        <v>11.025147794364582</v>
      </c>
      <c r="T23" s="132">
        <f>IF(SER_hh_tesh!T23=0,0,SER_hh_tesh!T23/SER_summary!T$26)</f>
        <v>10.820895793566411</v>
      </c>
      <c r="U23" s="132">
        <f>IF(SER_hh_tesh!U23=0,0,SER_hh_tesh!U23/SER_summary!U$26)</f>
        <v>11.373932023926617</v>
      </c>
      <c r="V23" s="132">
        <f>IF(SER_hh_tesh!V23=0,0,SER_hh_tesh!V23/SER_summary!V$26)</f>
        <v>7.7782554847502885</v>
      </c>
      <c r="W23" s="132">
        <f>IF(SER_hh_tesh!W23=0,0,SER_hh_tesh!W23/SER_summary!W$26)</f>
        <v>10.980164029331439</v>
      </c>
      <c r="X23" s="132">
        <f>IF(SER_hh_tesh!X23=0,0,SER_hh_tesh!X23/SER_summary!X$26)</f>
        <v>9.6217515135054619</v>
      </c>
      <c r="Y23" s="132">
        <f>IF(SER_hh_tesh!Y23=0,0,SER_hh_tesh!Y23/SER_summary!Y$26)</f>
        <v>10.209202189856549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10.132224903323557</v>
      </c>
      <c r="C24" s="132">
        <f>IF(SER_hh_tesh!C24=0,0,SER_hh_tesh!C24/SER_summary!C$26)</f>
        <v>10.677932121933212</v>
      </c>
      <c r="D24" s="132">
        <f>IF(SER_hh_tesh!D24=0,0,SER_hh_tesh!D24/SER_summary!D$26)</f>
        <v>10.495352798334173</v>
      </c>
      <c r="E24" s="132">
        <f>IF(SER_hh_tesh!E24=0,0,SER_hh_tesh!E24/SER_summary!E$26)</f>
        <v>10.295723318666315</v>
      </c>
      <c r="F24" s="132">
        <f>IF(SER_hh_tesh!F24=0,0,SER_hh_tesh!F24/SER_summary!F$26)</f>
        <v>10.204559773164299</v>
      </c>
      <c r="G24" s="132">
        <f>IF(SER_hh_tesh!G24=0,0,SER_hh_tesh!G24/SER_summary!G$26)</f>
        <v>10.315733547427076</v>
      </c>
      <c r="H24" s="132">
        <f>IF(SER_hh_tesh!H24=0,0,SER_hh_tesh!H24/SER_summary!H$26)</f>
        <v>10.261360204908039</v>
      </c>
      <c r="I24" s="132">
        <f>IF(SER_hh_tesh!I24=0,0,SER_hh_tesh!I24/SER_summary!I$26)</f>
        <v>10.26221730929722</v>
      </c>
      <c r="J24" s="132">
        <f>IF(SER_hh_tesh!J24=0,0,SER_hh_tesh!J24/SER_summary!J$26)</f>
        <v>10.247831484233675</v>
      </c>
      <c r="K24" s="132">
        <f>IF(SER_hh_tesh!K24=0,0,SER_hh_tesh!K24/SER_summary!K$26)</f>
        <v>10.261619488402681</v>
      </c>
      <c r="L24" s="132">
        <f>IF(SER_hh_tesh!L24=0,0,SER_hh_tesh!L24/SER_summary!L$26)</f>
        <v>10.21886370110669</v>
      </c>
      <c r="M24" s="132">
        <f>IF(SER_hh_tesh!M24=0,0,SER_hh_tesh!M24/SER_summary!M$26)</f>
        <v>10.366571058147574</v>
      </c>
      <c r="N24" s="132">
        <f>IF(SER_hh_tesh!N24=0,0,SER_hh_tesh!N24/SER_summary!N$26)</f>
        <v>10.617048025430536</v>
      </c>
      <c r="O24" s="132">
        <f>IF(SER_hh_tesh!O24=0,0,SER_hh_tesh!O24/SER_summary!O$26)</f>
        <v>10.623296903841414</v>
      </c>
      <c r="P24" s="132">
        <f>IF(SER_hh_tesh!P24=0,0,SER_hh_tesh!P24/SER_summary!P$26)</f>
        <v>10.40503216096406</v>
      </c>
      <c r="Q24" s="132">
        <f>IF(SER_hh_tesh!Q24=0,0,SER_hh_tesh!Q24/SER_summary!Q$26)</f>
        <v>10.228295295142217</v>
      </c>
      <c r="R24" s="132">
        <f>IF(SER_hh_tesh!R24=0,0,SER_hh_tesh!R24/SER_summary!R$26)</f>
        <v>10.816302799605925</v>
      </c>
      <c r="S24" s="132">
        <f>IF(SER_hh_tesh!S24=0,0,SER_hh_tesh!S24/SER_summary!S$26)</f>
        <v>11.131160869097849</v>
      </c>
      <c r="T24" s="132">
        <f>IF(SER_hh_tesh!T24=0,0,SER_hh_tesh!T24/SER_summary!T$26)</f>
        <v>12.175974514853344</v>
      </c>
      <c r="U24" s="132">
        <f>IF(SER_hh_tesh!U24=0,0,SER_hh_tesh!U24/SER_summary!U$26)</f>
        <v>10.575295518379178</v>
      </c>
      <c r="V24" s="132">
        <f>IF(SER_hh_tesh!V24=0,0,SER_hh_tesh!V24/SER_summary!V$26)</f>
        <v>9.4707814959059835</v>
      </c>
      <c r="W24" s="132">
        <f>IF(SER_hh_tesh!W24=0,0,SER_hh_tesh!W24/SER_summary!W$26)</f>
        <v>10.510529082467837</v>
      </c>
      <c r="X24" s="132">
        <f>IF(SER_hh_tesh!X24=0,0,SER_hh_tesh!X24/SER_summary!X$26)</f>
        <v>9.8493354803617539</v>
      </c>
      <c r="Y24" s="132">
        <f>IF(SER_hh_tesh!Y24=0,0,SER_hh_tesh!Y24/SER_summary!Y$26)</f>
        <v>10.081444970408343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10.466648962371931</v>
      </c>
      <c r="C25" s="132">
        <f>IF(SER_hh_tesh!C25=0,0,SER_hh_tesh!C25/SER_summary!C$26)</f>
        <v>10.611426764440816</v>
      </c>
      <c r="D25" s="132">
        <f>IF(SER_hh_tesh!D25=0,0,SER_hh_tesh!D25/SER_summary!D$26)</f>
        <v>10.412909671064472</v>
      </c>
      <c r="E25" s="132">
        <f>IF(SER_hh_tesh!E25=0,0,SER_hh_tesh!E25/SER_summary!E$26)</f>
        <v>10.348391238304227</v>
      </c>
      <c r="F25" s="132">
        <f>IF(SER_hh_tesh!F25=0,0,SER_hh_tesh!F25/SER_summary!F$26)</f>
        <v>10.305060180029992</v>
      </c>
      <c r="G25" s="132">
        <f>IF(SER_hh_tesh!G25=0,0,SER_hh_tesh!G25/SER_summary!G$26)</f>
        <v>10.343722445015942</v>
      </c>
      <c r="H25" s="132">
        <f>IF(SER_hh_tesh!H25=0,0,SER_hh_tesh!H25/SER_summary!H$26)</f>
        <v>10.187314044984365</v>
      </c>
      <c r="I25" s="132">
        <f>IF(SER_hh_tesh!I25=0,0,SER_hh_tesh!I25/SER_summary!I$26)</f>
        <v>10.092852646632343</v>
      </c>
      <c r="J25" s="132">
        <f>IF(SER_hh_tesh!J25=0,0,SER_hh_tesh!J25/SER_summary!J$26)</f>
        <v>10.137166303201049</v>
      </c>
      <c r="K25" s="132">
        <f>IF(SER_hh_tesh!K25=0,0,SER_hh_tesh!K25/SER_summary!K$26)</f>
        <v>10.214095434881715</v>
      </c>
      <c r="L25" s="132">
        <f>IF(SER_hh_tesh!L25=0,0,SER_hh_tesh!L25/SER_summary!L$26)</f>
        <v>10.362380116357167</v>
      </c>
      <c r="M25" s="132">
        <f>IF(SER_hh_tesh!M25=0,0,SER_hh_tesh!M25/SER_summary!M$26)</f>
        <v>10.435205205769616</v>
      </c>
      <c r="N25" s="132">
        <f>IF(SER_hh_tesh!N25=0,0,SER_hh_tesh!N25/SER_summary!N$26)</f>
        <v>10.41000411846024</v>
      </c>
      <c r="O25" s="132">
        <f>IF(SER_hh_tesh!O25=0,0,SER_hh_tesh!O25/SER_summary!O$26)</f>
        <v>10.468500968551021</v>
      </c>
      <c r="P25" s="132">
        <f>IF(SER_hh_tesh!P25=0,0,SER_hh_tesh!P25/SER_summary!P$26)</f>
        <v>10.750024257745293</v>
      </c>
      <c r="Q25" s="132">
        <f>IF(SER_hh_tesh!Q25=0,0,SER_hh_tesh!Q25/SER_summary!Q$26)</f>
        <v>10.808488489057133</v>
      </c>
      <c r="R25" s="132">
        <f>IF(SER_hh_tesh!R25=0,0,SER_hh_tesh!R25/SER_summary!R$26)</f>
        <v>10.720088949361241</v>
      </c>
      <c r="S25" s="132">
        <f>IF(SER_hh_tesh!S25=0,0,SER_hh_tesh!S25/SER_summary!S$26)</f>
        <v>10.627680801506983</v>
      </c>
      <c r="T25" s="132">
        <f>IF(SER_hh_tesh!T25=0,0,SER_hh_tesh!T25/SER_summary!T$26)</f>
        <v>10.781847108397894</v>
      </c>
      <c r="U25" s="132">
        <f>IF(SER_hh_tesh!U25=0,0,SER_hh_tesh!U25/SER_summary!U$26)</f>
        <v>10.322005442840846</v>
      </c>
      <c r="V25" s="132">
        <f>IF(SER_hh_tesh!V25=0,0,SER_hh_tesh!V25/SER_summary!V$26)</f>
        <v>9.3940558416895232</v>
      </c>
      <c r="W25" s="132">
        <f>IF(SER_hh_tesh!W25=0,0,SER_hh_tesh!W25/SER_summary!W$26)</f>
        <v>9.4931823440814416</v>
      </c>
      <c r="X25" s="132">
        <f>IF(SER_hh_tesh!X25=0,0,SER_hh_tesh!X25/SER_summary!X$26)</f>
        <v>10.177016144185323</v>
      </c>
      <c r="Y25" s="132">
        <f>IF(SER_hh_tesh!Y25=0,0,SER_hh_tesh!Y25/SER_summary!Y$26)</f>
        <v>10.693113007900507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10.45525968253223</v>
      </c>
      <c r="C26" s="65">
        <f>IF(SER_hh_tesh!C26=0,0,SER_hh_tesh!C26/SER_summary!C$26)</f>
        <v>10.029556281010994</v>
      </c>
      <c r="D26" s="65">
        <f>IF(SER_hh_tesh!D26=0,0,SER_hh_tesh!D26/SER_summary!D$26)</f>
        <v>10.239542726831003</v>
      </c>
      <c r="E26" s="65">
        <f>IF(SER_hh_tesh!E26=0,0,SER_hh_tesh!E26/SER_summary!E$26)</f>
        <v>9.8890428818663576</v>
      </c>
      <c r="F26" s="65">
        <f>IF(SER_hh_tesh!F26=0,0,SER_hh_tesh!F26/SER_summary!F$26)</f>
        <v>9.9726875222778677</v>
      </c>
      <c r="G26" s="65">
        <f>IF(SER_hh_tesh!G26=0,0,SER_hh_tesh!G26/SER_summary!G$26)</f>
        <v>9.8166436312979215</v>
      </c>
      <c r="H26" s="65">
        <f>IF(SER_hh_tesh!H26=0,0,SER_hh_tesh!H26/SER_summary!H$26)</f>
        <v>10.066291978425783</v>
      </c>
      <c r="I26" s="65">
        <f>IF(SER_hh_tesh!I26=0,0,SER_hh_tesh!I26/SER_summary!I$26)</f>
        <v>10.232200790286443</v>
      </c>
      <c r="J26" s="65">
        <f>IF(SER_hh_tesh!J26=0,0,SER_hh_tesh!J26/SER_summary!J$26)</f>
        <v>10.181137199921732</v>
      </c>
      <c r="K26" s="65">
        <f>IF(SER_hh_tesh!K26=0,0,SER_hh_tesh!K26/SER_summary!K$26)</f>
        <v>9.9030950626342129</v>
      </c>
      <c r="L26" s="65">
        <f>IF(SER_hh_tesh!L26=0,0,SER_hh_tesh!L26/SER_summary!L$26)</f>
        <v>9.1312396692361411</v>
      </c>
      <c r="M26" s="65">
        <f>IF(SER_hh_tesh!M26=0,0,SER_hh_tesh!M26/SER_summary!M$26)</f>
        <v>10.024828729348632</v>
      </c>
      <c r="N26" s="65">
        <f>IF(SER_hh_tesh!N26=0,0,SER_hh_tesh!N26/SER_summary!N$26)</f>
        <v>10.289260285411302</v>
      </c>
      <c r="O26" s="65">
        <f>IF(SER_hh_tesh!O26=0,0,SER_hh_tesh!O26/SER_summary!O$26)</f>
        <v>10.210790260474973</v>
      </c>
      <c r="P26" s="65">
        <f>IF(SER_hh_tesh!P26=0,0,SER_hh_tesh!P26/SER_summary!P$26)</f>
        <v>10.418507848747677</v>
      </c>
      <c r="Q26" s="65">
        <f>IF(SER_hh_tesh!Q26=0,0,SER_hh_tesh!Q26/SER_summary!Q$26)</f>
        <v>9.9696896651410896</v>
      </c>
      <c r="R26" s="65">
        <f>IF(SER_hh_tesh!R26=0,0,SER_hh_tesh!R26/SER_summary!R$26)</f>
        <v>10.249744338704222</v>
      </c>
      <c r="S26" s="65">
        <f>IF(SER_hh_tesh!S26=0,0,SER_hh_tesh!S26/SER_summary!S$26)</f>
        <v>10.837634232795178</v>
      </c>
      <c r="T26" s="65">
        <f>IF(SER_hh_tesh!T26=0,0,SER_hh_tesh!T26/SER_summary!T$26)</f>
        <v>9.6932900163260403</v>
      </c>
      <c r="U26" s="65">
        <f>IF(SER_hh_tesh!U26=0,0,SER_hh_tesh!U26/SER_summary!U$26)</f>
        <v>10.428865414261322</v>
      </c>
      <c r="V26" s="65">
        <f>IF(SER_hh_tesh!V26=0,0,SER_hh_tesh!V26/SER_summary!V$26)</f>
        <v>8.1105315393069475</v>
      </c>
      <c r="W26" s="65">
        <f>IF(SER_hh_tesh!W26=0,0,SER_hh_tesh!W26/SER_summary!W$26)</f>
        <v>10.201236556057987</v>
      </c>
      <c r="X26" s="65">
        <f>IF(SER_hh_tesh!X26=0,0,SER_hh_tesh!X26/SER_summary!X$26)</f>
        <v>10.468352408939628</v>
      </c>
      <c r="Y26" s="65">
        <f>IF(SER_hh_tesh!Y26=0,0,SER_hh_tesh!Y26/SER_summary!Y$26)</f>
        <v>7.4712841046787366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0.11883203070537497</v>
      </c>
      <c r="C27" s="145">
        <f>IF(SER_hh_tesh!C27=0,0,SER_hh_tesh!C27/SER_summary!C$26)</f>
        <v>0.11874613548085601</v>
      </c>
      <c r="D27" s="145">
        <f>IF(SER_hh_tesh!D27=0,0,SER_hh_tesh!D27/SER_summary!D$26)</f>
        <v>0.11822524087681743</v>
      </c>
      <c r="E27" s="145">
        <f>IF(SER_hh_tesh!E27=0,0,SER_hh_tesh!E27/SER_summary!E$26)</f>
        <v>0.11797927316968136</v>
      </c>
      <c r="F27" s="145">
        <f>IF(SER_hh_tesh!F27=0,0,SER_hh_tesh!F27/SER_summary!F$26)</f>
        <v>0.12025746415216998</v>
      </c>
      <c r="G27" s="145">
        <f>IF(SER_hh_tesh!G27=0,0,SER_hh_tesh!G27/SER_summary!G$26)</f>
        <v>0.12474382219459308</v>
      </c>
      <c r="H27" s="145">
        <f>IF(SER_hh_tesh!H27=0,0,SER_hh_tesh!H27/SER_summary!H$26)</f>
        <v>0.12898579336420921</v>
      </c>
      <c r="I27" s="145">
        <f>IF(SER_hh_tesh!I27=0,0,SER_hh_tesh!I27/SER_summary!I$26)</f>
        <v>0.13620782937436265</v>
      </c>
      <c r="J27" s="145">
        <f>IF(SER_hh_tesh!J27=0,0,SER_hh_tesh!J27/SER_summary!J$26)</f>
        <v>0.14303117969900214</v>
      </c>
      <c r="K27" s="145">
        <f>IF(SER_hh_tesh!K27=0,0,SER_hh_tesh!K27/SER_summary!K$26)</f>
        <v>0.15071398244371786</v>
      </c>
      <c r="L27" s="145">
        <f>IF(SER_hh_tesh!L27=0,0,SER_hh_tesh!L27/SER_summary!L$26)</f>
        <v>0.15349594987308135</v>
      </c>
      <c r="M27" s="145">
        <f>IF(SER_hh_tesh!M27=0,0,SER_hh_tesh!M27/SER_summary!M$26)</f>
        <v>0.1604553193860658</v>
      </c>
      <c r="N27" s="145">
        <f>IF(SER_hh_tesh!N27=0,0,SER_hh_tesh!N27/SER_summary!N$26)</f>
        <v>0.1648441932132291</v>
      </c>
      <c r="O27" s="145">
        <f>IF(SER_hh_tesh!O27=0,0,SER_hh_tesh!O27/SER_summary!O$26)</f>
        <v>0.1693819367208742</v>
      </c>
      <c r="P27" s="145">
        <f>IF(SER_hh_tesh!P27=0,0,SER_hh_tesh!P27/SER_summary!P$26)</f>
        <v>0.17216830248669227</v>
      </c>
      <c r="Q27" s="145">
        <f>IF(SER_hh_tesh!Q27=0,0,SER_hh_tesh!Q27/SER_summary!Q$26)</f>
        <v>0.17584866562656543</v>
      </c>
      <c r="R27" s="145">
        <f>IF(SER_hh_tesh!R27=0,0,SER_hh_tesh!R27/SER_summary!R$26)</f>
        <v>0.17674987700376046</v>
      </c>
      <c r="S27" s="145">
        <f>IF(SER_hh_tesh!S27=0,0,SER_hh_tesh!S27/SER_summary!S$26)</f>
        <v>0.17747928470954738</v>
      </c>
      <c r="T27" s="145">
        <f>IF(SER_hh_tesh!T27=0,0,SER_hh_tesh!T27/SER_summary!T$26)</f>
        <v>0.17789714591654235</v>
      </c>
      <c r="U27" s="145">
        <f>IF(SER_hh_tesh!U27=0,0,SER_hh_tesh!U27/SER_summary!U$26)</f>
        <v>0.17858531571393882</v>
      </c>
      <c r="V27" s="145">
        <f>IF(SER_hh_tesh!V27=0,0,SER_hh_tesh!V27/SER_summary!V$26)</f>
        <v>0.17710036982937064</v>
      </c>
      <c r="W27" s="145">
        <f>IF(SER_hh_tesh!W27=0,0,SER_hh_tesh!W27/SER_summary!W$26)</f>
        <v>0.16059450498436414</v>
      </c>
      <c r="X27" s="145">
        <f>IF(SER_hh_tesh!X27=0,0,SER_hh_tesh!X27/SER_summary!X$26)</f>
        <v>0.18302858252853391</v>
      </c>
      <c r="Y27" s="145">
        <f>IF(SER_hh_tesh!Y27=0,0,SER_hh_tesh!Y27/SER_summary!Y$26)</f>
        <v>0.17016668200276855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4.544807117792713</v>
      </c>
      <c r="C28" s="146">
        <f>IF(SER_hh_tesh!C28=0,0,SER_hh_tesh!C28/SER_summary!C$26)</f>
        <v>4.6209763853526171</v>
      </c>
      <c r="D28" s="146">
        <f>IF(SER_hh_tesh!D28=0,0,SER_hh_tesh!D28/SER_summary!D$26)</f>
        <v>4.5271048352631915</v>
      </c>
      <c r="E28" s="146">
        <f>IF(SER_hh_tesh!E28=0,0,SER_hh_tesh!E28/SER_summary!E$26)</f>
        <v>4.5828069338194766</v>
      </c>
      <c r="F28" s="146">
        <f>IF(SER_hh_tesh!F28=0,0,SER_hh_tesh!F28/SER_summary!F$26)</f>
        <v>4.5884248797048386</v>
      </c>
      <c r="G28" s="146">
        <f>IF(SER_hh_tesh!G28=0,0,SER_hh_tesh!G28/SER_summary!G$26)</f>
        <v>4.5057870472390906</v>
      </c>
      <c r="H28" s="146">
        <f>IF(SER_hh_tesh!H28=0,0,SER_hh_tesh!H28/SER_summary!H$26)</f>
        <v>4.502498421430376</v>
      </c>
      <c r="I28" s="146">
        <f>IF(SER_hh_tesh!I28=0,0,SER_hh_tesh!I28/SER_summary!I$26)</f>
        <v>4.57643875504034</v>
      </c>
      <c r="J28" s="146">
        <f>IF(SER_hh_tesh!J28=0,0,SER_hh_tesh!J28/SER_summary!J$26)</f>
        <v>4.7734645536436657</v>
      </c>
      <c r="K28" s="146">
        <f>IF(SER_hh_tesh!K28=0,0,SER_hh_tesh!K28/SER_summary!K$26)</f>
        <v>5.2799375818206</v>
      </c>
      <c r="L28" s="146">
        <f>IF(SER_hh_tesh!L28=0,0,SER_hh_tesh!L28/SER_summary!L$26)</f>
        <v>4.4783548486716569</v>
      </c>
      <c r="M28" s="146">
        <f>IF(SER_hh_tesh!M28=0,0,SER_hh_tesh!M28/SER_summary!M$26)</f>
        <v>4.6027994374954506</v>
      </c>
      <c r="N28" s="146">
        <f>IF(SER_hh_tesh!N28=0,0,SER_hh_tesh!N28/SER_summary!N$26)</f>
        <v>4.7969547800447261</v>
      </c>
      <c r="O28" s="146">
        <f>IF(SER_hh_tesh!O28=0,0,SER_hh_tesh!O28/SER_summary!O$26)</f>
        <v>4.5116080417712245</v>
      </c>
      <c r="P28" s="146">
        <f>IF(SER_hh_tesh!P28=0,0,SER_hh_tesh!P28/SER_summary!P$26)</f>
        <v>4.8153335185303536</v>
      </c>
      <c r="Q28" s="146">
        <f>IF(SER_hh_tesh!Q28=0,0,SER_hh_tesh!Q28/SER_summary!Q$26)</f>
        <v>4.6820332477767312</v>
      </c>
      <c r="R28" s="146">
        <f>IF(SER_hh_tesh!R28=0,0,SER_hh_tesh!R28/SER_summary!R$26)</f>
        <v>4.6919324267764795</v>
      </c>
      <c r="S28" s="146">
        <f>IF(SER_hh_tesh!S28=0,0,SER_hh_tesh!S28/SER_summary!S$26)</f>
        <v>5.0093225497805989</v>
      </c>
      <c r="T28" s="146">
        <f>IF(SER_hh_tesh!T28=0,0,SER_hh_tesh!T28/SER_summary!T$26)</f>
        <v>4.9027384270415082</v>
      </c>
      <c r="U28" s="146">
        <f>IF(SER_hh_tesh!U28=0,0,SER_hh_tesh!U28/SER_summary!U$26)</f>
        <v>4.7196563019686062</v>
      </c>
      <c r="V28" s="146">
        <f>IF(SER_hh_tesh!V28=0,0,SER_hh_tesh!V28/SER_summary!V$26)</f>
        <v>4.0764276198999614</v>
      </c>
      <c r="W28" s="146">
        <f>IF(SER_hh_tesh!W28=0,0,SER_hh_tesh!W28/SER_summary!W$26)</f>
        <v>4.1057598820563701</v>
      </c>
      <c r="X28" s="146">
        <f>IF(SER_hh_tesh!X28=0,0,SER_hh_tesh!X28/SER_summary!X$26)</f>
        <v>6.1131361273964862</v>
      </c>
      <c r="Y28" s="146">
        <f>IF(SER_hh_tesh!Y28=0,0,SER_hh_tesh!Y28/SER_summary!Y$26)</f>
        <v>5.0366923295622925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8.9476586203972399</v>
      </c>
      <c r="C29" s="130">
        <f>IF(SER_hh_tesh!C29=0,0,SER_hh_tesh!C29/SER_summary!C$26)</f>
        <v>8.96892019449208</v>
      </c>
      <c r="D29" s="130">
        <f>IF(SER_hh_tesh!D29=0,0,SER_hh_tesh!D29/SER_summary!D$26)</f>
        <v>9.0213342607199891</v>
      </c>
      <c r="E29" s="130">
        <f>IF(SER_hh_tesh!E29=0,0,SER_hh_tesh!E29/SER_summary!E$26)</f>
        <v>9.2491590341435508</v>
      </c>
      <c r="F29" s="130">
        <f>IF(SER_hh_tesh!F29=0,0,SER_hh_tesh!F29/SER_summary!F$26)</f>
        <v>9.3685714096586405</v>
      </c>
      <c r="G29" s="130">
        <f>IF(SER_hh_tesh!G29=0,0,SER_hh_tesh!G29/SER_summary!G$26)</f>
        <v>9.3747681428421625</v>
      </c>
      <c r="H29" s="130">
        <f>IF(SER_hh_tesh!H29=0,0,SER_hh_tesh!H29/SER_summary!H$26)</f>
        <v>9.4947302196691403</v>
      </c>
      <c r="I29" s="130">
        <f>IF(SER_hh_tesh!I29=0,0,SER_hh_tesh!I29/SER_summary!I$26)</f>
        <v>9.3919005162616838</v>
      </c>
      <c r="J29" s="130">
        <f>IF(SER_hh_tesh!J29=0,0,SER_hh_tesh!J29/SER_summary!J$26)</f>
        <v>9.4708026239215126</v>
      </c>
      <c r="K29" s="130">
        <f>IF(SER_hh_tesh!K29=0,0,SER_hh_tesh!K29/SER_summary!K$26)</f>
        <v>9.4834725161989066</v>
      </c>
      <c r="L29" s="130">
        <f>IF(SER_hh_tesh!L29=0,0,SER_hh_tesh!L29/SER_summary!L$26)</f>
        <v>9.4583568428790912</v>
      </c>
      <c r="M29" s="130">
        <f>IF(SER_hh_tesh!M29=0,0,SER_hh_tesh!M29/SER_summary!M$26)</f>
        <v>9.661568035413568</v>
      </c>
      <c r="N29" s="130">
        <f>IF(SER_hh_tesh!N29=0,0,SER_hh_tesh!N29/SER_summary!N$26)</f>
        <v>9.7394103121030291</v>
      </c>
      <c r="O29" s="130">
        <f>IF(SER_hh_tesh!O29=0,0,SER_hh_tesh!O29/SER_summary!O$26)</f>
        <v>9.7300034474252932</v>
      </c>
      <c r="P29" s="130">
        <f>IF(SER_hh_tesh!P29=0,0,SER_hh_tesh!P29/SER_summary!P$26)</f>
        <v>9.6013536993648625</v>
      </c>
      <c r="Q29" s="130">
        <f>IF(SER_hh_tesh!Q29=0,0,SER_hh_tesh!Q29/SER_summary!Q$26)</f>
        <v>9.5009740196101315</v>
      </c>
      <c r="R29" s="130">
        <f>IF(SER_hh_tesh!R29=0,0,SER_hh_tesh!R29/SER_summary!R$26)</f>
        <v>9.6432402503021155</v>
      </c>
      <c r="S29" s="130">
        <f>IF(SER_hh_tesh!S29=0,0,SER_hh_tesh!S29/SER_summary!S$26)</f>
        <v>9.7902320401522918</v>
      </c>
      <c r="T29" s="130">
        <f>IF(SER_hh_tesh!T29=0,0,SER_hh_tesh!T29/SER_summary!T$26)</f>
        <v>9.5022341812084772</v>
      </c>
      <c r="U29" s="130">
        <f>IF(SER_hh_tesh!U29=0,0,SER_hh_tesh!U29/SER_summary!U$26)</f>
        <v>9.4205010767245181</v>
      </c>
      <c r="V29" s="130">
        <f>IF(SER_hh_tesh!V29=0,0,SER_hh_tesh!V29/SER_summary!V$26)</f>
        <v>7.7059887118033146</v>
      </c>
      <c r="W29" s="130">
        <f>IF(SER_hh_tesh!W29=0,0,SER_hh_tesh!W29/SER_summary!W$26)</f>
        <v>8.1809159978585235</v>
      </c>
      <c r="X29" s="130">
        <f>IF(SER_hh_tesh!X29=0,0,SER_hh_tesh!X29/SER_summary!X$26)</f>
        <v>8.0949341226460838</v>
      </c>
      <c r="Y29" s="130">
        <f>IF(SER_hh_tesh!Y29=0,0,SER_hh_tesh!Y29/SER_summary!Y$26)</f>
        <v>6.7296874936997781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8.9512112564283424</v>
      </c>
      <c r="C30" s="132">
        <f>IF(SER_hh_tesh!C30=0,0,SER_hh_tesh!C30/SER_summary!C$26)</f>
        <v>8.9737585925124428</v>
      </c>
      <c r="D30" s="132">
        <f>IF(SER_hh_tesh!D30=0,0,SER_hh_tesh!D30/SER_summary!D$26)</f>
        <v>8.0308458574141905</v>
      </c>
      <c r="E30" s="132">
        <f>IF(SER_hh_tesh!E30=0,0,SER_hh_tesh!E30/SER_summary!E$26)</f>
        <v>9.0113728413353105</v>
      </c>
      <c r="F30" s="132">
        <f>IF(SER_hh_tesh!F30=0,0,SER_hh_tesh!F30/SER_summary!F$26)</f>
        <v>9.5326654289369959</v>
      </c>
      <c r="G30" s="132">
        <f>IF(SER_hh_tesh!G30=0,0,SER_hh_tesh!G30/SER_summary!G$26)</f>
        <v>10.06355449119226</v>
      </c>
      <c r="H30" s="132">
        <f>IF(SER_hh_tesh!H30=0,0,SER_hh_tesh!H30/SER_summary!H$26)</f>
        <v>9.5961835010587517</v>
      </c>
      <c r="I30" s="132">
        <f>IF(SER_hh_tesh!I30=0,0,SER_hh_tesh!I30/SER_summary!I$26)</f>
        <v>9.4344804238144064</v>
      </c>
      <c r="J30" s="132">
        <f>IF(SER_hh_tesh!J30=0,0,SER_hh_tesh!J30/SER_summary!J$26)</f>
        <v>9.1515336655325825</v>
      </c>
      <c r="K30" s="132">
        <f>IF(SER_hh_tesh!K30=0,0,SER_hh_tesh!K30/SER_summary!K$26)</f>
        <v>8.7557523317895622</v>
      </c>
      <c r="L30" s="132">
        <f>IF(SER_hh_tesh!L30=0,0,SER_hh_tesh!L30/SER_summary!L$26)</f>
        <v>10.892877349288961</v>
      </c>
      <c r="M30" s="132">
        <f>IF(SER_hh_tesh!M30=0,0,SER_hh_tesh!M30/SER_summary!M$26)</f>
        <v>9.7582648172998674</v>
      </c>
      <c r="N30" s="132">
        <f>IF(SER_hh_tesh!N30=0,0,SER_hh_tesh!N30/SER_summary!N$26)</f>
        <v>9.0685387084516602</v>
      </c>
      <c r="O30" s="132">
        <f>IF(SER_hh_tesh!O30=0,0,SER_hh_tesh!O30/SER_summary!O$26)</f>
        <v>10.697485378566267</v>
      </c>
      <c r="P30" s="132">
        <f>IF(SER_hh_tesh!P30=0,0,SER_hh_tesh!P30/SER_summary!P$26)</f>
        <v>5.7008346525966775</v>
      </c>
      <c r="Q30" s="132">
        <f>IF(SER_hh_tesh!Q30=0,0,SER_hh_tesh!Q30/SER_summary!Q$26)</f>
        <v>10.689043764162939</v>
      </c>
      <c r="R30" s="132">
        <f>IF(SER_hh_tesh!R30=0,0,SER_hh_tesh!R30/SER_summary!R$26)</f>
        <v>10.283665580449995</v>
      </c>
      <c r="S30" s="132">
        <f>IF(SER_hh_tesh!S30=0,0,SER_hh_tesh!S30/SER_summary!S$26)</f>
        <v>9.6053172148436623</v>
      </c>
      <c r="T30" s="132">
        <f>IF(SER_hh_tesh!T30=0,0,SER_hh_tesh!T30/SER_summary!T$26)</f>
        <v>9.6287040607145968</v>
      </c>
      <c r="U30" s="132">
        <f>IF(SER_hh_tesh!U30=0,0,SER_hh_tesh!U30/SER_summary!U$26)</f>
        <v>9.3261512523977803</v>
      </c>
      <c r="V30" s="132">
        <f>IF(SER_hh_tesh!V30=0,0,SER_hh_tesh!V30/SER_summary!V$26)</f>
        <v>7.627979324702574</v>
      </c>
      <c r="W30" s="132">
        <f>IF(SER_hh_tesh!W30=0,0,SER_hh_tesh!W30/SER_summary!W$26)</f>
        <v>7.6932114255695465</v>
      </c>
      <c r="X30" s="132">
        <f>IF(SER_hh_tesh!X30=0,0,SER_hh_tesh!X30/SER_summary!X$26)</f>
        <v>7.8019694335002674</v>
      </c>
      <c r="Y30" s="132">
        <f>IF(SER_hh_tesh!Y30=0,0,SER_hh_tesh!Y30/SER_summary!Y$26)</f>
        <v>7.2507426078179078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8.9268130693979604</v>
      </c>
      <c r="C31" s="132">
        <f>IF(SER_hh_tesh!C31=0,0,SER_hh_tesh!C31/SER_summary!C$26)</f>
        <v>8.9464038997164597</v>
      </c>
      <c r="D31" s="132">
        <f>IF(SER_hh_tesh!D31=0,0,SER_hh_tesh!D31/SER_summary!D$26)</f>
        <v>9.0391051964540754</v>
      </c>
      <c r="E31" s="132">
        <f>IF(SER_hh_tesh!E31=0,0,SER_hh_tesh!E31/SER_summary!E$26)</f>
        <v>9.1828704778564028</v>
      </c>
      <c r="F31" s="132">
        <f>IF(SER_hh_tesh!F31=0,0,SER_hh_tesh!F31/SER_summary!F$26)</f>
        <v>9.1003438673325796</v>
      </c>
      <c r="G31" s="132">
        <f>IF(SER_hh_tesh!G31=0,0,SER_hh_tesh!G31/SER_summary!G$26)</f>
        <v>9.5618455004966556</v>
      </c>
      <c r="H31" s="132">
        <f>IF(SER_hh_tesh!H31=0,0,SER_hh_tesh!H31/SER_summary!H$26)</f>
        <v>9.5507038680861047</v>
      </c>
      <c r="I31" s="132">
        <f>IF(SER_hh_tesh!I31=0,0,SER_hh_tesh!I31/SER_summary!I$26)</f>
        <v>9.4406313753902111</v>
      </c>
      <c r="J31" s="132">
        <f>IF(SER_hh_tesh!J31=0,0,SER_hh_tesh!J31/SER_summary!J$26)</f>
        <v>9.4335472377151106</v>
      </c>
      <c r="K31" s="132">
        <f>IF(SER_hh_tesh!K31=0,0,SER_hh_tesh!K31/SER_summary!K$26)</f>
        <v>9.5786133030139915</v>
      </c>
      <c r="L31" s="132">
        <f>IF(SER_hh_tesh!L31=0,0,SER_hh_tesh!L31/SER_summary!L$26)</f>
        <v>9.6292257172213169</v>
      </c>
      <c r="M31" s="132">
        <f>IF(SER_hh_tesh!M31=0,0,SER_hh_tesh!M31/SER_summary!M$26)</f>
        <v>9.6124623293089151</v>
      </c>
      <c r="N31" s="132">
        <f>IF(SER_hh_tesh!N31=0,0,SER_hh_tesh!N31/SER_summary!N$26)</f>
        <v>9.6975820475291421</v>
      </c>
      <c r="O31" s="132">
        <f>IF(SER_hh_tesh!O31=0,0,SER_hh_tesh!O31/SER_summary!O$26)</f>
        <v>9.6027362009685699</v>
      </c>
      <c r="P31" s="132">
        <f>IF(SER_hh_tesh!P31=0,0,SER_hh_tesh!P31/SER_summary!P$26)</f>
        <v>9.1289968208081049</v>
      </c>
      <c r="Q31" s="132">
        <f>IF(SER_hh_tesh!Q31=0,0,SER_hh_tesh!Q31/SER_summary!Q$26)</f>
        <v>10.038132781276216</v>
      </c>
      <c r="R31" s="132">
        <f>IF(SER_hh_tesh!R31=0,0,SER_hh_tesh!R31/SER_summary!R$26)</f>
        <v>9.8481545479770016</v>
      </c>
      <c r="S31" s="132">
        <f>IF(SER_hh_tesh!S31=0,0,SER_hh_tesh!S31/SER_summary!S$26)</f>
        <v>9.0153377502551368</v>
      </c>
      <c r="T31" s="132">
        <f>IF(SER_hh_tesh!T31=0,0,SER_hh_tesh!T31/SER_summary!T$26)</f>
        <v>9.5994528833307164</v>
      </c>
      <c r="U31" s="132">
        <f>IF(SER_hh_tesh!U31=0,0,SER_hh_tesh!U31/SER_summary!U$26)</f>
        <v>10.428509504171574</v>
      </c>
      <c r="V31" s="132">
        <f>IF(SER_hh_tesh!V31=0,0,SER_hh_tesh!V31/SER_summary!V$26)</f>
        <v>6.1428407271168091</v>
      </c>
      <c r="W31" s="132">
        <f>IF(SER_hh_tesh!W31=0,0,SER_hh_tesh!W31/SER_summary!W$26)</f>
        <v>8.0448979246215373</v>
      </c>
      <c r="X31" s="132">
        <f>IF(SER_hh_tesh!X31=0,0,SER_hh_tesh!X31/SER_summary!X$26)</f>
        <v>7.1289360618887185</v>
      </c>
      <c r="Y31" s="132">
        <f>IF(SER_hh_tesh!Y31=0,0,SER_hh_tesh!Y31/SER_summary!Y$26)</f>
        <v>7.6614051968682331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8.9518892949135846</v>
      </c>
      <c r="C33" s="68">
        <f>IF(SER_hh_tesh!C33=0,0,SER_hh_tesh!C33/SER_summary!C$26)</f>
        <v>8.9733796854292898</v>
      </c>
      <c r="D33" s="68">
        <f>IF(SER_hh_tesh!D33=0,0,SER_hh_tesh!D33/SER_summary!D$26)</f>
        <v>9.0458368542349437</v>
      </c>
      <c r="E33" s="68">
        <f>IF(SER_hh_tesh!E33=0,0,SER_hh_tesh!E33/SER_summary!E$26)</f>
        <v>9.2703743381057357</v>
      </c>
      <c r="F33" s="68">
        <f>IF(SER_hh_tesh!F33=0,0,SER_hh_tesh!F33/SER_summary!F$26)</f>
        <v>9.4169138097053136</v>
      </c>
      <c r="G33" s="68">
        <f>IF(SER_hh_tesh!G33=0,0,SER_hh_tesh!G33/SER_summary!G$26)</f>
        <v>9.3051309805909632</v>
      </c>
      <c r="H33" s="68">
        <f>IF(SER_hh_tesh!H33=0,0,SER_hh_tesh!H33/SER_summary!H$26)</f>
        <v>9.4781257909432366</v>
      </c>
      <c r="I33" s="68">
        <f>IF(SER_hh_tesh!I33=0,0,SER_hh_tesh!I33/SER_summary!I$26)</f>
        <v>9.3795656293867182</v>
      </c>
      <c r="J33" s="68">
        <f>IF(SER_hh_tesh!J33=0,0,SER_hh_tesh!J33/SER_summary!J$26)</f>
        <v>9.4933045933886699</v>
      </c>
      <c r="K33" s="68">
        <f>IF(SER_hh_tesh!K33=0,0,SER_hh_tesh!K33/SER_summary!K$26)</f>
        <v>9.4970947056493813</v>
      </c>
      <c r="L33" s="68">
        <f>IF(SER_hh_tesh!L33=0,0,SER_hh_tesh!L33/SER_summary!L$26)</f>
        <v>9.3528872602741817</v>
      </c>
      <c r="M33" s="68">
        <f>IF(SER_hh_tesh!M33=0,0,SER_hh_tesh!M33/SER_summary!M$26)</f>
        <v>9.6669183605727973</v>
      </c>
      <c r="N33" s="68">
        <f>IF(SER_hh_tesh!N33=0,0,SER_hh_tesh!N33/SER_summary!N$26)</f>
        <v>9.7763944686703166</v>
      </c>
      <c r="O33" s="68">
        <f>IF(SER_hh_tesh!O33=0,0,SER_hh_tesh!O33/SER_summary!O$26)</f>
        <v>9.7138705944202215</v>
      </c>
      <c r="P33" s="68">
        <f>IF(SER_hh_tesh!P33=0,0,SER_hh_tesh!P33/SER_summary!P$26)</f>
        <v>9.8708668172921996</v>
      </c>
      <c r="Q33" s="68">
        <f>IF(SER_hh_tesh!Q33=0,0,SER_hh_tesh!Q33/SER_summary!Q$26)</f>
        <v>9.330773499889979</v>
      </c>
      <c r="R33" s="68">
        <f>IF(SER_hh_tesh!R33=0,0,SER_hh_tesh!R33/SER_summary!R$26)</f>
        <v>9.5653676029912376</v>
      </c>
      <c r="S33" s="68">
        <f>IF(SER_hh_tesh!S33=0,0,SER_hh_tesh!S33/SER_summary!S$26)</f>
        <v>9.9628362629831084</v>
      </c>
      <c r="T33" s="68">
        <f>IF(SER_hh_tesh!T33=0,0,SER_hh_tesh!T33/SER_summary!T$26)</f>
        <v>9.473792434426267</v>
      </c>
      <c r="U33" s="68">
        <f>IF(SER_hh_tesh!U33=0,0,SER_hh_tesh!U33/SER_summary!U$26)</f>
        <v>9.2002740275426991</v>
      </c>
      <c r="V33" s="68">
        <f>IF(SER_hh_tesh!V33=0,0,SER_hh_tesh!V33/SER_summary!V$26)</f>
        <v>8.0781411047436897</v>
      </c>
      <c r="W33" s="68">
        <f>IF(SER_hh_tesh!W33=0,0,SER_hh_tesh!W33/SER_summary!W$26)</f>
        <v>8.25048023823493</v>
      </c>
      <c r="X33" s="68">
        <f>IF(SER_hh_tesh!X33=0,0,SER_hh_tesh!X33/SER_summary!X$26)</f>
        <v>8.4197422410125409</v>
      </c>
      <c r="Y33" s="68">
        <f>IF(SER_hh_tesh!Y33=0,0,SER_hh_tesh!Y33/SER_summary!Y$26)</f>
        <v>6.2984997649570706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8.1643851984589855</v>
      </c>
      <c r="C3" s="125">
        <f>IF(SER_hh_emih!C3=0,0,SER_hh_emih!C3/SER_summary!C$26)</f>
        <v>7.6693729943282012</v>
      </c>
      <c r="D3" s="125">
        <f>IF(SER_hh_emih!D3=0,0,SER_hh_emih!D3/SER_summary!D$26)</f>
        <v>7.5839520177474684</v>
      </c>
      <c r="E3" s="125">
        <f>IF(SER_hh_emih!E3=0,0,SER_hh_emih!E3/SER_summary!E$26)</f>
        <v>8.199161969999011</v>
      </c>
      <c r="F3" s="125">
        <f>IF(SER_hh_emih!F3=0,0,SER_hh_emih!F3/SER_summary!F$26)</f>
        <v>8.0096684426243936</v>
      </c>
      <c r="G3" s="125">
        <f>IF(SER_hh_emih!G3=0,0,SER_hh_emih!G3/SER_summary!G$26)</f>
        <v>7.7793827951624319</v>
      </c>
      <c r="H3" s="125">
        <f>IF(SER_hh_emih!H3=0,0,SER_hh_emih!H3/SER_summary!H$26)</f>
        <v>7.6634860705762522</v>
      </c>
      <c r="I3" s="125">
        <f>IF(SER_hh_emih!I3=0,0,SER_hh_emih!I3/SER_summary!I$26)</f>
        <v>6.7656736840045637</v>
      </c>
      <c r="J3" s="125">
        <f>IF(SER_hh_emih!J3=0,0,SER_hh_emih!J3/SER_summary!J$26)</f>
        <v>6.5737084708956068</v>
      </c>
      <c r="K3" s="125">
        <f>IF(SER_hh_emih!K3=0,0,SER_hh_emih!K3/SER_summary!K$26)</f>
        <v>6.2606144935992951</v>
      </c>
      <c r="L3" s="125">
        <f>IF(SER_hh_emih!L3=0,0,SER_hh_emih!L3/SER_summary!L$26)</f>
        <v>6.0463251742869373</v>
      </c>
      <c r="M3" s="125">
        <f>IF(SER_hh_emih!M3=0,0,SER_hh_emih!M3/SER_summary!M$26)</f>
        <v>4.8157147236097062</v>
      </c>
      <c r="N3" s="125">
        <f>IF(SER_hh_emih!N3=0,0,SER_hh_emih!N3/SER_summary!N$26)</f>
        <v>5.3566077564784997</v>
      </c>
      <c r="O3" s="125">
        <f>IF(SER_hh_emih!O3=0,0,SER_hh_emih!O3/SER_summary!O$26)</f>
        <v>5.3808344876506151</v>
      </c>
      <c r="P3" s="125">
        <f>IF(SER_hh_emih!P3=0,0,SER_hh_emih!P3/SER_summary!P$26)</f>
        <v>4.2685712828045421</v>
      </c>
      <c r="Q3" s="125">
        <f>IF(SER_hh_emih!Q3=0,0,SER_hh_emih!Q3/SER_summary!Q$26)</f>
        <v>5.091136243395149</v>
      </c>
      <c r="R3" s="125">
        <f>IF(SER_hh_emih!R3=0,0,SER_hh_emih!R3/SER_summary!R$26)</f>
        <v>5.0927480649958925</v>
      </c>
      <c r="S3" s="125">
        <f>IF(SER_hh_emih!S3=0,0,SER_hh_emih!S3/SER_summary!S$26)</f>
        <v>5.1915040637343308</v>
      </c>
      <c r="T3" s="125">
        <f>IF(SER_hh_emih!T3=0,0,SER_hh_emih!T3/SER_summary!T$26)</f>
        <v>4.5368769994143667</v>
      </c>
      <c r="U3" s="125">
        <f>IF(SER_hh_emih!U3=0,0,SER_hh_emih!U3/SER_summary!U$26)</f>
        <v>4.0013241798694983</v>
      </c>
      <c r="V3" s="125">
        <f>IF(SER_hh_emih!V3=0,0,SER_hh_emih!V3/SER_summary!V$26)</f>
        <v>3.7282907824897071</v>
      </c>
      <c r="W3" s="125">
        <f>IF(SER_hh_emih!W3=0,0,SER_hh_emih!W3/SER_summary!W$26)</f>
        <v>4.3641115220505151</v>
      </c>
      <c r="X3" s="125">
        <f>IF(SER_hh_emih!X3=0,0,SER_hh_emih!X3/SER_summary!X$26)</f>
        <v>3.4963857960019458</v>
      </c>
      <c r="Y3" s="125">
        <f>IF(SER_hh_emih!Y3=0,0,SER_hh_emih!Y3/SER_summary!Y$26)</f>
        <v>3.1352461930643276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6.8301557254905436</v>
      </c>
      <c r="C4" s="130">
        <f>IF(SER_hh_emih!C4=0,0,SER_hh_emih!C4/SER_summary!C$26)</f>
        <v>6.3763095780775751</v>
      </c>
      <c r="D4" s="130">
        <f>IF(SER_hh_emih!D4=0,0,SER_hh_emih!D4/SER_summary!D$26)</f>
        <v>6.3007142464583552</v>
      </c>
      <c r="E4" s="130">
        <f>IF(SER_hh_emih!E4=0,0,SER_hh_emih!E4/SER_summary!E$26)</f>
        <v>6.8285387643249225</v>
      </c>
      <c r="F4" s="130">
        <f>IF(SER_hh_emih!F4=0,0,SER_hh_emih!F4/SER_summary!F$26)</f>
        <v>6.6416799971598541</v>
      </c>
      <c r="G4" s="130">
        <f>IF(SER_hh_emih!G4=0,0,SER_hh_emih!G4/SER_summary!G$26)</f>
        <v>6.3351489207655467</v>
      </c>
      <c r="H4" s="130">
        <f>IF(SER_hh_emih!H4=0,0,SER_hh_emih!H4/SER_summary!H$26)</f>
        <v>6.2394086161021525</v>
      </c>
      <c r="I4" s="130">
        <f>IF(SER_hh_emih!I4=0,0,SER_hh_emih!I4/SER_summary!I$26)</f>
        <v>5.3979418665210952</v>
      </c>
      <c r="J4" s="130">
        <f>IF(SER_hh_emih!J4=0,0,SER_hh_emih!J4/SER_summary!J$26)</f>
        <v>5.2184135065698003</v>
      </c>
      <c r="K4" s="130">
        <f>IF(SER_hh_emih!K4=0,0,SER_hh_emih!K4/SER_summary!K$26)</f>
        <v>4.9222402632841034</v>
      </c>
      <c r="L4" s="130">
        <f>IF(SER_hh_emih!L4=0,0,SER_hh_emih!L4/SER_summary!L$26)</f>
        <v>4.7069128362150678</v>
      </c>
      <c r="M4" s="130">
        <f>IF(SER_hh_emih!M4=0,0,SER_hh_emih!M4/SER_summary!M$26)</f>
        <v>3.6040435817770518</v>
      </c>
      <c r="N4" s="130">
        <f>IF(SER_hh_emih!N4=0,0,SER_hh_emih!N4/SER_summary!N$26)</f>
        <v>4.1794960055746735</v>
      </c>
      <c r="O4" s="130">
        <f>IF(SER_hh_emih!O4=0,0,SER_hh_emih!O4/SER_summary!O$26)</f>
        <v>4.2091765741031439</v>
      </c>
      <c r="P4" s="130">
        <f>IF(SER_hh_emih!P4=0,0,SER_hh_emih!P4/SER_summary!P$26)</f>
        <v>3.2107722280085333</v>
      </c>
      <c r="Q4" s="130">
        <f>IF(SER_hh_emih!Q4=0,0,SER_hh_emih!Q4/SER_summary!Q$26)</f>
        <v>3.8366893811966176</v>
      </c>
      <c r="R4" s="130">
        <f>IF(SER_hh_emih!R4=0,0,SER_hh_emih!R4/SER_summary!R$26)</f>
        <v>3.8743578726787717</v>
      </c>
      <c r="S4" s="130">
        <f>IF(SER_hh_emih!S4=0,0,SER_hh_emih!S4/SER_summary!S$26)</f>
        <v>4.0320149044075659</v>
      </c>
      <c r="T4" s="130">
        <f>IF(SER_hh_emih!T4=0,0,SER_hh_emih!T4/SER_summary!T$26)</f>
        <v>3.372530786147192</v>
      </c>
      <c r="U4" s="130">
        <f>IF(SER_hh_emih!U4=0,0,SER_hh_emih!U4/SER_summary!U$26)</f>
        <v>2.8671464074054707</v>
      </c>
      <c r="V4" s="130">
        <f>IF(SER_hh_emih!V4=0,0,SER_hh_emih!V4/SER_summary!V$26)</f>
        <v>2.9875337584613071</v>
      </c>
      <c r="W4" s="130">
        <f>IF(SER_hh_emih!W4=0,0,SER_hh_emih!W4/SER_summary!W$26)</f>
        <v>3.502299571942602</v>
      </c>
      <c r="X4" s="130">
        <f>IF(SER_hh_emih!X4=0,0,SER_hh_emih!X4/SER_summary!X$26)</f>
        <v>2.7366589191649799</v>
      </c>
      <c r="Y4" s="130">
        <f>IF(SER_hh_emih!Y4=0,0,SER_hh_emih!Y4/SER_summary!Y$26)</f>
        <v>2.322698293395892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49.675004386814607</v>
      </c>
      <c r="C7" s="132">
        <f>IF(SER_hh_emih!C7=0,0,SER_hh_emih!C7/SER_summary!C$26)</f>
        <v>48.459928914976189</v>
      </c>
      <c r="D7" s="132">
        <f>IF(SER_hh_emih!D7=0,0,SER_hh_emih!D7/SER_summary!D$26)</f>
        <v>46.595670644114186</v>
      </c>
      <c r="E7" s="132">
        <f>IF(SER_hh_emih!E7=0,0,SER_hh_emih!E7/SER_summary!E$26)</f>
        <v>47.334185368648534</v>
      </c>
      <c r="F7" s="132">
        <f>IF(SER_hh_emih!F7=0,0,SER_hh_emih!F7/SER_summary!F$26)</f>
        <v>49.793837708460714</v>
      </c>
      <c r="G7" s="132">
        <f>IF(SER_hh_emih!G7=0,0,SER_hh_emih!G7/SER_summary!G$26)</f>
        <v>46.763284498229687</v>
      </c>
      <c r="H7" s="132">
        <f>IF(SER_hh_emih!H7=0,0,SER_hh_emih!H7/SER_summary!H$26)</f>
        <v>42.66990681174773</v>
      </c>
      <c r="I7" s="132">
        <f>IF(SER_hh_emih!I7=0,0,SER_hh_emih!I7/SER_summary!I$26)</f>
        <v>40.504372786849693</v>
      </c>
      <c r="J7" s="132">
        <f>IF(SER_hh_emih!J7=0,0,SER_hh_emih!J7/SER_summary!J$26)</f>
        <v>42.687296694399016</v>
      </c>
      <c r="K7" s="132">
        <f>IF(SER_hh_emih!K7=0,0,SER_hh_emih!K7/SER_summary!K$26)</f>
        <v>40.513477847981889</v>
      </c>
      <c r="L7" s="132">
        <f>IF(SER_hh_emih!L7=0,0,SER_hh_emih!L7/SER_summary!L$26)</f>
        <v>40.292400355649683</v>
      </c>
      <c r="M7" s="132">
        <f>IF(SER_hh_emih!M7=0,0,SER_hh_emih!M7/SER_summary!M$26)</f>
        <v>31.365400962324593</v>
      </c>
      <c r="N7" s="132">
        <f>IF(SER_hh_emih!N7=0,0,SER_hh_emih!N7/SER_summary!N$26)</f>
        <v>36.042845106758023</v>
      </c>
      <c r="O7" s="132">
        <f>IF(SER_hh_emih!O7=0,0,SER_hh_emih!O7/SER_summary!O$26)</f>
        <v>31.803732755554226</v>
      </c>
      <c r="P7" s="132">
        <f>IF(SER_hh_emih!P7=0,0,SER_hh_emih!P7/SER_summary!P$26)</f>
        <v>28.072439582141559</v>
      </c>
      <c r="Q7" s="132">
        <f>IF(SER_hh_emih!Q7=0,0,SER_hh_emih!Q7/SER_summary!Q$26)</f>
        <v>29.559691722107452</v>
      </c>
      <c r="R7" s="132">
        <f>IF(SER_hh_emih!R7=0,0,SER_hh_emih!R7/SER_summary!R$26)</f>
        <v>30.237297083258525</v>
      </c>
      <c r="S7" s="132">
        <f>IF(SER_hh_emih!S7=0,0,SER_hh_emih!S7/SER_summary!S$26)</f>
        <v>29.551360443858737</v>
      </c>
      <c r="T7" s="132">
        <f>IF(SER_hh_emih!T7=0,0,SER_hh_emih!T7/SER_summary!T$26)</f>
        <v>34.7753504889711</v>
      </c>
      <c r="U7" s="132">
        <f>IF(SER_hh_emih!U7=0,0,SER_hh_emih!U7/SER_summary!U$26)</f>
        <v>21.327999498872295</v>
      </c>
      <c r="V7" s="132">
        <f>IF(SER_hh_emih!V7=0,0,SER_hh_emih!V7/SER_summary!V$26)</f>
        <v>27.999018934853407</v>
      </c>
      <c r="W7" s="132">
        <f>IF(SER_hh_emih!W7=0,0,SER_hh_emih!W7/SER_summary!W$26)</f>
        <v>22.177028880830076</v>
      </c>
      <c r="X7" s="132">
        <f>IF(SER_hh_emih!X7=0,0,SER_hh_emih!X7/SER_summary!X$26)</f>
        <v>31.36836056054042</v>
      </c>
      <c r="Y7" s="132">
        <f>IF(SER_hh_emih!Y7=0,0,SER_hh_emih!Y7/SER_summary!Y$26)</f>
        <v>24.482209551603656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16.481307819563654</v>
      </c>
      <c r="C8" s="132">
        <f>IF(SER_hh_emih!C8=0,0,SER_hh_emih!C8/SER_summary!C$26)</f>
        <v>15.364653111609918</v>
      </c>
      <c r="D8" s="132">
        <f>IF(SER_hh_emih!D8=0,0,SER_hh_emih!D8/SER_summary!D$26)</f>
        <v>13.925388512346688</v>
      </c>
      <c r="E8" s="132">
        <f>IF(SER_hh_emih!E8=0,0,SER_hh_emih!E8/SER_summary!E$26)</f>
        <v>15.048131444630341</v>
      </c>
      <c r="F8" s="132">
        <f>IF(SER_hh_emih!F8=0,0,SER_hh_emih!F8/SER_summary!F$26)</f>
        <v>14.060480940879829</v>
      </c>
      <c r="G8" s="132">
        <f>IF(SER_hh_emih!G8=0,0,SER_hh_emih!G8/SER_summary!G$26)</f>
        <v>10.905462353482774</v>
      </c>
      <c r="H8" s="132">
        <f>IF(SER_hh_emih!H8=0,0,SER_hh_emih!H8/SER_summary!H$26)</f>
        <v>6.0802886940943832</v>
      </c>
      <c r="I8" s="132">
        <f>IF(SER_hh_emih!I8=0,0,SER_hh_emih!I8/SER_summary!I$26)</f>
        <v>11.874985932381977</v>
      </c>
      <c r="J8" s="132">
        <f>IF(SER_hh_emih!J8=0,0,SER_hh_emih!J8/SER_summary!J$26)</f>
        <v>9.6536917989185316</v>
      </c>
      <c r="K8" s="132">
        <f>IF(SER_hh_emih!K8=0,0,SER_hh_emih!K8/SER_summary!K$26)</f>
        <v>8.92090850968121</v>
      </c>
      <c r="L8" s="132">
        <f>IF(SER_hh_emih!L8=0,0,SER_hh_emih!L8/SER_summary!L$26)</f>
        <v>8.3861989093890532</v>
      </c>
      <c r="M8" s="132">
        <f>IF(SER_hh_emih!M8=0,0,SER_hh_emih!M8/SER_summary!M$26)</f>
        <v>7.6964764871738254</v>
      </c>
      <c r="N8" s="132">
        <f>IF(SER_hh_emih!N8=0,0,SER_hh_emih!N8/SER_summary!N$26)</f>
        <v>7.0061861646094128</v>
      </c>
      <c r="O8" s="132">
        <f>IF(SER_hh_emih!O8=0,0,SER_hh_emih!O8/SER_summary!O$26)</f>
        <v>5.9669457101881855</v>
      </c>
      <c r="P8" s="132">
        <f>IF(SER_hh_emih!P8=0,0,SER_hh_emih!P8/SER_summary!P$26)</f>
        <v>6.1455312077715494</v>
      </c>
      <c r="Q8" s="132">
        <f>IF(SER_hh_emih!Q8=0,0,SER_hh_emih!Q8/SER_summary!Q$26)</f>
        <v>6.4256333718605827</v>
      </c>
      <c r="R8" s="132">
        <f>IF(SER_hh_emih!R8=0,0,SER_hh_emih!R8/SER_summary!R$26)</f>
        <v>5.9513444601162373</v>
      </c>
      <c r="S8" s="132">
        <f>IF(SER_hh_emih!S8=0,0,SER_hh_emih!S8/SER_summary!S$26)</f>
        <v>5.4402159263192136</v>
      </c>
      <c r="T8" s="132">
        <f>IF(SER_hh_emih!T8=0,0,SER_hh_emih!T8/SER_summary!T$26)</f>
        <v>5.0633824181554612</v>
      </c>
      <c r="U8" s="132">
        <f>IF(SER_hh_emih!U8=0,0,SER_hh_emih!U8/SER_summary!U$26)</f>
        <v>4.5977328386623117</v>
      </c>
      <c r="V8" s="132">
        <f>IF(SER_hh_emih!V8=0,0,SER_hh_emih!V8/SER_summary!V$26)</f>
        <v>4.405132400887382</v>
      </c>
      <c r="W8" s="132">
        <f>IF(SER_hh_emih!W8=0,0,SER_hh_emih!W8/SER_summary!W$26)</f>
        <v>3.8457537774597439</v>
      </c>
      <c r="X8" s="132">
        <f>IF(SER_hh_emih!X8=0,0,SER_hh_emih!X8/SER_summary!X$26)</f>
        <v>3.2544008633989558</v>
      </c>
      <c r="Y8" s="132">
        <f>IF(SER_hh_emih!Y8=0,0,SER_hh_emih!Y8/SER_summary!Y$26)</f>
        <v>3.1116117363617062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32.070877114729321</v>
      </c>
      <c r="C9" s="132">
        <f>IF(SER_hh_emih!C9=0,0,SER_hh_emih!C9/SER_summary!C$26)</f>
        <v>31.907096965223918</v>
      </c>
      <c r="D9" s="132">
        <f>IF(SER_hh_emih!D9=0,0,SER_hh_emih!D9/SER_summary!D$26)</f>
        <v>29.862604248411085</v>
      </c>
      <c r="E9" s="132">
        <f>IF(SER_hh_emih!E9=0,0,SER_hh_emih!E9/SER_summary!E$26)</f>
        <v>32.914957546897021</v>
      </c>
      <c r="F9" s="132">
        <f>IF(SER_hh_emih!F9=0,0,SER_hh_emih!F9/SER_summary!F$26)</f>
        <v>29.892339809988606</v>
      </c>
      <c r="G9" s="132">
        <f>IF(SER_hh_emih!G9=0,0,SER_hh_emih!G9/SER_summary!G$26)</f>
        <v>28.851620029535447</v>
      </c>
      <c r="H9" s="132">
        <f>IF(SER_hh_emih!H9=0,0,SER_hh_emih!H9/SER_summary!H$26)</f>
        <v>30.297396060078107</v>
      </c>
      <c r="I9" s="132">
        <f>IF(SER_hh_emih!I9=0,0,SER_hh_emih!I9/SER_summary!I$26)</f>
        <v>27.228064943111928</v>
      </c>
      <c r="J9" s="132">
        <f>IF(SER_hh_emih!J9=0,0,SER_hh_emih!J9/SER_summary!J$26)</f>
        <v>26.740267678537272</v>
      </c>
      <c r="K9" s="132">
        <f>IF(SER_hh_emih!K9=0,0,SER_hh_emih!K9/SER_summary!K$26)</f>
        <v>27.314541049656206</v>
      </c>
      <c r="L9" s="132">
        <f>IF(SER_hh_emih!L9=0,0,SER_hh_emih!L9/SER_summary!L$26)</f>
        <v>27.987663012650653</v>
      </c>
      <c r="M9" s="132">
        <f>IF(SER_hh_emih!M9=0,0,SER_hh_emih!M9/SER_summary!M$26)</f>
        <v>21.389403611110687</v>
      </c>
      <c r="N9" s="132">
        <f>IF(SER_hh_emih!N9=0,0,SER_hh_emih!N9/SER_summary!N$26)</f>
        <v>24.107750386656534</v>
      </c>
      <c r="O9" s="132">
        <f>IF(SER_hh_emih!O9=0,0,SER_hh_emih!O9/SER_summary!O$26)</f>
        <v>24.50753519199268</v>
      </c>
      <c r="P9" s="132">
        <f>IF(SER_hh_emih!P9=0,0,SER_hh_emih!P9/SER_summary!P$26)</f>
        <v>16.734627048284239</v>
      </c>
      <c r="Q9" s="132">
        <f>IF(SER_hh_emih!Q9=0,0,SER_hh_emih!Q9/SER_summary!Q$26)</f>
        <v>21.133367891006571</v>
      </c>
      <c r="R9" s="132">
        <f>IF(SER_hh_emih!R9=0,0,SER_hh_emih!R9/SER_summary!R$26)</f>
        <v>20.405750842377611</v>
      </c>
      <c r="S9" s="132">
        <f>IF(SER_hh_emih!S9=0,0,SER_hh_emih!S9/SER_summary!S$26)</f>
        <v>21.241471492732508</v>
      </c>
      <c r="T9" s="132">
        <f>IF(SER_hh_emih!T9=0,0,SER_hh_emih!T9/SER_summary!T$26)</f>
        <v>14.967209204406482</v>
      </c>
      <c r="U9" s="132">
        <f>IF(SER_hh_emih!U9=0,0,SER_hh_emih!U9/SER_summary!U$26)</f>
        <v>13.634186432174181</v>
      </c>
      <c r="V9" s="132">
        <f>IF(SER_hh_emih!V9=0,0,SER_hh_emih!V9/SER_summary!V$26)</f>
        <v>12.960538530532732</v>
      </c>
      <c r="W9" s="132">
        <f>IF(SER_hh_emih!W9=0,0,SER_hh_emih!W9/SER_summary!W$26)</f>
        <v>16.821964376542567</v>
      </c>
      <c r="X9" s="132">
        <f>IF(SER_hh_emih!X9=0,0,SER_hh_emih!X9/SER_summary!X$26)</f>
        <v>11.13736029695508</v>
      </c>
      <c r="Y9" s="132">
        <f>IF(SER_hh_emih!Y9=0,0,SER_hh_emih!Y9/SER_summary!Y$26)</f>
        <v>9.9561271741132185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16.866011143882453</v>
      </c>
      <c r="C10" s="132">
        <f>IF(SER_hh_emih!C10=0,0,SER_hh_emih!C10/SER_summary!C$26)</f>
        <v>13.848858339667277</v>
      </c>
      <c r="D10" s="132">
        <f>IF(SER_hh_emih!D10=0,0,SER_hh_emih!D10/SER_summary!D$26)</f>
        <v>18.584300461779563</v>
      </c>
      <c r="E10" s="132">
        <f>IF(SER_hh_emih!E10=0,0,SER_hh_emih!E10/SER_summary!E$26)</f>
        <v>18.164237924236154</v>
      </c>
      <c r="F10" s="132">
        <f>IF(SER_hh_emih!F10=0,0,SER_hh_emih!F10/SER_summary!F$26)</f>
        <v>14.066925864541444</v>
      </c>
      <c r="G10" s="132">
        <f>IF(SER_hh_emih!G10=0,0,SER_hh_emih!G10/SER_summary!G$26)</f>
        <v>13.766039568308976</v>
      </c>
      <c r="H10" s="132">
        <f>IF(SER_hh_emih!H10=0,0,SER_hh_emih!H10/SER_summary!H$26)</f>
        <v>14.104711645245704</v>
      </c>
      <c r="I10" s="132">
        <f>IF(SER_hh_emih!I10=0,0,SER_hh_emih!I10/SER_summary!I$26)</f>
        <v>10.168137073058727</v>
      </c>
      <c r="J10" s="132">
        <f>IF(SER_hh_emih!J10=0,0,SER_hh_emih!J10/SER_summary!J$26)</f>
        <v>7.7410353998182506</v>
      </c>
      <c r="K10" s="132">
        <f>IF(SER_hh_emih!K10=0,0,SER_hh_emih!K10/SER_summary!K$26)</f>
        <v>5.0881462075674193</v>
      </c>
      <c r="L10" s="132">
        <f>IF(SER_hh_emih!L10=0,0,SER_hh_emih!L10/SER_summary!L$26)</f>
        <v>5.238788398431546</v>
      </c>
      <c r="M10" s="132">
        <f>IF(SER_hh_emih!M10=0,0,SER_hh_emih!M10/SER_summary!M$26)</f>
        <v>7.3569256069005977</v>
      </c>
      <c r="N10" s="132">
        <f>IF(SER_hh_emih!N10=0,0,SER_hh_emih!N10/SER_summary!N$26)</f>
        <v>6.5508541374297602</v>
      </c>
      <c r="O10" s="132">
        <f>IF(SER_hh_emih!O10=0,0,SER_hh_emih!O10/SER_summary!O$26)</f>
        <v>6.0082131881737517</v>
      </c>
      <c r="P10" s="132">
        <f>IF(SER_hh_emih!P10=0,0,SER_hh_emih!P10/SER_summary!P$26)</f>
        <v>7.7511092462726339</v>
      </c>
      <c r="Q10" s="132">
        <f>IF(SER_hh_emih!Q10=0,0,SER_hh_emih!Q10/SER_summary!Q$26)</f>
        <v>3.0514390749332123</v>
      </c>
      <c r="R10" s="132">
        <f>IF(SER_hh_emih!R10=0,0,SER_hh_emih!R10/SER_summary!R$26)</f>
        <v>4.3212675088780985</v>
      </c>
      <c r="S10" s="132">
        <f>IF(SER_hh_emih!S10=0,0,SER_hh_emih!S10/SER_summary!S$26)</f>
        <v>5.3446626709298517</v>
      </c>
      <c r="T10" s="132">
        <f>IF(SER_hh_emih!T10=0,0,SER_hh_emih!T10/SER_summary!T$26)</f>
        <v>5.8849275426309289</v>
      </c>
      <c r="U10" s="132">
        <f>IF(SER_hh_emih!U10=0,0,SER_hh_emih!U10/SER_summary!U$26)</f>
        <v>5.6432260788238828</v>
      </c>
      <c r="V10" s="132">
        <f>IF(SER_hh_emih!V10=0,0,SER_hh_emih!V10/SER_summary!V$26)</f>
        <v>4.5775198453124579</v>
      </c>
      <c r="W10" s="132">
        <f>IF(SER_hh_emih!W10=0,0,SER_hh_emih!W10/SER_summary!W$26)</f>
        <v>4.8028744329300768</v>
      </c>
      <c r="X10" s="132">
        <f>IF(SER_hh_emih!X10=0,0,SER_hh_emih!X10/SER_summary!X$26)</f>
        <v>6.4315355892471198</v>
      </c>
      <c r="Y10" s="132">
        <f>IF(SER_hh_emih!Y10=0,0,SER_hh_emih!Y10/SER_summary!Y$26)</f>
        <v>5.4579737880937689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3.3542743463010616E-3</v>
      </c>
      <c r="C16" s="130">
        <f>IF(SER_hh_emih!C16=0,0,SER_hh_emih!C16/SER_summary!C$26)</f>
        <v>3.3985797669618392E-3</v>
      </c>
      <c r="D16" s="130">
        <f>IF(SER_hh_emih!D16=0,0,SER_hh_emih!D16/SER_summary!D$26)</f>
        <v>3.492603365947537E-3</v>
      </c>
      <c r="E16" s="130">
        <f>IF(SER_hh_emih!E16=0,0,SER_hh_emih!E16/SER_summary!E$26)</f>
        <v>3.5368984229561143E-3</v>
      </c>
      <c r="F16" s="130">
        <f>IF(SER_hh_emih!F16=0,0,SER_hh_emih!F16/SER_summary!F$26)</f>
        <v>3.6637424822714227E-3</v>
      </c>
      <c r="G16" s="130">
        <f>IF(SER_hh_emih!G16=0,0,SER_hh_emih!G16/SER_summary!G$26)</f>
        <v>3.8384927517889416E-3</v>
      </c>
      <c r="H16" s="130">
        <f>IF(SER_hh_emih!H16=0,0,SER_hh_emih!H16/SER_summary!H$26)</f>
        <v>3.8370662072162794E-3</v>
      </c>
      <c r="I16" s="130">
        <f>IF(SER_hh_emih!I16=0,0,SER_hh_emih!I16/SER_summary!I$26)</f>
        <v>3.7771130778033427E-3</v>
      </c>
      <c r="J16" s="130">
        <f>IF(SER_hh_emih!J16=0,0,SER_hh_emih!J16/SER_summary!J$26)</f>
        <v>3.7573683231436343E-3</v>
      </c>
      <c r="K16" s="130">
        <f>IF(SER_hh_emih!K16=0,0,SER_hh_emih!K16/SER_summary!K$26)</f>
        <v>3.7147716368327371E-3</v>
      </c>
      <c r="L16" s="130">
        <f>IF(SER_hh_emih!L16=0,0,SER_hh_emih!L16/SER_summary!L$26)</f>
        <v>3.8002724197194857E-3</v>
      </c>
      <c r="M16" s="130">
        <f>IF(SER_hh_emih!M16=0,0,SER_hh_emih!M16/SER_summary!M$26)</f>
        <v>3.9998510475855557E-3</v>
      </c>
      <c r="N16" s="130">
        <f>IF(SER_hh_emih!N16=0,0,SER_hh_emih!N16/SER_summary!N$26)</f>
        <v>4.4270896848411165E-3</v>
      </c>
      <c r="O16" s="130">
        <f>IF(SER_hh_emih!O16=0,0,SER_hh_emih!O16/SER_summary!O$26)</f>
        <v>5.1490025501157288E-3</v>
      </c>
      <c r="P16" s="130">
        <f>IF(SER_hh_emih!P16=0,0,SER_hh_emih!P16/SER_summary!P$26)</f>
        <v>6.560748921500925E-3</v>
      </c>
      <c r="Q16" s="130">
        <f>IF(SER_hh_emih!Q16=0,0,SER_hh_emih!Q16/SER_summary!Q$26)</f>
        <v>8.8677807310533954E-3</v>
      </c>
      <c r="R16" s="130">
        <f>IF(SER_hh_emih!R16=0,0,SER_hh_emih!R16/SER_summary!R$26)</f>
        <v>1.0499465501227804E-2</v>
      </c>
      <c r="S16" s="130">
        <f>IF(SER_hh_emih!S16=0,0,SER_hh_emih!S16/SER_summary!S$26)</f>
        <v>1.2049526847797816E-2</v>
      </c>
      <c r="T16" s="130">
        <f>IF(SER_hh_emih!T16=0,0,SER_hh_emih!T16/SER_summary!T$26)</f>
        <v>1.2989581855749385E-2</v>
      </c>
      <c r="U16" s="130">
        <f>IF(SER_hh_emih!U16=0,0,SER_hh_emih!U16/SER_summary!U$26)</f>
        <v>1.3438317879239532E-2</v>
      </c>
      <c r="V16" s="130">
        <f>IF(SER_hh_emih!V16=0,0,SER_hh_emih!V16/SER_summary!V$26)</f>
        <v>1.1895113160224798E-2</v>
      </c>
      <c r="W16" s="130">
        <f>IF(SER_hh_emih!W16=0,0,SER_hh_emih!W16/SER_summary!W$26)</f>
        <v>1.1325078670280075E-2</v>
      </c>
      <c r="X16" s="130">
        <f>IF(SER_hh_emih!X16=0,0,SER_hh_emih!X16/SER_summary!X$26)</f>
        <v>9.7483792492176601E-3</v>
      </c>
      <c r="Y16" s="130">
        <f>IF(SER_hh_emih!Y16=0,0,SER_hh_emih!Y16/SER_summary!Y$26)</f>
        <v>9.0169101608093879E-3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4.3202412444993854</v>
      </c>
      <c r="C17" s="132">
        <f>IF(SER_hh_emih!C17=0,0,SER_hh_emih!C17/SER_summary!C$26)</f>
        <v>4.2128993641890879</v>
      </c>
      <c r="D17" s="132">
        <f>IF(SER_hh_emih!D17=0,0,SER_hh_emih!D17/SER_summary!D$26)</f>
        <v>4.081630233841361</v>
      </c>
      <c r="E17" s="132">
        <f>IF(SER_hh_emih!E17=0,0,SER_hh_emih!E17/SER_summary!E$26)</f>
        <v>4.0846130371330149</v>
      </c>
      <c r="F17" s="132">
        <f>IF(SER_hh_emih!F17=0,0,SER_hh_emih!F17/SER_summary!F$26)</f>
        <v>3.9412828734780483</v>
      </c>
      <c r="G17" s="132">
        <f>IF(SER_hh_emih!G17=0,0,SER_hh_emih!G17/SER_summary!G$26)</f>
        <v>3.8421971179973795</v>
      </c>
      <c r="H17" s="132">
        <f>IF(SER_hh_emih!H17=0,0,SER_hh_emih!H17/SER_summary!H$26)</f>
        <v>3.7536647027547465</v>
      </c>
      <c r="I17" s="132">
        <f>IF(SER_hh_emih!I17=0,0,SER_hh_emih!I17/SER_summary!I$26)</f>
        <v>3.7135558552799162</v>
      </c>
      <c r="J17" s="132">
        <f>IF(SER_hh_emih!J17=0,0,SER_hh_emih!J17/SER_summary!J$26)</f>
        <v>3.6255564469425772</v>
      </c>
      <c r="K17" s="132">
        <f>IF(SER_hh_emih!K17=0,0,SER_hh_emih!K17/SER_summary!K$26)</f>
        <v>3.6230610108582844</v>
      </c>
      <c r="L17" s="132">
        <f>IF(SER_hh_emih!L17=0,0,SER_hh_emih!L17/SER_summary!L$26)</f>
        <v>3.5771087084337236</v>
      </c>
      <c r="M17" s="132">
        <f>IF(SER_hh_emih!M17=0,0,SER_hh_emih!M17/SER_summary!M$26)</f>
        <v>3.495559992542383</v>
      </c>
      <c r="N17" s="132">
        <f>IF(SER_hh_emih!N17=0,0,SER_hh_emih!N17/SER_summary!N$26)</f>
        <v>3.4230513186360394</v>
      </c>
      <c r="O17" s="132">
        <f>IF(SER_hh_emih!O17=0,0,SER_hh_emih!O17/SER_summary!O$26)</f>
        <v>3.3074854697615859</v>
      </c>
      <c r="P17" s="132">
        <f>IF(SER_hh_emih!P17=0,0,SER_hh_emih!P17/SER_summary!P$26)</f>
        <v>3.2813109714613695</v>
      </c>
      <c r="Q17" s="132">
        <f>IF(SER_hh_emih!Q17=0,0,SER_hh_emih!Q17/SER_summary!Q$26)</f>
        <v>3.2530331578082041</v>
      </c>
      <c r="R17" s="132">
        <f>IF(SER_hh_emih!R17=0,0,SER_hh_emih!R17/SER_summary!R$26)</f>
        <v>3.0924825976546368</v>
      </c>
      <c r="S17" s="132">
        <f>IF(SER_hh_emih!S17=0,0,SER_hh_emih!S17/SER_summary!S$26)</f>
        <v>3.0305623217397097</v>
      </c>
      <c r="T17" s="132">
        <f>IF(SER_hh_emih!T17=0,0,SER_hh_emih!T17/SER_summary!T$26)</f>
        <v>3.0416697160656452</v>
      </c>
      <c r="U17" s="132">
        <f>IF(SER_hh_emih!U17=0,0,SER_hh_emih!U17/SER_summary!U$26)</f>
        <v>2.808883924761866</v>
      </c>
      <c r="V17" s="132">
        <f>IF(SER_hh_emih!V17=0,0,SER_hh_emih!V17/SER_summary!V$26)</f>
        <v>1.8468783888940026</v>
      </c>
      <c r="W17" s="132">
        <f>IF(SER_hh_emih!W17=0,0,SER_hh_emih!W17/SER_summary!W$26)</f>
        <v>1.7209909819775948</v>
      </c>
      <c r="X17" s="132">
        <f>IF(SER_hh_emih!X17=0,0,SER_hh_emih!X17/SER_summary!X$26)</f>
        <v>1.4899057036091774</v>
      </c>
      <c r="Y17" s="132">
        <f>IF(SER_hh_emih!Y17=0,0,SER_hh_emih!Y17/SER_summary!Y$26)</f>
        <v>1.3620110713149114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0.72395532705306043</v>
      </c>
      <c r="C19" s="130">
        <f>IF(SER_hh_emih!C19=0,0,SER_hh_emih!C19/SER_summary!C$26)</f>
        <v>0.69480823842388628</v>
      </c>
      <c r="D19" s="130">
        <f>IF(SER_hh_emih!D19=0,0,SER_hh_emih!D19/SER_summary!D$26)</f>
        <v>0.69291847801057327</v>
      </c>
      <c r="E19" s="130">
        <f>IF(SER_hh_emih!E19=0,0,SER_hh_emih!E19/SER_summary!E$26)</f>
        <v>0.74114616919029885</v>
      </c>
      <c r="F19" s="130">
        <f>IF(SER_hh_emih!F19=0,0,SER_hh_emih!F19/SER_summary!F$26)</f>
        <v>0.7235123264568819</v>
      </c>
      <c r="G19" s="130">
        <f>IF(SER_hh_emih!G19=0,0,SER_hh_emih!G19/SER_summary!G$26)</f>
        <v>0.73829590699253467</v>
      </c>
      <c r="H19" s="130">
        <f>IF(SER_hh_emih!H19=0,0,SER_hh_emih!H19/SER_summary!H$26)</f>
        <v>0.71693155919843354</v>
      </c>
      <c r="I19" s="130">
        <f>IF(SER_hh_emih!I19=0,0,SER_hh_emih!I19/SER_summary!I$26)</f>
        <v>0.66742535086291732</v>
      </c>
      <c r="J19" s="130">
        <f>IF(SER_hh_emih!J19=0,0,SER_hh_emih!J19/SER_summary!J$26)</f>
        <v>0.65791205681077713</v>
      </c>
      <c r="K19" s="130">
        <f>IF(SER_hh_emih!K19=0,0,SER_hh_emih!K19/SER_summary!K$26)</f>
        <v>0.63846372361067572</v>
      </c>
      <c r="L19" s="130">
        <f>IF(SER_hh_emih!L19=0,0,SER_hh_emih!L19/SER_summary!L$26)</f>
        <v>0.61173357025751429</v>
      </c>
      <c r="M19" s="130">
        <f>IF(SER_hh_emih!M19=0,0,SER_hh_emih!M19/SER_summary!M$26)</f>
        <v>0.52101063703432693</v>
      </c>
      <c r="N19" s="130">
        <f>IF(SER_hh_emih!N19=0,0,SER_hh_emih!N19/SER_summary!N$26)</f>
        <v>0.51647110580758693</v>
      </c>
      <c r="O19" s="130">
        <f>IF(SER_hh_emih!O19=0,0,SER_hh_emih!O19/SER_summary!O$26)</f>
        <v>0.50490973421413754</v>
      </c>
      <c r="P19" s="130">
        <f>IF(SER_hh_emih!P19=0,0,SER_hh_emih!P19/SER_summary!P$26)</f>
        <v>0.47204642373902322</v>
      </c>
      <c r="Q19" s="130">
        <f>IF(SER_hh_emih!Q19=0,0,SER_hh_emih!Q19/SER_summary!Q$26)</f>
        <v>0.50486610216246575</v>
      </c>
      <c r="R19" s="130">
        <f>IF(SER_hh_emih!R19=0,0,SER_hh_emih!R19/SER_summary!R$26)</f>
        <v>0.49387230721895775</v>
      </c>
      <c r="S19" s="130">
        <f>IF(SER_hh_emih!S19=0,0,SER_hh_emih!S19/SER_summary!S$26)</f>
        <v>0.48631948110848655</v>
      </c>
      <c r="T19" s="130">
        <f>IF(SER_hh_emih!T19=0,0,SER_hh_emih!T19/SER_summary!T$26)</f>
        <v>0.46062782660618251</v>
      </c>
      <c r="U19" s="130">
        <f>IF(SER_hh_emih!U19=0,0,SER_hh_emih!U19/SER_summary!U$26)</f>
        <v>0.39287865871611855</v>
      </c>
      <c r="V19" s="130">
        <f>IF(SER_hh_emih!V19=0,0,SER_hh_emih!V19/SER_summary!V$26)</f>
        <v>0.26979352880545843</v>
      </c>
      <c r="W19" s="130">
        <f>IF(SER_hh_emih!W19=0,0,SER_hh_emih!W19/SER_summary!W$26)</f>
        <v>0.28746043170238328</v>
      </c>
      <c r="X19" s="130">
        <f>IF(SER_hh_emih!X19=0,0,SER_hh_emih!X19/SER_summary!X$26)</f>
        <v>0.22676630568243475</v>
      </c>
      <c r="Y19" s="130">
        <f>IF(SER_hh_emih!Y19=0,0,SER_hh_emih!Y19/SER_summary!Y$26)</f>
        <v>0.19853237748010438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5.4301111170002025</v>
      </c>
      <c r="C22" s="132">
        <f>IF(SER_hh_emih!C22=0,0,SER_hh_emih!C22/SER_summary!C$26)</f>
        <v>5.2922249979569003</v>
      </c>
      <c r="D22" s="132">
        <f>IF(SER_hh_emih!D22=0,0,SER_hh_emih!D22/SER_summary!D$26)</f>
        <v>5.2537785744015988</v>
      </c>
      <c r="E22" s="132">
        <f>IF(SER_hh_emih!E22=0,0,SER_hh_emih!E22/SER_summary!E$26)</f>
        <v>5.2305345571927724</v>
      </c>
      <c r="F22" s="132">
        <f>IF(SER_hh_emih!F22=0,0,SER_hh_emih!F22/SER_summary!F$26)</f>
        <v>5.2794070801393849</v>
      </c>
      <c r="G22" s="132">
        <f>IF(SER_hh_emih!G22=0,0,SER_hh_emih!G22/SER_summary!G$26)</f>
        <v>5.3801814438257853</v>
      </c>
      <c r="H22" s="132">
        <f>IF(SER_hh_emih!H22=0,0,SER_hh_emih!H22/SER_summary!H$26)</f>
        <v>5.0784775161896478</v>
      </c>
      <c r="I22" s="132">
        <f>IF(SER_hh_emih!I22=0,0,SER_hh_emih!I22/SER_summary!I$26)</f>
        <v>4.8834599916229129</v>
      </c>
      <c r="J22" s="132">
        <f>IF(SER_hh_emih!J22=0,0,SER_hh_emih!J22/SER_summary!J$26)</f>
        <v>5.1150055204669851</v>
      </c>
      <c r="K22" s="132">
        <f>IF(SER_hh_emih!K22=0,0,SER_hh_emih!K22/SER_summary!K$26)</f>
        <v>5.1741866427295911</v>
      </c>
      <c r="L22" s="132">
        <f>IF(SER_hh_emih!L22=0,0,SER_hh_emih!L22/SER_summary!L$26)</f>
        <v>5.0795097167716552</v>
      </c>
      <c r="M22" s="132">
        <f>IF(SER_hh_emih!M22=0,0,SER_hh_emih!M22/SER_summary!M$26)</f>
        <v>4.7252324449408132</v>
      </c>
      <c r="N22" s="132">
        <f>IF(SER_hh_emih!N22=0,0,SER_hh_emih!N22/SER_summary!N$26)</f>
        <v>4.8711037573525937</v>
      </c>
      <c r="O22" s="132">
        <f>IF(SER_hh_emih!O22=0,0,SER_hh_emih!O22/SER_summary!O$26)</f>
        <v>4.9181496907205142</v>
      </c>
      <c r="P22" s="132">
        <f>IF(SER_hh_emih!P22=0,0,SER_hh_emih!P22/SER_summary!P$26)</f>
        <v>4.8901258835820185</v>
      </c>
      <c r="Q22" s="132">
        <f>IF(SER_hh_emih!Q22=0,0,SER_hh_emih!Q22/SER_summary!Q$26)</f>
        <v>4.845414362869561</v>
      </c>
      <c r="R22" s="132">
        <f>IF(SER_hh_emih!R22=0,0,SER_hh_emih!R22/SER_summary!R$26)</f>
        <v>4.9581771143788762</v>
      </c>
      <c r="S22" s="132">
        <f>IF(SER_hh_emih!S22=0,0,SER_hh_emih!S22/SER_summary!S$26)</f>
        <v>4.8279653678622223</v>
      </c>
      <c r="T22" s="132">
        <f>IF(SER_hh_emih!T22=0,0,SER_hh_emih!T22/SER_summary!T$26)</f>
        <v>5.373461669624918</v>
      </c>
      <c r="U22" s="132">
        <f>IF(SER_hh_emih!U22=0,0,SER_hh_emih!U22/SER_summary!U$26)</f>
        <v>3.2692360734196275</v>
      </c>
      <c r="V22" s="132">
        <f>IF(SER_hh_emih!V22=0,0,SER_hh_emih!V22/SER_summary!V$26)</f>
        <v>4.2131782433441227</v>
      </c>
      <c r="W22" s="132">
        <f>IF(SER_hh_emih!W22=0,0,SER_hh_emih!W22/SER_summary!W$26)</f>
        <v>3.5574823561757705</v>
      </c>
      <c r="X22" s="132">
        <f>IF(SER_hh_emih!X22=0,0,SER_hh_emih!X22/SER_summary!X$26)</f>
        <v>4.835790546213766</v>
      </c>
      <c r="Y22" s="132">
        <f>IF(SER_hh_emih!Y22=0,0,SER_hh_emih!Y22/SER_summary!Y$26)</f>
        <v>4.074999720665061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3.7815900933019941</v>
      </c>
      <c r="C23" s="132">
        <f>IF(SER_hh_emih!C23=0,0,SER_hh_emih!C23/SER_summary!C$26)</f>
        <v>3.6484977569562771</v>
      </c>
      <c r="D23" s="132">
        <f>IF(SER_hh_emih!D23=0,0,SER_hh_emih!D23/SER_summary!D$26)</f>
        <v>3.4339996273135354</v>
      </c>
      <c r="E23" s="132">
        <f>IF(SER_hh_emih!E23=0,0,SER_hh_emih!E23/SER_summary!E$26)</f>
        <v>3.7186257295060261</v>
      </c>
      <c r="F23" s="132">
        <f>IF(SER_hh_emih!F23=0,0,SER_hh_emih!F23/SER_summary!F$26)</f>
        <v>3.405835370422734</v>
      </c>
      <c r="G23" s="132">
        <f>IF(SER_hh_emih!G23=0,0,SER_hh_emih!G23/SER_summary!G$26)</f>
        <v>3.4457063545457194</v>
      </c>
      <c r="H23" s="132">
        <f>IF(SER_hh_emih!H23=0,0,SER_hh_emih!H23/SER_summary!H$26)</f>
        <v>3.4963251117499703</v>
      </c>
      <c r="I23" s="132">
        <f>IF(SER_hh_emih!I23=0,0,SER_hh_emih!I23/SER_summary!I$26)</f>
        <v>3.3930834249904063</v>
      </c>
      <c r="J23" s="132">
        <f>IF(SER_hh_emih!J23=0,0,SER_hh_emih!J23/SER_summary!J$26)</f>
        <v>3.3451153959349931</v>
      </c>
      <c r="K23" s="132">
        <f>IF(SER_hh_emih!K23=0,0,SER_hh_emih!K23/SER_summary!K$26)</f>
        <v>3.3891383379788267</v>
      </c>
      <c r="L23" s="132">
        <f>IF(SER_hh_emih!L23=0,0,SER_hh_emih!L23/SER_summary!L$26)</f>
        <v>3.4657213594128899</v>
      </c>
      <c r="M23" s="132">
        <f>IF(SER_hh_emih!M23=0,0,SER_hh_emih!M23/SER_summary!M$26)</f>
        <v>3.1104708348785279</v>
      </c>
      <c r="N23" s="132">
        <f>IF(SER_hh_emih!N23=0,0,SER_hh_emih!N23/SER_summary!N$26)</f>
        <v>3.2402180358251349</v>
      </c>
      <c r="O23" s="132">
        <f>IF(SER_hh_emih!O23=0,0,SER_hh_emih!O23/SER_summary!O$26)</f>
        <v>3.2498126442852189</v>
      </c>
      <c r="P23" s="132">
        <f>IF(SER_hh_emih!P23=0,0,SER_hh_emih!P23/SER_summary!P$26)</f>
        <v>2.9667159915578583</v>
      </c>
      <c r="Q23" s="132">
        <f>IF(SER_hh_emih!Q23=0,0,SER_hh_emih!Q23/SER_summary!Q$26)</f>
        <v>3.2576637234209511</v>
      </c>
      <c r="R23" s="132">
        <f>IF(SER_hh_emih!R23=0,0,SER_hh_emih!R23/SER_summary!R$26)</f>
        <v>3.0087729570142425</v>
      </c>
      <c r="S23" s="132">
        <f>IF(SER_hh_emih!S23=0,0,SER_hh_emih!S23/SER_summary!S$26)</f>
        <v>2.9361666714814776</v>
      </c>
      <c r="T23" s="132">
        <f>IF(SER_hh_emih!T23=0,0,SER_hh_emih!T23/SER_summary!T$26)</f>
        <v>2.7336454542628488</v>
      </c>
      <c r="U23" s="132">
        <f>IF(SER_hh_emih!U23=0,0,SER_hh_emih!U23/SER_summary!U$26)</f>
        <v>2.7020834905210909</v>
      </c>
      <c r="V23" s="132">
        <f>IF(SER_hh_emih!V23=0,0,SER_hh_emih!V23/SER_summary!V$26)</f>
        <v>1.6951993124614939</v>
      </c>
      <c r="W23" s="132">
        <f>IF(SER_hh_emih!W23=0,0,SER_hh_emih!W23/SER_summary!W$26)</f>
        <v>2.1758541204281707</v>
      </c>
      <c r="X23" s="132">
        <f>IF(SER_hh_emih!X23=0,0,SER_hh_emih!X23/SER_summary!X$26)</f>
        <v>1.6055597288581183</v>
      </c>
      <c r="Y23" s="132">
        <f>IF(SER_hh_emih!Y23=0,0,SER_hh_emih!Y23/SER_summary!Y$26)</f>
        <v>1.5833853824440021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1.9078430107260107</v>
      </c>
      <c r="C24" s="132">
        <f>IF(SER_hh_emih!C24=0,0,SER_hh_emih!C24/SER_summary!C$26)</f>
        <v>1.9480732499240221</v>
      </c>
      <c r="D24" s="132">
        <f>IF(SER_hh_emih!D24=0,0,SER_hh_emih!D24/SER_summary!D$26)</f>
        <v>2.1083319290836502</v>
      </c>
      <c r="E24" s="132">
        <f>IF(SER_hh_emih!E24=0,0,SER_hh_emih!E24/SER_summary!E$26)</f>
        <v>2.0120841592784537</v>
      </c>
      <c r="F24" s="132">
        <f>IF(SER_hh_emih!F24=0,0,SER_hh_emih!F24/SER_summary!F$26)</f>
        <v>1.8152738031168587</v>
      </c>
      <c r="G24" s="132">
        <f>IF(SER_hh_emih!G24=0,0,SER_hh_emih!G24/SER_summary!G$26)</f>
        <v>1.6778870473697765</v>
      </c>
      <c r="H24" s="132">
        <f>IF(SER_hh_emih!H24=0,0,SER_hh_emih!H24/SER_summary!H$26)</f>
        <v>1.5409072500100074</v>
      </c>
      <c r="I24" s="132">
        <f>IF(SER_hh_emih!I24=0,0,SER_hh_emih!I24/SER_summary!I$26)</f>
        <v>1.2307133338291116</v>
      </c>
      <c r="J24" s="132">
        <f>IF(SER_hh_emih!J24=0,0,SER_hh_emih!J24/SER_summary!J$26)</f>
        <v>0.94130550377238753</v>
      </c>
      <c r="K24" s="132">
        <f>IF(SER_hh_emih!K24=0,0,SER_hh_emih!K24/SER_summary!K$26)</f>
        <v>0.67128308403293457</v>
      </c>
      <c r="L24" s="132">
        <f>IF(SER_hh_emih!L24=0,0,SER_hh_emih!L24/SER_summary!L$26)</f>
        <v>0.66050078840723359</v>
      </c>
      <c r="M24" s="132">
        <f>IF(SER_hh_emih!M24=0,0,SER_hh_emih!M24/SER_summary!M$26)</f>
        <v>0.87738133611744262</v>
      </c>
      <c r="N24" s="132">
        <f>IF(SER_hh_emih!N24=0,0,SER_hh_emih!N24/SER_summary!N$26)</f>
        <v>0.90391560381049862</v>
      </c>
      <c r="O24" s="132">
        <f>IF(SER_hh_emih!O24=0,0,SER_hh_emih!O24/SER_summary!O$26)</f>
        <v>0.84198664793833999</v>
      </c>
      <c r="P24" s="132">
        <f>IF(SER_hh_emih!P24=0,0,SER_hh_emih!P24/SER_summary!P$26)</f>
        <v>0.94526788126274752</v>
      </c>
      <c r="Q24" s="132">
        <f>IF(SER_hh_emih!Q24=0,0,SER_hh_emih!Q24/SER_summary!Q$26)</f>
        <v>0.44420869989290063</v>
      </c>
      <c r="R24" s="132">
        <f>IF(SER_hh_emih!R24=0,0,SER_hh_emih!R24/SER_summary!R$26)</f>
        <v>0.58134745982862635</v>
      </c>
      <c r="S24" s="132">
        <f>IF(SER_hh_emih!S24=0,0,SER_hh_emih!S24/SER_summary!S$26)</f>
        <v>0.68848509179020945</v>
      </c>
      <c r="T24" s="132">
        <f>IF(SER_hh_emih!T24=0,0,SER_hh_emih!T24/SER_summary!T$26)</f>
        <v>0.74489088444301277</v>
      </c>
      <c r="U24" s="132">
        <f>IF(SER_hh_emih!U24=0,0,SER_hh_emih!U24/SER_summary!U$26)</f>
        <v>0.68497731741956724</v>
      </c>
      <c r="V24" s="132">
        <f>IF(SER_hh_emih!V24=0,0,SER_hh_emih!V24/SER_summary!V$26)</f>
        <v>0.53495161037533456</v>
      </c>
      <c r="W24" s="132">
        <f>IF(SER_hh_emih!W24=0,0,SER_hh_emih!W24/SER_summary!W$26)</f>
        <v>0.53378363809844054</v>
      </c>
      <c r="X24" s="132">
        <f>IF(SER_hh_emih!X24=0,0,SER_hh_emih!X24/SER_summary!X$26)</f>
        <v>0.76025348716750474</v>
      </c>
      <c r="Y24" s="132">
        <f>IF(SER_hh_emih!Y24=0,0,SER_hh_emih!Y24/SER_summary!Y$26)</f>
        <v>0.66015071151672389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0.6096154819830929</v>
      </c>
      <c r="C29" s="130">
        <f>IF(SER_hh_emih!C29=0,0,SER_hh_emih!C29/SER_summary!C$26)</f>
        <v>0.59758029057808981</v>
      </c>
      <c r="D29" s="130">
        <f>IF(SER_hh_emih!D29=0,0,SER_hh_emih!D29/SER_summary!D$26)</f>
        <v>0.58960182361606939</v>
      </c>
      <c r="E29" s="130">
        <f>IF(SER_hh_emih!E29=0,0,SER_hh_emih!E29/SER_summary!E$26)</f>
        <v>0.6287435579689119</v>
      </c>
      <c r="F29" s="130">
        <f>IF(SER_hh_emih!F29=0,0,SER_hh_emih!F29/SER_summary!F$26)</f>
        <v>0.64369714605825301</v>
      </c>
      <c r="G29" s="130">
        <f>IF(SER_hh_emih!G29=0,0,SER_hh_emih!G29/SER_summary!G$26)</f>
        <v>0.70509389070460193</v>
      </c>
      <c r="H29" s="130">
        <f>IF(SER_hh_emih!H29=0,0,SER_hh_emih!H29/SER_summary!H$26)</f>
        <v>0.70626310164766215</v>
      </c>
      <c r="I29" s="130">
        <f>IF(SER_hh_emih!I29=0,0,SER_hh_emih!I29/SER_summary!I$26)</f>
        <v>0.69938812650111803</v>
      </c>
      <c r="J29" s="130">
        <f>IF(SER_hh_emih!J29=0,0,SER_hh_emih!J29/SER_summary!J$26)</f>
        <v>0.69642863152031453</v>
      </c>
      <c r="K29" s="130">
        <f>IF(SER_hh_emih!K29=0,0,SER_hh_emih!K29/SER_summary!K$26)</f>
        <v>0.69894119148764455</v>
      </c>
      <c r="L29" s="130">
        <f>IF(SER_hh_emih!L29=0,0,SER_hh_emih!L29/SER_summary!L$26)</f>
        <v>0.72666050629243673</v>
      </c>
      <c r="M29" s="130">
        <f>IF(SER_hh_emih!M29=0,0,SER_hh_emih!M29/SER_summary!M$26)</f>
        <v>0.68955918639601665</v>
      </c>
      <c r="N29" s="130">
        <f>IF(SER_hh_emih!N29=0,0,SER_hh_emih!N29/SER_summary!N$26)</f>
        <v>0.65938565575348151</v>
      </c>
      <c r="O29" s="130">
        <f>IF(SER_hh_emih!O29=0,0,SER_hh_emih!O29/SER_summary!O$26)</f>
        <v>0.66523431889570472</v>
      </c>
      <c r="P29" s="130">
        <f>IF(SER_hh_emih!P29=0,0,SER_hh_emih!P29/SER_summary!P$26)</f>
        <v>0.58375394105029088</v>
      </c>
      <c r="Q29" s="130">
        <f>IF(SER_hh_emih!Q29=0,0,SER_hh_emih!Q29/SER_summary!Q$26)</f>
        <v>0.74682668057037715</v>
      </c>
      <c r="R29" s="130">
        <f>IF(SER_hh_emih!R29=0,0,SER_hh_emih!R29/SER_summary!R$26)</f>
        <v>0.72119916326401112</v>
      </c>
      <c r="S29" s="130">
        <f>IF(SER_hh_emih!S29=0,0,SER_hh_emih!S29/SER_summary!S$26)</f>
        <v>0.66926868522983407</v>
      </c>
      <c r="T29" s="130">
        <f>IF(SER_hh_emih!T29=0,0,SER_hh_emih!T29/SER_summary!T$26)</f>
        <v>0.69939835514764059</v>
      </c>
      <c r="U29" s="130">
        <f>IF(SER_hh_emih!U29=0,0,SER_hh_emih!U29/SER_summary!U$26)</f>
        <v>0.73672030128398236</v>
      </c>
      <c r="V29" s="130">
        <f>IF(SER_hh_emih!V29=0,0,SER_hh_emih!V29/SER_summary!V$26)</f>
        <v>0.46682879092813878</v>
      </c>
      <c r="W29" s="130">
        <f>IF(SER_hh_emih!W29=0,0,SER_hh_emih!W29/SER_summary!W$26)</f>
        <v>0.57034710364910102</v>
      </c>
      <c r="X29" s="130">
        <f>IF(SER_hh_emih!X29=0,0,SER_hh_emih!X29/SER_summary!X$26)</f>
        <v>0.5294244646344588</v>
      </c>
      <c r="Y29" s="130">
        <f>IF(SER_hh_emih!Y29=0,0,SER_hh_emih!Y29/SER_summary!Y$26)</f>
        <v>0.61061439141227614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3.7462882421975503</v>
      </c>
      <c r="C30" s="132">
        <f>IF(SER_hh_emih!C30=0,0,SER_hh_emih!C30/SER_summary!C$26)</f>
        <v>3.7512880961757911</v>
      </c>
      <c r="D30" s="132">
        <f>IF(SER_hh_emih!D30=0,0,SER_hh_emih!D30/SER_summary!D$26)</f>
        <v>3.3488331208206299</v>
      </c>
      <c r="E30" s="132">
        <f>IF(SER_hh_emih!E30=0,0,SER_hh_emih!E30/SER_summary!E$26)</f>
        <v>3.7469353649254828</v>
      </c>
      <c r="F30" s="132">
        <f>IF(SER_hh_emih!F30=0,0,SER_hh_emih!F30/SER_summary!F$26)</f>
        <v>3.9536748991323223</v>
      </c>
      <c r="G30" s="132">
        <f>IF(SER_hh_emih!G30=0,0,SER_hh_emih!G30/SER_summary!G$26)</f>
        <v>4.1653029562929573</v>
      </c>
      <c r="H30" s="132">
        <f>IF(SER_hh_emih!H30=0,0,SER_hh_emih!H30/SER_summary!H$26)</f>
        <v>3.9660600990082799</v>
      </c>
      <c r="I30" s="132">
        <f>IF(SER_hh_emih!I30=0,0,SER_hh_emih!I30/SER_summary!I$26)</f>
        <v>3.8940133097844201</v>
      </c>
      <c r="J30" s="132">
        <f>IF(SER_hh_emih!J30=0,0,SER_hh_emih!J30/SER_summary!J$26)</f>
        <v>3.7713079946445784</v>
      </c>
      <c r="K30" s="132">
        <f>IF(SER_hh_emih!K30=0,0,SER_hh_emih!K30/SER_summary!K$26)</f>
        <v>3.6016838728333758</v>
      </c>
      <c r="L30" s="132">
        <f>IF(SER_hh_emih!L30=0,0,SER_hh_emih!L30/SER_summary!L$26)</f>
        <v>4.4734303068391386</v>
      </c>
      <c r="M30" s="132">
        <f>IF(SER_hh_emih!M30=0,0,SER_hh_emih!M30/SER_summary!M$26)</f>
        <v>4.0054816235568991</v>
      </c>
      <c r="N30" s="132">
        <f>IF(SER_hh_emih!N30=0,0,SER_hh_emih!N30/SER_summary!N$26)</f>
        <v>3.7209089406133145</v>
      </c>
      <c r="O30" s="132">
        <f>IF(SER_hh_emih!O30=0,0,SER_hh_emih!O30/SER_summary!O$26)</f>
        <v>4.3838282257153072</v>
      </c>
      <c r="P30" s="132">
        <f>IF(SER_hh_emih!P30=0,0,SER_hh_emih!P30/SER_summary!P$26)</f>
        <v>2.3317053064085256</v>
      </c>
      <c r="Q30" s="132">
        <f>IF(SER_hh_emih!Q30=0,0,SER_hh_emih!Q30/SER_summary!Q$26)</f>
        <v>4.3605243223531911</v>
      </c>
      <c r="R30" s="132">
        <f>IF(SER_hh_emih!R30=0,0,SER_hh_emih!R30/SER_summary!R$26)</f>
        <v>4.1782778315573053</v>
      </c>
      <c r="S30" s="132">
        <f>IF(SER_hh_emih!S30=0,0,SER_hh_emih!S30/SER_summary!S$26)</f>
        <v>3.8834794574911999</v>
      </c>
      <c r="T30" s="132">
        <f>IF(SER_hh_emih!T30=0,0,SER_hh_emih!T30/SER_summary!T$26)</f>
        <v>3.874256282597115</v>
      </c>
      <c r="U30" s="132">
        <f>IF(SER_hh_emih!U30=0,0,SER_hh_emih!U30/SER_summary!U$26)</f>
        <v>3.731756064974745</v>
      </c>
      <c r="V30" s="132">
        <f>IF(SER_hh_emih!V30=0,0,SER_hh_emih!V30/SER_summary!V$26)</f>
        <v>3.029125163119653</v>
      </c>
      <c r="W30" s="132">
        <f>IF(SER_hh_emih!W30=0,0,SER_hh_emih!W30/SER_summary!W$26)</f>
        <v>3.0268871618519015</v>
      </c>
      <c r="X30" s="132">
        <f>IF(SER_hh_emih!X30=0,0,SER_hh_emih!X30/SER_summary!X$26)</f>
        <v>3.0412488581874664</v>
      </c>
      <c r="Y30" s="132">
        <f>IF(SER_hh_emih!Y30=0,0,SER_hh_emih!Y30/SER_summary!Y$26)</f>
        <v>2.8037476812488689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3.1442450813078331</v>
      </c>
      <c r="C31" s="132">
        <f>IF(SER_hh_emih!C31=0,0,SER_hh_emih!C31/SER_summary!C$26)</f>
        <v>3.1301175856600674</v>
      </c>
      <c r="D31" s="132">
        <f>IF(SER_hh_emih!D31=0,0,SER_hh_emih!D31/SER_summary!D$26)</f>
        <v>3.1343882622625769</v>
      </c>
      <c r="E31" s="132">
        <f>IF(SER_hh_emih!E31=0,0,SER_hh_emih!E31/SER_summary!E$26)</f>
        <v>3.2408841192204965</v>
      </c>
      <c r="F31" s="132">
        <f>IF(SER_hh_emih!F31=0,0,SER_hh_emih!F31/SER_summary!F$26)</f>
        <v>3.1718587348812211</v>
      </c>
      <c r="G31" s="132">
        <f>IF(SER_hh_emih!G31=0,0,SER_hh_emih!G31/SER_summary!G$26)</f>
        <v>3.3242701051240253</v>
      </c>
      <c r="H31" s="132">
        <f>IF(SER_hh_emih!H31=0,0,SER_hh_emih!H31/SER_summary!H$26)</f>
        <v>3.3084189208680108</v>
      </c>
      <c r="I31" s="132">
        <f>IF(SER_hh_emih!I31=0,0,SER_hh_emih!I31/SER_summary!I$26)</f>
        <v>3.3002365042114485</v>
      </c>
      <c r="J31" s="132">
        <f>IF(SER_hh_emih!J31=0,0,SER_hh_emih!J31/SER_summary!J$26)</f>
        <v>3.2877517444468842</v>
      </c>
      <c r="K31" s="132">
        <f>IF(SER_hh_emih!K31=0,0,SER_hh_emih!K31/SER_summary!K$26)</f>
        <v>3.3494005327294096</v>
      </c>
      <c r="L31" s="132">
        <f>IF(SER_hh_emih!L31=0,0,SER_hh_emih!L31/SER_summary!L$26)</f>
        <v>3.3462400740905265</v>
      </c>
      <c r="M31" s="132">
        <f>IF(SER_hh_emih!M31=0,0,SER_hh_emih!M31/SER_summary!M$26)</f>
        <v>3.3355861273424976</v>
      </c>
      <c r="N31" s="132">
        <f>IF(SER_hh_emih!N31=0,0,SER_hh_emih!N31/SER_summary!N$26)</f>
        <v>3.3571208571228768</v>
      </c>
      <c r="O31" s="132">
        <f>IF(SER_hh_emih!O31=0,0,SER_hh_emih!O31/SER_summary!O$26)</f>
        <v>3.2801637092774261</v>
      </c>
      <c r="P31" s="132">
        <f>IF(SER_hh_emih!P31=0,0,SER_hh_emih!P31/SER_summary!P$26)</f>
        <v>3.1481465858724591</v>
      </c>
      <c r="Q31" s="132">
        <f>IF(SER_hh_emih!Q31=0,0,SER_hh_emih!Q31/SER_summary!Q$26)</f>
        <v>3.4962870789748326</v>
      </c>
      <c r="R31" s="132">
        <f>IF(SER_hh_emih!R31=0,0,SER_hh_emih!R31/SER_summary!R$26)</f>
        <v>3.280742314560225</v>
      </c>
      <c r="S31" s="132">
        <f>IF(SER_hh_emih!S31=0,0,SER_hh_emih!S31/SER_summary!S$26)</f>
        <v>2.9705025001035872</v>
      </c>
      <c r="T31" s="132">
        <f>IF(SER_hh_emih!T31=0,0,SER_hh_emih!T31/SER_summary!T$26)</f>
        <v>3.0717898868585944</v>
      </c>
      <c r="U31" s="132">
        <f>IF(SER_hh_emih!U31=0,0,SER_hh_emih!U31/SER_summary!U$26)</f>
        <v>3.2014806652952603</v>
      </c>
      <c r="V31" s="132">
        <f>IF(SER_hh_emih!V31=0,0,SER_hh_emih!V31/SER_summary!V$26)</f>
        <v>1.7551545926102725</v>
      </c>
      <c r="W31" s="132">
        <f>IF(SER_hh_emih!W31=0,0,SER_hh_emih!W31/SER_summary!W$26)</f>
        <v>2.101429908905434</v>
      </c>
      <c r="X31" s="132">
        <f>IF(SER_hh_emih!X31=0,0,SER_hh_emih!X31/SER_summary!X$26)</f>
        <v>1.5740392210562288</v>
      </c>
      <c r="Y31" s="132">
        <f>IF(SER_hh_emih!Y31=0,0,SER_hh_emih!Y31/SER_summary!Y$26)</f>
        <v>1.575076228453568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3165.5337283212557</v>
      </c>
      <c r="D3" s="124">
        <f t="shared" si="0"/>
        <v>3630.0908679647823</v>
      </c>
      <c r="E3" s="124">
        <f t="shared" si="0"/>
        <v>3380.6216893093751</v>
      </c>
      <c r="F3" s="124">
        <f t="shared" si="0"/>
        <v>3221.6225078844609</v>
      </c>
      <c r="G3" s="124">
        <f t="shared" si="0"/>
        <v>3235.623379400784</v>
      </c>
      <c r="H3" s="124">
        <f t="shared" si="0"/>
        <v>3315.9078933214928</v>
      </c>
      <c r="I3" s="124">
        <f t="shared" si="0"/>
        <v>4644.4853511909032</v>
      </c>
      <c r="J3" s="124">
        <f t="shared" si="0"/>
        <v>2490.7258040237402</v>
      </c>
      <c r="K3" s="124">
        <f t="shared" si="0"/>
        <v>3550.0869025114835</v>
      </c>
      <c r="L3" s="124">
        <f t="shared" si="0"/>
        <v>3693.7988981358953</v>
      </c>
      <c r="M3" s="124">
        <f t="shared" si="0"/>
        <v>1631.6290534582588</v>
      </c>
      <c r="N3" s="124">
        <f t="shared" si="0"/>
        <v>1112.4490657528083</v>
      </c>
      <c r="O3" s="124">
        <f t="shared" si="0"/>
        <v>1303.160039171044</v>
      </c>
      <c r="P3" s="124">
        <f t="shared" si="0"/>
        <v>1648.2914774166991</v>
      </c>
      <c r="Q3" s="124">
        <f t="shared" si="0"/>
        <v>1695.149585701437</v>
      </c>
      <c r="R3" s="124">
        <f t="shared" si="0"/>
        <v>2131.120993346839</v>
      </c>
      <c r="S3" s="124">
        <f t="shared" si="0"/>
        <v>2281.3206422767958</v>
      </c>
      <c r="T3" s="124">
        <f t="shared" si="0"/>
        <v>2127.4310861956073</v>
      </c>
      <c r="U3" s="124">
        <f t="shared" si="0"/>
        <v>2168.3781203974759</v>
      </c>
      <c r="V3" s="124">
        <f t="shared" si="0"/>
        <v>2148.778217923561</v>
      </c>
      <c r="W3" s="124">
        <f t="shared" si="0"/>
        <v>2146.9837434414035</v>
      </c>
      <c r="X3" s="124">
        <f t="shared" si="0"/>
        <v>2148.6161613627751</v>
      </c>
      <c r="Y3" s="124">
        <f t="shared" si="0"/>
        <v>2149.5498360825823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3165.5337283212557</v>
      </c>
      <c r="D4" s="139">
        <f t="shared" si="1"/>
        <v>3630.0908679647823</v>
      </c>
      <c r="E4" s="139">
        <f t="shared" si="1"/>
        <v>3380.6216893093751</v>
      </c>
      <c r="F4" s="139">
        <f t="shared" si="1"/>
        <v>3221.6225078844609</v>
      </c>
      <c r="G4" s="139">
        <f t="shared" si="1"/>
        <v>3235.623379400784</v>
      </c>
      <c r="H4" s="139">
        <f t="shared" si="1"/>
        <v>3315.9078933214928</v>
      </c>
      <c r="I4" s="139">
        <f t="shared" si="1"/>
        <v>4644.4853511909032</v>
      </c>
      <c r="J4" s="139">
        <f t="shared" si="1"/>
        <v>2490.7258040237402</v>
      </c>
      <c r="K4" s="139">
        <f t="shared" si="1"/>
        <v>3550.0869025114835</v>
      </c>
      <c r="L4" s="139">
        <f t="shared" si="1"/>
        <v>3693.7988981358953</v>
      </c>
      <c r="M4" s="139">
        <f t="shared" si="1"/>
        <v>1631.6290534582588</v>
      </c>
      <c r="N4" s="139">
        <f t="shared" si="1"/>
        <v>1112.4490657528083</v>
      </c>
      <c r="O4" s="139">
        <f t="shared" si="1"/>
        <v>1303.160039171044</v>
      </c>
      <c r="P4" s="139">
        <f t="shared" si="1"/>
        <v>1648.2914774166991</v>
      </c>
      <c r="Q4" s="139">
        <f t="shared" si="1"/>
        <v>1695.149585701437</v>
      </c>
      <c r="R4" s="139">
        <f t="shared" ref="R4:W4" si="2">SUM(R5:R14)</f>
        <v>2131.120993346839</v>
      </c>
      <c r="S4" s="139">
        <f t="shared" si="2"/>
        <v>2281.3206422767958</v>
      </c>
      <c r="T4" s="139">
        <f t="shared" si="2"/>
        <v>2127.4310861956073</v>
      </c>
      <c r="U4" s="139">
        <f t="shared" si="2"/>
        <v>2168.3781203974759</v>
      </c>
      <c r="V4" s="139">
        <f t="shared" si="2"/>
        <v>2148.778217923561</v>
      </c>
      <c r="W4" s="139">
        <f t="shared" si="2"/>
        <v>2146.9837434414035</v>
      </c>
      <c r="X4" s="139">
        <f t="shared" ref="X4:Y4" si="3">SUM(X5:X14)</f>
        <v>2148.6161613627751</v>
      </c>
      <c r="Y4" s="139">
        <f t="shared" si="3"/>
        <v>2149.5498360825823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41.722603514903589</v>
      </c>
      <c r="D7" s="140">
        <v>104.3089737067382</v>
      </c>
      <c r="E7" s="140">
        <v>129.24520914380378</v>
      </c>
      <c r="F7" s="140">
        <v>135.11989635503866</v>
      </c>
      <c r="G7" s="140">
        <v>41.330589230394786</v>
      </c>
      <c r="H7" s="140">
        <v>5.564262002989298</v>
      </c>
      <c r="I7" s="140">
        <v>69.176758710200843</v>
      </c>
      <c r="J7" s="140">
        <v>93.388248220834612</v>
      </c>
      <c r="K7" s="140">
        <v>121.77734249635155</v>
      </c>
      <c r="L7" s="140">
        <v>129.89852669738423</v>
      </c>
      <c r="M7" s="140">
        <v>83.000912759621841</v>
      </c>
      <c r="N7" s="140">
        <v>86.278548306288769</v>
      </c>
      <c r="O7" s="140">
        <v>75.327913670884627</v>
      </c>
      <c r="P7" s="140">
        <v>53.267607884122498</v>
      </c>
      <c r="Q7" s="140">
        <v>14.702407450004598</v>
      </c>
      <c r="R7" s="140">
        <v>31.504892372010435</v>
      </c>
      <c r="S7" s="140">
        <v>0</v>
      </c>
      <c r="T7" s="140">
        <v>5.5106503584564894</v>
      </c>
      <c r="U7" s="140">
        <v>0</v>
      </c>
      <c r="V7" s="140">
        <v>0</v>
      </c>
      <c r="W7" s="140">
        <v>0</v>
      </c>
      <c r="X7" s="140">
        <v>6.5538832459665111</v>
      </c>
      <c r="Y7" s="140">
        <v>61.032099130765332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0.48286580717305305</v>
      </c>
      <c r="D8" s="140">
        <v>1.7299470817046063</v>
      </c>
      <c r="E8" s="140">
        <v>1.8526758032816792</v>
      </c>
      <c r="F8" s="140">
        <v>1.2788219073562905</v>
      </c>
      <c r="G8" s="140">
        <v>3.0892330593908457</v>
      </c>
      <c r="H8" s="140">
        <v>4.751129650778025</v>
      </c>
      <c r="I8" s="140">
        <v>13.31798864650853</v>
      </c>
      <c r="J8" s="140">
        <v>5.1832342661215245</v>
      </c>
      <c r="K8" s="140">
        <v>6.3463066436368418</v>
      </c>
      <c r="L8" s="140">
        <v>4.3130459441671487</v>
      </c>
      <c r="M8" s="140">
        <v>3.7706040838441806</v>
      </c>
      <c r="N8" s="140">
        <v>3.5409151956504235</v>
      </c>
      <c r="O8" s="140">
        <v>6.1065760133611366</v>
      </c>
      <c r="P8" s="140">
        <v>17.15975756383364</v>
      </c>
      <c r="Q8" s="140">
        <v>13.256205669796508</v>
      </c>
      <c r="R8" s="140">
        <v>14.012865567476183</v>
      </c>
      <c r="S8" s="140">
        <v>12.78433936521297</v>
      </c>
      <c r="T8" s="140">
        <v>18.84196684180775</v>
      </c>
      <c r="U8" s="140">
        <v>20.787901863485047</v>
      </c>
      <c r="V8" s="140">
        <v>29.094835183304461</v>
      </c>
      <c r="W8" s="140">
        <v>29.932043561516338</v>
      </c>
      <c r="X8" s="140">
        <v>42.058684373285452</v>
      </c>
      <c r="Y8" s="140">
        <v>41.243768604952237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289.93436899598652</v>
      </c>
      <c r="D9" s="140">
        <v>624.20591637825987</v>
      </c>
      <c r="E9" s="140">
        <v>650.84062240760375</v>
      </c>
      <c r="F9" s="140">
        <v>589.00090515759098</v>
      </c>
      <c r="G9" s="140">
        <v>576.7163745854773</v>
      </c>
      <c r="H9" s="140">
        <v>528.75453308748831</v>
      </c>
      <c r="I9" s="140">
        <v>439.2793306816381</v>
      </c>
      <c r="J9" s="140">
        <v>220.20241201536402</v>
      </c>
      <c r="K9" s="140">
        <v>206.89251115129079</v>
      </c>
      <c r="L9" s="140">
        <v>121.074678849732</v>
      </c>
      <c r="M9" s="140">
        <v>112.83644437311308</v>
      </c>
      <c r="N9" s="140">
        <v>143.49024052919694</v>
      </c>
      <c r="O9" s="140">
        <v>202.60570792627689</v>
      </c>
      <c r="P9" s="140">
        <v>163.51177523812007</v>
      </c>
      <c r="Q9" s="140">
        <v>461.56011269691186</v>
      </c>
      <c r="R9" s="140">
        <v>440.4448142669637</v>
      </c>
      <c r="S9" s="140">
        <v>468.14977066096338</v>
      </c>
      <c r="T9" s="140">
        <v>436.64923529091732</v>
      </c>
      <c r="U9" s="140">
        <v>680.65914330474766</v>
      </c>
      <c r="V9" s="140">
        <v>612.00198358516229</v>
      </c>
      <c r="W9" s="140">
        <v>280.24344611692123</v>
      </c>
      <c r="X9" s="140">
        <v>335.00235812800275</v>
      </c>
      <c r="Y9" s="140">
        <v>94.908815473094393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71.170283115693124</v>
      </c>
      <c r="D10" s="140">
        <v>187.98251213886488</v>
      </c>
      <c r="E10" s="140">
        <v>108.27645622806668</v>
      </c>
      <c r="F10" s="140">
        <v>79.695132468531483</v>
      </c>
      <c r="G10" s="140">
        <v>93.826609107601499</v>
      </c>
      <c r="H10" s="140">
        <v>80.77730900504784</v>
      </c>
      <c r="I10" s="140">
        <v>9.0893330241494112</v>
      </c>
      <c r="J10" s="140">
        <v>0</v>
      </c>
      <c r="K10" s="140">
        <v>0</v>
      </c>
      <c r="L10" s="140">
        <v>19.305921352204589</v>
      </c>
      <c r="M10" s="140">
        <v>60.925127728170587</v>
      </c>
      <c r="N10" s="140">
        <v>46.882172421507768</v>
      </c>
      <c r="O10" s="140">
        <v>62.618421129922609</v>
      </c>
      <c r="P10" s="140">
        <v>120.80963818322941</v>
      </c>
      <c r="Q10" s="140">
        <v>49.898979909879976</v>
      </c>
      <c r="R10" s="140">
        <v>130.32605766325983</v>
      </c>
      <c r="S10" s="140">
        <v>122.76166608380339</v>
      </c>
      <c r="T10" s="140">
        <v>86.905835948861011</v>
      </c>
      <c r="U10" s="140">
        <v>29.684591111994312</v>
      </c>
      <c r="V10" s="140">
        <v>23.17380181762233</v>
      </c>
      <c r="W10" s="140">
        <v>0</v>
      </c>
      <c r="X10" s="140">
        <v>0</v>
      </c>
      <c r="Y10" s="140">
        <v>0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2269.6278056558795</v>
      </c>
      <c r="D12" s="140">
        <v>2385.0528914454503</v>
      </c>
      <c r="E12" s="140">
        <v>2170.1392089741221</v>
      </c>
      <c r="F12" s="140">
        <v>1886.0491579239942</v>
      </c>
      <c r="G12" s="140">
        <v>1810.3291785742433</v>
      </c>
      <c r="H12" s="140">
        <v>1820.2630128883245</v>
      </c>
      <c r="I12" s="140">
        <v>3021.7274894614156</v>
      </c>
      <c r="J12" s="140">
        <v>1780.2003942678434</v>
      </c>
      <c r="K12" s="140">
        <v>2948.7337208873023</v>
      </c>
      <c r="L12" s="140">
        <v>3189.3263452502129</v>
      </c>
      <c r="M12" s="140">
        <v>1248.4698784562593</v>
      </c>
      <c r="N12" s="140">
        <v>802.85415215375519</v>
      </c>
      <c r="O12" s="140">
        <v>918.24087185508188</v>
      </c>
      <c r="P12" s="140">
        <v>1212.5076891611232</v>
      </c>
      <c r="Q12" s="140">
        <v>1097.2301886459586</v>
      </c>
      <c r="R12" s="140">
        <v>1437.0963059787593</v>
      </c>
      <c r="S12" s="140">
        <v>1597.5926239023836</v>
      </c>
      <c r="T12" s="140">
        <v>1455.034814191599</v>
      </c>
      <c r="U12" s="140">
        <v>1297.8114153161982</v>
      </c>
      <c r="V12" s="140">
        <v>1308.4052616388324</v>
      </c>
      <c r="W12" s="140">
        <v>1539.2212621809135</v>
      </c>
      <c r="X12" s="140">
        <v>1499.0122789613181</v>
      </c>
      <c r="Y12" s="140">
        <v>1751.6012750863392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10.266301035486654</v>
      </c>
      <c r="D13" s="140">
        <v>10.826107501653208</v>
      </c>
      <c r="E13" s="140">
        <v>9.1753433449189963</v>
      </c>
      <c r="F13" s="140">
        <v>10.506398712665648</v>
      </c>
      <c r="G13" s="140">
        <v>59.042877456557505</v>
      </c>
      <c r="H13" s="140">
        <v>114.0574642661921</v>
      </c>
      <c r="I13" s="140">
        <v>276.98970839571984</v>
      </c>
      <c r="J13" s="140">
        <v>105.18543238077611</v>
      </c>
      <c r="K13" s="140">
        <v>106.7850214837265</v>
      </c>
      <c r="L13" s="140">
        <v>58.281945358343464</v>
      </c>
      <c r="M13" s="140">
        <v>46.581855401172163</v>
      </c>
      <c r="N13" s="140">
        <v>28.65591297869236</v>
      </c>
      <c r="O13" s="140">
        <v>38.260548575516815</v>
      </c>
      <c r="P13" s="140">
        <v>81.035009386270275</v>
      </c>
      <c r="Q13" s="140">
        <v>58.501691328885606</v>
      </c>
      <c r="R13" s="140">
        <v>77.736057498369362</v>
      </c>
      <c r="S13" s="140">
        <v>80.032242264432654</v>
      </c>
      <c r="T13" s="140">
        <v>124.48858356396572</v>
      </c>
      <c r="U13" s="140">
        <v>139.43506880105039</v>
      </c>
      <c r="V13" s="140">
        <v>176.10233569863962</v>
      </c>
      <c r="W13" s="140">
        <v>215.78425436923524</v>
      </c>
      <c r="X13" s="140">
        <v>211.49484597926067</v>
      </c>
      <c r="Y13" s="140">
        <v>200.76387778743089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482.32950019613315</v>
      </c>
      <c r="D14" s="141">
        <v>315.98451971211136</v>
      </c>
      <c r="E14" s="141">
        <v>311.09217340757834</v>
      </c>
      <c r="F14" s="141">
        <v>519.97219535928366</v>
      </c>
      <c r="G14" s="141">
        <v>651.28851738711842</v>
      </c>
      <c r="H14" s="141">
        <v>761.74018242067268</v>
      </c>
      <c r="I14" s="141">
        <v>814.90474227127095</v>
      </c>
      <c r="J14" s="141">
        <v>286.56608287280051</v>
      </c>
      <c r="K14" s="141">
        <v>159.55199984917562</v>
      </c>
      <c r="L14" s="141">
        <v>171.59843468385145</v>
      </c>
      <c r="M14" s="141">
        <v>76.044230656077815</v>
      </c>
      <c r="N14" s="141">
        <v>0.74712416771699253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81.802737212817334</v>
      </c>
      <c r="X14" s="141">
        <v>54.494110674941403</v>
      </c>
      <c r="Y14" s="141">
        <v>0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2672.9379270896357</v>
      </c>
      <c r="D15" s="143">
        <f t="shared" si="4"/>
        <v>3303.280240751018</v>
      </c>
      <c r="E15" s="143">
        <f t="shared" si="4"/>
        <v>3060.354172556878</v>
      </c>
      <c r="F15" s="143">
        <f t="shared" si="4"/>
        <v>2691.1439138125115</v>
      </c>
      <c r="G15" s="143">
        <f t="shared" si="4"/>
        <v>2525.2919845571078</v>
      </c>
      <c r="H15" s="143">
        <f t="shared" si="4"/>
        <v>2440.1102466346279</v>
      </c>
      <c r="I15" s="143">
        <f t="shared" si="4"/>
        <v>3552.5909005239128</v>
      </c>
      <c r="J15" s="143">
        <f t="shared" si="4"/>
        <v>2098.9742887701636</v>
      </c>
      <c r="K15" s="143">
        <f t="shared" si="4"/>
        <v>3283.7498811785817</v>
      </c>
      <c r="L15" s="143">
        <f t="shared" si="4"/>
        <v>3463.9185180937006</v>
      </c>
      <c r="M15" s="143">
        <f t="shared" si="4"/>
        <v>1509.0029674010088</v>
      </c>
      <c r="N15" s="143">
        <f t="shared" si="4"/>
        <v>1083.046028606399</v>
      </c>
      <c r="O15" s="143">
        <f t="shared" si="4"/>
        <v>1264.8994905955271</v>
      </c>
      <c r="P15" s="143">
        <f t="shared" si="4"/>
        <v>1567.2564680304288</v>
      </c>
      <c r="Q15" s="143">
        <f t="shared" si="4"/>
        <v>1636.6478943725515</v>
      </c>
      <c r="R15" s="143">
        <f t="shared" ref="R15:W15" si="5">SUM(R5:R12)</f>
        <v>2053.3849358484695</v>
      </c>
      <c r="S15" s="143">
        <f t="shared" si="5"/>
        <v>2201.2884000123631</v>
      </c>
      <c r="T15" s="143">
        <f t="shared" si="5"/>
        <v>2002.9425026316417</v>
      </c>
      <c r="U15" s="143">
        <f t="shared" si="5"/>
        <v>2028.9430515964254</v>
      </c>
      <c r="V15" s="143">
        <f t="shared" si="5"/>
        <v>1972.6758822249215</v>
      </c>
      <c r="W15" s="143">
        <f t="shared" si="5"/>
        <v>1849.3967518593511</v>
      </c>
      <c r="X15" s="143">
        <f t="shared" ref="X15:Y15" si="6">SUM(X5:X12)</f>
        <v>1882.6272047085727</v>
      </c>
      <c r="Y15" s="143">
        <f t="shared" si="6"/>
        <v>1948.7859582951512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3165.5337283212557</v>
      </c>
      <c r="D16" s="139">
        <f t="shared" si="7"/>
        <v>3630.0908679647832</v>
      </c>
      <c r="E16" s="139">
        <f t="shared" si="7"/>
        <v>3380.6216893093756</v>
      </c>
      <c r="F16" s="139">
        <f t="shared" si="7"/>
        <v>3221.6225078844609</v>
      </c>
      <c r="G16" s="139">
        <f t="shared" si="7"/>
        <v>3235.6233794007826</v>
      </c>
      <c r="H16" s="139">
        <f t="shared" si="7"/>
        <v>3315.9078933214928</v>
      </c>
      <c r="I16" s="139">
        <f t="shared" si="7"/>
        <v>4644.4853511909032</v>
      </c>
      <c r="J16" s="139">
        <f t="shared" si="7"/>
        <v>2490.7258040237402</v>
      </c>
      <c r="K16" s="139">
        <f t="shared" si="7"/>
        <v>3550.0869025114835</v>
      </c>
      <c r="L16" s="139">
        <f t="shared" si="7"/>
        <v>3693.7988981358967</v>
      </c>
      <c r="M16" s="139">
        <f t="shared" si="7"/>
        <v>1631.6290534582588</v>
      </c>
      <c r="N16" s="139">
        <f t="shared" si="7"/>
        <v>1112.4490657528086</v>
      </c>
      <c r="O16" s="139">
        <f t="shared" si="7"/>
        <v>1303.1600391710438</v>
      </c>
      <c r="P16" s="139">
        <f t="shared" si="7"/>
        <v>1648.2914774166989</v>
      </c>
      <c r="Q16" s="139">
        <f t="shared" si="7"/>
        <v>1695.1495857014372</v>
      </c>
      <c r="R16" s="139">
        <f t="shared" ref="R16:W16" si="8">SUM(R17:R18)</f>
        <v>2131.1209933468385</v>
      </c>
      <c r="S16" s="139">
        <f t="shared" si="8"/>
        <v>2281.3206422767958</v>
      </c>
      <c r="T16" s="139">
        <f t="shared" si="8"/>
        <v>2127.4310861956073</v>
      </c>
      <c r="U16" s="139">
        <f t="shared" si="8"/>
        <v>2168.3781203974754</v>
      </c>
      <c r="V16" s="139">
        <f t="shared" si="8"/>
        <v>2148.7782179235614</v>
      </c>
      <c r="W16" s="139">
        <f t="shared" si="8"/>
        <v>2146.9837434414039</v>
      </c>
      <c r="X16" s="139">
        <f t="shared" ref="X16:Y16" si="9">SUM(X17:X18)</f>
        <v>2148.6161613627746</v>
      </c>
      <c r="Y16" s="139">
        <f t="shared" si="9"/>
        <v>2149.5498360825823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3.0814090914881622</v>
      </c>
      <c r="D17" s="140">
        <v>3.8918555679636957</v>
      </c>
      <c r="E17" s="140">
        <v>2.9311375264667618</v>
      </c>
      <c r="F17" s="140">
        <v>3.9349608920889767</v>
      </c>
      <c r="G17" s="140">
        <v>4.1072475892224851</v>
      </c>
      <c r="H17" s="140">
        <v>3.3610096396199109</v>
      </c>
      <c r="I17" s="140">
        <v>4.1154433572894353</v>
      </c>
      <c r="J17" s="140">
        <v>2.5375640317481496</v>
      </c>
      <c r="K17" s="140">
        <v>3.2991198269840805</v>
      </c>
      <c r="L17" s="140">
        <v>4.9212476749455893</v>
      </c>
      <c r="M17" s="140">
        <v>2.6707875457490617</v>
      </c>
      <c r="N17" s="140">
        <v>2.3845650036550294</v>
      </c>
      <c r="O17" s="140">
        <v>3.8037960896794161</v>
      </c>
      <c r="P17" s="140">
        <v>6.856429790776656</v>
      </c>
      <c r="Q17" s="140">
        <v>10.982680186332489</v>
      </c>
      <c r="R17" s="140">
        <v>13.108712454842792</v>
      </c>
      <c r="S17" s="140">
        <v>13.095247610871738</v>
      </c>
      <c r="T17" s="140">
        <v>9.2972800360219576</v>
      </c>
      <c r="U17" s="140">
        <v>14.463184603558959</v>
      </c>
      <c r="V17" s="140">
        <v>33.326653545578715</v>
      </c>
      <c r="W17" s="140">
        <v>10.665748181215193</v>
      </c>
      <c r="X17" s="140">
        <v>9.5458259951625113</v>
      </c>
      <c r="Y17" s="140">
        <v>12.742749428431843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3162.4523192297675</v>
      </c>
      <c r="D18" s="140">
        <v>3626.1990123968194</v>
      </c>
      <c r="E18" s="140">
        <v>3377.6905517829086</v>
      </c>
      <c r="F18" s="140">
        <v>3217.6875469923721</v>
      </c>
      <c r="G18" s="140">
        <v>3231.5161318115602</v>
      </c>
      <c r="H18" s="140">
        <v>3312.5468836818727</v>
      </c>
      <c r="I18" s="140">
        <v>4640.369907833614</v>
      </c>
      <c r="J18" s="140">
        <v>2488.1882399919923</v>
      </c>
      <c r="K18" s="140">
        <v>3546.7877826844992</v>
      </c>
      <c r="L18" s="140">
        <v>3688.8776504609509</v>
      </c>
      <c r="M18" s="140">
        <v>1628.9582659125097</v>
      </c>
      <c r="N18" s="140">
        <v>1110.0645007491535</v>
      </c>
      <c r="O18" s="140">
        <v>1299.3562430813643</v>
      </c>
      <c r="P18" s="140">
        <v>1641.4350476259222</v>
      </c>
      <c r="Q18" s="140">
        <v>1684.1669055151046</v>
      </c>
      <c r="R18" s="140">
        <v>2118.0122808919959</v>
      </c>
      <c r="S18" s="140">
        <v>2268.2253946659239</v>
      </c>
      <c r="T18" s="140">
        <v>2118.1338061595852</v>
      </c>
      <c r="U18" s="140">
        <v>2153.9149357939164</v>
      </c>
      <c r="V18" s="140">
        <v>2115.4515643779828</v>
      </c>
      <c r="W18" s="140">
        <v>2136.3179952601886</v>
      </c>
      <c r="X18" s="140">
        <v>2139.0703353676122</v>
      </c>
      <c r="Y18" s="140">
        <v>2136.8070866541502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3165.5337283212557</v>
      </c>
      <c r="D19" s="139">
        <f t="shared" si="10"/>
        <v>3630.0908679647828</v>
      </c>
      <c r="E19" s="139">
        <f t="shared" si="10"/>
        <v>3380.6216893093751</v>
      </c>
      <c r="F19" s="139">
        <f t="shared" si="10"/>
        <v>3221.6225078844609</v>
      </c>
      <c r="G19" s="139">
        <f t="shared" si="10"/>
        <v>3235.6233794007831</v>
      </c>
      <c r="H19" s="139">
        <f t="shared" si="10"/>
        <v>3315.9078933214923</v>
      </c>
      <c r="I19" s="139">
        <f t="shared" si="10"/>
        <v>4644.4853511909032</v>
      </c>
      <c r="J19" s="139">
        <f t="shared" si="10"/>
        <v>2490.7258040237402</v>
      </c>
      <c r="K19" s="139">
        <f t="shared" si="10"/>
        <v>3550.0869025114825</v>
      </c>
      <c r="L19" s="139">
        <f t="shared" si="10"/>
        <v>3693.7988981358967</v>
      </c>
      <c r="M19" s="139">
        <f t="shared" si="10"/>
        <v>1631.6290534582592</v>
      </c>
      <c r="N19" s="139">
        <f t="shared" si="10"/>
        <v>1112.4490657528083</v>
      </c>
      <c r="O19" s="139">
        <f t="shared" si="10"/>
        <v>1303.1600391710438</v>
      </c>
      <c r="P19" s="139">
        <f t="shared" si="10"/>
        <v>1648.2914774166989</v>
      </c>
      <c r="Q19" s="139">
        <f t="shared" si="10"/>
        <v>1695.1495857014372</v>
      </c>
      <c r="R19" s="139">
        <f t="shared" ref="R19:W19" si="11">SUM(R20:R26)</f>
        <v>2131.1209933468394</v>
      </c>
      <c r="S19" s="139">
        <f t="shared" si="11"/>
        <v>2281.3206422767953</v>
      </c>
      <c r="T19" s="139">
        <f t="shared" si="11"/>
        <v>2127.4310861956069</v>
      </c>
      <c r="U19" s="139">
        <f t="shared" si="11"/>
        <v>2168.3781203974754</v>
      </c>
      <c r="V19" s="139">
        <f t="shared" si="11"/>
        <v>2148.7782179235614</v>
      </c>
      <c r="W19" s="139">
        <f t="shared" si="11"/>
        <v>2146.9837434414039</v>
      </c>
      <c r="X19" s="139">
        <f t="shared" ref="X19:Y19" si="12">SUM(X20:X26)</f>
        <v>2148.6161613627746</v>
      </c>
      <c r="Y19" s="139">
        <f t="shared" si="12"/>
        <v>2149.5498360825818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145.26527335806907</v>
      </c>
      <c r="D22" s="140">
        <v>169.13858297689714</v>
      </c>
      <c r="E22" s="140">
        <v>159.0019427571082</v>
      </c>
      <c r="F22" s="140">
        <v>122.77448893104609</v>
      </c>
      <c r="G22" s="140">
        <v>63.340747969009207</v>
      </c>
      <c r="H22" s="140">
        <v>7.1819525735433354</v>
      </c>
      <c r="I22" s="140">
        <v>40.470617129470561</v>
      </c>
      <c r="J22" s="140">
        <v>79.140232714866173</v>
      </c>
      <c r="K22" s="140">
        <v>121.03210199723667</v>
      </c>
      <c r="L22" s="140">
        <v>115.13426634564546</v>
      </c>
      <c r="M22" s="140">
        <v>49.857156592199878</v>
      </c>
      <c r="N22" s="140">
        <v>49.915590717620148</v>
      </c>
      <c r="O22" s="140">
        <v>59.698723934541192</v>
      </c>
      <c r="P22" s="140">
        <v>29.808047389692184</v>
      </c>
      <c r="Q22" s="140">
        <v>21.070325507595889</v>
      </c>
      <c r="R22" s="140">
        <v>26.946673038878842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11.853198535948648</v>
      </c>
      <c r="Y22" s="140">
        <v>24.618648619464743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284.07534500492699</v>
      </c>
      <c r="D23" s="140">
        <v>590.86756301544813</v>
      </c>
      <c r="E23" s="140">
        <v>631.57375143840318</v>
      </c>
      <c r="F23" s="140">
        <v>569.57017893909972</v>
      </c>
      <c r="G23" s="140">
        <v>595.09604269506769</v>
      </c>
      <c r="H23" s="140">
        <v>529.60235513270857</v>
      </c>
      <c r="I23" s="140">
        <v>521.00312950328237</v>
      </c>
      <c r="J23" s="140">
        <v>277.51116557690108</v>
      </c>
      <c r="K23" s="140">
        <v>246.11584080375414</v>
      </c>
      <c r="L23" s="140">
        <v>174.09847648432634</v>
      </c>
      <c r="M23" s="140">
        <v>3.58016005904368</v>
      </c>
      <c r="N23" s="140">
        <v>46.060619856612036</v>
      </c>
      <c r="O23" s="140">
        <v>100.07641213324774</v>
      </c>
      <c r="P23" s="140">
        <v>211.81727217959553</v>
      </c>
      <c r="Q23" s="140">
        <v>406.6550226276886</v>
      </c>
      <c r="R23" s="140">
        <v>442.12624963113439</v>
      </c>
      <c r="S23" s="140">
        <v>457.35422996425211</v>
      </c>
      <c r="T23" s="140">
        <v>308.82677169416922</v>
      </c>
      <c r="U23" s="140">
        <v>283.1731924797682</v>
      </c>
      <c r="V23" s="140">
        <v>194.65615189444082</v>
      </c>
      <c r="W23" s="140">
        <v>3.9681141220821075</v>
      </c>
      <c r="X23" s="140">
        <v>7.6020081372610919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66.57831065139257</v>
      </c>
      <c r="D24" s="140">
        <v>66.569604637416234</v>
      </c>
      <c r="E24" s="140">
        <v>61.910999001212375</v>
      </c>
      <c r="F24" s="140">
        <v>57.288982271806979</v>
      </c>
      <c r="G24" s="140">
        <v>61.428635964158872</v>
      </c>
      <c r="H24" s="140">
        <v>62.757813421217222</v>
      </c>
      <c r="I24" s="140">
        <v>82.820334834653963</v>
      </c>
      <c r="J24" s="140">
        <v>52.469115402459778</v>
      </c>
      <c r="K24" s="140">
        <v>70.850266730720335</v>
      </c>
      <c r="L24" s="140">
        <v>73.497044613245521</v>
      </c>
      <c r="M24" s="140">
        <v>36.052763345381791</v>
      </c>
      <c r="N24" s="140">
        <v>23.53309132804057</v>
      </c>
      <c r="O24" s="140">
        <v>24.803780110506434</v>
      </c>
      <c r="P24" s="140">
        <v>40.457167359054523</v>
      </c>
      <c r="Q24" s="140">
        <v>53.990148270513259</v>
      </c>
      <c r="R24" s="140">
        <v>90.680592360174245</v>
      </c>
      <c r="S24" s="140">
        <v>64.949921190106608</v>
      </c>
      <c r="T24" s="140">
        <v>58.28803791448356</v>
      </c>
      <c r="U24" s="140">
        <v>45.445734122251643</v>
      </c>
      <c r="V24" s="140">
        <v>38.434133471629394</v>
      </c>
      <c r="W24" s="140">
        <v>12.135896084472012</v>
      </c>
      <c r="X24" s="140">
        <v>1.5685443932256273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1945.4973045254351</v>
      </c>
      <c r="D25" s="140">
        <v>1908.6024816013273</v>
      </c>
      <c r="E25" s="140">
        <v>1728.0981666752768</v>
      </c>
      <c r="F25" s="140">
        <v>1483.3575878252982</v>
      </c>
      <c r="G25" s="140">
        <v>1457.3725443112187</v>
      </c>
      <c r="H25" s="140">
        <v>1493.6962584119638</v>
      </c>
      <c r="I25" s="140">
        <v>2649.9218145007867</v>
      </c>
      <c r="J25" s="140">
        <v>1522.8622647401753</v>
      </c>
      <c r="K25" s="140">
        <v>2565.105454171925</v>
      </c>
      <c r="L25" s="140">
        <v>2728.1988472632561</v>
      </c>
      <c r="M25" s="140">
        <v>990.20855836550652</v>
      </c>
      <c r="N25" s="140">
        <v>602.90598181905114</v>
      </c>
      <c r="O25" s="140">
        <v>739.22137562111038</v>
      </c>
      <c r="P25" s="140">
        <v>1168.2965416929485</v>
      </c>
      <c r="Q25" s="140">
        <v>1067.0287356893366</v>
      </c>
      <c r="R25" s="140">
        <v>1290.4203613092884</v>
      </c>
      <c r="S25" s="140">
        <v>1376.3073178911084</v>
      </c>
      <c r="T25" s="140">
        <v>1600.2017098346005</v>
      </c>
      <c r="U25" s="140">
        <v>1547.4428979815498</v>
      </c>
      <c r="V25" s="140">
        <v>1915.6879325574914</v>
      </c>
      <c r="W25" s="140">
        <v>1757.1707999744726</v>
      </c>
      <c r="X25" s="140">
        <v>2056.5086070477323</v>
      </c>
      <c r="Y25" s="140">
        <v>2124.9311874631171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724.11749478143179</v>
      </c>
      <c r="D26" s="141">
        <v>894.91263573369406</v>
      </c>
      <c r="E26" s="141">
        <v>800.03682943737488</v>
      </c>
      <c r="F26" s="141">
        <v>988.63126991720969</v>
      </c>
      <c r="G26" s="141">
        <v>1058.3854084613288</v>
      </c>
      <c r="H26" s="141">
        <v>1222.66951378206</v>
      </c>
      <c r="I26" s="141">
        <v>1350.2694552227097</v>
      </c>
      <c r="J26" s="141">
        <v>558.743025589338</v>
      </c>
      <c r="K26" s="141">
        <v>546.98323880784687</v>
      </c>
      <c r="L26" s="141">
        <v>602.87026342942318</v>
      </c>
      <c r="M26" s="141">
        <v>551.93041509612726</v>
      </c>
      <c r="N26" s="141">
        <v>390.03378203148446</v>
      </c>
      <c r="O26" s="141">
        <v>379.35974737163809</v>
      </c>
      <c r="P26" s="141">
        <v>197.91244879540821</v>
      </c>
      <c r="Q26" s="141">
        <v>146.4053536063029</v>
      </c>
      <c r="R26" s="141">
        <v>280.94711700736326</v>
      </c>
      <c r="S26" s="141">
        <v>382.70917323132846</v>
      </c>
      <c r="T26" s="141">
        <v>160.11456675235382</v>
      </c>
      <c r="U26" s="141">
        <v>292.3162958139057</v>
      </c>
      <c r="V26" s="141">
        <v>0</v>
      </c>
      <c r="W26" s="141">
        <v>373.70893326037697</v>
      </c>
      <c r="X26" s="141">
        <v>71.08380324860687</v>
      </c>
      <c r="Y26" s="141">
        <v>0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245.66456957145448</v>
      </c>
      <c r="D27" s="150">
        <v>359.66855210427082</v>
      </c>
      <c r="E27" s="150">
        <v>258.6684382382557</v>
      </c>
      <c r="F27" s="150">
        <v>356.85163960106405</v>
      </c>
      <c r="G27" s="150">
        <v>489.79235234863921</v>
      </c>
      <c r="H27" s="150">
        <v>437.42919811572563</v>
      </c>
      <c r="I27" s="150">
        <v>513.87616568869385</v>
      </c>
      <c r="J27" s="150">
        <v>331.22454336888035</v>
      </c>
      <c r="K27" s="150">
        <v>159.62907962761892</v>
      </c>
      <c r="L27" s="150">
        <v>1023.2734126351013</v>
      </c>
      <c r="M27" s="150">
        <v>395.67407518069695</v>
      </c>
      <c r="N27" s="150">
        <v>247.247258616875</v>
      </c>
      <c r="O27" s="150">
        <v>440.8021954210821</v>
      </c>
      <c r="P27" s="150">
        <v>2.4807473314977941E-12</v>
      </c>
      <c r="Q27" s="150">
        <v>244.11148768123039</v>
      </c>
      <c r="R27" s="150">
        <v>292.54520792579882</v>
      </c>
      <c r="S27" s="150">
        <v>91.257045475735254</v>
      </c>
      <c r="T27" s="150">
        <v>338.8199415033497</v>
      </c>
      <c r="U27" s="150">
        <v>346.97530854393978</v>
      </c>
      <c r="V27" s="150">
        <v>504.89863662408732</v>
      </c>
      <c r="W27" s="150">
        <v>7.6291479692982E-2</v>
      </c>
      <c r="X27" s="150">
        <v>1.5800070370310566E-12</v>
      </c>
      <c r="Y27" s="150">
        <v>400.60051294350649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3165.5337283212557</v>
      </c>
      <c r="D29" s="139">
        <f t="shared" si="13"/>
        <v>3630.0908679647828</v>
      </c>
      <c r="E29" s="139">
        <f t="shared" si="13"/>
        <v>3380.6216893093751</v>
      </c>
      <c r="F29" s="139">
        <f t="shared" si="13"/>
        <v>3221.6225078844609</v>
      </c>
      <c r="G29" s="139">
        <f t="shared" si="13"/>
        <v>3235.6233794007835</v>
      </c>
      <c r="H29" s="139">
        <f t="shared" si="13"/>
        <v>3315.9078933214932</v>
      </c>
      <c r="I29" s="139">
        <f t="shared" si="13"/>
        <v>4644.4853511909041</v>
      </c>
      <c r="J29" s="139">
        <f t="shared" si="13"/>
        <v>2490.7258040237402</v>
      </c>
      <c r="K29" s="139">
        <f t="shared" si="13"/>
        <v>3550.0869025114825</v>
      </c>
      <c r="L29" s="139">
        <f t="shared" si="13"/>
        <v>3693.7988981358958</v>
      </c>
      <c r="M29" s="139">
        <f t="shared" si="13"/>
        <v>1631.629053458259</v>
      </c>
      <c r="N29" s="139">
        <f t="shared" si="13"/>
        <v>1112.4490657528083</v>
      </c>
      <c r="O29" s="139">
        <f t="shared" si="13"/>
        <v>1303.160039171044</v>
      </c>
      <c r="P29" s="139">
        <f t="shared" si="13"/>
        <v>1648.2914774166989</v>
      </c>
      <c r="Q29" s="139">
        <f t="shared" si="13"/>
        <v>1695.149585701437</v>
      </c>
      <c r="R29" s="139">
        <f t="shared" ref="R29:W29" si="14">SUM(R30:R33)</f>
        <v>2131.120993346839</v>
      </c>
      <c r="S29" s="139">
        <f t="shared" si="14"/>
        <v>2281.3206422767953</v>
      </c>
      <c r="T29" s="139">
        <f t="shared" si="14"/>
        <v>2127.4310861956073</v>
      </c>
      <c r="U29" s="139">
        <f t="shared" si="14"/>
        <v>2168.3781203974754</v>
      </c>
      <c r="V29" s="139">
        <f t="shared" si="14"/>
        <v>2148.7782179235614</v>
      </c>
      <c r="W29" s="139">
        <f t="shared" si="14"/>
        <v>2146.9837434414035</v>
      </c>
      <c r="X29" s="139">
        <f t="shared" ref="X29:Y29" si="15">SUM(X30:X33)</f>
        <v>2148.6161613627746</v>
      </c>
      <c r="Y29" s="139">
        <f t="shared" si="15"/>
        <v>2149.5498360825823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55.553455304695461</v>
      </c>
      <c r="D30" s="140">
        <v>134.79928258486038</v>
      </c>
      <c r="E30" s="140">
        <v>180.98805692975051</v>
      </c>
      <c r="F30" s="140">
        <v>190.55664675122344</v>
      </c>
      <c r="G30" s="140">
        <v>175.31878741242639</v>
      </c>
      <c r="H30" s="140">
        <v>109.08703808535179</v>
      </c>
      <c r="I30" s="140">
        <v>106.94143082183633</v>
      </c>
      <c r="J30" s="140">
        <v>77.32142475898624</v>
      </c>
      <c r="K30" s="140">
        <v>120.82533165156242</v>
      </c>
      <c r="L30" s="140">
        <v>173.21696029541124</v>
      </c>
      <c r="M30" s="140">
        <v>34.388730903505703</v>
      </c>
      <c r="N30" s="140">
        <v>2.3756320488212395</v>
      </c>
      <c r="O30" s="140">
        <v>43.689927532119299</v>
      </c>
      <c r="P30" s="140">
        <v>104.19291843484885</v>
      </c>
      <c r="Q30" s="140">
        <v>129.71597627881829</v>
      </c>
      <c r="R30" s="140">
        <v>156.65378771973519</v>
      </c>
      <c r="S30" s="140">
        <v>133.28150426300729</v>
      </c>
      <c r="T30" s="140">
        <v>86.712269113339886</v>
      </c>
      <c r="U30" s="140">
        <v>81.73220615244027</v>
      </c>
      <c r="V30" s="140">
        <v>109.91706953346724</v>
      </c>
      <c r="W30" s="140">
        <v>152.513429389039</v>
      </c>
      <c r="X30" s="140">
        <v>210.41130652198083</v>
      </c>
      <c r="Y30" s="140">
        <v>260.39687723195857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467.89622820976314</v>
      </c>
      <c r="D31" s="140">
        <v>546.09155399653196</v>
      </c>
      <c r="E31" s="140">
        <v>550.42070300135254</v>
      </c>
      <c r="F31" s="140">
        <v>569.23758971478708</v>
      </c>
      <c r="G31" s="140">
        <v>661.68488664827009</v>
      </c>
      <c r="H31" s="140">
        <v>611.17431766031598</v>
      </c>
      <c r="I31" s="140">
        <v>763.08661161974169</v>
      </c>
      <c r="J31" s="140">
        <v>421.43690784138033</v>
      </c>
      <c r="K31" s="140">
        <v>551.73400520719645</v>
      </c>
      <c r="L31" s="140">
        <v>494.50990010228753</v>
      </c>
      <c r="M31" s="140">
        <v>175.52076996349953</v>
      </c>
      <c r="N31" s="140">
        <v>136.39861209580874</v>
      </c>
      <c r="O31" s="140">
        <v>203.53500208553223</v>
      </c>
      <c r="P31" s="140">
        <v>295.1933959985119</v>
      </c>
      <c r="Q31" s="140">
        <v>367.65840151292667</v>
      </c>
      <c r="R31" s="140">
        <v>376.04297395914608</v>
      </c>
      <c r="S31" s="140">
        <v>403.26244941122872</v>
      </c>
      <c r="T31" s="140">
        <v>406.26943218090418</v>
      </c>
      <c r="U31" s="140">
        <v>459.50169400868765</v>
      </c>
      <c r="V31" s="140">
        <v>457.63149581400393</v>
      </c>
      <c r="W31" s="140">
        <v>618.6096891118151</v>
      </c>
      <c r="X31" s="140">
        <v>933.42351696405569</v>
      </c>
      <c r="Y31" s="140">
        <v>1378.8541905459463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2642.084044806797</v>
      </c>
      <c r="D33" s="152">
        <v>2949.2000313833905</v>
      </c>
      <c r="E33" s="152">
        <v>2649.2129293782723</v>
      </c>
      <c r="F33" s="152">
        <v>2461.8282714184506</v>
      </c>
      <c r="G33" s="152">
        <v>2398.619705340087</v>
      </c>
      <c r="H33" s="152">
        <v>2595.6465375758253</v>
      </c>
      <c r="I33" s="152">
        <v>3774.4573087493259</v>
      </c>
      <c r="J33" s="152">
        <v>1991.9674714233736</v>
      </c>
      <c r="K33" s="152">
        <v>2877.5275656527238</v>
      </c>
      <c r="L33" s="152">
        <v>3026.0720377381967</v>
      </c>
      <c r="M33" s="152">
        <v>1421.7195525912539</v>
      </c>
      <c r="N33" s="152">
        <v>973.67482160817826</v>
      </c>
      <c r="O33" s="152">
        <v>1055.9351095533925</v>
      </c>
      <c r="P33" s="152">
        <v>1248.9051629833382</v>
      </c>
      <c r="Q33" s="152">
        <v>1197.775207909692</v>
      </c>
      <c r="R33" s="152">
        <v>1598.4242316679577</v>
      </c>
      <c r="S33" s="152">
        <v>1744.7766886025595</v>
      </c>
      <c r="T33" s="152">
        <v>1634.4493849013631</v>
      </c>
      <c r="U33" s="152">
        <v>1627.1442202363473</v>
      </c>
      <c r="V33" s="152">
        <v>1581.2296525760903</v>
      </c>
      <c r="W33" s="152">
        <v>1375.8606249405493</v>
      </c>
      <c r="X33" s="152">
        <v>1004.7813378767379</v>
      </c>
      <c r="Y33" s="152">
        <v>510.29876830467748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36.556062954232416</v>
      </c>
      <c r="D3" s="125">
        <f t="shared" si="0"/>
        <v>42.131318628566603</v>
      </c>
      <c r="E3" s="125">
        <f t="shared" si="0"/>
        <v>39.640611975463514</v>
      </c>
      <c r="F3" s="125">
        <f t="shared" si="0"/>
        <v>36.320346442758961</v>
      </c>
      <c r="G3" s="125">
        <f t="shared" si="0"/>
        <v>34.582815778829165</v>
      </c>
      <c r="H3" s="125">
        <f t="shared" si="0"/>
        <v>34.393524996307164</v>
      </c>
      <c r="I3" s="125">
        <f t="shared" si="0"/>
        <v>43.635871429964823</v>
      </c>
      <c r="J3" s="125">
        <f t="shared" si="0"/>
        <v>22.973624955575026</v>
      </c>
      <c r="K3" s="125">
        <f t="shared" si="0"/>
        <v>31.026391244539084</v>
      </c>
      <c r="L3" s="125">
        <f t="shared" si="0"/>
        <v>33.951219654704609</v>
      </c>
      <c r="M3" s="125">
        <f t="shared" si="0"/>
        <v>13.21681993997074</v>
      </c>
      <c r="N3" s="125">
        <f t="shared" si="0"/>
        <v>9.1006442602019852</v>
      </c>
      <c r="O3" s="125">
        <f t="shared" si="0"/>
        <v>10.176273869432464</v>
      </c>
      <c r="P3" s="125">
        <f t="shared" si="0"/>
        <v>11.116373653282945</v>
      </c>
      <c r="Q3" s="125">
        <f t="shared" si="0"/>
        <v>11.708383062632072</v>
      </c>
      <c r="R3" s="125">
        <f t="shared" ref="R3:W3" si="1">SUM(R4,R16,R19,R29)</f>
        <v>14.504250958961428</v>
      </c>
      <c r="S3" s="125">
        <f t="shared" si="1"/>
        <v>15.162742803127953</v>
      </c>
      <c r="T3" s="125">
        <f t="shared" si="1"/>
        <v>12.695066932545538</v>
      </c>
      <c r="U3" s="125">
        <f t="shared" si="1"/>
        <v>11.907092578848815</v>
      </c>
      <c r="V3" s="125">
        <f t="shared" si="1"/>
        <v>10.442443893349314</v>
      </c>
      <c r="W3" s="125">
        <f t="shared" si="1"/>
        <v>10.867516268164344</v>
      </c>
      <c r="X3" s="125">
        <f t="shared" ref="X3:Y3" si="2">SUM(X4,X16,X19,X29)</f>
        <v>10.135898362277734</v>
      </c>
      <c r="Y3" s="125">
        <f t="shared" si="2"/>
        <v>10.186548239734549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27.765260247485543</v>
      </c>
      <c r="D4" s="130">
        <f t="shared" si="3"/>
        <v>32.13702815067704</v>
      </c>
      <c r="E4" s="130">
        <f t="shared" si="3"/>
        <v>30.308278235660818</v>
      </c>
      <c r="F4" s="130">
        <f t="shared" si="3"/>
        <v>27.54075373221087</v>
      </c>
      <c r="G4" s="130">
        <f t="shared" si="3"/>
        <v>25.862036778960505</v>
      </c>
      <c r="H4" s="130">
        <f t="shared" si="3"/>
        <v>25.589732254793613</v>
      </c>
      <c r="I4" s="130">
        <f t="shared" si="3"/>
        <v>31.706997412374243</v>
      </c>
      <c r="J4" s="130">
        <f t="shared" si="3"/>
        <v>16.646188467600577</v>
      </c>
      <c r="K4" s="130">
        <f t="shared" si="3"/>
        <v>22.172984108673653</v>
      </c>
      <c r="L4" s="130">
        <f t="shared" si="3"/>
        <v>24.976691174019827</v>
      </c>
      <c r="M4" s="130">
        <f t="shared" si="3"/>
        <v>9.2654855443303514</v>
      </c>
      <c r="N4" s="130">
        <f t="shared" si="3"/>
        <v>6.4169597098738045</v>
      </c>
      <c r="O4" s="130">
        <f t="shared" si="3"/>
        <v>7.0843749437954013</v>
      </c>
      <c r="P4" s="130">
        <f t="shared" si="3"/>
        <v>7.2980339886750709</v>
      </c>
      <c r="Q4" s="130">
        <f t="shared" si="3"/>
        <v>7.7520461120833835</v>
      </c>
      <c r="R4" s="130">
        <f t="shared" ref="R4:W4" si="4">SUM(R5:R15)</f>
        <v>9.6628321128215742</v>
      </c>
      <c r="S4" s="130">
        <f t="shared" si="4"/>
        <v>10.073754557239408</v>
      </c>
      <c r="T4" s="130">
        <f t="shared" si="4"/>
        <v>8.1056994858644771</v>
      </c>
      <c r="U4" s="130">
        <f t="shared" si="4"/>
        <v>7.3590106741195349</v>
      </c>
      <c r="V4" s="130">
        <f t="shared" si="4"/>
        <v>6.6913799868595678</v>
      </c>
      <c r="W4" s="130">
        <f t="shared" si="4"/>
        <v>6.9436551136236844</v>
      </c>
      <c r="X4" s="130">
        <f t="shared" ref="X4:Y4" si="5">SUM(X5:X15)</f>
        <v>6.1016044541198209</v>
      </c>
      <c r="Y4" s="130">
        <f t="shared" si="5"/>
        <v>6.0342882920340815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0.52074374727581807</v>
      </c>
      <c r="D7" s="132">
        <v>1.2282873949974522</v>
      </c>
      <c r="E7" s="132">
        <v>1.5279143935540958</v>
      </c>
      <c r="F7" s="132">
        <v>1.6583591287764781</v>
      </c>
      <c r="G7" s="132">
        <v>0.4645017360261835</v>
      </c>
      <c r="H7" s="132">
        <v>5.5825056197589394E-2</v>
      </c>
      <c r="I7" s="132">
        <v>0.6432991275721055</v>
      </c>
      <c r="J7" s="132">
        <v>0.90228526956522825</v>
      </c>
      <c r="K7" s="132">
        <v>1.1109749510755682</v>
      </c>
      <c r="L7" s="132">
        <v>1.1660423453747175</v>
      </c>
      <c r="M7" s="132">
        <v>0.57018243051773332</v>
      </c>
      <c r="N7" s="132">
        <v>0.66724243133136674</v>
      </c>
      <c r="O7" s="132">
        <v>0.4947175288752505</v>
      </c>
      <c r="P7" s="132">
        <v>0.28422839431872426</v>
      </c>
      <c r="Q7" s="132">
        <v>7.6882651406869992E-2</v>
      </c>
      <c r="R7" s="132">
        <v>0.16120095355323713</v>
      </c>
      <c r="S7" s="132">
        <v>0</v>
      </c>
      <c r="T7" s="132">
        <v>2.9752793897621577E-2</v>
      </c>
      <c r="U7" s="132">
        <v>0</v>
      </c>
      <c r="V7" s="132">
        <v>0</v>
      </c>
      <c r="W7" s="132">
        <v>0</v>
      </c>
      <c r="X7" s="132">
        <v>2.6362989716899751E-2</v>
      </c>
      <c r="Y7" s="132">
        <v>0.19942725454033244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2.0630079874836746E-3</v>
      </c>
      <c r="D8" s="132">
        <v>6.8276923824658869E-3</v>
      </c>
      <c r="E8" s="132">
        <v>7.856375672482525E-3</v>
      </c>
      <c r="F8" s="132">
        <v>5.1123118948500227E-3</v>
      </c>
      <c r="G8" s="132">
        <v>9.8998120961650022E-3</v>
      </c>
      <c r="H8" s="132">
        <v>8.8294493463563824E-3</v>
      </c>
      <c r="I8" s="132">
        <v>5.0529745695496397E-2</v>
      </c>
      <c r="J8" s="132">
        <v>1.5950478285145869E-2</v>
      </c>
      <c r="K8" s="132">
        <v>1.7731632296966192E-2</v>
      </c>
      <c r="L8" s="132">
        <v>1.110888748646645E-2</v>
      </c>
      <c r="M8" s="132">
        <v>8.7005191988944013E-3</v>
      </c>
      <c r="N8" s="132">
        <v>7.2262022070210541E-3</v>
      </c>
      <c r="O8" s="132">
        <v>1.0382578137079589E-2</v>
      </c>
      <c r="P8" s="132">
        <v>2.8744061270772635E-2</v>
      </c>
      <c r="Q8" s="132">
        <v>2.2090468955852361E-2</v>
      </c>
      <c r="R8" s="132">
        <v>2.0957229444364206E-2</v>
      </c>
      <c r="S8" s="132">
        <v>1.6937449618271708E-2</v>
      </c>
      <c r="T8" s="132">
        <v>2.3239615807140949E-2</v>
      </c>
      <c r="U8" s="132">
        <v>2.3424000677907637E-2</v>
      </c>
      <c r="V8" s="132">
        <v>3.2412154193505516E-2</v>
      </c>
      <c r="W8" s="132">
        <v>2.949594084145377E-2</v>
      </c>
      <c r="X8" s="132">
        <v>4.2208783289901547E-2</v>
      </c>
      <c r="Y8" s="132">
        <v>4.2975037396494699E-2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3.3729360336105123</v>
      </c>
      <c r="D9" s="132">
        <v>6.8324741564922604</v>
      </c>
      <c r="E9" s="132">
        <v>7.6719785173131809</v>
      </c>
      <c r="F9" s="132">
        <v>6.3276979986435364</v>
      </c>
      <c r="G9" s="132">
        <v>5.9249677204417441</v>
      </c>
      <c r="H9" s="132">
        <v>5.6422452229174818</v>
      </c>
      <c r="I9" s="132">
        <v>4.0965770803420005</v>
      </c>
      <c r="J9" s="132">
        <v>1.9778049764126671</v>
      </c>
      <c r="K9" s="132">
        <v>1.843594463990061</v>
      </c>
      <c r="L9" s="132">
        <v>1.0804592657265895</v>
      </c>
      <c r="M9" s="132">
        <v>0.74239937016887103</v>
      </c>
      <c r="N9" s="132">
        <v>1.0197490220125003</v>
      </c>
      <c r="O9" s="132">
        <v>1.4037540720982786</v>
      </c>
      <c r="P9" s="132">
        <v>0.70886954466635876</v>
      </c>
      <c r="Q9" s="132">
        <v>2.3906310608020309</v>
      </c>
      <c r="R9" s="132">
        <v>2.231866813218129</v>
      </c>
      <c r="S9" s="132">
        <v>2.4328793153587918</v>
      </c>
      <c r="T9" s="132">
        <v>1.5993397476851545</v>
      </c>
      <c r="U9" s="132">
        <v>2.3042616885184093</v>
      </c>
      <c r="V9" s="132">
        <v>2.025526030676311</v>
      </c>
      <c r="W9" s="132">
        <v>1.2089361622785657</v>
      </c>
      <c r="X9" s="132">
        <v>1.1398531010708364</v>
      </c>
      <c r="Y9" s="132">
        <v>0.31010307407869631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0.72659362154123119</v>
      </c>
      <c r="D10" s="132">
        <v>2.3296525977525029</v>
      </c>
      <c r="E10" s="132">
        <v>1.3229756163275699</v>
      </c>
      <c r="F10" s="132">
        <v>0.80923607329418179</v>
      </c>
      <c r="G10" s="132">
        <v>0.99467980718431548</v>
      </c>
      <c r="H10" s="132">
        <v>0.92375762720492371</v>
      </c>
      <c r="I10" s="132">
        <v>9.0332639122539554E-2</v>
      </c>
      <c r="J10" s="132">
        <v>0</v>
      </c>
      <c r="K10" s="132">
        <v>0</v>
      </c>
      <c r="L10" s="132">
        <v>0.16237676347862789</v>
      </c>
      <c r="M10" s="132">
        <v>0.53242822435328607</v>
      </c>
      <c r="N10" s="132">
        <v>0.34954763824650342</v>
      </c>
      <c r="O10" s="132">
        <v>0.44211975855783053</v>
      </c>
      <c r="P10" s="132">
        <v>0.92676613060365354</v>
      </c>
      <c r="Q10" s="132">
        <v>0.30092349760346032</v>
      </c>
      <c r="R10" s="132">
        <v>0.85357452050502647</v>
      </c>
      <c r="S10" s="132">
        <v>0.817118930643289</v>
      </c>
      <c r="T10" s="132">
        <v>0.60591469730315894</v>
      </c>
      <c r="U10" s="132">
        <v>0.17530416022531475</v>
      </c>
      <c r="V10" s="132">
        <v>0.1184195592879619</v>
      </c>
      <c r="W10" s="132">
        <v>0</v>
      </c>
      <c r="X10" s="132">
        <v>0</v>
      </c>
      <c r="Y10" s="132">
        <v>0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18.620955031258237</v>
      </c>
      <c r="D12" s="132">
        <v>18.746649897889856</v>
      </c>
      <c r="E12" s="132">
        <v>17.018766195533814</v>
      </c>
      <c r="F12" s="132">
        <v>14.298618748642413</v>
      </c>
      <c r="G12" s="132">
        <v>13.145854388346983</v>
      </c>
      <c r="H12" s="132">
        <v>12.811861501813521</v>
      </c>
      <c r="I12" s="132">
        <v>19.736626027529969</v>
      </c>
      <c r="J12" s="132">
        <v>11.342693834179517</v>
      </c>
      <c r="K12" s="132">
        <v>17.873859608714888</v>
      </c>
      <c r="L12" s="132">
        <v>21.146969618533902</v>
      </c>
      <c r="M12" s="132">
        <v>6.8096628425552579</v>
      </c>
      <c r="N12" s="132">
        <v>4.2897668269593714</v>
      </c>
      <c r="O12" s="132">
        <v>4.6413880168167232</v>
      </c>
      <c r="P12" s="132">
        <v>5.218700115869054</v>
      </c>
      <c r="Q12" s="132">
        <v>4.8457596114190267</v>
      </c>
      <c r="R12" s="132">
        <v>6.2560606102450196</v>
      </c>
      <c r="S12" s="132">
        <v>6.6729767061684431</v>
      </c>
      <c r="T12" s="132">
        <v>5.6928291368922981</v>
      </c>
      <c r="U12" s="132">
        <v>4.6928013239658126</v>
      </c>
      <c r="V12" s="132">
        <v>4.3366924811248522</v>
      </c>
      <c r="W12" s="132">
        <v>5.1720516291753809</v>
      </c>
      <c r="X12" s="132">
        <v>4.4570165290094286</v>
      </c>
      <c r="Y12" s="132">
        <v>5.310873251649098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3.3690437891973561E-2</v>
      </c>
      <c r="D13" s="132">
        <v>3.4005882612916573E-2</v>
      </c>
      <c r="E13" s="132">
        <v>2.7212887395248589E-2</v>
      </c>
      <c r="F13" s="132">
        <v>2.9533775550405171E-2</v>
      </c>
      <c r="G13" s="132">
        <v>0.11628385418569503</v>
      </c>
      <c r="H13" s="132">
        <v>0.14412170332449803</v>
      </c>
      <c r="I13" s="132">
        <v>0.7907454359583076</v>
      </c>
      <c r="J13" s="132">
        <v>0.24302704031890165</v>
      </c>
      <c r="K13" s="132">
        <v>0.21594429163282453</v>
      </c>
      <c r="L13" s="132">
        <v>0.11198919829328989</v>
      </c>
      <c r="M13" s="132">
        <v>8.0395271297454746E-2</v>
      </c>
      <c r="N13" s="132">
        <v>4.4734313428608889E-2</v>
      </c>
      <c r="O13" s="132">
        <v>5.2808117367524332E-2</v>
      </c>
      <c r="P13" s="132">
        <v>9.6468053946131033E-2</v>
      </c>
      <c r="Q13" s="132">
        <v>6.7440134849044278E-2</v>
      </c>
      <c r="R13" s="132">
        <v>8.3844903843118893E-2</v>
      </c>
      <c r="S13" s="132">
        <v>7.6330997408741122E-2</v>
      </c>
      <c r="T13" s="132">
        <v>0.11118976305935578</v>
      </c>
      <c r="U13" s="132">
        <v>0.1165010480675842</v>
      </c>
      <c r="V13" s="132">
        <v>0.13628680288702172</v>
      </c>
      <c r="W13" s="132">
        <v>0.1557130967400219</v>
      </c>
      <c r="X13" s="132">
        <v>0.15587128440136355</v>
      </c>
      <c r="Y13" s="132">
        <v>0.14486558329701163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4.3686610846410447</v>
      </c>
      <c r="D14" s="65">
        <v>2.7884775336468297</v>
      </c>
      <c r="E14" s="65">
        <v>2.5633102083714063</v>
      </c>
      <c r="F14" s="65">
        <v>4.2715901303840651</v>
      </c>
      <c r="G14" s="65">
        <v>5.0858370785659286</v>
      </c>
      <c r="H14" s="65">
        <v>5.8926858821551749</v>
      </c>
      <c r="I14" s="65">
        <v>6.1779976492660094</v>
      </c>
      <c r="J14" s="65">
        <v>2.0945081743438281</v>
      </c>
      <c r="K14" s="65">
        <v>1.0173465992504331</v>
      </c>
      <c r="L14" s="65">
        <v>1.1996060234615669</v>
      </c>
      <c r="M14" s="65">
        <v>0.48186746231107991</v>
      </c>
      <c r="N14" s="65">
        <v>4.3315165274940759E-3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0.34320690992113911</v>
      </c>
      <c r="X14" s="65">
        <v>0.24886791882651466</v>
      </c>
      <c r="Y14" s="65">
        <v>0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0.11961728327924345</v>
      </c>
      <c r="D15" s="134">
        <v>0.17065299490275787</v>
      </c>
      <c r="E15" s="134">
        <v>0.16826404149302371</v>
      </c>
      <c r="F15" s="134">
        <v>0.14060556502494187</v>
      </c>
      <c r="G15" s="134">
        <v>0.12001238211349124</v>
      </c>
      <c r="H15" s="134">
        <v>0.1104058118340686</v>
      </c>
      <c r="I15" s="134">
        <v>0.12088970688781479</v>
      </c>
      <c r="J15" s="134">
        <v>6.9918694495288591E-2</v>
      </c>
      <c r="K15" s="134">
        <v>9.3532561712910856E-2</v>
      </c>
      <c r="L15" s="134">
        <v>9.8139071664666913E-2</v>
      </c>
      <c r="M15" s="134">
        <v>3.9849423927774241E-2</v>
      </c>
      <c r="N15" s="134">
        <v>3.4361759160939143E-2</v>
      </c>
      <c r="O15" s="134">
        <v>3.9204871942713979E-2</v>
      </c>
      <c r="P15" s="134">
        <v>3.4257688000377255E-2</v>
      </c>
      <c r="Q15" s="134">
        <v>4.8318687047098088E-2</v>
      </c>
      <c r="R15" s="134">
        <v>5.5327082012680079E-2</v>
      </c>
      <c r="S15" s="134">
        <v>5.751115804187034E-2</v>
      </c>
      <c r="T15" s="134">
        <v>4.3433731219746509E-2</v>
      </c>
      <c r="U15" s="134">
        <v>4.6718452664506478E-2</v>
      </c>
      <c r="V15" s="134">
        <v>4.2042958689915672E-2</v>
      </c>
      <c r="W15" s="134">
        <v>3.4251374667123219E-2</v>
      </c>
      <c r="X15" s="134">
        <v>3.1423847804876372E-2</v>
      </c>
      <c r="Y15" s="134">
        <v>2.6044091072448018E-2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2.1995978964016061</v>
      </c>
      <c r="D16" s="130">
        <f t="shared" si="6"/>
        <v>2.391309361652413</v>
      </c>
      <c r="E16" s="130">
        <f t="shared" si="6"/>
        <v>2.1121488439713083</v>
      </c>
      <c r="F16" s="130">
        <f t="shared" si="6"/>
        <v>1.9145125184544023</v>
      </c>
      <c r="G16" s="130">
        <f t="shared" si="6"/>
        <v>1.8305112373648276</v>
      </c>
      <c r="H16" s="130">
        <f t="shared" si="6"/>
        <v>1.7871935682055302</v>
      </c>
      <c r="I16" s="130">
        <f t="shared" si="6"/>
        <v>2.3918696719351291</v>
      </c>
      <c r="J16" s="130">
        <f t="shared" si="6"/>
        <v>1.2210210509134585</v>
      </c>
      <c r="K16" s="130">
        <f t="shared" si="6"/>
        <v>1.660373241483236</v>
      </c>
      <c r="L16" s="130">
        <f t="shared" si="6"/>
        <v>1.6574873223290032</v>
      </c>
      <c r="M16" s="130">
        <f t="shared" si="6"/>
        <v>0.68974169064851554</v>
      </c>
      <c r="N16" s="130">
        <f t="shared" si="6"/>
        <v>0.44196680449472975</v>
      </c>
      <c r="O16" s="130">
        <f t="shared" si="6"/>
        <v>0.48393199583953178</v>
      </c>
      <c r="P16" s="130">
        <f t="shared" si="6"/>
        <v>0.57620014192925617</v>
      </c>
      <c r="Q16" s="130">
        <f t="shared" si="6"/>
        <v>0.56360749962337353</v>
      </c>
      <c r="R16" s="130">
        <f t="shared" ref="R16:W16" si="7">SUM(R17:R18)</f>
        <v>0.66933146907428065</v>
      </c>
      <c r="S16" s="130">
        <f t="shared" si="7"/>
        <v>0.69032577498962322</v>
      </c>
      <c r="T16" s="130">
        <f t="shared" si="7"/>
        <v>0.64321089825390076</v>
      </c>
      <c r="U16" s="130">
        <f t="shared" si="7"/>
        <v>0.61602518135590167</v>
      </c>
      <c r="V16" s="130">
        <f t="shared" si="7"/>
        <v>0.55812415471709131</v>
      </c>
      <c r="W16" s="130">
        <f t="shared" si="7"/>
        <v>0.52102825983886913</v>
      </c>
      <c r="X16" s="130">
        <f t="shared" ref="X16:Y16" si="8">SUM(X17:X18)</f>
        <v>0.53300067394682016</v>
      </c>
      <c r="Y16" s="130">
        <f t="shared" si="8"/>
        <v>0.51930961706233303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4.7073374747702125E-3</v>
      </c>
      <c r="D17" s="132">
        <v>5.8047214829688321E-3</v>
      </c>
      <c r="E17" s="132">
        <v>4.2658529689637917E-3</v>
      </c>
      <c r="F17" s="132">
        <v>5.5997448874237276E-3</v>
      </c>
      <c r="G17" s="132">
        <v>5.7168373601852365E-3</v>
      </c>
      <c r="H17" s="132">
        <v>4.5725638602856951E-3</v>
      </c>
      <c r="I17" s="132">
        <v>5.4795592044497134E-3</v>
      </c>
      <c r="J17" s="132">
        <v>3.2934758497852527E-3</v>
      </c>
      <c r="K17" s="132">
        <v>4.183053627041626E-3</v>
      </c>
      <c r="L17" s="132">
        <v>6.1378766237813152E-3</v>
      </c>
      <c r="M17" s="132">
        <v>3.2183368290750912E-3</v>
      </c>
      <c r="N17" s="132">
        <v>2.7730796606920756E-3</v>
      </c>
      <c r="O17" s="132">
        <v>4.2565042654114935E-3</v>
      </c>
      <c r="P17" s="132">
        <v>7.4356764246052923E-3</v>
      </c>
      <c r="Q17" s="132">
        <v>1.1569528919054332E-2</v>
      </c>
      <c r="R17" s="132">
        <v>1.3372001022774724E-2</v>
      </c>
      <c r="S17" s="132">
        <v>1.2828405893148605E-2</v>
      </c>
      <c r="T17" s="132">
        <v>9.00690007224751E-3</v>
      </c>
      <c r="U17" s="132">
        <v>1.2967609375241483E-2</v>
      </c>
      <c r="V17" s="132">
        <v>2.0596617929107854E-2</v>
      </c>
      <c r="W17" s="132">
        <v>6.2798159617902839E-3</v>
      </c>
      <c r="X17" s="132">
        <v>5.7677448574412517E-3</v>
      </c>
      <c r="Y17" s="132">
        <v>7.6167587982324545E-3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2.1948905589268359</v>
      </c>
      <c r="D18" s="132">
        <v>2.3855046401694442</v>
      </c>
      <c r="E18" s="132">
        <v>2.1078829910023447</v>
      </c>
      <c r="F18" s="132">
        <v>1.9089127735669786</v>
      </c>
      <c r="G18" s="132">
        <v>1.8247944000046423</v>
      </c>
      <c r="H18" s="132">
        <v>1.7826210043452446</v>
      </c>
      <c r="I18" s="132">
        <v>2.3863901127306795</v>
      </c>
      <c r="J18" s="132">
        <v>1.2177275750636731</v>
      </c>
      <c r="K18" s="132">
        <v>1.6561901878561944</v>
      </c>
      <c r="L18" s="132">
        <v>1.6513494457052218</v>
      </c>
      <c r="M18" s="132">
        <v>0.68652335381944041</v>
      </c>
      <c r="N18" s="132">
        <v>0.43919372483403768</v>
      </c>
      <c r="O18" s="132">
        <v>0.47967549157412026</v>
      </c>
      <c r="P18" s="132">
        <v>0.56876446550465087</v>
      </c>
      <c r="Q18" s="132">
        <v>0.55203797070431915</v>
      </c>
      <c r="R18" s="132">
        <v>0.65595946805150596</v>
      </c>
      <c r="S18" s="132">
        <v>0.67749736909647462</v>
      </c>
      <c r="T18" s="132">
        <v>0.63420399818165329</v>
      </c>
      <c r="U18" s="132">
        <v>0.60305757198066023</v>
      </c>
      <c r="V18" s="132">
        <v>0.53752753678798348</v>
      </c>
      <c r="W18" s="132">
        <v>0.51474844387707885</v>
      </c>
      <c r="X18" s="132">
        <v>0.52723292908937891</v>
      </c>
      <c r="Y18" s="132">
        <v>0.5116928582641006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3.4272214293656873</v>
      </c>
      <c r="D19" s="130">
        <f t="shared" si="9"/>
        <v>3.944355270521037</v>
      </c>
      <c r="E19" s="130">
        <f t="shared" si="9"/>
        <v>3.6984500382981502</v>
      </c>
      <c r="F19" s="130">
        <f t="shared" si="9"/>
        <v>3.4513253653076075</v>
      </c>
      <c r="G19" s="130">
        <f t="shared" si="9"/>
        <v>3.4223142899702084</v>
      </c>
      <c r="H19" s="130">
        <f t="shared" si="9"/>
        <v>3.4841084588786826</v>
      </c>
      <c r="I19" s="130">
        <f t="shared" si="9"/>
        <v>4.6984669584021859</v>
      </c>
      <c r="J19" s="130">
        <f t="shared" si="9"/>
        <v>2.4864041589974337</v>
      </c>
      <c r="K19" s="130">
        <f t="shared" si="9"/>
        <v>3.4739794531595423</v>
      </c>
      <c r="L19" s="130">
        <f t="shared" si="9"/>
        <v>3.4627753542252195</v>
      </c>
      <c r="M19" s="130">
        <f t="shared" si="9"/>
        <v>1.5626837855363858</v>
      </c>
      <c r="N19" s="130">
        <f t="shared" si="9"/>
        <v>1.0786824662918255</v>
      </c>
      <c r="O19" s="130">
        <f t="shared" si="9"/>
        <v>1.2285879078376865</v>
      </c>
      <c r="P19" s="130">
        <f t="shared" si="9"/>
        <v>1.5453504576756891</v>
      </c>
      <c r="Q19" s="130">
        <f t="shared" si="9"/>
        <v>1.5831711126351775</v>
      </c>
      <c r="R19" s="130">
        <f t="shared" ref="R19:W19" si="10">SUM(R20:R27)</f>
        <v>1.9532586691147369</v>
      </c>
      <c r="S19" s="130">
        <f t="shared" si="10"/>
        <v>2.0742605000444803</v>
      </c>
      <c r="T19" s="130">
        <f t="shared" si="10"/>
        <v>1.8714460856614308</v>
      </c>
      <c r="U19" s="130">
        <f t="shared" si="10"/>
        <v>1.8379085969745002</v>
      </c>
      <c r="V19" s="130">
        <f t="shared" si="10"/>
        <v>1.5707852506007371</v>
      </c>
      <c r="W19" s="130">
        <f t="shared" si="10"/>
        <v>1.6063214568285609</v>
      </c>
      <c r="X19" s="130">
        <f t="shared" ref="X19:Y19" si="11">SUM(X20:X27)</f>
        <v>1.6971910776002626</v>
      </c>
      <c r="Y19" s="130">
        <f t="shared" si="11"/>
        <v>1.7678985945488312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0.21188773052504611</v>
      </c>
      <c r="D22" s="132">
        <v>0.24378799930263423</v>
      </c>
      <c r="E22" s="132">
        <v>0.22694818538404365</v>
      </c>
      <c r="F22" s="132">
        <v>0.17603645361044634</v>
      </c>
      <c r="G22" s="132">
        <v>8.934398385667347E-2</v>
      </c>
      <c r="H22" s="132">
        <v>9.9041730775814157E-3</v>
      </c>
      <c r="I22" s="132">
        <v>5.3041538371500857E-2</v>
      </c>
      <c r="J22" s="132">
        <v>0.10606542978562009</v>
      </c>
      <c r="K22" s="132">
        <v>0.16440180122995376</v>
      </c>
      <c r="L22" s="132">
        <v>0.14497762482413049</v>
      </c>
      <c r="M22" s="132">
        <v>6.1828226434994603E-2</v>
      </c>
      <c r="N22" s="132">
        <v>6.2433862258753046E-2</v>
      </c>
      <c r="O22" s="132">
        <v>7.0955380411094088E-2</v>
      </c>
      <c r="P22" s="132">
        <v>3.4361179159681385E-2</v>
      </c>
      <c r="Q22" s="132">
        <v>2.2704616930222739E-2</v>
      </c>
      <c r="R22" s="132">
        <v>2.9332399207975444E-2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1.1468616274480075E-2</v>
      </c>
      <c r="Y22" s="132">
        <v>1.8115156057002264E-2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0.3772410042210545</v>
      </c>
      <c r="D23" s="132">
        <v>0.75059792574858408</v>
      </c>
      <c r="E23" s="132">
        <v>0.84941029434946824</v>
      </c>
      <c r="F23" s="132">
        <v>0.71640401390906583</v>
      </c>
      <c r="G23" s="132">
        <v>0.75032819712088361</v>
      </c>
      <c r="H23" s="132">
        <v>0.67986388561002586</v>
      </c>
      <c r="I23" s="132">
        <v>0.64234017865224591</v>
      </c>
      <c r="J23" s="132">
        <v>0.33193126369330062</v>
      </c>
      <c r="K23" s="132">
        <v>0.29445382548197718</v>
      </c>
      <c r="L23" s="132">
        <v>0.18402604941035425</v>
      </c>
      <c r="M23" s="132">
        <v>3.9266642849162181E-3</v>
      </c>
      <c r="N23" s="132">
        <v>5.1495977325368494E-2</v>
      </c>
      <c r="O23" s="132">
        <v>0.10942218391207056</v>
      </c>
      <c r="P23" s="132">
        <v>0.20366792776836684</v>
      </c>
      <c r="Q23" s="132">
        <v>0.40787974344774214</v>
      </c>
      <c r="R23" s="132">
        <v>0.43971907338509042</v>
      </c>
      <c r="S23" s="132">
        <v>0.45333034658156085</v>
      </c>
      <c r="T23" s="132">
        <v>0.28954663724895807</v>
      </c>
      <c r="U23" s="132">
        <v>0.2724553206937288</v>
      </c>
      <c r="V23" s="132">
        <v>0.12485916831045796</v>
      </c>
      <c r="W23" s="132">
        <v>3.6457198372991636E-3</v>
      </c>
      <c r="X23" s="132">
        <v>6.1173404504208505E-3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9.3163480100347154E-2</v>
      </c>
      <c r="D24" s="132">
        <v>9.0171664376529417E-2</v>
      </c>
      <c r="E24" s="132">
        <v>8.0259103700900933E-2</v>
      </c>
      <c r="F24" s="132">
        <v>7.1953935973447333E-2</v>
      </c>
      <c r="G24" s="132">
        <v>7.566559200076052E-2</v>
      </c>
      <c r="H24" s="132">
        <v>7.5817257655230549E-2</v>
      </c>
      <c r="I24" s="132">
        <v>9.7719464530091352E-2</v>
      </c>
      <c r="J24" s="132">
        <v>6.0008983365393953E-2</v>
      </c>
      <c r="K24" s="132">
        <v>7.9749473103422869E-2</v>
      </c>
      <c r="L24" s="132">
        <v>7.7044541885004106E-2</v>
      </c>
      <c r="M24" s="132">
        <v>3.9945312607182183E-2</v>
      </c>
      <c r="N24" s="132">
        <v>2.6204769902642772E-2</v>
      </c>
      <c r="O24" s="132">
        <v>2.5430545368308098E-2</v>
      </c>
      <c r="P24" s="132">
        <v>4.2850592111111932E-2</v>
      </c>
      <c r="Q24" s="132">
        <v>5.452750103719449E-2</v>
      </c>
      <c r="R24" s="132">
        <v>9.5876461194838711E-2</v>
      </c>
      <c r="S24" s="132">
        <v>6.9133272939604987E-2</v>
      </c>
      <c r="T24" s="132">
        <v>5.9544149305509629E-2</v>
      </c>
      <c r="U24" s="132">
        <v>4.3412326735718737E-2</v>
      </c>
      <c r="V24" s="132">
        <v>2.9623501345699847E-2</v>
      </c>
      <c r="W24" s="132">
        <v>1.1176504334318535E-2</v>
      </c>
      <c r="X24" s="132">
        <v>1.3452284286292037E-3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1.9033648595494368</v>
      </c>
      <c r="D25" s="132">
        <v>1.8329545042828426</v>
      </c>
      <c r="E25" s="132">
        <v>1.6351897505040596</v>
      </c>
      <c r="F25" s="132">
        <v>1.3914677144074927</v>
      </c>
      <c r="G25" s="132">
        <v>1.3538724781053826</v>
      </c>
      <c r="H25" s="132">
        <v>1.3739283899135366</v>
      </c>
      <c r="I25" s="132">
        <v>2.3966332130853307</v>
      </c>
      <c r="J25" s="132">
        <v>1.361941671956409</v>
      </c>
      <c r="K25" s="132">
        <v>2.3077101625025422</v>
      </c>
      <c r="L25" s="132">
        <v>2.3791102076382677</v>
      </c>
      <c r="M25" s="132">
        <v>0.91134850743828066</v>
      </c>
      <c r="N25" s="132">
        <v>0.54729729554905127</v>
      </c>
      <c r="O25" s="132">
        <v>0.64704961869023725</v>
      </c>
      <c r="P25" s="132">
        <v>1.0650408888480232</v>
      </c>
      <c r="Q25" s="132">
        <v>0.93742575300373165</v>
      </c>
      <c r="R25" s="132">
        <v>1.1393328411197003</v>
      </c>
      <c r="S25" s="132">
        <v>1.1925655254979586</v>
      </c>
      <c r="T25" s="132">
        <v>1.3289012948158789</v>
      </c>
      <c r="U25" s="132">
        <v>1.2575365205984153</v>
      </c>
      <c r="V25" s="132">
        <v>1.2678544725429675</v>
      </c>
      <c r="W25" s="132">
        <v>1.2943491731317975</v>
      </c>
      <c r="X25" s="132">
        <v>1.6201137495460416</v>
      </c>
      <c r="Y25" s="132">
        <v>1.5947299904913961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0.75349749712940839</v>
      </c>
      <c r="D26" s="65">
        <v>0.90134266183673584</v>
      </c>
      <c r="E26" s="65">
        <v>0.81499015638720884</v>
      </c>
      <c r="F26" s="65">
        <v>0.96968293119776661</v>
      </c>
      <c r="G26" s="65">
        <v>0.98374157987702571</v>
      </c>
      <c r="H26" s="65">
        <v>1.1934910121179128</v>
      </c>
      <c r="I26" s="65">
        <v>1.3286290578252395</v>
      </c>
      <c r="J26" s="65">
        <v>0.50605623037843739</v>
      </c>
      <c r="K26" s="65">
        <v>0.56354726974790759</v>
      </c>
      <c r="L26" s="65">
        <v>0.32517919985452765</v>
      </c>
      <c r="M26" s="65">
        <v>0.40635085636294943</v>
      </c>
      <c r="N26" s="65">
        <v>0.3005066457097999</v>
      </c>
      <c r="O26" s="65">
        <v>0.22504808128765974</v>
      </c>
      <c r="P26" s="65">
        <v>0.19942986978850477</v>
      </c>
      <c r="Q26" s="65">
        <v>7.5081520725911982E-2</v>
      </c>
      <c r="R26" s="65">
        <v>0.1462519724305171</v>
      </c>
      <c r="S26" s="65">
        <v>0.32463993397613622</v>
      </c>
      <c r="T26" s="65">
        <v>7.0034452168426131E-2</v>
      </c>
      <c r="U26" s="65">
        <v>0.14198008579127608</v>
      </c>
      <c r="V26" s="65">
        <v>0</v>
      </c>
      <c r="W26" s="65">
        <v>0.2971251545216026</v>
      </c>
      <c r="X26" s="65">
        <v>5.8146142900690277E-2</v>
      </c>
      <c r="Y26" s="65">
        <v>0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8.8066857840394919E-2</v>
      </c>
      <c r="D27" s="147">
        <v>0.12550051497371095</v>
      </c>
      <c r="E27" s="147">
        <v>9.1652547972469134E-2</v>
      </c>
      <c r="F27" s="147">
        <v>0.12578031620938862</v>
      </c>
      <c r="G27" s="147">
        <v>0.16936245900948227</v>
      </c>
      <c r="H27" s="147">
        <v>0.15110374050439576</v>
      </c>
      <c r="I27" s="147">
        <v>0.18010350593777777</v>
      </c>
      <c r="J27" s="147">
        <v>0.12040057981827275</v>
      </c>
      <c r="K27" s="147">
        <v>6.4116921093738982E-2</v>
      </c>
      <c r="L27" s="147">
        <v>0.3524377306129356</v>
      </c>
      <c r="M27" s="147">
        <v>0.13928421840806263</v>
      </c>
      <c r="N27" s="147">
        <v>9.0743915546210183E-2</v>
      </c>
      <c r="O27" s="147">
        <v>0.15068209816831668</v>
      </c>
      <c r="P27" s="147">
        <v>9.0686067271283624E-16</v>
      </c>
      <c r="Q27" s="147">
        <v>8.5551977490374576E-2</v>
      </c>
      <c r="R27" s="147">
        <v>0.1027459217766149</v>
      </c>
      <c r="S27" s="147">
        <v>3.4591421049219952E-2</v>
      </c>
      <c r="T27" s="147">
        <v>0.12341955212265801</v>
      </c>
      <c r="U27" s="147">
        <v>0.12252434315536137</v>
      </c>
      <c r="V27" s="147">
        <v>0.14844810840161185</v>
      </c>
      <c r="W27" s="147">
        <v>2.4905003543309868E-5</v>
      </c>
      <c r="X27" s="147">
        <v>7.7196297239496749E-16</v>
      </c>
      <c r="Y27" s="147">
        <v>0.15505344800043275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3.1639833809795785</v>
      </c>
      <c r="D29" s="130">
        <f t="shared" si="12"/>
        <v>3.65862584571612</v>
      </c>
      <c r="E29" s="130">
        <f t="shared" si="12"/>
        <v>3.5217348575332408</v>
      </c>
      <c r="F29" s="130">
        <f t="shared" si="12"/>
        <v>3.4137548267860849</v>
      </c>
      <c r="G29" s="130">
        <f t="shared" si="12"/>
        <v>3.4679534725336225</v>
      </c>
      <c r="H29" s="130">
        <f t="shared" si="12"/>
        <v>3.5324907144293332</v>
      </c>
      <c r="I29" s="130">
        <f t="shared" si="12"/>
        <v>4.83853738725327</v>
      </c>
      <c r="J29" s="130">
        <f t="shared" si="12"/>
        <v>2.6200112780635596</v>
      </c>
      <c r="K29" s="130">
        <f t="shared" si="12"/>
        <v>3.7190544412226521</v>
      </c>
      <c r="L29" s="130">
        <f t="shared" si="12"/>
        <v>3.8542658041305584</v>
      </c>
      <c r="M29" s="130">
        <f t="shared" si="12"/>
        <v>1.6989089194554881</v>
      </c>
      <c r="N29" s="130">
        <f t="shared" si="12"/>
        <v>1.1630352795416254</v>
      </c>
      <c r="O29" s="130">
        <f t="shared" si="12"/>
        <v>1.3793790219598434</v>
      </c>
      <c r="P29" s="130">
        <f t="shared" si="12"/>
        <v>1.6967890650029307</v>
      </c>
      <c r="Q29" s="130">
        <f t="shared" si="12"/>
        <v>1.8095583382901361</v>
      </c>
      <c r="R29" s="130">
        <f t="shared" ref="R29:W29" si="13">SUM(R30:R33)</f>
        <v>2.218828707950836</v>
      </c>
      <c r="S29" s="130">
        <f t="shared" si="13"/>
        <v>2.3244019708544399</v>
      </c>
      <c r="T29" s="130">
        <f t="shared" si="13"/>
        <v>2.0747104627657293</v>
      </c>
      <c r="U29" s="130">
        <f t="shared" si="13"/>
        <v>2.0941481263988782</v>
      </c>
      <c r="V29" s="130">
        <f t="shared" si="13"/>
        <v>1.6221545011719178</v>
      </c>
      <c r="W29" s="130">
        <f t="shared" si="13"/>
        <v>1.7965114378732308</v>
      </c>
      <c r="X29" s="130">
        <f t="shared" ref="X29:Y29" si="14">SUM(X30:X33)</f>
        <v>1.8041021566108293</v>
      </c>
      <c r="Y29" s="130">
        <f t="shared" si="14"/>
        <v>1.8650517360893031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7.0262659293233359E-2</v>
      </c>
      <c r="D30" s="132">
        <v>0.1523500387234033</v>
      </c>
      <c r="E30" s="132">
        <v>0.22918703566477283</v>
      </c>
      <c r="F30" s="132">
        <v>0.25488486277198674</v>
      </c>
      <c r="G30" s="132">
        <v>0.24719675862719973</v>
      </c>
      <c r="H30" s="132">
        <v>0.1464511635976532</v>
      </c>
      <c r="I30" s="132">
        <v>0.14094323012726712</v>
      </c>
      <c r="J30" s="132">
        <v>9.8703811113259224E-2</v>
      </c>
      <c r="K30" s="132">
        <v>0.14735076860890364</v>
      </c>
      <c r="L30" s="132">
        <v>0.2624191373601592</v>
      </c>
      <c r="M30" s="132">
        <v>4.6619431614189633E-2</v>
      </c>
      <c r="N30" s="132">
        <v>2.9910541397054247E-3</v>
      </c>
      <c r="O30" s="132">
        <v>6.4864826345213719E-2</v>
      </c>
      <c r="P30" s="132">
        <v>8.2351669969541172E-2</v>
      </c>
      <c r="Q30" s="132">
        <v>0.19142531503441643</v>
      </c>
      <c r="R30" s="132">
        <v>0.21998277183995432</v>
      </c>
      <c r="S30" s="132">
        <v>0.17216483775620675</v>
      </c>
      <c r="T30" s="132">
        <v>0.11044448292541814</v>
      </c>
      <c r="U30" s="132">
        <v>9.9347575298117538E-2</v>
      </c>
      <c r="V30" s="132">
        <v>0.10815038443243907</v>
      </c>
      <c r="W30" s="132">
        <v>0.1505979456527661</v>
      </c>
      <c r="X30" s="132">
        <v>0.21056663925509808</v>
      </c>
      <c r="Y30" s="132">
        <v>0.24216189932518595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0.5827876517101257</v>
      </c>
      <c r="D31" s="132">
        <v>0.68622869941283438</v>
      </c>
      <c r="E31" s="132">
        <v>0.70164550175277252</v>
      </c>
      <c r="F31" s="132">
        <v>0.71806434699244337</v>
      </c>
      <c r="G31" s="132">
        <v>0.87573611182684208</v>
      </c>
      <c r="H31" s="132">
        <v>0.806770480633483</v>
      </c>
      <c r="I31" s="132">
        <v>0.99424738376222088</v>
      </c>
      <c r="J31" s="132">
        <v>0.5478958957929817</v>
      </c>
      <c r="K31" s="132">
        <v>0.72726800751217069</v>
      </c>
      <c r="L31" s="132">
        <v>0.65433604534383705</v>
      </c>
      <c r="M31" s="132">
        <v>0.23159097415027324</v>
      </c>
      <c r="N31" s="132">
        <v>0.18145378404240856</v>
      </c>
      <c r="O31" s="132">
        <v>0.26802043473080295</v>
      </c>
      <c r="P31" s="132">
        <v>0.36916512166330062</v>
      </c>
      <c r="Q31" s="132">
        <v>0.50348972193576602</v>
      </c>
      <c r="R31" s="132">
        <v>0.49980236847508264</v>
      </c>
      <c r="S31" s="132">
        <v>0.48333558547384858</v>
      </c>
      <c r="T31" s="132">
        <v>0.51013992004987618</v>
      </c>
      <c r="U31" s="132">
        <v>0.61774231721319661</v>
      </c>
      <c r="V31" s="132">
        <v>0.35871249501481139</v>
      </c>
      <c r="W31" s="132">
        <v>0.63194943494058275</v>
      </c>
      <c r="X31" s="132">
        <v>0.844425786409574</v>
      </c>
      <c r="Y31" s="132">
        <v>1.3404669483760963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2.5109330699762196</v>
      </c>
      <c r="D33" s="68">
        <v>2.8200471075798825</v>
      </c>
      <c r="E33" s="68">
        <v>2.5909023201156955</v>
      </c>
      <c r="F33" s="68">
        <v>2.4408056170216548</v>
      </c>
      <c r="G33" s="68">
        <v>2.3450206020795807</v>
      </c>
      <c r="H33" s="68">
        <v>2.5792690701981971</v>
      </c>
      <c r="I33" s="68">
        <v>3.7033467733637817</v>
      </c>
      <c r="J33" s="68">
        <v>1.9734115711573188</v>
      </c>
      <c r="K33" s="68">
        <v>2.8444356651015776</v>
      </c>
      <c r="L33" s="68">
        <v>2.9375106214265623</v>
      </c>
      <c r="M33" s="68">
        <v>1.4206985136910251</v>
      </c>
      <c r="N33" s="68">
        <v>0.97859044135951145</v>
      </c>
      <c r="O33" s="68">
        <v>1.0464937608838267</v>
      </c>
      <c r="P33" s="68">
        <v>1.2452722733700889</v>
      </c>
      <c r="Q33" s="68">
        <v>1.1146433013199537</v>
      </c>
      <c r="R33" s="68">
        <v>1.4990435676357992</v>
      </c>
      <c r="S33" s="68">
        <v>1.6689015476243847</v>
      </c>
      <c r="T33" s="68">
        <v>1.4541260597904349</v>
      </c>
      <c r="U33" s="68">
        <v>1.3770582338875641</v>
      </c>
      <c r="V33" s="68">
        <v>1.1552916217246674</v>
      </c>
      <c r="W33" s="68">
        <v>1.013964057279882</v>
      </c>
      <c r="X33" s="68">
        <v>0.74910973094615718</v>
      </c>
      <c r="Y33" s="68">
        <v>0.28242288838802088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32.232236368490376</v>
      </c>
      <c r="D3" s="125">
        <f t="shared" si="0"/>
        <v>36.034850281664809</v>
      </c>
      <c r="E3" s="125">
        <f t="shared" si="0"/>
        <v>33.748895842308613</v>
      </c>
      <c r="F3" s="125">
        <f t="shared" si="0"/>
        <v>31.299878731995079</v>
      </c>
      <c r="G3" s="125">
        <f t="shared" si="0"/>
        <v>30.50134370999638</v>
      </c>
      <c r="H3" s="125">
        <f t="shared" si="0"/>
        <v>30.839193644337943</v>
      </c>
      <c r="I3" s="125">
        <f t="shared" si="0"/>
        <v>42.030681010159476</v>
      </c>
      <c r="J3" s="125">
        <f t="shared" si="0"/>
        <v>21.976438771435333</v>
      </c>
      <c r="K3" s="125">
        <f t="shared" si="0"/>
        <v>30.261115302770833</v>
      </c>
      <c r="L3" s="125">
        <f t="shared" si="0"/>
        <v>33.073472272993591</v>
      </c>
      <c r="M3" s="125">
        <f t="shared" si="0"/>
        <v>13.034838597037107</v>
      </c>
      <c r="N3" s="125">
        <f t="shared" si="0"/>
        <v>8.8438875491244886</v>
      </c>
      <c r="O3" s="125">
        <f t="shared" si="0"/>
        <v>10.070191628457927</v>
      </c>
      <c r="P3" s="125">
        <f t="shared" si="0"/>
        <v>11.588372168523946</v>
      </c>
      <c r="Q3" s="125">
        <f t="shared" si="0"/>
        <v>12.130254482946611</v>
      </c>
      <c r="R3" s="125">
        <f t="shared" ref="R3:W3" si="1">SUM(R4,R16,R19,R29)</f>
        <v>15.163829183822379</v>
      </c>
      <c r="S3" s="125">
        <f t="shared" si="1"/>
        <v>16.016453798947655</v>
      </c>
      <c r="T3" s="125">
        <f t="shared" si="1"/>
        <v>14.085584987179873</v>
      </c>
      <c r="U3" s="125">
        <f t="shared" si="1"/>
        <v>13.42443882796077</v>
      </c>
      <c r="V3" s="125">
        <f t="shared" si="1"/>
        <v>12.112701703015386</v>
      </c>
      <c r="W3" s="125">
        <f t="shared" si="1"/>
        <v>12.546804825937588</v>
      </c>
      <c r="X3" s="125">
        <f t="shared" ref="X3:Y3" si="2">SUM(X4,X16,X19,X29)</f>
        <v>11.963253533904179</v>
      </c>
      <c r="Y3" s="125">
        <f t="shared" si="2"/>
        <v>11.867772525260074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21.092054075121197</v>
      </c>
      <c r="D4" s="130">
        <f t="shared" si="3"/>
        <v>23.332566070771829</v>
      </c>
      <c r="E4" s="130">
        <f t="shared" si="3"/>
        <v>21.896998659780188</v>
      </c>
      <c r="F4" s="130">
        <f t="shared" si="3"/>
        <v>20.043990159431502</v>
      </c>
      <c r="G4" s="130">
        <f t="shared" si="3"/>
        <v>19.225095620144241</v>
      </c>
      <c r="H4" s="130">
        <f t="shared" si="3"/>
        <v>19.28765297673921</v>
      </c>
      <c r="I4" s="130">
        <f t="shared" si="3"/>
        <v>25.960648552170415</v>
      </c>
      <c r="J4" s="130">
        <f t="shared" si="3"/>
        <v>13.393275904192938</v>
      </c>
      <c r="K4" s="130">
        <f t="shared" si="3"/>
        <v>18.07999333000469</v>
      </c>
      <c r="L4" s="130">
        <f t="shared" si="3"/>
        <v>20.433087191136408</v>
      </c>
      <c r="M4" s="130">
        <f t="shared" si="3"/>
        <v>7.465077586775597</v>
      </c>
      <c r="N4" s="130">
        <f t="shared" si="3"/>
        <v>5.0654707407834403</v>
      </c>
      <c r="O4" s="130">
        <f t="shared" si="3"/>
        <v>5.6902833072896559</v>
      </c>
      <c r="P4" s="130">
        <f t="shared" si="3"/>
        <v>6.1196967465432177</v>
      </c>
      <c r="Q4" s="130">
        <f t="shared" si="3"/>
        <v>6.5330622648670325</v>
      </c>
      <c r="R4" s="130">
        <f t="shared" ref="R4:W4" si="4">SUM(R5:R15)</f>
        <v>8.1705648214627331</v>
      </c>
      <c r="S4" s="130">
        <f t="shared" si="4"/>
        <v>8.5916125970161605</v>
      </c>
      <c r="T4" s="130">
        <f t="shared" si="4"/>
        <v>7.1774822920310495</v>
      </c>
      <c r="U4" s="130">
        <f t="shared" si="4"/>
        <v>6.6553937957366829</v>
      </c>
      <c r="V4" s="130">
        <f t="shared" si="4"/>
        <v>6.2256736454763502</v>
      </c>
      <c r="W4" s="130">
        <f t="shared" si="4"/>
        <v>6.6669643946362784</v>
      </c>
      <c r="X4" s="130">
        <f t="shared" ref="X4:Y4" si="5">SUM(X5:X15)</f>
        <v>5.9689881294071032</v>
      </c>
      <c r="Y4" s="130">
        <f t="shared" si="5"/>
        <v>5.9515412483251779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0.26730813999581088</v>
      </c>
      <c r="D7" s="132">
        <v>0.637409862706802</v>
      </c>
      <c r="E7" s="132">
        <v>0.80194615938061076</v>
      </c>
      <c r="F7" s="132">
        <v>0.88017784261656717</v>
      </c>
      <c r="G7" s="132">
        <v>0.24939312131977331</v>
      </c>
      <c r="H7" s="132">
        <v>3.0328649740648399E-2</v>
      </c>
      <c r="I7" s="132">
        <v>0.35378105189467335</v>
      </c>
      <c r="J7" s="132">
        <v>0.50275231055918934</v>
      </c>
      <c r="K7" s="132">
        <v>0.62800613751726453</v>
      </c>
      <c r="L7" s="132">
        <v>0.66957726083108293</v>
      </c>
      <c r="M7" s="132">
        <v>0.33665579726083594</v>
      </c>
      <c r="N7" s="132">
        <v>0.41088425555368663</v>
      </c>
      <c r="O7" s="132">
        <v>0.32219901571471909</v>
      </c>
      <c r="P7" s="132">
        <v>0.19673512559522291</v>
      </c>
      <c r="Q7" s="132">
        <v>5.5726617005907204E-2</v>
      </c>
      <c r="R7" s="132">
        <v>0.11884821543812767</v>
      </c>
      <c r="S7" s="132">
        <v>0</v>
      </c>
      <c r="T7" s="132">
        <v>2.2167820659375594E-2</v>
      </c>
      <c r="U7" s="132">
        <v>0</v>
      </c>
      <c r="V7" s="132">
        <v>0</v>
      </c>
      <c r="W7" s="132">
        <v>0</v>
      </c>
      <c r="X7" s="132">
        <v>1.9789427945330278E-2</v>
      </c>
      <c r="Y7" s="132">
        <v>0.14984300654437513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3.0505017560930655E-3</v>
      </c>
      <c r="D8" s="132">
        <v>1.0423556056729216E-2</v>
      </c>
      <c r="E8" s="132">
        <v>1.2377136244489708E-2</v>
      </c>
      <c r="F8" s="132">
        <v>8.3045860830832686E-3</v>
      </c>
      <c r="G8" s="132">
        <v>1.6573915660899337E-2</v>
      </c>
      <c r="H8" s="132">
        <v>1.5227067897446682E-2</v>
      </c>
      <c r="I8" s="132">
        <v>8.9730364656050512E-2</v>
      </c>
      <c r="J8" s="132">
        <v>2.9162554745393629E-2</v>
      </c>
      <c r="K8" s="132">
        <v>3.338137730088446E-2</v>
      </c>
      <c r="L8" s="132">
        <v>2.1537114389923579E-2</v>
      </c>
      <c r="M8" s="132">
        <v>1.7478652917234591E-2</v>
      </c>
      <c r="N8" s="132">
        <v>1.5155796740243897E-2</v>
      </c>
      <c r="O8" s="132">
        <v>2.2900078898370976E-2</v>
      </c>
      <c r="P8" s="132">
        <v>6.6763105421607433E-2</v>
      </c>
      <c r="Q8" s="132">
        <v>5.3338044447767789E-2</v>
      </c>
      <c r="R8" s="132">
        <v>5.4247954380726021E-2</v>
      </c>
      <c r="S8" s="132">
        <v>4.5065321534817383E-2</v>
      </c>
      <c r="T8" s="132">
        <v>6.2897771343934095E-2</v>
      </c>
      <c r="U8" s="132">
        <v>6.4134795557221597E-2</v>
      </c>
      <c r="V8" s="132">
        <v>8.9682382563349206E-2</v>
      </c>
      <c r="W8" s="132">
        <v>8.2446261395697537E-2</v>
      </c>
      <c r="X8" s="132">
        <v>0.11896052912259758</v>
      </c>
      <c r="Y8" s="132">
        <v>0.12196564111921039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1.847961154925795</v>
      </c>
      <c r="D9" s="132">
        <v>3.7751385014385881</v>
      </c>
      <c r="E9" s="132">
        <v>4.276905149100596</v>
      </c>
      <c r="F9" s="132">
        <v>3.5586657668474793</v>
      </c>
      <c r="G9" s="132">
        <v>3.3628992745489854</v>
      </c>
      <c r="H9" s="132">
        <v>3.2329682390772869</v>
      </c>
      <c r="I9" s="132">
        <v>2.3706850318000887</v>
      </c>
      <c r="J9" s="132">
        <v>1.1569725595196694</v>
      </c>
      <c r="K9" s="132">
        <v>1.091529619653814</v>
      </c>
      <c r="L9" s="132">
        <v>0.64829888171779093</v>
      </c>
      <c r="M9" s="132">
        <v>0.45638024862471344</v>
      </c>
      <c r="N9" s="132">
        <v>0.65064486362366591</v>
      </c>
      <c r="O9" s="132">
        <v>0.942146496100015</v>
      </c>
      <c r="P9" s="132">
        <v>0.50341253090711069</v>
      </c>
      <c r="Q9" s="132">
        <v>1.7763211927274152</v>
      </c>
      <c r="R9" s="132">
        <v>1.6955449658421697</v>
      </c>
      <c r="S9" s="132">
        <v>1.8792265653046771</v>
      </c>
      <c r="T9" s="132">
        <v>1.2518857346401662</v>
      </c>
      <c r="U9" s="132">
        <v>1.8243262704020458</v>
      </c>
      <c r="V9" s="132">
        <v>1.6201151316965738</v>
      </c>
      <c r="W9" s="132">
        <v>0.97427755873044808</v>
      </c>
      <c r="X9" s="132">
        <v>0.92289737284376394</v>
      </c>
      <c r="Y9" s="132">
        <v>0.25187647951101366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0.40467758107310386</v>
      </c>
      <c r="D10" s="132">
        <v>1.2981594264924472</v>
      </c>
      <c r="E10" s="132">
        <v>0.73758145290191701</v>
      </c>
      <c r="F10" s="132">
        <v>0.45139466025051039</v>
      </c>
      <c r="G10" s="132">
        <v>0.55512278564144402</v>
      </c>
      <c r="H10" s="132">
        <v>0.51580984955953535</v>
      </c>
      <c r="I10" s="132">
        <v>5.0466485625774347E-2</v>
      </c>
      <c r="J10" s="132">
        <v>0</v>
      </c>
      <c r="K10" s="132">
        <v>0</v>
      </c>
      <c r="L10" s="132">
        <v>9.0857318517668567E-2</v>
      </c>
      <c r="M10" s="132">
        <v>0.2980596951920349</v>
      </c>
      <c r="N10" s="132">
        <v>0.19576145815440982</v>
      </c>
      <c r="O10" s="132">
        <v>0.24768893947347559</v>
      </c>
      <c r="P10" s="132">
        <v>0.51935296127832831</v>
      </c>
      <c r="Q10" s="132">
        <v>0.16869358887200833</v>
      </c>
      <c r="R10" s="132">
        <v>0.47874971747928541</v>
      </c>
      <c r="S10" s="132">
        <v>0.45856934419000123</v>
      </c>
      <c r="T10" s="132">
        <v>0.34024044356206951</v>
      </c>
      <c r="U10" s="132">
        <v>9.8492195884793438E-2</v>
      </c>
      <c r="V10" s="132">
        <v>6.6562586235772075E-2</v>
      </c>
      <c r="W10" s="132">
        <v>0</v>
      </c>
      <c r="X10" s="132">
        <v>0</v>
      </c>
      <c r="Y10" s="132">
        <v>0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15.157346482019751</v>
      </c>
      <c r="D12" s="132">
        <v>15.300847883440239</v>
      </c>
      <c r="E12" s="132">
        <v>13.928964465781608</v>
      </c>
      <c r="F12" s="132">
        <v>11.735044858731408</v>
      </c>
      <c r="G12" s="132">
        <v>10.81944324149754</v>
      </c>
      <c r="H12" s="132">
        <v>10.574894806468091</v>
      </c>
      <c r="I12" s="132">
        <v>16.33851455373263</v>
      </c>
      <c r="J12" s="132">
        <v>9.4185516975359054</v>
      </c>
      <c r="K12" s="132">
        <v>14.889745409332946</v>
      </c>
      <c r="L12" s="132">
        <v>17.676475487725668</v>
      </c>
      <c r="M12" s="132">
        <v>5.718895761310395</v>
      </c>
      <c r="N12" s="132">
        <v>3.6254652338619162</v>
      </c>
      <c r="O12" s="132">
        <v>3.9549829363421116</v>
      </c>
      <c r="P12" s="132">
        <v>4.4893133414091482</v>
      </c>
      <c r="Q12" s="132">
        <v>4.205637506943865</v>
      </c>
      <c r="R12" s="132">
        <v>5.4663813566089781</v>
      </c>
      <c r="S12" s="132">
        <v>5.8687983930996612</v>
      </c>
      <c r="T12" s="132">
        <v>5.0381719147261519</v>
      </c>
      <c r="U12" s="132">
        <v>4.1779219041275937</v>
      </c>
      <c r="V12" s="132">
        <v>3.8825931340317079</v>
      </c>
      <c r="W12" s="132">
        <v>4.6543312626834714</v>
      </c>
      <c r="X12" s="132">
        <v>4.0322181634982064</v>
      </c>
      <c r="Y12" s="132">
        <v>4.8291372379681095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6.7453379726524459E-2</v>
      </c>
      <c r="D13" s="132">
        <v>7.0476047825384927E-2</v>
      </c>
      <c r="E13" s="132">
        <v>5.8343464380407523E-2</v>
      </c>
      <c r="F13" s="132">
        <v>6.5445581593217741E-2</v>
      </c>
      <c r="G13" s="132">
        <v>0.26618216275161877</v>
      </c>
      <c r="H13" s="132">
        <v>0.34059340790053344</v>
      </c>
      <c r="I13" s="132">
        <v>1.9283118973413629</v>
      </c>
      <c r="J13" s="132">
        <v>0.61140868887728295</v>
      </c>
      <c r="K13" s="132">
        <v>0.56046033355855263</v>
      </c>
      <c r="L13" s="132">
        <v>0.29985251952855213</v>
      </c>
      <c r="M13" s="132">
        <v>0.22333229905433027</v>
      </c>
      <c r="N13" s="132">
        <v>0.12982235278176391</v>
      </c>
      <c r="O13" s="132">
        <v>0.16116096881824946</v>
      </c>
      <c r="P13" s="132">
        <v>0.30986199393142316</v>
      </c>
      <c r="Q13" s="132">
        <v>0.22502662782297067</v>
      </c>
      <c r="R13" s="132">
        <v>0.30146552970076762</v>
      </c>
      <c r="S13" s="132">
        <v>0.28244181484513237</v>
      </c>
      <c r="T13" s="132">
        <v>0.41868487587960634</v>
      </c>
      <c r="U13" s="132">
        <v>0.44380017710052211</v>
      </c>
      <c r="V13" s="132">
        <v>0.52467745225903173</v>
      </c>
      <c r="W13" s="132">
        <v>0.60575846679612955</v>
      </c>
      <c r="X13" s="132">
        <v>0.61165351233638388</v>
      </c>
      <c r="Y13" s="132">
        <v>0.5726747921100217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3.224639552344875</v>
      </c>
      <c r="D14" s="65">
        <v>2.0694577979088864</v>
      </c>
      <c r="E14" s="65">
        <v>1.9126167904975349</v>
      </c>
      <c r="F14" s="65">
        <v>3.2043512982842928</v>
      </c>
      <c r="G14" s="65">
        <v>3.8354687366104918</v>
      </c>
      <c r="H14" s="65">
        <v>4.4674251442615995</v>
      </c>
      <c r="I14" s="65">
        <v>4.7082694602320219</v>
      </c>
      <c r="J14" s="65">
        <v>1.6045093984602068</v>
      </c>
      <c r="K14" s="65">
        <v>0.78333789092831563</v>
      </c>
      <c r="L14" s="65">
        <v>0.92834953676105492</v>
      </c>
      <c r="M14" s="65">
        <v>0.37442570848827783</v>
      </c>
      <c r="N14" s="65">
        <v>3.375020906814677E-3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0.31589947036340871</v>
      </c>
      <c r="X14" s="65">
        <v>0.23204527585594545</v>
      </c>
      <c r="Y14" s="65">
        <v>0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0.11961728327924345</v>
      </c>
      <c r="D15" s="134">
        <v>0.17065299490275787</v>
      </c>
      <c r="E15" s="134">
        <v>0.16826404149302371</v>
      </c>
      <c r="F15" s="134">
        <v>0.14060556502494187</v>
      </c>
      <c r="G15" s="134">
        <v>0.12001238211349124</v>
      </c>
      <c r="H15" s="134">
        <v>0.1104058118340686</v>
      </c>
      <c r="I15" s="134">
        <v>0.12088970688781479</v>
      </c>
      <c r="J15" s="134">
        <v>6.9918694495288591E-2</v>
      </c>
      <c r="K15" s="134">
        <v>9.3532561712910856E-2</v>
      </c>
      <c r="L15" s="134">
        <v>9.8139071664666913E-2</v>
      </c>
      <c r="M15" s="134">
        <v>3.9849423927774241E-2</v>
      </c>
      <c r="N15" s="134">
        <v>3.4361759160939143E-2</v>
      </c>
      <c r="O15" s="134">
        <v>3.9204871942713979E-2</v>
      </c>
      <c r="P15" s="134">
        <v>3.4257688000377255E-2</v>
      </c>
      <c r="Q15" s="134">
        <v>4.8318687047098088E-2</v>
      </c>
      <c r="R15" s="134">
        <v>5.5327082012680079E-2</v>
      </c>
      <c r="S15" s="134">
        <v>5.751115804187034E-2</v>
      </c>
      <c r="T15" s="134">
        <v>4.3433731219746509E-2</v>
      </c>
      <c r="U15" s="134">
        <v>4.6718452664506478E-2</v>
      </c>
      <c r="V15" s="134">
        <v>4.2042958689915672E-2</v>
      </c>
      <c r="W15" s="134">
        <v>3.4251374667123219E-2</v>
      </c>
      <c r="X15" s="134">
        <v>3.1423847804876372E-2</v>
      </c>
      <c r="Y15" s="134">
        <v>2.6044091072448018E-2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6.3680812815291539</v>
      </c>
      <c r="D16" s="130">
        <f t="shared" si="6"/>
        <v>7.2664880005065866</v>
      </c>
      <c r="E16" s="130">
        <f t="shared" si="6"/>
        <v>6.7285801312841995</v>
      </c>
      <c r="F16" s="130">
        <f t="shared" si="6"/>
        <v>6.3778652608687949</v>
      </c>
      <c r="G16" s="130">
        <f t="shared" si="6"/>
        <v>6.3706527502372596</v>
      </c>
      <c r="H16" s="130">
        <f t="shared" si="6"/>
        <v>6.492351434342793</v>
      </c>
      <c r="I16" s="130">
        <f t="shared" si="6"/>
        <v>9.057248779327054</v>
      </c>
      <c r="J16" s="130">
        <f t="shared" si="6"/>
        <v>4.8131937121429074</v>
      </c>
      <c r="K16" s="130">
        <f t="shared" si="6"/>
        <v>6.8110462359625803</v>
      </c>
      <c r="L16" s="130">
        <f t="shared" si="6"/>
        <v>7.0645551959573725</v>
      </c>
      <c r="M16" s="130">
        <f t="shared" si="6"/>
        <v>3.0668620429504494</v>
      </c>
      <c r="N16" s="130">
        <f t="shared" si="6"/>
        <v>2.0586967055435927</v>
      </c>
      <c r="O16" s="130">
        <f t="shared" si="6"/>
        <v>2.3690283300950186</v>
      </c>
      <c r="P16" s="130">
        <f t="shared" si="6"/>
        <v>2.9567511967189062</v>
      </c>
      <c r="Q16" s="130">
        <f t="shared" si="6"/>
        <v>2.984273635301212</v>
      </c>
      <c r="R16" s="130">
        <f t="shared" ref="R16:W16" si="7">SUM(R17:R18)</f>
        <v>3.7082090297400971</v>
      </c>
      <c r="S16" s="130">
        <f t="shared" si="7"/>
        <v>3.8870161649314001</v>
      </c>
      <c r="T16" s="130">
        <f t="shared" si="7"/>
        <v>3.6688886812714605</v>
      </c>
      <c r="U16" s="130">
        <f t="shared" si="7"/>
        <v>3.5208933366080859</v>
      </c>
      <c r="V16" s="130">
        <f t="shared" si="7"/>
        <v>3.1768362581195682</v>
      </c>
      <c r="W16" s="130">
        <f t="shared" si="7"/>
        <v>3.0395229823565502</v>
      </c>
      <c r="X16" s="130">
        <f t="shared" ref="X16:Y16" si="8">SUM(X17:X18)</f>
        <v>3.127436530081301</v>
      </c>
      <c r="Y16" s="130">
        <f t="shared" si="8"/>
        <v>3.0520862705475973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6.2001871220526651E-3</v>
      </c>
      <c r="D17" s="132">
        <v>7.7962086827629788E-3</v>
      </c>
      <c r="E17" s="132">
        <v>5.8378722880168109E-3</v>
      </c>
      <c r="F17" s="132">
        <v>7.8019196991751709E-3</v>
      </c>
      <c r="G17" s="132">
        <v>8.1039557762719681E-3</v>
      </c>
      <c r="H17" s="132">
        <v>6.5909491741670398E-3</v>
      </c>
      <c r="I17" s="132">
        <v>8.0269657308826414E-3</v>
      </c>
      <c r="J17" s="132">
        <v>4.901301220312862E-3</v>
      </c>
      <c r="K17" s="132">
        <v>6.3224124173248764E-3</v>
      </c>
      <c r="L17" s="132">
        <v>9.4196743625062068E-3</v>
      </c>
      <c r="M17" s="132">
        <v>5.0254088543448512E-3</v>
      </c>
      <c r="N17" s="132">
        <v>4.4145614290347886E-3</v>
      </c>
      <c r="O17" s="132">
        <v>6.9184895611914187E-3</v>
      </c>
      <c r="P17" s="132">
        <v>1.2331421039360108E-2</v>
      </c>
      <c r="Q17" s="132">
        <v>1.9474366942516412E-2</v>
      </c>
      <c r="R17" s="132">
        <v>2.3048735886712416E-2</v>
      </c>
      <c r="S17" s="132">
        <v>2.2555104628827129E-2</v>
      </c>
      <c r="T17" s="132">
        <v>1.6167924210750414E-2</v>
      </c>
      <c r="U17" s="132">
        <v>2.3714826245010229E-2</v>
      </c>
      <c r="V17" s="132">
        <v>3.8298654674466609E-2</v>
      </c>
      <c r="W17" s="132">
        <v>1.1829273161596701E-2</v>
      </c>
      <c r="X17" s="132">
        <v>1.091681117745184E-2</v>
      </c>
      <c r="Y17" s="132">
        <v>1.4427694530415624E-2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6.3618810944071011</v>
      </c>
      <c r="D18" s="132">
        <v>7.2586917918238241</v>
      </c>
      <c r="E18" s="132">
        <v>6.7227422589961829</v>
      </c>
      <c r="F18" s="132">
        <v>6.3700633411696197</v>
      </c>
      <c r="G18" s="132">
        <v>6.362548794460988</v>
      </c>
      <c r="H18" s="132">
        <v>6.4857604851686261</v>
      </c>
      <c r="I18" s="132">
        <v>9.0492218135961711</v>
      </c>
      <c r="J18" s="132">
        <v>4.8082924109225944</v>
      </c>
      <c r="K18" s="132">
        <v>6.8047238235452552</v>
      </c>
      <c r="L18" s="132">
        <v>7.0551355215948659</v>
      </c>
      <c r="M18" s="132">
        <v>3.0618366340961045</v>
      </c>
      <c r="N18" s="132">
        <v>2.0542821441145578</v>
      </c>
      <c r="O18" s="132">
        <v>2.3621098405338272</v>
      </c>
      <c r="P18" s="132">
        <v>2.9444197756795463</v>
      </c>
      <c r="Q18" s="132">
        <v>2.9647992683586954</v>
      </c>
      <c r="R18" s="132">
        <v>3.6851602938533845</v>
      </c>
      <c r="S18" s="132">
        <v>3.8644610603025731</v>
      </c>
      <c r="T18" s="132">
        <v>3.6527207570607101</v>
      </c>
      <c r="U18" s="132">
        <v>3.4971785103630757</v>
      </c>
      <c r="V18" s="132">
        <v>3.1385376034451014</v>
      </c>
      <c r="W18" s="132">
        <v>3.0276937091949536</v>
      </c>
      <c r="X18" s="132">
        <v>3.1165197189038492</v>
      </c>
      <c r="Y18" s="132">
        <v>3.0376585760171815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2.5748833240307416</v>
      </c>
      <c r="D19" s="130">
        <f t="shared" si="9"/>
        <v>2.9055260265344844</v>
      </c>
      <c r="E19" s="130">
        <f t="shared" si="9"/>
        <v>2.7054211271383757</v>
      </c>
      <c r="F19" s="130">
        <f t="shared" si="9"/>
        <v>2.5425430286131694</v>
      </c>
      <c r="G19" s="130">
        <f t="shared" si="9"/>
        <v>2.5522284933832728</v>
      </c>
      <c r="H19" s="130">
        <f t="shared" si="9"/>
        <v>2.6226246853540052</v>
      </c>
      <c r="I19" s="130">
        <f t="shared" si="9"/>
        <v>3.6375340090573562</v>
      </c>
      <c r="J19" s="130">
        <f t="shared" si="9"/>
        <v>1.9441525006421994</v>
      </c>
      <c r="K19" s="130">
        <f t="shared" si="9"/>
        <v>2.7644159213758934</v>
      </c>
      <c r="L19" s="130">
        <f t="shared" si="9"/>
        <v>2.871102435761363</v>
      </c>
      <c r="M19" s="130">
        <f t="shared" si="9"/>
        <v>1.2827986078241971</v>
      </c>
      <c r="N19" s="130">
        <f t="shared" si="9"/>
        <v>0.87905127690989249</v>
      </c>
      <c r="O19" s="130">
        <f t="shared" si="9"/>
        <v>1.0296956339308019</v>
      </c>
      <c r="P19" s="130">
        <f t="shared" si="9"/>
        <v>1.3034182549849775</v>
      </c>
      <c r="Q19" s="130">
        <f t="shared" si="9"/>
        <v>1.3551385748837323</v>
      </c>
      <c r="R19" s="130">
        <f t="shared" ref="R19:W19" si="10">SUM(R20:R27)</f>
        <v>1.6906066769501105</v>
      </c>
      <c r="S19" s="130">
        <f t="shared" si="10"/>
        <v>1.8122175995714576</v>
      </c>
      <c r="T19" s="130">
        <f t="shared" si="10"/>
        <v>1.6745198831539558</v>
      </c>
      <c r="U19" s="130">
        <f t="shared" si="10"/>
        <v>1.6598538738115218</v>
      </c>
      <c r="V19" s="130">
        <f t="shared" si="10"/>
        <v>1.4392804581330707</v>
      </c>
      <c r="W19" s="130">
        <f t="shared" si="10"/>
        <v>1.4859466250043216</v>
      </c>
      <c r="X19" s="130">
        <f t="shared" ref="X19:Y19" si="11">SUM(X20:X27)</f>
        <v>1.5701525954910691</v>
      </c>
      <c r="Y19" s="130">
        <f t="shared" si="11"/>
        <v>1.6518033675672572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0.11569443786017924</v>
      </c>
      <c r="D22" s="132">
        <v>0.13376216587283751</v>
      </c>
      <c r="E22" s="132">
        <v>0.12521126580872374</v>
      </c>
      <c r="F22" s="132">
        <v>9.7665554839270932E-2</v>
      </c>
      <c r="G22" s="132">
        <v>4.9874468163349645E-2</v>
      </c>
      <c r="H22" s="132">
        <v>5.5657689480461828E-3</v>
      </c>
      <c r="I22" s="132">
        <v>3.0025299711249776E-2</v>
      </c>
      <c r="J22" s="132">
        <v>6.0547595900533706E-2</v>
      </c>
      <c r="K22" s="132">
        <v>9.4786060955506707E-2</v>
      </c>
      <c r="L22" s="132">
        <v>8.4556423602730135E-2</v>
      </c>
      <c r="M22" s="132">
        <v>3.6903329419791853E-2</v>
      </c>
      <c r="N22" s="132">
        <v>3.8667640401323755E-2</v>
      </c>
      <c r="O22" s="132">
        <v>4.6276103711047283E-2</v>
      </c>
      <c r="P22" s="132">
        <v>2.3778558843695303E-2</v>
      </c>
      <c r="Q22" s="132">
        <v>1.6526269934910624E-2</v>
      </c>
      <c r="R22" s="132">
        <v>2.2032996896446375E-2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9.5522161143822958E-3</v>
      </c>
      <c r="Y22" s="132">
        <v>1.5116545801371523E-2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0.22332345924878508</v>
      </c>
      <c r="D23" s="132">
        <v>0.449100590837122</v>
      </c>
      <c r="E23" s="132">
        <v>0.51384473212430948</v>
      </c>
      <c r="F23" s="132">
        <v>0.43816202545224936</v>
      </c>
      <c r="G23" s="132">
        <v>0.46411192896752196</v>
      </c>
      <c r="H23" s="132">
        <v>0.42539865481303896</v>
      </c>
      <c r="I23" s="132">
        <v>0.40670514306361721</v>
      </c>
      <c r="J23" s="132">
        <v>0.21280263497435453</v>
      </c>
      <c r="K23" s="132">
        <v>0.19131106085730029</v>
      </c>
      <c r="L23" s="132">
        <v>0.12127951374980124</v>
      </c>
      <c r="M23" s="132">
        <v>2.6442661770477282E-3</v>
      </c>
      <c r="N23" s="132">
        <v>3.5748152601595168E-2</v>
      </c>
      <c r="O23" s="132">
        <v>7.9039349666371619E-2</v>
      </c>
      <c r="P23" s="132">
        <v>0.15378030388710967</v>
      </c>
      <c r="Q23" s="132">
        <v>0.31965595264437779</v>
      </c>
      <c r="R23" s="132">
        <v>0.35230856400220734</v>
      </c>
      <c r="S23" s="132">
        <v>0.36997456463168599</v>
      </c>
      <c r="T23" s="132">
        <v>0.23993984781339311</v>
      </c>
      <c r="U23" s="132">
        <v>0.22861217105155382</v>
      </c>
      <c r="V23" s="132">
        <v>0.10582344024113227</v>
      </c>
      <c r="W23" s="132">
        <v>3.1103167276404099E-3</v>
      </c>
      <c r="X23" s="132">
        <v>5.2338844760180395E-3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5.4122588621468473E-2</v>
      </c>
      <c r="D24" s="132">
        <v>5.349220257267031E-2</v>
      </c>
      <c r="E24" s="132">
        <v>4.8607114657683768E-2</v>
      </c>
      <c r="F24" s="132">
        <v>4.4477129403714274E-2</v>
      </c>
      <c r="G24" s="132">
        <v>4.7724695035976046E-2</v>
      </c>
      <c r="H24" s="132">
        <v>4.8781442874907315E-2</v>
      </c>
      <c r="I24" s="132">
        <v>6.4117973270742173E-2</v>
      </c>
      <c r="J24" s="132">
        <v>4.0139758773481859E-2</v>
      </c>
      <c r="K24" s="132">
        <v>5.4358115620759644E-2</v>
      </c>
      <c r="L24" s="132">
        <v>5.3487413104108289E-2</v>
      </c>
      <c r="M24" s="132">
        <v>2.8195041857686027E-2</v>
      </c>
      <c r="N24" s="132">
        <v>1.8759946587537255E-2</v>
      </c>
      <c r="O24" s="132">
        <v>1.8414605073050476E-2</v>
      </c>
      <c r="P24" s="132">
        <v>3.1332320478659248E-2</v>
      </c>
      <c r="Q24" s="132">
        <v>4.0331466601566279E-2</v>
      </c>
      <c r="R24" s="132">
        <v>7.2129522837888094E-2</v>
      </c>
      <c r="S24" s="132">
        <v>5.2995500698076584E-2</v>
      </c>
      <c r="T24" s="132">
        <v>4.6500801963999978E-2</v>
      </c>
      <c r="U24" s="132">
        <v>3.4479237673462358E-2</v>
      </c>
      <c r="V24" s="132">
        <v>2.3857781462520267E-2</v>
      </c>
      <c r="W24" s="132">
        <v>9.1012017119099734E-3</v>
      </c>
      <c r="X24" s="132">
        <v>1.1051957964978061E-3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1.5754438101608546</v>
      </c>
      <c r="D25" s="132">
        <v>1.5215294105947035</v>
      </c>
      <c r="E25" s="132">
        <v>1.3613650084090967</v>
      </c>
      <c r="F25" s="132">
        <v>1.1618715954861254</v>
      </c>
      <c r="G25" s="132">
        <v>1.1338831111885312</v>
      </c>
      <c r="H25" s="132">
        <v>1.1542068791893747</v>
      </c>
      <c r="I25" s="132">
        <v>2.0196673965510659</v>
      </c>
      <c r="J25" s="132">
        <v>1.1514658521600762</v>
      </c>
      <c r="K25" s="132">
        <v>1.9577861568846098</v>
      </c>
      <c r="L25" s="132">
        <v>2.02568657506965</v>
      </c>
      <c r="M25" s="132">
        <v>0.779851275930183</v>
      </c>
      <c r="N25" s="132">
        <v>0.4714859428724249</v>
      </c>
      <c r="O25" s="132">
        <v>0.56230899445034721</v>
      </c>
      <c r="P25" s="132">
        <v>0.93493723411308682</v>
      </c>
      <c r="Q25" s="132">
        <v>0.83069997824614106</v>
      </c>
      <c r="R25" s="132">
        <v>1.0168735886733276</v>
      </c>
      <c r="S25" s="132">
        <v>1.0717709020357378</v>
      </c>
      <c r="T25" s="132">
        <v>1.2022430786035425</v>
      </c>
      <c r="U25" s="132">
        <v>1.1448776409495693</v>
      </c>
      <c r="V25" s="132">
        <v>1.1611511280278064</v>
      </c>
      <c r="W25" s="132">
        <v>1.1918861644140786</v>
      </c>
      <c r="X25" s="132">
        <v>1.4986727701819389</v>
      </c>
      <c r="Y25" s="132">
        <v>1.4816333737654528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0.51823217029905944</v>
      </c>
      <c r="D26" s="65">
        <v>0.62214114168344037</v>
      </c>
      <c r="E26" s="65">
        <v>0.56474045816609331</v>
      </c>
      <c r="F26" s="65">
        <v>0.67458640722242103</v>
      </c>
      <c r="G26" s="65">
        <v>0.68727183101841149</v>
      </c>
      <c r="H26" s="65">
        <v>0.83756819902424251</v>
      </c>
      <c r="I26" s="65">
        <v>0.93691469052290366</v>
      </c>
      <c r="J26" s="65">
        <v>0.35879607901548033</v>
      </c>
      <c r="K26" s="65">
        <v>0.40205760596397816</v>
      </c>
      <c r="L26" s="65">
        <v>0.23365477962213765</v>
      </c>
      <c r="M26" s="65">
        <v>0.29592047603142574</v>
      </c>
      <c r="N26" s="65">
        <v>0.2236456789008012</v>
      </c>
      <c r="O26" s="65">
        <v>0.1729744828616685</v>
      </c>
      <c r="P26" s="65">
        <v>0.15958983766242565</v>
      </c>
      <c r="Q26" s="65">
        <v>6.2372929966362067E-2</v>
      </c>
      <c r="R26" s="65">
        <v>0.12451608276362626</v>
      </c>
      <c r="S26" s="65">
        <v>0.28288521115673737</v>
      </c>
      <c r="T26" s="65">
        <v>6.2416602650362266E-2</v>
      </c>
      <c r="U26" s="65">
        <v>0.12936048098157485</v>
      </c>
      <c r="V26" s="65">
        <v>0</v>
      </c>
      <c r="W26" s="65">
        <v>0.28182403714714943</v>
      </c>
      <c r="X26" s="65">
        <v>5.5588528922231303E-2</v>
      </c>
      <c r="Y26" s="65">
        <v>0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8.8066857840394919E-2</v>
      </c>
      <c r="D27" s="147">
        <v>0.12550051497371095</v>
      </c>
      <c r="E27" s="147">
        <v>9.1652547972469134E-2</v>
      </c>
      <c r="F27" s="147">
        <v>0.12578031620938862</v>
      </c>
      <c r="G27" s="147">
        <v>0.16936245900948227</v>
      </c>
      <c r="H27" s="147">
        <v>0.15110374050439576</v>
      </c>
      <c r="I27" s="147">
        <v>0.18010350593777777</v>
      </c>
      <c r="J27" s="147">
        <v>0.12040057981827275</v>
      </c>
      <c r="K27" s="147">
        <v>6.4116921093738982E-2</v>
      </c>
      <c r="L27" s="147">
        <v>0.3524377306129356</v>
      </c>
      <c r="M27" s="147">
        <v>0.13928421840806263</v>
      </c>
      <c r="N27" s="147">
        <v>9.0743915546210183E-2</v>
      </c>
      <c r="O27" s="147">
        <v>0.15068209816831668</v>
      </c>
      <c r="P27" s="147">
        <v>9.0686067271283624E-16</v>
      </c>
      <c r="Q27" s="147">
        <v>8.5551977490374576E-2</v>
      </c>
      <c r="R27" s="147">
        <v>0.1027459217766149</v>
      </c>
      <c r="S27" s="147">
        <v>3.4591421049219952E-2</v>
      </c>
      <c r="T27" s="147">
        <v>0.12341955212265801</v>
      </c>
      <c r="U27" s="147">
        <v>0.12252434315536137</v>
      </c>
      <c r="V27" s="147">
        <v>0.14844810840161185</v>
      </c>
      <c r="W27" s="147">
        <v>2.4905003543309868E-5</v>
      </c>
      <c r="X27" s="147">
        <v>7.7196297239496749E-16</v>
      </c>
      <c r="Y27" s="147">
        <v>0.15505344800043275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2.1972176878092853</v>
      </c>
      <c r="D29" s="130">
        <f t="shared" si="12"/>
        <v>2.5302701838519126</v>
      </c>
      <c r="E29" s="130">
        <f t="shared" si="12"/>
        <v>2.4178959241058493</v>
      </c>
      <c r="F29" s="130">
        <f t="shared" si="12"/>
        <v>2.3354802830816119</v>
      </c>
      <c r="G29" s="130">
        <f t="shared" si="12"/>
        <v>2.3533668462316082</v>
      </c>
      <c r="H29" s="130">
        <f t="shared" si="12"/>
        <v>2.4365645479019351</v>
      </c>
      <c r="I29" s="130">
        <f t="shared" si="12"/>
        <v>3.3752496696046572</v>
      </c>
      <c r="J29" s="130">
        <f t="shared" si="12"/>
        <v>1.8258166544572867</v>
      </c>
      <c r="K29" s="130">
        <f t="shared" si="12"/>
        <v>2.6056598154276704</v>
      </c>
      <c r="L29" s="130">
        <f t="shared" si="12"/>
        <v>2.7047274501384524</v>
      </c>
      <c r="M29" s="130">
        <f t="shared" si="12"/>
        <v>1.2201003594868616</v>
      </c>
      <c r="N29" s="130">
        <f t="shared" si="12"/>
        <v>0.8406688258875632</v>
      </c>
      <c r="O29" s="130">
        <f t="shared" si="12"/>
        <v>0.98118435714245145</v>
      </c>
      <c r="P29" s="130">
        <f t="shared" si="12"/>
        <v>1.2085059702768444</v>
      </c>
      <c r="Q29" s="130">
        <f t="shared" si="12"/>
        <v>1.2577800078946351</v>
      </c>
      <c r="R29" s="130">
        <f t="shared" ref="R29:W29" si="13">SUM(R30:R33)</f>
        <v>1.5944486556694393</v>
      </c>
      <c r="S29" s="130">
        <f t="shared" si="13"/>
        <v>1.7256074374286368</v>
      </c>
      <c r="T29" s="130">
        <f t="shared" si="13"/>
        <v>1.5646941307234088</v>
      </c>
      <c r="U29" s="130">
        <f t="shared" si="13"/>
        <v>1.5882978218044808</v>
      </c>
      <c r="V29" s="130">
        <f t="shared" si="13"/>
        <v>1.2709113412863957</v>
      </c>
      <c r="W29" s="130">
        <f t="shared" si="13"/>
        <v>1.3543708239404371</v>
      </c>
      <c r="X29" s="130">
        <f t="shared" ref="X29:Y29" si="14">SUM(X30:X33)</f>
        <v>1.2966762789247079</v>
      </c>
      <c r="Y29" s="130">
        <f t="shared" si="14"/>
        <v>1.2123416388200401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3.8578759002221859E-2</v>
      </c>
      <c r="D30" s="132">
        <v>8.3774465530191564E-2</v>
      </c>
      <c r="E30" s="132">
        <v>0.12621287830958916</v>
      </c>
      <c r="F30" s="132">
        <v>0.14057278442524435</v>
      </c>
      <c r="G30" s="132">
        <v>0.13653457896897972</v>
      </c>
      <c r="H30" s="132">
        <v>8.1009227132297371E-2</v>
      </c>
      <c r="I30" s="132">
        <v>7.8077657095871486E-2</v>
      </c>
      <c r="J30" s="132">
        <v>5.4759128080303199E-2</v>
      </c>
      <c r="K30" s="132">
        <v>8.1868014738836897E-2</v>
      </c>
      <c r="L30" s="132">
        <v>0.14601444479648443</v>
      </c>
      <c r="M30" s="132">
        <v>2.5968779759118245E-2</v>
      </c>
      <c r="N30" s="132">
        <v>1.6671676760615947E-3</v>
      </c>
      <c r="O30" s="132">
        <v>3.6168110478840894E-2</v>
      </c>
      <c r="P30" s="132">
        <v>4.5966288905564014E-2</v>
      </c>
      <c r="Q30" s="132">
        <v>0.10729886265003173</v>
      </c>
      <c r="R30" s="132">
        <v>0.12466703769032712</v>
      </c>
      <c r="S30" s="132">
        <v>9.9070508562850434E-2</v>
      </c>
      <c r="T30" s="132">
        <v>6.4611702489497269E-2</v>
      </c>
      <c r="U30" s="132">
        <v>5.8987293645127517E-2</v>
      </c>
      <c r="V30" s="132">
        <v>6.488397424332458E-2</v>
      </c>
      <c r="W30" s="132">
        <v>9.0798473927402798E-2</v>
      </c>
      <c r="X30" s="132">
        <v>0.12703872087296791</v>
      </c>
      <c r="Y30" s="132">
        <v>0.14611037484261755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0.32393721209343102</v>
      </c>
      <c r="D31" s="132">
        <v>0.38199149639920538</v>
      </c>
      <c r="E31" s="132">
        <v>0.39114340684375548</v>
      </c>
      <c r="F31" s="132">
        <v>0.40087979602360502</v>
      </c>
      <c r="G31" s="132">
        <v>0.4896161470791025</v>
      </c>
      <c r="H31" s="132">
        <v>0.45171370832140451</v>
      </c>
      <c r="I31" s="132">
        <v>0.55749075382784041</v>
      </c>
      <c r="J31" s="132">
        <v>0.3076595425670185</v>
      </c>
      <c r="K31" s="132">
        <v>0.40897351795378828</v>
      </c>
      <c r="L31" s="132">
        <v>0.36849292370910935</v>
      </c>
      <c r="M31" s="132">
        <v>0.13056475583464239</v>
      </c>
      <c r="N31" s="132">
        <v>0.10236139800269878</v>
      </c>
      <c r="O31" s="132">
        <v>0.15125052789525859</v>
      </c>
      <c r="P31" s="132">
        <v>0.20854149752661788</v>
      </c>
      <c r="Q31" s="132">
        <v>0.28560132994709109</v>
      </c>
      <c r="R31" s="132">
        <v>0.28658610419669028</v>
      </c>
      <c r="S31" s="132">
        <v>0.28134071067013433</v>
      </c>
      <c r="T31" s="132">
        <v>0.30180291014121302</v>
      </c>
      <c r="U31" s="132">
        <v>0.37082768743226868</v>
      </c>
      <c r="V31" s="132">
        <v>0.21754442402819282</v>
      </c>
      <c r="W31" s="132">
        <v>0.38512352740135658</v>
      </c>
      <c r="X31" s="132">
        <v>0.5149514113491015</v>
      </c>
      <c r="Y31" s="132">
        <v>0.81750340456191073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1.8347017167136326</v>
      </c>
      <c r="D33" s="68">
        <v>2.0645042219225158</v>
      </c>
      <c r="E33" s="68">
        <v>1.9005396389525044</v>
      </c>
      <c r="F33" s="68">
        <v>1.7940277026327625</v>
      </c>
      <c r="G33" s="68">
        <v>1.7272161201835261</v>
      </c>
      <c r="H33" s="68">
        <v>1.9038416124482331</v>
      </c>
      <c r="I33" s="68">
        <v>2.7396812586809456</v>
      </c>
      <c r="J33" s="68">
        <v>1.4633979838099649</v>
      </c>
      <c r="K33" s="68">
        <v>2.1148182827350452</v>
      </c>
      <c r="L33" s="68">
        <v>2.1902200816328588</v>
      </c>
      <c r="M33" s="68">
        <v>1.0635668238931009</v>
      </c>
      <c r="N33" s="68">
        <v>0.7366402602088028</v>
      </c>
      <c r="O33" s="68">
        <v>0.793765718768352</v>
      </c>
      <c r="P33" s="68">
        <v>0.9539981838446624</v>
      </c>
      <c r="Q33" s="68">
        <v>0.86487981529751223</v>
      </c>
      <c r="R33" s="68">
        <v>1.1831955137824219</v>
      </c>
      <c r="S33" s="68">
        <v>1.345196218195652</v>
      </c>
      <c r="T33" s="68">
        <v>1.1982795180926984</v>
      </c>
      <c r="U33" s="68">
        <v>1.1584828407270846</v>
      </c>
      <c r="V33" s="68">
        <v>0.98848294301487827</v>
      </c>
      <c r="W33" s="68">
        <v>0.87844882261167756</v>
      </c>
      <c r="X33" s="68">
        <v>0.65468614670263847</v>
      </c>
      <c r="Y33" s="68">
        <v>0.24872785941551179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0.88172067131092868</v>
      </c>
      <c r="D3" s="126">
        <f>IF(SER_hh_tes_in!D3=0,"",SER_hh_tes_in!D3/SER_hh_fec_in!D3)</f>
        <v>0.85529842062032779</v>
      </c>
      <c r="E3" s="126">
        <f>IF(SER_hh_tes_in!E3=0,"",SER_hh_tes_in!E3/SER_hh_fec_in!E3)</f>
        <v>0.85137171603703499</v>
      </c>
      <c r="F3" s="126">
        <f>IF(SER_hh_tes_in!F3=0,"",SER_hh_tes_in!F3/SER_hh_fec_in!F3)</f>
        <v>0.8617725819692782</v>
      </c>
      <c r="G3" s="126">
        <f>IF(SER_hh_tes_in!G3=0,"",SER_hh_tes_in!G3/SER_hh_fec_in!G3)</f>
        <v>0.88197976431602854</v>
      </c>
      <c r="H3" s="126">
        <f>IF(SER_hh_tes_in!H3=0,"",SER_hh_tes_in!H3/SER_hh_fec_in!H3)</f>
        <v>0.89665696225231784</v>
      </c>
      <c r="I3" s="126">
        <f>IF(SER_hh_tes_in!I3=0,"",SER_hh_tes_in!I3/SER_hh_fec_in!I3)</f>
        <v>0.96321397127632336</v>
      </c>
      <c r="J3" s="126">
        <f>IF(SER_hh_tes_in!J3=0,"",SER_hh_tes_in!J3/SER_hh_fec_in!J3)</f>
        <v>0.95659430385635746</v>
      </c>
      <c r="K3" s="126">
        <f>IF(SER_hh_tes_in!K3=0,"",SER_hh_tes_in!K3/SER_hh_fec_in!K3)</f>
        <v>0.97533467763825266</v>
      </c>
      <c r="L3" s="126">
        <f>IF(SER_hh_tes_in!L3=0,"",SER_hh_tes_in!L3/SER_hh_fec_in!L3)</f>
        <v>0.9741468085495012</v>
      </c>
      <c r="M3" s="126">
        <f>IF(SER_hh_tes_in!M3=0,"",SER_hh_tes_in!M3/SER_hh_fec_in!M3)</f>
        <v>0.98623107950625244</v>
      </c>
      <c r="N3" s="126">
        <f>IF(SER_hh_tes_in!N3=0,"",SER_hh_tes_in!N3/SER_hh_fec_in!N3)</f>
        <v>0.97178697422551508</v>
      </c>
      <c r="O3" s="126">
        <f>IF(SER_hh_tes_in!O3=0,"",SER_hh_tes_in!O3/SER_hh_fec_in!O3)</f>
        <v>0.98957553203307669</v>
      </c>
      <c r="P3" s="126">
        <f>IF(SER_hh_tes_in!P3=0,"",SER_hh_tes_in!P3/SER_hh_fec_in!P3)</f>
        <v>1.0424597562085014</v>
      </c>
      <c r="Q3" s="126">
        <f>IF(SER_hh_tes_in!Q3=0,"",SER_hh_tes_in!Q3/SER_hh_fec_in!Q3)</f>
        <v>1.0360315696930831</v>
      </c>
      <c r="R3" s="126">
        <f>IF(SER_hh_tes_in!R3=0,"",SER_hh_tes_in!R3/SER_hh_fec_in!R3)</f>
        <v>1.0454748216041747</v>
      </c>
      <c r="S3" s="126">
        <f>IF(SER_hh_tes_in!S3=0,"",SER_hh_tes_in!S3/SER_hh_fec_in!S3)</f>
        <v>1.0563032036422584</v>
      </c>
      <c r="T3" s="126">
        <f>IF(SER_hh_tes_in!T3=0,"",SER_hh_tes_in!T3/SER_hh_fec_in!T3)</f>
        <v>1.1095321562322411</v>
      </c>
      <c r="U3" s="126">
        <f>IF(SER_hh_tes_in!U3=0,"",SER_hh_tes_in!U3/SER_hh_fec_in!U3)</f>
        <v>1.1274321366919828</v>
      </c>
      <c r="V3" s="126">
        <f>IF(SER_hh_tes_in!V3=0,"",SER_hh_tes_in!V3/SER_hh_fec_in!V3)</f>
        <v>1.1599489378851098</v>
      </c>
      <c r="W3" s="126">
        <f>IF(SER_hh_tes_in!W3=0,"",SER_hh_tes_in!W3/SER_hh_fec_in!W3)</f>
        <v>1.1545236755423691</v>
      </c>
      <c r="X3" s="126">
        <f>IF(SER_hh_tes_in!X3=0,"",SER_hh_tes_in!X3/SER_hh_fec_in!X3)</f>
        <v>1.1802854671892944</v>
      </c>
      <c r="Y3" s="126">
        <f>IF(SER_hh_tes_in!Y3=0,"",SER_hh_tes_in!Y3/SER_hh_fec_in!Y3)</f>
        <v>1.1650435698098001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0.7596562714383821</v>
      </c>
      <c r="D4" s="135">
        <f>IF(SER_hh_tes_in!D4=0,"",SER_hh_tes_in!D4/SER_hh_fec_in!D4)</f>
        <v>0.72603371915334602</v>
      </c>
      <c r="E4" s="135">
        <f>IF(SER_hh_tes_in!E4=0,"",SER_hh_tes_in!E4/SER_hh_fec_in!E4)</f>
        <v>0.72247583612374611</v>
      </c>
      <c r="F4" s="135">
        <f>IF(SER_hh_tes_in!F4=0,"",SER_hh_tes_in!F4/SER_hh_fec_in!F4)</f>
        <v>0.72779381255599518</v>
      </c>
      <c r="G4" s="135">
        <f>IF(SER_hh_tes_in!G4=0,"",SER_hh_tes_in!G4/SER_hh_fec_in!G4)</f>
        <v>0.74337128913931472</v>
      </c>
      <c r="H4" s="135">
        <f>IF(SER_hh_tes_in!H4=0,"",SER_hh_tes_in!H4/SER_hh_fec_in!H4)</f>
        <v>0.75372625179093611</v>
      </c>
      <c r="I4" s="135">
        <f>IF(SER_hh_tes_in!I4=0,"",SER_hh_tes_in!I4/SER_hh_fec_in!I4)</f>
        <v>0.81876717036721969</v>
      </c>
      <c r="J4" s="135">
        <f>IF(SER_hh_tes_in!J4=0,"",SER_hh_tes_in!J4/SER_hh_fec_in!J4)</f>
        <v>0.80458514153321237</v>
      </c>
      <c r="K4" s="135">
        <f>IF(SER_hh_tes_in!K4=0,"",SER_hh_tes_in!K4/SER_hh_fec_in!K4)</f>
        <v>0.81540640814928189</v>
      </c>
      <c r="L4" s="135">
        <f>IF(SER_hh_tes_in!L4=0,"",SER_hh_tes_in!L4/SER_hh_fec_in!L4)</f>
        <v>0.8180862328309696</v>
      </c>
      <c r="M4" s="135">
        <f>IF(SER_hh_tes_in!M4=0,"",SER_hh_tes_in!M4/SER_hh_fec_in!M4)</f>
        <v>0.80568660444822093</v>
      </c>
      <c r="N4" s="135">
        <f>IF(SER_hh_tes_in!N4=0,"",SER_hh_tes_in!N4/SER_hh_fec_in!N4)</f>
        <v>0.78938796093564023</v>
      </c>
      <c r="O4" s="135">
        <f>IF(SER_hh_tes_in!O4=0,"",SER_hh_tes_in!O4/SER_hh_fec_in!O4)</f>
        <v>0.80321600034358553</v>
      </c>
      <c r="P4" s="135">
        <f>IF(SER_hh_tes_in!P4=0,"",SER_hh_tes_in!P4/SER_hh_fec_in!P4)</f>
        <v>0.83854045569527746</v>
      </c>
      <c r="Q4" s="135">
        <f>IF(SER_hh_tes_in!Q4=0,"",SER_hh_tes_in!Q4/SER_hh_fec_in!Q4)</f>
        <v>0.84275327705852021</v>
      </c>
      <c r="R4" s="135">
        <f>IF(SER_hh_tes_in!R4=0,"",SER_hh_tes_in!R4/SER_hh_fec_in!R4)</f>
        <v>0.84556626111937128</v>
      </c>
      <c r="S4" s="135">
        <f>IF(SER_hh_tes_in!S4=0,"",SER_hh_tes_in!S4/SER_hh_fec_in!S4)</f>
        <v>0.85287094778797046</v>
      </c>
      <c r="T4" s="135">
        <f>IF(SER_hh_tes_in!T4=0,"",SER_hh_tes_in!T4/SER_hh_fec_in!T4)</f>
        <v>0.88548586146671926</v>
      </c>
      <c r="U4" s="135">
        <f>IF(SER_hh_tes_in!U4=0,"",SER_hh_tes_in!U4/SER_hh_fec_in!U4)</f>
        <v>0.90438702842797059</v>
      </c>
      <c r="V4" s="135">
        <f>IF(SER_hh_tes_in!V4=0,"",SER_hh_tes_in!V4/SER_hh_fec_in!V4)</f>
        <v>0.93040204826242645</v>
      </c>
      <c r="W4" s="135">
        <f>IF(SER_hh_tes_in!W4=0,"",SER_hh_tes_in!W4/SER_hh_fec_in!W4)</f>
        <v>0.96015200719797711</v>
      </c>
      <c r="X4" s="135">
        <f>IF(SER_hh_tes_in!X4=0,"",SER_hh_tes_in!X4/SER_hh_fec_in!X4)</f>
        <v>0.97826533566541263</v>
      </c>
      <c r="Y4" s="135">
        <f>IF(SER_hh_tes_in!Y4=0,"",SER_hh_tes_in!Y4/SER_hh_fec_in!Y4)</f>
        <v>0.98628719084931049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0.51331992250351111</v>
      </c>
      <c r="D7" s="136">
        <f>IF(SER_hh_tes_in!D7=0,"",SER_hh_tes_in!D7/SER_hh_fec_in!D7)</f>
        <v>0.51894195552509448</v>
      </c>
      <c r="E7" s="136">
        <f>IF(SER_hh_tes_in!E7=0,"",SER_hh_tes_in!E7/SER_hh_fec_in!E7)</f>
        <v>0.52486327948989109</v>
      </c>
      <c r="F7" s="136">
        <f>IF(SER_hh_tes_in!F7=0,"",SER_hh_tes_in!F7/SER_hh_fec_in!F7)</f>
        <v>0.53075225223739941</v>
      </c>
      <c r="G7" s="136">
        <f>IF(SER_hh_tes_in!G7=0,"",SER_hh_tes_in!G7/SER_hh_fec_in!G7)</f>
        <v>0.53690460546678187</v>
      </c>
      <c r="H7" s="136">
        <f>IF(SER_hh_tes_in!H7=0,"",SER_hh_tes_in!H7/SER_hh_fec_in!H7)</f>
        <v>0.54328023662532443</v>
      </c>
      <c r="I7" s="136">
        <f>IF(SER_hh_tes_in!I7=0,"",SER_hh_tes_in!I7/SER_hh_fec_in!I7)</f>
        <v>0.54994797401620765</v>
      </c>
      <c r="J7" s="136">
        <f>IF(SER_hh_tes_in!J7=0,"",SER_hh_tes_in!J7/SER_hh_fec_in!J7)</f>
        <v>0.55719884555074661</v>
      </c>
      <c r="K7" s="136">
        <f>IF(SER_hh_tes_in!K7=0,"",SER_hh_tes_in!K7/SER_hh_fec_in!K7)</f>
        <v>0.56527479481807663</v>
      </c>
      <c r="L7" s="136">
        <f>IF(SER_hh_tes_in!L7=0,"",SER_hh_tes_in!L7/SER_hh_fec_in!L7)</f>
        <v>0.57423065593377631</v>
      </c>
      <c r="M7" s="136">
        <f>IF(SER_hh_tes_in!M7=0,"",SER_hh_tes_in!M7/SER_hh_fec_in!M7)</f>
        <v>0.59043523483378457</v>
      </c>
      <c r="N7" s="136">
        <f>IF(SER_hh_tes_in!N7=0,"",SER_hh_tes_in!N7/SER_hh_fec_in!N7)</f>
        <v>0.61579455421298412</v>
      </c>
      <c r="O7" s="136">
        <f>IF(SER_hh_tes_in!O7=0,"",SER_hh_tes_in!O7/SER_hh_fec_in!O7)</f>
        <v>0.65127875385221246</v>
      </c>
      <c r="P7" s="136">
        <f>IF(SER_hh_tes_in!P7=0,"",SER_hh_tes_in!P7/SER_hh_fec_in!P7)</f>
        <v>0.69217266651624776</v>
      </c>
      <c r="Q7" s="136">
        <f>IF(SER_hh_tes_in!Q7=0,"",SER_hh_tes_in!Q7/SER_hh_fec_in!Q7)</f>
        <v>0.72482694061885133</v>
      </c>
      <c r="R7" s="136">
        <f>IF(SER_hh_tes_in!R7=0,"",SER_hh_tes_in!R7/SER_hh_fec_in!R7)</f>
        <v>0.7372674467392506</v>
      </c>
      <c r="S7" s="136" t="str">
        <f>IF(SER_hh_tes_in!S7=0,"",SER_hh_tes_in!S7/SER_hh_fec_in!S7)</f>
        <v/>
      </c>
      <c r="T7" s="136">
        <f>IF(SER_hh_tes_in!T7=0,"",SER_hh_tes_in!T7/SER_hh_fec_in!T7)</f>
        <v>0.7450668577765962</v>
      </c>
      <c r="U7" s="136" t="str">
        <f>IF(SER_hh_tes_in!U7=0,"",SER_hh_tes_in!U7/SER_hh_fec_in!U7)</f>
        <v/>
      </c>
      <c r="V7" s="136" t="str">
        <f>IF(SER_hh_tes_in!V7=0,"",SER_hh_tes_in!V7/SER_hh_fec_in!V7)</f>
        <v/>
      </c>
      <c r="W7" s="136" t="str">
        <f>IF(SER_hh_tes_in!W7=0,"",SER_hh_tes_in!W7/SER_hh_fec_in!W7)</f>
        <v/>
      </c>
      <c r="X7" s="136">
        <f>IF(SER_hh_tes_in!X7=0,"",SER_hh_tes_in!X7/SER_hh_fec_in!X7)</f>
        <v>0.75065188576257902</v>
      </c>
      <c r="Y7" s="136">
        <f>IF(SER_hh_tes_in!Y7=0,"",SER_hh_tes_in!Y7/SER_hh_fec_in!Y7)</f>
        <v>0.7513667421724981</v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1.4786669632888201</v>
      </c>
      <c r="D8" s="136">
        <f>IF(SER_hh_tes_in!D8=0,"",SER_hh_tes_in!D8/SER_hh_fec_in!D8)</f>
        <v>1.5266587117336776</v>
      </c>
      <c r="E8" s="136">
        <f>IF(SER_hh_tes_in!E8=0,"",SER_hh_tes_in!E8/SER_hh_fec_in!E8)</f>
        <v>1.5754257128820157</v>
      </c>
      <c r="F8" s="136">
        <f>IF(SER_hh_tes_in!F8=0,"",SER_hh_tes_in!F8/SER_hh_fec_in!F8)</f>
        <v>1.6244286839089452</v>
      </c>
      <c r="G8" s="136">
        <f>IF(SER_hh_tes_in!G8=0,"",SER_hh_tes_in!G8/SER_hh_fec_in!G8)</f>
        <v>1.6741646709961044</v>
      </c>
      <c r="H8" s="136">
        <f>IF(SER_hh_tes_in!H8=0,"",SER_hh_tes_in!H8/SER_hh_fec_in!H8)</f>
        <v>1.7245772980996128</v>
      </c>
      <c r="I8" s="136">
        <f>IF(SER_hh_tes_in!I8=0,"",SER_hh_tes_in!I8/SER_hh_fec_in!I8)</f>
        <v>1.7757929200116276</v>
      </c>
      <c r="J8" s="136">
        <f>IF(SER_hh_tes_in!J8=0,"",SER_hh_tes_in!J8/SER_hh_fec_in!J8)</f>
        <v>1.8283185133421178</v>
      </c>
      <c r="K8" s="136">
        <f>IF(SER_hh_tes_in!K8=0,"",SER_hh_tes_in!K8/SER_hh_fec_in!K8)</f>
        <v>1.8825890781976047</v>
      </c>
      <c r="L8" s="136">
        <f>IF(SER_hh_tes_in!L8=0,"",SER_hh_tes_in!L8/SER_hh_fec_in!L8)</f>
        <v>1.9387282854526571</v>
      </c>
      <c r="M8" s="136">
        <f>IF(SER_hh_tes_in!M8=0,"",SER_hh_tes_in!M8/SER_hh_fec_in!M8)</f>
        <v>2.0089206767632501</v>
      </c>
      <c r="N8" s="136">
        <f>IF(SER_hh_tes_in!N8=0,"",SER_hh_tes_in!N8/SER_hh_fec_in!N8)</f>
        <v>2.0973391424776855</v>
      </c>
      <c r="O8" s="136">
        <f>IF(SER_hh_tes_in!O8=0,"",SER_hh_tes_in!O8/SER_hh_fec_in!O8)</f>
        <v>2.2056254810726914</v>
      </c>
      <c r="P8" s="136">
        <f>IF(SER_hh_tes_in!P8=0,"",SER_hh_tes_in!P8/SER_hh_fec_in!P8)</f>
        <v>2.322674753323501</v>
      </c>
      <c r="Q8" s="136">
        <f>IF(SER_hh_tes_in!Q8=0,"",SER_hh_tes_in!Q8/SER_hh_fec_in!Q8)</f>
        <v>2.4145274848788172</v>
      </c>
      <c r="R8" s="136">
        <f>IF(SER_hh_tes_in!R8=0,"",SER_hh_tes_in!R8/SER_hh_fec_in!R8)</f>
        <v>2.5885079191760396</v>
      </c>
      <c r="S8" s="136">
        <f>IF(SER_hh_tes_in!S8=0,"",SER_hh_tes_in!S8/SER_hh_fec_in!S8)</f>
        <v>2.6606911046514354</v>
      </c>
      <c r="T8" s="136">
        <f>IF(SER_hh_tes_in!T8=0,"",SER_hh_tes_in!T8/SER_hh_fec_in!T8)</f>
        <v>2.7064892925040178</v>
      </c>
      <c r="U8" s="136">
        <f>IF(SER_hh_tes_in!U8=0,"",SER_hh_tes_in!U8/SER_hh_fec_in!U8)</f>
        <v>2.7379949496718714</v>
      </c>
      <c r="V8" s="136">
        <f>IF(SER_hh_tes_in!V8=0,"",SER_hh_tes_in!V8/SER_hh_fec_in!V8)</f>
        <v>2.7669368110472283</v>
      </c>
      <c r="W8" s="136">
        <f>IF(SER_hh_tes_in!W8=0,"",SER_hh_tes_in!W8/SER_hh_fec_in!W8)</f>
        <v>2.7951731337834484</v>
      </c>
      <c r="X8" s="136">
        <f>IF(SER_hh_tes_in!X8=0,"",SER_hh_tes_in!X8/SER_hh_fec_in!X8)</f>
        <v>2.8183832806916964</v>
      </c>
      <c r="Y8" s="136">
        <f>IF(SER_hh_tes_in!Y8=0,"",SER_hh_tes_in!Y8/SER_hh_fec_in!Y8)</f>
        <v>2.8380578239859457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0.54787909895453035</v>
      </c>
      <c r="D9" s="136">
        <f>IF(SER_hh_tes_in!D9=0,"",SER_hh_tes_in!D9/SER_hh_fec_in!D9)</f>
        <v>0.55252876410098495</v>
      </c>
      <c r="E9" s="136">
        <f>IF(SER_hh_tes_in!E9=0,"",SER_hh_tes_in!E9/SER_hh_fec_in!E9)</f>
        <v>0.55747094956652976</v>
      </c>
      <c r="F9" s="136">
        <f>IF(SER_hh_tes_in!F9=0,"",SER_hh_tes_in!F9/SER_hh_fec_in!F9)</f>
        <v>0.56239500804405451</v>
      </c>
      <c r="G9" s="136">
        <f>IF(SER_hh_tes_in!G9=0,"",SER_hh_tes_in!G9/SER_hh_fec_in!G9)</f>
        <v>0.56758102882934525</v>
      </c>
      <c r="H9" s="136">
        <f>IF(SER_hh_tes_in!H9=0,"",SER_hh_tes_in!H9/SER_hh_fec_in!H9)</f>
        <v>0.57299321659145996</v>
      </c>
      <c r="I9" s="136">
        <f>IF(SER_hh_tes_in!I9=0,"",SER_hh_tes_in!I9/SER_hh_fec_in!I9)</f>
        <v>0.57869899316093754</v>
      </c>
      <c r="J9" s="136">
        <f>IF(SER_hh_tes_in!J9=0,"",SER_hh_tes_in!J9/SER_hh_fec_in!J9)</f>
        <v>0.5849780809117896</v>
      </c>
      <c r="K9" s="136">
        <f>IF(SER_hh_tes_in!K9=0,"",SER_hh_tes_in!K9/SER_hh_fec_in!K9)</f>
        <v>0.59206601070575715</v>
      </c>
      <c r="L9" s="136">
        <f>IF(SER_hh_tes_in!L9=0,"",SER_hh_tes_in!L9/SER_hh_fec_in!L9)</f>
        <v>0.60002158552624529</v>
      </c>
      <c r="M9" s="136">
        <f>IF(SER_hh_tes_in!M9=0,"",SER_hh_tes_in!M9/SER_hh_fec_in!M9)</f>
        <v>0.61473684779783988</v>
      </c>
      <c r="N9" s="136">
        <f>IF(SER_hh_tes_in!N9=0,"",SER_hh_tes_in!N9/SER_hh_fec_in!N9)</f>
        <v>0.63804411632540914</v>
      </c>
      <c r="O9" s="136">
        <f>IF(SER_hh_tes_in!O9=0,"",SER_hh_tes_in!O9/SER_hh_fec_in!O9)</f>
        <v>0.67116207520005977</v>
      </c>
      <c r="P9" s="136">
        <f>IF(SER_hh_tes_in!P9=0,"",SER_hh_tes_in!P9/SER_hh_fec_in!P9)</f>
        <v>0.71016244765325642</v>
      </c>
      <c r="Q9" s="136">
        <f>IF(SER_hh_tes_in!Q9=0,"",SER_hh_tes_in!Q9/SER_hh_fec_in!Q9)</f>
        <v>0.7430344321434017</v>
      </c>
      <c r="R9" s="136">
        <f>IF(SER_hh_tes_in!R9=0,"",SER_hh_tes_in!R9/SER_hh_fec_in!R9)</f>
        <v>0.75969809479686801</v>
      </c>
      <c r="S9" s="136">
        <f>IF(SER_hh_tes_in!S9=0,"",SER_hh_tes_in!S9/SER_hh_fec_in!S9)</f>
        <v>0.77242901176441459</v>
      </c>
      <c r="T9" s="136">
        <f>IF(SER_hh_tes_in!T9=0,"",SER_hh_tes_in!T9/SER_hh_fec_in!T9)</f>
        <v>0.78275159261946381</v>
      </c>
      <c r="U9" s="136">
        <f>IF(SER_hh_tes_in!U9=0,"",SER_hh_tes_in!U9/SER_hh_fec_in!U9)</f>
        <v>0.7917183536454353</v>
      </c>
      <c r="V9" s="136">
        <f>IF(SER_hh_tes_in!V9=0,"",SER_hh_tes_in!V9/SER_hh_fec_in!V9)</f>
        <v>0.79984907977491015</v>
      </c>
      <c r="W9" s="136">
        <f>IF(SER_hh_tes_in!W9=0,"",SER_hh_tes_in!W9/SER_hh_fec_in!W9)</f>
        <v>0.80589661317944172</v>
      </c>
      <c r="X9" s="136">
        <f>IF(SER_hh_tes_in!X9=0,"",SER_hh_tes_in!X9/SER_hh_fec_in!X9)</f>
        <v>0.80966343117086481</v>
      </c>
      <c r="Y9" s="136">
        <f>IF(SER_hh_tes_in!Y9=0,"",SER_hh_tes_in!Y9/SER_hh_fec_in!Y9)</f>
        <v>0.81223470699001776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0.55695173901294714</v>
      </c>
      <c r="D10" s="136">
        <f>IF(SER_hh_tes_in!D10=0,"",SER_hh_tes_in!D10/SER_hh_fec_in!D10)</f>
        <v>0.55723305171974002</v>
      </c>
      <c r="E10" s="136">
        <f>IF(SER_hh_tes_in!E10=0,"",SER_hh_tes_in!E10/SER_hh_fec_in!E10)</f>
        <v>0.55751704249044243</v>
      </c>
      <c r="F10" s="136">
        <f>IF(SER_hh_tes_in!F10=0,"",SER_hh_tes_in!F10/SER_hh_fec_in!F10)</f>
        <v>0.55780343356791362</v>
      </c>
      <c r="G10" s="136">
        <f>IF(SER_hh_tes_in!G10=0,"",SER_hh_tes_in!G10/SER_hh_fec_in!G10)</f>
        <v>0.55809194238380577</v>
      </c>
      <c r="H10" s="136">
        <f>IF(SER_hh_tes_in!H10=0,"",SER_hh_tes_in!H10/SER_hh_fec_in!H10)</f>
        <v>0.55838223617190186</v>
      </c>
      <c r="I10" s="136">
        <f>IF(SER_hh_tes_in!I10=0,"",SER_hh_tes_in!I10/SER_hh_fec_in!I10)</f>
        <v>0.55867387597648621</v>
      </c>
      <c r="J10" s="136" t="str">
        <f>IF(SER_hh_tes_in!J10=0,"",SER_hh_tes_in!J10/SER_hh_fec_in!J10)</f>
        <v/>
      </c>
      <c r="K10" s="136" t="str">
        <f>IF(SER_hh_tes_in!K10=0,"",SER_hh_tes_in!K10/SER_hh_fec_in!K10)</f>
        <v/>
      </c>
      <c r="L10" s="136">
        <f>IF(SER_hh_tes_in!L10=0,"",SER_hh_tes_in!L10/SER_hh_fec_in!L10)</f>
        <v>0.55954630805058048</v>
      </c>
      <c r="M10" s="136">
        <f>IF(SER_hh_tes_in!M10=0,"",SER_hh_tes_in!M10/SER_hh_fec_in!M10)</f>
        <v>0.55981197381876802</v>
      </c>
      <c r="N10" s="136">
        <f>IF(SER_hh_tes_in!N10=0,"",SER_hh_tes_in!N10/SER_hh_fec_in!N10)</f>
        <v>0.56004228532752232</v>
      </c>
      <c r="O10" s="136">
        <f>IF(SER_hh_tes_in!O10=0,"",SER_hh_tes_in!O10/SER_hh_fec_in!O10)</f>
        <v>0.56023042327133898</v>
      </c>
      <c r="P10" s="136">
        <f>IF(SER_hh_tes_in!P10=0,"",SER_hh_tes_in!P10/SER_hh_fec_in!P10)</f>
        <v>0.56039268605990733</v>
      </c>
      <c r="Q10" s="136">
        <f>IF(SER_hh_tes_in!Q10=0,"",SER_hh_tes_in!Q10/SER_hh_fec_in!Q10)</f>
        <v>0.56058629590402753</v>
      </c>
      <c r="R10" s="136">
        <f>IF(SER_hh_tes_in!R10=0,"",SER_hh_tes_in!R10/SER_hh_fec_in!R10)</f>
        <v>0.56087629841156461</v>
      </c>
      <c r="S10" s="136">
        <f>IF(SER_hh_tes_in!S10=0,"",SER_hh_tes_in!S10/SER_hh_fec_in!S10)</f>
        <v>0.56120269276956503</v>
      </c>
      <c r="T10" s="136">
        <f>IF(SER_hh_tes_in!T10=0,"",SER_hh_tes_in!T10/SER_hh_fec_in!T10)</f>
        <v>0.56153192037828403</v>
      </c>
      <c r="U10" s="136">
        <f>IF(SER_hh_tes_in!U10=0,"",SER_hh_tes_in!U10/SER_hh_fec_in!U10)</f>
        <v>0.56183604404027543</v>
      </c>
      <c r="V10" s="136">
        <f>IF(SER_hh_tes_in!V10=0,"",SER_hh_tes_in!V10/SER_hh_fec_in!V10)</f>
        <v>0.56209114977291241</v>
      </c>
      <c r="W10" s="136" t="str">
        <f>IF(SER_hh_tes_in!W10=0,"",SER_hh_tes_in!W10/SER_hh_fec_in!W10)</f>
        <v/>
      </c>
      <c r="X10" s="136" t="str">
        <f>IF(SER_hh_tes_in!X10=0,"",SER_hh_tes_in!X10/SER_hh_fec_in!X10)</f>
        <v/>
      </c>
      <c r="Y10" s="136" t="str">
        <f>IF(SER_hh_tes_in!Y10=0,"",SER_hh_tes_in!Y10/SER_hh_fec_in!Y10)</f>
        <v/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0.81399404362320471</v>
      </c>
      <c r="D12" s="136">
        <f>IF(SER_hh_tes_in!D12=0,"",SER_hh_tes_in!D12/SER_hh_fec_in!D12)</f>
        <v>0.81619105102947054</v>
      </c>
      <c r="E12" s="136">
        <f>IF(SER_hh_tes_in!E12=0,"",SER_hh_tes_in!E12/SER_hh_fec_in!E12)</f>
        <v>0.81844737190390138</v>
      </c>
      <c r="F12" s="136">
        <f>IF(SER_hh_tes_in!F12=0,"",SER_hh_tes_in!F12/SER_hh_fec_in!F12)</f>
        <v>0.82071178097853648</v>
      </c>
      <c r="G12" s="136">
        <f>IF(SER_hh_tes_in!G12=0,"",SER_hh_tes_in!G12/SER_hh_fec_in!G12)</f>
        <v>0.82303081426859037</v>
      </c>
      <c r="H12" s="136">
        <f>IF(SER_hh_tes_in!H12=0,"",SER_hh_tes_in!H12/SER_hh_fec_in!H12)</f>
        <v>0.82539877635823744</v>
      </c>
      <c r="I12" s="136">
        <f>IF(SER_hh_tes_in!I12=0,"",SER_hh_tes_in!I12/SER_hh_fec_in!I12)</f>
        <v>0.82782713372298666</v>
      </c>
      <c r="J12" s="136">
        <f>IF(SER_hh_tes_in!J12=0,"",SER_hh_tes_in!J12/SER_hh_fec_in!J12)</f>
        <v>0.83036286046569496</v>
      </c>
      <c r="K12" s="136">
        <f>IF(SER_hh_tes_in!K12=0,"",SER_hh_tes_in!K12/SER_hh_fec_in!K12)</f>
        <v>0.83304589692944908</v>
      </c>
      <c r="L12" s="136">
        <f>IF(SER_hh_tes_in!L12=0,"",SER_hh_tes_in!L12/SER_hh_fec_in!L12)</f>
        <v>0.83588692879349591</v>
      </c>
      <c r="M12" s="136">
        <f>IF(SER_hh_tes_in!M12=0,"",SER_hh_tes_in!M12/SER_hh_fec_in!M12)</f>
        <v>0.83982069208648757</v>
      </c>
      <c r="N12" s="136">
        <f>IF(SER_hh_tes_in!N12=0,"",SER_hh_tes_in!N12/SER_hh_fec_in!N12)</f>
        <v>0.84514272689074832</v>
      </c>
      <c r="O12" s="136">
        <f>IF(SER_hh_tes_in!O12=0,"",SER_hh_tes_in!O12/SER_hh_fec_in!O12)</f>
        <v>0.85211211000079679</v>
      </c>
      <c r="P12" s="136">
        <f>IF(SER_hh_tes_in!P12=0,"",SER_hh_tes_in!P12/SER_hh_fec_in!P12)</f>
        <v>0.86023592882028566</v>
      </c>
      <c r="Q12" s="136">
        <f>IF(SER_hh_tes_in!Q12=0,"",SER_hh_tes_in!Q12/SER_hh_fec_in!Q12)</f>
        <v>0.86790056548271299</v>
      </c>
      <c r="R12" s="136">
        <f>IF(SER_hh_tes_in!R12=0,"",SER_hh_tes_in!R12/SER_hh_fec_in!R12)</f>
        <v>0.87377372074323401</v>
      </c>
      <c r="S12" s="136">
        <f>IF(SER_hh_tes_in!S12=0,"",SER_hh_tes_in!S12/SER_hh_fec_in!S12)</f>
        <v>0.87948731900631294</v>
      </c>
      <c r="T12" s="136">
        <f>IF(SER_hh_tes_in!T12=0,"",SER_hh_tes_in!T12/SER_hh_fec_in!T12)</f>
        <v>0.88500318445820736</v>
      </c>
      <c r="U12" s="136">
        <f>IF(SER_hh_tes_in!U12=0,"",SER_hh_tes_in!U12/SER_hh_fec_in!U12)</f>
        <v>0.89028314128519248</v>
      </c>
      <c r="V12" s="136">
        <f>IF(SER_hh_tes_in!V12=0,"",SER_hh_tes_in!V12/SER_hh_fec_in!V12)</f>
        <v>0.89528901367353586</v>
      </c>
      <c r="W12" s="136">
        <f>IF(SER_hh_tes_in!W12=0,"",SER_hh_tes_in!W12/SER_hh_fec_in!W12)</f>
        <v>0.89990038700088271</v>
      </c>
      <c r="X12" s="136">
        <f>IF(SER_hh_tes_in!X12=0,"",SER_hh_tes_in!X12/SER_hh_fec_in!X12)</f>
        <v>0.9046899730466933</v>
      </c>
      <c r="Y12" s="136">
        <f>IF(SER_hh_tes_in!Y12=0,"",SER_hh_tes_in!Y12/SER_hh_fec_in!Y12)</f>
        <v>0.90929250410346307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2.0021520629328067</v>
      </c>
      <c r="D13" s="136">
        <f>IF(SER_hh_tes_in!D13=0,"",SER_hh_tes_in!D13/SER_hh_fec_in!D13)</f>
        <v>2.0724663619998429</v>
      </c>
      <c r="E13" s="136">
        <f>IF(SER_hh_tes_in!E13=0,"",SER_hh_tes_in!E13/SER_hh_fec_in!E13)</f>
        <v>2.1439644949471397</v>
      </c>
      <c r="F13" s="136">
        <f>IF(SER_hh_tes_in!F13=0,"",SER_hh_tes_in!F13/SER_hh_fec_in!F13)</f>
        <v>2.2159571667876339</v>
      </c>
      <c r="G13" s="136">
        <f>IF(SER_hh_tes_in!G13=0,"",SER_hh_tes_in!G13/SER_hh_fec_in!G13)</f>
        <v>2.2890724134973146</v>
      </c>
      <c r="H13" s="136">
        <f>IF(SER_hh_tes_in!H13=0,"",SER_hh_tes_in!H13/SER_hh_fec_in!H13)</f>
        <v>2.3632346832153965</v>
      </c>
      <c r="I13" s="136">
        <f>IF(SER_hh_tes_in!I13=0,"",SER_hh_tes_in!I13/SER_hh_fec_in!I13)</f>
        <v>2.4386000976463857</v>
      </c>
      <c r="J13" s="136">
        <f>IF(SER_hh_tes_in!J13=0,"",SER_hh_tes_in!J13/SER_hh_fec_in!J13)</f>
        <v>2.5158051880769667</v>
      </c>
      <c r="K13" s="136">
        <f>IF(SER_hh_tes_in!K13=0,"",SER_hh_tes_in!K13/SER_hh_fec_in!K13)</f>
        <v>2.5953931420031111</v>
      </c>
      <c r="L13" s="136">
        <f>IF(SER_hh_tes_in!L13=0,"",SER_hh_tes_in!L13/SER_hh_fec_in!L13)</f>
        <v>2.6775128681898828</v>
      </c>
      <c r="M13" s="136">
        <f>IF(SER_hh_tes_in!M13=0,"",SER_hh_tes_in!M13/SER_hh_fec_in!M13)</f>
        <v>2.7779282966534478</v>
      </c>
      <c r="N13" s="136">
        <f>IF(SER_hh_tes_in!N13=0,"",SER_hh_tes_in!N13/SER_hh_fec_in!N13)</f>
        <v>2.9020754501786707</v>
      </c>
      <c r="O13" s="136">
        <f>IF(SER_hh_tes_in!O13=0,"",SER_hh_tes_in!O13/SER_hh_fec_in!O13)</f>
        <v>3.051821895043723</v>
      </c>
      <c r="P13" s="136">
        <f>IF(SER_hh_tes_in!P13=0,"",SER_hh_tes_in!P13/SER_hh_fec_in!P13)</f>
        <v>3.2120684647008013</v>
      </c>
      <c r="Q13" s="136">
        <f>IF(SER_hh_tes_in!Q13=0,"",SER_hh_tes_in!Q13/SER_hh_fec_in!Q13)</f>
        <v>3.3366870977743845</v>
      </c>
      <c r="R13" s="136">
        <f>IF(SER_hh_tes_in!R13=0,"",SER_hh_tes_in!R13/SER_hh_fec_in!R13)</f>
        <v>3.5955140489496635</v>
      </c>
      <c r="S13" s="136">
        <f>IF(SER_hh_tes_in!S13=0,"",SER_hh_tes_in!S13/SER_hh_fec_in!S13)</f>
        <v>3.7002243444127751</v>
      </c>
      <c r="T13" s="136">
        <f>IF(SER_hh_tes_in!T13=0,"",SER_hh_tes_in!T13/SER_hh_fec_in!T13)</f>
        <v>3.7654984088427481</v>
      </c>
      <c r="U13" s="136">
        <f>IF(SER_hh_tes_in!U13=0,"",SER_hh_tes_in!U13/SER_hh_fec_in!U13)</f>
        <v>3.8094093097176795</v>
      </c>
      <c r="V13" s="136">
        <f>IF(SER_hh_tes_in!V13=0,"",SER_hh_tes_in!V13/SER_hh_fec_in!V13)</f>
        <v>3.8498038045105214</v>
      </c>
      <c r="W13" s="136">
        <f>IF(SER_hh_tes_in!W13=0,"",SER_hh_tes_in!W13/SER_hh_fec_in!W13)</f>
        <v>3.8902216928323119</v>
      </c>
      <c r="X13" s="136">
        <f>IF(SER_hh_tes_in!X13=0,"",SER_hh_tes_in!X13/SER_hh_fec_in!X13)</f>
        <v>3.9240936179199992</v>
      </c>
      <c r="Y13" s="136">
        <f>IF(SER_hh_tes_in!Y13=0,"",SER_hh_tes_in!Y13/SER_hh_fec_in!Y13)</f>
        <v>3.9531459376095657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0.73812994184460312</v>
      </c>
      <c r="D14" s="137">
        <f>IF(SER_hh_tes_in!D14=0,"",SER_hh_tes_in!D14/SER_hh_fec_in!D14)</f>
        <v>0.74214612559650284</v>
      </c>
      <c r="E14" s="137">
        <f>IF(SER_hh_tes_in!E14=0,"",SER_hh_tes_in!E14/SER_hh_fec_in!E14)</f>
        <v>0.74615112297029074</v>
      </c>
      <c r="F14" s="137">
        <f>IF(SER_hh_tes_in!F14=0,"",SER_hh_tes_in!F14/SER_hh_fec_in!F14)</f>
        <v>0.75015420498599772</v>
      </c>
      <c r="G14" s="137">
        <f>IF(SER_hh_tes_in!G14=0,"",SER_hh_tes_in!G14/SER_hh_fec_in!G14)</f>
        <v>0.75414699239480798</v>
      </c>
      <c r="H14" s="137">
        <f>IF(SER_hh_tes_in!H14=0,"",SER_hh_tes_in!H14/SER_hh_fec_in!H14)</f>
        <v>0.75813054243911193</v>
      </c>
      <c r="I14" s="137">
        <f>IF(SER_hh_tes_in!I14=0,"",SER_hh_tes_in!I14/SER_hh_fec_in!I14)</f>
        <v>0.76210282481920311</v>
      </c>
      <c r="J14" s="137">
        <f>IF(SER_hh_tes_in!J14=0,"",SER_hh_tes_in!J14/SER_hh_fec_in!J14)</f>
        <v>0.7660554482977231</v>
      </c>
      <c r="K14" s="137">
        <f>IF(SER_hh_tes_in!K14=0,"",SER_hh_tes_in!K14/SER_hh_fec_in!K14)</f>
        <v>0.76998133330908869</v>
      </c>
      <c r="L14" s="137">
        <f>IF(SER_hh_tes_in!L14=0,"",SER_hh_tes_in!L14/SER_hh_fec_in!L14)</f>
        <v>0.77387868900676415</v>
      </c>
      <c r="M14" s="137">
        <f>IF(SER_hh_tes_in!M14=0,"",SER_hh_tes_in!M14/SER_hh_fec_in!M14)</f>
        <v>0.77703048612682479</v>
      </c>
      <c r="N14" s="137">
        <f>IF(SER_hh_tes_in!N14=0,"",SER_hh_tes_in!N14/SER_hh_fec_in!N14)</f>
        <v>0.77917765876960354</v>
      </c>
      <c r="O14" s="137" t="str">
        <f>IF(SER_hh_tes_in!O14=0,"",SER_hh_tes_in!O14/SER_hh_fec_in!O14)</f>
        <v/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 t="str">
        <f>IF(SER_hh_tes_in!R14=0,"",SER_hh_tes_in!R14/SER_hh_fec_in!R14)</f>
        <v/>
      </c>
      <c r="S14" s="137" t="str">
        <f>IF(SER_hh_tes_in!S14=0,"",SER_hh_tes_in!S14/SER_hh_fec_in!S14)</f>
        <v/>
      </c>
      <c r="T14" s="137" t="str">
        <f>IF(SER_hh_tes_in!T14=0,"",SER_hh_tes_in!T14/SER_hh_fec_in!T14)</f>
        <v/>
      </c>
      <c r="U14" s="137" t="str">
        <f>IF(SER_hh_tes_in!U14=0,"",SER_hh_tes_in!U14/SER_hh_fec_in!U14)</f>
        <v/>
      </c>
      <c r="V14" s="137" t="str">
        <f>IF(SER_hh_tes_in!V14=0,"",SER_hh_tes_in!V14/SER_hh_fec_in!V14)</f>
        <v/>
      </c>
      <c r="W14" s="137">
        <f>IF(SER_hh_tes_in!W14=0,"",SER_hh_tes_in!W14/SER_hh_fec_in!W14)</f>
        <v>0.92043447037821879</v>
      </c>
      <c r="X14" s="137">
        <f>IF(SER_hh_tes_in!X14=0,"",SER_hh_tes_in!X14/SER_hh_fec_in!X14)</f>
        <v>0.93240332844067286</v>
      </c>
      <c r="Y14" s="137" t="str">
        <f>IF(SER_hh_tes_in!Y14=0,"",SER_hh_tes_in!Y14/SER_hh_fec_in!Y14)</f>
        <v/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2.8951115528646874</v>
      </c>
      <c r="D16" s="135">
        <f>IF(SER_hh_tes_in!D16=0,"",SER_hh_tes_in!D16/SER_hh_fec_in!D16)</f>
        <v>3.0387067926189975</v>
      </c>
      <c r="E16" s="135">
        <f>IF(SER_hh_tes_in!E16=0,"",SER_hh_tes_in!E16/SER_hh_fec_in!E16)</f>
        <v>3.1856562336927809</v>
      </c>
      <c r="F16" s="135">
        <f>IF(SER_hh_tes_in!F16=0,"",SER_hh_tes_in!F16/SER_hh_fec_in!F16)</f>
        <v>3.3313259638634718</v>
      </c>
      <c r="G16" s="135">
        <f>IF(SER_hh_tes_in!G16=0,"",SER_hh_tes_in!G16/SER_hh_fec_in!G16)</f>
        <v>3.4802587496858757</v>
      </c>
      <c r="H16" s="135">
        <f>IF(SER_hh_tes_in!H16=0,"",SER_hh_tes_in!H16/SER_hh_fec_in!H16)</f>
        <v>3.6327074749164283</v>
      </c>
      <c r="I16" s="135">
        <f>IF(SER_hh_tes_in!I16=0,"",SER_hh_tes_in!I16/SER_hh_fec_in!I16)</f>
        <v>3.7866815594510785</v>
      </c>
      <c r="J16" s="135">
        <f>IF(SER_hh_tes_in!J16=0,"",SER_hh_tes_in!J16/SER_hh_fec_in!J16)</f>
        <v>3.941941630361006</v>
      </c>
      <c r="K16" s="135">
        <f>IF(SER_hh_tes_in!K16=0,"",SER_hh_tes_in!K16/SER_hh_fec_in!K16)</f>
        <v>4.1021175635655105</v>
      </c>
      <c r="L16" s="135">
        <f>IF(SER_hh_tes_in!L16=0,"",SER_hh_tes_in!L16/SER_hh_fec_in!L16)</f>
        <v>4.262207680738503</v>
      </c>
      <c r="M16" s="135">
        <f>IF(SER_hh_tes_in!M16=0,"",SER_hh_tes_in!M16/SER_hh_fec_in!M16)</f>
        <v>4.4463921559778345</v>
      </c>
      <c r="N16" s="135">
        <f>IF(SER_hh_tes_in!N16=0,"",SER_hh_tes_in!N16/SER_hh_fec_in!N16)</f>
        <v>4.6580346863316109</v>
      </c>
      <c r="O16" s="135">
        <f>IF(SER_hh_tes_in!O16=0,"",SER_hh_tes_in!O16/SER_hh_fec_in!O16)</f>
        <v>4.8953744543904278</v>
      </c>
      <c r="P16" s="135">
        <f>IF(SER_hh_tes_in!P16=0,"",SER_hh_tes_in!P16/SER_hh_fec_in!P16)</f>
        <v>5.1314655821135249</v>
      </c>
      <c r="Q16" s="135">
        <f>IF(SER_hh_tes_in!Q16=0,"",SER_hh_tes_in!Q16/SER_hh_fec_in!Q16)</f>
        <v>5.2949501866022546</v>
      </c>
      <c r="R16" s="135">
        <f>IF(SER_hh_tes_in!R16=0,"",SER_hh_tes_in!R16/SER_hh_fec_in!R16)</f>
        <v>5.5401683636192072</v>
      </c>
      <c r="S16" s="135">
        <f>IF(SER_hh_tes_in!S16=0,"",SER_hh_tes_in!S16/SER_hh_fec_in!S16)</f>
        <v>5.6306982960180338</v>
      </c>
      <c r="T16" s="135">
        <f>IF(SER_hh_tes_in!T16=0,"",SER_hh_tes_in!T16/SER_hh_fec_in!T16)</f>
        <v>5.7040213268015947</v>
      </c>
      <c r="U16" s="135">
        <f>IF(SER_hh_tes_in!U16=0,"",SER_hh_tes_in!U16/SER_hh_fec_in!U16)</f>
        <v>5.7155022930368311</v>
      </c>
      <c r="V16" s="135">
        <f>IF(SER_hh_tes_in!V16=0,"",SER_hh_tes_in!V16/SER_hh_fec_in!V16)</f>
        <v>5.6919884783160501</v>
      </c>
      <c r="W16" s="135">
        <f>IF(SER_hh_tes_in!W16=0,"",SER_hh_tes_in!W16/SER_hh_fec_in!W16)</f>
        <v>5.8337008117305178</v>
      </c>
      <c r="X16" s="135">
        <f>IF(SER_hh_tes_in!X16=0,"",SER_hh_tes_in!X16/SER_hh_fec_in!X16)</f>
        <v>5.8676033313859168</v>
      </c>
      <c r="Y16" s="135">
        <f>IF(SER_hh_tes_in!Y16=0,"",SER_hh_tes_in!Y16/SER_hh_fec_in!Y16)</f>
        <v>5.8771995939779673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1.3171324884361144</v>
      </c>
      <c r="D17" s="136">
        <f>IF(SER_hh_tes_in!D17=0,"",SER_hh_tes_in!D17/SER_hh_fec_in!D17)</f>
        <v>1.3430805777050991</v>
      </c>
      <c r="E17" s="136">
        <f>IF(SER_hh_tes_in!E17=0,"",SER_hh_tes_in!E17/SER_hh_fec_in!E17)</f>
        <v>1.3685123070322029</v>
      </c>
      <c r="F17" s="136">
        <f>IF(SER_hh_tes_in!F17=0,"",SER_hh_tes_in!F17/SER_hh_fec_in!F17)</f>
        <v>1.3932634175348293</v>
      </c>
      <c r="G17" s="136">
        <f>IF(SER_hh_tes_in!G17=0,"",SER_hh_tes_in!G17/SER_hh_fec_in!G17)</f>
        <v>1.4175592667217989</v>
      </c>
      <c r="H17" s="136">
        <f>IF(SER_hh_tes_in!H17=0,"",SER_hh_tes_in!H17/SER_hh_fec_in!H17)</f>
        <v>1.4414121651556848</v>
      </c>
      <c r="I17" s="136">
        <f>IF(SER_hh_tes_in!I17=0,"",SER_hh_tes_in!I17/SER_hh_fec_in!I17)</f>
        <v>1.4648926001865787</v>
      </c>
      <c r="J17" s="136">
        <f>IF(SER_hh_tes_in!J17=0,"",SER_hh_tes_in!J17/SER_hh_fec_in!J17)</f>
        <v>1.4881849583419431</v>
      </c>
      <c r="K17" s="136">
        <f>IF(SER_hh_tes_in!K17=0,"",SER_hh_tes_in!K17/SER_hh_fec_in!K17)</f>
        <v>1.5114347032161444</v>
      </c>
      <c r="L17" s="136">
        <f>IF(SER_hh_tes_in!L17=0,"",SER_hh_tes_in!L17/SER_hh_fec_in!L17)</f>
        <v>1.5346796522448019</v>
      </c>
      <c r="M17" s="136">
        <f>IF(SER_hh_tes_in!M17=0,"",SER_hh_tes_in!M17/SER_hh_fec_in!M17)</f>
        <v>1.5614925103377353</v>
      </c>
      <c r="N17" s="136">
        <f>IF(SER_hh_tes_in!N17=0,"",SER_hh_tes_in!N17/SER_hh_fec_in!N17)</f>
        <v>1.5919345886850758</v>
      </c>
      <c r="O17" s="136">
        <f>IF(SER_hh_tes_in!O17=0,"",SER_hh_tes_in!O17/SER_hh_fec_in!O17)</f>
        <v>1.6253923712496456</v>
      </c>
      <c r="P17" s="136">
        <f>IF(SER_hh_tes_in!P17=0,"",SER_hh_tes_in!P17/SER_hh_fec_in!P17)</f>
        <v>1.658412810777292</v>
      </c>
      <c r="Q17" s="136">
        <f>IF(SER_hh_tes_in!Q17=0,"",SER_hh_tes_in!Q17/SER_hh_fec_in!Q17)</f>
        <v>1.6832463170080572</v>
      </c>
      <c r="R17" s="136">
        <f>IF(SER_hh_tes_in!R17=0,"",SER_hh_tes_in!R17/SER_hh_fec_in!R17)</f>
        <v>1.7236564555638767</v>
      </c>
      <c r="S17" s="136">
        <f>IF(SER_hh_tes_in!S17=0,"",SER_hh_tes_in!S17/SER_hh_fec_in!S17)</f>
        <v>1.7582156985595037</v>
      </c>
      <c r="T17" s="136">
        <f>IF(SER_hh_tes_in!T17=0,"",SER_hh_tes_in!T17/SER_hh_fec_in!T17)</f>
        <v>1.7950597964962209</v>
      </c>
      <c r="U17" s="136">
        <f>IF(SER_hh_tes_in!U17=0,"",SER_hh_tes_in!U17/SER_hh_fec_in!U17)</f>
        <v>1.8287739519890196</v>
      </c>
      <c r="V17" s="136">
        <f>IF(SER_hh_tes_in!V17=0,"",SER_hh_tes_in!V17/SER_hh_fec_in!V17)</f>
        <v>1.8594632772374546</v>
      </c>
      <c r="W17" s="136">
        <f>IF(SER_hh_tes_in!W17=0,"",SER_hh_tes_in!W17/SER_hh_fec_in!W17)</f>
        <v>1.8836974257800299</v>
      </c>
      <c r="X17" s="136">
        <f>IF(SER_hh_tes_in!X17=0,"",SER_hh_tes_in!X17/SER_hh_fec_in!X17)</f>
        <v>1.8927347598199535</v>
      </c>
      <c r="Y17" s="136">
        <f>IF(SER_hh_tes_in!Y17=0,"",SER_hh_tes_in!Y17/SER_hh_fec_in!Y17)</f>
        <v>1.8942039406267817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2.8984958127104354</v>
      </c>
      <c r="D18" s="136">
        <f>IF(SER_hh_tes_in!D18=0,"",SER_hh_tes_in!D18/SER_hh_fec_in!D18)</f>
        <v>3.0428328118063246</v>
      </c>
      <c r="E18" s="136">
        <f>IF(SER_hh_tes_in!E18=0,"",SER_hh_tes_in!E18/SER_hh_fec_in!E18)</f>
        <v>3.189333700064334</v>
      </c>
      <c r="F18" s="136">
        <f>IF(SER_hh_tes_in!F18=0,"",SER_hh_tes_in!F18/SER_hh_fec_in!F18)</f>
        <v>3.3370112188345682</v>
      </c>
      <c r="G18" s="136">
        <f>IF(SER_hh_tes_in!G18=0,"",SER_hh_tes_in!G18/SER_hh_fec_in!G18)</f>
        <v>3.4867209119256404</v>
      </c>
      <c r="H18" s="136">
        <f>IF(SER_hh_tes_in!H18=0,"",SER_hh_tes_in!H18/SER_hh_fec_in!H18)</f>
        <v>3.6383283206913863</v>
      </c>
      <c r="I18" s="136">
        <f>IF(SER_hh_tes_in!I18=0,"",SER_hh_tes_in!I18/SER_hh_fec_in!I18)</f>
        <v>3.7920127833757236</v>
      </c>
      <c r="J18" s="136">
        <f>IF(SER_hh_tes_in!J18=0,"",SER_hh_tes_in!J18/SER_hh_fec_in!J18)</f>
        <v>3.9485780805047273</v>
      </c>
      <c r="K18" s="136">
        <f>IF(SER_hh_tes_in!K18=0,"",SER_hh_tes_in!K18/SER_hh_fec_in!K18)</f>
        <v>4.1086608732741166</v>
      </c>
      <c r="L18" s="136">
        <f>IF(SER_hh_tes_in!L18=0,"",SER_hh_tes_in!L18/SER_hh_fec_in!L18)</f>
        <v>4.2723455898105893</v>
      </c>
      <c r="M18" s="136">
        <f>IF(SER_hh_tes_in!M18=0,"",SER_hh_tes_in!M18/SER_hh_fec_in!M18)</f>
        <v>4.4599162097861935</v>
      </c>
      <c r="N18" s="136">
        <f>IF(SER_hh_tes_in!N18=0,"",SER_hh_tes_in!N18/SER_hh_fec_in!N18)</f>
        <v>4.677394115525737</v>
      </c>
      <c r="O18" s="136">
        <f>IF(SER_hh_tes_in!O18=0,"",SER_hh_tes_in!O18/SER_hh_fec_in!O18)</f>
        <v>4.9243913479553498</v>
      </c>
      <c r="P18" s="136">
        <f>IF(SER_hh_tes_in!P18=0,"",SER_hh_tes_in!P18/SER_hh_fec_in!P18)</f>
        <v>5.1768701356316873</v>
      </c>
      <c r="Q18" s="136">
        <f>IF(SER_hh_tes_in!Q18=0,"",SER_hh_tes_in!Q18/SER_hh_fec_in!Q18)</f>
        <v>5.3706437341185937</v>
      </c>
      <c r="R18" s="136">
        <f>IF(SER_hh_tes_in!R18=0,"",SER_hh_tes_in!R18/SER_hh_fec_in!R18)</f>
        <v>5.6179695138786006</v>
      </c>
      <c r="S18" s="136">
        <f>IF(SER_hh_tes_in!S18=0,"",SER_hh_tes_in!S18/SER_hh_fec_in!S18)</f>
        <v>5.704023715186235</v>
      </c>
      <c r="T18" s="136">
        <f>IF(SER_hh_tes_in!T18=0,"",SER_hh_tes_in!T18/SER_hh_fec_in!T18)</f>
        <v>5.7595359971453091</v>
      </c>
      <c r="U18" s="136">
        <f>IF(SER_hh_tes_in!U18=0,"",SER_hh_tes_in!U18/SER_hh_fec_in!U18)</f>
        <v>5.7990790147565354</v>
      </c>
      <c r="V18" s="136">
        <f>IF(SER_hh_tes_in!V18=0,"",SER_hh_tes_in!V18/SER_hh_fec_in!V18)</f>
        <v>5.8388405963340109</v>
      </c>
      <c r="W18" s="136">
        <f>IF(SER_hh_tes_in!W18=0,"",SER_hh_tes_in!W18/SER_hh_fec_in!W18)</f>
        <v>5.8818899701578546</v>
      </c>
      <c r="X18" s="136">
        <f>IF(SER_hh_tes_in!X18=0,"",SER_hh_tes_in!X18/SER_hh_fec_in!X18)</f>
        <v>5.9110870109850868</v>
      </c>
      <c r="Y18" s="136">
        <f>IF(SER_hh_tes_in!Y18=0,"",SER_hh_tes_in!Y18/SER_hh_fec_in!Y18)</f>
        <v>5.9364881236027562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0.75130346173964691</v>
      </c>
      <c r="D19" s="135">
        <f>IF(SER_hh_tes_in!D19=0,"",SER_hh_tes_in!D19/SER_hh_fec_in!D19)</f>
        <v>0.73662888539720039</v>
      </c>
      <c r="E19" s="135">
        <f>IF(SER_hh_tes_in!E19=0,"",SER_hh_tes_in!E19/SER_hh_fec_in!E19)</f>
        <v>0.73150133140186502</v>
      </c>
      <c r="F19" s="135">
        <f>IF(SER_hh_tes_in!F19=0,"",SER_hh_tes_in!F19/SER_hh_fec_in!F19)</f>
        <v>0.73668598567106092</v>
      </c>
      <c r="G19" s="135">
        <f>IF(SER_hh_tes_in!G19=0,"",SER_hh_tes_in!G19/SER_hh_fec_in!G19)</f>
        <v>0.74576099011803221</v>
      </c>
      <c r="H19" s="135">
        <f>IF(SER_hh_tes_in!H19=0,"",SER_hh_tes_in!H19/SER_hh_fec_in!H19)</f>
        <v>0.75273910565862945</v>
      </c>
      <c r="I19" s="135">
        <f>IF(SER_hh_tes_in!I19=0,"",SER_hh_tes_in!I19/SER_hh_fec_in!I19)</f>
        <v>0.7741959326866007</v>
      </c>
      <c r="J19" s="135">
        <f>IF(SER_hh_tes_in!J19=0,"",SER_hh_tes_in!J19/SER_hh_fec_in!J19)</f>
        <v>0.78191330786146984</v>
      </c>
      <c r="K19" s="135">
        <f>IF(SER_hh_tes_in!K19=0,"",SER_hh_tes_in!K19/SER_hh_fec_in!K19)</f>
        <v>0.79574907066928402</v>
      </c>
      <c r="L19" s="135">
        <f>IF(SER_hh_tes_in!L19=0,"",SER_hh_tes_in!L19/SER_hh_fec_in!L19)</f>
        <v>0.82913332285852526</v>
      </c>
      <c r="M19" s="135">
        <f>IF(SER_hh_tes_in!M19=0,"",SER_hh_tes_in!M19/SER_hh_fec_in!M19)</f>
        <v>0.8208945531381967</v>
      </c>
      <c r="N19" s="135">
        <f>IF(SER_hh_tes_in!N19=0,"",SER_hh_tes_in!N19/SER_hh_fec_in!N19)</f>
        <v>0.81493053273758786</v>
      </c>
      <c r="O19" s="135">
        <f>IF(SER_hh_tes_in!O19=0,"",SER_hh_tes_in!O19/SER_hh_fec_in!O19)</f>
        <v>0.83811311128974497</v>
      </c>
      <c r="P19" s="135">
        <f>IF(SER_hh_tes_in!P19=0,"",SER_hh_tes_in!P19/SER_hh_fec_in!P19)</f>
        <v>0.84344508943648044</v>
      </c>
      <c r="Q19" s="135">
        <f>IF(SER_hh_tes_in!Q19=0,"",SER_hh_tes_in!Q19/SER_hh_fec_in!Q19)</f>
        <v>0.85596469267817388</v>
      </c>
      <c r="R19" s="135">
        <f>IF(SER_hh_tes_in!R19=0,"",SER_hh_tes_in!R19/SER_hh_fec_in!R19)</f>
        <v>0.86553138285383036</v>
      </c>
      <c r="S19" s="135">
        <f>IF(SER_hh_tes_in!S19=0,"",SER_hh_tes_in!S19/SER_hh_fec_in!S19)</f>
        <v>0.8736692423794391</v>
      </c>
      <c r="T19" s="135">
        <f>IF(SER_hh_tes_in!T19=0,"",SER_hh_tes_in!T19/SER_hh_fec_in!T19)</f>
        <v>0.89477324299306504</v>
      </c>
      <c r="U19" s="135">
        <f>IF(SER_hh_tes_in!U19=0,"",SER_hh_tes_in!U19/SER_hh_fec_in!U19)</f>
        <v>0.90312101295130476</v>
      </c>
      <c r="V19" s="135">
        <f>IF(SER_hh_tes_in!V19=0,"",SER_hh_tes_in!V19/SER_hh_fec_in!V19)</f>
        <v>0.91628085862318021</v>
      </c>
      <c r="W19" s="135">
        <f>IF(SER_hh_tes_in!W19=0,"",SER_hh_tes_in!W19/SER_hh_fec_in!W19)</f>
        <v>0.92506180421576312</v>
      </c>
      <c r="X19" s="135">
        <f>IF(SER_hh_tes_in!X19=0,"",SER_hh_tes_in!X19/SER_hh_fec_in!X19)</f>
        <v>0.92514780227997717</v>
      </c>
      <c r="Y19" s="135">
        <f>IF(SER_hh_tes_in!Y19=0,"",SER_hh_tes_in!Y19/SER_hh_fec_in!Y19)</f>
        <v>0.934331512373196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0.54601763666775238</v>
      </c>
      <c r="D22" s="136">
        <f>IF(SER_hh_tes_in!D22=0,"",SER_hh_tes_in!D22/SER_hh_fec_in!D22)</f>
        <v>0.54868232339356238</v>
      </c>
      <c r="E22" s="136">
        <f>IF(SER_hh_tes_in!E22=0,"",SER_hh_tes_in!E22/SER_hh_fec_in!E22)</f>
        <v>0.55171741336834301</v>
      </c>
      <c r="F22" s="136">
        <f>IF(SER_hh_tes_in!F22=0,"",SER_hh_tes_in!F22/SER_hh_fec_in!F22)</f>
        <v>0.55480301287707412</v>
      </c>
      <c r="G22" s="136">
        <f>IF(SER_hh_tes_in!G22=0,"",SER_hh_tes_in!G22/SER_hh_fec_in!G22)</f>
        <v>0.55822973199134229</v>
      </c>
      <c r="H22" s="136">
        <f>IF(SER_hh_tes_in!H22=0,"",SER_hh_tes_in!H22/SER_hh_fec_in!H22)</f>
        <v>0.56196200373805816</v>
      </c>
      <c r="I22" s="136">
        <f>IF(SER_hh_tes_in!I22=0,"",SER_hh_tes_in!I22/SER_hh_fec_in!I22)</f>
        <v>0.56607143444735242</v>
      </c>
      <c r="J22" s="136">
        <f>IF(SER_hh_tes_in!J22=0,"",SER_hh_tes_in!J22/SER_hh_fec_in!J22)</f>
        <v>0.57085136997900987</v>
      </c>
      <c r="K22" s="136">
        <f>IF(SER_hh_tes_in!K22=0,"",SER_hh_tes_in!K22/SER_hh_fec_in!K22)</f>
        <v>0.57655123147298482</v>
      </c>
      <c r="L22" s="136">
        <f>IF(SER_hh_tes_in!L22=0,"",SER_hh_tes_in!L22/SER_hh_fec_in!L22)</f>
        <v>0.5832377493099633</v>
      </c>
      <c r="M22" s="136">
        <f>IF(SER_hh_tes_in!M22=0,"",SER_hh_tes_in!M22/SER_hh_fec_in!M22)</f>
        <v>0.596868639901737</v>
      </c>
      <c r="N22" s="136">
        <f>IF(SER_hh_tes_in!N22=0,"",SER_hh_tes_in!N22/SER_hh_fec_in!N22)</f>
        <v>0.61933763189386326</v>
      </c>
      <c r="O22" s="136">
        <f>IF(SER_hh_tes_in!O22=0,"",SER_hh_tes_in!O22/SER_hh_fec_in!O22)</f>
        <v>0.65218597156322022</v>
      </c>
      <c r="P22" s="136">
        <f>IF(SER_hh_tes_in!P22=0,"",SER_hh_tes_in!P22/SER_hh_fec_in!P22)</f>
        <v>0.69201812700294396</v>
      </c>
      <c r="Q22" s="136">
        <f>IF(SER_hh_tes_in!Q22=0,"",SER_hh_tes_in!Q22/SER_hh_fec_in!Q22)</f>
        <v>0.72788146946941223</v>
      </c>
      <c r="R22" s="136">
        <f>IF(SER_hh_tes_in!R22=0,"",SER_hh_tes_in!R22/SER_hh_fec_in!R22)</f>
        <v>0.75114881466823991</v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 t="str">
        <f>IF(SER_hh_tes_in!W22=0,"",SER_hh_tes_in!W22/SER_hh_fec_in!W22)</f>
        <v/>
      </c>
      <c r="X22" s="136">
        <f>IF(SER_hh_tes_in!X22=0,"",SER_hh_tes_in!X22/SER_hh_fec_in!X22)</f>
        <v>0.83290048997784094</v>
      </c>
      <c r="Y22" s="136">
        <f>IF(SER_hh_tes_in!Y22=0,"",SER_hh_tes_in!Y22/SER_hh_fec_in!Y22)</f>
        <v>0.83446953224166942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0.59199147693372878</v>
      </c>
      <c r="D23" s="136">
        <f>IF(SER_hh_tes_in!D23=0,"",SER_hh_tes_in!D23/SER_hh_fec_in!D23)</f>
        <v>0.59832378352128579</v>
      </c>
      <c r="E23" s="136">
        <f>IF(SER_hh_tes_in!E23=0,"",SER_hh_tes_in!E23/SER_hh_fec_in!E23)</f>
        <v>0.60494290632284375</v>
      </c>
      <c r="F23" s="136">
        <f>IF(SER_hh_tes_in!F23=0,"",SER_hh_tes_in!F23/SER_hh_fec_in!F23)</f>
        <v>0.61161302413901031</v>
      </c>
      <c r="G23" s="136">
        <f>IF(SER_hh_tes_in!G23=0,"",SER_hh_tes_in!G23/SER_hh_fec_in!G23)</f>
        <v>0.61854523227087255</v>
      </c>
      <c r="H23" s="136">
        <f>IF(SER_hh_tes_in!H23=0,"",SER_hh_tes_in!H23/SER_hh_fec_in!H23)</f>
        <v>0.6257115046364593</v>
      </c>
      <c r="I23" s="136">
        <f>IF(SER_hh_tes_in!I23=0,"",SER_hh_tes_in!I23/SER_hh_fec_in!I23)</f>
        <v>0.63316161214913158</v>
      </c>
      <c r="J23" s="136">
        <f>IF(SER_hh_tes_in!J23=0,"",SER_hh_tes_in!J23/SER_hh_fec_in!J23)</f>
        <v>0.64110452449270006</v>
      </c>
      <c r="K23" s="136">
        <f>IF(SER_hh_tes_in!K23=0,"",SER_hh_tes_in!K23/SER_hh_fec_in!K23)</f>
        <v>0.6497149783812538</v>
      </c>
      <c r="L23" s="136">
        <f>IF(SER_hh_tes_in!L23=0,"",SER_hh_tes_in!L23/SER_hh_fec_in!L23)</f>
        <v>0.65903449070606102</v>
      </c>
      <c r="M23" s="136">
        <f>IF(SER_hh_tes_in!M23=0,"",SER_hh_tes_in!M23/SER_hh_fec_in!M23)</f>
        <v>0.67341284744034291</v>
      </c>
      <c r="N23" s="136">
        <f>IF(SER_hh_tes_in!N23=0,"",SER_hh_tes_in!N23/SER_hh_fec_in!N23)</f>
        <v>0.69419310902144071</v>
      </c>
      <c r="O23" s="136">
        <f>IF(SER_hh_tes_in!O23=0,"",SER_hh_tes_in!O23/SER_hh_fec_in!O23)</f>
        <v>0.72233387088934387</v>
      </c>
      <c r="P23" s="136">
        <f>IF(SER_hh_tes_in!P23=0,"",SER_hh_tes_in!P23/SER_hh_fec_in!P23)</f>
        <v>0.75505409993666373</v>
      </c>
      <c r="Q23" s="136">
        <f>IF(SER_hh_tes_in!Q23=0,"",SER_hh_tes_in!Q23/SER_hh_fec_in!Q23)</f>
        <v>0.78370146539364083</v>
      </c>
      <c r="R23" s="136">
        <f>IF(SER_hh_tes_in!R23=0,"",SER_hh_tes_in!R23/SER_hh_fec_in!R23)</f>
        <v>0.80121283184290704</v>
      </c>
      <c r="S23" s="136">
        <f>IF(SER_hh_tes_in!S23=0,"",SER_hh_tes_in!S23/SER_hh_fec_in!S23)</f>
        <v>0.81612574013975059</v>
      </c>
      <c r="T23" s="136">
        <f>IF(SER_hh_tes_in!T23=0,"",SER_hh_tes_in!T23/SER_hh_fec_in!T23)</f>
        <v>0.82867426848092862</v>
      </c>
      <c r="U23" s="136">
        <f>IF(SER_hh_tes_in!U23=0,"",SER_hh_tes_in!U23/SER_hh_fec_in!U23)</f>
        <v>0.8390813233871115</v>
      </c>
      <c r="V23" s="136">
        <f>IF(SER_hh_tes_in!V23=0,"",SER_hh_tes_in!V23/SER_hh_fec_in!V23)</f>
        <v>0.84754240856391083</v>
      </c>
      <c r="W23" s="136">
        <f>IF(SER_hh_tes_in!W23=0,"",SER_hh_tes_in!W23/SER_hh_fec_in!W23)</f>
        <v>0.85314200389698813</v>
      </c>
      <c r="X23" s="136">
        <f>IF(SER_hh_tes_in!X23=0,"",SER_hh_tes_in!X23/SER_hh_fec_in!X23)</f>
        <v>0.8555816892057998</v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0.58094210910941269</v>
      </c>
      <c r="D24" s="136">
        <f>IF(SER_hh_tes_in!D24=0,"",SER_hh_tes_in!D24/SER_hh_fec_in!D24)</f>
        <v>0.5932262972246265</v>
      </c>
      <c r="E24" s="136">
        <f>IF(SER_hh_tes_in!E24=0,"",SER_hh_tes_in!E24/SER_hh_fec_in!E24)</f>
        <v>0.60562742936709546</v>
      </c>
      <c r="F24" s="136">
        <f>IF(SER_hh_tes_in!F24=0,"",SER_hh_tes_in!F24/SER_hh_fec_in!F24)</f>
        <v>0.61813337661093848</v>
      </c>
      <c r="G24" s="136">
        <f>IF(SER_hh_tes_in!G24=0,"",SER_hh_tes_in!G24/SER_hh_fec_in!G24)</f>
        <v>0.63073179993749817</v>
      </c>
      <c r="H24" s="136">
        <f>IF(SER_hh_tes_in!H24=0,"",SER_hh_tes_in!H24/SER_hh_fec_in!H24)</f>
        <v>0.64340816831881198</v>
      </c>
      <c r="I24" s="136">
        <f>IF(SER_hh_tes_in!I24=0,"",SER_hh_tes_in!I24/SER_hh_fec_in!I24)</f>
        <v>0.65614331371001255</v>
      </c>
      <c r="J24" s="136">
        <f>IF(SER_hh_tes_in!J24=0,"",SER_hh_tes_in!J24/SER_hh_fec_in!J24)</f>
        <v>0.66889583063041358</v>
      </c>
      <c r="K24" s="136">
        <f>IF(SER_hh_tes_in!K24=0,"",SER_hh_tes_in!K24/SER_hh_fec_in!K24)</f>
        <v>0.68161096876797522</v>
      </c>
      <c r="L24" s="136">
        <f>IF(SER_hh_tes_in!L24=0,"",SER_hh_tes_in!L24/SER_hh_fec_in!L24)</f>
        <v>0.69424013428417886</v>
      </c>
      <c r="M24" s="136">
        <f>IF(SER_hh_tes_in!M24=0,"",SER_hh_tes_in!M24/SER_hh_fec_in!M24)</f>
        <v>0.70584106162725457</v>
      </c>
      <c r="N24" s="136">
        <f>IF(SER_hh_tes_in!N24=0,"",SER_hh_tes_in!N24/SER_hh_fec_in!N24)</f>
        <v>0.7158981611834454</v>
      </c>
      <c r="O24" s="136">
        <f>IF(SER_hh_tes_in!O24=0,"",SER_hh_tes_in!O24/SER_hh_fec_in!O24)</f>
        <v>0.72411365176615583</v>
      </c>
      <c r="P24" s="136">
        <f>IF(SER_hh_tes_in!P24=0,"",SER_hh_tes_in!P24/SER_hh_fec_in!P24)</f>
        <v>0.73119924218116494</v>
      </c>
      <c r="Q24" s="136">
        <f>IF(SER_hh_tes_in!Q24=0,"",SER_hh_tes_in!Q24/SER_hh_fec_in!Q24)</f>
        <v>0.7396536762991438</v>
      </c>
      <c r="R24" s="136">
        <f>IF(SER_hh_tes_in!R24=0,"",SER_hh_tes_in!R24/SER_hh_fec_in!R24)</f>
        <v>0.75231732522237715</v>
      </c>
      <c r="S24" s="136">
        <f>IF(SER_hh_tes_in!S24=0,"",SER_hh_tes_in!S24/SER_hh_fec_in!S24)</f>
        <v>0.76657011081152771</v>
      </c>
      <c r="T24" s="136">
        <f>IF(SER_hh_tes_in!T24=0,"",SER_hh_tes_in!T24/SER_hh_fec_in!T24)</f>
        <v>0.78094661702887491</v>
      </c>
      <c r="U24" s="136">
        <f>IF(SER_hh_tes_in!U24=0,"",SER_hh_tes_in!U24/SER_hh_fec_in!U24)</f>
        <v>0.79422689973199656</v>
      </c>
      <c r="V24" s="136">
        <f>IF(SER_hh_tes_in!V24=0,"",SER_hh_tes_in!V24/SER_hh_fec_in!V24)</f>
        <v>0.80536669801807426</v>
      </c>
      <c r="W24" s="136">
        <f>IF(SER_hh_tes_in!W24=0,"",SER_hh_tes_in!W24/SER_hh_fec_in!W24)</f>
        <v>0.81431558917432312</v>
      </c>
      <c r="X24" s="136">
        <f>IF(SER_hh_tes_in!X24=0,"",SER_hh_tes_in!X24/SER_hh_fec_in!X24)</f>
        <v>0.82156738065966062</v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0.82771508691916929</v>
      </c>
      <c r="D25" s="136">
        <f>IF(SER_hh_tes_in!D25=0,"",SER_hh_tes_in!D25/SER_hh_fec_in!D25)</f>
        <v>0.83009665926760878</v>
      </c>
      <c r="E25" s="136">
        <f>IF(SER_hh_tes_in!E25=0,"",SER_hh_tes_in!E25/SER_hh_fec_in!E25)</f>
        <v>0.83254252785613758</v>
      </c>
      <c r="F25" s="136">
        <f>IF(SER_hh_tes_in!F25=0,"",SER_hh_tes_in!F25/SER_hh_fec_in!F25)</f>
        <v>0.83499716411376979</v>
      </c>
      <c r="G25" s="136">
        <f>IF(SER_hh_tes_in!G25=0,"",SER_hh_tes_in!G25/SER_hh_fec_in!G25)</f>
        <v>0.83751101342668122</v>
      </c>
      <c r="H25" s="136">
        <f>IF(SER_hh_tes_in!H25=0,"",SER_hh_tes_in!H25/SER_hh_fec_in!H25)</f>
        <v>0.84007790192181031</v>
      </c>
      <c r="I25" s="136">
        <f>IF(SER_hh_tes_in!I25=0,"",SER_hh_tes_in!I25/SER_hh_fec_in!I25)</f>
        <v>0.84271025934378418</v>
      </c>
      <c r="J25" s="136">
        <f>IF(SER_hh_tes_in!J25=0,"",SER_hh_tes_in!J25/SER_hh_fec_in!J25)</f>
        <v>0.84545900596903878</v>
      </c>
      <c r="K25" s="136">
        <f>IF(SER_hh_tes_in!K25=0,"",SER_hh_tes_in!K25/SER_hh_fec_in!K25)</f>
        <v>0.84836743742616894</v>
      </c>
      <c r="L25" s="136">
        <f>IF(SER_hh_tes_in!L25=0,"",SER_hh_tes_in!L25/SER_hh_fec_in!L25)</f>
        <v>0.85144713707085484</v>
      </c>
      <c r="M25" s="136">
        <f>IF(SER_hh_tes_in!M25=0,"",SER_hh_tes_in!M25/SER_hh_fec_in!M25)</f>
        <v>0.85571136570166262</v>
      </c>
      <c r="N25" s="136">
        <f>IF(SER_hh_tes_in!N25=0,"",SER_hh_tes_in!N25/SER_hh_fec_in!N25)</f>
        <v>0.8614804909631939</v>
      </c>
      <c r="O25" s="136">
        <f>IF(SER_hh_tes_in!O25=0,"",SER_hh_tes_in!O25/SER_hh_fec_in!O25)</f>
        <v>0.86903535402520959</v>
      </c>
      <c r="P25" s="136">
        <f>IF(SER_hh_tes_in!P25=0,"",SER_hh_tes_in!P25/SER_hh_fec_in!P25)</f>
        <v>0.8778416339717624</v>
      </c>
      <c r="Q25" s="136">
        <f>IF(SER_hh_tes_in!Q25=0,"",SER_hh_tes_in!Q25/SER_hh_fec_in!Q25)</f>
        <v>0.88615015704911437</v>
      </c>
      <c r="R25" s="136">
        <f>IF(SER_hh_tes_in!R25=0,"",SER_hh_tes_in!R25/SER_hh_fec_in!R25)</f>
        <v>0.89251670097912417</v>
      </c>
      <c r="S25" s="136">
        <f>IF(SER_hh_tes_in!S25=0,"",SER_hh_tes_in!S25/SER_hh_fec_in!S25)</f>
        <v>0.89871028393866847</v>
      </c>
      <c r="T25" s="136">
        <f>IF(SER_hh_tes_in!T25=0,"",SER_hh_tes_in!T25/SER_hh_fec_in!T25)</f>
        <v>0.90468952306206829</v>
      </c>
      <c r="U25" s="136">
        <f>IF(SER_hh_tes_in!U25=0,"",SER_hh_tes_in!U25/SER_hh_fec_in!U25)</f>
        <v>0.91041303548366481</v>
      </c>
      <c r="V25" s="136">
        <f>IF(SER_hh_tes_in!V25=0,"",SER_hh_tes_in!V25/SER_hh_fec_in!V25)</f>
        <v>0.91583943833779002</v>
      </c>
      <c r="W25" s="136">
        <f>IF(SER_hh_tes_in!W25=0,"",SER_hh_tes_in!W25/SER_hh_fec_in!W25)</f>
        <v>0.92083820127933469</v>
      </c>
      <c r="X25" s="136">
        <f>IF(SER_hh_tes_in!X25=0,"",SER_hh_tes_in!X25/SER_hh_fec_in!X25)</f>
        <v>0.92504169574628281</v>
      </c>
      <c r="Y25" s="136">
        <f>IF(SER_hh_tes_in!Y25=0,"",SER_hh_tes_in!Y25/SER_hh_fec_in!Y25)</f>
        <v>0.92908102475009324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0.68776893390271787</v>
      </c>
      <c r="D26" s="137">
        <f>IF(SER_hh_tes_in!D26=0,"",SER_hh_tes_in!D26/SER_hh_fec_in!D26)</f>
        <v>0.69023820576256223</v>
      </c>
      <c r="E26" s="137">
        <f>IF(SER_hh_tes_in!E26=0,"",SER_hh_tes_in!E26/SER_hh_fec_in!E26)</f>
        <v>0.69294144688758696</v>
      </c>
      <c r="F26" s="137">
        <f>IF(SER_hh_tes_in!F26=0,"",SER_hh_tes_in!F26/SER_hh_fec_in!F26)</f>
        <v>0.69567730390918814</v>
      </c>
      <c r="G26" s="137">
        <f>IF(SER_hh_tes_in!G26=0,"",SER_hh_tes_in!G26/SER_hh_fec_in!G26)</f>
        <v>0.69863045852379757</v>
      </c>
      <c r="H26" s="137">
        <f>IF(SER_hh_tes_in!H26=0,"",SER_hh_tes_in!H26/SER_hh_fec_in!H26)</f>
        <v>0.70178006413130301</v>
      </c>
      <c r="I26" s="137">
        <f>IF(SER_hh_tes_in!I26=0,"",SER_hh_tes_in!I26/SER_hh_fec_in!I26)</f>
        <v>0.70517401753691</v>
      </c>
      <c r="J26" s="137">
        <f>IF(SER_hh_tes_in!J26=0,"",SER_hh_tes_in!J26/SER_hh_fec_in!J26)</f>
        <v>0.70900437041782205</v>
      </c>
      <c r="K26" s="137">
        <f>IF(SER_hh_tes_in!K26=0,"",SER_hh_tes_in!K26/SER_hh_fec_in!K26)</f>
        <v>0.71344078402479205</v>
      </c>
      <c r="L26" s="137">
        <f>IF(SER_hh_tes_in!L26=0,"",SER_hh_tes_in!L26/SER_hh_fec_in!L26)</f>
        <v>0.71854159099556669</v>
      </c>
      <c r="M26" s="137">
        <f>IF(SER_hh_tes_in!M26=0,"",SER_hh_tes_in!M26/SER_hh_fec_in!M26)</f>
        <v>0.72823883941101353</v>
      </c>
      <c r="N26" s="137">
        <f>IF(SER_hh_tes_in!N26=0,"",SER_hh_tes_in!N26/SER_hh_fec_in!N26)</f>
        <v>0.74422872869432799</v>
      </c>
      <c r="O26" s="137">
        <f>IF(SER_hh_tes_in!O26=0,"",SER_hh_tes_in!O26/SER_hh_fec_in!O26)</f>
        <v>0.76861123130647802</v>
      </c>
      <c r="P26" s="137">
        <f>IF(SER_hh_tes_in!P26=0,"",SER_hh_tes_in!P26/SER_hh_fec_in!P26)</f>
        <v>0.80023036585076524</v>
      </c>
      <c r="Q26" s="137">
        <f>IF(SER_hh_tes_in!Q26=0,"",SER_hh_tes_in!Q26/SER_hh_fec_in!Q26)</f>
        <v>0.83073610341560444</v>
      </c>
      <c r="R26" s="137">
        <f>IF(SER_hh_tes_in!R26=0,"",SER_hh_tes_in!R26/SER_hh_fec_in!R26)</f>
        <v>0.85138053657896917</v>
      </c>
      <c r="S26" s="137">
        <f>IF(SER_hh_tes_in!S26=0,"",SER_hh_tes_in!S26/SER_hh_fec_in!S26)</f>
        <v>0.87138143386122002</v>
      </c>
      <c r="T26" s="137">
        <f>IF(SER_hh_tes_in!T26=0,"",SER_hh_tes_in!T26/SER_hh_fec_in!T26)</f>
        <v>0.89122711348203787</v>
      </c>
      <c r="U26" s="137">
        <f>IF(SER_hh_tes_in!U26=0,"",SER_hh_tes_in!U26/SER_hh_fec_in!U26)</f>
        <v>0.91111707857217938</v>
      </c>
      <c r="V26" s="137" t="str">
        <f>IF(SER_hh_tes_in!V26=0,"",SER_hh_tes_in!V26/SER_hh_fec_in!V26)</f>
        <v/>
      </c>
      <c r="W26" s="137">
        <f>IF(SER_hh_tes_in!W26=0,"",SER_hh_tes_in!W26/SER_hh_fec_in!W26)</f>
        <v>0.94850278698520396</v>
      </c>
      <c r="X26" s="137">
        <f>IF(SER_hh_tes_in!X26=0,"",SER_hh_tes_in!X26/SER_hh_fec_in!X26)</f>
        <v>0.95601403892211378</v>
      </c>
      <c r="Y26" s="137" t="str">
        <f>IF(SER_hh_tes_in!Y26=0,"",SER_hh_tes_in!Y26/SER_hh_fec_in!Y26)</f>
        <v/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0.69444665892303781</v>
      </c>
      <c r="D29" s="135">
        <f>IF(SER_hh_tes_in!D29=0,"",SER_hh_tes_in!D29/SER_hh_fec_in!D29)</f>
        <v>0.69159031028401075</v>
      </c>
      <c r="E29" s="135">
        <f>IF(SER_hh_tes_in!E29=0,"",SER_hh_tes_in!E29/SER_hh_fec_in!E29)</f>
        <v>0.68656387318136636</v>
      </c>
      <c r="F29" s="135">
        <f>IF(SER_hh_tes_in!F29=0,"",SER_hh_tes_in!F29/SER_hh_fec_in!F29)</f>
        <v>0.68413825877483248</v>
      </c>
      <c r="G29" s="135">
        <f>IF(SER_hh_tes_in!G29=0,"",SER_hh_tes_in!G29/SER_hh_fec_in!G29)</f>
        <v>0.67860392732209351</v>
      </c>
      <c r="H29" s="135">
        <f>IF(SER_hh_tes_in!H29=0,"",SER_hh_tes_in!H29/SER_hh_fec_in!H29)</f>
        <v>0.68975823147933091</v>
      </c>
      <c r="I29" s="135">
        <f>IF(SER_hh_tes_in!I29=0,"",SER_hh_tes_in!I29/SER_hh_fec_in!I29)</f>
        <v>0.69757643673405845</v>
      </c>
      <c r="J29" s="135">
        <f>IF(SER_hh_tes_in!J29=0,"",SER_hh_tes_in!J29/SER_hh_fec_in!J29)</f>
        <v>0.69687358590560755</v>
      </c>
      <c r="K29" s="135">
        <f>IF(SER_hh_tes_in!K29=0,"",SER_hh_tes_in!K29/SER_hh_fec_in!K29)</f>
        <v>0.70062427334918242</v>
      </c>
      <c r="L29" s="135">
        <f>IF(SER_hh_tes_in!L29=0,"",SER_hh_tes_in!L29/SER_hh_fec_in!L29)</f>
        <v>0.7017490717012399</v>
      </c>
      <c r="M29" s="135">
        <f>IF(SER_hh_tes_in!M29=0,"",SER_hh_tes_in!M29/SER_hh_fec_in!M29)</f>
        <v>0.71816702208963157</v>
      </c>
      <c r="N29" s="135">
        <f>IF(SER_hh_tes_in!N29=0,"",SER_hh_tes_in!N29/SER_hh_fec_in!N29)</f>
        <v>0.72282315134832964</v>
      </c>
      <c r="O29" s="135">
        <f>IF(SER_hh_tes_in!O29=0,"",SER_hh_tes_in!O29/SER_hh_fec_in!O29)</f>
        <v>0.71132324148903558</v>
      </c>
      <c r="P29" s="135">
        <f>IF(SER_hh_tes_in!P29=0,"",SER_hh_tes_in!P29/SER_hh_fec_in!P29)</f>
        <v>0.71223111652641224</v>
      </c>
      <c r="Q29" s="135">
        <f>IF(SER_hh_tes_in!Q29=0,"",SER_hh_tes_in!Q29/SER_hh_fec_in!Q29)</f>
        <v>0.69507568851475654</v>
      </c>
      <c r="R29" s="135">
        <f>IF(SER_hh_tes_in!R29=0,"",SER_hh_tes_in!R29/SER_hh_fec_in!R29)</f>
        <v>0.71859925462293439</v>
      </c>
      <c r="S29" s="135">
        <f>IF(SER_hh_tes_in!S29=0,"",SER_hh_tes_in!S29/SER_hh_fec_in!S29)</f>
        <v>0.74238770189749537</v>
      </c>
      <c r="T29" s="135">
        <f>IF(SER_hh_tes_in!T29=0,"",SER_hh_tes_in!T29/SER_hh_fec_in!T29)</f>
        <v>0.75417469512230917</v>
      </c>
      <c r="U29" s="135">
        <f>IF(SER_hh_tes_in!U29=0,"",SER_hh_tes_in!U29/SER_hh_fec_in!U29)</f>
        <v>0.75844578603698698</v>
      </c>
      <c r="V29" s="135">
        <f>IF(SER_hh_tes_in!V29=0,"",SER_hh_tes_in!V29/SER_hh_fec_in!V29)</f>
        <v>0.78347120472694298</v>
      </c>
      <c r="W29" s="135">
        <f>IF(SER_hh_tes_in!W29=0,"",SER_hh_tes_in!W29/SER_hh_fec_in!W29)</f>
        <v>0.75388934096839688</v>
      </c>
      <c r="X29" s="135">
        <f>IF(SER_hh_tes_in!X29=0,"",SER_hh_tes_in!X29/SER_hh_fec_in!X29)</f>
        <v>0.71873772456468477</v>
      </c>
      <c r="Y29" s="135">
        <f>IF(SER_hh_tes_in!Y29=0,"",SER_hh_tes_in!Y29/SER_hh_fec_in!Y29)</f>
        <v>0.65003110388890051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0.54906488581961743</v>
      </c>
      <c r="D30" s="136">
        <f>IF(SER_hh_tes_in!D30=0,"",SER_hh_tes_in!D30/SER_hh_fec_in!D30)</f>
        <v>0.54988148498135248</v>
      </c>
      <c r="E30" s="136">
        <f>IF(SER_hh_tes_in!E30=0,"",SER_hh_tes_in!E30/SER_hh_fec_in!E30)</f>
        <v>0.55069815770119801</v>
      </c>
      <c r="F30" s="136">
        <f>IF(SER_hh_tes_in!F30=0,"",SER_hh_tes_in!F30/SER_hh_fec_in!F30)</f>
        <v>0.55151484045169463</v>
      </c>
      <c r="G30" s="136">
        <f>IF(SER_hh_tes_in!G30=0,"",SER_hh_tes_in!G30/SER_hh_fec_in!G30)</f>
        <v>0.55233159094488404</v>
      </c>
      <c r="H30" s="136">
        <f>IF(SER_hh_tes_in!H30=0,"",SER_hh_tes_in!H30/SER_hh_fec_in!H30)</f>
        <v>0.55314840211754723</v>
      </c>
      <c r="I30" s="136">
        <f>IF(SER_hh_tes_in!I30=0,"",SER_hh_tes_in!I30/SER_hh_fec_in!I30)</f>
        <v>0.5539652881899324</v>
      </c>
      <c r="J30" s="136">
        <f>IF(SER_hh_tes_in!J30=0,"",SER_hh_tes_in!J30/SER_hh_fec_in!J30)</f>
        <v>0.55478230741738011</v>
      </c>
      <c r="K30" s="136">
        <f>IF(SER_hh_tes_in!K30=0,"",SER_hh_tes_in!K30/SER_hh_fec_in!K30)</f>
        <v>0.55559950933225088</v>
      </c>
      <c r="L30" s="136">
        <f>IF(SER_hh_tes_in!L30=0,"",SER_hh_tes_in!L30/SER_hh_fec_in!L30)</f>
        <v>0.55641690718648218</v>
      </c>
      <c r="M30" s="136">
        <f>IF(SER_hh_tes_in!M30=0,"",SER_hh_tes_in!M30/SER_hh_fec_in!M30)</f>
        <v>0.55703767420480699</v>
      </c>
      <c r="N30" s="136">
        <f>IF(SER_hh_tes_in!N30=0,"",SER_hh_tes_in!N30/SER_hh_fec_in!N30)</f>
        <v>0.55738465376818169</v>
      </c>
      <c r="O30" s="136">
        <f>IF(SER_hh_tes_in!O30=0,"",SER_hh_tes_in!O30/SER_hh_fec_in!O30)</f>
        <v>0.55759203433849458</v>
      </c>
      <c r="P30" s="136">
        <f>IF(SER_hh_tes_in!P30=0,"",SER_hh_tes_in!P30/SER_hh_fec_in!P30)</f>
        <v>0.55817069553738541</v>
      </c>
      <c r="Q30" s="136">
        <f>IF(SER_hh_tes_in!Q30=0,"",SER_hh_tes_in!Q30/SER_hh_fec_in!Q30)</f>
        <v>0.5605259817947299</v>
      </c>
      <c r="R30" s="136">
        <f>IF(SER_hh_tes_in!R30=0,"",SER_hh_tes_in!R30/SER_hh_fec_in!R30)</f>
        <v>0.56671273230899666</v>
      </c>
      <c r="S30" s="136">
        <f>IF(SER_hh_tes_in!S30=0,"",SER_hh_tes_in!S30/SER_hh_fec_in!S30)</f>
        <v>0.5754398508662889</v>
      </c>
      <c r="T30" s="136">
        <f>IF(SER_hh_tes_in!T30=0,"",SER_hh_tes_in!T30/SER_hh_fec_in!T30)</f>
        <v>0.58501521106426646</v>
      </c>
      <c r="U30" s="136">
        <f>IF(SER_hh_tes_in!U30=0,"",SER_hh_tes_in!U30/SER_hh_fec_in!U30)</f>
        <v>0.5937466865006138</v>
      </c>
      <c r="V30" s="136">
        <f>IF(SER_hh_tes_in!V30=0,"",SER_hh_tes_in!V30/SER_hh_fec_in!V30)</f>
        <v>0.59994215077300284</v>
      </c>
      <c r="W30" s="136">
        <f>IF(SER_hh_tes_in!W30=0,"",SER_hh_tes_in!W30/SER_hh_fec_in!W30)</f>
        <v>0.60291973794089437</v>
      </c>
      <c r="X30" s="136">
        <f>IF(SER_hh_tes_in!X30=0,"",SER_hh_tes_in!X30/SER_hh_fec_in!X30)</f>
        <v>0.60331836668135519</v>
      </c>
      <c r="Y30" s="136">
        <f>IF(SER_hh_tes_in!Y30=0,"",SER_hh_tes_in!Y30/SER_hh_fec_in!Y30)</f>
        <v>0.60335822955540142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0.55584089872678877</v>
      </c>
      <c r="D31" s="136">
        <f>IF(SER_hh_tes_in!D31=0,"",SER_hh_tes_in!D31/SER_hh_fec_in!D31)</f>
        <v>0.55665333834923125</v>
      </c>
      <c r="E31" s="136">
        <f>IF(SER_hh_tes_in!E31=0,"",SER_hh_tes_in!E31/SER_hh_fec_in!E31)</f>
        <v>0.5574658511550985</v>
      </c>
      <c r="F31" s="136">
        <f>IF(SER_hh_tes_in!F31=0,"",SER_hh_tes_in!F31/SER_hh_fec_in!F31)</f>
        <v>0.55827837394052338</v>
      </c>
      <c r="G31" s="136">
        <f>IF(SER_hh_tes_in!G31=0,"",SER_hh_tes_in!G31/SER_hh_fec_in!G31)</f>
        <v>0.55909096412357784</v>
      </c>
      <c r="H31" s="136">
        <f>IF(SER_hh_tes_in!H31=0,"",SER_hh_tes_in!H31/SER_hh_fec_in!H31)</f>
        <v>0.55990361467702077</v>
      </c>
      <c r="I31" s="136">
        <f>IF(SER_hh_tes_in!I31=0,"",SER_hh_tes_in!I31/SER_hh_fec_in!I31)</f>
        <v>0.56071633974866664</v>
      </c>
      <c r="J31" s="136">
        <f>IF(SER_hh_tes_in!J31=0,"",SER_hh_tes_in!J31/SER_hh_fec_in!J31)</f>
        <v>0.56152919729711814</v>
      </c>
      <c r="K31" s="136">
        <f>IF(SER_hh_tes_in!K31=0,"",SER_hh_tes_in!K31/SER_hh_fec_in!K31)</f>
        <v>0.56234223660243188</v>
      </c>
      <c r="L31" s="136">
        <f>IF(SER_hh_tes_in!L31=0,"",SER_hh_tes_in!L31/SER_hh_fec_in!L31)</f>
        <v>0.56315547084904305</v>
      </c>
      <c r="M31" s="136">
        <f>IF(SER_hh_tes_in!M31=0,"",SER_hh_tes_in!M31/SER_hh_fec_in!M31)</f>
        <v>0.56377307584501279</v>
      </c>
      <c r="N31" s="136">
        <f>IF(SER_hh_tes_in!N31=0,"",SER_hh_tes_in!N31/SER_hh_fec_in!N31)</f>
        <v>0.56411828798662766</v>
      </c>
      <c r="O31" s="136">
        <f>IF(SER_hh_tes_in!O31=0,"",SER_hh_tes_in!O31/SER_hh_fec_in!O31)</f>
        <v>0.56432461221538244</v>
      </c>
      <c r="P31" s="136">
        <f>IF(SER_hh_tes_in!P31=0,"",SER_hh_tes_in!P31/SER_hh_fec_in!P31)</f>
        <v>0.56490032586778194</v>
      </c>
      <c r="Q31" s="136">
        <f>IF(SER_hh_tes_in!Q31=0,"",SER_hh_tes_in!Q31/SER_hh_fec_in!Q31)</f>
        <v>0.56724361492234676</v>
      </c>
      <c r="R31" s="136">
        <f>IF(SER_hh_tes_in!R31=0,"",SER_hh_tes_in!R31/SER_hh_fec_in!R31)</f>
        <v>0.57339885177230376</v>
      </c>
      <c r="S31" s="136">
        <f>IF(SER_hh_tes_in!S31=0,"",SER_hh_tes_in!S31/SER_hh_fec_in!S31)</f>
        <v>0.58208151670503594</v>
      </c>
      <c r="T31" s="136">
        <f>IF(SER_hh_tes_in!T31=0,"",SER_hh_tes_in!T31/SER_hh_fec_in!T31)</f>
        <v>0.59160810256077556</v>
      </c>
      <c r="U31" s="136">
        <f>IF(SER_hh_tes_in!U31=0,"",SER_hh_tes_in!U31/SER_hh_fec_in!U31)</f>
        <v>0.600295102179778</v>
      </c>
      <c r="V31" s="136">
        <f>IF(SER_hh_tes_in!V31=0,"",SER_hh_tes_in!V31/SER_hh_fec_in!V31)</f>
        <v>0.60645900840228695</v>
      </c>
      <c r="W31" s="136">
        <f>IF(SER_hh_tes_in!W31=0,"",SER_hh_tes_in!W31/SER_hh_fec_in!W31)</f>
        <v>0.60942142853180448</v>
      </c>
      <c r="X31" s="136">
        <f>IF(SER_hh_tes_in!X31=0,"",SER_hh_tes_in!X31/SER_hh_fec_in!X31)</f>
        <v>0.60982435595510498</v>
      </c>
      <c r="Y31" s="136">
        <f>IF(SER_hh_tes_in!Y31=0,"",SER_hh_tes_in!Y31/SER_hh_fec_in!Y31)</f>
        <v>0.60986464869743506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0.73068523356976955</v>
      </c>
      <c r="D33" s="149">
        <f>IF(SER_hh_tes_in!D33=0,"",SER_hh_tes_in!D33/SER_hh_fec_in!D33)</f>
        <v>0.73208146643133165</v>
      </c>
      <c r="E33" s="149">
        <f>IF(SER_hh_tes_in!E33=0,"",SER_hh_tes_in!E33/SER_hh_fec_in!E33)</f>
        <v>0.73354353199530764</v>
      </c>
      <c r="F33" s="149">
        <f>IF(SER_hh_tes_in!F33=0,"",SER_hh_tes_in!F33/SER_hh_fec_in!F33)</f>
        <v>0.73501457474597653</v>
      </c>
      <c r="G33" s="149">
        <f>IF(SER_hh_tes_in!G33=0,"",SER_hh_tes_in!G33/SER_hh_fec_in!G33)</f>
        <v>0.73654624554335202</v>
      </c>
      <c r="H33" s="149">
        <f>IF(SER_hh_tes_in!H33=0,"",SER_hh_tes_in!H33/SER_hh_fec_in!H33)</f>
        <v>0.73813222297972092</v>
      </c>
      <c r="I33" s="149">
        <f>IF(SER_hh_tes_in!I33=0,"",SER_hh_tes_in!I33/SER_hh_fec_in!I33)</f>
        <v>0.73978523382849981</v>
      </c>
      <c r="J33" s="149">
        <f>IF(SER_hh_tes_in!J33=0,"",SER_hh_tes_in!J33/SER_hh_fec_in!J33)</f>
        <v>0.74155741518822982</v>
      </c>
      <c r="K33" s="149">
        <f>IF(SER_hh_tes_in!K33=0,"",SER_hh_tes_in!K33/SER_hh_fec_in!K33)</f>
        <v>0.74349309730635904</v>
      </c>
      <c r="L33" s="149">
        <f>IF(SER_hh_tes_in!L33=0,"",SER_hh_tes_in!L33/SER_hh_fec_in!L33)</f>
        <v>0.74560414034152767</v>
      </c>
      <c r="M33" s="149">
        <f>IF(SER_hh_tes_in!M33=0,"",SER_hh_tes_in!M33/SER_hh_fec_in!M33)</f>
        <v>0.74862246538846344</v>
      </c>
      <c r="N33" s="149">
        <f>IF(SER_hh_tes_in!N33=0,"",SER_hh_tes_in!N33/SER_hh_fec_in!N33)</f>
        <v>0.75275644342634473</v>
      </c>
      <c r="O33" s="149">
        <f>IF(SER_hh_tes_in!O33=0,"",SER_hh_tes_in!O33/SER_hh_fec_in!O33)</f>
        <v>0.75850019220178555</v>
      </c>
      <c r="P33" s="149">
        <f>IF(SER_hh_tes_in!P33=0,"",SER_hh_tes_in!P33/SER_hh_fec_in!P33)</f>
        <v>0.7660960612757004</v>
      </c>
      <c r="Q33" s="149">
        <f>IF(SER_hh_tes_in!Q33=0,"",SER_hh_tes_in!Q33/SER_hh_fec_in!Q33)</f>
        <v>0.77592518994491499</v>
      </c>
      <c r="R33" s="149">
        <f>IF(SER_hh_tes_in!R33=0,"",SER_hh_tes_in!R33/SER_hh_fec_in!R33)</f>
        <v>0.78930028407945896</v>
      </c>
      <c r="S33" s="149">
        <f>IF(SER_hh_tes_in!S33=0,"",SER_hh_tes_in!S33/SER_hh_fec_in!S33)</f>
        <v>0.80603689301534032</v>
      </c>
      <c r="T33" s="149">
        <f>IF(SER_hh_tes_in!T33=0,"",SER_hh_tes_in!T33/SER_hh_fec_in!T33)</f>
        <v>0.82405477160996043</v>
      </c>
      <c r="U33" s="149">
        <f>IF(SER_hh_tes_in!U33=0,"",SER_hh_tes_in!U33/SER_hh_fec_in!U33)</f>
        <v>0.84127367472076997</v>
      </c>
      <c r="V33" s="149">
        <f>IF(SER_hh_tes_in!V33=0,"",SER_hh_tes_in!V33/SER_hh_fec_in!V33)</f>
        <v>0.85561335720519627</v>
      </c>
      <c r="W33" s="149">
        <f>IF(SER_hh_tes_in!W33=0,"",SER_hh_tes_in!W33/SER_hh_fec_in!W33)</f>
        <v>0.86635104696733989</v>
      </c>
      <c r="X33" s="149">
        <f>IF(SER_hh_tes_in!X33=0,"",SER_hh_tes_in!X33/SER_hh_fec_in!X33)</f>
        <v>0.87395226581256957</v>
      </c>
      <c r="Y33" s="149">
        <f>IF(SER_hh_tes_in!Y33=0,"",SER_hh_tes_in!Y33/SER_hh_fec_in!Y33)</f>
        <v>0.88069299494517073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12.996594309162285</v>
      </c>
      <c r="D3" s="125">
        <f t="shared" si="0"/>
        <v>26.123411432997383</v>
      </c>
      <c r="E3" s="125">
        <f t="shared" si="0"/>
        <v>28.557875072124791</v>
      </c>
      <c r="F3" s="125">
        <f t="shared" si="0"/>
        <v>24.716000508279365</v>
      </c>
      <c r="G3" s="125">
        <f t="shared" si="0"/>
        <v>20.390277940393066</v>
      </c>
      <c r="H3" s="125">
        <f t="shared" si="0"/>
        <v>17.505434119616567</v>
      </c>
      <c r="I3" s="125">
        <f t="shared" si="0"/>
        <v>15.789917066564605</v>
      </c>
      <c r="J3" s="125">
        <f t="shared" si="0"/>
        <v>9.9533589500645263</v>
      </c>
      <c r="K3" s="125">
        <f t="shared" si="0"/>
        <v>10.947137976364093</v>
      </c>
      <c r="L3" s="125">
        <f t="shared" si="0"/>
        <v>9.2531669279810629</v>
      </c>
      <c r="M3" s="125">
        <f t="shared" si="0"/>
        <v>4.6749342075581293</v>
      </c>
      <c r="N3" s="125">
        <f t="shared" si="0"/>
        <v>5.3679248718228276</v>
      </c>
      <c r="O3" s="125">
        <f t="shared" si="0"/>
        <v>6.2191582826906</v>
      </c>
      <c r="P3" s="125">
        <f t="shared" si="0"/>
        <v>4.8648011640052777</v>
      </c>
      <c r="Q3" s="125">
        <f t="shared" si="0"/>
        <v>8.5456675770999109</v>
      </c>
      <c r="R3" s="125">
        <f t="shared" ref="R3:W3" si="1">SUM(R4,R16,R19,R29)</f>
        <v>8.5965181947442719</v>
      </c>
      <c r="S3" s="125">
        <f t="shared" si="1"/>
        <v>8.2929992978009768</v>
      </c>
      <c r="T3" s="125">
        <f t="shared" si="1"/>
        <v>5.8889631780874696</v>
      </c>
      <c r="U3" s="125">
        <f t="shared" si="1"/>
        <v>7.0231840675776471</v>
      </c>
      <c r="V3" s="125">
        <f t="shared" si="1"/>
        <v>5.3007927143678177</v>
      </c>
      <c r="W3" s="125">
        <f t="shared" si="1"/>
        <v>3.7518346260813358</v>
      </c>
      <c r="X3" s="125">
        <f t="shared" ref="X3:Y3" si="2">SUM(X4,X16,X19,X29)</f>
        <v>3.7734812498870669</v>
      </c>
      <c r="Y3" s="125">
        <f t="shared" si="2"/>
        <v>3.7455861456575024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9.8997536029672712</v>
      </c>
      <c r="D4" s="130">
        <f t="shared" si="3"/>
        <v>21.654000341231502</v>
      </c>
      <c r="E4" s="130">
        <f t="shared" si="3"/>
        <v>23.633734419591413</v>
      </c>
      <c r="F4" s="130">
        <f t="shared" si="3"/>
        <v>20.192836348512067</v>
      </c>
      <c r="G4" s="130">
        <f t="shared" si="3"/>
        <v>15.727919305802212</v>
      </c>
      <c r="H4" s="130">
        <f t="shared" si="3"/>
        <v>13.68085491494597</v>
      </c>
      <c r="I4" s="130">
        <f t="shared" si="3"/>
        <v>11.461760545230794</v>
      </c>
      <c r="J4" s="130">
        <f t="shared" si="3"/>
        <v>7.3283161771519998</v>
      </c>
      <c r="K4" s="130">
        <f t="shared" si="3"/>
        <v>7.6799095341059189</v>
      </c>
      <c r="L4" s="130">
        <f t="shared" si="3"/>
        <v>6.1637888832884737</v>
      </c>
      <c r="M4" s="130">
        <f t="shared" si="3"/>
        <v>3.795511644131198</v>
      </c>
      <c r="N4" s="130">
        <f t="shared" si="3"/>
        <v>4.6169727677947314</v>
      </c>
      <c r="O4" s="130">
        <f t="shared" si="3"/>
        <v>4.9605909307668243</v>
      </c>
      <c r="P4" s="130">
        <f t="shared" si="3"/>
        <v>3.2018972216334878</v>
      </c>
      <c r="Q4" s="130">
        <f t="shared" si="3"/>
        <v>5.84542672266726</v>
      </c>
      <c r="R4" s="130">
        <f t="shared" ref="R4:W4" si="4">SUM(R5:R15)</f>
        <v>5.7979862590224487</v>
      </c>
      <c r="S4" s="130">
        <f t="shared" si="4"/>
        <v>5.7390854304971892</v>
      </c>
      <c r="T4" s="130">
        <f t="shared" si="4"/>
        <v>3.8484845397891192</v>
      </c>
      <c r="U4" s="130">
        <f t="shared" si="4"/>
        <v>4.8804920761480659</v>
      </c>
      <c r="V4" s="130">
        <f t="shared" si="4"/>
        <v>4.0279757600218593</v>
      </c>
      <c r="W4" s="130">
        <f t="shared" si="4"/>
        <v>2.2058148202686079</v>
      </c>
      <c r="X4" s="130">
        <f t="shared" ref="X4:Y4" si="5">SUM(X5:X15)</f>
        <v>1.8788900119782053</v>
      </c>
      <c r="Y4" s="130">
        <f t="shared" si="5"/>
        <v>1.1243401171376046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1.6180370618163402</v>
      </c>
      <c r="D7" s="132">
        <v>3.8271722379212338</v>
      </c>
      <c r="E7" s="132">
        <v>4.7462444612284997</v>
      </c>
      <c r="F7" s="132">
        <v>5.1479641153198923</v>
      </c>
      <c r="G7" s="132">
        <v>1.448781821235156</v>
      </c>
      <c r="H7" s="132">
        <v>0.17375099712468794</v>
      </c>
      <c r="I7" s="132">
        <v>2.0103656149810458</v>
      </c>
      <c r="J7" s="132">
        <v>2.8218275084897742</v>
      </c>
      <c r="K7" s="132">
        <v>3.4488469504492012</v>
      </c>
      <c r="L7" s="132">
        <v>3.619898635250109</v>
      </c>
      <c r="M7" s="132">
        <v>1.7704076889755467</v>
      </c>
      <c r="N7" s="132">
        <v>2.0758053237005867</v>
      </c>
      <c r="O7" s="132">
        <v>1.5371350342837324</v>
      </c>
      <c r="P7" s="132">
        <v>0.88472200172102344</v>
      </c>
      <c r="Q7" s="132">
        <v>0.23861139665188402</v>
      </c>
      <c r="R7" s="132">
        <v>0.50028345947764841</v>
      </c>
      <c r="S7" s="132">
        <v>0</v>
      </c>
      <c r="T7" s="132">
        <v>9.2299307573055323E-2</v>
      </c>
      <c r="U7" s="132">
        <v>0</v>
      </c>
      <c r="V7" s="132">
        <v>0</v>
      </c>
      <c r="W7" s="132">
        <v>0</v>
      </c>
      <c r="X7" s="132">
        <v>8.1922268571361423E-2</v>
      </c>
      <c r="Y7" s="132">
        <v>0.62012025375155355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4.6184176661842567E-3</v>
      </c>
      <c r="D8" s="132">
        <v>1.5171090029336113E-2</v>
      </c>
      <c r="E8" s="132">
        <v>1.7796995785718563E-2</v>
      </c>
      <c r="F8" s="132">
        <v>1.1458369928807496E-2</v>
      </c>
      <c r="G8" s="132">
        <v>2.2179865577831026E-2</v>
      </c>
      <c r="H8" s="132">
        <v>1.9751222377240814E-2</v>
      </c>
      <c r="I8" s="132">
        <v>0.11431122280680038</v>
      </c>
      <c r="J8" s="132">
        <v>3.6052891783886036E-2</v>
      </c>
      <c r="K8" s="132">
        <v>4.030655676536736E-2</v>
      </c>
      <c r="L8" s="132">
        <v>2.5138336554134496E-2</v>
      </c>
      <c r="M8" s="132">
        <v>1.9670880746805352E-2</v>
      </c>
      <c r="N8" s="132">
        <v>1.6311882856754802E-2</v>
      </c>
      <c r="O8" s="132">
        <v>2.3153919540763762E-2</v>
      </c>
      <c r="P8" s="132">
        <v>6.4799268338556065E-2</v>
      </c>
      <c r="Q8" s="132">
        <v>5.0392670689213416E-2</v>
      </c>
      <c r="R8" s="132">
        <v>4.5854679096178373E-2</v>
      </c>
      <c r="S8" s="132">
        <v>3.6820145083344975E-2</v>
      </c>
      <c r="T8" s="132">
        <v>4.9381939509883441E-2</v>
      </c>
      <c r="U8" s="132">
        <v>4.8149125530686704E-2</v>
      </c>
      <c r="V8" s="132">
        <v>6.2539502648783593E-2</v>
      </c>
      <c r="W8" s="132">
        <v>5.2536253931023513E-2</v>
      </c>
      <c r="X8" s="132">
        <v>6.4165694760914799E-2</v>
      </c>
      <c r="Y8" s="132">
        <v>6.1371313544576839E-2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7.5509292542957329</v>
      </c>
      <c r="D9" s="132">
        <v>15.18171510149671</v>
      </c>
      <c r="E9" s="132">
        <v>17.379282131196955</v>
      </c>
      <c r="F9" s="132">
        <v>14.182449341416699</v>
      </c>
      <c r="G9" s="132">
        <v>13.274493123288012</v>
      </c>
      <c r="H9" s="132">
        <v>12.621539094140216</v>
      </c>
      <c r="I9" s="132">
        <v>9.2675062763663067</v>
      </c>
      <c r="J9" s="132">
        <v>4.4704357768783396</v>
      </c>
      <c r="K9" s="132">
        <v>4.1907560268913508</v>
      </c>
      <c r="L9" s="132">
        <v>2.4449746824744807</v>
      </c>
      <c r="M9" s="132">
        <v>1.6784802312660825</v>
      </c>
      <c r="N9" s="132">
        <v>2.3019043909671368</v>
      </c>
      <c r="O9" s="132">
        <v>3.130475726862703</v>
      </c>
      <c r="P9" s="132">
        <v>1.5980423715757941</v>
      </c>
      <c r="Q9" s="132">
        <v>5.4534959863079706</v>
      </c>
      <c r="R9" s="132">
        <v>4.8833523905064249</v>
      </c>
      <c r="S9" s="132">
        <v>5.2888109709943629</v>
      </c>
      <c r="T9" s="132">
        <v>3.3984425272500607</v>
      </c>
      <c r="U9" s="132">
        <v>4.7365173362834581</v>
      </c>
      <c r="V9" s="132">
        <v>3.9082681701558566</v>
      </c>
      <c r="W9" s="132">
        <v>2.1532785663375842</v>
      </c>
      <c r="X9" s="132">
        <v>1.732802048645929</v>
      </c>
      <c r="Y9" s="132">
        <v>0.44284854984147437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0.72616886918901324</v>
      </c>
      <c r="D10" s="132">
        <v>2.6299419117842207</v>
      </c>
      <c r="E10" s="132">
        <v>1.4904108313802389</v>
      </c>
      <c r="F10" s="132">
        <v>0.85096452184666738</v>
      </c>
      <c r="G10" s="132">
        <v>0.98246449570121375</v>
      </c>
      <c r="H10" s="132">
        <v>0.86581360130382545</v>
      </c>
      <c r="I10" s="132">
        <v>6.9577431076640592E-2</v>
      </c>
      <c r="J10" s="132">
        <v>0</v>
      </c>
      <c r="K10" s="132">
        <v>0</v>
      </c>
      <c r="L10" s="132">
        <v>7.3777229009749506E-2</v>
      </c>
      <c r="M10" s="132">
        <v>0.32695284314276346</v>
      </c>
      <c r="N10" s="132">
        <v>0.22295117027025327</v>
      </c>
      <c r="O10" s="132">
        <v>0.26982625007962585</v>
      </c>
      <c r="P10" s="132">
        <v>0.65433357999811426</v>
      </c>
      <c r="Q10" s="132">
        <v>0.10292666901819211</v>
      </c>
      <c r="R10" s="132">
        <v>0.36849572994219681</v>
      </c>
      <c r="S10" s="132">
        <v>0.41345431441948172</v>
      </c>
      <c r="T10" s="132">
        <v>0.3083607654561199</v>
      </c>
      <c r="U10" s="132">
        <v>9.5825614333921477E-2</v>
      </c>
      <c r="V10" s="132">
        <v>5.7168087217219082E-2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1.053822897733302E-2</v>
      </c>
      <c r="D16" s="130">
        <f t="shared" si="6"/>
        <v>1.2898055049975236E-2</v>
      </c>
      <c r="E16" s="130">
        <f t="shared" si="6"/>
        <v>9.6634084819869574E-3</v>
      </c>
      <c r="F16" s="130">
        <f t="shared" si="6"/>
        <v>1.2550867346666824E-2</v>
      </c>
      <c r="G16" s="130">
        <f t="shared" si="6"/>
        <v>1.2808190998731209E-2</v>
      </c>
      <c r="H16" s="130">
        <f t="shared" si="6"/>
        <v>1.0228692877195893E-2</v>
      </c>
      <c r="I16" s="130">
        <f t="shared" si="6"/>
        <v>1.2396165950994138E-2</v>
      </c>
      <c r="J16" s="130">
        <f t="shared" si="6"/>
        <v>7.4442487731372709E-3</v>
      </c>
      <c r="K16" s="130">
        <f t="shared" si="6"/>
        <v>9.5086840087348669E-3</v>
      </c>
      <c r="L16" s="130">
        <f t="shared" si="6"/>
        <v>1.3889420383845155E-2</v>
      </c>
      <c r="M16" s="130">
        <f t="shared" si="6"/>
        <v>7.2762921982670245E-3</v>
      </c>
      <c r="N16" s="130">
        <f t="shared" si="6"/>
        <v>6.259740494627802E-3</v>
      </c>
      <c r="O16" s="130">
        <f t="shared" si="6"/>
        <v>9.4923203066764449E-3</v>
      </c>
      <c r="P16" s="130">
        <f t="shared" si="6"/>
        <v>1.6762641415832263E-2</v>
      </c>
      <c r="Q16" s="130">
        <f t="shared" si="6"/>
        <v>2.6392353281969535E-2</v>
      </c>
      <c r="R16" s="130">
        <f t="shared" ref="R16:W16" si="7">SUM(R17:R18)</f>
        <v>2.9258104817762379E-2</v>
      </c>
      <c r="S16" s="130">
        <f t="shared" si="7"/>
        <v>2.7887537782796786E-2</v>
      </c>
      <c r="T16" s="130">
        <f t="shared" si="7"/>
        <v>1.9138792922842648E-2</v>
      </c>
      <c r="U16" s="130">
        <f t="shared" si="7"/>
        <v>2.6655525681840316E-2</v>
      </c>
      <c r="V16" s="130">
        <f t="shared" si="7"/>
        <v>3.9741333878743665E-2</v>
      </c>
      <c r="W16" s="130">
        <f t="shared" si="7"/>
        <v>1.1185200288476313E-2</v>
      </c>
      <c r="X16" s="130">
        <f t="shared" ref="X16:Y16" si="8">SUM(X17:X18)</f>
        <v>8.7681123959324307E-3</v>
      </c>
      <c r="Y16" s="130">
        <f t="shared" si="8"/>
        <v>1.0877256210086889E-2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1.053822897733302E-2</v>
      </c>
      <c r="D17" s="132">
        <v>1.2898055049975236E-2</v>
      </c>
      <c r="E17" s="132">
        <v>9.6634084819869574E-3</v>
      </c>
      <c r="F17" s="132">
        <v>1.2550867346666824E-2</v>
      </c>
      <c r="G17" s="132">
        <v>1.2808190998731209E-2</v>
      </c>
      <c r="H17" s="132">
        <v>1.0228692877195893E-2</v>
      </c>
      <c r="I17" s="132">
        <v>1.2396165950994138E-2</v>
      </c>
      <c r="J17" s="132">
        <v>7.4442487731372709E-3</v>
      </c>
      <c r="K17" s="132">
        <v>9.5086840087348669E-3</v>
      </c>
      <c r="L17" s="132">
        <v>1.3889420383845155E-2</v>
      </c>
      <c r="M17" s="132">
        <v>7.2762921982670245E-3</v>
      </c>
      <c r="N17" s="132">
        <v>6.259740494627802E-3</v>
      </c>
      <c r="O17" s="132">
        <v>9.4923203066764449E-3</v>
      </c>
      <c r="P17" s="132">
        <v>1.6762641415832263E-2</v>
      </c>
      <c r="Q17" s="132">
        <v>2.6392353281969535E-2</v>
      </c>
      <c r="R17" s="132">
        <v>2.9258104817762379E-2</v>
      </c>
      <c r="S17" s="132">
        <v>2.7887537782796786E-2</v>
      </c>
      <c r="T17" s="132">
        <v>1.9138792922842648E-2</v>
      </c>
      <c r="U17" s="132">
        <v>2.6655525681840316E-2</v>
      </c>
      <c r="V17" s="132">
        <v>3.9741333878743665E-2</v>
      </c>
      <c r="W17" s="132">
        <v>1.1185200288476313E-2</v>
      </c>
      <c r="X17" s="132">
        <v>8.7681123959324307E-3</v>
      </c>
      <c r="Y17" s="132">
        <v>1.0877256210086889E-2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1.5960017172914769</v>
      </c>
      <c r="D19" s="130">
        <f t="shared" si="9"/>
        <v>2.5292280138944836</v>
      </c>
      <c r="E19" s="130">
        <f t="shared" si="9"/>
        <v>2.7195617979871383</v>
      </c>
      <c r="F19" s="130">
        <f t="shared" si="9"/>
        <v>2.2278223896277156</v>
      </c>
      <c r="G19" s="130">
        <f t="shared" si="9"/>
        <v>2.0344604729413969</v>
      </c>
      <c r="H19" s="130">
        <f t="shared" si="9"/>
        <v>1.6227232679788299</v>
      </c>
      <c r="I19" s="130">
        <f t="shared" si="9"/>
        <v>1.6941643940634703</v>
      </c>
      <c r="J19" s="130">
        <f t="shared" si="9"/>
        <v>1.1184258311109709</v>
      </c>
      <c r="K19" s="130">
        <f t="shared" si="9"/>
        <v>1.2152530264150523</v>
      </c>
      <c r="L19" s="130">
        <f t="shared" si="9"/>
        <v>0.90151206578247756</v>
      </c>
      <c r="M19" s="130">
        <f t="shared" si="9"/>
        <v>0.22538299962734265</v>
      </c>
      <c r="N19" s="130">
        <f t="shared" si="9"/>
        <v>0.32719032332883141</v>
      </c>
      <c r="O19" s="130">
        <f t="shared" si="9"/>
        <v>0.48000508676330683</v>
      </c>
      <c r="P19" s="130">
        <f t="shared" si="9"/>
        <v>0.59635023185608416</v>
      </c>
      <c r="Q19" s="130">
        <f t="shared" si="9"/>
        <v>1.019569238179636</v>
      </c>
      <c r="R19" s="130">
        <f t="shared" ref="R19:W19" si="10">SUM(R20:R27)</f>
        <v>1.0945339610317486</v>
      </c>
      <c r="S19" s="130">
        <f t="shared" si="10"/>
        <v>1.0204708833442782</v>
      </c>
      <c r="T19" s="130">
        <f t="shared" si="10"/>
        <v>0.6455617213011251</v>
      </c>
      <c r="U19" s="130">
        <f t="shared" si="10"/>
        <v>0.58377487242848802</v>
      </c>
      <c r="V19" s="130">
        <f t="shared" si="10"/>
        <v>0.25521773935720032</v>
      </c>
      <c r="W19" s="130">
        <f t="shared" si="10"/>
        <v>1.1387004843719727E-2</v>
      </c>
      <c r="X19" s="130">
        <f t="shared" ref="X19:Y19" si="11">SUM(X20:X27)</f>
        <v>4.5839141817124313E-2</v>
      </c>
      <c r="Y19" s="130">
        <f t="shared" si="11"/>
        <v>5.6329187285408588E-2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0.65837026892247574</v>
      </c>
      <c r="D22" s="132">
        <v>0.75960940954811162</v>
      </c>
      <c r="E22" s="132">
        <v>0.70498162227486039</v>
      </c>
      <c r="F22" s="132">
        <v>0.5464614572618901</v>
      </c>
      <c r="G22" s="132">
        <v>0.27866406002189703</v>
      </c>
      <c r="H22" s="132">
        <v>3.0825942061471129E-2</v>
      </c>
      <c r="I22" s="132">
        <v>0.16575941166003041</v>
      </c>
      <c r="J22" s="132">
        <v>0.33171144156334526</v>
      </c>
      <c r="K22" s="132">
        <v>0.5103595272524869</v>
      </c>
      <c r="L22" s="132">
        <v>0.45007311125911292</v>
      </c>
      <c r="M22" s="132">
        <v>0.19197569342296883</v>
      </c>
      <c r="N22" s="132">
        <v>0.19423306667909784</v>
      </c>
      <c r="O22" s="132">
        <v>0.22046520435366526</v>
      </c>
      <c r="P22" s="132">
        <v>0.10695655963759335</v>
      </c>
      <c r="Q22" s="132">
        <v>7.0465576525139989E-2</v>
      </c>
      <c r="R22" s="132">
        <v>9.1032427706447053E-2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3.5638410994696966E-2</v>
      </c>
      <c r="Y22" s="132">
        <v>5.6329187285408588E-2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0.84452242980828252</v>
      </c>
      <c r="D23" s="132">
        <v>1.6678239249044853</v>
      </c>
      <c r="E23" s="132">
        <v>1.9241635149693224</v>
      </c>
      <c r="F23" s="132">
        <v>1.6056966747513834</v>
      </c>
      <c r="G23" s="132">
        <v>1.6810600433360106</v>
      </c>
      <c r="H23" s="132">
        <v>1.5208358148042354</v>
      </c>
      <c r="I23" s="132">
        <v>1.4531379540709068</v>
      </c>
      <c r="J23" s="132">
        <v>0.75026477047823936</v>
      </c>
      <c r="K23" s="132">
        <v>0.66933599979960812</v>
      </c>
      <c r="L23" s="132">
        <v>0.41643312801944282</v>
      </c>
      <c r="M23" s="132">
        <v>8.8777397205378108E-3</v>
      </c>
      <c r="N23" s="132">
        <v>0.11624312822430613</v>
      </c>
      <c r="O23" s="132">
        <v>0.24401958827803963</v>
      </c>
      <c r="P23" s="132">
        <v>0.45913945768128089</v>
      </c>
      <c r="Q23" s="132">
        <v>0.93045329338368687</v>
      </c>
      <c r="R23" s="132">
        <v>0.96211081030868262</v>
      </c>
      <c r="S23" s="132">
        <v>0.9854901126205885</v>
      </c>
      <c r="T23" s="132">
        <v>0.61525864474595482</v>
      </c>
      <c r="U23" s="132">
        <v>0.56004461483637846</v>
      </c>
      <c r="V23" s="132">
        <v>0.24091673267559097</v>
      </c>
      <c r="W23" s="132">
        <v>6.4935193680798857E-3</v>
      </c>
      <c r="X23" s="132">
        <v>9.2995668080347767E-3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9.3109018560718584E-2</v>
      </c>
      <c r="D24" s="132">
        <v>0.10179467944188679</v>
      </c>
      <c r="E24" s="132">
        <v>9.0416660742955665E-2</v>
      </c>
      <c r="F24" s="132">
        <v>7.5664257614441871E-2</v>
      </c>
      <c r="G24" s="132">
        <v>7.4736369583489393E-2</v>
      </c>
      <c r="H24" s="132">
        <v>7.1061511113123393E-2</v>
      </c>
      <c r="I24" s="132">
        <v>7.5267028332532918E-2</v>
      </c>
      <c r="J24" s="132">
        <v>3.6449619069386395E-2</v>
      </c>
      <c r="K24" s="132">
        <v>3.5557499362957212E-2</v>
      </c>
      <c r="L24" s="132">
        <v>3.5005826503921755E-2</v>
      </c>
      <c r="M24" s="132">
        <v>2.4529566483836016E-2</v>
      </c>
      <c r="N24" s="132">
        <v>1.6714128425427459E-2</v>
      </c>
      <c r="O24" s="132">
        <v>1.5520294131601959E-2</v>
      </c>
      <c r="P24" s="132">
        <v>3.02542145372099E-2</v>
      </c>
      <c r="Q24" s="132">
        <v>1.8650368270808997E-2</v>
      </c>
      <c r="R24" s="132">
        <v>4.1390723016618856E-2</v>
      </c>
      <c r="S24" s="132">
        <v>3.4980770723689568E-2</v>
      </c>
      <c r="T24" s="132">
        <v>3.0303076555170259E-2</v>
      </c>
      <c r="U24" s="132">
        <v>2.3730257592109595E-2</v>
      </c>
      <c r="V24" s="132">
        <v>1.4301006681609335E-2</v>
      </c>
      <c r="W24" s="132">
        <v>4.8934854756398413E-3</v>
      </c>
      <c r="X24" s="132">
        <v>9.011640143925673E-4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1.4903007599262035</v>
      </c>
      <c r="D29" s="130">
        <f t="shared" si="12"/>
        <v>1.9272850228214198</v>
      </c>
      <c r="E29" s="130">
        <f t="shared" si="12"/>
        <v>2.1949154460642526</v>
      </c>
      <c r="F29" s="130">
        <f t="shared" si="12"/>
        <v>2.2827909027929127</v>
      </c>
      <c r="G29" s="130">
        <f t="shared" si="12"/>
        <v>2.6150899706507253</v>
      </c>
      <c r="H29" s="130">
        <f t="shared" si="12"/>
        <v>2.1916272438145739</v>
      </c>
      <c r="I29" s="130">
        <f t="shared" si="12"/>
        <v>2.6215959613193469</v>
      </c>
      <c r="J29" s="130">
        <f t="shared" si="12"/>
        <v>1.4991726930284193</v>
      </c>
      <c r="K29" s="130">
        <f t="shared" si="12"/>
        <v>2.0424667318343865</v>
      </c>
      <c r="L29" s="130">
        <f t="shared" si="12"/>
        <v>2.1739765585262676</v>
      </c>
      <c r="M29" s="130">
        <f t="shared" si="12"/>
        <v>0.64676327160132208</v>
      </c>
      <c r="N29" s="130">
        <f t="shared" si="12"/>
        <v>0.4175020402046381</v>
      </c>
      <c r="O29" s="130">
        <f t="shared" si="12"/>
        <v>0.76906994485379243</v>
      </c>
      <c r="P29" s="130">
        <f t="shared" si="12"/>
        <v>1.0497910690998731</v>
      </c>
      <c r="Q29" s="130">
        <f t="shared" si="12"/>
        <v>1.6542792629710463</v>
      </c>
      <c r="R29" s="130">
        <f t="shared" ref="R29:W29" si="13">SUM(R30:R33)</f>
        <v>1.6747398698723122</v>
      </c>
      <c r="S29" s="130">
        <f t="shared" si="13"/>
        <v>1.5055554461767127</v>
      </c>
      <c r="T29" s="130">
        <f t="shared" si="13"/>
        <v>1.3757781240743825</v>
      </c>
      <c r="U29" s="130">
        <f t="shared" si="13"/>
        <v>1.5322615933192534</v>
      </c>
      <c r="V29" s="130">
        <f t="shared" si="13"/>
        <v>0.97785788111001415</v>
      </c>
      <c r="W29" s="130">
        <f t="shared" si="13"/>
        <v>1.5234476006805322</v>
      </c>
      <c r="X29" s="130">
        <f t="shared" ref="X29:Y29" si="14">SUM(X30:X33)</f>
        <v>1.839983983695805</v>
      </c>
      <c r="Y29" s="130">
        <f t="shared" si="14"/>
        <v>2.5540395850244022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0.18562486791714189</v>
      </c>
      <c r="D30" s="132">
        <v>0.40248911868222853</v>
      </c>
      <c r="E30" s="132">
        <v>0.60548253726132206</v>
      </c>
      <c r="F30" s="132">
        <v>0.67337287631931897</v>
      </c>
      <c r="G30" s="132">
        <v>0.65306189847184715</v>
      </c>
      <c r="H30" s="132">
        <v>0.38690505273466302</v>
      </c>
      <c r="I30" s="132">
        <v>0.37235380413090735</v>
      </c>
      <c r="J30" s="132">
        <v>0.26076271642883508</v>
      </c>
      <c r="K30" s="132">
        <v>0.3892816929454192</v>
      </c>
      <c r="L30" s="132">
        <v>0.69327745635299376</v>
      </c>
      <c r="M30" s="132">
        <v>0.12316251509412447</v>
      </c>
      <c r="N30" s="132">
        <v>7.9019785929068838E-3</v>
      </c>
      <c r="O30" s="132">
        <v>0.17136449066849088</v>
      </c>
      <c r="P30" s="132">
        <v>0.21756247222376773</v>
      </c>
      <c r="Q30" s="132">
        <v>0.50572095017022578</v>
      </c>
      <c r="R30" s="132">
        <v>0.58116606142703764</v>
      </c>
      <c r="S30" s="132">
        <v>0.45483725765486022</v>
      </c>
      <c r="T30" s="132">
        <v>0.29178005446176081</v>
      </c>
      <c r="U30" s="132">
        <v>0.26246345823089806</v>
      </c>
      <c r="V30" s="132">
        <v>0.28571934264083543</v>
      </c>
      <c r="W30" s="132">
        <v>0.39786031516002979</v>
      </c>
      <c r="X30" s="132">
        <v>0.55628985570217748</v>
      </c>
      <c r="Y30" s="132">
        <v>0.63976045069974852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1.3046758920090615</v>
      </c>
      <c r="D31" s="132">
        <v>1.5247959041391912</v>
      </c>
      <c r="E31" s="132">
        <v>1.5894329088029304</v>
      </c>
      <c r="F31" s="132">
        <v>1.609418026473594</v>
      </c>
      <c r="G31" s="132">
        <v>1.9620280721788781</v>
      </c>
      <c r="H31" s="132">
        <v>1.8047221910799107</v>
      </c>
      <c r="I31" s="132">
        <v>2.2492421571884398</v>
      </c>
      <c r="J31" s="132">
        <v>1.2384099765995842</v>
      </c>
      <c r="K31" s="132">
        <v>1.6531850388889673</v>
      </c>
      <c r="L31" s="132">
        <v>1.4806991021732736</v>
      </c>
      <c r="M31" s="132">
        <v>0.52360075650719762</v>
      </c>
      <c r="N31" s="132">
        <v>0.40960006161173124</v>
      </c>
      <c r="O31" s="132">
        <v>0.59770545418530152</v>
      </c>
      <c r="P31" s="132">
        <v>0.8322285968761054</v>
      </c>
      <c r="Q31" s="132">
        <v>1.1485583128008205</v>
      </c>
      <c r="R31" s="132">
        <v>1.0935738084452746</v>
      </c>
      <c r="S31" s="132">
        <v>1.0507181885218524</v>
      </c>
      <c r="T31" s="132">
        <v>1.0839980696126217</v>
      </c>
      <c r="U31" s="132">
        <v>1.2697981350883554</v>
      </c>
      <c r="V31" s="132">
        <v>0.69213853846917872</v>
      </c>
      <c r="W31" s="132">
        <v>1.1255872855205025</v>
      </c>
      <c r="X31" s="132">
        <v>1.2836941279936276</v>
      </c>
      <c r="Y31" s="132">
        <v>1.9142791343246537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134305.00150860398</v>
      </c>
      <c r="D3" s="125">
        <f>IF(SER_hh_fec_in!D3=0,0,11630*1000*SER_hh_fec_in!D3/SER_hh_num_in!D3)</f>
        <v>134979.33067580257</v>
      </c>
      <c r="E3" s="125">
        <f>IF(SER_hh_fec_in!E3=0,0,11630*1000*SER_hh_fec_in!E3/SER_hh_num_in!E3)</f>
        <v>136371.46053122028</v>
      </c>
      <c r="F3" s="125">
        <f>IF(SER_hh_fec_in!F3=0,0,11630*1000*SER_hh_fec_in!F3/SER_hh_num_in!F3)</f>
        <v>131115.80518683032</v>
      </c>
      <c r="G3" s="125">
        <f>IF(SER_hh_fec_in!G3=0,0,11630*1000*SER_hh_fec_in!G3/SER_hh_num_in!G3)</f>
        <v>124303.1404916686</v>
      </c>
      <c r="H3" s="125">
        <f>IF(SER_hh_fec_in!H3=0,0,11630*1000*SER_hh_fec_in!H3/SER_hh_num_in!H3)</f>
        <v>120629.61595304805</v>
      </c>
      <c r="I3" s="125">
        <f>IF(SER_hh_fec_in!I3=0,0,11630*1000*SER_hh_fec_in!I3/SER_hh_num_in!I3)</f>
        <v>109266.18265689339</v>
      </c>
      <c r="J3" s="125">
        <f>IF(SER_hh_fec_in!J3=0,0,11630*1000*SER_hh_fec_in!J3/SER_hh_num_in!J3)</f>
        <v>107271.2451132541</v>
      </c>
      <c r="K3" s="125">
        <f>IF(SER_hh_fec_in!K3=0,0,11630*1000*SER_hh_fec_in!K3/SER_hh_num_in!K3)</f>
        <v>101641.71753618709</v>
      </c>
      <c r="L3" s="125">
        <f>IF(SER_hh_fec_in!L3=0,0,11630*1000*SER_hh_fec_in!L3/SER_hh_num_in!L3)</f>
        <v>106896.09680253036</v>
      </c>
      <c r="M3" s="125">
        <f>IF(SER_hh_fec_in!M3=0,0,11630*1000*SER_hh_fec_in!M3/SER_hh_num_in!M3)</f>
        <v>94207.452101974981</v>
      </c>
      <c r="N3" s="125">
        <f>IF(SER_hh_fec_in!N3=0,0,11630*1000*SER_hh_fec_in!N3/SER_hh_num_in!N3)</f>
        <v>95141.877506567456</v>
      </c>
      <c r="O3" s="125">
        <f>IF(SER_hh_fec_in!O3=0,0,11630*1000*SER_hh_fec_in!O3/SER_hh_num_in!O3)</f>
        <v>90817.751883171222</v>
      </c>
      <c r="P3" s="125">
        <f>IF(SER_hh_fec_in!P3=0,0,11630*1000*SER_hh_fec_in!P3/SER_hh_num_in!P3)</f>
        <v>78434.808017269708</v>
      </c>
      <c r="Q3" s="125">
        <f>IF(SER_hh_fec_in!Q3=0,0,11630*1000*SER_hh_fec_in!Q3/SER_hh_num_in!Q3)</f>
        <v>80328.306225592314</v>
      </c>
      <c r="R3" s="125">
        <f>IF(SER_hh_fec_in!R3=0,0,11630*1000*SER_hh_fec_in!R3/SER_hh_num_in!R3)</f>
        <v>79152.914911606844</v>
      </c>
      <c r="S3" s="125">
        <f>IF(SER_hh_fec_in!S3=0,0,11630*1000*SER_hh_fec_in!S3/SER_hh_num_in!S3)</f>
        <v>77298.515400441538</v>
      </c>
      <c r="T3" s="125">
        <f>IF(SER_hh_fec_in!T3=0,0,11630*1000*SER_hh_fec_in!T3/SER_hh_num_in!T3)</f>
        <v>69399.958185968469</v>
      </c>
      <c r="U3" s="125">
        <f>IF(SER_hh_fec_in!U3=0,0,11630*1000*SER_hh_fec_in!U3/SER_hh_num_in!U3)</f>
        <v>63863.163619557112</v>
      </c>
      <c r="V3" s="125">
        <f>IF(SER_hh_fec_in!V3=0,0,11630*1000*SER_hh_fec_in!V3/SER_hh_num_in!V3)</f>
        <v>56518.453820240997</v>
      </c>
      <c r="W3" s="125">
        <f>IF(SER_hh_fec_in!W3=0,0,11630*1000*SER_hh_fec_in!W3/SER_hh_num_in!W3)</f>
        <v>58868.267906007459</v>
      </c>
      <c r="X3" s="125">
        <f>IF(SER_hh_fec_in!X3=0,0,11630*1000*SER_hh_fec_in!X3/SER_hh_num_in!X3)</f>
        <v>54863.451217142247</v>
      </c>
      <c r="Y3" s="125">
        <f>IF(SER_hh_fec_in!Y3=0,0,11630*1000*SER_hh_fec_in!Y3/SER_hh_num_in!Y3)</f>
        <v>55113.658701682405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102008.06700913035</v>
      </c>
      <c r="D4" s="130">
        <f>IF(SER_hh_fec_in!D4=0,0,11630*1000*SER_hh_fec_in!D4/SER_hh_num_in!D4)</f>
        <v>102959.85720101814</v>
      </c>
      <c r="E4" s="130">
        <f>IF(SER_hh_fec_in!E4=0,0,11630*1000*SER_hh_fec_in!E4/SER_hh_num_in!E4)</f>
        <v>104266.40667762631</v>
      </c>
      <c r="F4" s="130">
        <f>IF(SER_hh_fec_in!F4=0,0,11630*1000*SER_hh_fec_in!F4/SER_hh_num_in!F4)</f>
        <v>99421.631529369581</v>
      </c>
      <c r="G4" s="130">
        <f>IF(SER_hh_fec_in!G4=0,0,11630*1000*SER_hh_fec_in!G4/SER_hh_num_in!G4)</f>
        <v>92957.508483268626</v>
      </c>
      <c r="H4" s="130">
        <f>IF(SER_hh_fec_in!H4=0,0,11630*1000*SER_hh_fec_in!H4/SER_hh_num_in!H4)</f>
        <v>89751.765036253724</v>
      </c>
      <c r="I4" s="130">
        <f>IF(SER_hh_fec_in!I4=0,0,11630*1000*SER_hh_fec_in!I4/SER_hh_num_in!I4)</f>
        <v>79395.746142542965</v>
      </c>
      <c r="J4" s="130">
        <f>IF(SER_hh_fec_in!J4=0,0,11630*1000*SER_hh_fec_in!J4/SER_hh_num_in!J4)</f>
        <v>77726.408730115465</v>
      </c>
      <c r="K4" s="130">
        <f>IF(SER_hh_fec_in!K4=0,0,11630*1000*SER_hh_fec_in!K4/SER_hh_num_in!K4)</f>
        <v>72638.166970347971</v>
      </c>
      <c r="L4" s="130">
        <f>IF(SER_hh_fec_in!L4=0,0,11630*1000*SER_hh_fec_in!L4/SER_hh_num_in!L4)</f>
        <v>78639.613678060021</v>
      </c>
      <c r="M4" s="130">
        <f>IF(SER_hh_fec_in!M4=0,0,11630*1000*SER_hh_fec_in!M4/SER_hh_num_in!M4)</f>
        <v>66042.950542078412</v>
      </c>
      <c r="N4" s="130">
        <f>IF(SER_hh_fec_in!N4=0,0,11630*1000*SER_hh_fec_in!N4/SER_hh_num_in!N4)</f>
        <v>67085.535619853123</v>
      </c>
      <c r="O4" s="130">
        <f>IF(SER_hh_fec_in!O4=0,0,11630*1000*SER_hh_fec_in!O4/SER_hh_num_in!O4)</f>
        <v>63224.222750684268</v>
      </c>
      <c r="P4" s="130">
        <f>IF(SER_hh_fec_in!P4=0,0,11630*1000*SER_hh_fec_in!P4/SER_hh_num_in!P4)</f>
        <v>51493.401774614547</v>
      </c>
      <c r="Q4" s="130">
        <f>IF(SER_hh_fec_in!Q4=0,0,11630*1000*SER_hh_fec_in!Q4/SER_hh_num_in!Q4)</f>
        <v>53184.861704239462</v>
      </c>
      <c r="R4" s="130">
        <f>IF(SER_hh_fec_in!R4=0,0,11630*1000*SER_hh_fec_in!R4/SER_hh_num_in!R4)</f>
        <v>52732.218312780387</v>
      </c>
      <c r="S4" s="130">
        <f>IF(SER_hh_fec_in!S4=0,0,11630*1000*SER_hh_fec_in!S4/SER_hh_num_in!S4)</f>
        <v>51355.238421798051</v>
      </c>
      <c r="T4" s="130">
        <f>IF(SER_hh_fec_in!T4=0,0,11630*1000*SER_hh_fec_in!T4/SER_hh_num_in!T4)</f>
        <v>44311.322529925768</v>
      </c>
      <c r="U4" s="130">
        <f>IF(SER_hh_fec_in!U4=0,0,11630*1000*SER_hh_fec_in!U4/SER_hh_num_in!U4)</f>
        <v>39469.727781758804</v>
      </c>
      <c r="V4" s="130">
        <f>IF(SER_hh_fec_in!V4=0,0,11630*1000*SER_hh_fec_in!V4/SER_hh_num_in!V4)</f>
        <v>36216.277975107951</v>
      </c>
      <c r="W4" s="130">
        <f>IF(SER_hh_fec_in!W4=0,0,11630*1000*SER_hh_fec_in!W4/SER_hh_num_in!W4)</f>
        <v>37613.097545862925</v>
      </c>
      <c r="X4" s="130">
        <f>IF(SER_hh_fec_in!X4=0,0,11630*1000*SER_hh_fec_in!X4/SER_hh_num_in!X4)</f>
        <v>33026.680650305439</v>
      </c>
      <c r="Y4" s="130">
        <f>IF(SER_hh_fec_in!Y4=0,0,11630*1000*SER_hh_fec_in!Y4/SER_hh_num_in!Y4)</f>
        <v>32648.125509038076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145155.12625319348</v>
      </c>
      <c r="D7" s="132">
        <f>IF(SER_hh_fec_in!D7=0,0,11630*1000*SER_hh_fec_in!D7/SER_hh_num_in!D7)</f>
        <v>136948.73888781806</v>
      </c>
      <c r="E7" s="132">
        <f>IF(SER_hh_fec_in!E7=0,0,11630*1000*SER_hh_fec_in!E7/SER_hh_num_in!E7)</f>
        <v>137487.83815470379</v>
      </c>
      <c r="F7" s="132">
        <f>IF(SER_hh_fec_in!F7=0,0,11630*1000*SER_hh_fec_in!F7/SER_hh_num_in!F7)</f>
        <v>142737.79945029711</v>
      </c>
      <c r="G7" s="132">
        <f>IF(SER_hh_fec_in!G7=0,0,11630*1000*SER_hh_fec_in!G7/SER_hh_num_in!G7)</f>
        <v>130705.98049958925</v>
      </c>
      <c r="H7" s="132">
        <f>IF(SER_hh_fec_in!H7=0,0,11630*1000*SER_hh_fec_in!H7/SER_hh_num_in!H7)</f>
        <v>116681.31429274348</v>
      </c>
      <c r="I7" s="132">
        <f>IF(SER_hh_fec_in!I7=0,0,11630*1000*SER_hh_fec_in!I7/SER_hh_num_in!I7)</f>
        <v>108151.48025373369</v>
      </c>
      <c r="J7" s="132">
        <f>IF(SER_hh_fec_in!J7=0,0,11630*1000*SER_hh_fec_in!J7/SER_hh_num_in!J7)</f>
        <v>112365.07681597697</v>
      </c>
      <c r="K7" s="132">
        <f>IF(SER_hh_fec_in!K7=0,0,11630*1000*SER_hh_fec_in!K7/SER_hh_num_in!K7)</f>
        <v>106100.51439902264</v>
      </c>
      <c r="L7" s="132">
        <f>IF(SER_hh_fec_in!L7=0,0,11630*1000*SER_hh_fec_in!L7/SER_hh_num_in!L7)</f>
        <v>104397.43099088625</v>
      </c>
      <c r="M7" s="132">
        <f>IF(SER_hh_fec_in!M7=0,0,11630*1000*SER_hh_fec_in!M7/SER_hh_num_in!M7)</f>
        <v>79893.358355297329</v>
      </c>
      <c r="N7" s="132">
        <f>IF(SER_hh_fec_in!N7=0,0,11630*1000*SER_hh_fec_in!N7/SER_hh_num_in!N7)</f>
        <v>89941.586045649456</v>
      </c>
      <c r="O7" s="132">
        <f>IF(SER_hh_fec_in!O7=0,0,11630*1000*SER_hh_fec_in!O7/SER_hh_num_in!O7)</f>
        <v>76380.249769787581</v>
      </c>
      <c r="P7" s="132">
        <f>IF(SER_hh_fec_in!P7=0,0,11630*1000*SER_hh_fec_in!P7/SER_hh_num_in!P7)</f>
        <v>62056.029118440252</v>
      </c>
      <c r="Q7" s="132">
        <f>IF(SER_hh_fec_in!Q7=0,0,11630*1000*SER_hh_fec_in!Q7/SER_hh_num_in!Q7)</f>
        <v>60816.246516254614</v>
      </c>
      <c r="R7" s="132">
        <f>IF(SER_hh_fec_in!R7=0,0,11630*1000*SER_hh_fec_in!R7/SER_hh_num_in!R7)</f>
        <v>59507.173288734281</v>
      </c>
      <c r="S7" s="132">
        <f>IF(SER_hh_fec_in!S7=0,0,11630*1000*SER_hh_fec_in!S7/SER_hh_num_in!S7)</f>
        <v>0</v>
      </c>
      <c r="T7" s="132">
        <f>IF(SER_hh_fec_in!T7=0,0,11630*1000*SER_hh_fec_in!T7/SER_hh_num_in!T7)</f>
        <v>62792.0427755571</v>
      </c>
      <c r="U7" s="132">
        <f>IF(SER_hh_fec_in!U7=0,0,11630*1000*SER_hh_fec_in!U7/SER_hh_num_in!U7)</f>
        <v>0</v>
      </c>
      <c r="V7" s="132">
        <f>IF(SER_hh_fec_in!V7=0,0,11630*1000*SER_hh_fec_in!V7/SER_hh_num_in!V7)</f>
        <v>0</v>
      </c>
      <c r="W7" s="132">
        <f>IF(SER_hh_fec_in!W7=0,0,11630*1000*SER_hh_fec_in!W7/SER_hh_num_in!W7)</f>
        <v>0</v>
      </c>
      <c r="X7" s="132">
        <f>IF(SER_hh_fec_in!X7=0,0,11630*1000*SER_hh_fec_in!X7/SER_hh_num_in!X7)</f>
        <v>46781.664991703568</v>
      </c>
      <c r="Y7" s="132">
        <f>IF(SER_hh_fec_in!Y7=0,0,11630*1000*SER_hh_fec_in!Y7/SER_hh_num_in!Y7)</f>
        <v>38001.953125268199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49688.303744059522</v>
      </c>
      <c r="D8" s="132">
        <f>IF(SER_hh_fec_in!D8=0,0,11630*1000*SER_hh_fec_in!D8/SER_hh_num_in!D8)</f>
        <v>45900.862082922999</v>
      </c>
      <c r="E8" s="132">
        <f>IF(SER_hh_fec_in!E8=0,0,11630*1000*SER_hh_fec_in!E8/SER_hh_num_in!E8)</f>
        <v>49317.66740253583</v>
      </c>
      <c r="F8" s="132">
        <f>IF(SER_hh_fec_in!F8=0,0,11630*1000*SER_hh_fec_in!F8/SER_hh_num_in!F8)</f>
        <v>46492.937753951672</v>
      </c>
      <c r="G8" s="132">
        <f>IF(SER_hh_fec_in!G8=0,0,11630*1000*SER_hh_fec_in!G8/SER_hh_num_in!G8)</f>
        <v>37269.708197769316</v>
      </c>
      <c r="H8" s="132">
        <f>IF(SER_hh_fec_in!H8=0,0,11630*1000*SER_hh_fec_in!H8/SER_hh_num_in!H8)</f>
        <v>21613.069616256256</v>
      </c>
      <c r="I8" s="132">
        <f>IF(SER_hh_fec_in!I8=0,0,11630*1000*SER_hh_fec_in!I8/SER_hh_num_in!I8)</f>
        <v>44125.352411430787</v>
      </c>
      <c r="J8" s="132">
        <f>IF(SER_hh_fec_in!J8=0,0,11630*1000*SER_hh_fec_in!J8/SER_hh_num_in!J8)</f>
        <v>35789.249131325523</v>
      </c>
      <c r="K8" s="132">
        <f>IF(SER_hh_fec_in!K8=0,0,11630*1000*SER_hh_fec_in!K8/SER_hh_num_in!K8)</f>
        <v>32494.314440428636</v>
      </c>
      <c r="L8" s="132">
        <f>IF(SER_hh_fec_in!L8=0,0,11630*1000*SER_hh_fec_in!L8/SER_hh_num_in!L8)</f>
        <v>29954.784423830824</v>
      </c>
      <c r="M8" s="132">
        <f>IF(SER_hh_fec_in!M8=0,0,11630*1000*SER_hh_fec_in!M8/SER_hh_num_in!M8)</f>
        <v>26835.763191552152</v>
      </c>
      <c r="N8" s="132">
        <f>IF(SER_hh_fec_in!N8=0,0,11630*1000*SER_hh_fec_in!N8/SER_hh_num_in!N8)</f>
        <v>23734.183685305008</v>
      </c>
      <c r="O8" s="132">
        <f>IF(SER_hh_fec_in!O8=0,0,11630*1000*SER_hh_fec_in!O8/SER_hh_num_in!O8)</f>
        <v>19773.664238361562</v>
      </c>
      <c r="P8" s="132">
        <f>IF(SER_hh_fec_in!P8=0,0,11630*1000*SER_hh_fec_in!P8/SER_hh_num_in!P8)</f>
        <v>19481.244495181647</v>
      </c>
      <c r="Q8" s="132">
        <f>IF(SER_hh_fec_in!Q8=0,0,11630*1000*SER_hh_fec_in!Q8/SER_hh_num_in!Q8)</f>
        <v>19380.51961142413</v>
      </c>
      <c r="R8" s="132">
        <f>IF(SER_hh_fec_in!R8=0,0,11630*1000*SER_hh_fec_in!R8/SER_hh_num_in!R8)</f>
        <v>17393.485812327941</v>
      </c>
      <c r="S8" s="132">
        <f>IF(SER_hh_fec_in!S8=0,0,11630*1000*SER_hh_fec_in!S8/SER_hh_num_in!S8)</f>
        <v>15408.112490857558</v>
      </c>
      <c r="T8" s="132">
        <f>IF(SER_hh_fec_in!T8=0,0,11630*1000*SER_hh_fec_in!T8/SER_hh_num_in!T8)</f>
        <v>14344.401203240741</v>
      </c>
      <c r="U8" s="132">
        <f>IF(SER_hh_fec_in!U8=0,0,11630*1000*SER_hh_fec_in!U8/SER_hh_num_in!U8)</f>
        <v>13104.791896414839</v>
      </c>
      <c r="V8" s="132">
        <f>IF(SER_hh_fec_in!V8=0,0,11630*1000*SER_hh_fec_in!V8/SER_hh_num_in!V8)</f>
        <v>12956.022981246409</v>
      </c>
      <c r="W8" s="132">
        <f>IF(SER_hh_fec_in!W8=0,0,11630*1000*SER_hh_fec_in!W8/SER_hh_num_in!W8)</f>
        <v>11460.553679908158</v>
      </c>
      <c r="X8" s="132">
        <f>IF(SER_hh_fec_in!X8=0,0,11630*1000*SER_hh_fec_in!X8/SER_hh_num_in!X8)</f>
        <v>11671.505111875396</v>
      </c>
      <c r="Y8" s="132">
        <f>IF(SER_hh_fec_in!Y8=0,0,11630*1000*SER_hh_fec_in!Y8/SER_hh_num_in!Y8)</f>
        <v>12118.186621317171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135296.98533751018</v>
      </c>
      <c r="D9" s="132">
        <f>IF(SER_hh_fec_in!D9=0,0,11630*1000*SER_hh_fec_in!D9/SER_hh_num_in!D9)</f>
        <v>127300.4185879141</v>
      </c>
      <c r="E9" s="132">
        <f>IF(SER_hh_fec_in!E9=0,0,11630*1000*SER_hh_fec_in!E9/SER_hh_num_in!E9)</f>
        <v>137092.10378769666</v>
      </c>
      <c r="F9" s="132">
        <f>IF(SER_hh_fec_in!F9=0,0,11630*1000*SER_hh_fec_in!F9/SER_hh_num_in!F9)</f>
        <v>124942.29988413099</v>
      </c>
      <c r="G9" s="132">
        <f>IF(SER_hh_fec_in!G9=0,0,11630*1000*SER_hh_fec_in!G9/SER_hh_num_in!G9)</f>
        <v>119482.25787461922</v>
      </c>
      <c r="H9" s="132">
        <f>IF(SER_hh_fec_in!H9=0,0,11630*1000*SER_hh_fec_in!H9/SER_hh_num_in!H9)</f>
        <v>124101.65367163456</v>
      </c>
      <c r="I9" s="132">
        <f>IF(SER_hh_fec_in!I9=0,0,11630*1000*SER_hh_fec_in!I9/SER_hh_num_in!I9)</f>
        <v>108457.62164691114</v>
      </c>
      <c r="J9" s="132">
        <f>IF(SER_hh_fec_in!J9=0,0,11630*1000*SER_hh_fec_in!J9/SER_hh_num_in!J9)</f>
        <v>104457.85613862588</v>
      </c>
      <c r="K9" s="132">
        <f>IF(SER_hh_fec_in!K9=0,0,11630*1000*SER_hh_fec_in!K9/SER_hh_num_in!K9)</f>
        <v>103633.54138287592</v>
      </c>
      <c r="L9" s="132">
        <f>IF(SER_hh_fec_in!L9=0,0,11630*1000*SER_hh_fec_in!L9/SER_hh_num_in!L9)</f>
        <v>103785.04721037342</v>
      </c>
      <c r="M9" s="132">
        <f>IF(SER_hh_fec_in!M9=0,0,11630*1000*SER_hh_fec_in!M9/SER_hh_num_in!M9)</f>
        <v>76518.758837471163</v>
      </c>
      <c r="N9" s="132">
        <f>IF(SER_hh_fec_in!N9=0,0,11630*1000*SER_hh_fec_in!N9/SER_hh_num_in!N9)</f>
        <v>82651.482653220635</v>
      </c>
      <c r="O9" s="132">
        <f>IF(SER_hh_fec_in!O9=0,0,11630*1000*SER_hh_fec_in!O9/SER_hh_num_in!O9)</f>
        <v>80578.479380469755</v>
      </c>
      <c r="P9" s="132">
        <f>IF(SER_hh_fec_in!P9=0,0,11630*1000*SER_hh_fec_in!P9/SER_hh_num_in!P9)</f>
        <v>50419.321742815766</v>
      </c>
      <c r="Q9" s="132">
        <f>IF(SER_hh_fec_in!Q9=0,0,11630*1000*SER_hh_fec_in!Q9/SER_hh_num_in!Q9)</f>
        <v>60237.092574298702</v>
      </c>
      <c r="R9" s="132">
        <f>IF(SER_hh_fec_in!R9=0,0,11630*1000*SER_hh_fec_in!R9/SER_hh_num_in!R9)</f>
        <v>58932.720279444453</v>
      </c>
      <c r="S9" s="132">
        <f>IF(SER_hh_fec_in!S9=0,0,11630*1000*SER_hh_fec_in!S9/SER_hh_num_in!S9)</f>
        <v>60438.748902247564</v>
      </c>
      <c r="T9" s="132">
        <f>IF(SER_hh_fec_in!T9=0,0,11630*1000*SER_hh_fec_in!T9/SER_hh_num_in!T9)</f>
        <v>42597.856041556777</v>
      </c>
      <c r="U9" s="132">
        <f>IF(SER_hh_fec_in!U9=0,0,11630*1000*SER_hh_fec_in!U9/SER_hh_num_in!U9)</f>
        <v>39371.488212670243</v>
      </c>
      <c r="V9" s="132">
        <f>IF(SER_hh_fec_in!V9=0,0,11630*1000*SER_hh_fec_in!V9/SER_hh_num_in!V9)</f>
        <v>38491.489192187357</v>
      </c>
      <c r="W9" s="132">
        <f>IF(SER_hh_fec_in!W9=0,0,11630*1000*SER_hh_fec_in!W9/SER_hh_num_in!W9)</f>
        <v>50170.406345323536</v>
      </c>
      <c r="X9" s="132">
        <f>IF(SER_hh_fec_in!X9=0,0,11630*1000*SER_hh_fec_in!X9/SER_hh_num_in!X9)</f>
        <v>39571.338063204283</v>
      </c>
      <c r="Y9" s="132">
        <f>IF(SER_hh_fec_in!Y9=0,0,11630*1000*SER_hh_fec_in!Y9/SER_hh_num_in!Y9)</f>
        <v>37999.618197296339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118733.31745481314</v>
      </c>
      <c r="D10" s="132">
        <f>IF(SER_hh_fec_in!D10=0,0,11630*1000*SER_hh_fec_in!D10/SER_hh_num_in!D10)</f>
        <v>144129.68208365605</v>
      </c>
      <c r="E10" s="132">
        <f>IF(SER_hh_fec_in!E10=0,0,11630*1000*SER_hh_fec_in!E10/SER_hh_num_in!E10)</f>
        <v>142101.12663348627</v>
      </c>
      <c r="F10" s="132">
        <f>IF(SER_hh_fec_in!F10=0,0,11630*1000*SER_hh_fec_in!F10/SER_hh_num_in!F10)</f>
        <v>118092.72713270836</v>
      </c>
      <c r="G10" s="132">
        <f>IF(SER_hh_fec_in!G10=0,0,11630*1000*SER_hh_fec_in!G10/SER_hh_num_in!G10)</f>
        <v>123292.59543299834</v>
      </c>
      <c r="H10" s="132">
        <f>IF(SER_hh_fec_in!H10=0,0,11630*1000*SER_hh_fec_in!H10/SER_hh_num_in!H10)</f>
        <v>132998.99856433575</v>
      </c>
      <c r="I10" s="132">
        <f>IF(SER_hh_fec_in!I10=0,0,11630*1000*SER_hh_fec_in!I10/SER_hh_num_in!I10)</f>
        <v>115582.58347492426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97816.712541450222</v>
      </c>
      <c r="M10" s="132">
        <f>IF(SER_hh_fec_in!M10=0,0,11630*1000*SER_hh_fec_in!M10/SER_hh_num_in!M10)</f>
        <v>101635.2444406217</v>
      </c>
      <c r="N10" s="132">
        <f>IF(SER_hh_fec_in!N10=0,0,11630*1000*SER_hh_fec_in!N10/SER_hh_num_in!N10)</f>
        <v>86711.831445375952</v>
      </c>
      <c r="O10" s="132">
        <f>IF(SER_hh_fec_in!O10=0,0,11630*1000*SER_hh_fec_in!O10/SER_hh_num_in!O10)</f>
        <v>82114.060036089009</v>
      </c>
      <c r="P10" s="132">
        <f>IF(SER_hh_fec_in!P10=0,0,11630*1000*SER_hh_fec_in!P10/SER_hh_num_in!P10)</f>
        <v>89217.137481806596</v>
      </c>
      <c r="Q10" s="132">
        <f>IF(SER_hh_fec_in!Q10=0,0,11630*1000*SER_hh_fec_in!Q10/SER_hh_num_in!Q10)</f>
        <v>70136.509472717618</v>
      </c>
      <c r="R10" s="132">
        <f>IF(SER_hh_fec_in!R10=0,0,11630*1000*SER_hh_fec_in!R10/SER_hh_num_in!R10)</f>
        <v>76171.042471976776</v>
      </c>
      <c r="S10" s="132">
        <f>IF(SER_hh_fec_in!S10=0,0,11630*1000*SER_hh_fec_in!S10/SER_hh_num_in!S10)</f>
        <v>77410.917157919263</v>
      </c>
      <c r="T10" s="132">
        <f>IF(SER_hh_fec_in!T10=0,0,11630*1000*SER_hh_fec_in!T10/SER_hh_num_in!T10)</f>
        <v>81085.324739093019</v>
      </c>
      <c r="U10" s="132">
        <f>IF(SER_hh_fec_in!U10=0,0,11630*1000*SER_hh_fec_in!U10/SER_hh_num_in!U10)</f>
        <v>68681.673118839797</v>
      </c>
      <c r="V10" s="132">
        <f>IF(SER_hh_fec_in!V10=0,0,11630*1000*SER_hh_fec_in!V10/SER_hh_num_in!V10)</f>
        <v>59430.018663217423</v>
      </c>
      <c r="W10" s="132">
        <f>IF(SER_hh_fec_in!W10=0,0,11630*1000*SER_hh_fec_in!W10/SER_hh_num_in!W10)</f>
        <v>0</v>
      </c>
      <c r="X10" s="132">
        <f>IF(SER_hh_fec_in!X10=0,0,11630*1000*SER_hh_fec_in!X10/SER_hh_num_in!X10)</f>
        <v>0</v>
      </c>
      <c r="Y10" s="132">
        <f>IF(SER_hh_fec_in!Y10=0,0,11630*1000*SER_hh_fec_in!Y10/SER_hh_num_in!Y10)</f>
        <v>0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95417.277878718567</v>
      </c>
      <c r="D12" s="132">
        <f>IF(SER_hh_fec_in!D12=0,0,11630*1000*SER_hh_fec_in!D12/SER_hh_num_in!D12)</f>
        <v>91412.454245543733</v>
      </c>
      <c r="E12" s="132">
        <f>IF(SER_hh_fec_in!E12=0,0,11630*1000*SER_hh_fec_in!E12/SER_hh_num_in!E12)</f>
        <v>91205.324541195587</v>
      </c>
      <c r="F12" s="132">
        <f>IF(SER_hh_fec_in!F12=0,0,11630*1000*SER_hh_fec_in!F12/SER_hh_num_in!F12)</f>
        <v>88169.990346249862</v>
      </c>
      <c r="G12" s="132">
        <f>IF(SER_hh_fec_in!G12=0,0,11630*1000*SER_hh_fec_in!G12/SER_hh_num_in!G12)</f>
        <v>84452.202586097468</v>
      </c>
      <c r="H12" s="132">
        <f>IF(SER_hh_fec_in!H12=0,0,11630*1000*SER_hh_fec_in!H12/SER_hh_num_in!H12)</f>
        <v>81857.37347355127</v>
      </c>
      <c r="I12" s="132">
        <f>IF(SER_hh_fec_in!I12=0,0,11630*1000*SER_hh_fec_in!I12/SER_hh_num_in!I12)</f>
        <v>75962.16452367304</v>
      </c>
      <c r="J12" s="132">
        <f>IF(SER_hh_fec_in!J12=0,0,11630*1000*SER_hh_fec_in!J12/SER_hh_num_in!J12)</f>
        <v>74101.505491330754</v>
      </c>
      <c r="K12" s="132">
        <f>IF(SER_hh_fec_in!K12=0,0,11630*1000*SER_hh_fec_in!K12/SER_hh_num_in!K12)</f>
        <v>70495.679476546007</v>
      </c>
      <c r="L12" s="132">
        <f>IF(SER_hh_fec_in!L12=0,0,11630*1000*SER_hh_fec_in!L12/SER_hh_num_in!L12)</f>
        <v>77113.23020606552</v>
      </c>
      <c r="M12" s="132">
        <f>IF(SER_hh_fec_in!M12=0,0,11630*1000*SER_hh_fec_in!M12/SER_hh_num_in!M12)</f>
        <v>63434.753393365376</v>
      </c>
      <c r="N12" s="132">
        <f>IF(SER_hh_fec_in!N12=0,0,11630*1000*SER_hh_fec_in!N12/SER_hh_num_in!N12)</f>
        <v>62140.786173555243</v>
      </c>
      <c r="O12" s="132">
        <f>IF(SER_hh_fec_in!O12=0,0,11630*1000*SER_hh_fec_in!O12/SER_hh_num_in!O12)</f>
        <v>58785.602220609486</v>
      </c>
      <c r="P12" s="132">
        <f>IF(SER_hh_fec_in!P12=0,0,11630*1000*SER_hh_fec_in!P12/SER_hh_num_in!P12)</f>
        <v>50056.162851674824</v>
      </c>
      <c r="Q12" s="132">
        <f>IF(SER_hh_fec_in!Q12=0,0,11630*1000*SER_hh_fec_in!Q12/SER_hh_num_in!Q12)</f>
        <v>51362.225414477391</v>
      </c>
      <c r="R12" s="132">
        <f>IF(SER_hh_fec_in!R12=0,0,11630*1000*SER_hh_fec_in!R12/SER_hh_num_in!R12)</f>
        <v>50628.468387577195</v>
      </c>
      <c r="S12" s="132">
        <f>IF(SER_hh_fec_in!S12=0,0,11630*1000*SER_hh_fec_in!S12/SER_hh_num_in!S12)</f>
        <v>48577.289311196095</v>
      </c>
      <c r="T12" s="132">
        <f>IF(SER_hh_fec_in!T12=0,0,11630*1000*SER_hh_fec_in!T12/SER_hh_num_in!T12)</f>
        <v>45502.418372608925</v>
      </c>
      <c r="U12" s="132">
        <f>IF(SER_hh_fec_in!U12=0,0,11630*1000*SER_hh_fec_in!U12/SER_hh_num_in!U12)</f>
        <v>42053.320500671674</v>
      </c>
      <c r="V12" s="132">
        <f>IF(SER_hh_fec_in!V12=0,0,11630*1000*SER_hh_fec_in!V12/SER_hh_num_in!V12)</f>
        <v>38547.486038315961</v>
      </c>
      <c r="W12" s="132">
        <f>IF(SER_hh_fec_in!W12=0,0,11630*1000*SER_hh_fec_in!W12/SER_hh_num_in!W12)</f>
        <v>39078.826368394977</v>
      </c>
      <c r="X12" s="132">
        <f>IF(SER_hh_fec_in!X12=0,0,11630*1000*SER_hh_fec_in!X12/SER_hh_num_in!X12)</f>
        <v>34579.504757824106</v>
      </c>
      <c r="Y12" s="132">
        <f>IF(SER_hh_fec_in!Y12=0,0,11630*1000*SER_hh_fec_in!Y12/SER_hh_num_in!Y12)</f>
        <v>35262.280745733355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38165.624729810886</v>
      </c>
      <c r="D13" s="132">
        <f>IF(SER_hh_fec_in!D13=0,0,11630*1000*SER_hh_fec_in!D13/SER_hh_num_in!D13)</f>
        <v>36530.989067661336</v>
      </c>
      <c r="E13" s="132">
        <f>IF(SER_hh_fec_in!E13=0,0,11630*1000*SER_hh_fec_in!E13/SER_hh_num_in!E13)</f>
        <v>34493.083093397327</v>
      </c>
      <c r="F13" s="132">
        <f>IF(SER_hh_fec_in!F13=0,0,11630*1000*SER_hh_fec_in!F13/SER_hh_num_in!F13)</f>
        <v>32692.24965136185</v>
      </c>
      <c r="G13" s="132">
        <f>IF(SER_hh_fec_in!G13=0,0,11630*1000*SER_hh_fec_in!G13/SER_hh_num_in!G13)</f>
        <v>22905.069712679342</v>
      </c>
      <c r="H13" s="132">
        <f>IF(SER_hh_fec_in!H13=0,0,11630*1000*SER_hh_fec_in!H13/SER_hh_num_in!H13)</f>
        <v>14695.534575028574</v>
      </c>
      <c r="I13" s="132">
        <f>IF(SER_hh_fec_in!I13=0,0,11630*1000*SER_hh_fec_in!I13/SER_hh_num_in!I13)</f>
        <v>33201.123151683219</v>
      </c>
      <c r="J13" s="132">
        <f>IF(SER_hh_fec_in!J13=0,0,11630*1000*SER_hh_fec_in!J13/SER_hh_num_in!J13)</f>
        <v>26870.683657762718</v>
      </c>
      <c r="K13" s="132">
        <f>IF(SER_hh_fec_in!K13=0,0,11630*1000*SER_hh_fec_in!K13/SER_hh_num_in!K13)</f>
        <v>23518.580385100908</v>
      </c>
      <c r="L13" s="132">
        <f>IF(SER_hh_fec_in!L13=0,0,11630*1000*SER_hh_fec_in!L13/SER_hh_num_in!L13)</f>
        <v>22347.132858092031</v>
      </c>
      <c r="M13" s="132">
        <f>IF(SER_hh_fec_in!M13=0,0,11630*1000*SER_hh_fec_in!M13/SER_hh_num_in!M13)</f>
        <v>20072.128882308771</v>
      </c>
      <c r="N13" s="132">
        <f>IF(SER_hh_fec_in!N13=0,0,11630*1000*SER_hh_fec_in!N13/SER_hh_num_in!N13)</f>
        <v>18155.417541977131</v>
      </c>
      <c r="O13" s="132">
        <f>IF(SER_hh_fec_in!O13=0,0,11630*1000*SER_hh_fec_in!O13/SER_hh_num_in!O13)</f>
        <v>16052.002071327124</v>
      </c>
      <c r="P13" s="132">
        <f>IF(SER_hh_fec_in!P13=0,0,11630*1000*SER_hh_fec_in!P13/SER_hh_num_in!P13)</f>
        <v>13844.923026362861</v>
      </c>
      <c r="Q13" s="132">
        <f>IF(SER_hh_fec_in!Q13=0,0,11630*1000*SER_hh_fec_in!Q13/SER_hh_num_in!Q13)</f>
        <v>13406.94175635085</v>
      </c>
      <c r="R13" s="132">
        <f>IF(SER_hh_fec_in!R13=0,0,11630*1000*SER_hh_fec_in!R13/SER_hh_num_in!R13)</f>
        <v>12543.937306261349</v>
      </c>
      <c r="S13" s="132">
        <f>IF(SER_hh_fec_in!S13=0,0,11630*1000*SER_hh_fec_in!S13/SER_hh_num_in!S13)</f>
        <v>11092.148298563634</v>
      </c>
      <c r="T13" s="132">
        <f>IF(SER_hh_fec_in!T13=0,0,11630*1000*SER_hh_fec_in!T13/SER_hh_num_in!T13)</f>
        <v>10387.59464811372</v>
      </c>
      <c r="U13" s="132">
        <f>IF(SER_hh_fec_in!U13=0,0,11630*1000*SER_hh_fec_in!U13/SER_hh_num_in!U13)</f>
        <v>9717.1192346110656</v>
      </c>
      <c r="V13" s="132">
        <f>IF(SER_hh_fec_in!V13=0,0,11630*1000*SER_hh_fec_in!V13/SER_hh_num_in!V13)</f>
        <v>9000.5365987221649</v>
      </c>
      <c r="W13" s="132">
        <f>IF(SER_hh_fec_in!W13=0,0,11630*1000*SER_hh_fec_in!W13/SER_hh_num_in!W13)</f>
        <v>8392.3793252666728</v>
      </c>
      <c r="X13" s="132">
        <f>IF(SER_hh_fec_in!X13=0,0,11630*1000*SER_hh_fec_in!X13/SER_hh_num_in!X13)</f>
        <v>8571.2870646768424</v>
      </c>
      <c r="Y13" s="132">
        <f>IF(SER_hh_fec_in!Y13=0,0,11630*1000*SER_hh_fec_in!Y13/SER_hh_num_in!Y13)</f>
        <v>8391.8818081811514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105337.79997639604</v>
      </c>
      <c r="D14" s="65">
        <f>IF(SER_hh_fec_in!D14=0,0,11630*1000*SER_hh_fec_in!D14/SER_hh_num_in!D14)</f>
        <v>102631.59013567847</v>
      </c>
      <c r="E14" s="65">
        <f>IF(SER_hh_fec_in!E14=0,0,11630*1000*SER_hh_fec_in!E14/SER_hh_num_in!E14)</f>
        <v>95827.861552473361</v>
      </c>
      <c r="F14" s="65">
        <f>IF(SER_hh_fec_in!F14=0,0,11630*1000*SER_hh_fec_in!F14/SER_hh_num_in!F14)</f>
        <v>95540.864799588773</v>
      </c>
      <c r="G14" s="65">
        <f>IF(SER_hh_fec_in!G14=0,0,11630*1000*SER_hh_fec_in!G14/SER_hh_num_in!G14)</f>
        <v>90817.331558395483</v>
      </c>
      <c r="H14" s="65">
        <f>IF(SER_hh_fec_in!H14=0,0,11630*1000*SER_hh_fec_in!H14/SER_hh_num_in!H14)</f>
        <v>89967.601015457214</v>
      </c>
      <c r="I14" s="65">
        <f>IF(SER_hh_fec_in!I14=0,0,11630*1000*SER_hh_fec_in!I14/SER_hh_num_in!I14)</f>
        <v>88169.952798048311</v>
      </c>
      <c r="J14" s="65">
        <f>IF(SER_hh_fec_in!J14=0,0,11630*1000*SER_hh_fec_in!J14/SER_hh_num_in!J14)</f>
        <v>85003.535043018768</v>
      </c>
      <c r="K14" s="65">
        <f>IF(SER_hh_fec_in!K14=0,0,11630*1000*SER_hh_fec_in!K14/SER_hh_num_in!K14)</f>
        <v>74156.017852907346</v>
      </c>
      <c r="L14" s="65">
        <f>IF(SER_hh_fec_in!L14=0,0,11630*1000*SER_hh_fec_in!L14/SER_hh_num_in!L14)</f>
        <v>81302.711639309287</v>
      </c>
      <c r="M14" s="65">
        <f>IF(SER_hh_fec_in!M14=0,0,11630*1000*SER_hh_fec_in!M14/SER_hh_num_in!M14)</f>
        <v>73695.512970910073</v>
      </c>
      <c r="N14" s="65">
        <f>IF(SER_hh_fec_in!N14=0,0,11630*1000*SER_hh_fec_in!N14/SER_hh_num_in!N14)</f>
        <v>67425.923817576389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48794.166288086468</v>
      </c>
      <c r="X14" s="65">
        <f>IF(SER_hh_fec_in!X14=0,0,11630*1000*SER_hh_fec_in!X14/SER_hh_num_in!X14)</f>
        <v>53112.7833834583</v>
      </c>
      <c r="Y14" s="65">
        <f>IF(SER_hh_fec_in!Y14=0,0,11630*1000*SER_hh_fec_in!Y14/SER_hh_num_in!Y14)</f>
        <v>0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520.45690640198313</v>
      </c>
      <c r="D15" s="134">
        <f>IF(SER_hh_fec_in!D15=0,0,11630*1000*SER_hh_fec_in!D15/SER_hh_num_in!D15)</f>
        <v>600.82529669594226</v>
      </c>
      <c r="E15" s="134">
        <f>IF(SER_hh_fec_in!E15=0,0,11630*1000*SER_hh_fec_in!E15/SER_hh_num_in!E15)</f>
        <v>639.43932375934685</v>
      </c>
      <c r="F15" s="134">
        <f>IF(SER_hh_fec_in!F15=0,0,11630*1000*SER_hh_fec_in!F15/SER_hh_num_in!F15)</f>
        <v>607.63852607326567</v>
      </c>
      <c r="G15" s="134">
        <f>IF(SER_hh_fec_in!G15=0,0,11630*1000*SER_hh_fec_in!G15/SER_hh_num_in!G15)</f>
        <v>552.70598905603083</v>
      </c>
      <c r="H15" s="134">
        <f>IF(SER_hh_fec_in!H15=0,0,11630*1000*SER_hh_fec_in!H15/SER_hh_num_in!H15)</f>
        <v>526.21376161225623</v>
      </c>
      <c r="I15" s="134">
        <f>IF(SER_hh_fec_in!I15=0,0,11630*1000*SER_hh_fec_in!I15/SER_hh_num_in!I15)</f>
        <v>395.7526578413366</v>
      </c>
      <c r="J15" s="134">
        <f>IF(SER_hh_fec_in!J15=0,0,11630*1000*SER_hh_fec_in!J15/SER_hh_num_in!J15)</f>
        <v>387.40561107904364</v>
      </c>
      <c r="K15" s="134">
        <f>IF(SER_hh_fec_in!K15=0,0,11630*1000*SER_hh_fec_in!K15/SER_hh_num_in!K15)</f>
        <v>331.26265156673048</v>
      </c>
      <c r="L15" s="134">
        <f>IF(SER_hh_fec_in!L15=0,0,11630*1000*SER_hh_fec_in!L15/SER_hh_num_in!L15)</f>
        <v>329.49891791571355</v>
      </c>
      <c r="M15" s="134">
        <f>IF(SER_hh_fec_in!M15=0,0,11630*1000*SER_hh_fec_in!M15/SER_hh_num_in!M15)</f>
        <v>307.12252413805595</v>
      </c>
      <c r="N15" s="134">
        <f>IF(SER_hh_fec_in!N15=0,0,11630*1000*SER_hh_fec_in!N15/SER_hh_num_in!N15)</f>
        <v>368.98455696840466</v>
      </c>
      <c r="O15" s="134">
        <f>IF(SER_hh_fec_in!O15=0,0,11630*1000*SER_hh_fec_in!O15/SER_hh_num_in!O15)</f>
        <v>360.46552637877699</v>
      </c>
      <c r="P15" s="134">
        <f>IF(SER_hh_fec_in!P15=0,0,11630*1000*SER_hh_fec_in!P15/SER_hh_num_in!P15)</f>
        <v>254.21296359049518</v>
      </c>
      <c r="Q15" s="134">
        <f>IF(SER_hh_fec_in!Q15=0,0,11630*1000*SER_hh_fec_in!Q15/SER_hh_num_in!Q15)</f>
        <v>343.35200154532106</v>
      </c>
      <c r="R15" s="134">
        <f>IF(SER_hh_fec_in!R15=0,0,11630*1000*SER_hh_fec_in!R15/SER_hh_num_in!R15)</f>
        <v>313.36256177490208</v>
      </c>
      <c r="S15" s="134">
        <f>IF(SER_hh_fec_in!S15=0,0,11630*1000*SER_hh_fec_in!S15/SER_hh_num_in!S15)</f>
        <v>303.84695073266892</v>
      </c>
      <c r="T15" s="134">
        <f>IF(SER_hh_fec_in!T15=0,0,11630*1000*SER_hh_fec_in!T15/SER_hh_num_in!T15)</f>
        <v>252.19610319415668</v>
      </c>
      <c r="U15" s="134">
        <f>IF(SER_hh_fec_in!U15=0,0,11630*1000*SER_hh_fec_in!U15/SER_hh_num_in!U15)</f>
        <v>267.79243708230234</v>
      </c>
      <c r="V15" s="134">
        <f>IF(SER_hh_fec_in!V15=0,0,11630*1000*SER_hh_fec_in!V15/SER_hh_num_in!V15)</f>
        <v>247.86616695097246</v>
      </c>
      <c r="W15" s="134">
        <f>IF(SER_hh_fec_in!W15=0,0,11630*1000*SER_hh_fec_in!W15/SER_hh_num_in!W15)</f>
        <v>215.3910387147352</v>
      </c>
      <c r="X15" s="134">
        <f>IF(SER_hh_fec_in!X15=0,0,11630*1000*SER_hh_fec_in!X15/SER_hh_num_in!X15)</f>
        <v>194.12199561159781</v>
      </c>
      <c r="Y15" s="134">
        <f>IF(SER_hh_fec_in!Y15=0,0,11630*1000*SER_hh_fec_in!Y15/SER_hh_num_in!Y15)</f>
        <v>155.42639656411981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8081.2039076636065</v>
      </c>
      <c r="D16" s="130">
        <f>IF(SER_hh_fec_in!D16=0,0,11630*1000*SER_hh_fec_in!D16/SER_hh_num_in!D16)</f>
        <v>7661.2208585317885</v>
      </c>
      <c r="E16" s="130">
        <f>IF(SER_hh_fec_in!E16=0,0,11630*1000*SER_hh_fec_in!E16/SER_hh_num_in!E16)</f>
        <v>7266.2052465280531</v>
      </c>
      <c r="F16" s="130">
        <f>IF(SER_hh_fec_in!F16=0,0,11630*1000*SER_hh_fec_in!F16/SER_hh_num_in!F16)</f>
        <v>6911.3561676243517</v>
      </c>
      <c r="G16" s="130">
        <f>IF(SER_hh_fec_in!G16=0,0,11630*1000*SER_hh_fec_in!G16/SER_hh_num_in!G16)</f>
        <v>6579.5190583940921</v>
      </c>
      <c r="H16" s="130">
        <f>IF(SER_hh_fec_in!H16=0,0,11630*1000*SER_hh_fec_in!H16/SER_hh_num_in!H16)</f>
        <v>6268.2866553962831</v>
      </c>
      <c r="I16" s="130">
        <f>IF(SER_hh_fec_in!I16=0,0,11630*1000*SER_hh_fec_in!I16/SER_hh_num_in!I16)</f>
        <v>5989.3491272338315</v>
      </c>
      <c r="J16" s="130">
        <f>IF(SER_hh_fec_in!J16=0,0,11630*1000*SER_hh_fec_in!J16/SER_hh_num_in!J16)</f>
        <v>5701.3400668924742</v>
      </c>
      <c r="K16" s="130">
        <f>IF(SER_hh_fec_in!K16=0,0,11630*1000*SER_hh_fec_in!K16/SER_hh_num_in!K16)</f>
        <v>5439.3431284144663</v>
      </c>
      <c r="L16" s="130">
        <f>IF(SER_hh_fec_in!L16=0,0,11630*1000*SER_hh_fec_in!L16/SER_hh_num_in!L16)</f>
        <v>5218.6321156829563</v>
      </c>
      <c r="M16" s="130">
        <f>IF(SER_hh_fec_in!M16=0,0,11630*1000*SER_hh_fec_in!M16/SER_hh_num_in!M16)</f>
        <v>4916.3722877085011</v>
      </c>
      <c r="N16" s="130">
        <f>IF(SER_hh_fec_in!N16=0,0,11630*1000*SER_hh_fec_in!N16/SER_hh_num_in!N16)</f>
        <v>4620.5027218889818</v>
      </c>
      <c r="O16" s="130">
        <f>IF(SER_hh_fec_in!O16=0,0,11630*1000*SER_hh_fec_in!O16/SER_hh_num_in!O16)</f>
        <v>4318.8318720959833</v>
      </c>
      <c r="P16" s="130">
        <f>IF(SER_hh_fec_in!P16=0,0,11630*1000*SER_hh_fec_in!P16/SER_hh_num_in!P16)</f>
        <v>4065.5477155895896</v>
      </c>
      <c r="Q16" s="130">
        <f>IF(SER_hh_fec_in!Q16=0,0,11630*1000*SER_hh_fec_in!Q16/SER_hh_num_in!Q16)</f>
        <v>3866.7709775639282</v>
      </c>
      <c r="R16" s="130">
        <f>IF(SER_hh_fec_in!R16=0,0,11630*1000*SER_hh_fec_in!R16/SER_hh_num_in!R16)</f>
        <v>3652.690302256804</v>
      </c>
      <c r="S16" s="130">
        <f>IF(SER_hh_fec_in!S16=0,0,11630*1000*SER_hh_fec_in!S16/SER_hh_num_in!S16)</f>
        <v>3519.2285618898154</v>
      </c>
      <c r="T16" s="130">
        <f>IF(SER_hh_fec_in!T16=0,0,11630*1000*SER_hh_fec_in!T16/SER_hh_num_in!T16)</f>
        <v>3516.2326973749341</v>
      </c>
      <c r="U16" s="130">
        <f>IF(SER_hh_fec_in!U16=0,0,11630*1000*SER_hh_fec_in!U16/SER_hh_num_in!U16)</f>
        <v>3304.0237732411119</v>
      </c>
      <c r="V16" s="130">
        <f>IF(SER_hh_fec_in!V16=0,0,11630*1000*SER_hh_fec_in!V16/SER_hh_num_in!V16)</f>
        <v>3020.7789083194602</v>
      </c>
      <c r="W16" s="130">
        <f>IF(SER_hh_fec_in!W16=0,0,11630*1000*SER_hh_fec_in!W16/SER_hh_num_in!W16)</f>
        <v>2822.3588932318467</v>
      </c>
      <c r="X16" s="130">
        <f>IF(SER_hh_fec_in!X16=0,0,11630*1000*SER_hh_fec_in!X16/SER_hh_num_in!X16)</f>
        <v>2885.0187155205463</v>
      </c>
      <c r="Y16" s="130">
        <f>IF(SER_hh_fec_in!Y16=0,0,11630*1000*SER_hh_fec_in!Y16/SER_hh_num_in!Y16)</f>
        <v>2809.6910083469693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17766.655840279196</v>
      </c>
      <c r="D17" s="132">
        <f>IF(SER_hh_fec_in!D17=0,0,11630*1000*SER_hh_fec_in!D17/SER_hh_num_in!D17)</f>
        <v>17346.201488728337</v>
      </c>
      <c r="E17" s="132">
        <f>IF(SER_hh_fec_in!E17=0,0,11630*1000*SER_hh_fec_in!E17/SER_hh_num_in!E17)</f>
        <v>16925.807670598046</v>
      </c>
      <c r="F17" s="132">
        <f>IF(SER_hh_fec_in!F17=0,0,11630*1000*SER_hh_fec_in!F17/SER_hh_num_in!F17)</f>
        <v>16550.36347925802</v>
      </c>
      <c r="G17" s="132">
        <f>IF(SER_hh_fec_in!G17=0,0,11630*1000*SER_hh_fec_in!G17/SER_hh_num_in!G17)</f>
        <v>16187.682153230129</v>
      </c>
      <c r="H17" s="132">
        <f>IF(SER_hh_fec_in!H17=0,0,11630*1000*SER_hh_fec_in!H17/SER_hh_num_in!H17)</f>
        <v>15822.304425504866</v>
      </c>
      <c r="I17" s="132">
        <f>IF(SER_hh_fec_in!I17=0,0,11630*1000*SER_hh_fec_in!I17/SER_hh_num_in!I17)</f>
        <v>15484.910862610686</v>
      </c>
      <c r="J17" s="132">
        <f>IF(SER_hh_fec_in!J17=0,0,11630*1000*SER_hh_fec_in!J17/SER_hh_num_in!J17)</f>
        <v>15094.446348459289</v>
      </c>
      <c r="K17" s="132">
        <f>IF(SER_hh_fec_in!K17=0,0,11630*1000*SER_hh_fec_in!K17/SER_hh_num_in!K17)</f>
        <v>14746.028102582422</v>
      </c>
      <c r="L17" s="132">
        <f>IF(SER_hh_fec_in!L17=0,0,11630*1000*SER_hh_fec_in!L17/SER_hh_num_in!L17)</f>
        <v>14505.164106654302</v>
      </c>
      <c r="M17" s="132">
        <f>IF(SER_hh_fec_in!M17=0,0,11630*1000*SER_hh_fec_in!M17/SER_hh_num_in!M17)</f>
        <v>14014.314759598643</v>
      </c>
      <c r="N17" s="132">
        <f>IF(SER_hh_fec_in!N17=0,0,11630*1000*SER_hh_fec_in!N17/SER_hh_num_in!N17)</f>
        <v>13524.863614292362</v>
      </c>
      <c r="O17" s="132">
        <f>IF(SER_hh_fec_in!O17=0,0,11630*1000*SER_hh_fec_in!O17/SER_hh_num_in!O17)</f>
        <v>13014.142566960731</v>
      </c>
      <c r="P17" s="132">
        <f>IF(SER_hh_fec_in!P17=0,0,11630*1000*SER_hh_fec_in!P17/SER_hh_num_in!P17)</f>
        <v>12612.528598263958</v>
      </c>
      <c r="Q17" s="132">
        <f>IF(SER_hh_fec_in!Q17=0,0,11630*1000*SER_hh_fec_in!Q17/SER_hh_num_in!Q17)</f>
        <v>12251.43763141246</v>
      </c>
      <c r="R17" s="132">
        <f>IF(SER_hh_fec_in!R17=0,0,11630*1000*SER_hh_fec_in!R17/SER_hh_num_in!R17)</f>
        <v>11863.588619446538</v>
      </c>
      <c r="S17" s="132">
        <f>IF(SER_hh_fec_in!S17=0,0,11630*1000*SER_hh_fec_in!S17/SER_hh_num_in!S17)</f>
        <v>11393.015616860608</v>
      </c>
      <c r="T17" s="132">
        <f>IF(SER_hh_fec_in!T17=0,0,11630*1000*SER_hh_fec_in!T17/SER_hh_num_in!T17)</f>
        <v>11266.762691280428</v>
      </c>
      <c r="U17" s="132">
        <f>IF(SER_hh_fec_in!U17=0,0,11630*1000*SER_hh_fec_in!U17/SER_hh_num_in!U17)</f>
        <v>10427.39211092886</v>
      </c>
      <c r="V17" s="132">
        <f>IF(SER_hh_fec_in!V17=0,0,11630*1000*SER_hh_fec_in!V17/SER_hh_num_in!V17)</f>
        <v>7187.6003448087813</v>
      </c>
      <c r="W17" s="132">
        <f>IF(SER_hh_fec_in!W17=0,0,11630*1000*SER_hh_fec_in!W17/SER_hh_num_in!W17)</f>
        <v>6847.5514698772777</v>
      </c>
      <c r="X17" s="132">
        <f>IF(SER_hh_fec_in!X17=0,0,11630*1000*SER_hh_fec_in!X17/SER_hh_num_in!X17)</f>
        <v>7027.037023934332</v>
      </c>
      <c r="Y17" s="132">
        <f>IF(SER_hh_fec_in!Y17=0,0,11630*1000*SER_hh_fec_in!Y17/SER_hh_num_in!Y17)</f>
        <v>6951.6320101057418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8071.7666619353922</v>
      </c>
      <c r="D18" s="132">
        <f>IF(SER_hh_fec_in!D18=0,0,11630*1000*SER_hh_fec_in!D18/SER_hh_num_in!D18)</f>
        <v>7650.8263529731057</v>
      </c>
      <c r="E18" s="132">
        <f>IF(SER_hh_fec_in!E18=0,0,11630*1000*SER_hh_fec_in!E18/SER_hh_num_in!E18)</f>
        <v>7257.8227074168281</v>
      </c>
      <c r="F18" s="132">
        <f>IF(SER_hh_fec_in!F18=0,0,11630*1000*SER_hh_fec_in!F18/SER_hh_num_in!F18)</f>
        <v>6899.5684734322003</v>
      </c>
      <c r="G18" s="132">
        <f>IF(SER_hh_fec_in!G18=0,0,11630*1000*SER_hh_fec_in!G18/SER_hh_num_in!G18)</f>
        <v>6567.3071110918208</v>
      </c>
      <c r="H18" s="132">
        <f>IF(SER_hh_fec_in!H18=0,0,11630*1000*SER_hh_fec_in!H18/SER_hh_num_in!H18)</f>
        <v>6258.5928617836962</v>
      </c>
      <c r="I18" s="132">
        <f>IF(SER_hh_fec_in!I18=0,0,11630*1000*SER_hh_fec_in!I18/SER_hh_num_in!I18)</f>
        <v>5980.9277196211278</v>
      </c>
      <c r="J18" s="132">
        <f>IF(SER_hh_fec_in!J18=0,0,11630*1000*SER_hh_fec_in!J18/SER_hh_num_in!J18)</f>
        <v>5691.7605631140259</v>
      </c>
      <c r="K18" s="132">
        <f>IF(SER_hh_fec_in!K18=0,0,11630*1000*SER_hh_fec_in!K18/SER_hh_num_in!K18)</f>
        <v>5430.6863181390754</v>
      </c>
      <c r="L18" s="132">
        <f>IF(SER_hh_fec_in!L18=0,0,11630*1000*SER_hh_fec_in!L18/SER_hh_num_in!L18)</f>
        <v>5206.2431648151596</v>
      </c>
      <c r="M18" s="132">
        <f>IF(SER_hh_fec_in!M18=0,0,11630*1000*SER_hh_fec_in!M18/SER_hh_num_in!M18)</f>
        <v>4901.4555940433911</v>
      </c>
      <c r="N18" s="132">
        <f>IF(SER_hh_fec_in!N18=0,0,11630*1000*SER_hh_fec_in!N18/SER_hh_num_in!N18)</f>
        <v>4601.3749798977651</v>
      </c>
      <c r="O18" s="132">
        <f>IF(SER_hh_fec_in!O18=0,0,11630*1000*SER_hh_fec_in!O18/SER_hh_num_in!O18)</f>
        <v>4293.3768138732767</v>
      </c>
      <c r="P18" s="132">
        <f>IF(SER_hh_fec_in!P18=0,0,11630*1000*SER_hh_fec_in!P18/SER_hh_num_in!P18)</f>
        <v>4029.8461662471864</v>
      </c>
      <c r="Q18" s="132">
        <f>IF(SER_hh_fec_in!Q18=0,0,11630*1000*SER_hh_fec_in!Q18/SER_hh_num_in!Q18)</f>
        <v>3812.0934322287994</v>
      </c>
      <c r="R18" s="132">
        <f>IF(SER_hh_fec_in!R18=0,0,11630*1000*SER_hh_fec_in!R18/SER_hh_num_in!R18)</f>
        <v>3601.8717560155787</v>
      </c>
      <c r="S18" s="132">
        <f>IF(SER_hh_fec_in!S18=0,0,11630*1000*SER_hh_fec_in!S18/SER_hh_num_in!S18)</f>
        <v>3473.7704732172365</v>
      </c>
      <c r="T18" s="132">
        <f>IF(SER_hh_fec_in!T18=0,0,11630*1000*SER_hh_fec_in!T18/SER_hh_num_in!T18)</f>
        <v>3482.2127277340278</v>
      </c>
      <c r="U18" s="132">
        <f>IF(SER_hh_fec_in!U18=0,0,11630*1000*SER_hh_fec_in!U18/SER_hh_num_in!U18)</f>
        <v>3256.1915262219654</v>
      </c>
      <c r="V18" s="132">
        <f>IF(SER_hh_fec_in!V18=0,0,11630*1000*SER_hh_fec_in!V18/SER_hh_num_in!V18)</f>
        <v>2955.1351390464915</v>
      </c>
      <c r="W18" s="132">
        <f>IF(SER_hh_fec_in!W18=0,0,11630*1000*SER_hh_fec_in!W18/SER_hh_num_in!W18)</f>
        <v>2802.2627790303804</v>
      </c>
      <c r="X18" s="132">
        <f>IF(SER_hh_fec_in!X18=0,0,11630*1000*SER_hh_fec_in!X18/SER_hh_num_in!X18)</f>
        <v>2866.5345238662776</v>
      </c>
      <c r="Y18" s="132">
        <f>IF(SER_hh_fec_in!Y18=0,0,11630*1000*SER_hh_fec_in!Y18/SER_hh_num_in!Y18)</f>
        <v>2784.9907363091215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12591.426484234851</v>
      </c>
      <c r="D19" s="130">
        <f>IF(SER_hh_fec_in!D19=0,0,11630*1000*SER_hh_fec_in!D19/SER_hh_num_in!D19)</f>
        <v>12636.832923655809</v>
      </c>
      <c r="E19" s="130">
        <f>IF(SER_hh_fec_in!E19=0,0,11630*1000*SER_hh_fec_in!E19/SER_hh_num_in!E19)</f>
        <v>12723.391700830796</v>
      </c>
      <c r="F19" s="130">
        <f>IF(SER_hh_fec_in!F19=0,0,11630*1000*SER_hh_fec_in!F19/SER_hh_num_in!F19)</f>
        <v>12459.223233104814</v>
      </c>
      <c r="G19" s="130">
        <f>IF(SER_hh_fec_in!G19=0,0,11630*1000*SER_hh_fec_in!G19/SER_hh_num_in!G19)</f>
        <v>12301.034615383609</v>
      </c>
      <c r="H19" s="130">
        <f>IF(SER_hh_fec_in!H19=0,0,11630*1000*SER_hh_fec_in!H19/SER_hh_num_in!H19)</f>
        <v>12219.935740184466</v>
      </c>
      <c r="I19" s="130">
        <f>IF(SER_hh_fec_in!I19=0,0,11630*1000*SER_hh_fec_in!I19/SER_hh_num_in!I19)</f>
        <v>11765.172369895889</v>
      </c>
      <c r="J19" s="130">
        <f>IF(SER_hh_fec_in!J19=0,0,11630*1000*SER_hh_fec_in!J19/SER_hh_num_in!J19)</f>
        <v>11609.820849177879</v>
      </c>
      <c r="K19" s="130">
        <f>IF(SER_hh_fec_in!K19=0,0,11630*1000*SER_hh_fec_in!K19/SER_hh_num_in!K19)</f>
        <v>11380.673811579967</v>
      </c>
      <c r="L19" s="130">
        <f>IF(SER_hh_fec_in!L19=0,0,11630*1000*SER_hh_fec_in!L19/SER_hh_num_in!L19)</f>
        <v>10902.617733185991</v>
      </c>
      <c r="M19" s="130">
        <f>IF(SER_hh_fec_in!M19=0,0,11630*1000*SER_hh_fec_in!M19/SER_hh_num_in!M19)</f>
        <v>11138.568774114501</v>
      </c>
      <c r="N19" s="130">
        <f>IF(SER_hh_fec_in!N19=0,0,11630*1000*SER_hh_fec_in!N19/SER_hh_num_in!N19)</f>
        <v>11276.990083572517</v>
      </c>
      <c r="O19" s="130">
        <f>IF(SER_hh_fec_in!O19=0,0,11630*1000*SER_hh_fec_in!O19/SER_hh_num_in!O19)</f>
        <v>10964.483976382035</v>
      </c>
      <c r="P19" s="130">
        <f>IF(SER_hh_fec_in!P19=0,0,11630*1000*SER_hh_fec_in!P19/SER_hh_num_in!P19)</f>
        <v>10903.669690105859</v>
      </c>
      <c r="Q19" s="130">
        <f>IF(SER_hh_fec_in!Q19=0,0,11630*1000*SER_hh_fec_in!Q19/SER_hh_num_in!Q19)</f>
        <v>10861.743527093087</v>
      </c>
      <c r="R19" s="130">
        <f>IF(SER_hh_fec_in!R19=0,0,11630*1000*SER_hh_fec_in!R19/SER_hh_num_in!R19)</f>
        <v>10659.365842072253</v>
      </c>
      <c r="S19" s="130">
        <f>IF(SER_hh_fec_in!S19=0,0,11630*1000*SER_hh_fec_in!S19/SER_hh_num_in!S19)</f>
        <v>10574.423063757276</v>
      </c>
      <c r="T19" s="130">
        <f>IF(SER_hh_fec_in!T19=0,0,11630*1000*SER_hh_fec_in!T19/SER_hh_num_in!T19)</f>
        <v>10230.610108816123</v>
      </c>
      <c r="U19" s="130">
        <f>IF(SER_hh_fec_in!U19=0,0,11630*1000*SER_hh_fec_in!U19/SER_hh_num_in!U19)</f>
        <v>9857.5413493359301</v>
      </c>
      <c r="V19" s="130">
        <f>IF(SER_hh_fec_in!V19=0,0,11630*1000*SER_hh_fec_in!V19/SER_hh_num_in!V19)</f>
        <v>8501.683567017817</v>
      </c>
      <c r="W19" s="130">
        <f>IF(SER_hh_fec_in!W19=0,0,11630*1000*SER_hh_fec_in!W19/SER_hh_num_in!W19)</f>
        <v>8701.285512749866</v>
      </c>
      <c r="X19" s="130">
        <f>IF(SER_hh_fec_in!X19=0,0,11630*1000*SER_hh_fec_in!X19/SER_hh_num_in!X19)</f>
        <v>9186.5325168046202</v>
      </c>
      <c r="Y19" s="130">
        <f>IF(SER_hh_fec_in!Y19=0,0,11630*1000*SER_hh_fec_in!Y19/SER_hh_num_in!Y19)</f>
        <v>9565.1007059568383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16963.822454194309</v>
      </c>
      <c r="D22" s="132">
        <f>IF(SER_hh_fec_in!D22=0,0,11630*1000*SER_hh_fec_in!D22/SER_hh_num_in!D22)</f>
        <v>16762.907563656881</v>
      </c>
      <c r="E22" s="132">
        <f>IF(SER_hh_fec_in!E22=0,0,11630*1000*SER_hh_fec_in!E22/SER_hh_num_in!E22)</f>
        <v>16599.843689006957</v>
      </c>
      <c r="F22" s="132">
        <f>IF(SER_hh_fec_in!F22=0,0,11630*1000*SER_hh_fec_in!F22/SER_hh_num_in!F22)</f>
        <v>16675.320527209195</v>
      </c>
      <c r="G22" s="132">
        <f>IF(SER_hh_fec_in!G22=0,0,11630*1000*SER_hh_fec_in!G22/SER_hh_num_in!G22)</f>
        <v>16404.456302939452</v>
      </c>
      <c r="H22" s="132">
        <f>IF(SER_hh_fec_in!H22=0,0,11630*1000*SER_hh_fec_in!H22/SER_hh_num_in!H22)</f>
        <v>16038.191802684541</v>
      </c>
      <c r="I22" s="132">
        <f>IF(SER_hh_fec_in!I22=0,0,11630*1000*SER_hh_fec_in!I22/SER_hh_num_in!I22)</f>
        <v>15242.492826019947</v>
      </c>
      <c r="J22" s="132">
        <f>IF(SER_hh_fec_in!J22=0,0,11630*1000*SER_hh_fec_in!J22/SER_hh_num_in!J22)</f>
        <v>15586.774338294887</v>
      </c>
      <c r="K22" s="132">
        <f>IF(SER_hh_fec_in!K22=0,0,11630*1000*SER_hh_fec_in!K22/SER_hh_num_in!K22)</f>
        <v>15797.403471915375</v>
      </c>
      <c r="L22" s="132">
        <f>IF(SER_hh_fec_in!L22=0,0,11630*1000*SER_hh_fec_in!L22/SER_hh_num_in!L22)</f>
        <v>14644.552227768705</v>
      </c>
      <c r="M22" s="132">
        <f>IF(SER_hh_fec_in!M22=0,0,11630*1000*SER_hh_fec_in!M22/SER_hh_num_in!M22)</f>
        <v>14422.448502638517</v>
      </c>
      <c r="N22" s="132">
        <f>IF(SER_hh_fec_in!N22=0,0,11630*1000*SER_hh_fec_in!N22/SER_hh_num_in!N22)</f>
        <v>14546.673847395406</v>
      </c>
      <c r="O22" s="132">
        <f>IF(SER_hh_fec_in!O22=0,0,11630*1000*SER_hh_fec_in!O22/SER_hh_num_in!O22)</f>
        <v>13822.926518259528</v>
      </c>
      <c r="P22" s="132">
        <f>IF(SER_hh_fec_in!P22=0,0,11630*1000*SER_hh_fec_in!P22/SER_hh_num_in!P22)</f>
        <v>13406.46397943147</v>
      </c>
      <c r="Q22" s="132">
        <f>IF(SER_hh_fec_in!Q22=0,0,11630*1000*SER_hh_fec_in!Q22/SER_hh_num_in!Q22)</f>
        <v>12532.065287899717</v>
      </c>
      <c r="R22" s="132">
        <f>IF(SER_hh_fec_in!R22=0,0,11630*1000*SER_hh_fec_in!R22/SER_hh_num_in!R22)</f>
        <v>12659.663116725444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0</v>
      </c>
      <c r="X22" s="132">
        <f>IF(SER_hh_fec_in!X22=0,0,11630*1000*SER_hh_fec_in!X22/SER_hh_num_in!X22)</f>
        <v>11252.659513606</v>
      </c>
      <c r="Y22" s="132">
        <f>IF(SER_hh_fec_in!Y22=0,0,11630*1000*SER_hh_fec_in!Y22/SER_hh_num_in!Y22)</f>
        <v>8557.7103844913199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15444.187453208129</v>
      </c>
      <c r="D23" s="132">
        <f>IF(SER_hh_fec_in!D23=0,0,11630*1000*SER_hh_fec_in!D23/SER_hh_num_in!D23)</f>
        <v>14773.960228762471</v>
      </c>
      <c r="E23" s="132">
        <f>IF(SER_hh_fec_in!E23=0,0,11630*1000*SER_hh_fec_in!E23/SER_hh_num_in!E23)</f>
        <v>15641.311407869316</v>
      </c>
      <c r="F23" s="132">
        <f>IF(SER_hh_fec_in!F23=0,0,11630*1000*SER_hh_fec_in!F23/SER_hh_num_in!F23)</f>
        <v>14628.186288266501</v>
      </c>
      <c r="G23" s="132">
        <f>IF(SER_hh_fec_in!G23=0,0,11630*1000*SER_hh_fec_in!G23/SER_hh_num_in!G23)</f>
        <v>14663.711916140763</v>
      </c>
      <c r="H23" s="132">
        <f>IF(SER_hh_fec_in!H23=0,0,11630*1000*SER_hh_fec_in!H23/SER_hh_num_in!H23)</f>
        <v>14929.723995776603</v>
      </c>
      <c r="I23" s="132">
        <f>IF(SER_hh_fec_in!I23=0,0,11630*1000*SER_hh_fec_in!I23/SER_hh_num_in!I23)</f>
        <v>14338.524770182894</v>
      </c>
      <c r="J23" s="132">
        <f>IF(SER_hh_fec_in!J23=0,0,11630*1000*SER_hh_fec_in!J23/SER_hh_num_in!J23)</f>
        <v>13910.649644413468</v>
      </c>
      <c r="K23" s="132">
        <f>IF(SER_hh_fec_in!K23=0,0,11630*1000*SER_hh_fec_in!K23/SER_hh_num_in!K23)</f>
        <v>13914.171388447903</v>
      </c>
      <c r="L23" s="132">
        <f>IF(SER_hh_fec_in!L23=0,0,11630*1000*SER_hh_fec_in!L23/SER_hh_num_in!L23)</f>
        <v>12293.174517440988</v>
      </c>
      <c r="M23" s="132">
        <f>IF(SER_hh_fec_in!M23=0,0,11630*1000*SER_hh_fec_in!M23/SER_hh_num_in!M23)</f>
        <v>12755.604464727216</v>
      </c>
      <c r="N23" s="132">
        <f>IF(SER_hh_fec_in!N23=0,0,11630*1000*SER_hh_fec_in!N23/SER_hh_num_in!N23)</f>
        <v>13002.391590873549</v>
      </c>
      <c r="O23" s="132">
        <f>IF(SER_hh_fec_in!O23=0,0,11630*1000*SER_hh_fec_in!O23/SER_hh_num_in!O23)</f>
        <v>12716.083358414082</v>
      </c>
      <c r="P23" s="132">
        <f>IF(SER_hh_fec_in!P23=0,0,11630*1000*SER_hh_fec_in!P23/SER_hh_num_in!P23)</f>
        <v>11182.553601850606</v>
      </c>
      <c r="Q23" s="132">
        <f>IF(SER_hh_fec_in!Q23=0,0,11630*1000*SER_hh_fec_in!Q23/SER_hh_num_in!Q23)</f>
        <v>11665.026010610136</v>
      </c>
      <c r="R23" s="132">
        <f>IF(SER_hh_fec_in!R23=0,0,11630*1000*SER_hh_fec_in!R23/SER_hh_num_in!R23)</f>
        <v>11566.679942064404</v>
      </c>
      <c r="S23" s="132">
        <f>IF(SER_hh_fec_in!S23=0,0,11630*1000*SER_hh_fec_in!S23/SER_hh_num_in!S23)</f>
        <v>11527.677203631949</v>
      </c>
      <c r="T23" s="132">
        <f>IF(SER_hh_fec_in!T23=0,0,11630*1000*SER_hh_fec_in!T23/SER_hh_num_in!T23)</f>
        <v>10903.93612163955</v>
      </c>
      <c r="U23" s="132">
        <f>IF(SER_hh_fec_in!U23=0,0,11630*1000*SER_hh_fec_in!U23/SER_hh_num_in!U23)</f>
        <v>11189.814091934059</v>
      </c>
      <c r="V23" s="132">
        <f>IF(SER_hh_fec_in!V23=0,0,11630*1000*SER_hh_fec_in!V23/SER_hh_num_in!V23)</f>
        <v>7459.8830466867812</v>
      </c>
      <c r="W23" s="132">
        <f>IF(SER_hh_fec_in!W23=0,0,11630*1000*SER_hh_fec_in!W23/SER_hh_num_in!W23)</f>
        <v>10685.10642671278</v>
      </c>
      <c r="X23" s="132">
        <f>IF(SER_hh_fec_in!X23=0,0,11630*1000*SER_hh_fec_in!X23/SER_hh_num_in!X23)</f>
        <v>9358.6678879861101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16273.937607703099</v>
      </c>
      <c r="D24" s="132">
        <f>IF(SER_hh_fec_in!D24=0,0,11630*1000*SER_hh_fec_in!D24/SER_hh_num_in!D24)</f>
        <v>15753.38267984252</v>
      </c>
      <c r="E24" s="132">
        <f>IF(SER_hh_fec_in!E24=0,0,11630*1000*SER_hh_fec_in!E24/SER_hh_num_in!E24)</f>
        <v>15076.697050603227</v>
      </c>
      <c r="F24" s="132">
        <f>IF(SER_hh_fec_in!F24=0,0,11630*1000*SER_hh_fec_in!F24/SER_hh_num_in!F24)</f>
        <v>14607.07176470492</v>
      </c>
      <c r="G24" s="132">
        <f>IF(SER_hh_fec_in!G24=0,0,11630*1000*SER_hh_fec_in!G24/SER_hh_num_in!G24)</f>
        <v>14325.417147180087</v>
      </c>
      <c r="H24" s="132">
        <f>IF(SER_hh_fec_in!H24=0,0,11630*1000*SER_hh_fec_in!H24/SER_hh_num_in!H24)</f>
        <v>14050.118359162379</v>
      </c>
      <c r="I24" s="132">
        <f>IF(SER_hh_fec_in!I24=0,0,11630*1000*SER_hh_fec_in!I24/SER_hh_num_in!I24)</f>
        <v>13722.202098722182</v>
      </c>
      <c r="J24" s="132">
        <f>IF(SER_hh_fec_in!J24=0,0,11630*1000*SER_hh_fec_in!J24/SER_hh_num_in!J24)</f>
        <v>13301.243430279246</v>
      </c>
      <c r="K24" s="132">
        <f>IF(SER_hh_fec_in!K24=0,0,11630*1000*SER_hh_fec_in!K24/SER_hh_num_in!K24)</f>
        <v>13090.795772412446</v>
      </c>
      <c r="L24" s="132">
        <f>IF(SER_hh_fec_in!L24=0,0,11630*1000*SER_hh_fec_in!L24/SER_hh_num_in!L24)</f>
        <v>12191.347649931451</v>
      </c>
      <c r="M24" s="132">
        <f>IF(SER_hh_fec_in!M24=0,0,11630*1000*SER_hh_fec_in!M24/SER_hh_num_in!M24)</f>
        <v>12885.669294501875</v>
      </c>
      <c r="N24" s="132">
        <f>IF(SER_hh_fec_in!N24=0,0,11630*1000*SER_hh_fec_in!N24/SER_hh_num_in!N24)</f>
        <v>12950.337451187324</v>
      </c>
      <c r="O24" s="132">
        <f>IF(SER_hh_fec_in!O24=0,0,11630*1000*SER_hh_fec_in!O24/SER_hh_num_in!O24)</f>
        <v>11923.877784585977</v>
      </c>
      <c r="P24" s="132">
        <f>IF(SER_hh_fec_in!P24=0,0,11630*1000*SER_hh_fec_in!P24/SER_hh_num_in!P24)</f>
        <v>12318.024685944751</v>
      </c>
      <c r="Q24" s="132">
        <f>IF(SER_hh_fec_in!Q24=0,0,11630*1000*SER_hh_fec_in!Q24/SER_hh_num_in!Q24)</f>
        <v>11745.750981923415</v>
      </c>
      <c r="R24" s="132">
        <f>IF(SER_hh_fec_in!R24=0,0,11630*1000*SER_hh_fec_in!R24/SER_hh_num_in!R24)</f>
        <v>12296.382441648968</v>
      </c>
      <c r="S24" s="132">
        <f>IF(SER_hh_fec_in!S24=0,0,11630*1000*SER_hh_fec_in!S24/SER_hh_num_in!S24)</f>
        <v>12379.075286854651</v>
      </c>
      <c r="T24" s="132">
        <f>IF(SER_hh_fec_in!T24=0,0,11630*1000*SER_hh_fec_in!T24/SER_hh_num_in!T24)</f>
        <v>11880.62733281683</v>
      </c>
      <c r="U24" s="132">
        <f>IF(SER_hh_fec_in!U24=0,0,11630*1000*SER_hh_fec_in!U24/SER_hh_num_in!U24)</f>
        <v>11109.631513009301</v>
      </c>
      <c r="V24" s="132">
        <f>IF(SER_hh_fec_in!V24=0,0,11630*1000*SER_hh_fec_in!V24/SER_hh_num_in!V24)</f>
        <v>8963.9414117350061</v>
      </c>
      <c r="W24" s="132">
        <f>IF(SER_hh_fec_in!W24=0,0,11630*1000*SER_hh_fec_in!W24/SER_hh_num_in!W24)</f>
        <v>10710.601384799154</v>
      </c>
      <c r="X24" s="132">
        <f>IF(SER_hh_fec_in!X24=0,0,11630*1000*SER_hh_fec_in!X24/SER_hh_num_in!X24)</f>
        <v>9974.2198515558266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11378.136204593517</v>
      </c>
      <c r="D25" s="132">
        <f>IF(SER_hh_fec_in!D25=0,0,11630*1000*SER_hh_fec_in!D25/SER_hh_num_in!D25)</f>
        <v>11169.04179382821</v>
      </c>
      <c r="E25" s="132">
        <f>IF(SER_hh_fec_in!E25=0,0,11630*1000*SER_hh_fec_in!E25/SER_hh_num_in!E25)</f>
        <v>11004.731771083294</v>
      </c>
      <c r="F25" s="132">
        <f>IF(SER_hh_fec_in!F25=0,0,11630*1000*SER_hh_fec_in!F25/SER_hh_num_in!F25)</f>
        <v>10909.55387384654</v>
      </c>
      <c r="G25" s="132">
        <f>IF(SER_hh_fec_in!G25=0,0,11630*1000*SER_hh_fec_in!G25/SER_hh_num_in!G25)</f>
        <v>10804.057604781647</v>
      </c>
      <c r="H25" s="132">
        <f>IF(SER_hh_fec_in!H25=0,0,11630*1000*SER_hh_fec_in!H25/SER_hh_num_in!H25)</f>
        <v>10697.480886564192</v>
      </c>
      <c r="I25" s="132">
        <f>IF(SER_hh_fec_in!I25=0,0,11630*1000*SER_hh_fec_in!I25/SER_hh_num_in!I25)</f>
        <v>10518.364774257803</v>
      </c>
      <c r="J25" s="132">
        <f>IF(SER_hh_fec_in!J25=0,0,11630*1000*SER_hh_fec_in!J25/SER_hh_num_in!J25)</f>
        <v>10401.059906462053</v>
      </c>
      <c r="K25" s="132">
        <f>IF(SER_hh_fec_in!K25=0,0,11630*1000*SER_hh_fec_in!K25/SER_hh_num_in!K25)</f>
        <v>10462.988625381371</v>
      </c>
      <c r="L25" s="132">
        <f>IF(SER_hh_fec_in!L25=0,0,11630*1000*SER_hh_fec_in!L25/SER_hh_num_in!L25)</f>
        <v>10141.875011269347</v>
      </c>
      <c r="M25" s="132">
        <f>IF(SER_hh_fec_in!M25=0,0,11630*1000*SER_hh_fec_in!M25/SER_hh_num_in!M25)</f>
        <v>10703.788663473559</v>
      </c>
      <c r="N25" s="132">
        <f>IF(SER_hh_fec_in!N25=0,0,11630*1000*SER_hh_fec_in!N25/SER_hh_num_in!N25)</f>
        <v>10557.313642885369</v>
      </c>
      <c r="O25" s="132">
        <f>IF(SER_hh_fec_in!O25=0,0,11630*1000*SER_hh_fec_in!O25/SER_hh_num_in!O25)</f>
        <v>10179.882932963928</v>
      </c>
      <c r="P25" s="132">
        <f>IF(SER_hh_fec_in!P25=0,0,11630*1000*SER_hh_fec_in!P25/SER_hh_num_in!P25)</f>
        <v>10602.124627839485</v>
      </c>
      <c r="Q25" s="132">
        <f>IF(SER_hh_fec_in!Q25=0,0,11630*1000*SER_hh_fec_in!Q25/SER_hh_num_in!Q25)</f>
        <v>10217.401971269472</v>
      </c>
      <c r="R25" s="132">
        <f>IF(SER_hh_fec_in!R25=0,0,11630*1000*SER_hh_fec_in!R25/SER_hh_num_in!R25)</f>
        <v>10268.31359726681</v>
      </c>
      <c r="S25" s="132">
        <f>IF(SER_hh_fec_in!S25=0,0,11630*1000*SER_hh_fec_in!S25/SER_hh_num_in!S25)</f>
        <v>10077.354731204443</v>
      </c>
      <c r="T25" s="132">
        <f>IF(SER_hh_fec_in!T25=0,0,11630*1000*SER_hh_fec_in!T25/SER_hh_num_in!T25)</f>
        <v>9658.233686243304</v>
      </c>
      <c r="U25" s="132">
        <f>IF(SER_hh_fec_in!U25=0,0,11630*1000*SER_hh_fec_in!U25/SER_hh_num_in!U25)</f>
        <v>9451.1724817996783</v>
      </c>
      <c r="V25" s="132">
        <f>IF(SER_hh_fec_in!V25=0,0,11630*1000*SER_hh_fec_in!V25/SER_hh_num_in!V25)</f>
        <v>7697.0508949177183</v>
      </c>
      <c r="W25" s="132">
        <f>IF(SER_hh_fec_in!W25=0,0,11630*1000*SER_hh_fec_in!W25/SER_hh_num_in!W25)</f>
        <v>8566.7715874526784</v>
      </c>
      <c r="X25" s="132">
        <f>IF(SER_hh_fec_in!X25=0,0,11630*1000*SER_hh_fec_in!X25/SER_hh_num_in!X25)</f>
        <v>9162.0928999025273</v>
      </c>
      <c r="Y25" s="132">
        <f>IF(SER_hh_fec_in!Y25=0,0,11630*1000*SER_hh_fec_in!Y25/SER_hh_num_in!Y25)</f>
        <v>8728.1460683709101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12101.870145065483</v>
      </c>
      <c r="D26" s="65">
        <f>IF(SER_hh_fec_in!D26=0,0,11630*1000*SER_hh_fec_in!D26/SER_hh_num_in!D26)</f>
        <v>11713.562574258511</v>
      </c>
      <c r="E26" s="65">
        <f>IF(SER_hh_fec_in!E26=0,0,11630*1000*SER_hh_fec_in!E26/SER_hh_num_in!E26)</f>
        <v>11847.37398333133</v>
      </c>
      <c r="F26" s="65">
        <f>IF(SER_hh_fec_in!F26=0,0,11630*1000*SER_hh_fec_in!F26/SER_hh_num_in!F26)</f>
        <v>11407.096693162885</v>
      </c>
      <c r="G26" s="65">
        <f>IF(SER_hh_fec_in!G26=0,0,11630*1000*SER_hh_fec_in!G26/SER_hh_num_in!G26)</f>
        <v>10809.781089671775</v>
      </c>
      <c r="H26" s="65">
        <f>IF(SER_hh_fec_in!H26=0,0,11630*1000*SER_hh_fec_in!H26/SER_hh_num_in!H26)</f>
        <v>11352.45486574345</v>
      </c>
      <c r="I26" s="65">
        <f>IF(SER_hh_fec_in!I26=0,0,11630*1000*SER_hh_fec_in!I26/SER_hh_num_in!I26)</f>
        <v>11443.609186848511</v>
      </c>
      <c r="J26" s="65">
        <f>IF(SER_hh_fec_in!J26=0,0,11630*1000*SER_hh_fec_in!J26/SER_hh_num_in!J26)</f>
        <v>10533.346618677746</v>
      </c>
      <c r="K26" s="65">
        <f>IF(SER_hh_fec_in!K26=0,0,11630*1000*SER_hh_fec_in!K26/SER_hh_num_in!K26)</f>
        <v>11982.185709113803</v>
      </c>
      <c r="L26" s="65">
        <f>IF(SER_hh_fec_in!L26=0,0,11630*1000*SER_hh_fec_in!L26/SER_hh_num_in!L26)</f>
        <v>6273.0479901185045</v>
      </c>
      <c r="M26" s="65">
        <f>IF(SER_hh_fec_in!M26=0,0,11630*1000*SER_hh_fec_in!M26/SER_hh_num_in!M26)</f>
        <v>8562.4207875516695</v>
      </c>
      <c r="N26" s="65">
        <f>IF(SER_hh_fec_in!N26=0,0,11630*1000*SER_hh_fec_in!N26/SER_hh_num_in!N26)</f>
        <v>8960.4861184123201</v>
      </c>
      <c r="O26" s="65">
        <f>IF(SER_hh_fec_in!O26=0,0,11630*1000*SER_hh_fec_in!O26/SER_hh_num_in!O26)</f>
        <v>6899.2801780085738</v>
      </c>
      <c r="P26" s="65">
        <f>IF(SER_hh_fec_in!P26=0,0,11630*1000*SER_hh_fec_in!P26/SER_hh_num_in!P26)</f>
        <v>11719.168752431315</v>
      </c>
      <c r="Q26" s="65">
        <f>IF(SER_hh_fec_in!Q26=0,0,11630*1000*SER_hh_fec_in!Q26/SER_hh_num_in!Q26)</f>
        <v>5964.2496980709066</v>
      </c>
      <c r="R26" s="65">
        <f>IF(SER_hh_fec_in!R26=0,0,11630*1000*SER_hh_fec_in!R26/SER_hh_num_in!R26)</f>
        <v>6054.2014365014293</v>
      </c>
      <c r="S26" s="65">
        <f>IF(SER_hh_fec_in!S26=0,0,11630*1000*SER_hh_fec_in!S26/SER_hh_num_in!S26)</f>
        <v>9865.356506258413</v>
      </c>
      <c r="T26" s="65">
        <f>IF(SER_hh_fec_in!T26=0,0,11630*1000*SER_hh_fec_in!T26/SER_hh_num_in!T26)</f>
        <v>5086.9867448011064</v>
      </c>
      <c r="U26" s="65">
        <f>IF(SER_hh_fec_in!U26=0,0,11630*1000*SER_hh_fec_in!U26/SER_hh_num_in!U26)</f>
        <v>5648.7729948649367</v>
      </c>
      <c r="V26" s="65">
        <f>IF(SER_hh_fec_in!V26=0,0,11630*1000*SER_hh_fec_in!V26/SER_hh_num_in!V26)</f>
        <v>0</v>
      </c>
      <c r="W26" s="65">
        <f>IF(SER_hh_fec_in!W26=0,0,11630*1000*SER_hh_fec_in!W26/SER_hh_num_in!W26)</f>
        <v>9246.6763289241917</v>
      </c>
      <c r="X26" s="65">
        <f>IF(SER_hh_fec_in!X26=0,0,11630*1000*SER_hh_fec_in!X26/SER_hh_num_in!X26)</f>
        <v>9513.2732216080622</v>
      </c>
      <c r="Y26" s="65">
        <f>IF(SER_hh_fec_in!Y26=0,0,11630*1000*SER_hh_fec_in!Y26/SER_hh_num_in!Y26)</f>
        <v>0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323.55288067865746</v>
      </c>
      <c r="D27" s="145">
        <f>IF(SER_hh_fec_in!D27=0,0,11630*1000*SER_hh_fec_in!D27/SER_hh_num_in!D19)</f>
        <v>402.07560698406695</v>
      </c>
      <c r="E27" s="145">
        <f>IF(SER_hh_fec_in!E27=0,0,11630*1000*SER_hh_fec_in!E27/SER_hh_num_in!E19)</f>
        <v>315.30269603682626</v>
      </c>
      <c r="F27" s="145">
        <f>IF(SER_hh_fec_in!F27=0,0,11630*1000*SER_hh_fec_in!F27/SER_hh_num_in!F19)</f>
        <v>454.06470619544478</v>
      </c>
      <c r="G27" s="145">
        <f>IF(SER_hh_fec_in!G27=0,0,11630*1000*SER_hh_fec_in!G27/SER_hh_num_in!G19)</f>
        <v>608.7498967957921</v>
      </c>
      <c r="H27" s="145">
        <f>IF(SER_hh_fec_in!H27=0,0,11630*1000*SER_hh_fec_in!H27/SER_hh_num_in!H19)</f>
        <v>529.97144631355445</v>
      </c>
      <c r="I27" s="145">
        <f>IF(SER_hh_fec_in!I27=0,0,11630*1000*SER_hh_fec_in!I27/SER_hh_num_in!I19)</f>
        <v>450.98727106960803</v>
      </c>
      <c r="J27" s="145">
        <f>IF(SER_hh_fec_in!J27=0,0,11630*1000*SER_hh_fec_in!J27/SER_hh_num_in!J19)</f>
        <v>562.18903783965675</v>
      </c>
      <c r="K27" s="145">
        <f>IF(SER_hh_fec_in!K27=0,0,11630*1000*SER_hh_fec_in!K27/SER_hh_num_in!K19)</f>
        <v>210.04550389813241</v>
      </c>
      <c r="L27" s="145">
        <f>IF(SER_hh_fec_in!L27=0,0,11630*1000*SER_hh_fec_in!L27/SER_hh_num_in!L19)</f>
        <v>1109.6572715685622</v>
      </c>
      <c r="M27" s="145">
        <f>IF(SER_hh_fec_in!M27=0,0,11630*1000*SER_hh_fec_in!M27/SER_hh_num_in!M19)</f>
        <v>992.796405930883</v>
      </c>
      <c r="N27" s="145">
        <f>IF(SER_hh_fec_in!N27=0,0,11630*1000*SER_hh_fec_in!N27/SER_hh_num_in!N19)</f>
        <v>948.67420926660998</v>
      </c>
      <c r="O27" s="145">
        <f>IF(SER_hh_fec_in!O27=0,0,11630*1000*SER_hh_fec_in!O27/SER_hh_num_in!O19)</f>
        <v>1344.7563990776355</v>
      </c>
      <c r="P27" s="145">
        <f>IF(SER_hh_fec_in!P27=0,0,11630*1000*SER_hh_fec_in!P27/SER_hh_num_in!P19)</f>
        <v>6.3986192782964856E-12</v>
      </c>
      <c r="Q27" s="145">
        <f>IF(SER_hh_fec_in!Q27=0,0,11630*1000*SER_hh_fec_in!Q27/SER_hh_num_in!Q19)</f>
        <v>586.95085472433232</v>
      </c>
      <c r="R27" s="145">
        <f>IF(SER_hh_fec_in!R27=0,0,11630*1000*SER_hh_fec_in!R27/SER_hh_num_in!R19)</f>
        <v>560.70728691261877</v>
      </c>
      <c r="S27" s="145">
        <f>IF(SER_hh_fec_in!S27=0,0,11630*1000*SER_hh_fec_in!S27/SER_hh_num_in!S19)</f>
        <v>176.34444687307428</v>
      </c>
      <c r="T27" s="145">
        <f>IF(SER_hh_fec_in!T27=0,0,11630*1000*SER_hh_fec_in!T27/SER_hh_num_in!T19)</f>
        <v>674.69606912312349</v>
      </c>
      <c r="U27" s="145">
        <f>IF(SER_hh_fec_in!U27=0,0,11630*1000*SER_hh_fec_in!U27/SER_hh_num_in!U19)</f>
        <v>657.15388727296795</v>
      </c>
      <c r="V27" s="145">
        <f>IF(SER_hh_fec_in!V27=0,0,11630*1000*SER_hh_fec_in!V27/SER_hh_num_in!V19)</f>
        <v>803.45727926220115</v>
      </c>
      <c r="W27" s="145">
        <f>IF(SER_hh_fec_in!W27=0,0,11630*1000*SER_hh_fec_in!W27/SER_hh_num_in!W19)</f>
        <v>0.13490795731150762</v>
      </c>
      <c r="X27" s="145">
        <f>IF(SER_hh_fec_in!X27=0,0,11630*1000*SER_hh_fec_in!X27/SER_hh_num_in!X19)</f>
        <v>4.17847055718838E-12</v>
      </c>
      <c r="Y27" s="145">
        <f>IF(SER_hh_fec_in!Y27=0,0,11630*1000*SER_hh_fec_in!Y27/SER_hh_num_in!Y19)</f>
        <v>838.90662592470107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4169.170826995819</v>
      </c>
      <c r="D28" s="146">
        <f>IF(SER_hh_fec_in!D27=0,0,11630*1000*SER_hh_fec_in!D27/SER_hh_num_in!D27)</f>
        <v>4058.1001052355477</v>
      </c>
      <c r="E28" s="146">
        <f>IF(SER_hh_fec_in!E27=0,0,11630*1000*SER_hh_fec_in!E27/SER_hh_num_in!E27)</f>
        <v>4120.7931674215843</v>
      </c>
      <c r="F28" s="146">
        <f>IF(SER_hh_fec_in!F27=0,0,11630*1000*SER_hh_fec_in!F27/SER_hh_num_in!F27)</f>
        <v>4099.2527851365039</v>
      </c>
      <c r="G28" s="146">
        <f>IF(SER_hh_fec_in!G27=0,0,11630*1000*SER_hh_fec_in!G27/SER_hh_num_in!G27)</f>
        <v>4021.470300292146</v>
      </c>
      <c r="H28" s="146">
        <f>IF(SER_hh_fec_in!H27=0,0,11630*1000*SER_hh_fec_in!H27/SER_hh_num_in!H27)</f>
        <v>4017.419298108226</v>
      </c>
      <c r="I28" s="146">
        <f>IF(SER_hh_fec_in!I27=0,0,11630*1000*SER_hh_fec_in!I27/SER_hh_num_in!I27)</f>
        <v>4076.08664093066</v>
      </c>
      <c r="J28" s="146">
        <f>IF(SER_hh_fec_in!J27=0,0,11630*1000*SER_hh_fec_in!J27/SER_hh_num_in!J27)</f>
        <v>4227.5210920196296</v>
      </c>
      <c r="K28" s="146">
        <f>IF(SER_hh_fec_in!K27=0,0,11630*1000*SER_hh_fec_in!K27/SER_hh_num_in!K27)</f>
        <v>4671.328019053286</v>
      </c>
      <c r="L28" s="146">
        <f>IF(SER_hh_fec_in!L27=0,0,11630*1000*SER_hh_fec_in!L27/SER_hh_num_in!L27)</f>
        <v>4005.6262152587451</v>
      </c>
      <c r="M28" s="146">
        <f>IF(SER_hh_fec_in!M27=0,0,11630*1000*SER_hh_fec_in!M27/SER_hh_num_in!M27)</f>
        <v>4093.9641025154388</v>
      </c>
      <c r="N28" s="146">
        <f>IF(SER_hh_fec_in!N27=0,0,11630*1000*SER_hh_fec_in!N27/SER_hh_num_in!N27)</f>
        <v>4268.4062250322359</v>
      </c>
      <c r="O28" s="146">
        <f>IF(SER_hh_fec_in!O27=0,0,11630*1000*SER_hh_fec_in!O27/SER_hh_num_in!O27)</f>
        <v>3975.5537061776395</v>
      </c>
      <c r="P28" s="146">
        <f>IF(SER_hh_fec_in!P27=0,0,11630*1000*SER_hh_fec_in!P27/SER_hh_num_in!P27)</f>
        <v>4251.4566033141627</v>
      </c>
      <c r="Q28" s="146">
        <f>IF(SER_hh_fec_in!Q27=0,0,11630*1000*SER_hh_fec_in!Q27/SER_hh_num_in!Q27)</f>
        <v>4075.8815067004284</v>
      </c>
      <c r="R28" s="146">
        <f>IF(SER_hh_fec_in!R27=0,0,11630*1000*SER_hh_fec_in!R27/SER_hh_num_in!R27)</f>
        <v>4084.6167972955304</v>
      </c>
      <c r="S28" s="146">
        <f>IF(SER_hh_fec_in!S27=0,0,11630*1000*SER_hh_fec_in!S27/SER_hh_num_in!S27)</f>
        <v>4408.4073148017587</v>
      </c>
      <c r="T28" s="146">
        <f>IF(SER_hh_fec_in!T27=0,0,11630*1000*SER_hh_fec_in!T27/SER_hh_num_in!T27)</f>
        <v>4236.3781329332478</v>
      </c>
      <c r="U28" s="146">
        <f>IF(SER_hh_fec_in!U27=0,0,11630*1000*SER_hh_fec_in!U27/SER_hh_num_in!U27)</f>
        <v>4106.7997514768431</v>
      </c>
      <c r="V28" s="146">
        <f>IF(SER_hh_fec_in!V27=0,0,11630*1000*SER_hh_fec_in!V27/SER_hh_num_in!V27)</f>
        <v>3419.4021838806084</v>
      </c>
      <c r="W28" s="146">
        <f>IF(SER_hh_fec_in!W27=0,0,11630*1000*SER_hh_fec_in!W27/SER_hh_num_in!W27)</f>
        <v>3796.5601450424879</v>
      </c>
      <c r="X28" s="146">
        <f>IF(SER_hh_fec_in!X27=0,0,11630*1000*SER_hh_fec_in!X27/SER_hh_num_in!X27)</f>
        <v>5682.2084703012633</v>
      </c>
      <c r="Y28" s="146">
        <f>IF(SER_hh_fec_in!Y27=0,0,11630*1000*SER_hh_fec_in!Y27/SER_hh_num_in!Y27)</f>
        <v>4501.4210965309821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11624.304107575164</v>
      </c>
      <c r="D29" s="130">
        <f>IF(SER_hh_fec_in!D29=0,0,11630*1000*SER_hh_fec_in!D29/SER_hh_num_in!D29)</f>
        <v>11721.419692596872</v>
      </c>
      <c r="E29" s="130">
        <f>IF(SER_hh_fec_in!E29=0,0,11630*1000*SER_hh_fec_in!E29/SER_hh_num_in!E29)</f>
        <v>12115.456906235144</v>
      </c>
      <c r="F29" s="130">
        <f>IF(SER_hh_fec_in!F29=0,0,11630*1000*SER_hh_fec_in!F29/SER_hh_num_in!F29)</f>
        <v>12323.594256731591</v>
      </c>
      <c r="G29" s="130">
        <f>IF(SER_hh_fec_in!G29=0,0,11630*1000*SER_hh_fec_in!G29/SER_hh_num_in!G29)</f>
        <v>12465.07833462228</v>
      </c>
      <c r="H29" s="130">
        <f>IF(SER_hh_fec_in!H29=0,0,11630*1000*SER_hh_fec_in!H29/SER_hh_num_in!H29)</f>
        <v>12389.628521213559</v>
      </c>
      <c r="I29" s="130">
        <f>IF(SER_hh_fec_in!I29=0,0,11630*1000*SER_hh_fec_in!I29/SER_hh_num_in!I29)</f>
        <v>12115.915017220721</v>
      </c>
      <c r="J29" s="130">
        <f>IF(SER_hh_fec_in!J29=0,0,11630*1000*SER_hh_fec_in!J29/SER_hh_num_in!J29)</f>
        <v>12233.6754670683</v>
      </c>
      <c r="K29" s="130">
        <f>IF(SER_hh_fec_in!K29=0,0,11630*1000*SER_hh_fec_in!K29/SER_hh_num_in!K29)</f>
        <v>12183.533625844684</v>
      </c>
      <c r="L29" s="130">
        <f>IF(SER_hh_fec_in!L29=0,0,11630*1000*SER_hh_fec_in!L29/SER_hh_num_in!L29)</f>
        <v>12135.233275601369</v>
      </c>
      <c r="M29" s="130">
        <f>IF(SER_hh_fec_in!M29=0,0,11630*1000*SER_hh_fec_in!M29/SER_hh_num_in!M29)</f>
        <v>12109.560498073584</v>
      </c>
      <c r="N29" s="130">
        <f>IF(SER_hh_fec_in!N29=0,0,11630*1000*SER_hh_fec_in!N29/SER_hh_num_in!N29)</f>
        <v>12158.849081252831</v>
      </c>
      <c r="O29" s="130">
        <f>IF(SER_hh_fec_in!O29=0,0,11630*1000*SER_hh_fec_in!O29/SER_hh_num_in!O29)</f>
        <v>12310.213284008927</v>
      </c>
      <c r="P29" s="130">
        <f>IF(SER_hh_fec_in!P29=0,0,11630*1000*SER_hh_fec_in!P29/SER_hh_num_in!P29)</f>
        <v>11972.188836959742</v>
      </c>
      <c r="Q29" s="130">
        <f>IF(SER_hh_fec_in!Q29=0,0,11630*1000*SER_hh_fec_in!Q29/SER_hh_num_in!Q29)</f>
        <v>12414.930016695838</v>
      </c>
      <c r="R29" s="130">
        <f>IF(SER_hh_fec_in!R29=0,0,11630*1000*SER_hh_fec_in!R29/SER_hh_num_in!R29)</f>
        <v>12108.640454497403</v>
      </c>
      <c r="S29" s="130">
        <f>IF(SER_hh_fec_in!S29=0,0,11630*1000*SER_hh_fec_in!S29/SER_hh_num_in!S29)</f>
        <v>11849.625352996398</v>
      </c>
      <c r="T29" s="130">
        <f>IF(SER_hh_fec_in!T29=0,0,11630*1000*SER_hh_fec_in!T29/SER_hh_num_in!T29)</f>
        <v>11341.792849851634</v>
      </c>
      <c r="U29" s="130">
        <f>IF(SER_hh_fec_in!U29=0,0,11630*1000*SER_hh_fec_in!U29/SER_hh_num_in!U29)</f>
        <v>11231.870715221274</v>
      </c>
      <c r="V29" s="130">
        <f>IF(SER_hh_fec_in!V29=0,0,11630*1000*SER_hh_fec_in!V29/SER_hh_num_in!V29)</f>
        <v>8779.7133697957615</v>
      </c>
      <c r="W29" s="130">
        <f>IF(SER_hh_fec_in!W29=0,0,11630*1000*SER_hh_fec_in!W29/SER_hh_num_in!W29)</f>
        <v>9731.525954162822</v>
      </c>
      <c r="X29" s="130">
        <f>IF(SER_hh_fec_in!X29=0,0,11630*1000*SER_hh_fec_in!X29/SER_hh_num_in!X29)</f>
        <v>9765.2193345116375</v>
      </c>
      <c r="Y29" s="130">
        <f>IF(SER_hh_fec_in!Y29=0,0,11630*1000*SER_hh_fec_in!Y29/SER_hh_num_in!Y29)</f>
        <v>10090.741478340527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14709.341175961685</v>
      </c>
      <c r="D30" s="132">
        <f>IF(SER_hh_fec_in!D30=0,0,11630*1000*SER_hh_fec_in!D30/SER_hh_num_in!D30)</f>
        <v>13144.216470423404</v>
      </c>
      <c r="E30" s="132">
        <f>IF(SER_hh_fec_in!E30=0,0,11630*1000*SER_hh_fec_in!E30/SER_hh_num_in!E30)</f>
        <v>14727.188467556649</v>
      </c>
      <c r="F30" s="132">
        <f>IF(SER_hh_fec_in!F30=0,0,11630*1000*SER_hh_fec_in!F30/SER_hh_num_in!F30)</f>
        <v>15556.06169911349</v>
      </c>
      <c r="G30" s="132">
        <f>IF(SER_hh_fec_in!G30=0,0,11630*1000*SER_hh_fec_in!G30/SER_hh_num_in!G30)</f>
        <v>16398.118794144499</v>
      </c>
      <c r="H30" s="132">
        <f>IF(SER_hh_fec_in!H30=0,0,11630*1000*SER_hh_fec_in!H30/SER_hh_num_in!H30)</f>
        <v>15613.468497586939</v>
      </c>
      <c r="I30" s="132">
        <f>IF(SER_hh_fec_in!I30=0,0,11630*1000*SER_hh_fec_in!I30/SER_hh_num_in!I30)</f>
        <v>15327.733636844281</v>
      </c>
      <c r="J30" s="132">
        <f>IF(SER_hh_fec_in!J30=0,0,11630*1000*SER_hh_fec_in!J30/SER_hh_num_in!J30)</f>
        <v>14846.148099641603</v>
      </c>
      <c r="K30" s="132">
        <f>IF(SER_hh_fec_in!K30=0,0,11630*1000*SER_hh_fec_in!K30/SER_hh_num_in!K30)</f>
        <v>14183.196648394131</v>
      </c>
      <c r="L30" s="132">
        <f>IF(SER_hh_fec_in!L30=0,0,11630*1000*SER_hh_fec_in!L30/SER_hh_num_in!L30)</f>
        <v>17619.144004684982</v>
      </c>
      <c r="M30" s="132">
        <f>IF(SER_hh_fec_in!M30=0,0,11630*1000*SER_hh_fec_in!M30/SER_hh_num_in!M30)</f>
        <v>15766.327381908513</v>
      </c>
      <c r="N30" s="132">
        <f>IF(SER_hh_fec_in!N30=0,0,11630*1000*SER_hh_fec_in!N30/SER_hh_num_in!N30)</f>
        <v>14642.823017156412</v>
      </c>
      <c r="O30" s="132">
        <f>IF(SER_hh_fec_in!O30=0,0,11630*1000*SER_hh_fec_in!O30/SER_hh_num_in!O30)</f>
        <v>17266.632677297152</v>
      </c>
      <c r="P30" s="132">
        <f>IF(SER_hh_fec_in!P30=0,0,11630*1000*SER_hh_fec_in!P30/SER_hh_num_in!P30)</f>
        <v>9192.0826878905264</v>
      </c>
      <c r="Q30" s="132">
        <f>IF(SER_hh_fec_in!Q30=0,0,11630*1000*SER_hh_fec_in!Q30/SER_hh_num_in!Q30)</f>
        <v>17162.700214081484</v>
      </c>
      <c r="R30" s="132">
        <f>IF(SER_hh_fec_in!R30=0,0,11630*1000*SER_hh_fec_in!R30/SER_hh_num_in!R30)</f>
        <v>16331.552998104509</v>
      </c>
      <c r="S30" s="132">
        <f>IF(SER_hh_fec_in!S30=0,0,11630*1000*SER_hh_fec_in!S30/SER_hh_num_in!S30)</f>
        <v>15022.917652201371</v>
      </c>
      <c r="T30" s="132">
        <f>IF(SER_hh_fec_in!T30=0,0,11630*1000*SER_hh_fec_in!T30/SER_hh_num_in!T30)</f>
        <v>14813.005697541008</v>
      </c>
      <c r="U30" s="132">
        <f>IF(SER_hh_fec_in!U30=0,0,11630*1000*SER_hh_fec_in!U30/SER_hh_num_in!U30)</f>
        <v>14136.560789294319</v>
      </c>
      <c r="V30" s="132">
        <f>IF(SER_hh_fec_in!V30=0,0,11630*1000*SER_hh_fec_in!V30/SER_hh_num_in!V30)</f>
        <v>11443.072275196513</v>
      </c>
      <c r="W30" s="132">
        <f>IF(SER_hh_fec_in!W30=0,0,11630*1000*SER_hh_fec_in!W30/SER_hh_num_in!W30)</f>
        <v>11483.933676909013</v>
      </c>
      <c r="X30" s="132">
        <f>IF(SER_hh_fec_in!X30=0,0,11630*1000*SER_hh_fec_in!X30/SER_hh_num_in!X30)</f>
        <v>11638.585658803297</v>
      </c>
      <c r="Y30" s="132">
        <f>IF(SER_hh_fec_in!Y30=0,0,11630*1000*SER_hh_fec_in!Y30/SER_hh_num_in!Y30)</f>
        <v>10815.578585618547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14485.734187945171</v>
      </c>
      <c r="D31" s="132">
        <f>IF(SER_hh_fec_in!D31=0,0,11630*1000*SER_hh_fec_in!D31/SER_hh_num_in!D31)</f>
        <v>14614.472089458368</v>
      </c>
      <c r="E31" s="132">
        <f>IF(SER_hh_fec_in!E31=0,0,11630*1000*SER_hh_fec_in!E31/SER_hh_num_in!E31)</f>
        <v>14825.27299734344</v>
      </c>
      <c r="F31" s="132">
        <f>IF(SER_hh_fec_in!F31=0,0,11630*1000*SER_hh_fec_in!F31/SER_hh_num_in!F31)</f>
        <v>14670.655112053259</v>
      </c>
      <c r="G31" s="132">
        <f>IF(SER_hh_fec_in!G31=0,0,11630*1000*SER_hh_fec_in!G31/SER_hh_num_in!G31)</f>
        <v>15392.237583265345</v>
      </c>
      <c r="H31" s="132">
        <f>IF(SER_hh_fec_in!H31=0,0,11630*1000*SER_hh_fec_in!H31/SER_hh_num_in!H31)</f>
        <v>15351.987834970239</v>
      </c>
      <c r="I31" s="132">
        <f>IF(SER_hh_fec_in!I31=0,0,11630*1000*SER_hh_fec_in!I31/SER_hh_num_in!I31)</f>
        <v>15153.059819265582</v>
      </c>
      <c r="J31" s="132">
        <f>IF(SER_hh_fec_in!J31=0,0,11630*1000*SER_hh_fec_in!J31/SER_hh_num_in!J31)</f>
        <v>15119.770360669669</v>
      </c>
      <c r="K31" s="132">
        <f>IF(SER_hh_fec_in!K31=0,0,11630*1000*SER_hh_fec_in!K31/SER_hh_num_in!K31)</f>
        <v>15330.080885970056</v>
      </c>
      <c r="L31" s="132">
        <f>IF(SER_hh_fec_in!L31=0,0,11630*1000*SER_hh_fec_in!L31/SER_hh_num_in!L31)</f>
        <v>15388.828829867187</v>
      </c>
      <c r="M31" s="132">
        <f>IF(SER_hh_fec_in!M31=0,0,11630*1000*SER_hh_fec_in!M31/SER_hh_num_in!M31)</f>
        <v>15345.209743141995</v>
      </c>
      <c r="N31" s="132">
        <f>IF(SER_hh_fec_in!N31=0,0,11630*1000*SER_hh_fec_in!N31/SER_hh_num_in!N31)</f>
        <v>15471.620099263877</v>
      </c>
      <c r="O31" s="132">
        <f>IF(SER_hh_fec_in!O31=0,0,11630*1000*SER_hh_fec_in!O31/SER_hh_num_in!O31)</f>
        <v>15314.700783550428</v>
      </c>
      <c r="P31" s="132">
        <f>IF(SER_hh_fec_in!P31=0,0,11630*1000*SER_hh_fec_in!P31/SER_hh_num_in!P31)</f>
        <v>14544.330676577296</v>
      </c>
      <c r="Q31" s="132">
        <f>IF(SER_hh_fec_in!Q31=0,0,11630*1000*SER_hh_fec_in!Q31/SER_hh_num_in!Q31)</f>
        <v>15926.701095410926</v>
      </c>
      <c r="R31" s="132">
        <f>IF(SER_hh_fec_in!R31=0,0,11630*1000*SER_hh_fec_in!R31/SER_hh_num_in!R31)</f>
        <v>15457.54593994013</v>
      </c>
      <c r="S31" s="132">
        <f>IF(SER_hh_fec_in!S31=0,0,11630*1000*SER_hh_fec_in!S31/SER_hh_num_in!S31)</f>
        <v>13939.291563764278</v>
      </c>
      <c r="T31" s="132">
        <f>IF(SER_hh_fec_in!T31=0,0,11630*1000*SER_hh_fec_in!T31/SER_hh_num_in!T31)</f>
        <v>14603.430138298561</v>
      </c>
      <c r="U31" s="132">
        <f>IF(SER_hh_fec_in!U31=0,0,11630*1000*SER_hh_fec_in!U31/SER_hh_num_in!U31)</f>
        <v>15635.074348721868</v>
      </c>
      <c r="V31" s="132">
        <f>IF(SER_hh_fec_in!V31=0,0,11630*1000*SER_hh_fec_in!V31/SER_hh_num_in!V31)</f>
        <v>9116.125868045192</v>
      </c>
      <c r="W31" s="132">
        <f>IF(SER_hh_fec_in!W31=0,0,11630*1000*SER_hh_fec_in!W31/SER_hh_num_in!W31)</f>
        <v>11880.790194074258</v>
      </c>
      <c r="X31" s="132">
        <f>IF(SER_hh_fec_in!X31=0,0,11630*1000*SER_hh_fec_in!X31/SER_hh_num_in!X31)</f>
        <v>10521.131852221719</v>
      </c>
      <c r="Y31" s="132">
        <f>IF(SER_hh_fec_in!Y31=0,0,11630*1000*SER_hh_fec_in!Y31/SER_hh_num_in!Y31)</f>
        <v>11306.221293377954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11052.695943273389</v>
      </c>
      <c r="D33" s="68">
        <f>IF(SER_hh_fec_in!D33=0,0,11630*1000*SER_hh_fec_in!D33/SER_hh_num_in!D33)</f>
        <v>11120.692903888847</v>
      </c>
      <c r="E33" s="68">
        <f>IF(SER_hh_fec_in!E33=0,0,11630*1000*SER_hh_fec_in!E33/SER_hh_num_in!E33)</f>
        <v>11374.017410528448</v>
      </c>
      <c r="F33" s="68">
        <f>IF(SER_hh_fec_in!F33=0,0,11630*1000*SER_hh_fec_in!F33/SER_hh_num_in!F33)</f>
        <v>11530.686220288688</v>
      </c>
      <c r="G33" s="68">
        <f>IF(SER_hh_fec_in!G33=0,0,11630*1000*SER_hh_fec_in!G33/SER_hh_num_in!G33)</f>
        <v>11370.118214850027</v>
      </c>
      <c r="H33" s="68">
        <f>IF(SER_hh_fec_in!H33=0,0,11630*1000*SER_hh_fec_in!H33/SER_hh_num_in!H33)</f>
        <v>11556.619459604965</v>
      </c>
      <c r="I33" s="68">
        <f>IF(SER_hh_fec_in!I33=0,0,11630*1000*SER_hh_fec_in!I33/SER_hh_num_in!I33)</f>
        <v>11410.891540456207</v>
      </c>
      <c r="J33" s="68">
        <f>IF(SER_hh_fec_in!J33=0,0,11630*1000*SER_hh_fec_in!J33/SER_hh_num_in!J33)</f>
        <v>11521.662327226653</v>
      </c>
      <c r="K33" s="68">
        <f>IF(SER_hh_fec_in!K33=0,0,11630*1000*SER_hh_fec_in!K33/SER_hh_num_in!K33)</f>
        <v>11496.253651918525</v>
      </c>
      <c r="L33" s="68">
        <f>IF(SER_hh_fec_in!L33=0,0,11630*1000*SER_hh_fec_in!L33/SER_hh_num_in!L33)</f>
        <v>11289.634913227594</v>
      </c>
      <c r="M33" s="68">
        <f>IF(SER_hh_fec_in!M33=0,0,11630*1000*SER_hh_fec_in!M33/SER_hh_num_in!M33)</f>
        <v>11621.647661883795</v>
      </c>
      <c r="N33" s="68">
        <f>IF(SER_hh_fec_in!N33=0,0,11630*1000*SER_hh_fec_in!N33/SER_hh_num_in!N33)</f>
        <v>11688.714322727974</v>
      </c>
      <c r="O33" s="68">
        <f>IF(SER_hh_fec_in!O33=0,0,11630*1000*SER_hh_fec_in!O33/SER_hh_num_in!O33)</f>
        <v>11526.013605349772</v>
      </c>
      <c r="P33" s="68">
        <f>IF(SER_hh_fec_in!P33=0,0,11630*1000*SER_hh_fec_in!P33/SER_hh_num_in!P33)</f>
        <v>11596.169964338074</v>
      </c>
      <c r="Q33" s="68">
        <f>IF(SER_hh_fec_in!Q33=0,0,11630*1000*SER_hh_fec_in!Q33/SER_hh_num_in!Q33)</f>
        <v>10822.816759560486</v>
      </c>
      <c r="R33" s="68">
        <f>IF(SER_hh_fec_in!R33=0,0,11630*1000*SER_hh_fec_in!R33/SER_hh_num_in!R33)</f>
        <v>10906.914663957561</v>
      </c>
      <c r="S33" s="68">
        <f>IF(SER_hh_fec_in!S33=0,0,11630*1000*SER_hh_fec_in!S33/SER_hh_num_in!S33)</f>
        <v>11124.245942566477</v>
      </c>
      <c r="T33" s="68">
        <f>IF(SER_hh_fec_in!T33=0,0,11630*1000*SER_hh_fec_in!T33/SER_hh_num_in!T33)</f>
        <v>10346.901061352441</v>
      </c>
      <c r="U33" s="68">
        <f>IF(SER_hh_fec_in!U33=0,0,11630*1000*SER_hh_fec_in!U33/SER_hh_num_in!U33)</f>
        <v>9842.5124589055285</v>
      </c>
      <c r="V33" s="68">
        <f>IF(SER_hh_fec_in!V33=0,0,11630*1000*SER_hh_fec_in!V33/SER_hh_num_in!V33)</f>
        <v>8497.2107237985947</v>
      </c>
      <c r="W33" s="68">
        <f>IF(SER_hh_fec_in!W33=0,0,11630*1000*SER_hh_fec_in!W33/SER_hh_num_in!W33)</f>
        <v>8570.9277323599363</v>
      </c>
      <c r="X33" s="68">
        <f>IF(SER_hh_fec_in!X33=0,0,11630*1000*SER_hh_fec_in!X33/SER_hh_num_in!X33)</f>
        <v>8670.6886787069034</v>
      </c>
      <c r="Y33" s="68">
        <f>IF(SER_hh_fec_in!Y33=0,0,11630*1000*SER_hh_fec_in!Y33/SER_hh_num_in!Y33)</f>
        <v>6436.5787181198957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118419.49609058158</v>
      </c>
      <c r="D3" s="125">
        <f>IF(SER_hh_tes_in!D3=0,0,11630*1000*SER_hh_tes_in!D3/SER_hh_num_in!D3)</f>
        <v>115447.60834340291</v>
      </c>
      <c r="E3" s="125">
        <f>IF(SER_hh_tes_in!E3=0,0,11630*1000*SER_hh_tes_in!E3/SER_hh_num_in!E3)</f>
        <v>116102.8043709418</v>
      </c>
      <c r="F3" s="125">
        <f>IF(SER_hh_tes_in!F3=0,0,11630*1000*SER_hh_tes_in!F3/SER_hh_num_in!F3)</f>
        <v>112992.00597283564</v>
      </c>
      <c r="G3" s="125">
        <f>IF(SER_hh_tes_in!G3=0,0,11630*1000*SER_hh_tes_in!G3/SER_hh_num_in!G3)</f>
        <v>109632.85455458406</v>
      </c>
      <c r="H3" s="125">
        <f>IF(SER_hh_tes_in!H3=0,0,11630*1000*SER_hh_tes_in!H3/SER_hh_num_in!H3)</f>
        <v>108163.38499812382</v>
      </c>
      <c r="I3" s="125">
        <f>IF(SER_hh_tes_in!I3=0,0,11630*1000*SER_hh_tes_in!I3/SER_hh_num_in!I3)</f>
        <v>105246.71372315042</v>
      </c>
      <c r="J3" s="125">
        <f>IF(SER_hh_tes_in!J3=0,0,11630*1000*SER_hh_tes_in!J3/SER_hh_num_in!J3)</f>
        <v>102615.062042918</v>
      </c>
      <c r="K3" s="125">
        <f>IF(SER_hh_tes_in!K3=0,0,11630*1000*SER_hh_tes_in!K3/SER_hh_num_in!K3)</f>
        <v>99134.691807755371</v>
      </c>
      <c r="L3" s="125">
        <f>IF(SER_hh_tes_in!L3=0,0,11630*1000*SER_hh_tes_in!L3/SER_hh_num_in!L3)</f>
        <v>104132.49154658346</v>
      </c>
      <c r="M3" s="125">
        <f>IF(SER_hh_tes_in!M3=0,0,11630*1000*SER_hh_tes_in!M3/SER_hh_num_in!M3)</f>
        <v>92910.317184064377</v>
      </c>
      <c r="N3" s="125">
        <f>IF(SER_hh_tes_in!N3=0,0,11630*1000*SER_hh_tes_in!N3/SER_hh_num_in!N3)</f>
        <v>92457.637264241785</v>
      </c>
      <c r="O3" s="125">
        <f>IF(SER_hh_tes_in!O3=0,0,11630*1000*SER_hh_tes_in!O3/SER_hh_num_in!O3)</f>
        <v>89871.025137837118</v>
      </c>
      <c r="P3" s="125">
        <f>IF(SER_hh_tes_in!P3=0,0,11630*1000*SER_hh_tes_in!P3/SER_hh_num_in!P3)</f>
        <v>81765.130843943596</v>
      </c>
      <c r="Q3" s="125">
        <f>IF(SER_hh_tes_in!Q3=0,0,11630*1000*SER_hh_tes_in!Q3/SER_hh_num_in!Q3)</f>
        <v>83222.661189687075</v>
      </c>
      <c r="R3" s="125">
        <f>IF(SER_hh_tes_in!R3=0,0,11630*1000*SER_hh_tes_in!R3/SER_hh_num_in!R3)</f>
        <v>82752.379596662591</v>
      </c>
      <c r="S3" s="125">
        <f>IF(SER_hh_tes_in!S3=0,0,11630*1000*SER_hh_tes_in!S3/SER_hh_num_in!S3)</f>
        <v>81650.669454276867</v>
      </c>
      <c r="T3" s="125">
        <f>IF(SER_hh_tes_in!T3=0,0,11630*1000*SER_hh_tes_in!T3/SER_hh_num_in!T3)</f>
        <v>77001.485248504949</v>
      </c>
      <c r="U3" s="125">
        <f>IF(SER_hh_tes_in!U3=0,0,11630*1000*SER_hh_tes_in!U3/SER_hh_num_in!U3)</f>
        <v>72001.383015506974</v>
      </c>
      <c r="V3" s="125">
        <f>IF(SER_hh_tes_in!V3=0,0,11630*1000*SER_hh_tes_in!V3/SER_hh_num_in!V3)</f>
        <v>65558.520479697152</v>
      </c>
      <c r="W3" s="125">
        <f>IF(SER_hh_tes_in!W3=0,0,11630*1000*SER_hh_tes_in!W3/SER_hh_num_in!W3)</f>
        <v>67964.80903565661</v>
      </c>
      <c r="X3" s="125">
        <f>IF(SER_hh_tes_in!X3=0,0,11630*1000*SER_hh_tes_in!X3/SER_hh_num_in!X3)</f>
        <v>64754.534151441796</v>
      </c>
      <c r="Y3" s="125">
        <f>IF(SER_hh_tes_in!Y3=0,0,11630*1000*SER_hh_tes_in!Y3/SER_hh_num_in!Y3)</f>
        <v>64209.813679087034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77491.067840792588</v>
      </c>
      <c r="D4" s="130">
        <f>IF(SER_hh_tes_in!D4=0,0,11630*1000*SER_hh_tes_in!D4/SER_hh_num_in!D4)</f>
        <v>74752.328047152609</v>
      </c>
      <c r="E4" s="130">
        <f>IF(SER_hh_tes_in!E4=0,0,11630*1000*SER_hh_tes_in!E4/SER_hh_num_in!E4)</f>
        <v>75329.959344036615</v>
      </c>
      <c r="F4" s="130">
        <f>IF(SER_hh_tes_in!F4=0,0,11630*1000*SER_hh_tes_in!F4/SER_hh_num_in!F4)</f>
        <v>72358.448261297221</v>
      </c>
      <c r="G4" s="130">
        <f>IF(SER_hh_tes_in!G4=0,0,11630*1000*SER_hh_tes_in!G4/SER_hh_num_in!G4)</f>
        <v>69101.942916386179</v>
      </c>
      <c r="H4" s="130">
        <f>IF(SER_hh_tes_in!H4=0,0,11630*1000*SER_hh_tes_in!H4/SER_hh_num_in!H4)</f>
        <v>67648.261452396313</v>
      </c>
      <c r="I4" s="130">
        <f>IF(SER_hh_tes_in!I4=0,0,11630*1000*SER_hh_tes_in!I4/SER_hh_num_in!I4)</f>
        <v>65006.630408323996</v>
      </c>
      <c r="J4" s="130">
        <f>IF(SER_hh_tes_in!J4=0,0,11630*1000*SER_hh_tes_in!J4/SER_hh_num_in!J4)</f>
        <v>62537.513568988274</v>
      </c>
      <c r="K4" s="130">
        <f>IF(SER_hh_tes_in!K4=0,0,11630*1000*SER_hh_tes_in!K4/SER_hh_num_in!K4)</f>
        <v>59229.626823839251</v>
      </c>
      <c r="L4" s="130">
        <f>IF(SER_hh_tes_in!L4=0,0,11630*1000*SER_hh_tes_in!L4/SER_hh_num_in!L4)</f>
        <v>64333.985305166912</v>
      </c>
      <c r="M4" s="130">
        <f>IF(SER_hh_tes_in!M4=0,0,11630*1000*SER_hh_tes_in!M4/SER_hh_num_in!M4)</f>
        <v>53209.920569988943</v>
      </c>
      <c r="N4" s="130">
        <f>IF(SER_hh_tes_in!N4=0,0,11630*1000*SER_hh_tes_in!N4/SER_hh_num_in!N4)</f>
        <v>52956.514171231116</v>
      </c>
      <c r="O4" s="130">
        <f>IF(SER_hh_tes_in!O4=0,0,11630*1000*SER_hh_tes_in!O4/SER_hh_num_in!O4)</f>
        <v>50782.707322636539</v>
      </c>
      <c r="P4" s="130">
        <f>IF(SER_hh_tes_in!P4=0,0,11630*1000*SER_hh_tes_in!P4/SER_hh_num_in!P4)</f>
        <v>43179.30058938529</v>
      </c>
      <c r="Q4" s="130">
        <f>IF(SER_hh_tes_in!Q4=0,0,11630*1000*SER_hh_tes_in!Q4/SER_hh_num_in!Q4)</f>
        <v>44821.716491152001</v>
      </c>
      <c r="R4" s="130">
        <f>IF(SER_hh_tes_in!R4=0,0,11630*1000*SER_hh_tes_in!R4/SER_hh_num_in!R4)</f>
        <v>44588.584679268148</v>
      </c>
      <c r="S4" s="130">
        <f>IF(SER_hh_tes_in!S4=0,0,11630*1000*SER_hh_tes_in!S4/SER_hh_num_in!S4)</f>
        <v>43799.390866676098</v>
      </c>
      <c r="T4" s="130">
        <f>IF(SER_hh_tes_in!T4=0,0,11630*1000*SER_hh_tes_in!T4/SER_hh_num_in!T4)</f>
        <v>39237.049603140964</v>
      </c>
      <c r="U4" s="130">
        <f>IF(SER_hh_tes_in!U4=0,0,11630*1000*SER_hh_tes_in!U4/SER_hh_num_in!U4)</f>
        <v>35695.909821405759</v>
      </c>
      <c r="V4" s="130">
        <f>IF(SER_hh_tes_in!V4=0,0,11630*1000*SER_hh_tes_in!V4/SER_hh_num_in!V4)</f>
        <v>33695.699208481841</v>
      </c>
      <c r="W4" s="130">
        <f>IF(SER_hh_tes_in!W4=0,0,11630*1000*SER_hh_tes_in!W4/SER_hh_num_in!W4)</f>
        <v>36114.291105593591</v>
      </c>
      <c r="X4" s="130">
        <f>IF(SER_hh_tes_in!X4=0,0,11630*1000*SER_hh_tes_in!X4/SER_hh_num_in!X4)</f>
        <v>32308.856832285441</v>
      </c>
      <c r="Y4" s="130">
        <f>IF(SER_hh_tes_in!Y4=0,0,11630*1000*SER_hh_tes_in!Y4/SER_hh_num_in!Y4)</f>
        <v>32200.427994804882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74511.018159276631</v>
      </c>
      <c r="D7" s="132">
        <f>IF(SER_hh_tes_in!D7=0,0,11630*1000*SER_hh_tes_in!D7/SER_hh_num_in!D7)</f>
        <v>71068.446365139855</v>
      </c>
      <c r="E7" s="132">
        <f>IF(SER_hh_tes_in!E7=0,0,11630*1000*SER_hh_tes_in!E7/SER_hh_num_in!E7)</f>
        <v>72162.317623853189</v>
      </c>
      <c r="F7" s="132">
        <f>IF(SER_hh_tes_in!F7=0,0,11630*1000*SER_hh_tes_in!F7/SER_hh_num_in!F7)</f>
        <v>75758.408537655429</v>
      </c>
      <c r="G7" s="132">
        <f>IF(SER_hh_tes_in!G7=0,0,11630*1000*SER_hh_tes_in!G7/SER_hh_num_in!G7)</f>
        <v>70176.642892280855</v>
      </c>
      <c r="H7" s="132">
        <f>IF(SER_hh_tes_in!H7=0,0,11630*1000*SER_hh_tes_in!H7/SER_hh_num_in!H7)</f>
        <v>63390.652038715525</v>
      </c>
      <c r="I7" s="132">
        <f>IF(SER_hh_tes_in!I7=0,0,11630*1000*SER_hh_tes_in!I7/SER_hh_num_in!I7)</f>
        <v>59477.687452394741</v>
      </c>
      <c r="J7" s="132">
        <f>IF(SER_hh_tes_in!J7=0,0,11630*1000*SER_hh_tes_in!J7/SER_hh_num_in!J7)</f>
        <v>62609.691082083322</v>
      </c>
      <c r="K7" s="132">
        <f>IF(SER_hh_tes_in!K7=0,0,11630*1000*SER_hh_tes_in!K7/SER_hh_num_in!K7)</f>
        <v>59975.946506999906</v>
      </c>
      <c r="L7" s="132">
        <f>IF(SER_hh_tes_in!L7=0,0,11630*1000*SER_hh_tes_in!L7/SER_hh_num_in!L7)</f>
        <v>59948.20527569775</v>
      </c>
      <c r="M7" s="132">
        <f>IF(SER_hh_tes_in!M7=0,0,11630*1000*SER_hh_tes_in!M7/SER_hh_num_in!M7)</f>
        <v>47171.853802169688</v>
      </c>
      <c r="N7" s="132">
        <f>IF(SER_hh_tes_in!N7=0,0,11630*1000*SER_hh_tes_in!N7/SER_hh_num_in!N7)</f>
        <v>55385.53888418946</v>
      </c>
      <c r="O7" s="132">
        <f>IF(SER_hh_tes_in!O7=0,0,11630*1000*SER_hh_tes_in!O7/SER_hh_num_in!O7)</f>
        <v>49744.833888987981</v>
      </c>
      <c r="P7" s="132">
        <f>IF(SER_hh_tes_in!P7=0,0,11630*1000*SER_hh_tes_in!P7/SER_hh_num_in!P7)</f>
        <v>42953.48714832071</v>
      </c>
      <c r="Q7" s="132">
        <f>IF(SER_hh_tes_in!Q7=0,0,11630*1000*SER_hh_tes_in!Q7/SER_hh_num_in!Q7)</f>
        <v>44081.253902298704</v>
      </c>
      <c r="R7" s="132">
        <f>IF(SER_hh_tes_in!R7=0,0,11630*1000*SER_hh_tes_in!R7/SER_hh_num_in!R7)</f>
        <v>43872.701713255257</v>
      </c>
      <c r="S7" s="132">
        <f>IF(SER_hh_tes_in!S7=0,0,11630*1000*SER_hh_tes_in!S7/SER_hh_num_in!S7)</f>
        <v>0</v>
      </c>
      <c r="T7" s="132">
        <f>IF(SER_hh_tes_in!T7=0,0,11630*1000*SER_hh_tes_in!T7/SER_hh_num_in!T7)</f>
        <v>46784.270004157945</v>
      </c>
      <c r="U7" s="132">
        <f>IF(SER_hh_tes_in!U7=0,0,11630*1000*SER_hh_tes_in!U7/SER_hh_num_in!U7)</f>
        <v>0</v>
      </c>
      <c r="V7" s="132">
        <f>IF(SER_hh_tes_in!V7=0,0,11630*1000*SER_hh_tes_in!V7/SER_hh_num_in!V7)</f>
        <v>0</v>
      </c>
      <c r="W7" s="132">
        <f>IF(SER_hh_tes_in!W7=0,0,11630*1000*SER_hh_tes_in!W7/SER_hh_num_in!W7)</f>
        <v>0</v>
      </c>
      <c r="X7" s="132">
        <f>IF(SER_hh_tes_in!X7=0,0,11630*1000*SER_hh_tes_in!X7/SER_hh_num_in!X7)</f>
        <v>35116.745045135511</v>
      </c>
      <c r="Y7" s="132">
        <f>IF(SER_hh_tes_in!Y7=0,0,11630*1000*SER_hh_tes_in!Y7/SER_hh_num_in!Y7)</f>
        <v>28553.403715924753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73472.453208201012</v>
      </c>
      <c r="D8" s="132">
        <f>IF(SER_hh_tes_in!D8=0,0,11630*1000*SER_hh_tes_in!D8/SER_hh_num_in!D8)</f>
        <v>70074.950974980442</v>
      </c>
      <c r="E8" s="132">
        <f>IF(SER_hh_tes_in!E8=0,0,11630*1000*SER_hh_tes_in!E8/SER_hh_num_in!E8)</f>
        <v>77696.321325318175</v>
      </c>
      <c r="F8" s="132">
        <f>IF(SER_hh_tes_in!F8=0,0,11630*1000*SER_hh_tes_in!F8/SER_hh_num_in!F8)</f>
        <v>75524.461686712224</v>
      </c>
      <c r="G8" s="132">
        <f>IF(SER_hh_tes_in!G8=0,0,11630*1000*SER_hh_tes_in!G8/SER_hh_num_in!G8)</f>
        <v>62395.628763039284</v>
      </c>
      <c r="H8" s="132">
        <f>IF(SER_hh_tes_in!H8=0,0,11630*1000*SER_hh_tes_in!H8/SER_hh_num_in!H8)</f>
        <v>37273.409202442046</v>
      </c>
      <c r="I8" s="132">
        <f>IF(SER_hh_tes_in!I8=0,0,11630*1000*SER_hh_tes_in!I8/SER_hh_num_in!I8)</f>
        <v>78357.4884052368</v>
      </c>
      <c r="J8" s="132">
        <f>IF(SER_hh_tes_in!J8=0,0,11630*1000*SER_hh_tes_in!J8/SER_hh_num_in!J8)</f>
        <v>65434.14676541576</v>
      </c>
      <c r="K8" s="132">
        <f>IF(SER_hh_tes_in!K8=0,0,11630*1000*SER_hh_tes_in!K8/SER_hh_num_in!K8)</f>
        <v>61173.441469069665</v>
      </c>
      <c r="L8" s="132">
        <f>IF(SER_hh_tes_in!L8=0,0,11630*1000*SER_hh_tes_in!L8/SER_hh_num_in!L8)</f>
        <v>58074.187847117493</v>
      </c>
      <c r="M8" s="132">
        <f>IF(SER_hh_tes_in!M8=0,0,11630*1000*SER_hh_tes_in!M8/SER_hh_num_in!M8)</f>
        <v>53910.919552231266</v>
      </c>
      <c r="N8" s="132">
        <f>IF(SER_hh_tes_in!N8=0,0,11630*1000*SER_hh_tes_in!N8/SER_hh_num_in!N8)</f>
        <v>49778.632457945481</v>
      </c>
      <c r="O8" s="132">
        <f>IF(SER_hh_tes_in!O8=0,0,11630*1000*SER_hh_tes_in!O8/SER_hh_num_in!O8)</f>
        <v>43613.297698306087</v>
      </c>
      <c r="P8" s="132">
        <f>IF(SER_hh_tes_in!P8=0,0,11630*1000*SER_hh_tes_in!P8/SER_hh_num_in!P8)</f>
        <v>45248.594752280849</v>
      </c>
      <c r="Q8" s="132">
        <f>IF(SER_hh_tes_in!Q8=0,0,11630*1000*SER_hh_tes_in!Q8/SER_hh_num_in!Q8)</f>
        <v>46794.797273016498</v>
      </c>
      <c r="R8" s="132">
        <f>IF(SER_hh_tes_in!R8=0,0,11630*1000*SER_hh_tes_in!R8/SER_hh_num_in!R8)</f>
        <v>45023.175767286964</v>
      </c>
      <c r="S8" s="132">
        <f>IF(SER_hh_tes_in!S8=0,0,11630*1000*SER_hh_tes_in!S8/SER_hh_num_in!S8)</f>
        <v>40996.227843893379</v>
      </c>
      <c r="T8" s="132">
        <f>IF(SER_hh_tes_in!T8=0,0,11630*1000*SER_hh_tes_in!T8/SER_hh_num_in!T8)</f>
        <v>38822.968263952811</v>
      </c>
      <c r="U8" s="132">
        <f>IF(SER_hh_tes_in!U8=0,0,11630*1000*SER_hh_tes_in!U8/SER_hh_num_in!U8)</f>
        <v>35880.8540288847</v>
      </c>
      <c r="V8" s="132">
        <f>IF(SER_hh_tes_in!V8=0,0,11630*1000*SER_hh_tes_in!V8/SER_hh_num_in!V8)</f>
        <v>35848.496911584545</v>
      </c>
      <c r="W8" s="132">
        <f>IF(SER_hh_tes_in!W8=0,0,11630*1000*SER_hh_tes_in!W8/SER_hh_num_in!W8)</f>
        <v>32034.231744362314</v>
      </c>
      <c r="X8" s="132">
        <f>IF(SER_hh_tes_in!X8=0,0,11630*1000*SER_hh_tes_in!X8/SER_hh_num_in!X8)</f>
        <v>32894.774867817287</v>
      </c>
      <c r="Y8" s="132">
        <f>IF(SER_hh_tes_in!Y8=0,0,11630*1000*SER_hh_tes_in!Y8/SER_hh_num_in!Y8)</f>
        <v>34392.11435315101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74126.39041797939</v>
      </c>
      <c r="D9" s="132">
        <f>IF(SER_hh_tes_in!D9=0,0,11630*1000*SER_hh_tes_in!D9/SER_hh_num_in!D9)</f>
        <v>70337.142951918227</v>
      </c>
      <c r="E9" s="132">
        <f>IF(SER_hh_tes_in!E9=0,0,11630*1000*SER_hh_tes_in!E9/SER_hh_num_in!E9)</f>
        <v>76424.865276600496</v>
      </c>
      <c r="F9" s="132">
        <f>IF(SER_hh_tes_in!F9=0,0,11630*1000*SER_hh_tes_in!F9/SER_hh_num_in!F9)</f>
        <v>70266.925748378519</v>
      </c>
      <c r="G9" s="132">
        <f>IF(SER_hh_tes_in!G9=0,0,11630*1000*SER_hh_tes_in!G9/SER_hh_num_in!G9)</f>
        <v>67815.862851329512</v>
      </c>
      <c r="H9" s="132">
        <f>IF(SER_hh_tes_in!H9=0,0,11630*1000*SER_hh_tes_in!H9/SER_hh_num_in!H9)</f>
        <v>71109.405721629257</v>
      </c>
      <c r="I9" s="132">
        <f>IF(SER_hh_tes_in!I9=0,0,11630*1000*SER_hh_tes_in!I9/SER_hh_num_in!I9)</f>
        <v>62764.316447697369</v>
      </c>
      <c r="J9" s="132">
        <f>IF(SER_hh_tes_in!J9=0,0,11630*1000*SER_hh_tes_in!J9/SER_hh_num_in!J9)</f>
        <v>61105.55622013317</v>
      </c>
      <c r="K9" s="132">
        <f>IF(SER_hh_tes_in!K9=0,0,11630*1000*SER_hh_tes_in!K9/SER_hh_num_in!K9)</f>
        <v>61357.897421869326</v>
      </c>
      <c r="L9" s="132">
        <f>IF(SER_hh_tes_in!L9=0,0,11630*1000*SER_hh_tes_in!L9/SER_hh_num_in!L9)</f>
        <v>62273.26858108447</v>
      </c>
      <c r="M9" s="132">
        <f>IF(SER_hh_tes_in!M9=0,0,11630*1000*SER_hh_tes_in!M9/SER_hh_num_in!M9)</f>
        <v>47038.90060515012</v>
      </c>
      <c r="N9" s="132">
        <f>IF(SER_hh_tes_in!N9=0,0,11630*1000*SER_hh_tes_in!N9/SER_hh_num_in!N9)</f>
        <v>52735.292212459048</v>
      </c>
      <c r="O9" s="132">
        <f>IF(SER_hh_tes_in!O9=0,0,11630*1000*SER_hh_tes_in!O9/SER_hh_num_in!O9)</f>
        <v>54081.21943746131</v>
      </c>
      <c r="P9" s="132">
        <f>IF(SER_hh_tes_in!P9=0,0,11630*1000*SER_hh_tes_in!P9/SER_hh_num_in!P9)</f>
        <v>35805.908937895096</v>
      </c>
      <c r="Q9" s="132">
        <f>IF(SER_hh_tes_in!Q9=0,0,11630*1000*SER_hh_tes_in!Q9/SER_hh_num_in!Q9)</f>
        <v>44758.233874913552</v>
      </c>
      <c r="R9" s="132">
        <f>IF(SER_hh_tes_in!R9=0,0,11630*1000*SER_hh_tes_in!R9/SER_hh_num_in!R9)</f>
        <v>44771.0753174907</v>
      </c>
      <c r="S9" s="132">
        <f>IF(SER_hh_tes_in!S9=0,0,11630*1000*SER_hh_tes_in!S9/SER_hh_num_in!S9)</f>
        <v>46684.643086840682</v>
      </c>
      <c r="T9" s="132">
        <f>IF(SER_hh_tes_in!T9=0,0,11630*1000*SER_hh_tes_in!T9/SER_hh_num_in!T9)</f>
        <v>33343.539658703216</v>
      </c>
      <c r="U9" s="132">
        <f>IF(SER_hh_tes_in!U9=0,0,11630*1000*SER_hh_tes_in!U9/SER_hh_num_in!U9)</f>
        <v>31171.129828305948</v>
      </c>
      <c r="V9" s="132">
        <f>IF(SER_hh_tes_in!V9=0,0,11630*1000*SER_hh_tes_in!V9/SER_hh_num_in!V9)</f>
        <v>30787.382209536954</v>
      </c>
      <c r="W9" s="132">
        <f>IF(SER_hh_tes_in!W9=0,0,11630*1000*SER_hh_tes_in!W9/SER_hh_num_in!W9)</f>
        <v>40432.16055553261</v>
      </c>
      <c r="X9" s="132">
        <f>IF(SER_hh_tes_in!X9=0,0,11630*1000*SER_hh_tes_in!X9/SER_hh_num_in!X9)</f>
        <v>32039.465352276224</v>
      </c>
      <c r="Y9" s="132">
        <f>IF(SER_hh_tes_in!Y9=0,0,11630*1000*SER_hh_tes_in!Y9/SER_hh_num_in!Y9)</f>
        <v>30864.608752213539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66128.727635234478</v>
      </c>
      <c r="D10" s="132">
        <f>IF(SER_hh_tes_in!D10=0,0,11630*1000*SER_hh_tes_in!D10/SER_hh_num_in!D10)</f>
        <v>80313.822590871598</v>
      </c>
      <c r="E10" s="132">
        <f>IF(SER_hh_tes_in!E10=0,0,11630*1000*SER_hh_tes_in!E10/SER_hh_num_in!E10)</f>
        <v>79223.79985526111</v>
      </c>
      <c r="F10" s="132">
        <f>IF(SER_hh_tes_in!F10=0,0,11630*1000*SER_hh_tes_in!F10/SER_hh_num_in!F10)</f>
        <v>65872.52867402343</v>
      </c>
      <c r="G10" s="132">
        <f>IF(SER_hh_tes_in!G10=0,0,11630*1000*SER_hh_tes_in!G10/SER_hh_num_in!G10)</f>
        <v>68808.604066742773</v>
      </c>
      <c r="H10" s="132">
        <f>IF(SER_hh_tes_in!H10=0,0,11630*1000*SER_hh_tes_in!H10/SER_hh_num_in!H10)</f>
        <v>74264.278226977345</v>
      </c>
      <c r="I10" s="132">
        <f>IF(SER_hh_tes_in!I10=0,0,11630*1000*SER_hh_tes_in!I10/SER_hh_num_in!I10)</f>
        <v>64572.969905311693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54732.980368213393</v>
      </c>
      <c r="M10" s="132">
        <f>IF(SER_hh_tes_in!M10=0,0,11630*1000*SER_hh_tes_in!M10/SER_hh_num_in!M10)</f>
        <v>56896.626799857404</v>
      </c>
      <c r="N10" s="132">
        <f>IF(SER_hh_tes_in!N10=0,0,11630*1000*SER_hh_tes_in!N10/SER_hh_num_in!N10)</f>
        <v>48562.292247603269</v>
      </c>
      <c r="O10" s="132">
        <f>IF(SER_hh_tes_in!O10=0,0,11630*1000*SER_hh_tes_in!O10/SER_hh_num_in!O10)</f>
        <v>46002.794610546283</v>
      </c>
      <c r="P10" s="132">
        <f>IF(SER_hh_tes_in!P10=0,0,11630*1000*SER_hh_tes_in!P10/SER_hh_num_in!P10)</f>
        <v>49996.631316005645</v>
      </c>
      <c r="Q10" s="132">
        <f>IF(SER_hh_tes_in!Q10=0,0,11630*1000*SER_hh_tes_in!Q10/SER_hh_num_in!Q10)</f>
        <v>39317.566052948518</v>
      </c>
      <c r="R10" s="132">
        <f>IF(SER_hh_tes_in!R10=0,0,11630*1000*SER_hh_tes_in!R10/SER_hh_num_in!R10)</f>
        <v>42722.532347832406</v>
      </c>
      <c r="S10" s="132">
        <f>IF(SER_hh_tes_in!S10=0,0,11630*1000*SER_hh_tes_in!S10/SER_hh_num_in!S10)</f>
        <v>43443.215158786013</v>
      </c>
      <c r="T10" s="132">
        <f>IF(SER_hh_tes_in!T10=0,0,11630*1000*SER_hh_tes_in!T10/SER_hh_num_in!T10)</f>
        <v>45531.998115239679</v>
      </c>
      <c r="U10" s="132">
        <f>IF(SER_hh_tes_in!U10=0,0,11630*1000*SER_hh_tes_in!U10/SER_hh_num_in!U10)</f>
        <v>38587.839523156275</v>
      </c>
      <c r="V10" s="132">
        <f>IF(SER_hh_tes_in!V10=0,0,11630*1000*SER_hh_tes_in!V10/SER_hh_num_in!V10)</f>
        <v>33405.087521433525</v>
      </c>
      <c r="W10" s="132">
        <f>IF(SER_hh_tes_in!W10=0,0,11630*1000*SER_hh_tes_in!W10/SER_hh_num_in!W10)</f>
        <v>0</v>
      </c>
      <c r="X10" s="132">
        <f>IF(SER_hh_tes_in!X10=0,0,11630*1000*SER_hh_tes_in!X10/SER_hh_num_in!X10)</f>
        <v>0</v>
      </c>
      <c r="Y10" s="132">
        <f>IF(SER_hh_tes_in!Y10=0,0,11630*1000*SER_hh_tes_in!Y10/SER_hh_num_in!Y10)</f>
        <v>0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77669.095852017083</v>
      </c>
      <c r="D12" s="132">
        <f>IF(SER_hh_tes_in!D12=0,0,11630*1000*SER_hh_tes_in!D12/SER_hh_num_in!D12)</f>
        <v>74610.027107853748</v>
      </c>
      <c r="E12" s="132">
        <f>IF(SER_hh_tes_in!E12=0,0,11630*1000*SER_hh_tes_in!E12/SER_hh_num_in!E12)</f>
        <v>74646.758174383926</v>
      </c>
      <c r="F12" s="132">
        <f>IF(SER_hh_tes_in!F12=0,0,11630*1000*SER_hh_tes_in!F12/SER_hh_num_in!F12)</f>
        <v>72362.149805931098</v>
      </c>
      <c r="G12" s="132">
        <f>IF(SER_hh_tes_in!G12=0,0,11630*1000*SER_hh_tes_in!G12/SER_hh_num_in!G12)</f>
        <v>69506.765061211758</v>
      </c>
      <c r="H12" s="132">
        <f>IF(SER_hh_tes_in!H12=0,0,11630*1000*SER_hh_tes_in!H12/SER_hh_num_in!H12)</f>
        <v>67564.975900968464</v>
      </c>
      <c r="I12" s="132">
        <f>IF(SER_hh_tes_in!I12=0,0,11630*1000*SER_hh_tes_in!I12/SER_hh_num_in!I12)</f>
        <v>62883.540929026196</v>
      </c>
      <c r="J12" s="132">
        <f>IF(SER_hh_tes_in!J12=0,0,11630*1000*SER_hh_tes_in!J12/SER_hh_num_in!J12)</f>
        <v>61531.138064595812</v>
      </c>
      <c r="K12" s="132">
        <f>IF(SER_hh_tes_in!K12=0,0,11630*1000*SER_hh_tes_in!K12/SER_hh_num_in!K12)</f>
        <v>58726.136539190222</v>
      </c>
      <c r="L12" s="132">
        <f>IF(SER_hh_tes_in!L12=0,0,11630*1000*SER_hh_tes_in!L12/SER_hh_num_in!L12)</f>
        <v>64457.941166293953</v>
      </c>
      <c r="M12" s="132">
        <f>IF(SER_hh_tes_in!M12=0,0,11630*1000*SER_hh_tes_in!M12/SER_hh_num_in!M12)</f>
        <v>53273.818497151777</v>
      </c>
      <c r="N12" s="132">
        <f>IF(SER_hh_tes_in!N12=0,0,11630*1000*SER_hh_tes_in!N12/SER_hh_num_in!N12)</f>
        <v>52517.833477853397</v>
      </c>
      <c r="O12" s="132">
        <f>IF(SER_hh_tes_in!O12=0,0,11630*1000*SER_hh_tes_in!O12/SER_hh_num_in!O12)</f>
        <v>50091.923545871075</v>
      </c>
      <c r="P12" s="132">
        <f>IF(SER_hh_tes_in!P12=0,0,11630*1000*SER_hh_tes_in!P12/SER_hh_num_in!P12)</f>
        <v>43060.109743889974</v>
      </c>
      <c r="Q12" s="132">
        <f>IF(SER_hh_tes_in!Q12=0,0,11630*1000*SER_hh_tes_in!Q12/SER_hh_num_in!Q12)</f>
        <v>44577.304481675506</v>
      </c>
      <c r="R12" s="132">
        <f>IF(SER_hh_tes_in!R12=0,0,11630*1000*SER_hh_tes_in!R12/SER_hh_num_in!R12)</f>
        <v>44237.825198544524</v>
      </c>
      <c r="S12" s="132">
        <f>IF(SER_hh_tes_in!S12=0,0,11630*1000*SER_hh_tes_in!S12/SER_hh_num_in!S12)</f>
        <v>42723.109940897884</v>
      </c>
      <c r="T12" s="132">
        <f>IF(SER_hh_tes_in!T12=0,0,11630*1000*SER_hh_tes_in!T12/SER_hh_num_in!T12)</f>
        <v>40269.785160308536</v>
      </c>
      <c r="U12" s="132">
        <f>IF(SER_hh_tes_in!U12=0,0,11630*1000*SER_hh_tes_in!U12/SER_hh_num_in!U12)</f>
        <v>37439.362276810964</v>
      </c>
      <c r="V12" s="132">
        <f>IF(SER_hh_tes_in!V12=0,0,11630*1000*SER_hh_tes_in!V12/SER_hh_num_in!V12)</f>
        <v>34511.140754838292</v>
      </c>
      <c r="W12" s="132">
        <f>IF(SER_hh_tes_in!W12=0,0,11630*1000*SER_hh_tes_in!W12/SER_hh_num_in!W12)</f>
        <v>35167.050972458936</v>
      </c>
      <c r="X12" s="132">
        <f>IF(SER_hh_tes_in!X12=0,0,11630*1000*SER_hh_tes_in!X12/SER_hh_num_in!X12)</f>
        <v>31283.731227323893</v>
      </c>
      <c r="Y12" s="132">
        <f>IF(SER_hh_tes_in!Y12=0,0,11630*1000*SER_hh_tes_in!Y12/SER_hh_num_in!Y12)</f>
        <v>32063.72755968721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76413.384285910186</v>
      </c>
      <c r="D13" s="132">
        <f>IF(SER_hh_tes_in!D13=0,0,11630*1000*SER_hh_tes_in!D13/SER_hh_num_in!D13)</f>
        <v>75709.246013312135</v>
      </c>
      <c r="E13" s="132">
        <f>IF(SER_hh_tes_in!E13=0,0,11630*1000*SER_hh_tes_in!E13/SER_hh_num_in!E13)</f>
        <v>73951.945473505315</v>
      </c>
      <c r="F13" s="132">
        <f>IF(SER_hh_tes_in!F13=0,0,11630*1000*SER_hh_tes_in!F13/SER_hh_num_in!F13)</f>
        <v>72444.624913345833</v>
      </c>
      <c r="G13" s="132">
        <f>IF(SER_hh_tes_in!G13=0,0,11630*1000*SER_hh_tes_in!G13/SER_hh_num_in!G13)</f>
        <v>52431.363208527153</v>
      </c>
      <c r="H13" s="132">
        <f>IF(SER_hh_tes_in!H13=0,0,11630*1000*SER_hh_tes_in!H13/SER_hh_num_in!H13)</f>
        <v>34728.996996098555</v>
      </c>
      <c r="I13" s="132">
        <f>IF(SER_hh_tes_in!I13=0,0,11630*1000*SER_hh_tes_in!I13/SER_hh_num_in!I13)</f>
        <v>80964.262159664373</v>
      </c>
      <c r="J13" s="132">
        <f>IF(SER_hh_tes_in!J13=0,0,11630*1000*SER_hh_tes_in!J13/SER_hh_num_in!J13)</f>
        <v>67601.405353374415</v>
      </c>
      <c r="K13" s="132">
        <f>IF(SER_hh_tes_in!K13=0,0,11630*1000*SER_hh_tes_in!K13/SER_hh_num_in!K13)</f>
        <v>61039.962241139794</v>
      </c>
      <c r="L13" s="132">
        <f>IF(SER_hh_tes_in!L13=0,0,11630*1000*SER_hh_tes_in!L13/SER_hh_num_in!L13)</f>
        <v>59834.735794690358</v>
      </c>
      <c r="M13" s="132">
        <f>IF(SER_hh_tes_in!M13=0,0,11630*1000*SER_hh_tes_in!M13/SER_hh_num_in!M13)</f>
        <v>55758.934796240479</v>
      </c>
      <c r="N13" s="132">
        <f>IF(SER_hh_tes_in!N13=0,0,11630*1000*SER_hh_tes_in!N13/SER_hh_num_in!N13)</f>
        <v>52688.391536315015</v>
      </c>
      <c r="O13" s="132">
        <f>IF(SER_hh_tes_in!O13=0,0,11630*1000*SER_hh_tes_in!O13/SER_hh_num_in!O13)</f>
        <v>48987.851380563312</v>
      </c>
      <c r="P13" s="132">
        <f>IF(SER_hh_tes_in!P13=0,0,11630*1000*SER_hh_tes_in!P13/SER_hh_num_in!P13)</f>
        <v>44470.840649190119</v>
      </c>
      <c r="Q13" s="132">
        <f>IF(SER_hh_tes_in!Q13=0,0,11630*1000*SER_hh_tes_in!Q13/SER_hh_num_in!Q13)</f>
        <v>44734.769579028529</v>
      </c>
      <c r="R13" s="132">
        <f>IF(SER_hh_tes_in!R13=0,0,11630*1000*SER_hh_tes_in!R13/SER_hh_num_in!R13)</f>
        <v>45101.902813806482</v>
      </c>
      <c r="S13" s="132">
        <f>IF(SER_hh_tes_in!S13=0,0,11630*1000*SER_hh_tes_in!S13/SER_hh_num_in!S13)</f>
        <v>41043.43716618191</v>
      </c>
      <c r="T13" s="132">
        <f>IF(SER_hh_tes_in!T13=0,0,11630*1000*SER_hh_tes_in!T13/SER_hh_num_in!T13)</f>
        <v>39114.471119175651</v>
      </c>
      <c r="U13" s="132">
        <f>IF(SER_hh_tes_in!U13=0,0,11630*1000*SER_hh_tes_in!U13/SER_hh_num_in!U13)</f>
        <v>37016.484475964127</v>
      </c>
      <c r="V13" s="132">
        <f>IF(SER_hh_tes_in!V13=0,0,11630*1000*SER_hh_tes_in!V13/SER_hh_num_in!V13)</f>
        <v>34650.300040396774</v>
      </c>
      <c r="W13" s="132">
        <f>IF(SER_hh_tes_in!W13=0,0,11630*1000*SER_hh_tes_in!W13/SER_hh_num_in!W13)</f>
        <v>32648.216105629817</v>
      </c>
      <c r="X13" s="132">
        <f>IF(SER_hh_tes_in!X13=0,0,11630*1000*SER_hh_tes_in!X13/SER_hh_num_in!X13)</f>
        <v>33634.532867858645</v>
      </c>
      <c r="Y13" s="132">
        <f>IF(SER_hh_tes_in!Y13=0,0,11630*1000*SER_hh_tes_in!Y13/SER_hh_num_in!Y13)</f>
        <v>33174.333478910936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77752.984170615644</v>
      </c>
      <c r="D14" s="65">
        <f>IF(SER_hh_tes_in!D14=0,0,11630*1000*SER_hh_tes_in!D14/SER_hh_num_in!D14)</f>
        <v>76167.636983002041</v>
      </c>
      <c r="E14" s="65">
        <f>IF(SER_hh_tes_in!E14=0,0,11630*1000*SER_hh_tes_in!E14/SER_hh_num_in!E14)</f>
        <v>71502.066509219556</v>
      </c>
      <c r="F14" s="65">
        <f>IF(SER_hh_tes_in!F14=0,0,11630*1000*SER_hh_tes_in!F14/SER_hh_num_in!F14)</f>
        <v>71670.381477410207</v>
      </c>
      <c r="G14" s="65">
        <f>IF(SER_hh_tes_in!G14=0,0,11630*1000*SER_hh_tes_in!G14/SER_hh_num_in!G14)</f>
        <v>68489.617452086022</v>
      </c>
      <c r="H14" s="65">
        <f>IF(SER_hh_tes_in!H14=0,0,11630*1000*SER_hh_tes_in!H14/SER_hh_num_in!H14)</f>
        <v>68207.18615979419</v>
      </c>
      <c r="I14" s="65">
        <f>IF(SER_hh_tes_in!I14=0,0,11630*1000*SER_hh_tes_in!I14/SER_hh_num_in!I14)</f>
        <v>67194.570091568414</v>
      </c>
      <c r="J14" s="65">
        <f>IF(SER_hh_tes_in!J14=0,0,11630*1000*SER_hh_tes_in!J14/SER_hh_num_in!J14)</f>
        <v>65117.421144270964</v>
      </c>
      <c r="K14" s="65">
        <f>IF(SER_hh_tes_in!K14=0,0,11630*1000*SER_hh_tes_in!K14/SER_hh_num_in!K14)</f>
        <v>57098.749499274185</v>
      </c>
      <c r="L14" s="65">
        <f>IF(SER_hh_tes_in!L14=0,0,11630*1000*SER_hh_tes_in!L14/SER_hh_num_in!L14)</f>
        <v>62918.435896123643</v>
      </c>
      <c r="M14" s="65">
        <f>IF(SER_hh_tes_in!M14=0,0,11630*1000*SER_hh_tes_in!M14/SER_hh_num_in!M14)</f>
        <v>57263.660269151966</v>
      </c>
      <c r="N14" s="65">
        <f>IF(SER_hh_tes_in!N14=0,0,11630*1000*SER_hh_tes_in!N14/SER_hh_num_in!N14)</f>
        <v>52536.773460556818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44911.832604921605</v>
      </c>
      <c r="X14" s="65">
        <f>IF(SER_hh_tes_in!X14=0,0,11630*1000*SER_hh_tes_in!X14/SER_hh_num_in!X14)</f>
        <v>49522.536009484982</v>
      </c>
      <c r="Y14" s="65">
        <f>IF(SER_hh_tes_in!Y14=0,0,11630*1000*SER_hh_tes_in!Y14/SER_hh_num_in!Y14)</f>
        <v>0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520.45690640198313</v>
      </c>
      <c r="D15" s="134">
        <f>IF(SER_hh_tes_in!D15=0,0,11630*1000*SER_hh_tes_in!D15/SER_hh_num_in!D15)</f>
        <v>600.82529669594226</v>
      </c>
      <c r="E15" s="134">
        <f>IF(SER_hh_tes_in!E15=0,0,11630*1000*SER_hh_tes_in!E15/SER_hh_num_in!E15)</f>
        <v>639.43932375934685</v>
      </c>
      <c r="F15" s="134">
        <f>IF(SER_hh_tes_in!F15=0,0,11630*1000*SER_hh_tes_in!F15/SER_hh_num_in!F15)</f>
        <v>607.63852607326567</v>
      </c>
      <c r="G15" s="134">
        <f>IF(SER_hh_tes_in!G15=0,0,11630*1000*SER_hh_tes_in!G15/SER_hh_num_in!G15)</f>
        <v>552.70598905603083</v>
      </c>
      <c r="H15" s="134">
        <f>IF(SER_hh_tes_in!H15=0,0,11630*1000*SER_hh_tes_in!H15/SER_hh_num_in!H15)</f>
        <v>526.21376161225623</v>
      </c>
      <c r="I15" s="134">
        <f>IF(SER_hh_tes_in!I15=0,0,11630*1000*SER_hh_tes_in!I15/SER_hh_num_in!I15)</f>
        <v>395.7526578413366</v>
      </c>
      <c r="J15" s="134">
        <f>IF(SER_hh_tes_in!J15=0,0,11630*1000*SER_hh_tes_in!J15/SER_hh_num_in!J15)</f>
        <v>387.40561107904364</v>
      </c>
      <c r="K15" s="134">
        <f>IF(SER_hh_tes_in!K15=0,0,11630*1000*SER_hh_tes_in!K15/SER_hh_num_in!K15)</f>
        <v>331.26265156673048</v>
      </c>
      <c r="L15" s="134">
        <f>IF(SER_hh_tes_in!L15=0,0,11630*1000*SER_hh_tes_in!L15/SER_hh_num_in!L15)</f>
        <v>329.49891791571355</v>
      </c>
      <c r="M15" s="134">
        <f>IF(SER_hh_tes_in!M15=0,0,11630*1000*SER_hh_tes_in!M15/SER_hh_num_in!M15)</f>
        <v>307.12252413805595</v>
      </c>
      <c r="N15" s="134">
        <f>IF(SER_hh_tes_in!N15=0,0,11630*1000*SER_hh_tes_in!N15/SER_hh_num_in!N15)</f>
        <v>368.98455696840466</v>
      </c>
      <c r="O15" s="134">
        <f>IF(SER_hh_tes_in!O15=0,0,11630*1000*SER_hh_tes_in!O15/SER_hh_num_in!O15)</f>
        <v>360.46552637877699</v>
      </c>
      <c r="P15" s="134">
        <f>IF(SER_hh_tes_in!P15=0,0,11630*1000*SER_hh_tes_in!P15/SER_hh_num_in!P15)</f>
        <v>254.21296359049518</v>
      </c>
      <c r="Q15" s="134">
        <f>IF(SER_hh_tes_in!Q15=0,0,11630*1000*SER_hh_tes_in!Q15/SER_hh_num_in!Q15)</f>
        <v>343.35200154532106</v>
      </c>
      <c r="R15" s="134">
        <f>IF(SER_hh_tes_in!R15=0,0,11630*1000*SER_hh_tes_in!R15/SER_hh_num_in!R15)</f>
        <v>313.36256177490208</v>
      </c>
      <c r="S15" s="134">
        <f>IF(SER_hh_tes_in!S15=0,0,11630*1000*SER_hh_tes_in!S15/SER_hh_num_in!S15)</f>
        <v>303.84695073266892</v>
      </c>
      <c r="T15" s="134">
        <f>IF(SER_hh_tes_in!T15=0,0,11630*1000*SER_hh_tes_in!T15/SER_hh_num_in!T15)</f>
        <v>252.19610319415668</v>
      </c>
      <c r="U15" s="134">
        <f>IF(SER_hh_tes_in!U15=0,0,11630*1000*SER_hh_tes_in!U15/SER_hh_num_in!U15)</f>
        <v>267.79243708230234</v>
      </c>
      <c r="V15" s="134">
        <f>IF(SER_hh_tes_in!V15=0,0,11630*1000*SER_hh_tes_in!V15/SER_hh_num_in!V15)</f>
        <v>247.86616695097246</v>
      </c>
      <c r="W15" s="134">
        <f>IF(SER_hh_tes_in!W15=0,0,11630*1000*SER_hh_tes_in!W15/SER_hh_num_in!W15)</f>
        <v>215.3910387147352</v>
      </c>
      <c r="X15" s="134">
        <f>IF(SER_hh_tes_in!X15=0,0,11630*1000*SER_hh_tes_in!X15/SER_hh_num_in!X15)</f>
        <v>194.12199561159781</v>
      </c>
      <c r="Y15" s="134">
        <f>IF(SER_hh_tes_in!Y15=0,0,11630*1000*SER_hh_tes_in!Y15/SER_hh_num_in!Y15)</f>
        <v>155.42639656411981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23395.986794132168</v>
      </c>
      <c r="D16" s="130">
        <f>IF(SER_hh_tes_in!D16=0,0,11630*1000*SER_hh_tes_in!D16/SER_hh_num_in!D16)</f>
        <v>23280.203862574897</v>
      </c>
      <c r="E16" s="130">
        <f>IF(SER_hh_tes_in!E16=0,0,11630*1000*SER_hh_tes_in!E16/SER_hh_num_in!E16)</f>
        <v>23147.632038893284</v>
      </c>
      <c r="F16" s="130">
        <f>IF(SER_hh_tes_in!F16=0,0,11630*1000*SER_hh_tes_in!F16/SER_hh_num_in!F16)</f>
        <v>23023.980246714942</v>
      </c>
      <c r="G16" s="130">
        <f>IF(SER_hh_tes_in!G16=0,0,11630*1000*SER_hh_tes_in!G16/SER_hh_num_in!G16)</f>
        <v>22898.428771701008</v>
      </c>
      <c r="H16" s="130">
        <f>IF(SER_hh_tes_in!H16=0,0,11630*1000*SER_hh_tes_in!H16/SER_hh_num_in!H16)</f>
        <v>22770.851787976975</v>
      </c>
      <c r="I16" s="130">
        <f>IF(SER_hh_tes_in!I16=0,0,11630*1000*SER_hh_tes_in!I16/SER_hh_num_in!I16)</f>
        <v>22679.757893210761</v>
      </c>
      <c r="J16" s="130">
        <f>IF(SER_hh_tes_in!J16=0,0,11630*1000*SER_hh_tes_in!J16/SER_hh_num_in!J16)</f>
        <v>22474.349758528646</v>
      </c>
      <c r="K16" s="130">
        <f>IF(SER_hh_tes_in!K16=0,0,11630*1000*SER_hh_tes_in!K16/SER_hh_num_in!K16)</f>
        <v>22312.824981328347</v>
      </c>
      <c r="L16" s="130">
        <f>IF(SER_hh_tes_in!L16=0,0,11630*1000*SER_hh_tes_in!L16/SER_hh_num_in!L16)</f>
        <v>22242.893886412519</v>
      </c>
      <c r="M16" s="130">
        <f>IF(SER_hh_tes_in!M16=0,0,11630*1000*SER_hh_tes_in!M16/SER_hh_num_in!M16)</f>
        <v>21860.119175933876</v>
      </c>
      <c r="N16" s="130">
        <f>IF(SER_hh_tes_in!N16=0,0,11630*1000*SER_hh_tes_in!N16/SER_hh_num_in!N16)</f>
        <v>21522.461946848496</v>
      </c>
      <c r="O16" s="130">
        <f>IF(SER_hh_tes_in!O16=0,0,11630*1000*SER_hh_tes_in!O16/SER_hh_num_in!O16)</f>
        <v>21142.299219465865</v>
      </c>
      <c r="P16" s="130">
        <f>IF(SER_hh_tes_in!P16=0,0,11630*1000*SER_hh_tes_in!P16/SER_hh_num_in!P16)</f>
        <v>20862.21817498824</v>
      </c>
      <c r="Q16" s="130">
        <f>IF(SER_hh_tes_in!Q16=0,0,11630*1000*SER_hh_tes_in!Q16/SER_hh_num_in!Q16)</f>
        <v>20474.359709200304</v>
      </c>
      <c r="R16" s="130">
        <f>IF(SER_hh_tes_in!R16=0,0,11630*1000*SER_hh_tes_in!R16/SER_hh_num_in!R16)</f>
        <v>20236.519254661824</v>
      </c>
      <c r="S16" s="130">
        <f>IF(SER_hh_tes_in!S16=0,0,11630*1000*SER_hh_tes_in!S16/SER_hh_num_in!S16)</f>
        <v>19815.714266730978</v>
      </c>
      <c r="T16" s="130">
        <f>IF(SER_hh_tes_in!T16=0,0,11630*1000*SER_hh_tes_in!T16/SER_hh_num_in!T16)</f>
        <v>20056.666295823718</v>
      </c>
      <c r="U16" s="130">
        <f>IF(SER_hh_tes_in!U16=0,0,11630*1000*SER_hh_tes_in!U16/SER_hh_num_in!U16)</f>
        <v>18884.155452207779</v>
      </c>
      <c r="V16" s="130">
        <f>IF(SER_hh_tes_in!V16=0,0,11630*1000*SER_hh_tes_in!V16/SER_hh_num_in!V16)</f>
        <v>17194.238741694506</v>
      </c>
      <c r="W16" s="130">
        <f>IF(SER_hh_tes_in!W16=0,0,11630*1000*SER_hh_tes_in!W16/SER_hh_num_in!W16)</f>
        <v>16464.797366441471</v>
      </c>
      <c r="X16" s="130">
        <f>IF(SER_hh_tes_in!X16=0,0,11630*1000*SER_hh_tes_in!X16/SER_hh_num_in!X16)</f>
        <v>16928.145426299077</v>
      </c>
      <c r="Y16" s="130">
        <f>IF(SER_hh_tes_in!Y16=0,0,11630*1000*SER_hh_tes_in!Y16/SER_hh_num_in!Y16)</f>
        <v>16513.114853460353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23401.039618094965</v>
      </c>
      <c r="D17" s="132">
        <f>IF(SER_hh_tes_in!D17=0,0,11630*1000*SER_hh_tes_in!D17/SER_hh_num_in!D17)</f>
        <v>23297.346316470303</v>
      </c>
      <c r="E17" s="132">
        <f>IF(SER_hh_tes_in!E17=0,0,11630*1000*SER_hh_tes_in!E17/SER_hh_num_in!E17)</f>
        <v>23163.176103673486</v>
      </c>
      <c r="F17" s="132">
        <f>IF(SER_hh_tes_in!F17=0,0,11630*1000*SER_hh_tes_in!F17/SER_hh_num_in!F17)</f>
        <v>23059.015982554654</v>
      </c>
      <c r="G17" s="132">
        <f>IF(SER_hh_tes_in!G17=0,0,11630*1000*SER_hh_tes_in!G17/SER_hh_num_in!G17)</f>
        <v>22946.998843058453</v>
      </c>
      <c r="H17" s="132">
        <f>IF(SER_hh_tes_in!H17=0,0,11630*1000*SER_hh_tes_in!H17/SER_hh_num_in!H17)</f>
        <v>22806.462079719342</v>
      </c>
      <c r="I17" s="132">
        <f>IF(SER_hh_tes_in!I17=0,0,11630*1000*SER_hh_tes_in!I17/SER_hh_num_in!I17)</f>
        <v>22683.731337187164</v>
      </c>
      <c r="J17" s="132">
        <f>IF(SER_hh_tes_in!J17=0,0,11630*1000*SER_hh_tes_in!J17/SER_hh_num_in!J17)</f>
        <v>22463.328010276582</v>
      </c>
      <c r="K17" s="132">
        <f>IF(SER_hh_tes_in!K17=0,0,11630*1000*SER_hh_tes_in!K17/SER_hh_num_in!K17)</f>
        <v>22287.658608843587</v>
      </c>
      <c r="L17" s="132">
        <f>IF(SER_hh_tes_in!L17=0,0,11630*1000*SER_hh_tes_in!L17/SER_hh_num_in!L17)</f>
        <v>22260.780206954005</v>
      </c>
      <c r="M17" s="132">
        <f>IF(SER_hh_tes_in!M17=0,0,11630*1000*SER_hh_tes_in!M17/SER_hh_num_in!M17)</f>
        <v>21883.247534628859</v>
      </c>
      <c r="N17" s="132">
        <f>IF(SER_hh_tes_in!N17=0,0,11630*1000*SER_hh_tes_in!N17/SER_hh_num_in!N17)</f>
        <v>21530.698194840254</v>
      </c>
      <c r="O17" s="132">
        <f>IF(SER_hh_tes_in!O17=0,0,11630*1000*SER_hh_tes_in!O17/SER_hh_num_in!O17)</f>
        <v>21153.088046693254</v>
      </c>
      <c r="P17" s="132">
        <f>IF(SER_hh_tes_in!P17=0,0,11630*1000*SER_hh_tes_in!P17/SER_hh_num_in!P17)</f>
        <v>20916.779003655909</v>
      </c>
      <c r="Q17" s="132">
        <f>IF(SER_hh_tes_in!Q17=0,0,11630*1000*SER_hh_tes_in!Q17/SER_hh_num_in!Q17)</f>
        <v>20622.18727112894</v>
      </c>
      <c r="R17" s="132">
        <f>IF(SER_hh_tes_in!R17=0,0,11630*1000*SER_hh_tes_in!R17/SER_hh_num_in!R17)</f>
        <v>20448.751110063167</v>
      </c>
      <c r="S17" s="132">
        <f>IF(SER_hh_tes_in!S17=0,0,11630*1000*SER_hh_tes_in!S17/SER_hh_num_in!S17)</f>
        <v>20031.378911497912</v>
      </c>
      <c r="T17" s="132">
        <f>IF(SER_hh_tes_in!T17=0,0,11630*1000*SER_hh_tes_in!T17/SER_hh_num_in!T17)</f>
        <v>20224.512743781062</v>
      </c>
      <c r="U17" s="132">
        <f>IF(SER_hh_tes_in!U17=0,0,11630*1000*SER_hh_tes_in!U17/SER_hh_num_in!U17)</f>
        <v>19069.343079642498</v>
      </c>
      <c r="V17" s="132">
        <f>IF(SER_hh_tes_in!V17=0,0,11630*1000*SER_hh_tes_in!V17/SER_hh_num_in!V17)</f>
        <v>13365.078892631196</v>
      </c>
      <c r="W17" s="132">
        <f>IF(SER_hh_tes_in!W17=0,0,11630*1000*SER_hh_tes_in!W17/SER_hh_num_in!W17)</f>
        <v>12898.715076704089</v>
      </c>
      <c r="X17" s="132">
        <f>IF(SER_hh_tes_in!X17=0,0,11630*1000*SER_hh_tes_in!X17/SER_hh_num_in!X17)</f>
        <v>13300.317233742269</v>
      </c>
      <c r="Y17" s="132">
        <f>IF(SER_hh_tes_in!Y17=0,0,11630*1000*SER_hh_tes_in!Y17/SER_hh_num_in!Y17)</f>
        <v>13167.808747329573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23395.981870795425</v>
      </c>
      <c r="D18" s="132">
        <f>IF(SER_hh_tes_in!D18=0,0,11630*1000*SER_hh_tes_in!D18/SER_hh_num_in!D18)</f>
        <v>23280.185464259081</v>
      </c>
      <c r="E18" s="132">
        <f>IF(SER_hh_tes_in!E18=0,0,11630*1000*SER_hh_tes_in!E18/SER_hh_num_in!E18)</f>
        <v>23147.618549856652</v>
      </c>
      <c r="F18" s="132">
        <f>IF(SER_hh_tes_in!F18=0,0,11630*1000*SER_hh_tes_in!F18/SER_hh_num_in!F18)</f>
        <v>23023.937400960545</v>
      </c>
      <c r="G18" s="132">
        <f>IF(SER_hh_tes_in!G18=0,0,11630*1000*SER_hh_tes_in!G18/SER_hh_num_in!G18)</f>
        <v>22898.367039281813</v>
      </c>
      <c r="H18" s="132">
        <f>IF(SER_hh_tes_in!H18=0,0,11630*1000*SER_hh_tes_in!H18/SER_hh_num_in!H18)</f>
        <v>22770.815656704573</v>
      </c>
      <c r="I18" s="132">
        <f>IF(SER_hh_tes_in!I18=0,0,11630*1000*SER_hh_tes_in!I18/SER_hh_num_in!I18)</f>
        <v>22679.754369249535</v>
      </c>
      <c r="J18" s="132">
        <f>IF(SER_hh_tes_in!J18=0,0,11630*1000*SER_hh_tes_in!J18/SER_hh_num_in!J18)</f>
        <v>22474.360998993285</v>
      </c>
      <c r="K18" s="132">
        <f>IF(SER_hh_tes_in!K18=0,0,11630*1000*SER_hh_tes_in!K18/SER_hh_num_in!K18)</f>
        <v>22312.848390363095</v>
      </c>
      <c r="L18" s="132">
        <f>IF(SER_hh_tes_in!L18=0,0,11630*1000*SER_hh_tes_in!L18/SER_hh_num_in!L18)</f>
        <v>22242.870024679571</v>
      </c>
      <c r="M18" s="132">
        <f>IF(SER_hh_tes_in!M18=0,0,11630*1000*SER_hh_tes_in!M18/SER_hh_num_in!M18)</f>
        <v>21860.081255421337</v>
      </c>
      <c r="N18" s="132">
        <f>IF(SER_hh_tes_in!N18=0,0,11630*1000*SER_hh_tes_in!N18/SER_hh_num_in!N18)</f>
        <v>21522.444254301161</v>
      </c>
      <c r="O18" s="132">
        <f>IF(SER_hh_tes_in!O18=0,0,11630*1000*SER_hh_tes_in!O18/SER_hh_num_in!O18)</f>
        <v>21142.267635749671</v>
      </c>
      <c r="P18" s="132">
        <f>IF(SER_hh_tes_in!P18=0,0,11630*1000*SER_hh_tes_in!P18/SER_hh_num_in!P18)</f>
        <v>20861.990269234906</v>
      </c>
      <c r="Q18" s="132">
        <f>IF(SER_hh_tes_in!Q18=0,0,11630*1000*SER_hh_tes_in!Q18/SER_hh_num_in!Q18)</f>
        <v>20473.395705674247</v>
      </c>
      <c r="R18" s="132">
        <f>IF(SER_hh_tes_in!R18=0,0,11630*1000*SER_hh_tes_in!R18/SER_hh_num_in!R18)</f>
        <v>20235.205718195903</v>
      </c>
      <c r="S18" s="132">
        <f>IF(SER_hh_tes_in!S18=0,0,11630*1000*SER_hh_tes_in!S18/SER_hh_num_in!S18)</f>
        <v>19814.46916034483</v>
      </c>
      <c r="T18" s="132">
        <f>IF(SER_hh_tes_in!T18=0,0,11630*1000*SER_hh_tes_in!T18/SER_hh_num_in!T18)</f>
        <v>20055.929555101688</v>
      </c>
      <c r="U18" s="132">
        <f>IF(SER_hh_tes_in!U18=0,0,11630*1000*SER_hh_tes_in!U18/SER_hh_num_in!U18)</f>
        <v>18882.911947741854</v>
      </c>
      <c r="V18" s="132">
        <f>IF(SER_hh_tes_in!V18=0,0,11630*1000*SER_hh_tes_in!V18/SER_hh_num_in!V18)</f>
        <v>17254.563017517805</v>
      </c>
      <c r="W18" s="132">
        <f>IF(SER_hh_tes_in!W18=0,0,11630*1000*SER_hh_tes_in!W18/SER_hh_num_in!W18)</f>
        <v>16482.601333725474</v>
      </c>
      <c r="X18" s="132">
        <f>IF(SER_hh_tes_in!X18=0,0,11630*1000*SER_hh_tes_in!X18/SER_hh_num_in!X18)</f>
        <v>16944.334990566273</v>
      </c>
      <c r="Y18" s="132">
        <f>IF(SER_hh_tes_in!Y18=0,0,11630*1000*SER_hh_tes_in!Y18/SER_hh_num_in!Y18)</f>
        <v>16533.064430442791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9459.9823058459133</v>
      </c>
      <c r="D19" s="130">
        <f>IF(SER_hh_tes_in!D19=0,0,11630*1000*SER_hh_tes_in!D19/SER_hh_num_in!D19)</f>
        <v>9308.6561515032245</v>
      </c>
      <c r="E19" s="130">
        <f>IF(SER_hh_tes_in!E19=0,0,11630*1000*SER_hh_tes_in!E19/SER_hh_num_in!E19)</f>
        <v>9307.177969105167</v>
      </c>
      <c r="F19" s="130">
        <f>IF(SER_hh_tes_in!F19=0,0,11630*1000*SER_hh_tes_in!F19/SER_hh_num_in!F19)</f>
        <v>9178.5351481756043</v>
      </c>
      <c r="G19" s="130">
        <f>IF(SER_hh_tes_in!G19=0,0,11630*1000*SER_hh_tes_in!G19/SER_hh_num_in!G19)</f>
        <v>9173.6317542446668</v>
      </c>
      <c r="H19" s="130">
        <f>IF(SER_hh_tes_in!H19=0,0,11630*1000*SER_hh_tes_in!H19/SER_hh_num_in!H19)</f>
        <v>9198.4235002723763</v>
      </c>
      <c r="I19" s="130">
        <f>IF(SER_hh_tes_in!I19=0,0,11630*1000*SER_hh_tes_in!I19/SER_hh_num_in!I19)</f>
        <v>9108.5485961301729</v>
      </c>
      <c r="J19" s="130">
        <f>IF(SER_hh_tes_in!J19=0,0,11630*1000*SER_hh_tes_in!J19/SER_hh_num_in!J19)</f>
        <v>9077.8734238597335</v>
      </c>
      <c r="K19" s="130">
        <f>IF(SER_hh_tes_in!K19=0,0,11630*1000*SER_hh_tes_in!K19/SER_hh_num_in!K19)</f>
        <v>9056.1606091550184</v>
      </c>
      <c r="L19" s="130">
        <f>IF(SER_hh_tes_in!L19=0,0,11630*1000*SER_hh_tes_in!L19/SER_hh_num_in!L19)</f>
        <v>9039.7236689727833</v>
      </c>
      <c r="M19" s="130">
        <f>IF(SER_hh_tes_in!M19=0,0,11630*1000*SER_hh_tes_in!M19/SER_hh_num_in!M19)</f>
        <v>9143.5904364257949</v>
      </c>
      <c r="N19" s="130">
        <f>IF(SER_hh_tes_in!N19=0,0,11630*1000*SER_hh_tes_in!N19/SER_hh_num_in!N19)</f>
        <v>9189.9635364822461</v>
      </c>
      <c r="O19" s="130">
        <f>IF(SER_hh_tes_in!O19=0,0,11630*1000*SER_hh_tes_in!O19/SER_hh_num_in!O19)</f>
        <v>9189.4777791321012</v>
      </c>
      <c r="P19" s="130">
        <f>IF(SER_hh_tes_in!P19=0,0,11630*1000*SER_hh_tes_in!P19/SER_hh_num_in!P19)</f>
        <v>9196.6466569571767</v>
      </c>
      <c r="Q19" s="130">
        <f>IF(SER_hh_tes_in!Q19=0,0,11630*1000*SER_hh_tes_in!Q19/SER_hh_num_in!Q19)</f>
        <v>9297.2689601173788</v>
      </c>
      <c r="R19" s="130">
        <f>IF(SER_hh_tes_in!R19=0,0,11630*1000*SER_hh_tes_in!R19/SER_hh_num_in!R19)</f>
        <v>9226.0156576336794</v>
      </c>
      <c r="S19" s="130">
        <f>IF(SER_hh_tes_in!S19=0,0,11630*1000*SER_hh_tes_in!S19/SER_hh_num_in!S19)</f>
        <v>9238.5481867124854</v>
      </c>
      <c r="T19" s="130">
        <f>IF(SER_hh_tes_in!T19=0,0,11630*1000*SER_hh_tes_in!T19/SER_hh_num_in!T19)</f>
        <v>9154.0761848630373</v>
      </c>
      <c r="U19" s="130">
        <f>IF(SER_hh_tes_in!U19=0,0,11630*1000*SER_hh_tes_in!U19/SER_hh_num_in!U19)</f>
        <v>8902.5527286216366</v>
      </c>
      <c r="V19" s="130">
        <f>IF(SER_hh_tes_in!V19=0,0,11630*1000*SER_hh_tes_in!V19/SER_hh_num_in!V19)</f>
        <v>7789.9299185296668</v>
      </c>
      <c r="W19" s="130">
        <f>IF(SER_hh_tes_in!W19=0,0,11630*1000*SER_hh_tes_in!W19/SER_hh_num_in!W19)</f>
        <v>8049.2268754208717</v>
      </c>
      <c r="X19" s="130">
        <f>IF(SER_hh_tes_in!X19=0,0,11630*1000*SER_hh_tes_in!X19/SER_hh_num_in!X19)</f>
        <v>8498.9003684953441</v>
      </c>
      <c r="Y19" s="130">
        <f>IF(SER_hh_tes_in!Y19=0,0,11630*1000*SER_hh_tes_in!Y19/SER_hh_num_in!Y19)</f>
        <v>8936.9750085985761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9262.5462452905267</v>
      </c>
      <c r="D22" s="132">
        <f>IF(SER_hh_tes_in!D22=0,0,11630*1000*SER_hh_tes_in!D22/SER_hh_num_in!D22)</f>
        <v>9197.5110688587774</v>
      </c>
      <c r="E22" s="132">
        <f>IF(SER_hh_tes_in!E22=0,0,11630*1000*SER_hh_tes_in!E22/SER_hh_num_in!E22)</f>
        <v>9158.4228224177295</v>
      </c>
      <c r="F22" s="132">
        <f>IF(SER_hh_tes_in!F22=0,0,11630*1000*SER_hh_tes_in!F22/SER_hh_num_in!F22)</f>
        <v>9251.5180691865826</v>
      </c>
      <c r="G22" s="132">
        <f>IF(SER_hh_tes_in!G22=0,0,11630*1000*SER_hh_tes_in!G22/SER_hh_num_in!G22)</f>
        <v>9157.4552454535769</v>
      </c>
      <c r="H22" s="132">
        <f>IF(SER_hh_tes_in!H22=0,0,11630*1000*SER_hh_tes_in!H22/SER_hh_num_in!H22)</f>
        <v>9012.8544017719032</v>
      </c>
      <c r="I22" s="132">
        <f>IF(SER_hh_tes_in!I22=0,0,11630*1000*SER_hh_tes_in!I22/SER_hh_num_in!I22)</f>
        <v>8628.3397785785892</v>
      </c>
      <c r="J22" s="132">
        <f>IF(SER_hh_tes_in!J22=0,0,11630*1000*SER_hh_tes_in!J22/SER_hh_num_in!J22)</f>
        <v>8897.7314845693127</v>
      </c>
      <c r="K22" s="132">
        <f>IF(SER_hh_tes_in!K22=0,0,11630*1000*SER_hh_tes_in!K22/SER_hh_num_in!K22)</f>
        <v>9108.0124258084143</v>
      </c>
      <c r="L22" s="132">
        <f>IF(SER_hh_tes_in!L22=0,0,11630*1000*SER_hh_tes_in!L22/SER_hh_num_in!L22)</f>
        <v>8541.2556809760281</v>
      </c>
      <c r="M22" s="132">
        <f>IF(SER_hh_tes_in!M22=0,0,11630*1000*SER_hh_tes_in!M22/SER_hh_num_in!M22)</f>
        <v>8608.3072218226953</v>
      </c>
      <c r="N22" s="132">
        <f>IF(SER_hh_tes_in!N22=0,0,11630*1000*SER_hh_tes_in!N22/SER_hh_num_in!N22)</f>
        <v>9009.3025325782637</v>
      </c>
      <c r="O22" s="132">
        <f>IF(SER_hh_tes_in!O22=0,0,11630*1000*SER_hh_tes_in!O22/SER_hh_num_in!O22)</f>
        <v>9015.1187611580917</v>
      </c>
      <c r="P22" s="132">
        <f>IF(SER_hh_tes_in!P22=0,0,11630*1000*SER_hh_tes_in!P22/SER_hh_num_in!P22)</f>
        <v>9277.5160927786001</v>
      </c>
      <c r="Q22" s="132">
        <f>IF(SER_hh_tes_in!Q22=0,0,11630*1000*SER_hh_tes_in!Q22/SER_hh_num_in!Q22)</f>
        <v>9121.8580972430609</v>
      </c>
      <c r="R22" s="132">
        <f>IF(SER_hh_tes_in!R22=0,0,11630*1000*SER_hh_tes_in!R22/SER_hh_num_in!R22)</f>
        <v>9509.2909442275522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0</v>
      </c>
      <c r="X22" s="132">
        <f>IF(SER_hh_tes_in!X22=0,0,11630*1000*SER_hh_tes_in!X22/SER_hh_num_in!X22)</f>
        <v>9372.3456224362526</v>
      </c>
      <c r="Y22" s="132">
        <f>IF(SER_hh_tes_in!Y22=0,0,11630*1000*SER_hh_tes_in!Y22/SER_hh_num_in!Y22)</f>
        <v>7141.1485816061486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9142.8273404660449</v>
      </c>
      <c r="D23" s="132">
        <f>IF(SER_hh_tes_in!D23=0,0,11630*1000*SER_hh_tes_in!D23/SER_hh_num_in!D23)</f>
        <v>8839.6117816661626</v>
      </c>
      <c r="E23" s="132">
        <f>IF(SER_hh_tes_in!E23=0,0,11630*1000*SER_hh_tes_in!E23/SER_hh_num_in!E23)</f>
        <v>9462.1003817771143</v>
      </c>
      <c r="F23" s="132">
        <f>IF(SER_hh_tes_in!F23=0,0,11630*1000*SER_hh_tes_in!F23/SER_hh_num_in!F23)</f>
        <v>8946.7892534354796</v>
      </c>
      <c r="G23" s="132">
        <f>IF(SER_hh_tes_in!G23=0,0,11630*1000*SER_hh_tes_in!G23/SER_hh_num_in!G23)</f>
        <v>9070.1690931224493</v>
      </c>
      <c r="H23" s="132">
        <f>IF(SER_hh_tes_in!H23=0,0,11630*1000*SER_hh_tes_in!H23/SER_hh_num_in!H23)</f>
        <v>9341.700065204428</v>
      </c>
      <c r="I23" s="132">
        <f>IF(SER_hh_tes_in!I23=0,0,11630*1000*SER_hh_tes_in!I23/SER_hh_num_in!I23)</f>
        <v>9078.603459329257</v>
      </c>
      <c r="J23" s="132">
        <f>IF(SER_hh_tes_in!J23=0,0,11630*1000*SER_hh_tes_in!J23/SER_hh_num_in!J23)</f>
        <v>8918.1804256662454</v>
      </c>
      <c r="K23" s="132">
        <f>IF(SER_hh_tes_in!K23=0,0,11630*1000*SER_hh_tes_in!K23/SER_hh_num_in!K23)</f>
        <v>9040.2455628384887</v>
      </c>
      <c r="L23" s="132">
        <f>IF(SER_hh_tes_in!L23=0,0,11630*1000*SER_hh_tes_in!L23/SER_hh_num_in!L23)</f>
        <v>8101.6260072624509</v>
      </c>
      <c r="M23" s="132">
        <f>IF(SER_hh_tes_in!M23=0,0,11630*1000*SER_hh_tes_in!M23/SER_hh_num_in!M23)</f>
        <v>8589.7879234147058</v>
      </c>
      <c r="N23" s="132">
        <f>IF(SER_hh_tes_in!N23=0,0,11630*1000*SER_hh_tes_in!N23/SER_hh_num_in!N23)</f>
        <v>9026.1706431827461</v>
      </c>
      <c r="O23" s="132">
        <f>IF(SER_hh_tes_in!O23=0,0,11630*1000*SER_hh_tes_in!O23/SER_hh_num_in!O23)</f>
        <v>9185.2577148348118</v>
      </c>
      <c r="P23" s="132">
        <f>IF(SER_hh_tes_in!P23=0,0,11630*1000*SER_hh_tes_in!P23/SER_hh_num_in!P23)</f>
        <v>8443.4329448388071</v>
      </c>
      <c r="Q23" s="132">
        <f>IF(SER_hh_tes_in!Q23=0,0,11630*1000*SER_hh_tes_in!Q23/SER_hh_num_in!Q23)</f>
        <v>9141.8979783701016</v>
      </c>
      <c r="R23" s="132">
        <f>IF(SER_hh_tes_in!R23=0,0,11630*1000*SER_hh_tes_in!R23/SER_hh_num_in!R23)</f>
        <v>9267.372391401972</v>
      </c>
      <c r="S23" s="132">
        <f>IF(SER_hh_tes_in!S23=0,0,11630*1000*SER_hh_tes_in!S23/SER_hh_num_in!S23)</f>
        <v>9408.0340899062539</v>
      </c>
      <c r="T23" s="132">
        <f>IF(SER_hh_tes_in!T23=0,0,11630*1000*SER_hh_tes_in!T23/SER_hh_num_in!T23)</f>
        <v>9035.8112891624278</v>
      </c>
      <c r="U23" s="132">
        <f>IF(SER_hh_tes_in!U23=0,0,11630*1000*SER_hh_tes_in!U23/SER_hh_num_in!U23)</f>
        <v>9389.1640167157802</v>
      </c>
      <c r="V23" s="132">
        <f>IF(SER_hh_tes_in!V23=0,0,11630*1000*SER_hh_tes_in!V23/SER_hh_num_in!V23)</f>
        <v>6322.5672449939993</v>
      </c>
      <c r="W23" s="132">
        <f>IF(SER_hh_tes_in!W23=0,0,11630*1000*SER_hh_tes_in!W23/SER_hh_num_in!W23)</f>
        <v>9115.9131087383284</v>
      </c>
      <c r="X23" s="132">
        <f>IF(SER_hh_tes_in!X23=0,0,11630*1000*SER_hh_tes_in!X23/SER_hh_num_in!X23)</f>
        <v>8007.1048803192316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9454.2156373340295</v>
      </c>
      <c r="D24" s="132">
        <f>IF(SER_hh_tes_in!D24=0,0,11630*1000*SER_hh_tes_in!D24/SER_hh_num_in!D24)</f>
        <v>9345.3208759255431</v>
      </c>
      <c r="E24" s="132">
        <f>IF(SER_hh_tes_in!E24=0,0,11630*1000*SER_hh_tes_in!E24/SER_hh_num_in!E24)</f>
        <v>9130.8612781033025</v>
      </c>
      <c r="F24" s="132">
        <f>IF(SER_hh_tes_in!F24=0,0,11630*1000*SER_hh_tes_in!F24/SER_hh_num_in!F24)</f>
        <v>9029.1185923153516</v>
      </c>
      <c r="G24" s="132">
        <f>IF(SER_hh_tes_in!G24=0,0,11630*1000*SER_hh_tes_in!G24/SER_hh_num_in!G24)</f>
        <v>9035.4961420963973</v>
      </c>
      <c r="H24" s="132">
        <f>IF(SER_hh_tes_in!H24=0,0,11630*1000*SER_hh_tes_in!H24/SER_hh_num_in!H24)</f>
        <v>9039.9609181311789</v>
      </c>
      <c r="I24" s="132">
        <f>IF(SER_hh_tes_in!I24=0,0,11630*1000*SER_hh_tes_in!I24/SER_hh_num_in!I24)</f>
        <v>9003.7311564540596</v>
      </c>
      <c r="J24" s="132">
        <f>IF(SER_hh_tes_in!J24=0,0,11630*1000*SER_hh_tes_in!J24/SER_hh_num_in!J24)</f>
        <v>8897.1462727139678</v>
      </c>
      <c r="K24" s="132">
        <f>IF(SER_hh_tes_in!K24=0,0,11630*1000*SER_hh_tes_in!K24/SER_hh_num_in!K24)</f>
        <v>8922.8299883777618</v>
      </c>
      <c r="L24" s="132">
        <f>IF(SER_hh_tes_in!L24=0,0,11630*1000*SER_hh_tes_in!L24/SER_hh_num_in!L24)</f>
        <v>8463.7228295935165</v>
      </c>
      <c r="M24" s="132">
        <f>IF(SER_hh_tes_in!M24=0,0,11630*1000*SER_hh_tes_in!M24/SER_hh_num_in!M24)</f>
        <v>9095.2344946089179</v>
      </c>
      <c r="N24" s="132">
        <f>IF(SER_hh_tes_in!N24=0,0,11630*1000*SER_hh_tes_in!N24/SER_hh_num_in!N24)</f>
        <v>9271.1227680101128</v>
      </c>
      <c r="O24" s="132">
        <f>IF(SER_hh_tes_in!O24=0,0,11630*1000*SER_hh_tes_in!O24/SER_hh_num_in!O24)</f>
        <v>8634.2426858098916</v>
      </c>
      <c r="P24" s="132">
        <f>IF(SER_hh_tes_in!P24=0,0,11630*1000*SER_hh_tes_in!P24/SER_hh_num_in!P24)</f>
        <v>9006.9303155316829</v>
      </c>
      <c r="Q24" s="132">
        <f>IF(SER_hh_tes_in!Q24=0,0,11630*1000*SER_hh_tes_in!Q24/SER_hh_num_in!Q24)</f>
        <v>8687.7878946739311</v>
      </c>
      <c r="R24" s="132">
        <f>IF(SER_hh_tes_in!R24=0,0,11630*1000*SER_hh_tes_in!R24/SER_hh_num_in!R24)</f>
        <v>9250.781548412755</v>
      </c>
      <c r="S24" s="132">
        <f>IF(SER_hh_tes_in!S24=0,0,11630*1000*SER_hh_tes_in!S24/SER_hh_num_in!S24)</f>
        <v>9489.4291143884147</v>
      </c>
      <c r="T24" s="132">
        <f>IF(SER_hh_tes_in!T24=0,0,11630*1000*SER_hh_tes_in!T24/SER_hh_num_in!T24)</f>
        <v>9278.135723744088</v>
      </c>
      <c r="U24" s="132">
        <f>IF(SER_hh_tes_in!U24=0,0,11630*1000*SER_hh_tes_in!U24/SER_hh_num_in!U24)</f>
        <v>8823.5681937422669</v>
      </c>
      <c r="V24" s="132">
        <f>IF(SER_hh_tes_in!V24=0,0,11630*1000*SER_hh_tes_in!V24/SER_hh_num_in!V24)</f>
        <v>7219.2598959964971</v>
      </c>
      <c r="W24" s="132">
        <f>IF(SER_hh_tes_in!W24=0,0,11630*1000*SER_hh_tes_in!W24/SER_hh_num_in!W24)</f>
        <v>8721.8096770740431</v>
      </c>
      <c r="X24" s="132">
        <f>IF(SER_hh_tes_in!X24=0,0,11630*1000*SER_hh_tes_in!X24/SER_hh_num_in!X24)</f>
        <v>8194.4936775663082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9417.8549975632704</v>
      </c>
      <c r="D25" s="132">
        <f>IF(SER_hh_tes_in!D25=0,0,11630*1000*SER_hh_tes_in!D25/SER_hh_num_in!D25)</f>
        <v>9271.384280277096</v>
      </c>
      <c r="E25" s="132">
        <f>IF(SER_hh_tes_in!E25=0,0,11630*1000*SER_hh_tes_in!E25/SER_hh_num_in!E25)</f>
        <v>9161.907207076436</v>
      </c>
      <c r="F25" s="132">
        <f>IF(SER_hh_tes_in!F25=0,0,11630*1000*SER_hh_tes_in!F25/SER_hh_num_in!F25)</f>
        <v>9109.4465464082514</v>
      </c>
      <c r="G25" s="132">
        <f>IF(SER_hh_tes_in!G25=0,0,11630*1000*SER_hh_tes_in!G25/SER_hh_num_in!G25)</f>
        <v>9048.517233700919</v>
      </c>
      <c r="H25" s="132">
        <f>IF(SER_hh_tes_in!H25=0,0,11630*1000*SER_hh_tes_in!H25/SER_hh_num_in!H25)</f>
        <v>8986.717299033513</v>
      </c>
      <c r="I25" s="132">
        <f>IF(SER_hh_tes_in!I25=0,0,11630*1000*SER_hh_tes_in!I25/SER_hh_num_in!I25)</f>
        <v>8863.9339067873188</v>
      </c>
      <c r="J25" s="132">
        <f>IF(SER_hh_tes_in!J25=0,0,11630*1000*SER_hh_tes_in!J25/SER_hh_num_in!J25)</f>
        <v>8793.6697695418297</v>
      </c>
      <c r="K25" s="132">
        <f>IF(SER_hh_tes_in!K25=0,0,11630*1000*SER_hh_tes_in!K25/SER_hh_num_in!K25)</f>
        <v>8876.4588479339473</v>
      </c>
      <c r="L25" s="132">
        <f>IF(SER_hh_tes_in!L25=0,0,11630*1000*SER_hh_tes_in!L25/SER_hh_num_in!L25)</f>
        <v>8635.2704428757279</v>
      </c>
      <c r="M25" s="132">
        <f>IF(SER_hh_tes_in!M25=0,0,11630*1000*SER_hh_tes_in!M25/SER_hh_num_in!M25)</f>
        <v>9159.3536154029334</v>
      </c>
      <c r="N25" s="132">
        <f>IF(SER_hh_tes_in!N25=0,0,11630*1000*SER_hh_tes_in!N25/SER_hh_num_in!N25)</f>
        <v>9094.9197403253129</v>
      </c>
      <c r="O25" s="132">
        <f>IF(SER_hh_tes_in!O25=0,0,11630*1000*SER_hh_tes_in!O25/SER_hh_num_in!O25)</f>
        <v>8846.6781685834958</v>
      </c>
      <c r="P25" s="132">
        <f>IF(SER_hh_tes_in!P25=0,0,11630*1000*SER_hh_tes_in!P25/SER_hh_num_in!P25)</f>
        <v>9306.9864068748775</v>
      </c>
      <c r="Q25" s="132">
        <f>IF(SER_hh_tes_in!Q25=0,0,11630*1000*SER_hh_tes_in!Q25/SER_hh_num_in!Q25)</f>
        <v>9054.152361474371</v>
      </c>
      <c r="R25" s="132">
        <f>IF(SER_hh_tes_in!R25=0,0,11630*1000*SER_hh_tes_in!R25/SER_hh_num_in!R25)</f>
        <v>9164.6413764516565</v>
      </c>
      <c r="S25" s="132">
        <f>IF(SER_hh_tes_in!S25=0,0,11630*1000*SER_hh_tes_in!S25/SER_hh_num_in!S25)</f>
        <v>9056.6223318314296</v>
      </c>
      <c r="T25" s="132">
        <f>IF(SER_hh_tes_in!T25=0,0,11630*1000*SER_hh_tes_in!T25/SER_hh_num_in!T25)</f>
        <v>8737.7028272294574</v>
      </c>
      <c r="U25" s="132">
        <f>IF(SER_hh_tes_in!U25=0,0,11630*1000*SER_hh_tes_in!U25/SER_hh_num_in!U25)</f>
        <v>8604.4706280349255</v>
      </c>
      <c r="V25" s="132">
        <f>IF(SER_hh_tes_in!V25=0,0,11630*1000*SER_hh_tes_in!V25/SER_hh_num_in!V25)</f>
        <v>7049.2627684588269</v>
      </c>
      <c r="W25" s="132">
        <f>IF(SER_hh_tes_in!W25=0,0,11630*1000*SER_hh_tes_in!W25/SER_hh_num_in!W25)</f>
        <v>7888.6105393608341</v>
      </c>
      <c r="X25" s="132">
        <f>IF(SER_hh_tes_in!X25=0,0,11630*1000*SER_hh_tes_in!X25/SER_hh_num_in!X25)</f>
        <v>8475.3179527108114</v>
      </c>
      <c r="Y25" s="132">
        <f>IF(SER_hh_tes_in!Y25=0,0,11630*1000*SER_hh_tes_in!Y25/SER_hh_num_in!Y25)</f>
        <v>8109.1548933705426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8323.2903279008169</v>
      </c>
      <c r="D26" s="65">
        <f>IF(SER_hh_tes_in!D26=0,0,11630*1000*SER_hh_tes_in!D26/SER_hh_num_in!D26)</f>
        <v>8085.1484143436928</v>
      </c>
      <c r="E26" s="65">
        <f>IF(SER_hh_tes_in!E26=0,0,11630*1000*SER_hh_tes_in!E26/SER_hh_num_in!E26)</f>
        <v>8209.5364698279664</v>
      </c>
      <c r="F26" s="65">
        <f>IF(SER_hh_tes_in!F26=0,0,11630*1000*SER_hh_tes_in!F26/SER_hh_num_in!F26)</f>
        <v>7935.6582729309703</v>
      </c>
      <c r="G26" s="65">
        <f>IF(SER_hh_tes_in!G26=0,0,11630*1000*SER_hh_tes_in!G26/SER_hh_num_in!G26)</f>
        <v>7552.0423192192684</v>
      </c>
      <c r="H26" s="65">
        <f>IF(SER_hh_tes_in!H26=0,0,11630*1000*SER_hh_tes_in!H26/SER_hh_num_in!H26)</f>
        <v>7966.9265037291607</v>
      </c>
      <c r="I26" s="65">
        <f>IF(SER_hh_tes_in!I26=0,0,11630*1000*SER_hh_tes_in!I26/SER_hh_num_in!I26)</f>
        <v>8069.7358654122572</v>
      </c>
      <c r="J26" s="65">
        <f>IF(SER_hh_tes_in!J26=0,0,11630*1000*SER_hh_tes_in!J26/SER_hh_num_in!J26)</f>
        <v>7468.1887877683102</v>
      </c>
      <c r="K26" s="65">
        <f>IF(SER_hh_tes_in!K26=0,0,11630*1000*SER_hh_tes_in!K26/SER_hh_num_in!K26)</f>
        <v>8548.5799666408093</v>
      </c>
      <c r="L26" s="65">
        <f>IF(SER_hh_tes_in!L26=0,0,11630*1000*SER_hh_tes_in!L26/SER_hh_num_in!L26)</f>
        <v>4507.4458832112932</v>
      </c>
      <c r="M26" s="65">
        <f>IF(SER_hh_tes_in!M26=0,0,11630*1000*SER_hh_tes_in!M26/SER_hh_num_in!M26)</f>
        <v>6235.4873768753632</v>
      </c>
      <c r="N26" s="65">
        <f>IF(SER_hh_tes_in!N26=0,0,11630*1000*SER_hh_tes_in!N26/SER_hh_num_in!N26)</f>
        <v>6668.651192389173</v>
      </c>
      <c r="O26" s="65">
        <f>IF(SER_hh_tes_in!O26=0,0,11630*1000*SER_hh_tes_in!O26/SER_hh_num_in!O26)</f>
        <v>5302.8642327475463</v>
      </c>
      <c r="P26" s="65">
        <f>IF(SER_hh_tes_in!P26=0,0,11630*1000*SER_hh_tes_in!P26/SER_hh_num_in!P26)</f>
        <v>9378.0346982249666</v>
      </c>
      <c r="Q26" s="65">
        <f>IF(SER_hh_tes_in!Q26=0,0,11630*1000*SER_hh_tes_in!Q26/SER_hh_num_in!Q26)</f>
        <v>4954.7175539731206</v>
      </c>
      <c r="R26" s="65">
        <f>IF(SER_hh_tes_in!R26=0,0,11630*1000*SER_hh_tes_in!R26/SER_hh_num_in!R26)</f>
        <v>5154.4292675657525</v>
      </c>
      <c r="S26" s="65">
        <f>IF(SER_hh_tes_in!S26=0,0,11630*1000*SER_hh_tes_in!S26/SER_hh_num_in!S26)</f>
        <v>8596.4884979755716</v>
      </c>
      <c r="T26" s="65">
        <f>IF(SER_hh_tes_in!T26=0,0,11630*1000*SER_hh_tes_in!T26/SER_hh_num_in!T26)</f>
        <v>4533.6605128904785</v>
      </c>
      <c r="U26" s="65">
        <f>IF(SER_hh_tes_in!U26=0,0,11630*1000*SER_hh_tes_in!U26/SER_hh_num_in!U26)</f>
        <v>5146.6935485987615</v>
      </c>
      <c r="V26" s="65">
        <f>IF(SER_hh_tes_in!V26=0,0,11630*1000*SER_hh_tes_in!V26/SER_hh_num_in!V26)</f>
        <v>0</v>
      </c>
      <c r="W26" s="65">
        <f>IF(SER_hh_tes_in!W26=0,0,11630*1000*SER_hh_tes_in!W26/SER_hh_num_in!W26)</f>
        <v>8770.4982683347098</v>
      </c>
      <c r="X26" s="65">
        <f>IF(SER_hh_tes_in!X26=0,0,11630*1000*SER_hh_tes_in!X26/SER_hh_num_in!X26)</f>
        <v>9094.8227559591123</v>
      </c>
      <c r="Y26" s="65">
        <f>IF(SER_hh_tes_in!Y26=0,0,11630*1000*SER_hh_tes_in!Y26/SER_hh_num_in!Y26)</f>
        <v>0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323.55288067865746</v>
      </c>
      <c r="D27" s="145">
        <f>IF(SER_hh_tes_in!D27=0,0,11630*1000*SER_hh_tes_in!D27/SER_hh_num_in!D19)</f>
        <v>402.07560698406695</v>
      </c>
      <c r="E27" s="145">
        <f>IF(SER_hh_tes_in!E27=0,0,11630*1000*SER_hh_tes_in!E27/SER_hh_num_in!E19)</f>
        <v>315.30269603682626</v>
      </c>
      <c r="F27" s="145">
        <f>IF(SER_hh_tes_in!F27=0,0,11630*1000*SER_hh_tes_in!F27/SER_hh_num_in!F19)</f>
        <v>454.06470619544478</v>
      </c>
      <c r="G27" s="145">
        <f>IF(SER_hh_tes_in!G27=0,0,11630*1000*SER_hh_tes_in!G27/SER_hh_num_in!G19)</f>
        <v>608.7498967957921</v>
      </c>
      <c r="H27" s="145">
        <f>IF(SER_hh_tes_in!H27=0,0,11630*1000*SER_hh_tes_in!H27/SER_hh_num_in!H19)</f>
        <v>529.97144631355445</v>
      </c>
      <c r="I27" s="145">
        <f>IF(SER_hh_tes_in!I27=0,0,11630*1000*SER_hh_tes_in!I27/SER_hh_num_in!I19)</f>
        <v>450.98727106960803</v>
      </c>
      <c r="J27" s="145">
        <f>IF(SER_hh_tes_in!J27=0,0,11630*1000*SER_hh_tes_in!J27/SER_hh_num_in!J19)</f>
        <v>562.18903783965675</v>
      </c>
      <c r="K27" s="145">
        <f>IF(SER_hh_tes_in!K27=0,0,11630*1000*SER_hh_tes_in!K27/SER_hh_num_in!K19)</f>
        <v>210.04550389813241</v>
      </c>
      <c r="L27" s="145">
        <f>IF(SER_hh_tes_in!L27=0,0,11630*1000*SER_hh_tes_in!L27/SER_hh_num_in!L19)</f>
        <v>1109.6572715685622</v>
      </c>
      <c r="M27" s="145">
        <f>IF(SER_hh_tes_in!M27=0,0,11630*1000*SER_hh_tes_in!M27/SER_hh_num_in!M19)</f>
        <v>992.796405930883</v>
      </c>
      <c r="N27" s="145">
        <f>IF(SER_hh_tes_in!N27=0,0,11630*1000*SER_hh_tes_in!N27/SER_hh_num_in!N19)</f>
        <v>948.67420926660998</v>
      </c>
      <c r="O27" s="145">
        <f>IF(SER_hh_tes_in!O27=0,0,11630*1000*SER_hh_tes_in!O27/SER_hh_num_in!O19)</f>
        <v>1344.7563990776355</v>
      </c>
      <c r="P27" s="145">
        <f>IF(SER_hh_tes_in!P27=0,0,11630*1000*SER_hh_tes_in!P27/SER_hh_num_in!P19)</f>
        <v>6.3986192782964856E-12</v>
      </c>
      <c r="Q27" s="145">
        <f>IF(SER_hh_tes_in!Q27=0,0,11630*1000*SER_hh_tes_in!Q27/SER_hh_num_in!Q19)</f>
        <v>586.95085472433232</v>
      </c>
      <c r="R27" s="145">
        <f>IF(SER_hh_tes_in!R27=0,0,11630*1000*SER_hh_tes_in!R27/SER_hh_num_in!R19)</f>
        <v>560.70728691261877</v>
      </c>
      <c r="S27" s="145">
        <f>IF(SER_hh_tes_in!S27=0,0,11630*1000*SER_hh_tes_in!S27/SER_hh_num_in!S19)</f>
        <v>176.34444687307428</v>
      </c>
      <c r="T27" s="145">
        <f>IF(SER_hh_tes_in!T27=0,0,11630*1000*SER_hh_tes_in!T27/SER_hh_num_in!T19)</f>
        <v>674.69606912312349</v>
      </c>
      <c r="U27" s="145">
        <f>IF(SER_hh_tes_in!U27=0,0,11630*1000*SER_hh_tes_in!U27/SER_hh_num_in!U19)</f>
        <v>657.15388727296795</v>
      </c>
      <c r="V27" s="145">
        <f>IF(SER_hh_tes_in!V27=0,0,11630*1000*SER_hh_tes_in!V27/SER_hh_num_in!V19)</f>
        <v>803.45727926220115</v>
      </c>
      <c r="W27" s="145">
        <f>IF(SER_hh_tes_in!W27=0,0,11630*1000*SER_hh_tes_in!W27/SER_hh_num_in!W19)</f>
        <v>0.13490795731150762</v>
      </c>
      <c r="X27" s="145">
        <f>IF(SER_hh_tes_in!X27=0,0,11630*1000*SER_hh_tes_in!X27/SER_hh_num_in!X19)</f>
        <v>4.17847055718838E-12</v>
      </c>
      <c r="Y27" s="145">
        <f>IF(SER_hh_tes_in!Y27=0,0,11630*1000*SER_hh_tes_in!Y27/SER_hh_num_in!Y19)</f>
        <v>838.90662592470107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4169.170826995819</v>
      </c>
      <c r="D28" s="146">
        <f>IF(SER_hh_tes_in!D27=0,0,11630*1000*SER_hh_tes_in!D27/SER_hh_num_in!D27)</f>
        <v>4058.1001052355477</v>
      </c>
      <c r="E28" s="146">
        <f>IF(SER_hh_tes_in!E27=0,0,11630*1000*SER_hh_tes_in!E27/SER_hh_num_in!E27)</f>
        <v>4120.7931674215843</v>
      </c>
      <c r="F28" s="146">
        <f>IF(SER_hh_tes_in!F27=0,0,11630*1000*SER_hh_tes_in!F27/SER_hh_num_in!F27)</f>
        <v>4099.2527851365039</v>
      </c>
      <c r="G28" s="146">
        <f>IF(SER_hh_tes_in!G27=0,0,11630*1000*SER_hh_tes_in!G27/SER_hh_num_in!G27)</f>
        <v>4021.470300292146</v>
      </c>
      <c r="H28" s="146">
        <f>IF(SER_hh_tes_in!H27=0,0,11630*1000*SER_hh_tes_in!H27/SER_hh_num_in!H27)</f>
        <v>4017.419298108226</v>
      </c>
      <c r="I28" s="146">
        <f>IF(SER_hh_tes_in!I27=0,0,11630*1000*SER_hh_tes_in!I27/SER_hh_num_in!I27)</f>
        <v>4076.08664093066</v>
      </c>
      <c r="J28" s="146">
        <f>IF(SER_hh_tes_in!J27=0,0,11630*1000*SER_hh_tes_in!J27/SER_hh_num_in!J27)</f>
        <v>4227.5210920196296</v>
      </c>
      <c r="K28" s="146">
        <f>IF(SER_hh_tes_in!K27=0,0,11630*1000*SER_hh_tes_in!K27/SER_hh_num_in!K27)</f>
        <v>4671.328019053286</v>
      </c>
      <c r="L28" s="146">
        <f>IF(SER_hh_tes_in!L27=0,0,11630*1000*SER_hh_tes_in!L27/SER_hh_num_in!L27)</f>
        <v>4005.6262152587451</v>
      </c>
      <c r="M28" s="146">
        <f>IF(SER_hh_tes_in!M27=0,0,11630*1000*SER_hh_tes_in!M27/SER_hh_num_in!M27)</f>
        <v>4093.9641025154388</v>
      </c>
      <c r="N28" s="146">
        <f>IF(SER_hh_tes_in!N27=0,0,11630*1000*SER_hh_tes_in!N27/SER_hh_num_in!N27)</f>
        <v>4268.4062250322359</v>
      </c>
      <c r="O28" s="146">
        <f>IF(SER_hh_tes_in!O27=0,0,11630*1000*SER_hh_tes_in!O27/SER_hh_num_in!O27)</f>
        <v>3975.5537061776395</v>
      </c>
      <c r="P28" s="146">
        <f>IF(SER_hh_tes_in!P27=0,0,11630*1000*SER_hh_tes_in!P27/SER_hh_num_in!P27)</f>
        <v>4251.4566033141627</v>
      </c>
      <c r="Q28" s="146">
        <f>IF(SER_hh_tes_in!Q27=0,0,11630*1000*SER_hh_tes_in!Q27/SER_hh_num_in!Q27)</f>
        <v>4075.8815067004284</v>
      </c>
      <c r="R28" s="146">
        <f>IF(SER_hh_tes_in!R27=0,0,11630*1000*SER_hh_tes_in!R27/SER_hh_num_in!R27)</f>
        <v>4084.6167972955304</v>
      </c>
      <c r="S28" s="146">
        <f>IF(SER_hh_tes_in!S27=0,0,11630*1000*SER_hh_tes_in!S27/SER_hh_num_in!S27)</f>
        <v>4408.4073148017587</v>
      </c>
      <c r="T28" s="146">
        <f>IF(SER_hh_tes_in!T27=0,0,11630*1000*SER_hh_tes_in!T27/SER_hh_num_in!T27)</f>
        <v>4236.3781329332478</v>
      </c>
      <c r="U28" s="146">
        <f>IF(SER_hh_tes_in!U27=0,0,11630*1000*SER_hh_tes_in!U27/SER_hh_num_in!U27)</f>
        <v>4106.7997514768431</v>
      </c>
      <c r="V28" s="146">
        <f>IF(SER_hh_tes_in!V27=0,0,11630*1000*SER_hh_tes_in!V27/SER_hh_num_in!V27)</f>
        <v>3419.4021838806084</v>
      </c>
      <c r="W28" s="146">
        <f>IF(SER_hh_tes_in!W27=0,0,11630*1000*SER_hh_tes_in!W27/SER_hh_num_in!W27)</f>
        <v>3796.5601450424879</v>
      </c>
      <c r="X28" s="146">
        <f>IF(SER_hh_tes_in!X27=0,0,11630*1000*SER_hh_tes_in!X27/SER_hh_num_in!X27)</f>
        <v>5682.2084703012633</v>
      </c>
      <c r="Y28" s="146">
        <f>IF(SER_hh_tes_in!Y27=0,0,11630*1000*SER_hh_tes_in!Y27/SER_hh_num_in!Y27)</f>
        <v>4501.4210965309821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8072.4591498109176</v>
      </c>
      <c r="D29" s="130">
        <f>IF(SER_hh_tes_in!D29=0,0,11630*1000*SER_hh_tes_in!D29/SER_hh_num_in!D29)</f>
        <v>8106.4202821721847</v>
      </c>
      <c r="E29" s="130">
        <f>IF(SER_hh_tes_in!E29=0,0,11630*1000*SER_hh_tes_in!E29/SER_hh_num_in!E29)</f>
        <v>8318.035018906734</v>
      </c>
      <c r="F29" s="130">
        <f>IF(SER_hh_tes_in!F29=0,0,11630*1000*SER_hh_tes_in!F29/SER_hh_num_in!F29)</f>
        <v>8431.0423166478759</v>
      </c>
      <c r="G29" s="130">
        <f>IF(SER_hh_tes_in!G29=0,0,11630*1000*SER_hh_tes_in!G29/SER_hh_num_in!G29)</f>
        <v>8458.8511122522195</v>
      </c>
      <c r="H29" s="130">
        <f>IF(SER_hh_tes_in!H29=0,0,11630*1000*SER_hh_tes_in!H29/SER_hh_num_in!H29)</f>
        <v>8545.8482574781428</v>
      </c>
      <c r="I29" s="130">
        <f>IF(SER_hh_tes_in!I29=0,0,11630*1000*SER_hh_tes_in!I29/SER_hh_num_in!I29)</f>
        <v>8451.7768254855</v>
      </c>
      <c r="J29" s="130">
        <f>IF(SER_hh_tes_in!J29=0,0,11630*1000*SER_hh_tes_in!J29/SER_hh_num_in!J29)</f>
        <v>8525.325291541345</v>
      </c>
      <c r="K29" s="130">
        <f>IF(SER_hh_tes_in!K29=0,0,11630*1000*SER_hh_tes_in!K29/SER_hh_num_in!K29)</f>
        <v>8536.0793934327612</v>
      </c>
      <c r="L29" s="130">
        <f>IF(SER_hh_tes_in!L29=0,0,11630*1000*SER_hh_tes_in!L29/SER_hh_num_in!L29)</f>
        <v>8515.8886860312577</v>
      </c>
      <c r="M29" s="130">
        <f>IF(SER_hh_tes_in!M29=0,0,11630*1000*SER_hh_tes_in!M29/SER_hh_num_in!M29)</f>
        <v>8696.6870017157416</v>
      </c>
      <c r="N29" s="130">
        <f>IF(SER_hh_tes_in!N29=0,0,11630*1000*SER_hh_tes_in!N29/SER_hh_num_in!N29)</f>
        <v>8788.6976096799135</v>
      </c>
      <c r="O29" s="130">
        <f>IF(SER_hh_tes_in!O29=0,0,11630*1000*SER_hh_tes_in!O29/SER_hh_num_in!O29)</f>
        <v>8756.5408166026155</v>
      </c>
      <c r="P29" s="130">
        <f>IF(SER_hh_tes_in!P29=0,0,11630*1000*SER_hh_tes_in!P29/SER_hh_num_in!P29)</f>
        <v>8526.965422612886</v>
      </c>
      <c r="Q29" s="130">
        <f>IF(SER_hh_tes_in!Q29=0,0,11630*1000*SER_hh_tes_in!Q29/SER_hh_num_in!Q29)</f>
        <v>8629.3160292173761</v>
      </c>
      <c r="R29" s="130">
        <f>IF(SER_hh_tes_in!R29=0,0,11630*1000*SER_hh_tes_in!R29/SER_hh_num_in!R29)</f>
        <v>8701.2600050989422</v>
      </c>
      <c r="S29" s="130">
        <f>IF(SER_hh_tes_in!S29=0,0,11630*1000*SER_hh_tes_in!S29/SER_hh_num_in!S29)</f>
        <v>8797.0161341572912</v>
      </c>
      <c r="T29" s="130">
        <f>IF(SER_hh_tes_in!T29=0,0,11630*1000*SER_hh_tes_in!T29/SER_hh_num_in!T29)</f>
        <v>8553.6931646772409</v>
      </c>
      <c r="U29" s="130">
        <f>IF(SER_hh_tes_in!U29=0,0,11630*1000*SER_hh_tes_in!U29/SER_hh_num_in!U29)</f>
        <v>8518.7650132718136</v>
      </c>
      <c r="V29" s="130">
        <f>IF(SER_hh_tes_in!V29=0,0,11630*1000*SER_hh_tes_in!V29/SER_hh_num_in!V29)</f>
        <v>6878.6526109911338</v>
      </c>
      <c r="W29" s="130">
        <f>IF(SER_hh_tes_in!W29=0,0,11630*1000*SER_hh_tes_in!W29/SER_hh_num_in!W29)</f>
        <v>7336.4936882006605</v>
      </c>
      <c r="X29" s="130">
        <f>IF(SER_hh_tes_in!X29=0,0,11630*1000*SER_hh_tes_in!X29/SER_hh_num_in!X29)</f>
        <v>7018.6315243619592</v>
      </c>
      <c r="Y29" s="130">
        <f>IF(SER_hh_tes_in!Y29=0,0,11630*1000*SER_hh_tes_in!Y29/SER_hh_num_in!Y29)</f>
        <v>6559.2958222232091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8076.3827332611991</v>
      </c>
      <c r="D30" s="132">
        <f>IF(SER_hh_tes_in!D30=0,0,11630*1000*SER_hh_tes_in!D30/SER_hh_num_in!D30)</f>
        <v>7227.7612716727726</v>
      </c>
      <c r="E30" s="132">
        <f>IF(SER_hh_tes_in!E30=0,0,11630*1000*SER_hh_tes_in!E30/SER_hh_num_in!E30)</f>
        <v>8110.2355572017768</v>
      </c>
      <c r="F30" s="132">
        <f>IF(SER_hh_tes_in!F30=0,0,11630*1000*SER_hh_tes_in!F30/SER_hh_num_in!F30)</f>
        <v>8579.3988860432928</v>
      </c>
      <c r="G30" s="132">
        <f>IF(SER_hh_tes_in!G30=0,0,11630*1000*SER_hh_tes_in!G30/SER_hh_num_in!G30)</f>
        <v>9057.1990420730344</v>
      </c>
      <c r="H30" s="132">
        <f>IF(SER_hh_tes_in!H30=0,0,11630*1000*SER_hh_tes_in!H30/SER_hh_num_in!H30)</f>
        <v>8636.5651509528761</v>
      </c>
      <c r="I30" s="132">
        <f>IF(SER_hh_tes_in!I30=0,0,11630*1000*SER_hh_tes_in!I30/SER_hh_num_in!I30)</f>
        <v>8491.0323814329622</v>
      </c>
      <c r="J30" s="132">
        <f>IF(SER_hh_tes_in!J30=0,0,11630*1000*SER_hh_tes_in!J30/SER_hh_num_in!J30)</f>
        <v>8236.3802989793221</v>
      </c>
      <c r="K30" s="132">
        <f>IF(SER_hh_tes_in!K30=0,0,11630*1000*SER_hh_tes_in!K30/SER_hh_num_in!K30)</f>
        <v>7880.1770986106039</v>
      </c>
      <c r="L30" s="132">
        <f>IF(SER_hh_tes_in!L30=0,0,11630*1000*SER_hh_tes_in!L30/SER_hh_num_in!L30)</f>
        <v>9803.5896143600676</v>
      </c>
      <c r="M30" s="132">
        <f>IF(SER_hh_tes_in!M30=0,0,11630*1000*SER_hh_tes_in!M30/SER_hh_num_in!M30)</f>
        <v>8782.438335569881</v>
      </c>
      <c r="N30" s="132">
        <f>IF(SER_hh_tes_in!N30=0,0,11630*1000*SER_hh_tes_in!N30/SER_hh_num_in!N30)</f>
        <v>8161.6848376064881</v>
      </c>
      <c r="O30" s="132">
        <f>IF(SER_hh_tes_in!O30=0,0,11630*1000*SER_hh_tes_in!O30/SER_hh_num_in!O30)</f>
        <v>9627.7368407096455</v>
      </c>
      <c r="P30" s="132">
        <f>IF(SER_hh_tes_in!P30=0,0,11630*1000*SER_hh_tes_in!P30/SER_hh_num_in!P30)</f>
        <v>5130.7511873370149</v>
      </c>
      <c r="Q30" s="132">
        <f>IF(SER_hh_tes_in!Q30=0,0,11630*1000*SER_hh_tes_in!Q30/SER_hh_num_in!Q30)</f>
        <v>9620.1393877466435</v>
      </c>
      <c r="R30" s="132">
        <f>IF(SER_hh_tes_in!R30=0,0,11630*1000*SER_hh_tes_in!R30/SER_hh_num_in!R30)</f>
        <v>9255.2990224049918</v>
      </c>
      <c r="S30" s="132">
        <f>IF(SER_hh_tes_in!S30=0,0,11630*1000*SER_hh_tes_in!S30/SER_hh_num_in!S30)</f>
        <v>8644.7854933592971</v>
      </c>
      <c r="T30" s="132">
        <f>IF(SER_hh_tes_in!T30=0,0,11630*1000*SER_hh_tes_in!T30/SER_hh_num_in!T30)</f>
        <v>8665.8336546431365</v>
      </c>
      <c r="U30" s="132">
        <f>IF(SER_hh_tes_in!U30=0,0,11630*1000*SER_hh_tes_in!U30/SER_hh_num_in!U30)</f>
        <v>8393.5361271580041</v>
      </c>
      <c r="V30" s="132">
        <f>IF(SER_hh_tes_in!V30=0,0,11630*1000*SER_hh_tes_in!V30/SER_hh_num_in!V30)</f>
        <v>6865.1813922323154</v>
      </c>
      <c r="W30" s="132">
        <f>IF(SER_hh_tes_in!W30=0,0,11630*1000*SER_hh_tes_in!W30/SER_hh_num_in!W30)</f>
        <v>6923.8902830125944</v>
      </c>
      <c r="X30" s="132">
        <f>IF(SER_hh_tes_in!X30=0,0,11630*1000*SER_hh_tes_in!X30/SER_hh_num_in!X30)</f>
        <v>7021.7724901502497</v>
      </c>
      <c r="Y30" s="132">
        <f>IF(SER_hh_tes_in!Y30=0,0,11630*1000*SER_hh_tes_in!Y30/SER_hh_num_in!Y30)</f>
        <v>6525.6683470361186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8051.7635097448137</v>
      </c>
      <c r="D31" s="132">
        <f>IF(SER_hh_tes_in!D31=0,0,11630*1000*SER_hh_tes_in!D31/SER_hh_num_in!D31)</f>
        <v>8135.1946768086655</v>
      </c>
      <c r="E31" s="132">
        <f>IF(SER_hh_tes_in!E31=0,0,11630*1000*SER_hh_tes_in!E31/SER_hh_num_in!E31)</f>
        <v>8264.5834300707593</v>
      </c>
      <c r="F31" s="132">
        <f>IF(SER_hh_tes_in!F31=0,0,11630*1000*SER_hh_tes_in!F31/SER_hh_num_in!F31)</f>
        <v>8190.3094805993196</v>
      </c>
      <c r="G31" s="132">
        <f>IF(SER_hh_tes_in!G31=0,0,11630*1000*SER_hh_tes_in!G31/SER_hh_num_in!G31)</f>
        <v>8605.6609504469907</v>
      </c>
      <c r="H31" s="132">
        <f>IF(SER_hh_tes_in!H31=0,0,11630*1000*SER_hh_tes_in!H31/SER_hh_num_in!H31)</f>
        <v>8595.6334812774876</v>
      </c>
      <c r="I31" s="132">
        <f>IF(SER_hh_tes_in!I31=0,0,11630*1000*SER_hh_tes_in!I31/SER_hh_num_in!I31)</f>
        <v>8496.5682378511901</v>
      </c>
      <c r="J31" s="132">
        <f>IF(SER_hh_tes_in!J31=0,0,11630*1000*SER_hh_tes_in!J31/SER_hh_num_in!J31)</f>
        <v>8490.1925139435971</v>
      </c>
      <c r="K31" s="132">
        <f>IF(SER_hh_tes_in!K31=0,0,11630*1000*SER_hh_tes_in!K31/SER_hh_num_in!K31)</f>
        <v>8620.7519727125909</v>
      </c>
      <c r="L31" s="132">
        <f>IF(SER_hh_tes_in!L31=0,0,11630*1000*SER_hh_tes_in!L31/SER_hh_num_in!L31)</f>
        <v>8666.3031454991851</v>
      </c>
      <c r="M31" s="132">
        <f>IF(SER_hh_tes_in!M31=0,0,11630*1000*SER_hh_tes_in!M31/SER_hh_num_in!M31)</f>
        <v>8651.2160963780207</v>
      </c>
      <c r="N31" s="132">
        <f>IF(SER_hh_tes_in!N31=0,0,11630*1000*SER_hh_tes_in!N31/SER_hh_num_in!N31)</f>
        <v>8727.8238427762371</v>
      </c>
      <c r="O31" s="132">
        <f>IF(SER_hh_tes_in!O31=0,0,11630*1000*SER_hh_tes_in!O31/SER_hh_num_in!O31)</f>
        <v>8642.4625808717083</v>
      </c>
      <c r="P31" s="132">
        <f>IF(SER_hh_tes_in!P31=0,0,11630*1000*SER_hh_tes_in!P31/SER_hh_num_in!P31)</f>
        <v>8216.0971387272912</v>
      </c>
      <c r="Q31" s="132">
        <f>IF(SER_hh_tes_in!Q31=0,0,11630*1000*SER_hh_tes_in!Q31/SER_hh_num_in!Q31)</f>
        <v>9034.319503148592</v>
      </c>
      <c r="R31" s="132">
        <f>IF(SER_hh_tes_in!R31=0,0,11630*1000*SER_hh_tes_in!R31/SER_hh_num_in!R31)</f>
        <v>8863.3390931793092</v>
      </c>
      <c r="S31" s="132">
        <f>IF(SER_hh_tes_in!S31=0,0,11630*1000*SER_hh_tes_in!S31/SER_hh_num_in!S31)</f>
        <v>8113.8039752296236</v>
      </c>
      <c r="T31" s="132">
        <f>IF(SER_hh_tes_in!T31=0,0,11630*1000*SER_hh_tes_in!T31/SER_hh_num_in!T31)</f>
        <v>8639.5075949976581</v>
      </c>
      <c r="U31" s="132">
        <f>IF(SER_hh_tes_in!U31=0,0,11630*1000*SER_hh_tes_in!U31/SER_hh_num_in!U31)</f>
        <v>9385.6585537544179</v>
      </c>
      <c r="V31" s="132">
        <f>IF(SER_hh_tes_in!V31=0,0,11630*1000*SER_hh_tes_in!V31/SER_hh_num_in!V31)</f>
        <v>5528.5566544051244</v>
      </c>
      <c r="W31" s="132">
        <f>IF(SER_hh_tes_in!W31=0,0,11630*1000*SER_hh_tes_in!W31/SER_hh_num_in!W31)</f>
        <v>7240.4081321593885</v>
      </c>
      <c r="X31" s="132">
        <f>IF(SER_hh_tes_in!X31=0,0,11630*1000*SER_hh_tes_in!X31/SER_hh_num_in!X31)</f>
        <v>6416.0424556998505</v>
      </c>
      <c r="Y31" s="132">
        <f>IF(SER_hh_tes_in!Y31=0,0,11630*1000*SER_hh_tes_in!Y31/SER_hh_num_in!Y31)</f>
        <v>6895.2646771814052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8076.0417168863614</v>
      </c>
      <c r="D33" s="68">
        <f>IF(SER_hh_tes_in!D33=0,0,11630*1000*SER_hh_tes_in!D33/SER_hh_num_in!D33)</f>
        <v>8141.2531688114505</v>
      </c>
      <c r="E33" s="68">
        <f>IF(SER_hh_tes_in!E33=0,0,11630*1000*SER_hh_tes_in!E33/SER_hh_num_in!E33)</f>
        <v>8343.3369042951599</v>
      </c>
      <c r="F33" s="68">
        <f>IF(SER_hh_tes_in!F33=0,0,11630*1000*SER_hh_tes_in!F33/SER_hh_num_in!F33)</f>
        <v>8475.2224287347799</v>
      </c>
      <c r="G33" s="68">
        <f>IF(SER_hh_tes_in!G33=0,0,11630*1000*SER_hh_tes_in!G33/SER_hh_num_in!G33)</f>
        <v>8374.6178825318675</v>
      </c>
      <c r="H33" s="68">
        <f>IF(SER_hh_tes_in!H33=0,0,11630*1000*SER_hh_tes_in!H33/SER_hh_num_in!H33)</f>
        <v>8530.3132118489139</v>
      </c>
      <c r="I33" s="68">
        <f>IF(SER_hh_tes_in!I33=0,0,11630*1000*SER_hh_tes_in!I33/SER_hh_num_in!I33)</f>
        <v>8441.6090664480453</v>
      </c>
      <c r="J33" s="68">
        <f>IF(SER_hh_tes_in!J33=0,0,11630*1000*SER_hh_tes_in!J33/SER_hh_num_in!J33)</f>
        <v>8543.9741340498003</v>
      </c>
      <c r="K33" s="68">
        <f>IF(SER_hh_tes_in!K33=0,0,11630*1000*SER_hh_tes_in!K33/SER_hh_num_in!K33)</f>
        <v>8547.3852350844445</v>
      </c>
      <c r="L33" s="68">
        <f>IF(SER_hh_tes_in!L33=0,0,11630*1000*SER_hh_tes_in!L33/SER_hh_num_in!L33)</f>
        <v>8417.5985342467593</v>
      </c>
      <c r="M33" s="68">
        <f>IF(SER_hh_tes_in!M33=0,0,11630*1000*SER_hh_tes_in!M33/SER_hh_num_in!M33)</f>
        <v>8700.2265245155177</v>
      </c>
      <c r="N33" s="68">
        <f>IF(SER_hh_tes_in!N33=0,0,11630*1000*SER_hh_tes_in!N33/SER_hh_num_in!N33)</f>
        <v>8798.7550218032866</v>
      </c>
      <c r="O33" s="68">
        <f>IF(SER_hh_tes_in!O33=0,0,11630*1000*SER_hh_tes_in!O33/SER_hh_num_in!O33)</f>
        <v>8742.4835349781988</v>
      </c>
      <c r="P33" s="68">
        <f>IF(SER_hh_tes_in!P33=0,0,11630*1000*SER_hh_tes_in!P33/SER_hh_num_in!P33)</f>
        <v>8883.7801355629781</v>
      </c>
      <c r="Q33" s="68">
        <f>IF(SER_hh_tes_in!Q33=0,0,11630*1000*SER_hh_tes_in!Q33/SER_hh_num_in!Q33)</f>
        <v>8397.6961499009813</v>
      </c>
      <c r="R33" s="68">
        <f>IF(SER_hh_tes_in!R33=0,0,11630*1000*SER_hh_tes_in!R33/SER_hh_num_in!R33)</f>
        <v>8608.8308426921194</v>
      </c>
      <c r="S33" s="68">
        <f>IF(SER_hh_tes_in!S33=0,0,11630*1000*SER_hh_tes_in!S33/SER_hh_num_in!S33)</f>
        <v>8966.552636684788</v>
      </c>
      <c r="T33" s="68">
        <f>IF(SER_hh_tes_in!T33=0,0,11630*1000*SER_hh_tes_in!T33/SER_hh_num_in!T33)</f>
        <v>8526.4131909836415</v>
      </c>
      <c r="U33" s="68">
        <f>IF(SER_hh_tes_in!U33=0,0,11630*1000*SER_hh_tes_in!U33/SER_hh_num_in!U33)</f>
        <v>8280.2466247884167</v>
      </c>
      <c r="V33" s="68">
        <f>IF(SER_hh_tes_in!V33=0,0,11630*1000*SER_hh_tes_in!V33/SER_hh_num_in!V33)</f>
        <v>7270.3269942693114</v>
      </c>
      <c r="W33" s="68">
        <f>IF(SER_hh_tes_in!W33=0,0,11630*1000*SER_hh_tes_in!W33/SER_hh_num_in!W33)</f>
        <v>7425.4322144114385</v>
      </c>
      <c r="X33" s="68">
        <f>IF(SER_hh_tes_in!X33=0,0,11630*1000*SER_hh_tes_in!X33/SER_hh_num_in!X33)</f>
        <v>7577.7680169112946</v>
      </c>
      <c r="Y33" s="68">
        <f>IF(SER_hh_tes_in!Y33=0,0,11630*1000*SER_hh_tes_in!Y33/SER_hh_num_in!Y33)</f>
        <v>5668.6497884613591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4105.656557339742</v>
      </c>
      <c r="D3" s="125">
        <f>IF(SER_hh_emi_in!D3=0,0,1000000*SER_hh_emi_in!D3/SER_hh_num_in!D3)</f>
        <v>7196.3519325463958</v>
      </c>
      <c r="E3" s="125">
        <f>IF(SER_hh_emi_in!E3=0,0,1000000*SER_hh_emi_in!E3/SER_hh_num_in!E3)</f>
        <v>8447.5216976907159</v>
      </c>
      <c r="F3" s="125">
        <f>IF(SER_hh_emi_in!F3=0,0,1000000*SER_hh_emi_in!F3/SER_hh_num_in!F3)</f>
        <v>7671.9107989190179</v>
      </c>
      <c r="G3" s="125">
        <f>IF(SER_hh_emi_in!G3=0,0,1000000*SER_hh_emi_in!G3/SER_hh_num_in!G3)</f>
        <v>6301.8081987555697</v>
      </c>
      <c r="H3" s="125">
        <f>IF(SER_hh_emi_in!H3=0,0,1000000*SER_hh_emi_in!H3/SER_hh_num_in!H3)</f>
        <v>5279.2280976422571</v>
      </c>
      <c r="I3" s="125">
        <f>IF(SER_hh_emi_in!I3=0,0,1000000*SER_hh_emi_in!I3/SER_hh_num_in!I3)</f>
        <v>3399.7129655099193</v>
      </c>
      <c r="J3" s="125">
        <f>IF(SER_hh_emi_in!J3=0,0,1000000*SER_hh_emi_in!J3/SER_hh_num_in!J3)</f>
        <v>3996.1680783910397</v>
      </c>
      <c r="K3" s="125">
        <f>IF(SER_hh_emi_in!K3=0,0,1000000*SER_hh_emi_in!K3/SER_hh_num_in!K3)</f>
        <v>3083.6253525567554</v>
      </c>
      <c r="L3" s="125">
        <f>IF(SER_hh_emi_in!L3=0,0,1000000*SER_hh_emi_in!L3/SER_hh_num_in!L3)</f>
        <v>2505.0543310981948</v>
      </c>
      <c r="M3" s="125">
        <f>IF(SER_hh_emi_in!M3=0,0,1000000*SER_hh_emi_in!M3/SER_hh_num_in!M3)</f>
        <v>2865.1942656019428</v>
      </c>
      <c r="N3" s="125">
        <f>IF(SER_hh_emi_in!N3=0,0,1000000*SER_hh_emi_in!N3/SER_hh_num_in!N3)</f>
        <v>4825.321928955269</v>
      </c>
      <c r="O3" s="125">
        <f>IF(SER_hh_emi_in!O3=0,0,1000000*SER_hh_emi_in!O3/SER_hh_num_in!O3)</f>
        <v>4772.3672425120421</v>
      </c>
      <c r="P3" s="125">
        <f>IF(SER_hh_emi_in!P3=0,0,1000000*SER_hh_emi_in!P3/SER_hh_num_in!P3)</f>
        <v>2951.4204439312425</v>
      </c>
      <c r="Q3" s="125">
        <f>IF(SER_hh_emi_in!Q3=0,0,1000000*SER_hh_emi_in!Q3/SER_hh_num_in!Q3)</f>
        <v>5041.246890057666</v>
      </c>
      <c r="R3" s="125">
        <f>IF(SER_hh_emi_in!R3=0,0,1000000*SER_hh_emi_in!R3/SER_hh_num_in!R3)</f>
        <v>4033.8010941573943</v>
      </c>
      <c r="S3" s="125">
        <f>IF(SER_hh_emi_in!S3=0,0,1000000*SER_hh_emi_in!S3/SER_hh_num_in!S3)</f>
        <v>3635.1747948611146</v>
      </c>
      <c r="T3" s="125">
        <f>IF(SER_hh_emi_in!T3=0,0,1000000*SER_hh_emi_in!T3/SER_hh_num_in!T3)</f>
        <v>2768.1099596125796</v>
      </c>
      <c r="U3" s="125">
        <f>IF(SER_hh_emi_in!U3=0,0,1000000*SER_hh_emi_in!U3/SER_hh_num_in!U3)</f>
        <v>3238.9111481581717</v>
      </c>
      <c r="V3" s="125">
        <f>IF(SER_hh_emi_in!V3=0,0,1000000*SER_hh_emi_in!V3/SER_hh_num_in!V3)</f>
        <v>2466.8868430219654</v>
      </c>
      <c r="W3" s="125">
        <f>IF(SER_hh_emi_in!W3=0,0,1000000*SER_hh_emi_in!W3/SER_hh_num_in!W3)</f>
        <v>1747.490933521236</v>
      </c>
      <c r="X3" s="125">
        <f>IF(SER_hh_emi_in!X3=0,0,1000000*SER_hh_emi_in!X3/SER_hh_num_in!X3)</f>
        <v>1756.2379534061167</v>
      </c>
      <c r="Y3" s="125">
        <f>IF(SER_hh_emi_in!Y3=0,0,1000000*SER_hh_emi_in!Y3/SER_hh_num_in!Y3)</f>
        <v>1742.4979327223205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3127.3568543581127</v>
      </c>
      <c r="D4" s="130">
        <f>IF(SER_hh_emi_in!D4=0,0,1000000*SER_hh_emi_in!D4/SER_hh_num_in!D4)</f>
        <v>5965.1400278505589</v>
      </c>
      <c r="E4" s="130">
        <f>IF(SER_hh_emi_in!E4=0,0,1000000*SER_hh_emi_in!E4/SER_hh_num_in!E4)</f>
        <v>6990.9432618056508</v>
      </c>
      <c r="F4" s="130">
        <f>IF(SER_hh_emi_in!F4=0,0,1000000*SER_hh_emi_in!F4/SER_hh_num_in!F4)</f>
        <v>6267.9088872433022</v>
      </c>
      <c r="G4" s="130">
        <f>IF(SER_hh_emi_in!G4=0,0,1000000*SER_hh_emi_in!G4/SER_hh_num_in!G4)</f>
        <v>4860.8621775736201</v>
      </c>
      <c r="H4" s="130">
        <f>IF(SER_hh_emi_in!H4=0,0,1000000*SER_hh_emi_in!H4/SER_hh_num_in!H4)</f>
        <v>4125.824768082467</v>
      </c>
      <c r="I4" s="130">
        <f>IF(SER_hh_emi_in!I4=0,0,1000000*SER_hh_emi_in!I4/SER_hh_num_in!I4)</f>
        <v>2467.8214438316309</v>
      </c>
      <c r="J4" s="130">
        <f>IF(SER_hh_emi_in!J4=0,0,1000000*SER_hh_emi_in!J4/SER_hh_num_in!J4)</f>
        <v>2942.2412396070195</v>
      </c>
      <c r="K4" s="130">
        <f>IF(SER_hh_emi_in!K4=0,0,1000000*SER_hh_emi_in!K4/SER_hh_num_in!K4)</f>
        <v>2163.301841617686</v>
      </c>
      <c r="L4" s="130">
        <f>IF(SER_hh_emi_in!L4=0,0,1000000*SER_hh_emi_in!L4/SER_hh_num_in!L4)</f>
        <v>1668.6855601151103</v>
      </c>
      <c r="M4" s="130">
        <f>IF(SER_hh_emi_in!M4=0,0,1000000*SER_hh_emi_in!M4/SER_hh_num_in!M4)</f>
        <v>2326.2098919399373</v>
      </c>
      <c r="N4" s="130">
        <f>IF(SER_hh_emi_in!N4=0,0,1000000*SER_hh_emi_in!N4/SER_hh_num_in!N4)</f>
        <v>4150.2778957977434</v>
      </c>
      <c r="O4" s="130">
        <f>IF(SER_hh_emi_in!O4=0,0,1000000*SER_hh_emi_in!O4/SER_hh_num_in!O4)</f>
        <v>3806.5861303745296</v>
      </c>
      <c r="P4" s="130">
        <f>IF(SER_hh_emi_in!P4=0,0,1000000*SER_hh_emi_in!P4/SER_hh_num_in!P4)</f>
        <v>1942.5552249118539</v>
      </c>
      <c r="Q4" s="130">
        <f>IF(SER_hh_emi_in!Q4=0,0,1000000*SER_hh_emi_in!Q4/SER_hh_num_in!Q4)</f>
        <v>3448.3250162542308</v>
      </c>
      <c r="R4" s="130">
        <f>IF(SER_hh_emi_in!R4=0,0,1000000*SER_hh_emi_in!R4/SER_hh_num_in!R4)</f>
        <v>2720.6274430795911</v>
      </c>
      <c r="S4" s="130">
        <f>IF(SER_hh_emi_in!S4=0,0,1000000*SER_hh_emi_in!S4/SER_hh_num_in!S4)</f>
        <v>2515.6855744615918</v>
      </c>
      <c r="T4" s="130">
        <f>IF(SER_hh_emi_in!T4=0,0,1000000*SER_hh_emi_in!T4/SER_hh_num_in!T4)</f>
        <v>1808.9819993517144</v>
      </c>
      <c r="U4" s="130">
        <f>IF(SER_hh_emi_in!U4=0,0,1000000*SER_hh_emi_in!U4/SER_hh_num_in!U4)</f>
        <v>2250.7569276033114</v>
      </c>
      <c r="V4" s="130">
        <f>IF(SER_hh_emi_in!V4=0,0,1000000*SER_hh_emi_in!V4/SER_hh_num_in!V4)</f>
        <v>1874.5423452375799</v>
      </c>
      <c r="W4" s="130">
        <f>IF(SER_hh_emi_in!W4=0,0,1000000*SER_hh_emi_in!W4/SER_hh_num_in!W4)</f>
        <v>1027.4017337145292</v>
      </c>
      <c r="X4" s="130">
        <f>IF(SER_hh_emi_in!X4=0,0,1000000*SER_hh_emi_in!X4/SER_hh_num_in!X4)</f>
        <v>874.46517705912902</v>
      </c>
      <c r="Y4" s="130">
        <f>IF(SER_hh_emi_in!Y4=0,0,1000000*SER_hh_emi_in!Y4/SER_hh_num_in!Y4)</f>
        <v>523.05840891162723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38780.826830194499</v>
      </c>
      <c r="D7" s="132">
        <f>IF(SER_hh_emi_in!D7=0,0,1000000*SER_hh_emi_in!D7/SER_hh_num_in!D7)</f>
        <v>36690.728533876892</v>
      </c>
      <c r="E7" s="132">
        <f>IF(SER_hh_emi_in!E7=0,0,1000000*SER_hh_emi_in!E7/SER_hh_num_in!E7)</f>
        <v>36722.788354558077</v>
      </c>
      <c r="F7" s="132">
        <f>IF(SER_hh_emi_in!F7=0,0,1000000*SER_hh_emi_in!F7/SER_hh_num_in!F7)</f>
        <v>38099.230788285924</v>
      </c>
      <c r="G7" s="132">
        <f>IF(SER_hh_emi_in!G7=0,0,1000000*SER_hh_emi_in!G7/SER_hh_num_in!G7)</f>
        <v>35053.500281813365</v>
      </c>
      <c r="H7" s="132">
        <f>IF(SER_hh_emi_in!H7=0,0,1000000*SER_hh_emi_in!H7/SER_hh_num_in!H7)</f>
        <v>31226.242946745391</v>
      </c>
      <c r="I7" s="132">
        <f>IF(SER_hh_emi_in!I7=0,0,1000000*SER_hh_emi_in!I7/SER_hh_num_in!I7)</f>
        <v>29061.286658471265</v>
      </c>
      <c r="J7" s="132">
        <f>IF(SER_hh_emi_in!J7=0,0,1000000*SER_hh_emi_in!J7/SER_hh_num_in!J7)</f>
        <v>30216.08780814708</v>
      </c>
      <c r="K7" s="132">
        <f>IF(SER_hh_emi_in!K7=0,0,1000000*SER_hh_emi_in!K7/SER_hh_num_in!K7)</f>
        <v>28320.924728280457</v>
      </c>
      <c r="L7" s="132">
        <f>IF(SER_hh_emi_in!L7=0,0,1000000*SER_hh_emi_in!L7/SER_hh_num_in!L7)</f>
        <v>27867.126189068651</v>
      </c>
      <c r="M7" s="132">
        <f>IF(SER_hh_emi_in!M7=0,0,1000000*SER_hh_emi_in!M7/SER_hh_num_in!M7)</f>
        <v>21329.978552197466</v>
      </c>
      <c r="N7" s="132">
        <f>IF(SER_hh_emi_in!N7=0,0,1000000*SER_hh_emi_in!N7/SER_hh_num_in!N7)</f>
        <v>24059.344581592628</v>
      </c>
      <c r="O7" s="132">
        <f>IF(SER_hh_emi_in!O7=0,0,1000000*SER_hh_emi_in!O7/SER_hh_num_in!O7)</f>
        <v>20405.915408723955</v>
      </c>
      <c r="P7" s="132">
        <f>IF(SER_hh_emi_in!P7=0,0,1000000*SER_hh_emi_in!P7/SER_hh_num_in!P7)</f>
        <v>16609.005676501067</v>
      </c>
      <c r="Q7" s="132">
        <f>IF(SER_hh_emi_in!Q7=0,0,1000000*SER_hh_emi_in!Q7/SER_hh_num_in!Q7)</f>
        <v>16229.409874762339</v>
      </c>
      <c r="R7" s="132">
        <f>IF(SER_hh_emi_in!R7=0,0,1000000*SER_hh_emi_in!R7/SER_hh_num_in!R7)</f>
        <v>15879.548280003333</v>
      </c>
      <c r="S7" s="132">
        <f>IF(SER_hh_emi_in!S7=0,0,1000000*SER_hh_emi_in!S7/SER_hh_num_in!S7)</f>
        <v>0</v>
      </c>
      <c r="T7" s="132">
        <f>IF(SER_hh_emi_in!T7=0,0,1000000*SER_hh_emi_in!T7/SER_hh_num_in!T7)</f>
        <v>16749.258539224033</v>
      </c>
      <c r="U7" s="132">
        <f>IF(SER_hh_emi_in!U7=0,0,1000000*SER_hh_emi_in!U7/SER_hh_num_in!U7)</f>
        <v>0</v>
      </c>
      <c r="V7" s="132">
        <f>IF(SER_hh_emi_in!V7=0,0,1000000*SER_hh_emi_in!V7/SER_hh_num_in!V7)</f>
        <v>0</v>
      </c>
      <c r="W7" s="132">
        <f>IF(SER_hh_emi_in!W7=0,0,1000000*SER_hh_emi_in!W7/SER_hh_num_in!W7)</f>
        <v>0</v>
      </c>
      <c r="X7" s="132">
        <f>IF(SER_hh_emi_in!X7=0,0,1000000*SER_hh_emi_in!X7/SER_hh_num_in!X7)</f>
        <v>12499.805916100084</v>
      </c>
      <c r="Y7" s="132">
        <f>IF(SER_hh_emi_in!Y7=0,0,1000000*SER_hh_emi_in!Y7/SER_hh_num_in!Y7)</f>
        <v>10160.559157942524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9564.5986888632051</v>
      </c>
      <c r="D8" s="132">
        <f>IF(SER_hh_emi_in!D8=0,0,1000000*SER_hh_emi_in!D8/SER_hh_num_in!D8)</f>
        <v>8769.6844543864627</v>
      </c>
      <c r="E8" s="132">
        <f>IF(SER_hh_emi_in!E8=0,0,1000000*SER_hh_emi_in!E8/SER_hh_num_in!E8)</f>
        <v>9606.1036443582907</v>
      </c>
      <c r="F8" s="132">
        <f>IF(SER_hh_emi_in!F8=0,0,1000000*SER_hh_emi_in!F8/SER_hh_num_in!F8)</f>
        <v>8960.098245810781</v>
      </c>
      <c r="G8" s="132">
        <f>IF(SER_hh_emi_in!G8=0,0,1000000*SER_hh_emi_in!G8/SER_hh_num_in!G8)</f>
        <v>7179.7320407430161</v>
      </c>
      <c r="H8" s="132">
        <f>IF(SER_hh_emi_in!H8=0,0,1000000*SER_hh_emi_in!H8/SER_hh_num_in!H8)</f>
        <v>4157.1634177582246</v>
      </c>
      <c r="I8" s="132">
        <f>IF(SER_hh_emi_in!I8=0,0,1000000*SER_hh_emi_in!I8/SER_hh_num_in!I8)</f>
        <v>8583.2197219036098</v>
      </c>
      <c r="J8" s="132">
        <f>IF(SER_hh_emi_in!J8=0,0,1000000*SER_hh_emi_in!J8/SER_hh_num_in!J8)</f>
        <v>6955.674764602807</v>
      </c>
      <c r="K8" s="132">
        <f>IF(SER_hh_emi_in!K8=0,0,1000000*SER_hh_emi_in!K8/SER_hh_num_in!K8)</f>
        <v>6351.1832989950053</v>
      </c>
      <c r="L8" s="132">
        <f>IF(SER_hh_emi_in!L8=0,0,1000000*SER_hh_emi_in!L8/SER_hh_num_in!L8)</f>
        <v>5828.4416348800851</v>
      </c>
      <c r="M8" s="132">
        <f>IF(SER_hh_emi_in!M8=0,0,1000000*SER_hh_emi_in!M8/SER_hh_num_in!M8)</f>
        <v>5216.9043233917655</v>
      </c>
      <c r="N8" s="132">
        <f>IF(SER_hh_emi_in!N8=0,0,1000000*SER_hh_emi_in!N8/SER_hh_num_in!N8)</f>
        <v>4606.6855475081511</v>
      </c>
      <c r="O8" s="132">
        <f>IF(SER_hh_emi_in!O8=0,0,1000000*SER_hh_emi_in!O8/SER_hh_num_in!O8)</f>
        <v>3791.6369975749394</v>
      </c>
      <c r="P8" s="132">
        <f>IF(SER_hh_emi_in!P8=0,0,1000000*SER_hh_emi_in!P8/SER_hh_num_in!P8)</f>
        <v>3776.2344891823368</v>
      </c>
      <c r="Q8" s="132">
        <f>IF(SER_hh_emi_in!Q8=0,0,1000000*SER_hh_emi_in!Q8/SER_hh_num_in!Q8)</f>
        <v>3801.4400156773504</v>
      </c>
      <c r="R8" s="132">
        <f>IF(SER_hh_emi_in!R8=0,0,1000000*SER_hh_emi_in!R8/SER_hh_num_in!R8)</f>
        <v>3272.3270536903556</v>
      </c>
      <c r="S8" s="132">
        <f>IF(SER_hh_emi_in!S8=0,0,1000000*SER_hh_emi_in!S8/SER_hh_num_in!S8)</f>
        <v>2880.0975968719213</v>
      </c>
      <c r="T8" s="132">
        <f>IF(SER_hh_emi_in!T8=0,0,1000000*SER_hh_emi_in!T8/SER_hh_num_in!T8)</f>
        <v>2620.8484456257329</v>
      </c>
      <c r="U8" s="132">
        <f>IF(SER_hh_emi_in!U8=0,0,1000000*SER_hh_emi_in!U8/SER_hh_num_in!U8)</f>
        <v>2316.2090068966008</v>
      </c>
      <c r="V8" s="132">
        <f>IF(SER_hh_emi_in!V8=0,0,1000000*SER_hh_emi_in!V8/SER_hh_num_in!V8)</f>
        <v>2149.5053075492501</v>
      </c>
      <c r="W8" s="132">
        <f>IF(SER_hh_emi_in!W8=0,0,1000000*SER_hh_emi_in!W8/SER_hh_num_in!W8)</f>
        <v>1755.1843335738504</v>
      </c>
      <c r="X8" s="132">
        <f>IF(SER_hh_emi_in!X8=0,0,1000000*SER_hh_emi_in!X8/SER_hh_num_in!X8)</f>
        <v>1525.6229650795051</v>
      </c>
      <c r="Y8" s="132">
        <f>IF(SER_hh_emi_in!Y8=0,0,1000000*SER_hh_emi_in!Y8/SER_hh_num_in!Y8)</f>
        <v>1488.0142048223945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26043.581105764864</v>
      </c>
      <c r="D9" s="132">
        <f>IF(SER_hh_emi_in!D9=0,0,1000000*SER_hh_emi_in!D9/SER_hh_num_in!D9)</f>
        <v>24321.645635118919</v>
      </c>
      <c r="E9" s="132">
        <f>IF(SER_hh_emi_in!E9=0,0,1000000*SER_hh_emi_in!E9/SER_hh_num_in!E9)</f>
        <v>26702.82329167952</v>
      </c>
      <c r="F9" s="132">
        <f>IF(SER_hh_emi_in!F9=0,0,1000000*SER_hh_emi_in!F9/SER_hh_num_in!F9)</f>
        <v>24078.824357022157</v>
      </c>
      <c r="G9" s="132">
        <f>IF(SER_hh_emi_in!G9=0,0,1000000*SER_hh_emi_in!G9/SER_hh_num_in!G9)</f>
        <v>23017.368169629717</v>
      </c>
      <c r="H9" s="132">
        <f>IF(SER_hh_emi_in!H9=0,0,1000000*SER_hh_emi_in!H9/SER_hh_num_in!H9)</f>
        <v>23870.318464110154</v>
      </c>
      <c r="I9" s="132">
        <f>IF(SER_hh_emi_in!I9=0,0,1000000*SER_hh_emi_in!I9/SER_hh_num_in!I9)</f>
        <v>21097.068833140271</v>
      </c>
      <c r="J9" s="132">
        <f>IF(SER_hh_emi_in!J9=0,0,1000000*SER_hh_emi_in!J9/SER_hh_num_in!J9)</f>
        <v>20301.484147986655</v>
      </c>
      <c r="K9" s="132">
        <f>IF(SER_hh_emi_in!K9=0,0,1000000*SER_hh_emi_in!K9/SER_hh_num_in!K9)</f>
        <v>20255.716379346602</v>
      </c>
      <c r="L9" s="132">
        <f>IF(SER_hh_emi_in!L9=0,0,1000000*SER_hh_emi_in!L9/SER_hh_num_in!L9)</f>
        <v>20193.939027573084</v>
      </c>
      <c r="M9" s="132">
        <f>IF(SER_hh_emi_in!M9=0,0,1000000*SER_hh_emi_in!M9/SER_hh_num_in!M9)</f>
        <v>14875.337844889009</v>
      </c>
      <c r="N9" s="132">
        <f>IF(SER_hh_emi_in!N9=0,0,1000000*SER_hh_emi_in!N9/SER_hh_num_in!N9)</f>
        <v>16042.236618167439</v>
      </c>
      <c r="O9" s="132">
        <f>IF(SER_hh_emi_in!O9=0,0,1000000*SER_hh_emi_in!O9/SER_hh_num_in!O9)</f>
        <v>15451.073708159318</v>
      </c>
      <c r="P9" s="132">
        <f>IF(SER_hh_emi_in!P9=0,0,1000000*SER_hh_emi_in!P9/SER_hh_num_in!P9)</f>
        <v>9773.255591217121</v>
      </c>
      <c r="Q9" s="132">
        <f>IF(SER_hh_emi_in!Q9=0,0,1000000*SER_hh_emi_in!Q9/SER_hh_num_in!Q9)</f>
        <v>11815.353702127773</v>
      </c>
      <c r="R9" s="132">
        <f>IF(SER_hh_emi_in!R9=0,0,1000000*SER_hh_emi_in!R9/SER_hh_num_in!R9)</f>
        <v>11087.319528631147</v>
      </c>
      <c r="S9" s="132">
        <f>IF(SER_hh_emi_in!S9=0,0,1000000*SER_hh_emi_in!S9/SER_hh_num_in!S9)</f>
        <v>11297.262761716802</v>
      </c>
      <c r="T9" s="132">
        <f>IF(SER_hh_emi_in!T9=0,0,1000000*SER_hh_emi_in!T9/SER_hh_num_in!T9)</f>
        <v>7783.0035016226475</v>
      </c>
      <c r="U9" s="132">
        <f>IF(SER_hh_emi_in!U9=0,0,1000000*SER_hh_emi_in!U9/SER_hh_num_in!U9)</f>
        <v>6958.7213848133151</v>
      </c>
      <c r="V9" s="132">
        <f>IF(SER_hh_emi_in!V9=0,0,1000000*SER_hh_emi_in!V9/SER_hh_num_in!V9)</f>
        <v>6386.038403439271</v>
      </c>
      <c r="W9" s="132">
        <f>IF(SER_hh_emi_in!W9=0,0,1000000*SER_hh_emi_in!W9/SER_hh_num_in!W9)</f>
        <v>7683.6000847606192</v>
      </c>
      <c r="X9" s="132">
        <f>IF(SER_hh_emi_in!X9=0,0,1000000*SER_hh_emi_in!X9/SER_hh_num_in!X9)</f>
        <v>5172.5070185441318</v>
      </c>
      <c r="Y9" s="132">
        <f>IF(SER_hh_emi_in!Y9=0,0,1000000*SER_hh_emi_in!Y9/SER_hh_num_in!Y9)</f>
        <v>4666.0423231919603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10203.259526290858</v>
      </c>
      <c r="D10" s="132">
        <f>IF(SER_hh_emi_in!D10=0,0,1000000*SER_hh_emi_in!D10/SER_hh_num_in!D10)</f>
        <v>13990.354112522189</v>
      </c>
      <c r="E10" s="132">
        <f>IF(SER_hh_emi_in!E10=0,0,1000000*SER_hh_emi_in!E10/SER_hh_num_in!E10)</f>
        <v>13764.865265269967</v>
      </c>
      <c r="F10" s="132">
        <f>IF(SER_hh_emi_in!F10=0,0,1000000*SER_hh_emi_in!F10/SER_hh_num_in!F10)</f>
        <v>10677.747755581939</v>
      </c>
      <c r="G10" s="132">
        <f>IF(SER_hh_emi_in!G10=0,0,1000000*SER_hh_emi_in!G10/SER_hh_num_in!G10)</f>
        <v>10471.064712298315</v>
      </c>
      <c r="H10" s="132">
        <f>IF(SER_hh_emi_in!H10=0,0,1000000*SER_hh_emi_in!H10/SER_hh_num_in!H10)</f>
        <v>10718.524941821472</v>
      </c>
      <c r="I10" s="132">
        <f>IF(SER_hh_emi_in!I10=0,0,1000000*SER_hh_emi_in!I10/SER_hh_num_in!I10)</f>
        <v>7654.8445184900374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3821.4818999728659</v>
      </c>
      <c r="M10" s="132">
        <f>IF(SER_hh_emi_in!M10=0,0,1000000*SER_hh_emi_in!M10/SER_hh_num_in!M10)</f>
        <v>5366.4695559035636</v>
      </c>
      <c r="N10" s="132">
        <f>IF(SER_hh_emi_in!N10=0,0,1000000*SER_hh_emi_in!N10/SER_hh_num_in!N10)</f>
        <v>4755.5639756994642</v>
      </c>
      <c r="O10" s="132">
        <f>IF(SER_hh_emi_in!O10=0,0,1000000*SER_hh_emi_in!O10/SER_hh_num_in!O10)</f>
        <v>4309.0554697919024</v>
      </c>
      <c r="P10" s="132">
        <f>IF(SER_hh_emi_in!P10=0,0,1000000*SER_hh_emi_in!P10/SER_hh_num_in!P10)</f>
        <v>5416.2365671992202</v>
      </c>
      <c r="Q10" s="132">
        <f>IF(SER_hh_emi_in!Q10=0,0,1000000*SER_hh_emi_in!Q10/SER_hh_num_in!Q10)</f>
        <v>2062.7008649091176</v>
      </c>
      <c r="R10" s="132">
        <f>IF(SER_hh_emi_in!R10=0,0,1000000*SER_hh_emi_in!R10/SER_hh_num_in!R10)</f>
        <v>2827.4908068985446</v>
      </c>
      <c r="S10" s="132">
        <f>IF(SER_hh_emi_in!S10=0,0,1000000*SER_hh_emi_in!S10/SER_hh_num_in!S10)</f>
        <v>3367.9431666986065</v>
      </c>
      <c r="T10" s="132">
        <f>IF(SER_hh_emi_in!T10=0,0,1000000*SER_hh_emi_in!T10/SER_hh_num_in!T10)</f>
        <v>3548.2170108526675</v>
      </c>
      <c r="U10" s="132">
        <f>IF(SER_hh_emi_in!U10=0,0,1000000*SER_hh_emi_in!U10/SER_hh_num_in!U10)</f>
        <v>3228.1264704772138</v>
      </c>
      <c r="V10" s="132">
        <f>IF(SER_hh_emi_in!V10=0,0,1000000*SER_hh_emi_in!V10/SER_hh_num_in!V10)</f>
        <v>2466.9274237836139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3.3290528175549241</v>
      </c>
      <c r="D16" s="130">
        <f>IF(SER_hh_emi_in!D16=0,0,1000000*SER_hh_emi_in!D16/SER_hh_num_in!D16)</f>
        <v>3.5530942665373422</v>
      </c>
      <c r="E16" s="130">
        <f>IF(SER_hh_emi_in!E16=0,0,1000000*SER_hh_emi_in!E16/SER_hh_num_in!E16)</f>
        <v>2.8584708287667309</v>
      </c>
      <c r="F16" s="130">
        <f>IF(SER_hh_emi_in!F16=0,0,1000000*SER_hh_emi_in!F16/SER_hh_num_in!F16)</f>
        <v>3.8958218462747789</v>
      </c>
      <c r="G16" s="130">
        <f>IF(SER_hh_emi_in!G16=0,0,1000000*SER_hh_emi_in!G16/SER_hh_num_in!G16)</f>
        <v>3.9584925366385528</v>
      </c>
      <c r="H16" s="130">
        <f>IF(SER_hh_emi_in!H16=0,0,1000000*SER_hh_emi_in!H16/SER_hh_num_in!H16)</f>
        <v>3.0847337158542039</v>
      </c>
      <c r="I16" s="130">
        <f>IF(SER_hh_emi_in!I16=0,0,1000000*SER_hh_emi_in!I16/SER_hh_num_in!I16)</f>
        <v>2.669007438642391</v>
      </c>
      <c r="J16" s="130">
        <f>IF(SER_hh_emi_in!J16=0,0,1000000*SER_hh_emi_in!J16/SER_hh_num_in!J16)</f>
        <v>2.9887869476082711</v>
      </c>
      <c r="K16" s="130">
        <f>IF(SER_hh_emi_in!K16=0,0,1000000*SER_hh_emi_in!K16/SER_hh_num_in!K16)</f>
        <v>2.6784369706578213</v>
      </c>
      <c r="L16" s="130">
        <f>IF(SER_hh_emi_in!L16=0,0,1000000*SER_hh_emi_in!L16/SER_hh_num_in!L16)</f>
        <v>3.7601993954934998</v>
      </c>
      <c r="M16" s="130">
        <f>IF(SER_hh_emi_in!M16=0,0,1000000*SER_hh_emi_in!M16/SER_hh_num_in!M16)</f>
        <v>4.4595260073635172</v>
      </c>
      <c r="N16" s="130">
        <f>IF(SER_hh_emi_in!N16=0,0,1000000*SER_hh_emi_in!N16/SER_hh_num_in!N16)</f>
        <v>5.6269906527286757</v>
      </c>
      <c r="O16" s="130">
        <f>IF(SER_hh_emi_in!O16=0,0,1000000*SER_hh_emi_in!O16/SER_hh_num_in!O16)</f>
        <v>7.2840787173881019</v>
      </c>
      <c r="P16" s="130">
        <f>IF(SER_hh_emi_in!P16=0,0,1000000*SER_hh_emi_in!P16/SER_hh_num_in!P16)</f>
        <v>10.169707024211323</v>
      </c>
      <c r="Q16" s="130">
        <f>IF(SER_hh_emi_in!Q16=0,0,1000000*SER_hh_emi_in!Q16/SER_hh_num_in!Q16)</f>
        <v>15.569335889049947</v>
      </c>
      <c r="R16" s="130">
        <f>IF(SER_hh_emi_in!R16=0,0,1000000*SER_hh_emi_in!R16/SER_hh_num_in!R16)</f>
        <v>13.728974051263846</v>
      </c>
      <c r="S16" s="130">
        <f>IF(SER_hh_emi_in!S16=0,0,1000000*SER_hh_emi_in!S16/SER_hh_num_in!S16)</f>
        <v>12.224295553195258</v>
      </c>
      <c r="T16" s="130">
        <f>IF(SER_hh_emi_in!T16=0,0,1000000*SER_hh_emi_in!T16/SER_hh_num_in!T16)</f>
        <v>8.99619877091658</v>
      </c>
      <c r="U16" s="130">
        <f>IF(SER_hh_emi_in!U16=0,0,1000000*SER_hh_emi_in!U16/SER_hh_num_in!U16)</f>
        <v>12.292840179070897</v>
      </c>
      <c r="V16" s="130">
        <f>IF(SER_hh_emi_in!V16=0,0,1000000*SER_hh_emi_in!V16/SER_hh_num_in!V16)</f>
        <v>18.494851421728896</v>
      </c>
      <c r="W16" s="130">
        <f>IF(SER_hh_emi_in!W16=0,0,1000000*SER_hh_emi_in!W16/SER_hh_num_in!W16)</f>
        <v>5.2097275178001752</v>
      </c>
      <c r="X16" s="130">
        <f>IF(SER_hh_emi_in!X16=0,0,1000000*SER_hh_emi_in!X16/SER_hh_num_in!X16)</f>
        <v>4.0808184140117403</v>
      </c>
      <c r="Y16" s="130">
        <f>IF(SER_hh_emi_in!Y16=0,0,1000000*SER_hh_emi_in!Y16/SER_hh_num_in!Y16)</f>
        <v>5.0602484424878451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3419.9383023964519</v>
      </c>
      <c r="D17" s="132">
        <f>IF(SER_hh_emi_in!D17=0,0,1000000*SER_hh_emi_in!D17/SER_hh_num_in!D17)</f>
        <v>3314.1145206279534</v>
      </c>
      <c r="E17" s="132">
        <f>IF(SER_hh_emi_in!E17=0,0,1000000*SER_hh_emi_in!E17/SER_hh_num_in!E17)</f>
        <v>3296.8116967324208</v>
      </c>
      <c r="F17" s="132">
        <f>IF(SER_hh_emi_in!F17=0,0,1000000*SER_hh_emi_in!F17/SER_hh_num_in!F17)</f>
        <v>3189.5786745681908</v>
      </c>
      <c r="G17" s="132">
        <f>IF(SER_hh_emi_in!G17=0,0,1000000*SER_hh_emi_in!G17/SER_hh_num_in!G17)</f>
        <v>3118.4365491722988</v>
      </c>
      <c r="H17" s="132">
        <f>IF(SER_hh_emi_in!H17=0,0,1000000*SER_hh_emi_in!H17/SER_hh_num_in!H17)</f>
        <v>3043.3393455999235</v>
      </c>
      <c r="I17" s="132">
        <f>IF(SER_hh_emi_in!I17=0,0,1000000*SER_hh_emi_in!I17/SER_hh_num_in!I17)</f>
        <v>3012.1094800242022</v>
      </c>
      <c r="J17" s="132">
        <f>IF(SER_hh_emi_in!J17=0,0,1000000*SER_hh_emi_in!J17/SER_hh_num_in!J17)</f>
        <v>2933.6200702722226</v>
      </c>
      <c r="K17" s="132">
        <f>IF(SER_hh_emi_in!K17=0,0,1000000*SER_hh_emi_in!K17/SER_hh_num_in!K17)</f>
        <v>2882.1881311984093</v>
      </c>
      <c r="L17" s="132">
        <f>IF(SER_hh_emi_in!L17=0,0,1000000*SER_hh_emi_in!L17/SER_hh_num_in!L17)</f>
        <v>2822.3372000879267</v>
      </c>
      <c r="M17" s="132">
        <f>IF(SER_hh_emi_in!M17=0,0,1000000*SER_hh_emi_in!M17/SER_hh_num_in!M17)</f>
        <v>2724.3994790406591</v>
      </c>
      <c r="N17" s="132">
        <f>IF(SER_hh_emi_in!N17=0,0,1000000*SER_hh_emi_in!N17/SER_hh_num_in!N17)</f>
        <v>2625.1079274555132</v>
      </c>
      <c r="O17" s="132">
        <f>IF(SER_hh_emi_in!O17=0,0,1000000*SER_hh_emi_in!O17/SER_hh_num_in!O17)</f>
        <v>2495.4861098972469</v>
      </c>
      <c r="P17" s="132">
        <f>IF(SER_hh_emi_in!P17=0,0,1000000*SER_hh_emi_in!P17/SER_hh_num_in!P17)</f>
        <v>2444.8061057055597</v>
      </c>
      <c r="Q17" s="132">
        <f>IF(SER_hh_emi_in!Q17=0,0,1000000*SER_hh_emi_in!Q17/SER_hh_num_in!Q17)</f>
        <v>2403.0885753018442</v>
      </c>
      <c r="R17" s="132">
        <f>IF(SER_hh_emi_in!R17=0,0,1000000*SER_hh_emi_in!R17/SER_hh_num_in!R17)</f>
        <v>2231.9587006390902</v>
      </c>
      <c r="S17" s="132">
        <f>IF(SER_hh_emi_in!S17=0,0,1000000*SER_hh_emi_in!S17/SER_hh_num_in!S17)</f>
        <v>2129.592246857892</v>
      </c>
      <c r="T17" s="132">
        <f>IF(SER_hh_emi_in!T17=0,0,1000000*SER_hh_emi_in!T17/SER_hh_num_in!T17)</f>
        <v>2058.5367815845198</v>
      </c>
      <c r="U17" s="132">
        <f>IF(SER_hh_emi_in!U17=0,0,1000000*SER_hh_emi_in!U17/SER_hh_num_in!U17)</f>
        <v>1842.9914581385615</v>
      </c>
      <c r="V17" s="132">
        <f>IF(SER_hh_emi_in!V17=0,0,1000000*SER_hh_emi_in!V17/SER_hh_num_in!V17)</f>
        <v>1192.4789815572694</v>
      </c>
      <c r="W17" s="132">
        <f>IF(SER_hh_emi_in!W17=0,0,1000000*SER_hh_emi_in!W17/SER_hh_num_in!W17)</f>
        <v>1048.7028287594483</v>
      </c>
      <c r="X17" s="132">
        <f>IF(SER_hh_emi_in!X17=0,0,1000000*SER_hh_emi_in!X17/SER_hh_num_in!X17)</f>
        <v>918.52841235277083</v>
      </c>
      <c r="Y17" s="132">
        <f>IF(SER_hh_emi_in!Y17=0,0,1000000*SER_hh_emi_in!Y17/SER_hh_num_in!Y17)</f>
        <v>853.60355480406508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504.18092311335687</v>
      </c>
      <c r="D19" s="130">
        <f>IF(SER_hh_emi_in!D19=0,0,1000000*SER_hh_emi_in!D19/SER_hh_num_in!D19)</f>
        <v>696.73958748930704</v>
      </c>
      <c r="E19" s="130">
        <f>IF(SER_hh_emi_in!E19=0,0,1000000*SER_hh_emi_in!E19/SER_hh_num_in!E19)</f>
        <v>804.4561172246149</v>
      </c>
      <c r="F19" s="130">
        <f>IF(SER_hh_emi_in!F19=0,0,1000000*SER_hh_emi_in!F19/SER_hh_num_in!F19)</f>
        <v>691.52186023515742</v>
      </c>
      <c r="G19" s="130">
        <f>IF(SER_hh_emi_in!G19=0,0,1000000*SER_hh_emi_in!G19/SER_hh_num_in!G19)</f>
        <v>628.76924610371861</v>
      </c>
      <c r="H19" s="130">
        <f>IF(SER_hh_emi_in!H19=0,0,1000000*SER_hh_emi_in!H19/SER_hh_num_in!H19)</f>
        <v>489.37525413390597</v>
      </c>
      <c r="I19" s="130">
        <f>IF(SER_hh_emi_in!I19=0,0,1000000*SER_hh_emi_in!I19/SER_hh_num_in!I19)</f>
        <v>364.76902519007098</v>
      </c>
      <c r="J19" s="130">
        <f>IF(SER_hh_emi_in!J19=0,0,1000000*SER_hh_emi_in!J19/SER_hh_num_in!J19)</f>
        <v>449.03611200565166</v>
      </c>
      <c r="K19" s="130">
        <f>IF(SER_hh_emi_in!K19=0,0,1000000*SER_hh_emi_in!K19/SER_hh_num_in!K19)</f>
        <v>342.31641641091397</v>
      </c>
      <c r="L19" s="130">
        <f>IF(SER_hh_emi_in!L19=0,0,1000000*SER_hh_emi_in!L19/SER_hh_num_in!L19)</f>
        <v>244.06094934876731</v>
      </c>
      <c r="M19" s="130">
        <f>IF(SER_hh_emi_in!M19=0,0,1000000*SER_hh_emi_in!M19/SER_hh_num_in!M19)</f>
        <v>138.13372540139588</v>
      </c>
      <c r="N19" s="130">
        <f>IF(SER_hh_emi_in!N19=0,0,1000000*SER_hh_emi_in!N19/SER_hh_num_in!N19)</f>
        <v>294.11712715801292</v>
      </c>
      <c r="O19" s="130">
        <f>IF(SER_hh_emi_in!O19=0,0,1000000*SER_hh_emi_in!O19/SER_hh_num_in!O19)</f>
        <v>368.33932313382167</v>
      </c>
      <c r="P19" s="130">
        <f>IF(SER_hh_emi_in!P19=0,0,1000000*SER_hh_emi_in!P19/SER_hh_num_in!P19)</f>
        <v>361.79901432889773</v>
      </c>
      <c r="Q19" s="130">
        <f>IF(SER_hh_emi_in!Q19=0,0,1000000*SER_hh_emi_in!Q19/SER_hh_num_in!Q19)</f>
        <v>601.46269496195976</v>
      </c>
      <c r="R19" s="130">
        <f>IF(SER_hh_emi_in!R19=0,0,1000000*SER_hh_emi_in!R19/SER_hh_num_in!R19)</f>
        <v>513.59541032573065</v>
      </c>
      <c r="S19" s="130">
        <f>IF(SER_hh_emi_in!S19=0,0,1000000*SER_hh_emi_in!S19/SER_hh_num_in!S19)</f>
        <v>447.31585049168342</v>
      </c>
      <c r="T19" s="130">
        <f>IF(SER_hh_emi_in!T19=0,0,1000000*SER_hh_emi_in!T19/SER_hh_num_in!T19)</f>
        <v>303.44659598612674</v>
      </c>
      <c r="U19" s="130">
        <f>IF(SER_hh_emi_in!U19=0,0,1000000*SER_hh_emi_in!U19/SER_hh_num_in!U19)</f>
        <v>269.22189766491414</v>
      </c>
      <c r="V19" s="130">
        <f>IF(SER_hh_emi_in!V19=0,0,1000000*SER_hh_emi_in!V19/SER_hh_num_in!V19)</f>
        <v>118.77342074131133</v>
      </c>
      <c r="W19" s="130">
        <f>IF(SER_hh_emi_in!W19=0,0,1000000*SER_hh_emi_in!W19/SER_hh_num_in!W19)</f>
        <v>5.3037219673901577</v>
      </c>
      <c r="X19" s="130">
        <f>IF(SER_hh_emi_in!X19=0,0,1000000*SER_hh_emi_in!X19/SER_hh_num_in!X19)</f>
        <v>21.334262788031214</v>
      </c>
      <c r="Y19" s="130">
        <f>IF(SER_hh_emi_in!Y19=0,0,1000000*SER_hh_emi_in!Y19/SER_hh_num_in!Y19)</f>
        <v>26.20510878131812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4532.1930954526042</v>
      </c>
      <c r="D22" s="132">
        <f>IF(SER_hh_emi_in!D22=0,0,1000000*SER_hh_emi_in!D22/SER_hh_num_in!D22)</f>
        <v>4491.0474959570147</v>
      </c>
      <c r="E22" s="132">
        <f>IF(SER_hh_emi_in!E22=0,0,1000000*SER_hh_emi_in!E22/SER_hh_num_in!E22)</f>
        <v>4433.7925062449849</v>
      </c>
      <c r="F22" s="132">
        <f>IF(SER_hh_emi_in!F22=0,0,1000000*SER_hh_emi_in!F22/SER_hh_num_in!F22)</f>
        <v>4450.9365261442836</v>
      </c>
      <c r="G22" s="132">
        <f>IF(SER_hh_emi_in!G22=0,0,1000000*SER_hh_emi_in!G22/SER_hh_num_in!G22)</f>
        <v>4399.443785511331</v>
      </c>
      <c r="H22" s="132">
        <f>IF(SER_hh_emi_in!H22=0,0,1000000*SER_hh_emi_in!H22/SER_hh_num_in!H22)</f>
        <v>4292.1394628846228</v>
      </c>
      <c r="I22" s="132">
        <f>IF(SER_hh_emi_in!I22=0,0,1000000*SER_hh_emi_in!I22/SER_hh_num_in!I22)</f>
        <v>4095.7964918040502</v>
      </c>
      <c r="J22" s="132">
        <f>IF(SER_hh_emi_in!J22=0,0,1000000*SER_hh_emi_in!J22/SER_hh_num_in!J22)</f>
        <v>4191.4387939503067</v>
      </c>
      <c r="K22" s="132">
        <f>IF(SER_hh_emi_in!K22=0,0,1000000*SER_hh_emi_in!K22/SER_hh_num_in!K22)</f>
        <v>4216.7286102668786</v>
      </c>
      <c r="L22" s="132">
        <f>IF(SER_hh_emi_in!L22=0,0,1000000*SER_hh_emi_in!L22/SER_hh_num_in!L22)</f>
        <v>3909.1152056151991</v>
      </c>
      <c r="M22" s="132">
        <f>IF(SER_hh_emi_in!M22=0,0,1000000*SER_hh_emi_in!M22/SER_hh_num_in!M22)</f>
        <v>3850.5142800903991</v>
      </c>
      <c r="N22" s="132">
        <f>IF(SER_hh_emi_in!N22=0,0,1000000*SER_hh_emi_in!N22/SER_hh_num_in!N22)</f>
        <v>3891.2304529841776</v>
      </c>
      <c r="O22" s="132">
        <f>IF(SER_hh_emi_in!O22=0,0,1000000*SER_hh_emi_in!O22/SER_hh_num_in!O22)</f>
        <v>3692.9634307661627</v>
      </c>
      <c r="P22" s="132">
        <f>IF(SER_hh_emi_in!P22=0,0,1000000*SER_hh_emi_in!P22/SER_hh_num_in!P22)</f>
        <v>3588.1773213558304</v>
      </c>
      <c r="Q22" s="132">
        <f>IF(SER_hh_emi_in!Q22=0,0,1000000*SER_hh_emi_in!Q22/SER_hh_num_in!Q22)</f>
        <v>3344.3041257116329</v>
      </c>
      <c r="R22" s="132">
        <f>IF(SER_hh_emi_in!R22=0,0,1000000*SER_hh_emi_in!R22/SER_hh_num_in!R22)</f>
        <v>3378.2436731653238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0</v>
      </c>
      <c r="X22" s="132">
        <f>IF(SER_hh_emi_in!X22=0,0,1000000*SER_hh_emi_in!X22/SER_hh_num_in!X22)</f>
        <v>3006.64929272989</v>
      </c>
      <c r="Y22" s="132">
        <f>IF(SER_hh_emi_in!Y22=0,0,1000000*SER_hh_emi_in!Y22/SER_hh_num_in!Y22)</f>
        <v>2288.0698350303396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2972.881823988052</v>
      </c>
      <c r="D23" s="132">
        <f>IF(SER_hh_emi_in!D23=0,0,1000000*SER_hh_emi_in!D23/SER_hh_num_in!D23)</f>
        <v>2822.6696290330633</v>
      </c>
      <c r="E23" s="132">
        <f>IF(SER_hh_emi_in!E23=0,0,1000000*SER_hh_emi_in!E23/SER_hh_num_in!E23)</f>
        <v>3046.6172962176761</v>
      </c>
      <c r="F23" s="132">
        <f>IF(SER_hh_emi_in!F23=0,0,1000000*SER_hh_emi_in!F23/SER_hh_num_in!F23)</f>
        <v>2819.1375428787501</v>
      </c>
      <c r="G23" s="132">
        <f>IF(SER_hh_emi_in!G23=0,0,1000000*SER_hh_emi_in!G23/SER_hh_num_in!G23)</f>
        <v>2824.8550195743783</v>
      </c>
      <c r="H23" s="132">
        <f>IF(SER_hh_emi_in!H23=0,0,1000000*SER_hh_emi_in!H23/SER_hh_num_in!H23)</f>
        <v>2871.6560643374441</v>
      </c>
      <c r="I23" s="132">
        <f>IF(SER_hh_emi_in!I23=0,0,1000000*SER_hh_emi_in!I23/SER_hh_num_in!I23)</f>
        <v>2789.1155960163037</v>
      </c>
      <c r="J23" s="132">
        <f>IF(SER_hh_emi_in!J23=0,0,1000000*SER_hh_emi_in!J23/SER_hh_num_in!J23)</f>
        <v>2703.5480497462495</v>
      </c>
      <c r="K23" s="132">
        <f>IF(SER_hh_emi_in!K23=0,0,1000000*SER_hh_emi_in!K23/SER_hh_num_in!K23)</f>
        <v>2719.5973961437039</v>
      </c>
      <c r="L23" s="132">
        <f>IF(SER_hh_emi_in!L23=0,0,1000000*SER_hh_emi_in!L23/SER_hh_num_in!L23)</f>
        <v>2391.9401044094334</v>
      </c>
      <c r="M23" s="132">
        <f>IF(SER_hh_emi_in!M23=0,0,1000000*SER_hh_emi_in!M23/SER_hh_num_in!M23)</f>
        <v>2479.7046987081362</v>
      </c>
      <c r="N23" s="132">
        <f>IF(SER_hh_emi_in!N23=0,0,1000000*SER_hh_emi_in!N23/SER_hh_num_in!N23)</f>
        <v>2523.6987384488998</v>
      </c>
      <c r="O23" s="132">
        <f>IF(SER_hh_emi_in!O23=0,0,1000000*SER_hh_emi_in!O23/SER_hh_num_in!O23)</f>
        <v>2438.3327007480775</v>
      </c>
      <c r="P23" s="132">
        <f>IF(SER_hh_emi_in!P23=0,0,1000000*SER_hh_emi_in!P23/SER_hh_num_in!P23)</f>
        <v>2167.6204822994132</v>
      </c>
      <c r="Q23" s="132">
        <f>IF(SER_hh_emi_in!Q23=0,0,1000000*SER_hh_emi_in!Q23/SER_hh_num_in!Q23)</f>
        <v>2288.065415671897</v>
      </c>
      <c r="R23" s="132">
        <f>IF(SER_hh_emi_in!R23=0,0,1000000*SER_hh_emi_in!R23/SER_hh_num_in!R23)</f>
        <v>2176.0997251607905</v>
      </c>
      <c r="S23" s="132">
        <f>IF(SER_hh_emi_in!S23=0,0,1000000*SER_hh_emi_in!S23/SER_hh_num_in!S23)</f>
        <v>2154.7633061087395</v>
      </c>
      <c r="T23" s="132">
        <f>IF(SER_hh_emi_in!T23=0,0,1000000*SER_hh_emi_in!T23/SER_hh_num_in!T23)</f>
        <v>1992.245171526919</v>
      </c>
      <c r="U23" s="132">
        <f>IF(SER_hh_emi_in!U23=0,0,1000000*SER_hh_emi_in!U23/SER_hh_num_in!U23)</f>
        <v>1977.7458802933538</v>
      </c>
      <c r="V23" s="132">
        <f>IF(SER_hh_emi_in!V23=0,0,1000000*SER_hh_emi_in!V23/SER_hh_num_in!V23)</f>
        <v>1237.6528064021145</v>
      </c>
      <c r="W23" s="132">
        <f>IF(SER_hh_emi_in!W23=0,0,1000000*SER_hh_emi_in!W23/SER_hh_num_in!W23)</f>
        <v>1636.4245503787763</v>
      </c>
      <c r="X23" s="132">
        <f>IF(SER_hh_emi_in!X23=0,0,1000000*SER_hh_emi_in!X23/SER_hh_num_in!X23)</f>
        <v>1223.3039797015126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1398.4887518135172</v>
      </c>
      <c r="D24" s="132">
        <f>IF(SER_hh_emi_in!D24=0,0,1000000*SER_hh_emi_in!D24/SER_hh_num_in!D24)</f>
        <v>1529.146522595868</v>
      </c>
      <c r="E24" s="132">
        <f>IF(SER_hh_emi_in!E24=0,0,1000000*SER_hh_emi_in!E24/SER_hh_num_in!E24)</f>
        <v>1460.4296845732545</v>
      </c>
      <c r="F24" s="132">
        <f>IF(SER_hh_emi_in!F24=0,0,1000000*SER_hh_emi_in!F24/SER_hh_num_in!F24)</f>
        <v>1320.7471072789108</v>
      </c>
      <c r="G24" s="132">
        <f>IF(SER_hh_emi_in!G24=0,0,1000000*SER_hh_emi_in!G24/SER_hh_num_in!G24)</f>
        <v>1216.6372964409472</v>
      </c>
      <c r="H24" s="132">
        <f>IF(SER_hh_emi_in!H24=0,0,1000000*SER_hh_emi_in!H24/SER_hh_num_in!H24)</f>
        <v>1132.3133684753084</v>
      </c>
      <c r="I24" s="132">
        <f>IF(SER_hh_emi_in!I24=0,0,1000000*SER_hh_emi_in!I24/SER_hh_num_in!I24)</f>
        <v>908.79888958187883</v>
      </c>
      <c r="J24" s="132">
        <f>IF(SER_hh_emi_in!J24=0,0,1000000*SER_hh_emi_in!J24/SER_hh_num_in!J24)</f>
        <v>694.6871276521963</v>
      </c>
      <c r="K24" s="132">
        <f>IF(SER_hh_emi_in!K24=0,0,1000000*SER_hh_emi_in!K24/SER_hh_num_in!K24)</f>
        <v>501.8682498133723</v>
      </c>
      <c r="L24" s="132">
        <f>IF(SER_hh_emi_in!L24=0,0,1000000*SER_hh_emi_in!L24/SER_hh_num_in!L24)</f>
        <v>476.28889961669375</v>
      </c>
      <c r="M24" s="132">
        <f>IF(SER_hh_emi_in!M24=0,0,1000000*SER_hh_emi_in!M24/SER_hh_num_in!M24)</f>
        <v>680.37964937237336</v>
      </c>
      <c r="N24" s="132">
        <f>IF(SER_hh_emi_in!N24=0,0,1000000*SER_hh_emi_in!N24/SER_hh_num_in!N24)</f>
        <v>710.23938982091749</v>
      </c>
      <c r="O24" s="132">
        <f>IF(SER_hh_emi_in!O24=0,0,1000000*SER_hh_emi_in!O24/SER_hh_num_in!O24)</f>
        <v>625.72293668366467</v>
      </c>
      <c r="P24" s="132">
        <f>IF(SER_hh_emi_in!P24=0,0,1000000*SER_hh_emi_in!P24/SER_hh_num_in!P24)</f>
        <v>747.80852225035596</v>
      </c>
      <c r="Q24" s="132">
        <f>IF(SER_hh_emi_in!Q24=0,0,1000000*SER_hh_emi_in!Q24/SER_hh_num_in!Q24)</f>
        <v>345.44021211727073</v>
      </c>
      <c r="R24" s="132">
        <f>IF(SER_hh_emi_in!R24=0,0,1000000*SER_hh_emi_in!R24/SER_hh_num_in!R24)</f>
        <v>456.44522095994961</v>
      </c>
      <c r="S24" s="132">
        <f>IF(SER_hh_emi_in!S24=0,0,1000000*SER_hh_emi_in!S24/SER_hh_num_in!S24)</f>
        <v>538.58064925593715</v>
      </c>
      <c r="T24" s="132">
        <f>IF(SER_hh_emi_in!T24=0,0,1000000*SER_hh_emi_in!T24/SER_hh_num_in!T24)</f>
        <v>519.88499938235987</v>
      </c>
      <c r="U24" s="132">
        <f>IF(SER_hh_emi_in!U24=0,0,1000000*SER_hh_emi_in!U24/SER_hh_num_in!U24)</f>
        <v>522.16688871773613</v>
      </c>
      <c r="V24" s="132">
        <f>IF(SER_hh_emi_in!V24=0,0,1000000*SER_hh_emi_in!V24/SER_hh_num_in!V24)</f>
        <v>372.09129983809288</v>
      </c>
      <c r="W24" s="132">
        <f>IF(SER_hh_emi_in!W24=0,0,1000000*SER_hh_emi_in!W24/SER_hh_num_in!W24)</f>
        <v>403.22407522103782</v>
      </c>
      <c r="X24" s="132">
        <f>IF(SER_hh_emi_in!X24=0,0,1000000*SER_hh_emi_in!X24/SER_hh_num_in!X24)</f>
        <v>574.52247974912075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470.78972705071726</v>
      </c>
      <c r="D29" s="130">
        <f>IF(SER_hh_emi_in!D29=0,0,1000000*SER_hh_emi_in!D29/SER_hh_num_in!D29)</f>
        <v>530.91922293999096</v>
      </c>
      <c r="E29" s="130">
        <f>IF(SER_hh_emi_in!E29=0,0,1000000*SER_hh_emi_in!E29/SER_hh_num_in!E29)</f>
        <v>649.26384783168396</v>
      </c>
      <c r="F29" s="130">
        <f>IF(SER_hh_emi_in!F29=0,0,1000000*SER_hh_emi_in!F29/SER_hh_num_in!F29)</f>
        <v>708.5842295942831</v>
      </c>
      <c r="G29" s="130">
        <f>IF(SER_hh_emi_in!G29=0,0,1000000*SER_hh_emi_in!G29/SER_hh_num_in!G29)</f>
        <v>808.21828254159277</v>
      </c>
      <c r="H29" s="130">
        <f>IF(SER_hh_emi_in!H29=0,0,1000000*SER_hh_emi_in!H29/SER_hh_num_in!H29)</f>
        <v>660.94334171003004</v>
      </c>
      <c r="I29" s="130">
        <f>IF(SER_hh_emi_in!I29=0,0,1000000*SER_hh_emi_in!I29/SER_hh_num_in!I29)</f>
        <v>564.45348904957507</v>
      </c>
      <c r="J29" s="130">
        <f>IF(SER_hh_emi_in!J29=0,0,1000000*SER_hh_emi_in!J29/SER_hh_num_in!J29)</f>
        <v>601.90193983076028</v>
      </c>
      <c r="K29" s="130">
        <f>IF(SER_hh_emi_in!K29=0,0,1000000*SER_hh_emi_in!K29/SER_hh_num_in!K29)</f>
        <v>575.32865755749765</v>
      </c>
      <c r="L29" s="130">
        <f>IF(SER_hh_emi_in!L29=0,0,1000000*SER_hh_emi_in!L29/SER_hh_num_in!L29)</f>
        <v>588.54762223882346</v>
      </c>
      <c r="M29" s="130">
        <f>IF(SER_hh_emi_in!M29=0,0,1000000*SER_hh_emi_in!M29/SER_hh_num_in!M29)</f>
        <v>396.39112225324681</v>
      </c>
      <c r="N29" s="130">
        <f>IF(SER_hh_emi_in!N29=0,0,1000000*SER_hh_emi_in!N29/SER_hh_num_in!N29)</f>
        <v>375.29991534678413</v>
      </c>
      <c r="O29" s="130">
        <f>IF(SER_hh_emi_in!O29=0,0,1000000*SER_hh_emi_in!O29/SER_hh_num_in!O29)</f>
        <v>590.15771028630309</v>
      </c>
      <c r="P29" s="130">
        <f>IF(SER_hh_emi_in!P29=0,0,1000000*SER_hh_emi_in!P29/SER_hh_num_in!P29)</f>
        <v>636.89649766627963</v>
      </c>
      <c r="Q29" s="130">
        <f>IF(SER_hh_emi_in!Q29=0,0,1000000*SER_hh_emi_in!Q29/SER_hh_num_in!Q29)</f>
        <v>975.88984295242665</v>
      </c>
      <c r="R29" s="130">
        <f>IF(SER_hh_emi_in!R29=0,0,1000000*SER_hh_emi_in!R29/SER_hh_num_in!R29)</f>
        <v>785.84926670080847</v>
      </c>
      <c r="S29" s="130">
        <f>IF(SER_hh_emi_in!S29=0,0,1000000*SER_hh_emi_in!S29/SER_hh_num_in!S29)</f>
        <v>659.94907435464381</v>
      </c>
      <c r="T29" s="130">
        <f>IF(SER_hh_emi_in!T29=0,0,1000000*SER_hh_emi_in!T29/SER_hh_num_in!T29)</f>
        <v>646.68516550382219</v>
      </c>
      <c r="U29" s="130">
        <f>IF(SER_hh_emi_in!U29=0,0,1000000*SER_hh_emi_in!U29/SER_hh_num_in!U29)</f>
        <v>706.63948271087588</v>
      </c>
      <c r="V29" s="130">
        <f>IF(SER_hh_emi_in!V29=0,0,1000000*SER_hh_emi_in!V29/SER_hh_num_in!V29)</f>
        <v>455.07622562134492</v>
      </c>
      <c r="W29" s="130">
        <f>IF(SER_hh_emi_in!W29=0,0,1000000*SER_hh_emi_in!W29/SER_hh_num_in!W29)</f>
        <v>709.57575032151647</v>
      </c>
      <c r="X29" s="130">
        <f>IF(SER_hh_emi_in!X29=0,0,1000000*SER_hh_emi_in!X29/SER_hh_num_in!X29)</f>
        <v>856.35769514494507</v>
      </c>
      <c r="Y29" s="130">
        <f>IF(SER_hh_emi_in!Y29=0,0,1000000*SER_hh_emi_in!Y29/SER_hh_num_in!Y29)</f>
        <v>1188.1741665868872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3341.3739415314567</v>
      </c>
      <c r="D30" s="132">
        <f>IF(SER_hh_emi_in!D30=0,0,1000000*SER_hh_emi_in!D30/SER_hh_num_in!D30)</f>
        <v>2985.8402134213811</v>
      </c>
      <c r="E30" s="132">
        <f>IF(SER_hh_emi_in!E30=0,0,1000000*SER_hh_emi_in!E30/SER_hh_num_in!E30)</f>
        <v>3345.4281322901688</v>
      </c>
      <c r="F30" s="132">
        <f>IF(SER_hh_emi_in!F30=0,0,1000000*SER_hh_emi_in!F30/SER_hh_num_in!F30)</f>
        <v>3533.7149755706209</v>
      </c>
      <c r="G30" s="132">
        <f>IF(SER_hh_emi_in!G30=0,0,1000000*SER_hh_emi_in!G30/SER_hh_num_in!G30)</f>
        <v>3724.9966652778648</v>
      </c>
      <c r="H30" s="132">
        <f>IF(SER_hh_emi_in!H30=0,0,1000000*SER_hh_emi_in!H30/SER_hh_num_in!H30)</f>
        <v>3546.7555039118492</v>
      </c>
      <c r="I30" s="132">
        <f>IF(SER_hh_emi_in!I30=0,0,1000000*SER_hh_emi_in!I30/SER_hh_num_in!I30)</f>
        <v>3481.8479729455476</v>
      </c>
      <c r="J30" s="132">
        <f>IF(SER_hh_emi_in!J30=0,0,1000000*SER_hh_emi_in!J30/SER_hh_num_in!J30)</f>
        <v>3372.4510023145872</v>
      </c>
      <c r="K30" s="132">
        <f>IF(SER_hh_emi_in!K30=0,0,1000000*SER_hh_emi_in!K30/SER_hh_num_in!K30)</f>
        <v>3221.8549506492113</v>
      </c>
      <c r="L30" s="132">
        <f>IF(SER_hh_emi_in!L30=0,0,1000000*SER_hh_emi_in!L30/SER_hh_num_in!L30)</f>
        <v>4002.3647521042408</v>
      </c>
      <c r="M30" s="132">
        <f>IF(SER_hh_emi_in!M30=0,0,1000000*SER_hh_emi_in!M30/SER_hh_num_in!M30)</f>
        <v>3581.4789280743385</v>
      </c>
      <c r="N30" s="132">
        <f>IF(SER_hh_emi_in!N30=0,0,1000000*SER_hh_emi_in!N30/SER_hh_num_in!N30)</f>
        <v>3326.2636765772513</v>
      </c>
      <c r="O30" s="132">
        <f>IF(SER_hh_emi_in!O30=0,0,1000000*SER_hh_emi_in!O30/SER_hh_num_in!O30)</f>
        <v>3922.2882789748214</v>
      </c>
      <c r="P30" s="132">
        <f>IF(SER_hh_emi_in!P30=0,0,1000000*SER_hh_emi_in!P30/SER_hh_num_in!P30)</f>
        <v>2088.073503381212</v>
      </c>
      <c r="Q30" s="132">
        <f>IF(SER_hh_emi_in!Q30=0,0,1000000*SER_hh_emi_in!Q30/SER_hh_num_in!Q30)</f>
        <v>3898.6789806307493</v>
      </c>
      <c r="R30" s="132">
        <f>IF(SER_hh_emi_in!R30=0,0,1000000*SER_hh_emi_in!R30/SER_hh_num_in!R30)</f>
        <v>3709.8755790494206</v>
      </c>
      <c r="S30" s="132">
        <f>IF(SER_hh_emi_in!S30=0,0,1000000*SER_hh_emi_in!S30/SER_hh_num_in!S30)</f>
        <v>3412.6059738740641</v>
      </c>
      <c r="T30" s="132">
        <f>IF(SER_hh_emi_in!T30=0,0,1000000*SER_hh_emi_in!T30/SER_hh_num_in!T30)</f>
        <v>3364.9223742534159</v>
      </c>
      <c r="U30" s="132">
        <f>IF(SER_hh_emi_in!U30=0,0,1000000*SER_hh_emi_in!U30/SER_hh_num_in!U30)</f>
        <v>3211.2611488960979</v>
      </c>
      <c r="V30" s="132">
        <f>IF(SER_hh_emi_in!V30=0,0,1000000*SER_hh_emi_in!V30/SER_hh_num_in!V30)</f>
        <v>2599.4082980336407</v>
      </c>
      <c r="W30" s="132">
        <f>IF(SER_hh_emi_in!W30=0,0,1000000*SER_hh_emi_in!W30/SER_hh_num_in!W30)</f>
        <v>2608.6903740466519</v>
      </c>
      <c r="X30" s="132">
        <f>IF(SER_hh_emi_in!X30=0,0,1000000*SER_hh_emi_in!X30/SER_hh_num_in!X30)</f>
        <v>2643.8211182537575</v>
      </c>
      <c r="Y30" s="132">
        <f>IF(SER_hh_emi_in!Y30=0,0,1000000*SER_hh_emi_in!Y30/SER_hh_num_in!Y30)</f>
        <v>2456.866831509109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2788.3872819426974</v>
      </c>
      <c r="D31" s="132">
        <f>IF(SER_hh_emi_in!D31=0,0,1000000*SER_hh_emi_in!D31/SER_hh_num_in!D31)</f>
        <v>2792.1982916235957</v>
      </c>
      <c r="E31" s="132">
        <f>IF(SER_hh_emi_in!E31=0,0,1000000*SER_hh_emi_in!E31/SER_hh_num_in!E31)</f>
        <v>2887.669195827877</v>
      </c>
      <c r="F31" s="132">
        <f>IF(SER_hh_emi_in!F31=0,0,1000000*SER_hh_emi_in!F31/SER_hh_num_in!F31)</f>
        <v>2827.3221156740242</v>
      </c>
      <c r="G31" s="132">
        <f>IF(SER_hh_emi_in!G31=0,0,1000000*SER_hh_emi_in!G31/SER_hh_num_in!G31)</f>
        <v>2965.2000699569062</v>
      </c>
      <c r="H31" s="132">
        <f>IF(SER_hh_emi_in!H31=0,0,1000000*SER_hh_emi_in!H31/SER_hh_num_in!H31)</f>
        <v>2952.8763544723347</v>
      </c>
      <c r="I31" s="132">
        <f>IF(SER_hh_emi_in!I31=0,0,1000000*SER_hh_emi_in!I31/SER_hh_num_in!I31)</f>
        <v>2947.5581446962578</v>
      </c>
      <c r="J31" s="132">
        <f>IF(SER_hh_emi_in!J31=0,0,1000000*SER_hh_emi_in!J31/SER_hh_num_in!J31)</f>
        <v>2938.5418162419096</v>
      </c>
      <c r="K31" s="132">
        <f>IF(SER_hh_emi_in!K31=0,0,1000000*SER_hh_emi_in!K31/SER_hh_num_in!K31)</f>
        <v>2996.3442950523513</v>
      </c>
      <c r="L31" s="132">
        <f>IF(SER_hh_emi_in!L31=0,0,1000000*SER_hh_emi_in!L31/SER_hh_num_in!L31)</f>
        <v>2994.2759525481624</v>
      </c>
      <c r="M31" s="132">
        <f>IF(SER_hh_emi_in!M31=0,0,1000000*SER_hh_emi_in!M31/SER_hh_num_in!M31)</f>
        <v>2983.1270488164059</v>
      </c>
      <c r="N31" s="132">
        <f>IF(SER_hh_emi_in!N31=0,0,1000000*SER_hh_emi_in!N31/SER_hh_num_in!N31)</f>
        <v>3002.9635589255195</v>
      </c>
      <c r="O31" s="132">
        <f>IF(SER_hh_emi_in!O31=0,0,1000000*SER_hh_emi_in!O31/SER_hh_num_in!O31)</f>
        <v>2936.6224387003749</v>
      </c>
      <c r="P31" s="132">
        <f>IF(SER_hh_emi_in!P31=0,0,1000000*SER_hh_emi_in!P31/SER_hh_num_in!P31)</f>
        <v>2819.265634520837</v>
      </c>
      <c r="Q31" s="132">
        <f>IF(SER_hh_emi_in!Q31=0,0,1000000*SER_hh_emi_in!Q31/SER_hh_num_in!Q31)</f>
        <v>3123.9822293587317</v>
      </c>
      <c r="R31" s="132">
        <f>IF(SER_hh_emi_in!R31=0,0,1000000*SER_hh_emi_in!R31/SER_hh_num_in!R31)</f>
        <v>2908.108605066192</v>
      </c>
      <c r="S31" s="132">
        <f>IF(SER_hh_emi_in!S31=0,0,1000000*SER_hh_emi_in!S31/SER_hh_num_in!S31)</f>
        <v>2605.5443298921637</v>
      </c>
      <c r="T31" s="132">
        <f>IF(SER_hh_emi_in!T31=0,0,1000000*SER_hh_emi_in!T31/SER_hh_num_in!T31)</f>
        <v>2668.1753135932158</v>
      </c>
      <c r="U31" s="132">
        <f>IF(SER_hh_emi_in!U31=0,0,1000000*SER_hh_emi_in!U31/SER_hh_num_in!U31)</f>
        <v>2763.4242738272637</v>
      </c>
      <c r="V31" s="132">
        <f>IF(SER_hh_emi_in!V31=0,0,1000000*SER_hh_emi_in!V31/SER_hh_num_in!V31)</f>
        <v>1512.4364140148386</v>
      </c>
      <c r="W31" s="132">
        <f>IF(SER_hh_emi_in!W31=0,0,1000000*SER_hh_emi_in!W31/SER_hh_num_in!W31)</f>
        <v>1819.5435754273321</v>
      </c>
      <c r="X31" s="132">
        <f>IF(SER_hh_emi_in!X31=0,0,1000000*SER_hh_emi_in!X31/SER_hh_num_in!X31)</f>
        <v>1375.253681382296</v>
      </c>
      <c r="Y31" s="132">
        <f>IF(SER_hh_emi_in!Y31=0,0,1000000*SER_hh_emi_in!Y31/SER_hh_num_in!Y31)</f>
        <v>1388.3115034568741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149.22777945400443</v>
      </c>
      <c r="D3" s="125">
        <f>IF(SER_hh_fech_in!D3=0,0,SER_hh_fech_in!D3/SER_summary!D$27)</f>
        <v>149.97703408422507</v>
      </c>
      <c r="E3" s="125">
        <f>IF(SER_hh_fech_in!E3=0,0,SER_hh_fech_in!E3/SER_summary!E$27)</f>
        <v>151.5238450346892</v>
      </c>
      <c r="F3" s="125">
        <f>IF(SER_hh_fech_in!F3=0,0,SER_hh_fech_in!F3/SER_summary!F$27)</f>
        <v>145.68422798536704</v>
      </c>
      <c r="G3" s="125">
        <f>IF(SER_hh_fech_in!G3=0,0,SER_hh_fech_in!G3/SER_summary!G$27)</f>
        <v>138.11460054629842</v>
      </c>
      <c r="H3" s="125">
        <f>IF(SER_hh_fech_in!H3=0,0,SER_hh_fech_in!H3/SER_summary!H$27)</f>
        <v>134.03290661449785</v>
      </c>
      <c r="I3" s="125">
        <f>IF(SER_hh_fech_in!I3=0,0,SER_hh_fech_in!I3/SER_summary!I$27)</f>
        <v>121.40686961877041</v>
      </c>
      <c r="J3" s="125">
        <f>IF(SER_hh_fech_in!J3=0,0,SER_hh_fech_in!J3/SER_summary!J$27)</f>
        <v>119.19027234806011</v>
      </c>
      <c r="K3" s="125">
        <f>IF(SER_hh_fech_in!K3=0,0,SER_hh_fech_in!K3/SER_summary!K$27)</f>
        <v>112.93524170687454</v>
      </c>
      <c r="L3" s="125">
        <f>IF(SER_hh_fech_in!L3=0,0,SER_hh_fech_in!L3/SER_summary!L$27)</f>
        <v>118.77344089170039</v>
      </c>
      <c r="M3" s="125">
        <f>IF(SER_hh_fech_in!M3=0,0,SER_hh_fech_in!M3/SER_summary!M$27)</f>
        <v>104.6749467799722</v>
      </c>
      <c r="N3" s="125">
        <f>IF(SER_hh_fech_in!N3=0,0,SER_hh_fech_in!N3/SER_summary!N$27)</f>
        <v>105.71319722951942</v>
      </c>
      <c r="O3" s="125">
        <f>IF(SER_hh_fech_in!O3=0,0,SER_hh_fech_in!O3/SER_summary!O$27)</f>
        <v>100.90861320352359</v>
      </c>
      <c r="P3" s="125">
        <f>IF(SER_hh_fech_in!P3=0,0,SER_hh_fech_in!P3/SER_summary!P$27)</f>
        <v>87.149786685855233</v>
      </c>
      <c r="Q3" s="125">
        <f>IF(SER_hh_fech_in!Q3=0,0,SER_hh_fech_in!Q3/SER_summary!Q$27)</f>
        <v>89.253673583991457</v>
      </c>
      <c r="R3" s="125">
        <f>IF(SER_hh_fech_in!R3=0,0,SER_hh_fech_in!R3/SER_summary!R$27)</f>
        <v>87.947683235118703</v>
      </c>
      <c r="S3" s="125">
        <f>IF(SER_hh_fech_in!S3=0,0,SER_hh_fech_in!S3/SER_summary!S$27)</f>
        <v>85.887239333823928</v>
      </c>
      <c r="T3" s="125">
        <f>IF(SER_hh_fech_in!T3=0,0,SER_hh_fech_in!T3/SER_summary!T$27)</f>
        <v>77.111064651076077</v>
      </c>
      <c r="U3" s="125">
        <f>IF(SER_hh_fech_in!U3=0,0,SER_hh_fech_in!U3/SER_summary!U$27)</f>
        <v>70.959070688396807</v>
      </c>
      <c r="V3" s="125">
        <f>IF(SER_hh_fech_in!V3=0,0,SER_hh_fech_in!V3/SER_summary!V$27)</f>
        <v>62.79828202249</v>
      </c>
      <c r="W3" s="125">
        <f>IF(SER_hh_fech_in!W3=0,0,SER_hh_fech_in!W3/SER_summary!W$27)</f>
        <v>65.409186562230502</v>
      </c>
      <c r="X3" s="125">
        <f>IF(SER_hh_fech_in!X3=0,0,SER_hh_fech_in!X3/SER_summary!X$27)</f>
        <v>60.959390241269155</v>
      </c>
      <c r="Y3" s="125">
        <f>IF(SER_hh_fech_in!Y3=0,0,SER_hh_fech_in!Y3/SER_summary!Y$27)</f>
        <v>61.237398557424903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113.3422966768115</v>
      </c>
      <c r="D4" s="130">
        <f>IF(SER_hh_fech_in!D4=0,0,SER_hh_fech_in!D4/SER_summary!D$27)</f>
        <v>114.3998413344646</v>
      </c>
      <c r="E4" s="130">
        <f>IF(SER_hh_fech_in!E4=0,0,SER_hh_fech_in!E4/SER_summary!E$27)</f>
        <v>115.85156297514035</v>
      </c>
      <c r="F4" s="130">
        <f>IF(SER_hh_fech_in!F4=0,0,SER_hh_fech_in!F4/SER_summary!F$27)</f>
        <v>110.46847947707732</v>
      </c>
      <c r="G4" s="130">
        <f>IF(SER_hh_fech_in!G4=0,0,SER_hh_fech_in!G4/SER_summary!G$27)</f>
        <v>103.28612053696513</v>
      </c>
      <c r="H4" s="130">
        <f>IF(SER_hh_fech_in!H4=0,0,SER_hh_fech_in!H4/SER_summary!H$27)</f>
        <v>99.724183373615261</v>
      </c>
      <c r="I4" s="130">
        <f>IF(SER_hh_fech_in!I4=0,0,SER_hh_fech_in!I4/SER_summary!I$27)</f>
        <v>88.217495713936614</v>
      </c>
      <c r="J4" s="130">
        <f>IF(SER_hh_fech_in!J4=0,0,SER_hh_fech_in!J4/SER_summary!J$27)</f>
        <v>86.362676366794943</v>
      </c>
      <c r="K4" s="130">
        <f>IF(SER_hh_fech_in!K4=0,0,SER_hh_fech_in!K4/SER_summary!K$27)</f>
        <v>80.709074411497738</v>
      </c>
      <c r="L4" s="130">
        <f>IF(SER_hh_fech_in!L4=0,0,SER_hh_fech_in!L4/SER_summary!L$27)</f>
        <v>87.377348531177788</v>
      </c>
      <c r="M4" s="130">
        <f>IF(SER_hh_fech_in!M4=0,0,SER_hh_fech_in!M4/SER_summary!M$27)</f>
        <v>73.381056157864904</v>
      </c>
      <c r="N4" s="130">
        <f>IF(SER_hh_fech_in!N4=0,0,SER_hh_fech_in!N4/SER_summary!N$27)</f>
        <v>74.539484022059042</v>
      </c>
      <c r="O4" s="130">
        <f>IF(SER_hh_fech_in!O4=0,0,SER_hh_fech_in!O4/SER_summary!O$27)</f>
        <v>70.249136389649181</v>
      </c>
      <c r="P4" s="130">
        <f>IF(SER_hh_fech_in!P4=0,0,SER_hh_fech_in!P4/SER_summary!P$27)</f>
        <v>57.214890860682829</v>
      </c>
      <c r="Q4" s="130">
        <f>IF(SER_hh_fech_in!Q4=0,0,SER_hh_fech_in!Q4/SER_summary!Q$27)</f>
        <v>59.094290782488294</v>
      </c>
      <c r="R4" s="130">
        <f>IF(SER_hh_fech_in!R4=0,0,SER_hh_fech_in!R4/SER_summary!R$27)</f>
        <v>58.591353680867087</v>
      </c>
      <c r="S4" s="130">
        <f>IF(SER_hh_fech_in!S4=0,0,SER_hh_fech_in!S4/SER_summary!S$27)</f>
        <v>57.06137602422006</v>
      </c>
      <c r="T4" s="130">
        <f>IF(SER_hh_fech_in!T4=0,0,SER_hh_fech_in!T4/SER_summary!T$27)</f>
        <v>49.234802811028629</v>
      </c>
      <c r="U4" s="130">
        <f>IF(SER_hh_fech_in!U4=0,0,SER_hh_fech_in!U4/SER_summary!U$27)</f>
        <v>43.855253090843121</v>
      </c>
      <c r="V4" s="130">
        <f>IF(SER_hh_fech_in!V4=0,0,SER_hh_fech_in!V4/SER_summary!V$27)</f>
        <v>40.240308861231057</v>
      </c>
      <c r="W4" s="130">
        <f>IF(SER_hh_fech_in!W4=0,0,SER_hh_fech_in!W4/SER_summary!W$27)</f>
        <v>41.792330606514355</v>
      </c>
      <c r="X4" s="130">
        <f>IF(SER_hh_fech_in!X4=0,0,SER_hh_fech_in!X4/SER_summary!X$27)</f>
        <v>36.696311833672709</v>
      </c>
      <c r="Y4" s="130">
        <f>IF(SER_hh_fech_in!Y4=0,0,SER_hh_fech_in!Y4/SER_summary!Y$27)</f>
        <v>36.275695010042313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161.28347361465941</v>
      </c>
      <c r="D7" s="132">
        <f>IF(SER_hh_fech_in!D7=0,0,SER_hh_fech_in!D7/SER_summary!D$27)</f>
        <v>152.16526543090896</v>
      </c>
      <c r="E7" s="132">
        <f>IF(SER_hh_fech_in!E7=0,0,SER_hh_fech_in!E7/SER_summary!E$27)</f>
        <v>152.76426461633756</v>
      </c>
      <c r="F7" s="132">
        <f>IF(SER_hh_fech_in!F7=0,0,SER_hh_fech_in!F7/SER_summary!F$27)</f>
        <v>158.5975549447746</v>
      </c>
      <c r="G7" s="132">
        <f>IF(SER_hh_fech_in!G7=0,0,SER_hh_fech_in!G7/SER_summary!G$27)</f>
        <v>145.22886722176582</v>
      </c>
      <c r="H7" s="132">
        <f>IF(SER_hh_fech_in!H7=0,0,SER_hh_fech_in!H7/SER_summary!H$27)</f>
        <v>129.645904769715</v>
      </c>
      <c r="I7" s="132">
        <f>IF(SER_hh_fech_in!I7=0,0,SER_hh_fech_in!I7/SER_summary!I$27)</f>
        <v>120.16831139303743</v>
      </c>
      <c r="J7" s="132">
        <f>IF(SER_hh_fech_in!J7=0,0,SER_hh_fech_in!J7/SER_summary!J$27)</f>
        <v>124.8500853510855</v>
      </c>
      <c r="K7" s="132">
        <f>IF(SER_hh_fech_in!K7=0,0,SER_hh_fech_in!K7/SER_summary!K$27)</f>
        <v>117.88946044335847</v>
      </c>
      <c r="L7" s="132">
        <f>IF(SER_hh_fech_in!L7=0,0,SER_hh_fech_in!L7/SER_summary!L$27)</f>
        <v>115.99714554542915</v>
      </c>
      <c r="M7" s="132">
        <f>IF(SER_hh_fech_in!M7=0,0,SER_hh_fech_in!M7/SER_summary!M$27)</f>
        <v>88.770398172552589</v>
      </c>
      <c r="N7" s="132">
        <f>IF(SER_hh_fech_in!N7=0,0,SER_hh_fech_in!N7/SER_summary!N$27)</f>
        <v>99.935095606277201</v>
      </c>
      <c r="O7" s="132">
        <f>IF(SER_hh_fech_in!O7=0,0,SER_hh_fech_in!O7/SER_summary!O$27)</f>
        <v>84.866944188652866</v>
      </c>
      <c r="P7" s="132">
        <f>IF(SER_hh_fech_in!P7=0,0,SER_hh_fech_in!P7/SER_summary!P$27)</f>
        <v>68.951143464933608</v>
      </c>
      <c r="Q7" s="132">
        <f>IF(SER_hh_fech_in!Q7=0,0,SER_hh_fech_in!Q7/SER_summary!Q$27)</f>
        <v>67.573607240282911</v>
      </c>
      <c r="R7" s="132">
        <f>IF(SER_hh_fech_in!R7=0,0,SER_hh_fech_in!R7/SER_summary!R$27)</f>
        <v>66.119081431926972</v>
      </c>
      <c r="S7" s="132">
        <f>IF(SER_hh_fech_in!S7=0,0,SER_hh_fech_in!S7/SER_summary!S$27)</f>
        <v>0</v>
      </c>
      <c r="T7" s="132">
        <f>IF(SER_hh_fech_in!T7=0,0,SER_hh_fech_in!T7/SER_summary!T$27)</f>
        <v>69.768936417285673</v>
      </c>
      <c r="U7" s="132">
        <f>IF(SER_hh_fech_in!U7=0,0,SER_hh_fech_in!U7/SER_summary!U$27)</f>
        <v>0</v>
      </c>
      <c r="V7" s="132">
        <f>IF(SER_hh_fech_in!V7=0,0,SER_hh_fech_in!V7/SER_summary!V$27)</f>
        <v>0</v>
      </c>
      <c r="W7" s="132">
        <f>IF(SER_hh_fech_in!W7=0,0,SER_hh_fech_in!W7/SER_summary!W$27)</f>
        <v>0</v>
      </c>
      <c r="X7" s="132">
        <f>IF(SER_hh_fech_in!X7=0,0,SER_hh_fech_in!X7/SER_summary!X$27)</f>
        <v>51.979627768559517</v>
      </c>
      <c r="Y7" s="132">
        <f>IF(SER_hh_fech_in!Y7=0,0,SER_hh_fech_in!Y7/SER_summary!Y$27)</f>
        <v>42.224392361409116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55.209226382288357</v>
      </c>
      <c r="D8" s="132">
        <f>IF(SER_hh_fech_in!D8=0,0,SER_hh_fech_in!D8/SER_summary!D$27)</f>
        <v>51.000957869914444</v>
      </c>
      <c r="E8" s="132">
        <f>IF(SER_hh_fech_in!E8=0,0,SER_hh_fech_in!E8/SER_summary!E$27)</f>
        <v>54.797408225039817</v>
      </c>
      <c r="F8" s="132">
        <f>IF(SER_hh_fech_in!F8=0,0,SER_hh_fech_in!F8/SER_summary!F$27)</f>
        <v>51.658819726612975</v>
      </c>
      <c r="G8" s="132">
        <f>IF(SER_hh_fech_in!G8=0,0,SER_hh_fech_in!G8/SER_summary!G$27)</f>
        <v>41.410786886410349</v>
      </c>
      <c r="H8" s="132">
        <f>IF(SER_hh_fech_in!H8=0,0,SER_hh_fech_in!H8/SER_summary!H$27)</f>
        <v>24.014521795840288</v>
      </c>
      <c r="I8" s="132">
        <f>IF(SER_hh_fech_in!I8=0,0,SER_hh_fech_in!I8/SER_summary!I$27)</f>
        <v>49.028169346034204</v>
      </c>
      <c r="J8" s="132">
        <f>IF(SER_hh_fech_in!J8=0,0,SER_hh_fech_in!J8/SER_summary!J$27)</f>
        <v>39.765832368139463</v>
      </c>
      <c r="K8" s="132">
        <f>IF(SER_hh_fech_in!K8=0,0,SER_hh_fech_in!K8/SER_summary!K$27)</f>
        <v>36.104793822698483</v>
      </c>
      <c r="L8" s="132">
        <f>IF(SER_hh_fech_in!L8=0,0,SER_hh_fech_in!L8/SER_summary!L$27)</f>
        <v>33.283093804256467</v>
      </c>
      <c r="M8" s="132">
        <f>IF(SER_hh_fech_in!M8=0,0,SER_hh_fech_in!M8/SER_summary!M$27)</f>
        <v>29.817514657280171</v>
      </c>
      <c r="N8" s="132">
        <f>IF(SER_hh_fech_in!N8=0,0,SER_hh_fech_in!N8/SER_summary!N$27)</f>
        <v>26.371315205894462</v>
      </c>
      <c r="O8" s="132">
        <f>IF(SER_hh_fech_in!O8=0,0,SER_hh_fech_in!O8/SER_summary!O$27)</f>
        <v>21.970738042623957</v>
      </c>
      <c r="P8" s="132">
        <f>IF(SER_hh_fech_in!P8=0,0,SER_hh_fech_in!P8/SER_summary!P$27)</f>
        <v>21.645827216868497</v>
      </c>
      <c r="Q8" s="132">
        <f>IF(SER_hh_fech_in!Q8=0,0,SER_hh_fech_in!Q8/SER_summary!Q$27)</f>
        <v>21.533910679360144</v>
      </c>
      <c r="R8" s="132">
        <f>IF(SER_hh_fech_in!R8=0,0,SER_hh_fech_in!R8/SER_summary!R$27)</f>
        <v>19.326095347031043</v>
      </c>
      <c r="S8" s="132">
        <f>IF(SER_hh_fech_in!S8=0,0,SER_hh_fech_in!S8/SER_summary!S$27)</f>
        <v>17.120124989841731</v>
      </c>
      <c r="T8" s="132">
        <f>IF(SER_hh_fech_in!T8=0,0,SER_hh_fech_in!T8/SER_summary!T$27)</f>
        <v>15.938223559156379</v>
      </c>
      <c r="U8" s="132">
        <f>IF(SER_hh_fech_in!U8=0,0,SER_hh_fech_in!U8/SER_summary!U$27)</f>
        <v>14.560879884905379</v>
      </c>
      <c r="V8" s="132">
        <f>IF(SER_hh_fech_in!V8=0,0,SER_hh_fech_in!V8/SER_summary!V$27)</f>
        <v>14.395581090273788</v>
      </c>
      <c r="W8" s="132">
        <f>IF(SER_hh_fech_in!W8=0,0,SER_hh_fech_in!W8/SER_summary!W$27)</f>
        <v>12.733948533231285</v>
      </c>
      <c r="X8" s="132">
        <f>IF(SER_hh_fech_in!X8=0,0,SER_hh_fech_in!X8/SER_summary!X$27)</f>
        <v>12.968339013194884</v>
      </c>
      <c r="Y8" s="132">
        <f>IF(SER_hh_fech_in!Y8=0,0,SER_hh_fech_in!Y8/SER_summary!Y$27)</f>
        <v>13.464651801463525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150.32998370834466</v>
      </c>
      <c r="D9" s="132">
        <f>IF(SER_hh_fech_in!D9=0,0,SER_hh_fech_in!D9/SER_summary!D$27)</f>
        <v>141.44490954212677</v>
      </c>
      <c r="E9" s="132">
        <f>IF(SER_hh_fech_in!E9=0,0,SER_hh_fech_in!E9/SER_summary!E$27)</f>
        <v>152.32455976410742</v>
      </c>
      <c r="F9" s="132">
        <f>IF(SER_hh_fech_in!F9=0,0,SER_hh_fech_in!F9/SER_summary!F$27)</f>
        <v>138.82477764903444</v>
      </c>
      <c r="G9" s="132">
        <f>IF(SER_hh_fech_in!G9=0,0,SER_hh_fech_in!G9/SER_summary!G$27)</f>
        <v>132.75806430513245</v>
      </c>
      <c r="H9" s="132">
        <f>IF(SER_hh_fech_in!H9=0,0,SER_hh_fech_in!H9/SER_summary!H$27)</f>
        <v>137.89072630181619</v>
      </c>
      <c r="I9" s="132">
        <f>IF(SER_hh_fech_in!I9=0,0,SER_hh_fech_in!I9/SER_summary!I$27)</f>
        <v>120.50846849656791</v>
      </c>
      <c r="J9" s="132">
        <f>IF(SER_hh_fech_in!J9=0,0,SER_hh_fech_in!J9/SER_summary!J$27)</f>
        <v>116.06428459847318</v>
      </c>
      <c r="K9" s="132">
        <f>IF(SER_hh_fech_in!K9=0,0,SER_hh_fech_in!K9/SER_summary!K$27)</f>
        <v>115.14837931430657</v>
      </c>
      <c r="L9" s="132">
        <f>IF(SER_hh_fech_in!L9=0,0,SER_hh_fech_in!L9/SER_summary!L$27)</f>
        <v>115.31671912263712</v>
      </c>
      <c r="M9" s="132">
        <f>IF(SER_hh_fech_in!M9=0,0,SER_hh_fech_in!M9/SER_summary!M$27)</f>
        <v>85.020843152745741</v>
      </c>
      <c r="N9" s="132">
        <f>IF(SER_hh_fech_in!N9=0,0,SER_hh_fech_in!N9/SER_summary!N$27)</f>
        <v>91.834980725800733</v>
      </c>
      <c r="O9" s="132">
        <f>IF(SER_hh_fech_in!O9=0,0,SER_hh_fech_in!O9/SER_summary!O$27)</f>
        <v>89.5316437560775</v>
      </c>
      <c r="P9" s="132">
        <f>IF(SER_hh_fech_in!P9=0,0,SER_hh_fech_in!P9/SER_summary!P$27)</f>
        <v>56.021468603128632</v>
      </c>
      <c r="Q9" s="132">
        <f>IF(SER_hh_fech_in!Q9=0,0,SER_hh_fech_in!Q9/SER_summary!Q$27)</f>
        <v>66.930102860331885</v>
      </c>
      <c r="R9" s="132">
        <f>IF(SER_hh_fech_in!R9=0,0,SER_hh_fech_in!R9/SER_summary!R$27)</f>
        <v>65.480800310493834</v>
      </c>
      <c r="S9" s="132">
        <f>IF(SER_hh_fech_in!S9=0,0,SER_hh_fech_in!S9/SER_summary!S$27)</f>
        <v>67.154165446941732</v>
      </c>
      <c r="T9" s="132">
        <f>IF(SER_hh_fech_in!T9=0,0,SER_hh_fech_in!T9/SER_summary!T$27)</f>
        <v>47.330951157285305</v>
      </c>
      <c r="U9" s="132">
        <f>IF(SER_hh_fech_in!U9=0,0,SER_hh_fech_in!U9/SER_summary!U$27)</f>
        <v>43.746098014078051</v>
      </c>
      <c r="V9" s="132">
        <f>IF(SER_hh_fech_in!V9=0,0,SER_hh_fech_in!V9/SER_summary!V$27)</f>
        <v>42.768321324652618</v>
      </c>
      <c r="W9" s="132">
        <f>IF(SER_hh_fech_in!W9=0,0,SER_hh_fech_in!W9/SER_summary!W$27)</f>
        <v>55.744895939248366</v>
      </c>
      <c r="X9" s="132">
        <f>IF(SER_hh_fech_in!X9=0,0,SER_hh_fech_in!X9/SER_summary!X$27)</f>
        <v>43.968153403560308</v>
      </c>
      <c r="Y9" s="132">
        <f>IF(SER_hh_fech_in!Y9=0,0,SER_hh_fech_in!Y9/SER_summary!Y$27)</f>
        <v>42.221797996995939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131.92590828312569</v>
      </c>
      <c r="D10" s="132">
        <f>IF(SER_hh_fech_in!D10=0,0,SER_hh_fech_in!D10/SER_summary!D$27)</f>
        <v>160.14409120406228</v>
      </c>
      <c r="E10" s="132">
        <f>IF(SER_hh_fech_in!E10=0,0,SER_hh_fech_in!E10/SER_summary!E$27)</f>
        <v>157.89014070387367</v>
      </c>
      <c r="F10" s="132">
        <f>IF(SER_hh_fech_in!F10=0,0,SER_hh_fech_in!F10/SER_summary!F$27)</f>
        <v>131.21414125856487</v>
      </c>
      <c r="G10" s="132">
        <f>IF(SER_hh_fech_in!G10=0,0,SER_hh_fech_in!G10/SER_summary!G$27)</f>
        <v>136.99177270333146</v>
      </c>
      <c r="H10" s="132">
        <f>IF(SER_hh_fech_in!H10=0,0,SER_hh_fech_in!H10/SER_summary!H$27)</f>
        <v>147.77666507148419</v>
      </c>
      <c r="I10" s="132">
        <f>IF(SER_hh_fech_in!I10=0,0,SER_hh_fech_in!I10/SER_summary!I$27)</f>
        <v>128.42509274991582</v>
      </c>
      <c r="J10" s="132">
        <f>IF(SER_hh_fech_in!J10=0,0,SER_hh_fech_in!J10/SER_summary!J$27)</f>
        <v>0</v>
      </c>
      <c r="K10" s="132">
        <f>IF(SER_hh_fech_in!K10=0,0,SER_hh_fech_in!K10/SER_summary!K$27)</f>
        <v>0</v>
      </c>
      <c r="L10" s="132">
        <f>IF(SER_hh_fech_in!L10=0,0,SER_hh_fech_in!L10/SER_summary!L$27)</f>
        <v>108.6852361571669</v>
      </c>
      <c r="M10" s="132">
        <f>IF(SER_hh_fech_in!M10=0,0,SER_hh_fech_in!M10/SER_summary!M$27)</f>
        <v>112.92804937846856</v>
      </c>
      <c r="N10" s="132">
        <f>IF(SER_hh_fech_in!N10=0,0,SER_hh_fech_in!N10/SER_summary!N$27)</f>
        <v>96.346479383751088</v>
      </c>
      <c r="O10" s="132">
        <f>IF(SER_hh_fech_in!O10=0,0,SER_hh_fech_in!O10/SER_summary!O$27)</f>
        <v>91.237844484543345</v>
      </c>
      <c r="P10" s="132">
        <f>IF(SER_hh_fech_in!P10=0,0,SER_hh_fech_in!P10/SER_summary!P$27)</f>
        <v>99.130152757562882</v>
      </c>
      <c r="Q10" s="132">
        <f>IF(SER_hh_fech_in!Q10=0,0,SER_hh_fech_in!Q10/SER_summary!Q$27)</f>
        <v>77.929454969686248</v>
      </c>
      <c r="R10" s="132">
        <f>IF(SER_hh_fech_in!R10=0,0,SER_hh_fech_in!R10/SER_summary!R$27)</f>
        <v>84.634491635529741</v>
      </c>
      <c r="S10" s="132">
        <f>IF(SER_hh_fech_in!S10=0,0,SER_hh_fech_in!S10/SER_summary!S$27)</f>
        <v>86.012130175465842</v>
      </c>
      <c r="T10" s="132">
        <f>IF(SER_hh_fech_in!T10=0,0,SER_hh_fech_in!T10/SER_summary!T$27)</f>
        <v>90.094805265658906</v>
      </c>
      <c r="U10" s="132">
        <f>IF(SER_hh_fech_in!U10=0,0,SER_hh_fech_in!U10/SER_summary!U$27)</f>
        <v>76.312970132044228</v>
      </c>
      <c r="V10" s="132">
        <f>IF(SER_hh_fech_in!V10=0,0,SER_hh_fech_in!V10/SER_summary!V$27)</f>
        <v>66.033354070241586</v>
      </c>
      <c r="W10" s="132">
        <f>IF(SER_hh_fech_in!W10=0,0,SER_hh_fech_in!W10/SER_summary!W$27)</f>
        <v>0</v>
      </c>
      <c r="X10" s="132">
        <f>IF(SER_hh_fech_in!X10=0,0,SER_hh_fech_in!X10/SER_summary!X$27)</f>
        <v>0</v>
      </c>
      <c r="Y10" s="132">
        <f>IF(SER_hh_fech_in!Y10=0,0,SER_hh_fech_in!Y10/SER_summary!Y$27)</f>
        <v>0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106.01919764302063</v>
      </c>
      <c r="D12" s="132">
        <f>IF(SER_hh_fech_in!D12=0,0,SER_hh_fech_in!D12/SER_summary!D$27)</f>
        <v>101.56939360615971</v>
      </c>
      <c r="E12" s="132">
        <f>IF(SER_hh_fech_in!E12=0,0,SER_hh_fech_in!E12/SER_summary!E$27)</f>
        <v>101.33924949021733</v>
      </c>
      <c r="F12" s="132">
        <f>IF(SER_hh_fech_in!F12=0,0,SER_hh_fech_in!F12/SER_summary!F$27)</f>
        <v>97.966655940277633</v>
      </c>
      <c r="G12" s="132">
        <f>IF(SER_hh_fech_in!G12=0,0,SER_hh_fech_in!G12/SER_summary!G$27)</f>
        <v>93.835780651219395</v>
      </c>
      <c r="H12" s="132">
        <f>IF(SER_hh_fech_in!H12=0,0,SER_hh_fech_in!H12/SER_summary!H$27)</f>
        <v>90.952637192834757</v>
      </c>
      <c r="I12" s="132">
        <f>IF(SER_hh_fech_in!I12=0,0,SER_hh_fech_in!I12/SER_summary!I$27)</f>
        <v>84.40240502630337</v>
      </c>
      <c r="J12" s="132">
        <f>IF(SER_hh_fech_in!J12=0,0,SER_hh_fech_in!J12/SER_summary!J$27)</f>
        <v>82.335006101478612</v>
      </c>
      <c r="K12" s="132">
        <f>IF(SER_hh_fech_in!K12=0,0,SER_hh_fech_in!K12/SER_summary!K$27)</f>
        <v>78.328532751717773</v>
      </c>
      <c r="L12" s="132">
        <f>IF(SER_hh_fech_in!L12=0,0,SER_hh_fech_in!L12/SER_summary!L$27)</f>
        <v>85.681366895628344</v>
      </c>
      <c r="M12" s="132">
        <f>IF(SER_hh_fech_in!M12=0,0,SER_hh_fech_in!M12/SER_summary!M$27)</f>
        <v>70.483059325961534</v>
      </c>
      <c r="N12" s="132">
        <f>IF(SER_hh_fech_in!N12=0,0,SER_hh_fech_in!N12/SER_summary!N$27)</f>
        <v>69.045317970616949</v>
      </c>
      <c r="O12" s="132">
        <f>IF(SER_hh_fech_in!O12=0,0,SER_hh_fech_in!O12/SER_summary!O$27)</f>
        <v>65.317335800677213</v>
      </c>
      <c r="P12" s="132">
        <f>IF(SER_hh_fech_in!P12=0,0,SER_hh_fech_in!P12/SER_summary!P$27)</f>
        <v>55.617958724083138</v>
      </c>
      <c r="Q12" s="132">
        <f>IF(SER_hh_fech_in!Q12=0,0,SER_hh_fech_in!Q12/SER_summary!Q$27)</f>
        <v>57.069139349419324</v>
      </c>
      <c r="R12" s="132">
        <f>IF(SER_hh_fech_in!R12=0,0,SER_hh_fech_in!R12/SER_summary!R$27)</f>
        <v>56.253853763974654</v>
      </c>
      <c r="S12" s="132">
        <f>IF(SER_hh_fech_in!S12=0,0,SER_hh_fech_in!S12/SER_summary!S$27)</f>
        <v>53.974765901328993</v>
      </c>
      <c r="T12" s="132">
        <f>IF(SER_hh_fech_in!T12=0,0,SER_hh_fech_in!T12/SER_summary!T$27)</f>
        <v>50.558242636232137</v>
      </c>
      <c r="U12" s="132">
        <f>IF(SER_hh_fech_in!U12=0,0,SER_hh_fech_in!U12/SER_summary!U$27)</f>
        <v>46.72591166741298</v>
      </c>
      <c r="V12" s="132">
        <f>IF(SER_hh_fech_in!V12=0,0,SER_hh_fech_in!V12/SER_summary!V$27)</f>
        <v>42.83054004257329</v>
      </c>
      <c r="W12" s="132">
        <f>IF(SER_hh_fech_in!W12=0,0,SER_hh_fech_in!W12/SER_summary!W$27)</f>
        <v>43.420918187105528</v>
      </c>
      <c r="X12" s="132">
        <f>IF(SER_hh_fech_in!X12=0,0,SER_hh_fech_in!X12/SER_summary!X$27)</f>
        <v>38.421671953137889</v>
      </c>
      <c r="Y12" s="132">
        <f>IF(SER_hh_fech_in!Y12=0,0,SER_hh_fech_in!Y12/SER_summary!Y$27)</f>
        <v>39.180311939703735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42.406249699789875</v>
      </c>
      <c r="D13" s="132">
        <f>IF(SER_hh_fech_in!D13=0,0,SER_hh_fech_in!D13/SER_summary!D$27)</f>
        <v>40.589987852957037</v>
      </c>
      <c r="E13" s="132">
        <f>IF(SER_hh_fech_in!E13=0,0,SER_hh_fech_in!E13/SER_summary!E$27)</f>
        <v>38.325647881552591</v>
      </c>
      <c r="F13" s="132">
        <f>IF(SER_hh_fech_in!F13=0,0,SER_hh_fech_in!F13/SER_summary!F$27)</f>
        <v>36.324721834846507</v>
      </c>
      <c r="G13" s="132">
        <f>IF(SER_hh_fech_in!G13=0,0,SER_hh_fech_in!G13/SER_summary!G$27)</f>
        <v>25.450077458532601</v>
      </c>
      <c r="H13" s="132">
        <f>IF(SER_hh_fech_in!H13=0,0,SER_hh_fech_in!H13/SER_summary!H$27)</f>
        <v>16.328371750031753</v>
      </c>
      <c r="I13" s="132">
        <f>IF(SER_hh_fech_in!I13=0,0,SER_hh_fech_in!I13/SER_summary!I$27)</f>
        <v>36.89013683520357</v>
      </c>
      <c r="J13" s="132">
        <f>IF(SER_hh_fech_in!J13=0,0,SER_hh_fech_in!J13/SER_summary!J$27)</f>
        <v>29.856315175291904</v>
      </c>
      <c r="K13" s="132">
        <f>IF(SER_hh_fech_in!K13=0,0,SER_hh_fech_in!K13/SER_summary!K$27)</f>
        <v>26.131755983445451</v>
      </c>
      <c r="L13" s="132">
        <f>IF(SER_hh_fech_in!L13=0,0,SER_hh_fech_in!L13/SER_summary!L$27)</f>
        <v>24.830147620102252</v>
      </c>
      <c r="M13" s="132">
        <f>IF(SER_hh_fech_in!M13=0,0,SER_hh_fech_in!M13/SER_summary!M$27)</f>
        <v>22.302365424787524</v>
      </c>
      <c r="N13" s="132">
        <f>IF(SER_hh_fech_in!N13=0,0,SER_hh_fech_in!N13/SER_summary!N$27)</f>
        <v>20.172686157752374</v>
      </c>
      <c r="O13" s="132">
        <f>IF(SER_hh_fech_in!O13=0,0,SER_hh_fech_in!O13/SER_summary!O$27)</f>
        <v>17.835557857030139</v>
      </c>
      <c r="P13" s="132">
        <f>IF(SER_hh_fech_in!P13=0,0,SER_hh_fech_in!P13/SER_summary!P$27)</f>
        <v>15.383247807069846</v>
      </c>
      <c r="Q13" s="132">
        <f>IF(SER_hh_fech_in!Q13=0,0,SER_hh_fech_in!Q13/SER_summary!Q$27)</f>
        <v>14.896601951500944</v>
      </c>
      <c r="R13" s="132">
        <f>IF(SER_hh_fech_in!R13=0,0,SER_hh_fech_in!R13/SER_summary!R$27)</f>
        <v>13.937708118068164</v>
      </c>
      <c r="S13" s="132">
        <f>IF(SER_hh_fech_in!S13=0,0,SER_hh_fech_in!S13/SER_summary!S$27)</f>
        <v>12.324609220626259</v>
      </c>
      <c r="T13" s="132">
        <f>IF(SER_hh_fech_in!T13=0,0,SER_hh_fech_in!T13/SER_summary!T$27)</f>
        <v>11.541771831237467</v>
      </c>
      <c r="U13" s="132">
        <f>IF(SER_hh_fech_in!U13=0,0,SER_hh_fech_in!U13/SER_summary!U$27)</f>
        <v>10.796799149567851</v>
      </c>
      <c r="V13" s="132">
        <f>IF(SER_hh_fech_in!V13=0,0,SER_hh_fech_in!V13/SER_summary!V$27)</f>
        <v>10.000596220802406</v>
      </c>
      <c r="W13" s="132">
        <f>IF(SER_hh_fech_in!W13=0,0,SER_hh_fech_in!W13/SER_summary!W$27)</f>
        <v>9.3248659169629686</v>
      </c>
      <c r="X13" s="132">
        <f>IF(SER_hh_fech_in!X13=0,0,SER_hh_fech_in!X13/SER_summary!X$27)</f>
        <v>9.5236522940853785</v>
      </c>
      <c r="Y13" s="132">
        <f>IF(SER_hh_fech_in!Y13=0,0,SER_hh_fech_in!Y13/SER_summary!Y$27)</f>
        <v>9.3243131202012801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117.04199997377337</v>
      </c>
      <c r="D14" s="65">
        <f>IF(SER_hh_fech_in!D14=0,0,SER_hh_fech_in!D14/SER_summary!D$27)</f>
        <v>114.03510015075386</v>
      </c>
      <c r="E14" s="65">
        <f>IF(SER_hh_fech_in!E14=0,0,SER_hh_fech_in!E14/SER_summary!E$27)</f>
        <v>106.47540172497041</v>
      </c>
      <c r="F14" s="65">
        <f>IF(SER_hh_fech_in!F14=0,0,SER_hh_fech_in!F14/SER_summary!F$27)</f>
        <v>106.15651644398754</v>
      </c>
      <c r="G14" s="65">
        <f>IF(SER_hh_fech_in!G14=0,0,SER_hh_fech_in!G14/SER_summary!G$27)</f>
        <v>100.90814617599497</v>
      </c>
      <c r="H14" s="65">
        <f>IF(SER_hh_fech_in!H14=0,0,SER_hh_fech_in!H14/SER_summary!H$27)</f>
        <v>99.964001128285801</v>
      </c>
      <c r="I14" s="65">
        <f>IF(SER_hh_fech_in!I14=0,0,SER_hh_fech_in!I14/SER_summary!I$27)</f>
        <v>97.966614220053671</v>
      </c>
      <c r="J14" s="65">
        <f>IF(SER_hh_fech_in!J14=0,0,SER_hh_fech_in!J14/SER_summary!J$27)</f>
        <v>94.44837227002084</v>
      </c>
      <c r="K14" s="65">
        <f>IF(SER_hh_fech_in!K14=0,0,SER_hh_fech_in!K14/SER_summary!K$27)</f>
        <v>82.395575392119255</v>
      </c>
      <c r="L14" s="65">
        <f>IF(SER_hh_fech_in!L14=0,0,SER_hh_fech_in!L14/SER_summary!L$27)</f>
        <v>90.336346265899195</v>
      </c>
      <c r="M14" s="65">
        <f>IF(SER_hh_fech_in!M14=0,0,SER_hh_fech_in!M14/SER_summary!M$27)</f>
        <v>81.883903301011188</v>
      </c>
      <c r="N14" s="65">
        <f>IF(SER_hh_fech_in!N14=0,0,SER_hh_fech_in!N14/SER_summary!N$27)</f>
        <v>74.917693130640458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54.215740320096067</v>
      </c>
      <c r="X14" s="65">
        <f>IF(SER_hh_fech_in!X14=0,0,SER_hh_fech_in!X14/SER_summary!X$27)</f>
        <v>59.0142037593981</v>
      </c>
      <c r="Y14" s="65">
        <f>IF(SER_hh_fech_in!Y14=0,0,SER_hh_fech_in!Y14/SER_summary!Y$27)</f>
        <v>0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0.57828545155775901</v>
      </c>
      <c r="D15" s="134">
        <f>IF(SER_hh_fech_in!D15=0,0,SER_hh_fech_in!D15/SER_summary!D$27)</f>
        <v>0.66758366299549143</v>
      </c>
      <c r="E15" s="134">
        <f>IF(SER_hh_fech_in!E15=0,0,SER_hh_fech_in!E15/SER_summary!E$27)</f>
        <v>0.71048813751038553</v>
      </c>
      <c r="F15" s="134">
        <f>IF(SER_hh_fech_in!F15=0,0,SER_hh_fech_in!F15/SER_summary!F$27)</f>
        <v>0.67515391785918411</v>
      </c>
      <c r="G15" s="134">
        <f>IF(SER_hh_fech_in!G15=0,0,SER_hh_fech_in!G15/SER_summary!G$27)</f>
        <v>0.61411776561781195</v>
      </c>
      <c r="H15" s="134">
        <f>IF(SER_hh_fech_in!H15=0,0,SER_hh_fech_in!H15/SER_summary!H$27)</f>
        <v>0.5846819573469515</v>
      </c>
      <c r="I15" s="134">
        <f>IF(SER_hh_fech_in!I15=0,0,SER_hh_fech_in!I15/SER_summary!I$27)</f>
        <v>0.43972517537926281</v>
      </c>
      <c r="J15" s="134">
        <f>IF(SER_hh_fech_in!J15=0,0,SER_hh_fech_in!J15/SER_summary!J$27)</f>
        <v>0.43045067897671507</v>
      </c>
      <c r="K15" s="134">
        <f>IF(SER_hh_fech_in!K15=0,0,SER_hh_fech_in!K15/SER_summary!K$27)</f>
        <v>0.36806961285192269</v>
      </c>
      <c r="L15" s="134">
        <f>IF(SER_hh_fech_in!L15=0,0,SER_hh_fech_in!L15/SER_summary!L$27)</f>
        <v>0.36610990879523725</v>
      </c>
      <c r="M15" s="134">
        <f>IF(SER_hh_fech_in!M15=0,0,SER_hh_fech_in!M15/SER_summary!M$27)</f>
        <v>0.34124724904228437</v>
      </c>
      <c r="N15" s="134">
        <f>IF(SER_hh_fech_in!N15=0,0,SER_hh_fech_in!N15/SER_summary!N$27)</f>
        <v>0.4099828410760053</v>
      </c>
      <c r="O15" s="134">
        <f>IF(SER_hh_fech_in!O15=0,0,SER_hh_fech_in!O15/SER_summary!O$27)</f>
        <v>0.40051725153197443</v>
      </c>
      <c r="P15" s="134">
        <f>IF(SER_hh_fech_in!P15=0,0,SER_hh_fech_in!P15/SER_summary!P$27)</f>
        <v>0.28245884843388352</v>
      </c>
      <c r="Q15" s="134">
        <f>IF(SER_hh_fech_in!Q15=0,0,SER_hh_fech_in!Q15/SER_summary!Q$27)</f>
        <v>0.3815022239392456</v>
      </c>
      <c r="R15" s="134">
        <f>IF(SER_hh_fech_in!R15=0,0,SER_hh_fech_in!R15/SER_summary!R$27)</f>
        <v>0.3481806241943356</v>
      </c>
      <c r="S15" s="134">
        <f>IF(SER_hh_fech_in!S15=0,0,SER_hh_fech_in!S15/SER_summary!S$27)</f>
        <v>0.33760772303629877</v>
      </c>
      <c r="T15" s="134">
        <f>IF(SER_hh_fech_in!T15=0,0,SER_hh_fech_in!T15/SER_summary!T$27)</f>
        <v>0.28021789243795187</v>
      </c>
      <c r="U15" s="134">
        <f>IF(SER_hh_fech_in!U15=0,0,SER_hh_fech_in!U15/SER_summary!U$27)</f>
        <v>0.29754715231366929</v>
      </c>
      <c r="V15" s="134">
        <f>IF(SER_hh_fech_in!V15=0,0,SER_hh_fech_in!V15/SER_summary!V$27)</f>
        <v>0.27540685216774718</v>
      </c>
      <c r="W15" s="134">
        <f>IF(SER_hh_fech_in!W15=0,0,SER_hh_fech_in!W15/SER_summary!W$27)</f>
        <v>0.23932337634970574</v>
      </c>
      <c r="X15" s="134">
        <f>IF(SER_hh_fech_in!X15=0,0,SER_hh_fech_in!X15/SER_summary!X$27)</f>
        <v>0.21569110623510865</v>
      </c>
      <c r="Y15" s="134">
        <f>IF(SER_hh_fech_in!Y15=0,0,SER_hh_fech_in!Y15/SER_summary!Y$27)</f>
        <v>0.17269599618235537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8.9791154529595634</v>
      </c>
      <c r="D16" s="130">
        <f>IF(SER_hh_fech_in!D16=0,0,SER_hh_fech_in!D16/SER_summary!D$27)</f>
        <v>8.5124676205908756</v>
      </c>
      <c r="E16" s="130">
        <f>IF(SER_hh_fech_in!E16=0,0,SER_hh_fech_in!E16/SER_summary!E$27)</f>
        <v>8.0735613850311712</v>
      </c>
      <c r="F16" s="130">
        <f>IF(SER_hh_fech_in!F16=0,0,SER_hh_fech_in!F16/SER_summary!F$27)</f>
        <v>7.6792846306937248</v>
      </c>
      <c r="G16" s="130">
        <f>IF(SER_hh_fech_in!G16=0,0,SER_hh_fech_in!G16/SER_summary!G$27)</f>
        <v>7.3105767315489905</v>
      </c>
      <c r="H16" s="130">
        <f>IF(SER_hh_fech_in!H16=0,0,SER_hh_fech_in!H16/SER_summary!H$27)</f>
        <v>6.9647629504403152</v>
      </c>
      <c r="I16" s="130">
        <f>IF(SER_hh_fech_in!I16=0,0,SER_hh_fech_in!I16/SER_summary!I$27)</f>
        <v>6.6548323635931457</v>
      </c>
      <c r="J16" s="130">
        <f>IF(SER_hh_fech_in!J16=0,0,SER_hh_fech_in!J16/SER_summary!J$27)</f>
        <v>6.334822296547193</v>
      </c>
      <c r="K16" s="130">
        <f>IF(SER_hh_fech_in!K16=0,0,SER_hh_fech_in!K16/SER_summary!K$27)</f>
        <v>6.0437145871271838</v>
      </c>
      <c r="L16" s="130">
        <f>IF(SER_hh_fech_in!L16=0,0,SER_hh_fech_in!L16/SER_summary!L$27)</f>
        <v>5.7984801285366174</v>
      </c>
      <c r="M16" s="130">
        <f>IF(SER_hh_fech_in!M16=0,0,SER_hh_fech_in!M16/SER_summary!M$27)</f>
        <v>5.4626358752316682</v>
      </c>
      <c r="N16" s="130">
        <f>IF(SER_hh_fech_in!N16=0,0,SER_hh_fech_in!N16/SER_summary!N$27)</f>
        <v>5.1338919132099807</v>
      </c>
      <c r="O16" s="130">
        <f>IF(SER_hh_fech_in!O16=0,0,SER_hh_fech_in!O16/SER_summary!O$27)</f>
        <v>4.798702080106648</v>
      </c>
      <c r="P16" s="130">
        <f>IF(SER_hh_fech_in!P16=0,0,SER_hh_fech_in!P16/SER_summary!P$27)</f>
        <v>4.5172752395439888</v>
      </c>
      <c r="Q16" s="130">
        <f>IF(SER_hh_fech_in!Q16=0,0,SER_hh_fech_in!Q16/SER_summary!Q$27)</f>
        <v>4.2964121972932539</v>
      </c>
      <c r="R16" s="130">
        <f>IF(SER_hh_fech_in!R16=0,0,SER_hh_fech_in!R16/SER_summary!R$27)</f>
        <v>4.0585447802853372</v>
      </c>
      <c r="S16" s="130">
        <f>IF(SER_hh_fech_in!S16=0,0,SER_hh_fech_in!S16/SER_summary!S$27)</f>
        <v>3.9102539576553506</v>
      </c>
      <c r="T16" s="130">
        <f>IF(SER_hh_fech_in!T16=0,0,SER_hh_fech_in!T16/SER_summary!T$27)</f>
        <v>3.9069252193054824</v>
      </c>
      <c r="U16" s="130">
        <f>IF(SER_hh_fech_in!U16=0,0,SER_hh_fech_in!U16/SER_summary!U$27)</f>
        <v>3.671137525823458</v>
      </c>
      <c r="V16" s="130">
        <f>IF(SER_hh_fech_in!V16=0,0,SER_hh_fech_in!V16/SER_summary!V$27)</f>
        <v>3.3564210092438449</v>
      </c>
      <c r="W16" s="130">
        <f>IF(SER_hh_fech_in!W16=0,0,SER_hh_fech_in!W16/SER_summary!W$27)</f>
        <v>3.1359543258131626</v>
      </c>
      <c r="X16" s="130">
        <f>IF(SER_hh_fech_in!X16=0,0,SER_hh_fech_in!X16/SER_summary!X$27)</f>
        <v>3.2055763505783843</v>
      </c>
      <c r="Y16" s="130">
        <f>IF(SER_hh_fech_in!Y16=0,0,SER_hh_fech_in!Y16/SER_summary!Y$27)</f>
        <v>3.1218788981632994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19.74072871142133</v>
      </c>
      <c r="D17" s="132">
        <f>IF(SER_hh_fech_in!D17=0,0,SER_hh_fech_in!D17/SER_summary!D$27)</f>
        <v>19.273557209698151</v>
      </c>
      <c r="E17" s="132">
        <f>IF(SER_hh_fech_in!E17=0,0,SER_hh_fech_in!E17/SER_summary!E$27)</f>
        <v>18.806452967331165</v>
      </c>
      <c r="F17" s="132">
        <f>IF(SER_hh_fech_in!F17=0,0,SER_hh_fech_in!F17/SER_summary!F$27)</f>
        <v>18.389292754731134</v>
      </c>
      <c r="G17" s="132">
        <f>IF(SER_hh_fech_in!G17=0,0,SER_hh_fech_in!G17/SER_summary!G$27)</f>
        <v>17.986313503589031</v>
      </c>
      <c r="H17" s="132">
        <f>IF(SER_hh_fech_in!H17=0,0,SER_hh_fech_in!H17/SER_summary!H$27)</f>
        <v>17.580338250560963</v>
      </c>
      <c r="I17" s="132">
        <f>IF(SER_hh_fech_in!I17=0,0,SER_hh_fech_in!I17/SER_summary!I$27)</f>
        <v>17.205456514011871</v>
      </c>
      <c r="J17" s="132">
        <f>IF(SER_hh_fech_in!J17=0,0,SER_hh_fech_in!J17/SER_summary!J$27)</f>
        <v>16.771607053843653</v>
      </c>
      <c r="K17" s="132">
        <f>IF(SER_hh_fech_in!K17=0,0,SER_hh_fech_in!K17/SER_summary!K$27)</f>
        <v>16.384475669536023</v>
      </c>
      <c r="L17" s="132">
        <f>IF(SER_hh_fech_in!L17=0,0,SER_hh_fech_in!L17/SER_summary!L$27)</f>
        <v>16.116849007393668</v>
      </c>
      <c r="M17" s="132">
        <f>IF(SER_hh_fech_in!M17=0,0,SER_hh_fech_in!M17/SER_summary!M$27)</f>
        <v>15.571460843998493</v>
      </c>
      <c r="N17" s="132">
        <f>IF(SER_hh_fech_in!N17=0,0,SER_hh_fech_in!N17/SER_summary!N$27)</f>
        <v>15.027626238102629</v>
      </c>
      <c r="O17" s="132">
        <f>IF(SER_hh_fech_in!O17=0,0,SER_hh_fech_in!O17/SER_summary!O$27)</f>
        <v>14.460158407734145</v>
      </c>
      <c r="P17" s="132">
        <f>IF(SER_hh_fech_in!P17=0,0,SER_hh_fech_in!P17/SER_summary!P$27)</f>
        <v>14.01392066473773</v>
      </c>
      <c r="Q17" s="132">
        <f>IF(SER_hh_fech_in!Q17=0,0,SER_hh_fech_in!Q17/SER_summary!Q$27)</f>
        <v>13.612708479347178</v>
      </c>
      <c r="R17" s="132">
        <f>IF(SER_hh_fech_in!R17=0,0,SER_hh_fech_in!R17/SER_summary!R$27)</f>
        <v>13.181765132718374</v>
      </c>
      <c r="S17" s="132">
        <f>IF(SER_hh_fech_in!S17=0,0,SER_hh_fech_in!S17/SER_summary!S$27)</f>
        <v>12.658906240956231</v>
      </c>
      <c r="T17" s="132">
        <f>IF(SER_hh_fech_in!T17=0,0,SER_hh_fech_in!T17/SER_summary!T$27)</f>
        <v>12.518625212533809</v>
      </c>
      <c r="U17" s="132">
        <f>IF(SER_hh_fech_in!U17=0,0,SER_hh_fech_in!U17/SER_summary!U$27)</f>
        <v>11.585991234365402</v>
      </c>
      <c r="V17" s="132">
        <f>IF(SER_hh_fech_in!V17=0,0,SER_hh_fech_in!V17/SER_summary!V$27)</f>
        <v>7.98622260534309</v>
      </c>
      <c r="W17" s="132">
        <f>IF(SER_hh_fech_in!W17=0,0,SER_hh_fech_in!W17/SER_summary!W$27)</f>
        <v>7.6083905220858634</v>
      </c>
      <c r="X17" s="132">
        <f>IF(SER_hh_fech_in!X17=0,0,SER_hh_fech_in!X17/SER_summary!X$27)</f>
        <v>7.8078189154825903</v>
      </c>
      <c r="Y17" s="132">
        <f>IF(SER_hh_fech_in!Y17=0,0,SER_hh_fech_in!Y17/SER_summary!Y$27)</f>
        <v>7.7240355667841589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8.9686296243726584</v>
      </c>
      <c r="D18" s="132">
        <f>IF(SER_hh_fech_in!D18=0,0,SER_hh_fech_in!D18/SER_summary!D$27)</f>
        <v>8.5009181699701166</v>
      </c>
      <c r="E18" s="132">
        <f>IF(SER_hh_fech_in!E18=0,0,SER_hh_fech_in!E18/SER_summary!E$27)</f>
        <v>8.0642474526853647</v>
      </c>
      <c r="F18" s="132">
        <f>IF(SER_hh_fech_in!F18=0,0,SER_hh_fech_in!F18/SER_summary!F$27)</f>
        <v>7.6661871927024459</v>
      </c>
      <c r="G18" s="132">
        <f>IF(SER_hh_fech_in!G18=0,0,SER_hh_fech_in!G18/SER_summary!G$27)</f>
        <v>7.2970079012131333</v>
      </c>
      <c r="H18" s="132">
        <f>IF(SER_hh_fech_in!H18=0,0,SER_hh_fech_in!H18/SER_summary!H$27)</f>
        <v>6.9539920686485521</v>
      </c>
      <c r="I18" s="132">
        <f>IF(SER_hh_fech_in!I18=0,0,SER_hh_fech_in!I18/SER_summary!I$27)</f>
        <v>6.6454752440234746</v>
      </c>
      <c r="J18" s="132">
        <f>IF(SER_hh_fech_in!J18=0,0,SER_hh_fech_in!J18/SER_summary!J$27)</f>
        <v>6.3241784034600279</v>
      </c>
      <c r="K18" s="132">
        <f>IF(SER_hh_fech_in!K18=0,0,SER_hh_fech_in!K18/SER_summary!K$27)</f>
        <v>6.0340959090434163</v>
      </c>
      <c r="L18" s="132">
        <f>IF(SER_hh_fech_in!L18=0,0,SER_hh_fech_in!L18/SER_summary!L$27)</f>
        <v>5.7847146275723986</v>
      </c>
      <c r="M18" s="132">
        <f>IF(SER_hh_fech_in!M18=0,0,SER_hh_fech_in!M18/SER_summary!M$27)</f>
        <v>5.4460617711593233</v>
      </c>
      <c r="N18" s="132">
        <f>IF(SER_hh_fech_in!N18=0,0,SER_hh_fech_in!N18/SER_summary!N$27)</f>
        <v>5.1126388665530733</v>
      </c>
      <c r="O18" s="132">
        <f>IF(SER_hh_fech_in!O18=0,0,SER_hh_fech_in!O18/SER_summary!O$27)</f>
        <v>4.7704186820814183</v>
      </c>
      <c r="P18" s="132">
        <f>IF(SER_hh_fech_in!P18=0,0,SER_hh_fech_in!P18/SER_summary!P$27)</f>
        <v>4.4776068513857625</v>
      </c>
      <c r="Q18" s="132">
        <f>IF(SER_hh_fech_in!Q18=0,0,SER_hh_fech_in!Q18/SER_summary!Q$27)</f>
        <v>4.2356593691431108</v>
      </c>
      <c r="R18" s="132">
        <f>IF(SER_hh_fech_in!R18=0,0,SER_hh_fech_in!R18/SER_summary!R$27)</f>
        <v>4.0020797289061978</v>
      </c>
      <c r="S18" s="132">
        <f>IF(SER_hh_fech_in!S18=0,0,SER_hh_fech_in!S18/SER_summary!S$27)</f>
        <v>3.859744970241374</v>
      </c>
      <c r="T18" s="132">
        <f>IF(SER_hh_fech_in!T18=0,0,SER_hh_fech_in!T18/SER_summary!T$27)</f>
        <v>3.8691252530378089</v>
      </c>
      <c r="U18" s="132">
        <f>IF(SER_hh_fech_in!U18=0,0,SER_hh_fech_in!U18/SER_summary!U$27)</f>
        <v>3.6179905846910732</v>
      </c>
      <c r="V18" s="132">
        <f>IF(SER_hh_fech_in!V18=0,0,SER_hh_fech_in!V18/SER_summary!V$27)</f>
        <v>3.283483487829435</v>
      </c>
      <c r="W18" s="132">
        <f>IF(SER_hh_fech_in!W18=0,0,SER_hh_fech_in!W18/SER_summary!W$27)</f>
        <v>3.1136253100337559</v>
      </c>
      <c r="X18" s="132">
        <f>IF(SER_hh_fech_in!X18=0,0,SER_hh_fech_in!X18/SER_summary!X$27)</f>
        <v>3.1850383598514194</v>
      </c>
      <c r="Y18" s="132">
        <f>IF(SER_hh_fech_in!Y18=0,0,SER_hh_fech_in!Y18/SER_summary!Y$27)</f>
        <v>3.0944341514545797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13.990473871372057</v>
      </c>
      <c r="D19" s="130">
        <f>IF(SER_hh_fech_in!D19=0,0,SER_hh_fech_in!D19/SER_summary!D$27)</f>
        <v>14.040925470728677</v>
      </c>
      <c r="E19" s="130">
        <f>IF(SER_hh_fech_in!E19=0,0,SER_hh_fech_in!E19/SER_summary!E$27)</f>
        <v>14.137101889811998</v>
      </c>
      <c r="F19" s="130">
        <f>IF(SER_hh_fech_in!F19=0,0,SER_hh_fech_in!F19/SER_summary!F$27)</f>
        <v>13.843581370116462</v>
      </c>
      <c r="G19" s="130">
        <f>IF(SER_hh_fech_in!G19=0,0,SER_hh_fech_in!G19/SER_summary!G$27)</f>
        <v>13.667816239315119</v>
      </c>
      <c r="H19" s="130">
        <f>IF(SER_hh_fech_in!H19=0,0,SER_hh_fech_in!H19/SER_summary!H$27)</f>
        <v>13.577706377982743</v>
      </c>
      <c r="I19" s="130">
        <f>IF(SER_hh_fech_in!I19=0,0,SER_hh_fech_in!I19/SER_summary!I$27)</f>
        <v>13.072413744328763</v>
      </c>
      <c r="J19" s="130">
        <f>IF(SER_hh_fech_in!J19=0,0,SER_hh_fech_in!J19/SER_summary!J$27)</f>
        <v>12.899800943530975</v>
      </c>
      <c r="K19" s="130">
        <f>IF(SER_hh_fech_in!K19=0,0,SER_hh_fech_in!K19/SER_summary!K$27)</f>
        <v>12.645193123977739</v>
      </c>
      <c r="L19" s="130">
        <f>IF(SER_hh_fech_in!L19=0,0,SER_hh_fech_in!L19/SER_summary!L$27)</f>
        <v>12.114019703539988</v>
      </c>
      <c r="M19" s="130">
        <f>IF(SER_hh_fech_in!M19=0,0,SER_hh_fech_in!M19/SER_summary!M$27)</f>
        <v>12.37618752679389</v>
      </c>
      <c r="N19" s="130">
        <f>IF(SER_hh_fech_in!N19=0,0,SER_hh_fech_in!N19/SER_summary!N$27)</f>
        <v>12.529988981747243</v>
      </c>
      <c r="O19" s="130">
        <f>IF(SER_hh_fech_in!O19=0,0,SER_hh_fech_in!O19/SER_summary!O$27)</f>
        <v>12.182759973757816</v>
      </c>
      <c r="P19" s="130">
        <f>IF(SER_hh_fech_in!P19=0,0,SER_hh_fech_in!P19/SER_summary!P$27)</f>
        <v>12.115188544562065</v>
      </c>
      <c r="Q19" s="130">
        <f>IF(SER_hh_fech_in!Q19=0,0,SER_hh_fech_in!Q19/SER_summary!Q$27)</f>
        <v>12.06860391899232</v>
      </c>
      <c r="R19" s="130">
        <f>IF(SER_hh_fech_in!R19=0,0,SER_hh_fech_in!R19/SER_summary!R$27)</f>
        <v>11.843739824524723</v>
      </c>
      <c r="S19" s="130">
        <f>IF(SER_hh_fech_in!S19=0,0,SER_hh_fech_in!S19/SER_summary!S$27)</f>
        <v>11.749358959730307</v>
      </c>
      <c r="T19" s="130">
        <f>IF(SER_hh_fech_in!T19=0,0,SER_hh_fech_in!T19/SER_summary!T$27)</f>
        <v>11.367344565351248</v>
      </c>
      <c r="U19" s="130">
        <f>IF(SER_hh_fech_in!U19=0,0,SER_hh_fech_in!U19/SER_summary!U$27)</f>
        <v>10.952823721484368</v>
      </c>
      <c r="V19" s="130">
        <f>IF(SER_hh_fech_in!V19=0,0,SER_hh_fech_in!V19/SER_summary!V$27)</f>
        <v>9.4463150744642412</v>
      </c>
      <c r="W19" s="130">
        <f>IF(SER_hh_fech_in!W19=0,0,SER_hh_fech_in!W19/SER_summary!W$27)</f>
        <v>9.6680950141665161</v>
      </c>
      <c r="X19" s="130">
        <f>IF(SER_hh_fech_in!X19=0,0,SER_hh_fech_in!X19/SER_summary!X$27)</f>
        <v>10.207258352005132</v>
      </c>
      <c r="Y19" s="130">
        <f>IF(SER_hh_fech_in!Y19=0,0,SER_hh_fech_in!Y19/SER_summary!Y$27)</f>
        <v>10.627889673285377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18.848691615771454</v>
      </c>
      <c r="D22" s="132">
        <f>IF(SER_hh_fech_in!D22=0,0,SER_hh_fech_in!D22/SER_summary!D$27)</f>
        <v>18.625452848507646</v>
      </c>
      <c r="E22" s="132">
        <f>IF(SER_hh_fech_in!E22=0,0,SER_hh_fech_in!E22/SER_summary!E$27)</f>
        <v>18.444270765563289</v>
      </c>
      <c r="F22" s="132">
        <f>IF(SER_hh_fech_in!F22=0,0,SER_hh_fech_in!F22/SER_summary!F$27)</f>
        <v>18.528133919121331</v>
      </c>
      <c r="G22" s="132">
        <f>IF(SER_hh_fech_in!G22=0,0,SER_hh_fech_in!G22/SER_summary!G$27)</f>
        <v>18.227173669932721</v>
      </c>
      <c r="H22" s="132">
        <f>IF(SER_hh_fech_in!H22=0,0,SER_hh_fech_in!H22/SER_summary!H$27)</f>
        <v>17.820213114093939</v>
      </c>
      <c r="I22" s="132">
        <f>IF(SER_hh_fech_in!I22=0,0,SER_hh_fech_in!I22/SER_summary!I$27)</f>
        <v>16.936103140022162</v>
      </c>
      <c r="J22" s="132">
        <f>IF(SER_hh_fech_in!J22=0,0,SER_hh_fech_in!J22/SER_summary!J$27)</f>
        <v>17.318638153660984</v>
      </c>
      <c r="K22" s="132">
        <f>IF(SER_hh_fech_in!K22=0,0,SER_hh_fech_in!K22/SER_summary!K$27)</f>
        <v>17.552670524350415</v>
      </c>
      <c r="L22" s="132">
        <f>IF(SER_hh_fech_in!L22=0,0,SER_hh_fech_in!L22/SER_summary!L$27)</f>
        <v>16.271724697520781</v>
      </c>
      <c r="M22" s="132">
        <f>IF(SER_hh_fech_in!M22=0,0,SER_hh_fech_in!M22/SER_summary!M$27)</f>
        <v>16.024942780709463</v>
      </c>
      <c r="N22" s="132">
        <f>IF(SER_hh_fech_in!N22=0,0,SER_hh_fech_in!N22/SER_summary!N$27)</f>
        <v>16.162970941550455</v>
      </c>
      <c r="O22" s="132">
        <f>IF(SER_hh_fech_in!O22=0,0,SER_hh_fech_in!O22/SER_summary!O$27)</f>
        <v>15.358807242510586</v>
      </c>
      <c r="P22" s="132">
        <f>IF(SER_hh_fech_in!P22=0,0,SER_hh_fech_in!P22/SER_summary!P$27)</f>
        <v>14.896071088257189</v>
      </c>
      <c r="Q22" s="132">
        <f>IF(SER_hh_fech_in!Q22=0,0,SER_hh_fech_in!Q22/SER_summary!Q$27)</f>
        <v>13.924516986555242</v>
      </c>
      <c r="R22" s="132">
        <f>IF(SER_hh_fech_in!R22=0,0,SER_hh_fech_in!R22/SER_summary!R$27)</f>
        <v>14.066292351917157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0</v>
      </c>
      <c r="X22" s="132">
        <f>IF(SER_hh_fech_in!X22=0,0,SER_hh_fech_in!X22/SER_summary!X$27)</f>
        <v>12.502955015117777</v>
      </c>
      <c r="Y22" s="132">
        <f>IF(SER_hh_fech_in!Y22=0,0,SER_hh_fech_in!Y22/SER_summary!Y$27)</f>
        <v>9.508567093879245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17.160208281342367</v>
      </c>
      <c r="D23" s="132">
        <f>IF(SER_hh_fech_in!D23=0,0,SER_hh_fech_in!D23/SER_summary!D$27)</f>
        <v>16.415511365291636</v>
      </c>
      <c r="E23" s="132">
        <f>IF(SER_hh_fech_in!E23=0,0,SER_hh_fech_in!E23/SER_summary!E$27)</f>
        <v>17.379234897632575</v>
      </c>
      <c r="F23" s="132">
        <f>IF(SER_hh_fech_in!F23=0,0,SER_hh_fech_in!F23/SER_summary!F$27)</f>
        <v>16.253540320296114</v>
      </c>
      <c r="G23" s="132">
        <f>IF(SER_hh_fech_in!G23=0,0,SER_hh_fech_in!G23/SER_summary!G$27)</f>
        <v>16.293013240156402</v>
      </c>
      <c r="H23" s="132">
        <f>IF(SER_hh_fech_in!H23=0,0,SER_hh_fech_in!H23/SER_summary!H$27)</f>
        <v>16.588582217529563</v>
      </c>
      <c r="I23" s="132">
        <f>IF(SER_hh_fech_in!I23=0,0,SER_hh_fech_in!I23/SER_summary!I$27)</f>
        <v>15.931694189092102</v>
      </c>
      <c r="J23" s="132">
        <f>IF(SER_hh_fech_in!J23=0,0,SER_hh_fech_in!J23/SER_summary!J$27)</f>
        <v>15.456277382681629</v>
      </c>
      <c r="K23" s="132">
        <f>IF(SER_hh_fech_in!K23=0,0,SER_hh_fech_in!K23/SER_summary!K$27)</f>
        <v>15.46019043160878</v>
      </c>
      <c r="L23" s="132">
        <f>IF(SER_hh_fech_in!L23=0,0,SER_hh_fech_in!L23/SER_summary!L$27)</f>
        <v>13.659082797156652</v>
      </c>
      <c r="M23" s="132">
        <f>IF(SER_hh_fech_in!M23=0,0,SER_hh_fech_in!M23/SER_summary!M$27)</f>
        <v>14.172893849696907</v>
      </c>
      <c r="N23" s="132">
        <f>IF(SER_hh_fech_in!N23=0,0,SER_hh_fech_in!N23/SER_summary!N$27)</f>
        <v>14.44710176763728</v>
      </c>
      <c r="O23" s="132">
        <f>IF(SER_hh_fech_in!O23=0,0,SER_hh_fech_in!O23/SER_summary!O$27)</f>
        <v>14.12898150934898</v>
      </c>
      <c r="P23" s="132">
        <f>IF(SER_hh_fech_in!P23=0,0,SER_hh_fech_in!P23/SER_summary!P$27)</f>
        <v>12.425059557611785</v>
      </c>
      <c r="Q23" s="132">
        <f>IF(SER_hh_fech_in!Q23=0,0,SER_hh_fech_in!Q23/SER_summary!Q$27)</f>
        <v>12.961140011789039</v>
      </c>
      <c r="R23" s="132">
        <f>IF(SER_hh_fech_in!R23=0,0,SER_hh_fech_in!R23/SER_summary!R$27)</f>
        <v>12.85186660229378</v>
      </c>
      <c r="S23" s="132">
        <f>IF(SER_hh_fech_in!S23=0,0,SER_hh_fech_in!S23/SER_summary!S$27)</f>
        <v>12.808530226257721</v>
      </c>
      <c r="T23" s="132">
        <f>IF(SER_hh_fech_in!T23=0,0,SER_hh_fech_in!T23/SER_summary!T$27)</f>
        <v>12.115484579599499</v>
      </c>
      <c r="U23" s="132">
        <f>IF(SER_hh_fech_in!U23=0,0,SER_hh_fech_in!U23/SER_summary!U$27)</f>
        <v>12.433126768815622</v>
      </c>
      <c r="V23" s="132">
        <f>IF(SER_hh_fech_in!V23=0,0,SER_hh_fech_in!V23/SER_summary!V$27)</f>
        <v>8.2887589407630902</v>
      </c>
      <c r="W23" s="132">
        <f>IF(SER_hh_fech_in!W23=0,0,SER_hh_fech_in!W23/SER_summary!W$27)</f>
        <v>11.872340474125311</v>
      </c>
      <c r="X23" s="132">
        <f>IF(SER_hh_fech_in!X23=0,0,SER_hh_fech_in!X23/SER_summary!X$27)</f>
        <v>10.398519875540121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18.082152897447887</v>
      </c>
      <c r="D24" s="132">
        <f>IF(SER_hh_fech_in!D24=0,0,SER_hh_fech_in!D24/SER_summary!D$27)</f>
        <v>17.503758533158354</v>
      </c>
      <c r="E24" s="132">
        <f>IF(SER_hh_fech_in!E24=0,0,SER_hh_fech_in!E24/SER_summary!E$27)</f>
        <v>16.751885611781365</v>
      </c>
      <c r="F24" s="132">
        <f>IF(SER_hh_fech_in!F24=0,0,SER_hh_fech_in!F24/SER_summary!F$27)</f>
        <v>16.230079738561024</v>
      </c>
      <c r="G24" s="132">
        <f>IF(SER_hh_fech_in!G24=0,0,SER_hh_fech_in!G24/SER_summary!G$27)</f>
        <v>15.917130163533429</v>
      </c>
      <c r="H24" s="132">
        <f>IF(SER_hh_fech_in!H24=0,0,SER_hh_fech_in!H24/SER_summary!H$27)</f>
        <v>15.611242621291535</v>
      </c>
      <c r="I24" s="132">
        <f>IF(SER_hh_fech_in!I24=0,0,SER_hh_fech_in!I24/SER_summary!I$27)</f>
        <v>15.246891220802423</v>
      </c>
      <c r="J24" s="132">
        <f>IF(SER_hh_fech_in!J24=0,0,SER_hh_fech_in!J24/SER_summary!J$27)</f>
        <v>14.779159366976938</v>
      </c>
      <c r="K24" s="132">
        <f>IF(SER_hh_fech_in!K24=0,0,SER_hh_fech_in!K24/SER_summary!K$27)</f>
        <v>14.545328636013828</v>
      </c>
      <c r="L24" s="132">
        <f>IF(SER_hh_fech_in!L24=0,0,SER_hh_fech_in!L24/SER_summary!L$27)</f>
        <v>13.545941833257165</v>
      </c>
      <c r="M24" s="132">
        <f>IF(SER_hh_fech_in!M24=0,0,SER_hh_fech_in!M24/SER_summary!M$27)</f>
        <v>14.317410327224305</v>
      </c>
      <c r="N24" s="132">
        <f>IF(SER_hh_fech_in!N24=0,0,SER_hh_fech_in!N24/SER_summary!N$27)</f>
        <v>14.389263834652587</v>
      </c>
      <c r="O24" s="132">
        <f>IF(SER_hh_fech_in!O24=0,0,SER_hh_fech_in!O24/SER_summary!O$27)</f>
        <v>13.248753093984419</v>
      </c>
      <c r="P24" s="132">
        <f>IF(SER_hh_fech_in!P24=0,0,SER_hh_fech_in!P24/SER_summary!P$27)</f>
        <v>13.686694095494168</v>
      </c>
      <c r="Q24" s="132">
        <f>IF(SER_hh_fech_in!Q24=0,0,SER_hh_fech_in!Q24/SER_summary!Q$27)</f>
        <v>13.050834424359349</v>
      </c>
      <c r="R24" s="132">
        <f>IF(SER_hh_fech_in!R24=0,0,SER_hh_fech_in!R24/SER_summary!R$27)</f>
        <v>13.66264715738774</v>
      </c>
      <c r="S24" s="132">
        <f>IF(SER_hh_fech_in!S24=0,0,SER_hh_fech_in!S24/SER_summary!S$27)</f>
        <v>13.754528096505169</v>
      </c>
      <c r="T24" s="132">
        <f>IF(SER_hh_fech_in!T24=0,0,SER_hh_fech_in!T24/SER_summary!T$27)</f>
        <v>13.200697036463144</v>
      </c>
      <c r="U24" s="132">
        <f>IF(SER_hh_fech_in!U24=0,0,SER_hh_fech_in!U24/SER_summary!U$27)</f>
        <v>12.34403501445478</v>
      </c>
      <c r="V24" s="132">
        <f>IF(SER_hh_fech_in!V24=0,0,SER_hh_fech_in!V24/SER_summary!V$27)</f>
        <v>9.9599349019277845</v>
      </c>
      <c r="W24" s="132">
        <f>IF(SER_hh_fech_in!W24=0,0,SER_hh_fech_in!W24/SER_summary!W$27)</f>
        <v>11.900668205332392</v>
      </c>
      <c r="X24" s="132">
        <f>IF(SER_hh_fech_in!X24=0,0,SER_hh_fech_in!X24/SER_summary!X$27)</f>
        <v>11.082466501728694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12.642373560659463</v>
      </c>
      <c r="D25" s="132">
        <f>IF(SER_hh_fech_in!D25=0,0,SER_hh_fech_in!D25/SER_summary!D$27)</f>
        <v>12.4100464375869</v>
      </c>
      <c r="E25" s="132">
        <f>IF(SER_hh_fech_in!E25=0,0,SER_hh_fech_in!E25/SER_summary!E$27)</f>
        <v>12.227479745648106</v>
      </c>
      <c r="F25" s="132">
        <f>IF(SER_hh_fech_in!F25=0,0,SER_hh_fech_in!F25/SER_summary!F$27)</f>
        <v>12.121726526496158</v>
      </c>
      <c r="G25" s="132">
        <f>IF(SER_hh_fech_in!G25=0,0,SER_hh_fech_in!G25/SER_summary!G$27)</f>
        <v>12.004508449757383</v>
      </c>
      <c r="H25" s="132">
        <f>IF(SER_hh_fech_in!H25=0,0,SER_hh_fech_in!H25/SER_summary!H$27)</f>
        <v>11.886089873960215</v>
      </c>
      <c r="I25" s="132">
        <f>IF(SER_hh_fech_in!I25=0,0,SER_hh_fech_in!I25/SER_summary!I$27)</f>
        <v>11.687071971397557</v>
      </c>
      <c r="J25" s="132">
        <f>IF(SER_hh_fech_in!J25=0,0,SER_hh_fech_in!J25/SER_summary!J$27)</f>
        <v>11.55673322940228</v>
      </c>
      <c r="K25" s="132">
        <f>IF(SER_hh_fech_in!K25=0,0,SER_hh_fech_in!K25/SER_summary!K$27)</f>
        <v>11.62554291709041</v>
      </c>
      <c r="L25" s="132">
        <f>IF(SER_hh_fech_in!L25=0,0,SER_hh_fech_in!L25/SER_summary!L$27)</f>
        <v>11.268750012521496</v>
      </c>
      <c r="M25" s="132">
        <f>IF(SER_hh_fech_in!M25=0,0,SER_hh_fech_in!M25/SER_summary!M$27)</f>
        <v>11.893098514970621</v>
      </c>
      <c r="N25" s="132">
        <f>IF(SER_hh_fech_in!N25=0,0,SER_hh_fech_in!N25/SER_summary!N$27)</f>
        <v>11.730348492094857</v>
      </c>
      <c r="O25" s="132">
        <f>IF(SER_hh_fech_in!O25=0,0,SER_hh_fech_in!O25/SER_summary!O$27)</f>
        <v>11.310981036626588</v>
      </c>
      <c r="P25" s="132">
        <f>IF(SER_hh_fech_in!P25=0,0,SER_hh_fech_in!P25/SER_summary!P$27)</f>
        <v>11.780138475377205</v>
      </c>
      <c r="Q25" s="132">
        <f>IF(SER_hh_fech_in!Q25=0,0,SER_hh_fech_in!Q25/SER_summary!Q$27)</f>
        <v>11.35266885696608</v>
      </c>
      <c r="R25" s="132">
        <f>IF(SER_hh_fech_in!R25=0,0,SER_hh_fech_in!R25/SER_summary!R$27)</f>
        <v>11.409237330296454</v>
      </c>
      <c r="S25" s="132">
        <f>IF(SER_hh_fech_in!S25=0,0,SER_hh_fech_in!S25/SER_summary!S$27)</f>
        <v>11.197060812449381</v>
      </c>
      <c r="T25" s="132">
        <f>IF(SER_hh_fech_in!T25=0,0,SER_hh_fech_in!T25/SER_summary!T$27)</f>
        <v>10.73137076249256</v>
      </c>
      <c r="U25" s="132">
        <f>IF(SER_hh_fech_in!U25=0,0,SER_hh_fech_in!U25/SER_summary!U$27)</f>
        <v>10.5013027575552</v>
      </c>
      <c r="V25" s="132">
        <f>IF(SER_hh_fech_in!V25=0,0,SER_hh_fech_in!V25/SER_summary!V$27)</f>
        <v>8.5522787721307978</v>
      </c>
      <c r="W25" s="132">
        <f>IF(SER_hh_fech_in!W25=0,0,SER_hh_fech_in!W25/SER_summary!W$27)</f>
        <v>9.518635097169641</v>
      </c>
      <c r="X25" s="132">
        <f>IF(SER_hh_fech_in!X25=0,0,SER_hh_fech_in!X25/SER_summary!X$27)</f>
        <v>10.180103222113917</v>
      </c>
      <c r="Y25" s="132">
        <f>IF(SER_hh_fech_in!Y25=0,0,SER_hh_fech_in!Y25/SER_summary!Y$27)</f>
        <v>9.6979400759676793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13.446522383406093</v>
      </c>
      <c r="D26" s="65">
        <f>IF(SER_hh_fech_in!D26=0,0,SER_hh_fech_in!D26/SER_summary!D$27)</f>
        <v>13.015069526953901</v>
      </c>
      <c r="E26" s="65">
        <f>IF(SER_hh_fech_in!E26=0,0,SER_hh_fech_in!E26/SER_summary!E$27)</f>
        <v>13.163748870368146</v>
      </c>
      <c r="F26" s="65">
        <f>IF(SER_hh_fech_in!F26=0,0,SER_hh_fech_in!F26/SER_summary!F$27)</f>
        <v>12.674551881292096</v>
      </c>
      <c r="G26" s="65">
        <f>IF(SER_hh_fech_in!G26=0,0,SER_hh_fech_in!G26/SER_summary!G$27)</f>
        <v>12.010867877413082</v>
      </c>
      <c r="H26" s="65">
        <f>IF(SER_hh_fech_in!H26=0,0,SER_hh_fech_in!H26/SER_summary!H$27)</f>
        <v>12.613838739714947</v>
      </c>
      <c r="I26" s="65">
        <f>IF(SER_hh_fech_in!I26=0,0,SER_hh_fech_in!I26/SER_summary!I$27)</f>
        <v>12.715121318720566</v>
      </c>
      <c r="J26" s="65">
        <f>IF(SER_hh_fech_in!J26=0,0,SER_hh_fech_in!J26/SER_summary!J$27)</f>
        <v>11.703718465197493</v>
      </c>
      <c r="K26" s="65">
        <f>IF(SER_hh_fech_in!K26=0,0,SER_hh_fech_in!K26/SER_summary!K$27)</f>
        <v>13.313539676793113</v>
      </c>
      <c r="L26" s="65">
        <f>IF(SER_hh_fech_in!L26=0,0,SER_hh_fech_in!L26/SER_summary!L$27)</f>
        <v>6.970053322353893</v>
      </c>
      <c r="M26" s="65">
        <f>IF(SER_hh_fech_in!M26=0,0,SER_hh_fech_in!M26/SER_summary!M$27)</f>
        <v>9.5138008750574112</v>
      </c>
      <c r="N26" s="65">
        <f>IF(SER_hh_fech_in!N26=0,0,SER_hh_fech_in!N26/SER_summary!N$27)</f>
        <v>9.9560956871248028</v>
      </c>
      <c r="O26" s="65">
        <f>IF(SER_hh_fech_in!O26=0,0,SER_hh_fech_in!O26/SER_summary!O$27)</f>
        <v>7.6658668644539709</v>
      </c>
      <c r="P26" s="65">
        <f>IF(SER_hh_fech_in!P26=0,0,SER_hh_fech_in!P26/SER_summary!P$27)</f>
        <v>13.021298613812572</v>
      </c>
      <c r="Q26" s="65">
        <f>IF(SER_hh_fech_in!Q26=0,0,SER_hh_fech_in!Q26/SER_summary!Q$27)</f>
        <v>6.6269441089676739</v>
      </c>
      <c r="R26" s="65">
        <f>IF(SER_hh_fech_in!R26=0,0,SER_hh_fech_in!R26/SER_summary!R$27)</f>
        <v>6.7268904850015874</v>
      </c>
      <c r="S26" s="65">
        <f>IF(SER_hh_fech_in!S26=0,0,SER_hh_fech_in!S26/SER_summary!S$27)</f>
        <v>10.961507229176014</v>
      </c>
      <c r="T26" s="65">
        <f>IF(SER_hh_fech_in!T26=0,0,SER_hh_fech_in!T26/SER_summary!T$27)</f>
        <v>5.6522074942234513</v>
      </c>
      <c r="U26" s="65">
        <f>IF(SER_hh_fech_in!U26=0,0,SER_hh_fech_in!U26/SER_summary!U$27)</f>
        <v>6.2764144387388194</v>
      </c>
      <c r="V26" s="65">
        <f>IF(SER_hh_fech_in!V26=0,0,SER_hh_fech_in!V26/SER_summary!V$27)</f>
        <v>0</v>
      </c>
      <c r="W26" s="65">
        <f>IF(SER_hh_fech_in!W26=0,0,SER_hh_fech_in!W26/SER_summary!W$27)</f>
        <v>10.274084809915767</v>
      </c>
      <c r="X26" s="65">
        <f>IF(SER_hh_fech_in!X26=0,0,SER_hh_fech_in!X26/SER_summary!X$27)</f>
        <v>10.570303579564513</v>
      </c>
      <c r="Y26" s="65">
        <f>IF(SER_hh_fech_in!Y26=0,0,SER_hh_fech_in!Y26/SER_summary!Y$27)</f>
        <v>0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0.35950320075406383</v>
      </c>
      <c r="D27" s="145">
        <f>IF(SER_hh_fech_in!D27=0,0,SER_hh_fech_in!D27/SER_summary!D$27)</f>
        <v>0.44675067442674105</v>
      </c>
      <c r="E27" s="145">
        <f>IF(SER_hh_fech_in!E27=0,0,SER_hh_fech_in!E27/SER_summary!E$27)</f>
        <v>0.35033632892980698</v>
      </c>
      <c r="F27" s="145">
        <f>IF(SER_hh_fech_in!F27=0,0,SER_hh_fech_in!F27/SER_summary!F$27)</f>
        <v>0.50451634021716096</v>
      </c>
      <c r="G27" s="145">
        <f>IF(SER_hh_fech_in!G27=0,0,SER_hh_fech_in!G27/SER_summary!G$27)</f>
        <v>0.67638877421754673</v>
      </c>
      <c r="H27" s="145">
        <f>IF(SER_hh_fech_in!H27=0,0,SER_hh_fech_in!H27/SER_summary!H$27)</f>
        <v>0.58885716257061615</v>
      </c>
      <c r="I27" s="145">
        <f>IF(SER_hh_fech_in!I27=0,0,SER_hh_fech_in!I27/SER_summary!I$27)</f>
        <v>0.50109696785511992</v>
      </c>
      <c r="J27" s="145">
        <f>IF(SER_hh_fech_in!J27=0,0,SER_hh_fech_in!J27/SER_summary!J$27)</f>
        <v>0.62465448648850741</v>
      </c>
      <c r="K27" s="145">
        <f>IF(SER_hh_fech_in!K27=0,0,SER_hh_fech_in!K27/SER_summary!K$27)</f>
        <v>0.2333838932201471</v>
      </c>
      <c r="L27" s="145">
        <f>IF(SER_hh_fech_in!L27=0,0,SER_hh_fech_in!L27/SER_summary!L$27)</f>
        <v>1.2329525239650689</v>
      </c>
      <c r="M27" s="145">
        <f>IF(SER_hh_fech_in!M27=0,0,SER_hh_fech_in!M27/SER_summary!M$27)</f>
        <v>1.103107117700981</v>
      </c>
      <c r="N27" s="145">
        <f>IF(SER_hh_fech_in!N27=0,0,SER_hh_fech_in!N27/SER_summary!N$27)</f>
        <v>1.054082454740678</v>
      </c>
      <c r="O27" s="145">
        <f>IF(SER_hh_fech_in!O27=0,0,SER_hh_fech_in!O27/SER_summary!O$27)</f>
        <v>1.4941737767529284</v>
      </c>
      <c r="P27" s="145">
        <f>IF(SER_hh_fech_in!P27=0,0,SER_hh_fech_in!P27/SER_summary!P$27)</f>
        <v>7.109576975884984E-15</v>
      </c>
      <c r="Q27" s="145">
        <f>IF(SER_hh_fech_in!Q27=0,0,SER_hh_fech_in!Q27/SER_summary!Q$27)</f>
        <v>0.65216761636036924</v>
      </c>
      <c r="R27" s="145">
        <f>IF(SER_hh_fech_in!R27=0,0,SER_hh_fech_in!R27/SER_summary!R$27)</f>
        <v>0.62300809656957634</v>
      </c>
      <c r="S27" s="145">
        <f>IF(SER_hh_fech_in!S27=0,0,SER_hh_fech_in!S27/SER_summary!S$27)</f>
        <v>0.19593827430341587</v>
      </c>
      <c r="T27" s="145">
        <f>IF(SER_hh_fech_in!T27=0,0,SER_hh_fech_in!T27/SER_summary!T$27)</f>
        <v>0.74966229902569281</v>
      </c>
      <c r="U27" s="145">
        <f>IF(SER_hh_fech_in!U27=0,0,SER_hh_fech_in!U27/SER_summary!U$27)</f>
        <v>0.73017098585885332</v>
      </c>
      <c r="V27" s="145">
        <f>IF(SER_hh_fech_in!V27=0,0,SER_hh_fech_in!V27/SER_summary!V$27)</f>
        <v>0.89273031029133465</v>
      </c>
      <c r="W27" s="145">
        <f>IF(SER_hh_fech_in!W27=0,0,SER_hh_fech_in!W27/SER_summary!W$27)</f>
        <v>1.4989773034611956E-4</v>
      </c>
      <c r="X27" s="145">
        <f>IF(SER_hh_fech_in!X27=0,0,SER_hh_fech_in!X27/SER_summary!X$27)</f>
        <v>4.6427450635426442E-15</v>
      </c>
      <c r="Y27" s="145">
        <f>IF(SER_hh_fech_in!Y27=0,0,SER_hh_fech_in!Y27/SER_summary!Y$27)</f>
        <v>0.93211847324966801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4.6324120299953542</v>
      </c>
      <c r="D28" s="146">
        <f>IF(SER_hh_fech_in!D28=0,0,SER_hh_fech_in!D28/SER_summary!D$27)</f>
        <v>4.5090001169283864</v>
      </c>
      <c r="E28" s="146">
        <f>IF(SER_hh_fech_in!E28=0,0,SER_hh_fech_in!E28/SER_summary!E$27)</f>
        <v>4.5786590749128724</v>
      </c>
      <c r="F28" s="146">
        <f>IF(SER_hh_fech_in!F28=0,0,SER_hh_fech_in!F28/SER_summary!F$27)</f>
        <v>4.5547253168183381</v>
      </c>
      <c r="G28" s="146">
        <f>IF(SER_hh_fech_in!G28=0,0,SER_hh_fech_in!G28/SER_summary!G$27)</f>
        <v>4.4683003336579397</v>
      </c>
      <c r="H28" s="146">
        <f>IF(SER_hh_fech_in!H28=0,0,SER_hh_fech_in!H28/SER_summary!H$27)</f>
        <v>4.4637992201202517</v>
      </c>
      <c r="I28" s="146">
        <f>IF(SER_hh_fech_in!I28=0,0,SER_hh_fech_in!I28/SER_summary!I$27)</f>
        <v>4.5289851565896218</v>
      </c>
      <c r="J28" s="146">
        <f>IF(SER_hh_fech_in!J28=0,0,SER_hh_fech_in!J28/SER_summary!J$27)</f>
        <v>4.6972456577995878</v>
      </c>
      <c r="K28" s="146">
        <f>IF(SER_hh_fech_in!K28=0,0,SER_hh_fech_in!K28/SER_summary!K$27)</f>
        <v>5.1903644656147616</v>
      </c>
      <c r="L28" s="146">
        <f>IF(SER_hh_fech_in!L28=0,0,SER_hh_fech_in!L28/SER_summary!L$27)</f>
        <v>4.4506957947319385</v>
      </c>
      <c r="M28" s="146">
        <f>IF(SER_hh_fech_in!M28=0,0,SER_hh_fech_in!M28/SER_summary!M$27)</f>
        <v>4.548849002794932</v>
      </c>
      <c r="N28" s="146">
        <f>IF(SER_hh_fech_in!N28=0,0,SER_hh_fech_in!N28/SER_summary!N$27)</f>
        <v>4.742673583369152</v>
      </c>
      <c r="O28" s="146">
        <f>IF(SER_hh_fech_in!O28=0,0,SER_hh_fech_in!O28/SER_summary!O$27)</f>
        <v>4.4172818957529332</v>
      </c>
      <c r="P28" s="146">
        <f>IF(SER_hh_fech_in!P28=0,0,SER_hh_fech_in!P28/SER_summary!P$27)</f>
        <v>4.7238406703490696</v>
      </c>
      <c r="Q28" s="146">
        <f>IF(SER_hh_fech_in!Q28=0,0,SER_hh_fech_in!Q28/SER_summary!Q$27)</f>
        <v>4.5287572296671428</v>
      </c>
      <c r="R28" s="146">
        <f>IF(SER_hh_fech_in!R28=0,0,SER_hh_fech_in!R28/SER_summary!R$27)</f>
        <v>4.5384631081061446</v>
      </c>
      <c r="S28" s="146">
        <f>IF(SER_hh_fech_in!S28=0,0,SER_hh_fech_in!S28/SER_summary!S$27)</f>
        <v>4.8982303497797322</v>
      </c>
      <c r="T28" s="146">
        <f>IF(SER_hh_fech_in!T28=0,0,SER_hh_fech_in!T28/SER_summary!T$27)</f>
        <v>4.7070868143702755</v>
      </c>
      <c r="U28" s="146">
        <f>IF(SER_hh_fech_in!U28=0,0,SER_hh_fech_in!U28/SER_summary!U$27)</f>
        <v>4.5631108349742711</v>
      </c>
      <c r="V28" s="146">
        <f>IF(SER_hh_fech_in!V28=0,0,SER_hh_fech_in!V28/SER_summary!V$27)</f>
        <v>3.7993357598673425</v>
      </c>
      <c r="W28" s="146">
        <f>IF(SER_hh_fech_in!W28=0,0,SER_hh_fech_in!W28/SER_summary!W$27)</f>
        <v>4.2184001611583195</v>
      </c>
      <c r="X28" s="146">
        <f>IF(SER_hh_fech_in!X28=0,0,SER_hh_fech_in!X28/SER_summary!X$27)</f>
        <v>6.3135649670014029</v>
      </c>
      <c r="Y28" s="146">
        <f>IF(SER_hh_fech_in!Y28=0,0,SER_hh_fech_in!Y28/SER_summary!Y$27)</f>
        <v>5.0015789961455361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12.915893452861294</v>
      </c>
      <c r="D29" s="130">
        <f>IF(SER_hh_fech_in!D29=0,0,SER_hh_fech_in!D29/SER_summary!D$27)</f>
        <v>13.023799658440968</v>
      </c>
      <c r="E29" s="130">
        <f>IF(SER_hh_fech_in!E29=0,0,SER_hh_fech_in!E29/SER_summary!E$27)</f>
        <v>13.461618784705717</v>
      </c>
      <c r="F29" s="130">
        <f>IF(SER_hh_fech_in!F29=0,0,SER_hh_fech_in!F29/SER_summary!F$27)</f>
        <v>13.692882507479547</v>
      </c>
      <c r="G29" s="130">
        <f>IF(SER_hh_fech_in!G29=0,0,SER_hh_fech_in!G29/SER_summary!G$27)</f>
        <v>13.850087038469198</v>
      </c>
      <c r="H29" s="130">
        <f>IF(SER_hh_fech_in!H29=0,0,SER_hh_fech_in!H29/SER_summary!H$27)</f>
        <v>13.766253912459511</v>
      </c>
      <c r="I29" s="130">
        <f>IF(SER_hh_fech_in!I29=0,0,SER_hh_fech_in!I29/SER_summary!I$27)</f>
        <v>13.462127796911911</v>
      </c>
      <c r="J29" s="130">
        <f>IF(SER_hh_fech_in!J29=0,0,SER_hh_fech_in!J29/SER_summary!J$27)</f>
        <v>13.592972741186999</v>
      </c>
      <c r="K29" s="130">
        <f>IF(SER_hh_fech_in!K29=0,0,SER_hh_fech_in!K29/SER_summary!K$27)</f>
        <v>13.537259584271869</v>
      </c>
      <c r="L29" s="130">
        <f>IF(SER_hh_fech_in!L29=0,0,SER_hh_fech_in!L29/SER_summary!L$27)</f>
        <v>13.483592528445964</v>
      </c>
      <c r="M29" s="130">
        <f>IF(SER_hh_fech_in!M29=0,0,SER_hh_fech_in!M29/SER_summary!M$27)</f>
        <v>13.45506722008176</v>
      </c>
      <c r="N29" s="130">
        <f>IF(SER_hh_fech_in!N29=0,0,SER_hh_fech_in!N29/SER_summary!N$27)</f>
        <v>13.509832312503148</v>
      </c>
      <c r="O29" s="130">
        <f>IF(SER_hh_fech_in!O29=0,0,SER_hh_fech_in!O29/SER_summary!O$27)</f>
        <v>13.678014760009919</v>
      </c>
      <c r="P29" s="130">
        <f>IF(SER_hh_fech_in!P29=0,0,SER_hh_fech_in!P29/SER_summary!P$27)</f>
        <v>13.30243204106638</v>
      </c>
      <c r="Q29" s="130">
        <f>IF(SER_hh_fech_in!Q29=0,0,SER_hh_fech_in!Q29/SER_summary!Q$27)</f>
        <v>13.794366685217598</v>
      </c>
      <c r="R29" s="130">
        <f>IF(SER_hh_fech_in!R29=0,0,SER_hh_fech_in!R29/SER_summary!R$27)</f>
        <v>13.454044949441558</v>
      </c>
      <c r="S29" s="130">
        <f>IF(SER_hh_fech_in!S29=0,0,SER_hh_fech_in!S29/SER_summary!S$27)</f>
        <v>13.16625039221822</v>
      </c>
      <c r="T29" s="130">
        <f>IF(SER_hh_fech_in!T29=0,0,SER_hh_fech_in!T29/SER_summary!T$27)</f>
        <v>12.601992055390705</v>
      </c>
      <c r="U29" s="130">
        <f>IF(SER_hh_fech_in!U29=0,0,SER_hh_fech_in!U29/SER_summary!U$27)</f>
        <v>12.479856350245861</v>
      </c>
      <c r="V29" s="130">
        <f>IF(SER_hh_fech_in!V29=0,0,SER_hh_fech_in!V29/SER_summary!V$27)</f>
        <v>9.7552370775508468</v>
      </c>
      <c r="W29" s="130">
        <f>IF(SER_hh_fech_in!W29=0,0,SER_hh_fech_in!W29/SER_summary!W$27)</f>
        <v>10.812806615736468</v>
      </c>
      <c r="X29" s="130">
        <f>IF(SER_hh_fech_in!X29=0,0,SER_hh_fech_in!X29/SER_summary!X$27)</f>
        <v>10.850243705012929</v>
      </c>
      <c r="Y29" s="130">
        <f>IF(SER_hh_fech_in!Y29=0,0,SER_hh_fech_in!Y29/SER_summary!Y$27)</f>
        <v>11.211934975933922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16.343712417735205</v>
      </c>
      <c r="D30" s="132">
        <f>IF(SER_hh_fech_in!D30=0,0,SER_hh_fech_in!D30/SER_summary!D$27)</f>
        <v>14.604684967137116</v>
      </c>
      <c r="E30" s="132">
        <f>IF(SER_hh_fech_in!E30=0,0,SER_hh_fech_in!E30/SER_summary!E$27)</f>
        <v>16.363542741729614</v>
      </c>
      <c r="F30" s="132">
        <f>IF(SER_hh_fech_in!F30=0,0,SER_hh_fech_in!F30/SER_summary!F$27)</f>
        <v>17.284512999014993</v>
      </c>
      <c r="G30" s="132">
        <f>IF(SER_hh_fech_in!G30=0,0,SER_hh_fech_in!G30/SER_summary!G$27)</f>
        <v>18.220131993493887</v>
      </c>
      <c r="H30" s="132">
        <f>IF(SER_hh_fech_in!H30=0,0,SER_hh_fech_in!H30/SER_summary!H$27)</f>
        <v>17.348298330652156</v>
      </c>
      <c r="I30" s="132">
        <f>IF(SER_hh_fech_in!I30=0,0,SER_hh_fech_in!I30/SER_summary!I$27)</f>
        <v>17.0308151520492</v>
      </c>
      <c r="J30" s="132">
        <f>IF(SER_hh_fech_in!J30=0,0,SER_hh_fech_in!J30/SER_summary!J$27)</f>
        <v>16.495720110712892</v>
      </c>
      <c r="K30" s="132">
        <f>IF(SER_hh_fech_in!K30=0,0,SER_hh_fech_in!K30/SER_summary!K$27)</f>
        <v>15.759107387104587</v>
      </c>
      <c r="L30" s="132">
        <f>IF(SER_hh_fech_in!L30=0,0,SER_hh_fech_in!L30/SER_summary!L$27)</f>
        <v>19.576826671872201</v>
      </c>
      <c r="M30" s="132">
        <f>IF(SER_hh_fech_in!M30=0,0,SER_hh_fech_in!M30/SER_summary!M$27)</f>
        <v>17.518141535453903</v>
      </c>
      <c r="N30" s="132">
        <f>IF(SER_hh_fech_in!N30=0,0,SER_hh_fech_in!N30/SER_summary!N$27)</f>
        <v>16.269803352396018</v>
      </c>
      <c r="O30" s="132">
        <f>IF(SER_hh_fech_in!O30=0,0,SER_hh_fech_in!O30/SER_summary!O$27)</f>
        <v>19.185147419219057</v>
      </c>
      <c r="P30" s="132">
        <f>IF(SER_hh_fech_in!P30=0,0,SER_hh_fech_in!P30/SER_summary!P$27)</f>
        <v>10.213425208767251</v>
      </c>
      <c r="Q30" s="132">
        <f>IF(SER_hh_fech_in!Q30=0,0,SER_hh_fech_in!Q30/SER_summary!Q$27)</f>
        <v>19.069666904534984</v>
      </c>
      <c r="R30" s="132">
        <f>IF(SER_hh_fech_in!R30=0,0,SER_hh_fech_in!R30/SER_summary!R$27)</f>
        <v>18.146169997893896</v>
      </c>
      <c r="S30" s="132">
        <f>IF(SER_hh_fech_in!S30=0,0,SER_hh_fech_in!S30/SER_summary!S$27)</f>
        <v>16.692130724668189</v>
      </c>
      <c r="T30" s="132">
        <f>IF(SER_hh_fech_in!T30=0,0,SER_hh_fech_in!T30/SER_summary!T$27)</f>
        <v>16.45889521949001</v>
      </c>
      <c r="U30" s="132">
        <f>IF(SER_hh_fech_in!U30=0,0,SER_hh_fech_in!U30/SER_summary!U$27)</f>
        <v>15.707289765882578</v>
      </c>
      <c r="V30" s="132">
        <f>IF(SER_hh_fech_in!V30=0,0,SER_hh_fech_in!V30/SER_summary!V$27)</f>
        <v>12.714524750218349</v>
      </c>
      <c r="W30" s="132">
        <f>IF(SER_hh_fech_in!W30=0,0,SER_hh_fech_in!W30/SER_summary!W$27)</f>
        <v>12.759926307676679</v>
      </c>
      <c r="X30" s="132">
        <f>IF(SER_hh_fech_in!X30=0,0,SER_hh_fech_in!X30/SER_summary!X$27)</f>
        <v>12.931761843114773</v>
      </c>
      <c r="Y30" s="132">
        <f>IF(SER_hh_fech_in!Y30=0,0,SER_hh_fech_in!Y30/SER_summary!Y$27)</f>
        <v>12.017309539576164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16.095260208827966</v>
      </c>
      <c r="D31" s="132">
        <f>IF(SER_hh_fech_in!D31=0,0,SER_hh_fech_in!D31/SER_summary!D$27)</f>
        <v>16.238302321620409</v>
      </c>
      <c r="E31" s="132">
        <f>IF(SER_hh_fech_in!E31=0,0,SER_hh_fech_in!E31/SER_summary!E$27)</f>
        <v>16.472525552603823</v>
      </c>
      <c r="F31" s="132">
        <f>IF(SER_hh_fech_in!F31=0,0,SER_hh_fech_in!F31/SER_summary!F$27)</f>
        <v>16.300727902281402</v>
      </c>
      <c r="G31" s="132">
        <f>IF(SER_hh_fech_in!G31=0,0,SER_hh_fech_in!G31/SER_summary!G$27)</f>
        <v>17.10248620362816</v>
      </c>
      <c r="H31" s="132">
        <f>IF(SER_hh_fech_in!H31=0,0,SER_hh_fech_in!H31/SER_summary!H$27)</f>
        <v>17.057764261078045</v>
      </c>
      <c r="I31" s="132">
        <f>IF(SER_hh_fech_in!I31=0,0,SER_hh_fech_in!I31/SER_summary!I$27)</f>
        <v>16.83673313251731</v>
      </c>
      <c r="J31" s="132">
        <f>IF(SER_hh_fech_in!J31=0,0,SER_hh_fech_in!J31/SER_summary!J$27)</f>
        <v>16.799744845188517</v>
      </c>
      <c r="K31" s="132">
        <f>IF(SER_hh_fech_in!K31=0,0,SER_hh_fech_in!K31/SER_summary!K$27)</f>
        <v>17.033423206633394</v>
      </c>
      <c r="L31" s="132">
        <f>IF(SER_hh_fech_in!L31=0,0,SER_hh_fech_in!L31/SER_summary!L$27)</f>
        <v>17.098698699852427</v>
      </c>
      <c r="M31" s="132">
        <f>IF(SER_hh_fech_in!M31=0,0,SER_hh_fech_in!M31/SER_summary!M$27)</f>
        <v>17.050233047935549</v>
      </c>
      <c r="N31" s="132">
        <f>IF(SER_hh_fech_in!N31=0,0,SER_hh_fech_in!N31/SER_summary!N$27)</f>
        <v>17.19068899918209</v>
      </c>
      <c r="O31" s="132">
        <f>IF(SER_hh_fech_in!O31=0,0,SER_hh_fech_in!O31/SER_summary!O$27)</f>
        <v>17.016334203944922</v>
      </c>
      <c r="P31" s="132">
        <f>IF(SER_hh_fech_in!P31=0,0,SER_hh_fech_in!P31/SER_summary!P$27)</f>
        <v>16.160367418419217</v>
      </c>
      <c r="Q31" s="132">
        <f>IF(SER_hh_fech_in!Q31=0,0,SER_hh_fech_in!Q31/SER_summary!Q$27)</f>
        <v>17.696334550456584</v>
      </c>
      <c r="R31" s="132">
        <f>IF(SER_hh_fech_in!R31=0,0,SER_hh_fech_in!R31/SER_summary!R$27)</f>
        <v>17.17505104437792</v>
      </c>
      <c r="S31" s="132">
        <f>IF(SER_hh_fech_in!S31=0,0,SER_hh_fech_in!S31/SER_summary!S$27)</f>
        <v>15.488101737515864</v>
      </c>
      <c r="T31" s="132">
        <f>IF(SER_hh_fech_in!T31=0,0,SER_hh_fech_in!T31/SER_summary!T$27)</f>
        <v>16.2260334869984</v>
      </c>
      <c r="U31" s="132">
        <f>IF(SER_hh_fech_in!U31=0,0,SER_hh_fech_in!U31/SER_summary!U$27)</f>
        <v>17.372304831913187</v>
      </c>
      <c r="V31" s="132">
        <f>IF(SER_hh_fech_in!V31=0,0,SER_hh_fech_in!V31/SER_summary!V$27)</f>
        <v>10.129028742272435</v>
      </c>
      <c r="W31" s="132">
        <f>IF(SER_hh_fech_in!W31=0,0,SER_hh_fech_in!W31/SER_summary!W$27)</f>
        <v>13.20087799341584</v>
      </c>
      <c r="X31" s="132">
        <f>IF(SER_hh_fech_in!X31=0,0,SER_hh_fech_in!X31/SER_summary!X$27)</f>
        <v>11.690146502468576</v>
      </c>
      <c r="Y31" s="132">
        <f>IF(SER_hh_fech_in!Y31=0,0,SER_hh_fech_in!Y31/SER_summary!Y$27)</f>
        <v>12.562468103753284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12.280773270303765</v>
      </c>
      <c r="D33" s="68">
        <f>IF(SER_hh_fech_in!D33=0,0,SER_hh_fech_in!D33/SER_summary!D$27)</f>
        <v>12.356325448765386</v>
      </c>
      <c r="E33" s="68">
        <f>IF(SER_hh_fech_in!E33=0,0,SER_hh_fech_in!E33/SER_summary!E$27)</f>
        <v>12.637797122809388</v>
      </c>
      <c r="F33" s="68">
        <f>IF(SER_hh_fech_in!F33=0,0,SER_hh_fech_in!F33/SER_summary!F$27)</f>
        <v>12.811873578098544</v>
      </c>
      <c r="G33" s="68">
        <f>IF(SER_hh_fech_in!G33=0,0,SER_hh_fech_in!G33/SER_summary!G$27)</f>
        <v>12.633464683166695</v>
      </c>
      <c r="H33" s="68">
        <f>IF(SER_hh_fech_in!H33=0,0,SER_hh_fech_in!H33/SER_summary!H$27)</f>
        <v>12.840688288449963</v>
      </c>
      <c r="I33" s="68">
        <f>IF(SER_hh_fech_in!I33=0,0,SER_hh_fech_in!I33/SER_summary!I$27)</f>
        <v>12.678768378284673</v>
      </c>
      <c r="J33" s="68">
        <f>IF(SER_hh_fech_in!J33=0,0,SER_hh_fech_in!J33/SER_summary!J$27)</f>
        <v>12.801847030251835</v>
      </c>
      <c r="K33" s="68">
        <f>IF(SER_hh_fech_in!K33=0,0,SER_hh_fech_in!K33/SER_summary!K$27)</f>
        <v>12.77361516879836</v>
      </c>
      <c r="L33" s="68">
        <f>IF(SER_hh_fech_in!L33=0,0,SER_hh_fech_in!L33/SER_summary!L$27)</f>
        <v>12.544038792475103</v>
      </c>
      <c r="M33" s="68">
        <f>IF(SER_hh_fech_in!M33=0,0,SER_hh_fech_in!M33/SER_summary!M$27)</f>
        <v>12.912941846537549</v>
      </c>
      <c r="N33" s="68">
        <f>IF(SER_hh_fech_in!N33=0,0,SER_hh_fech_in!N33/SER_summary!N$27)</f>
        <v>12.987460358586642</v>
      </c>
      <c r="O33" s="68">
        <f>IF(SER_hh_fech_in!O33=0,0,SER_hh_fech_in!O33/SER_summary!O$27)</f>
        <v>12.806681783721968</v>
      </c>
      <c r="P33" s="68">
        <f>IF(SER_hh_fech_in!P33=0,0,SER_hh_fech_in!P33/SER_summary!P$27)</f>
        <v>12.884633293708971</v>
      </c>
      <c r="Q33" s="68">
        <f>IF(SER_hh_fech_in!Q33=0,0,SER_hh_fech_in!Q33/SER_summary!Q$27)</f>
        <v>12.025351955067206</v>
      </c>
      <c r="R33" s="68">
        <f>IF(SER_hh_fech_in!R33=0,0,SER_hh_fech_in!R33/SER_summary!R$27)</f>
        <v>12.118794071063956</v>
      </c>
      <c r="S33" s="68">
        <f>IF(SER_hh_fech_in!S33=0,0,SER_hh_fech_in!S33/SER_summary!S$27)</f>
        <v>12.360273269518308</v>
      </c>
      <c r="T33" s="68">
        <f>IF(SER_hh_fech_in!T33=0,0,SER_hh_fech_in!T33/SER_summary!T$27)</f>
        <v>11.496556734836044</v>
      </c>
      <c r="U33" s="68">
        <f>IF(SER_hh_fech_in!U33=0,0,SER_hh_fech_in!U33/SER_summary!U$27)</f>
        <v>10.936124954339478</v>
      </c>
      <c r="V33" s="68">
        <f>IF(SER_hh_fech_in!V33=0,0,SER_hh_fech_in!V33/SER_summary!V$27)</f>
        <v>9.4413452486651046</v>
      </c>
      <c r="W33" s="68">
        <f>IF(SER_hh_fech_in!W33=0,0,SER_hh_fech_in!W33/SER_summary!W$27)</f>
        <v>9.5232530359554843</v>
      </c>
      <c r="X33" s="68">
        <f>IF(SER_hh_fech_in!X33=0,0,SER_hh_fech_in!X33/SER_summary!X$27)</f>
        <v>9.6340985318965586</v>
      </c>
      <c r="Y33" s="68">
        <f>IF(SER_hh_fech_in!Y33=0,0,SER_hh_fech_in!Y33/SER_summary!Y$27)</f>
        <v>7.1517541312443296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131.57721787842399</v>
      </c>
      <c r="D3" s="125">
        <f>IF(SER_hh_tesh_in!D3=0,0,SER_hh_tesh_in!D3/SER_summary!D$27)</f>
        <v>128.27512038155879</v>
      </c>
      <c r="E3" s="125">
        <f>IF(SER_hh_tesh_in!E3=0,0,SER_hh_tesh_in!E3/SER_summary!E$27)</f>
        <v>129.00311596771311</v>
      </c>
      <c r="F3" s="125">
        <f>IF(SER_hh_tesh_in!F3=0,0,SER_hh_tesh_in!F3/SER_summary!F$27)</f>
        <v>125.54667330315073</v>
      </c>
      <c r="G3" s="125">
        <f>IF(SER_hh_tesh_in!G3=0,0,SER_hh_tesh_in!G3/SER_summary!G$27)</f>
        <v>121.81428283842672</v>
      </c>
      <c r="H3" s="125">
        <f>IF(SER_hh_tesh_in!H3=0,0,SER_hh_tesh_in!H3/SER_summary!H$27)</f>
        <v>120.18153888680426</v>
      </c>
      <c r="I3" s="125">
        <f>IF(SER_hh_tesh_in!I3=0,0,SER_hh_tesh_in!I3/SER_summary!I$27)</f>
        <v>116.94079302572267</v>
      </c>
      <c r="J3" s="125">
        <f>IF(SER_hh_tesh_in!J3=0,0,SER_hh_tesh_in!J3/SER_summary!J$27)</f>
        <v>114.01673560324221</v>
      </c>
      <c r="K3" s="125">
        <f>IF(SER_hh_tesh_in!K3=0,0,SER_hh_tesh_in!K3/SER_summary!K$27)</f>
        <v>110.14965756417261</v>
      </c>
      <c r="L3" s="125">
        <f>IF(SER_hh_tesh_in!L3=0,0,SER_hh_tesh_in!L3/SER_summary!L$27)</f>
        <v>115.70276838509272</v>
      </c>
      <c r="M3" s="125">
        <f>IF(SER_hh_tesh_in!M3=0,0,SER_hh_tesh_in!M3/SER_summary!M$27)</f>
        <v>103.23368576007152</v>
      </c>
      <c r="N3" s="125">
        <f>IF(SER_hh_tesh_in!N3=0,0,SER_hh_tesh_in!N3/SER_summary!N$27)</f>
        <v>102.73070807137978</v>
      </c>
      <c r="O3" s="125">
        <f>IF(SER_hh_tesh_in!O3=0,0,SER_hh_tesh_in!O3/SER_summary!O$27)</f>
        <v>99.8566945975968</v>
      </c>
      <c r="P3" s="125">
        <f>IF(SER_hh_tesh_in!P3=0,0,SER_hh_tesh_in!P3/SER_summary!P$27)</f>
        <v>90.850145382159553</v>
      </c>
      <c r="Q3" s="125">
        <f>IF(SER_hh_tesh_in!Q3=0,0,SER_hh_tesh_in!Q3/SER_summary!Q$27)</f>
        <v>92.469623544096748</v>
      </c>
      <c r="R3" s="125">
        <f>IF(SER_hh_tesh_in!R3=0,0,SER_hh_tesh_in!R3/SER_summary!R$27)</f>
        <v>91.947088440736195</v>
      </c>
      <c r="S3" s="125">
        <f>IF(SER_hh_tesh_in!S3=0,0,SER_hh_tesh_in!S3/SER_summary!S$27)</f>
        <v>90.722966060307627</v>
      </c>
      <c r="T3" s="125">
        <f>IF(SER_hh_tesh_in!T3=0,0,SER_hh_tesh_in!T3/SER_summary!T$27)</f>
        <v>85.557205831672164</v>
      </c>
      <c r="U3" s="125">
        <f>IF(SER_hh_tesh_in!U3=0,0,SER_hh_tesh_in!U3/SER_summary!U$27)</f>
        <v>80.001536683896646</v>
      </c>
      <c r="V3" s="125">
        <f>IF(SER_hh_tesh_in!V3=0,0,SER_hh_tesh_in!V3/SER_summary!V$27)</f>
        <v>72.842800532996833</v>
      </c>
      <c r="W3" s="125">
        <f>IF(SER_hh_tesh_in!W3=0,0,SER_hh_tesh_in!W3/SER_summary!W$27)</f>
        <v>75.516454484062891</v>
      </c>
      <c r="X3" s="125">
        <f>IF(SER_hh_tesh_in!X3=0,0,SER_hh_tesh_in!X3/SER_summary!X$27)</f>
        <v>71.949482390490871</v>
      </c>
      <c r="Y3" s="125">
        <f>IF(SER_hh_tesh_in!Y3=0,0,SER_hh_tesh_in!Y3/SER_summary!Y$27)</f>
        <v>71.344237421207822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86.101186489769546</v>
      </c>
      <c r="D4" s="130">
        <f>IF(SER_hh_tesh_in!D4=0,0,SER_hh_tesh_in!D4/SER_summary!D$27)</f>
        <v>83.058142274614013</v>
      </c>
      <c r="E4" s="130">
        <f>IF(SER_hh_tesh_in!E4=0,0,SER_hh_tesh_in!E4/SER_summary!E$27)</f>
        <v>83.699954826707355</v>
      </c>
      <c r="F4" s="130">
        <f>IF(SER_hh_tesh_in!F4=0,0,SER_hh_tesh_in!F4/SER_summary!F$27)</f>
        <v>80.398275845885806</v>
      </c>
      <c r="G4" s="130">
        <f>IF(SER_hh_tesh_in!G4=0,0,SER_hh_tesh_in!G4/SER_summary!G$27)</f>
        <v>76.779936573762413</v>
      </c>
      <c r="H4" s="130">
        <f>IF(SER_hh_tesh_in!H4=0,0,SER_hh_tesh_in!H4/SER_summary!H$27)</f>
        <v>75.164734947107021</v>
      </c>
      <c r="I4" s="130">
        <f>IF(SER_hh_tesh_in!I4=0,0,SER_hh_tesh_in!I4/SER_summary!I$27)</f>
        <v>72.229589342582202</v>
      </c>
      <c r="J4" s="130">
        <f>IF(SER_hh_tesh_in!J4=0,0,SER_hh_tesh_in!J4/SER_summary!J$27)</f>
        <v>69.486126187764739</v>
      </c>
      <c r="K4" s="130">
        <f>IF(SER_hh_tesh_in!K4=0,0,SER_hh_tesh_in!K4/SER_summary!K$27)</f>
        <v>65.810696470932498</v>
      </c>
      <c r="L4" s="130">
        <f>IF(SER_hh_tesh_in!L4=0,0,SER_hh_tesh_in!L4/SER_summary!L$27)</f>
        <v>71.482205894629899</v>
      </c>
      <c r="M4" s="130">
        <f>IF(SER_hh_tesh_in!M4=0,0,SER_hh_tesh_in!M4/SER_summary!M$27)</f>
        <v>59.122133966654381</v>
      </c>
      <c r="N4" s="130">
        <f>IF(SER_hh_tesh_in!N4=0,0,SER_hh_tesh_in!N4/SER_summary!N$27)</f>
        <v>58.840571301367923</v>
      </c>
      <c r="O4" s="130">
        <f>IF(SER_hh_tesh_in!O4=0,0,SER_hh_tesh_in!O4/SER_summary!O$27)</f>
        <v>56.425230358485045</v>
      </c>
      <c r="P4" s="130">
        <f>IF(SER_hh_tesh_in!P4=0,0,SER_hh_tesh_in!P4/SER_summary!P$27)</f>
        <v>47.977000654872541</v>
      </c>
      <c r="Q4" s="130">
        <f>IF(SER_hh_tesh_in!Q4=0,0,SER_hh_tesh_in!Q4/SER_summary!Q$27)</f>
        <v>49.801907212391114</v>
      </c>
      <c r="R4" s="130">
        <f>IF(SER_hh_tesh_in!R4=0,0,SER_hh_tesh_in!R4/SER_summary!R$27)</f>
        <v>49.542871865853492</v>
      </c>
      <c r="S4" s="130">
        <f>IF(SER_hh_tesh_in!S4=0,0,SER_hh_tesh_in!S4/SER_summary!S$27)</f>
        <v>48.665989851862328</v>
      </c>
      <c r="T4" s="130">
        <f>IF(SER_hh_tesh_in!T4=0,0,SER_hh_tesh_in!T4/SER_summary!T$27)</f>
        <v>43.596721781267739</v>
      </c>
      <c r="U4" s="130">
        <f>IF(SER_hh_tesh_in!U4=0,0,SER_hh_tesh_in!U4/SER_summary!U$27)</f>
        <v>39.662122023784185</v>
      </c>
      <c r="V4" s="130">
        <f>IF(SER_hh_tesh_in!V4=0,0,SER_hh_tesh_in!V4/SER_summary!V$27)</f>
        <v>37.439665787202046</v>
      </c>
      <c r="W4" s="130">
        <f>IF(SER_hh_tesh_in!W4=0,0,SER_hh_tesh_in!W4/SER_summary!W$27)</f>
        <v>40.126990117326208</v>
      </c>
      <c r="X4" s="130">
        <f>IF(SER_hh_tesh_in!X4=0,0,SER_hh_tesh_in!X4/SER_summary!X$27)</f>
        <v>35.898729813650483</v>
      </c>
      <c r="Y4" s="130">
        <f>IF(SER_hh_tesh_in!Y4=0,0,SER_hh_tesh_in!Y4/SER_summary!Y$27)</f>
        <v>35.778253327560982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82.790020176974039</v>
      </c>
      <c r="D7" s="132">
        <f>IF(SER_hh_tesh_in!D7=0,0,SER_hh_tesh_in!D7/SER_summary!D$27)</f>
        <v>78.964940405710948</v>
      </c>
      <c r="E7" s="132">
        <f>IF(SER_hh_tesh_in!E7=0,0,SER_hh_tesh_in!E7/SER_summary!E$27)</f>
        <v>80.180352915392447</v>
      </c>
      <c r="F7" s="132">
        <f>IF(SER_hh_tesh_in!F7=0,0,SER_hh_tesh_in!F7/SER_summary!F$27)</f>
        <v>84.176009486283817</v>
      </c>
      <c r="G7" s="132">
        <f>IF(SER_hh_tesh_in!G7=0,0,SER_hh_tesh_in!G7/SER_summary!G$27)</f>
        <v>77.97404765808983</v>
      </c>
      <c r="H7" s="132">
        <f>IF(SER_hh_tesh_in!H7=0,0,SER_hh_tesh_in!H7/SER_summary!H$27)</f>
        <v>70.434057820795033</v>
      </c>
      <c r="I7" s="132">
        <f>IF(SER_hh_tesh_in!I7=0,0,SER_hh_tesh_in!I7/SER_summary!I$27)</f>
        <v>66.086319391549708</v>
      </c>
      <c r="J7" s="132">
        <f>IF(SER_hh_tesh_in!J7=0,0,SER_hh_tesh_in!J7/SER_summary!J$27)</f>
        <v>69.566323424537018</v>
      </c>
      <c r="K7" s="132">
        <f>IF(SER_hh_tesh_in!K7=0,0,SER_hh_tesh_in!K7/SER_summary!K$27)</f>
        <v>66.639940563333226</v>
      </c>
      <c r="L7" s="132">
        <f>IF(SER_hh_tesh_in!L7=0,0,SER_hh_tesh_in!L7/SER_summary!L$27)</f>
        <v>66.609116972997498</v>
      </c>
      <c r="M7" s="132">
        <f>IF(SER_hh_tesh_in!M7=0,0,SER_hh_tesh_in!M7/SER_summary!M$27)</f>
        <v>52.41317089129965</v>
      </c>
      <c r="N7" s="132">
        <f>IF(SER_hh_tesh_in!N7=0,0,SER_hh_tesh_in!N7/SER_summary!N$27)</f>
        <v>61.539487649099414</v>
      </c>
      <c r="O7" s="132">
        <f>IF(SER_hh_tesh_in!O7=0,0,SER_hh_tesh_in!O7/SER_summary!O$27)</f>
        <v>55.272037654431088</v>
      </c>
      <c r="P7" s="132">
        <f>IF(SER_hh_tesh_in!P7=0,0,SER_hh_tesh_in!P7/SER_summary!P$27)</f>
        <v>47.726096831467459</v>
      </c>
      <c r="Q7" s="132">
        <f>IF(SER_hh_tesh_in!Q7=0,0,SER_hh_tesh_in!Q7/SER_summary!Q$27)</f>
        <v>48.979171002554118</v>
      </c>
      <c r="R7" s="132">
        <f>IF(SER_hh_tesh_in!R7=0,0,SER_hh_tesh_in!R7/SER_summary!R$27)</f>
        <v>48.747446348061388</v>
      </c>
      <c r="S7" s="132">
        <f>IF(SER_hh_tesh_in!S7=0,0,SER_hh_tesh_in!S7/SER_summary!S$27)</f>
        <v>0</v>
      </c>
      <c r="T7" s="132">
        <f>IF(SER_hh_tesh_in!T7=0,0,SER_hh_tesh_in!T7/SER_summary!T$27)</f>
        <v>51.982522226842164</v>
      </c>
      <c r="U7" s="132">
        <f>IF(SER_hh_tesh_in!U7=0,0,SER_hh_tesh_in!U7/SER_summary!U$27)</f>
        <v>0</v>
      </c>
      <c r="V7" s="132">
        <f>IF(SER_hh_tesh_in!V7=0,0,SER_hh_tesh_in!V7/SER_summary!V$27)</f>
        <v>0</v>
      </c>
      <c r="W7" s="132">
        <f>IF(SER_hh_tesh_in!W7=0,0,SER_hh_tesh_in!W7/SER_summary!W$27)</f>
        <v>0</v>
      </c>
      <c r="X7" s="132">
        <f>IF(SER_hh_tesh_in!X7=0,0,SER_hh_tesh_in!X7/SER_summary!X$27)</f>
        <v>39.018605605706121</v>
      </c>
      <c r="Y7" s="132">
        <f>IF(SER_hh_tesh_in!Y7=0,0,SER_hh_tesh_in!Y7/SER_summary!Y$27)</f>
        <v>31.726004128805286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81.636059120223351</v>
      </c>
      <c r="D8" s="132">
        <f>IF(SER_hh_tesh_in!D8=0,0,SER_hh_tesh_in!D8/SER_summary!D$27)</f>
        <v>77.861056638867154</v>
      </c>
      <c r="E8" s="132">
        <f>IF(SER_hh_tesh_in!E8=0,0,SER_hh_tesh_in!E8/SER_summary!E$27)</f>
        <v>86.329245917020202</v>
      </c>
      <c r="F8" s="132">
        <f>IF(SER_hh_tesh_in!F8=0,0,SER_hh_tesh_in!F8/SER_summary!F$27)</f>
        <v>83.916068540791372</v>
      </c>
      <c r="G8" s="132">
        <f>IF(SER_hh_tesh_in!G8=0,0,SER_hh_tesh_in!G8/SER_summary!G$27)</f>
        <v>69.328476403376968</v>
      </c>
      <c r="H8" s="132">
        <f>IF(SER_hh_tesh_in!H8=0,0,SER_hh_tesh_in!H8/SER_summary!H$27)</f>
        <v>41.414899113824504</v>
      </c>
      <c r="I8" s="132">
        <f>IF(SER_hh_tesh_in!I8=0,0,SER_hh_tesh_in!I8/SER_summary!I$27)</f>
        <v>87.063876005818656</v>
      </c>
      <c r="J8" s="132">
        <f>IF(SER_hh_tesh_in!J8=0,0,SER_hh_tesh_in!J8/SER_summary!J$27)</f>
        <v>72.704607517128608</v>
      </c>
      <c r="K8" s="132">
        <f>IF(SER_hh_tesh_in!K8=0,0,SER_hh_tesh_in!K8/SER_summary!K$27)</f>
        <v>67.970490521188509</v>
      </c>
      <c r="L8" s="132">
        <f>IF(SER_hh_tesh_in!L8=0,0,SER_hh_tesh_in!L8/SER_summary!L$27)</f>
        <v>64.526875385686097</v>
      </c>
      <c r="M8" s="132">
        <f>IF(SER_hh_tesh_in!M8=0,0,SER_hh_tesh_in!M8/SER_summary!M$27)</f>
        <v>59.901021724701408</v>
      </c>
      <c r="N8" s="132">
        <f>IF(SER_hh_tesh_in!N8=0,0,SER_hh_tesh_in!N8/SER_summary!N$27)</f>
        <v>55.30959161993944</v>
      </c>
      <c r="O8" s="132">
        <f>IF(SER_hh_tesh_in!O8=0,0,SER_hh_tesh_in!O8/SER_summary!O$27)</f>
        <v>48.459219664784541</v>
      </c>
      <c r="P8" s="132">
        <f>IF(SER_hh_tesh_in!P8=0,0,SER_hh_tesh_in!P8/SER_summary!P$27)</f>
        <v>50.276216391423169</v>
      </c>
      <c r="Q8" s="132">
        <f>IF(SER_hh_tesh_in!Q8=0,0,SER_hh_tesh_in!Q8/SER_summary!Q$27)</f>
        <v>51.994219192240557</v>
      </c>
      <c r="R8" s="132">
        <f>IF(SER_hh_tesh_in!R8=0,0,SER_hh_tesh_in!R8/SER_summary!R$27)</f>
        <v>50.025750852541066</v>
      </c>
      <c r="S8" s="132">
        <f>IF(SER_hh_tesh_in!S8=0,0,SER_hh_tesh_in!S8/SER_summary!S$27)</f>
        <v>45.551364270992643</v>
      </c>
      <c r="T8" s="132">
        <f>IF(SER_hh_tesh_in!T8=0,0,SER_hh_tesh_in!T8/SER_summary!T$27)</f>
        <v>43.136631404392013</v>
      </c>
      <c r="U8" s="132">
        <f>IF(SER_hh_tesh_in!U8=0,0,SER_hh_tesh_in!U8/SER_summary!U$27)</f>
        <v>39.867615587649674</v>
      </c>
      <c r="V8" s="132">
        <f>IF(SER_hh_tesh_in!V8=0,0,SER_hh_tesh_in!V8/SER_summary!V$27)</f>
        <v>39.831663235093941</v>
      </c>
      <c r="W8" s="132">
        <f>IF(SER_hh_tesh_in!W8=0,0,SER_hh_tesh_in!W8/SER_summary!W$27)</f>
        <v>35.593590827069235</v>
      </c>
      <c r="X8" s="132">
        <f>IF(SER_hh_tesh_in!X8=0,0,SER_hh_tesh_in!X8/SER_summary!X$27)</f>
        <v>36.549749853130315</v>
      </c>
      <c r="Y8" s="132">
        <f>IF(SER_hh_tesh_in!Y8=0,0,SER_hh_tesh_in!Y8/SER_summary!Y$27)</f>
        <v>38.213460392390019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82.362656019977095</v>
      </c>
      <c r="D9" s="132">
        <f>IF(SER_hh_tesh_in!D9=0,0,SER_hh_tesh_in!D9/SER_summary!D$27)</f>
        <v>78.152381057686924</v>
      </c>
      <c r="E9" s="132">
        <f>IF(SER_hh_tesh_in!E9=0,0,SER_hh_tesh_in!E9/SER_summary!E$27)</f>
        <v>84.916516974000558</v>
      </c>
      <c r="F9" s="132">
        <f>IF(SER_hh_tesh_in!F9=0,0,SER_hh_tesh_in!F9/SER_summary!F$27)</f>
        <v>78.07436194264281</v>
      </c>
      <c r="G9" s="132">
        <f>IF(SER_hh_tesh_in!G9=0,0,SER_hh_tesh_in!G9/SER_summary!G$27)</f>
        <v>75.350958723699449</v>
      </c>
      <c r="H9" s="132">
        <f>IF(SER_hh_tesh_in!H9=0,0,SER_hh_tesh_in!H9/SER_summary!H$27)</f>
        <v>79.010450801810293</v>
      </c>
      <c r="I9" s="132">
        <f>IF(SER_hh_tesh_in!I9=0,0,SER_hh_tesh_in!I9/SER_summary!I$27)</f>
        <v>69.738129386330399</v>
      </c>
      <c r="J9" s="132">
        <f>IF(SER_hh_tesh_in!J9=0,0,SER_hh_tesh_in!J9/SER_summary!J$27)</f>
        <v>67.895062466814622</v>
      </c>
      <c r="K9" s="132">
        <f>IF(SER_hh_tesh_in!K9=0,0,SER_hh_tesh_in!K9/SER_summary!K$27)</f>
        <v>68.175441579854791</v>
      </c>
      <c r="L9" s="132">
        <f>IF(SER_hh_tesh_in!L9=0,0,SER_hh_tesh_in!L9/SER_summary!L$27)</f>
        <v>69.19252064564941</v>
      </c>
      <c r="M9" s="132">
        <f>IF(SER_hh_tesh_in!M9=0,0,SER_hh_tesh_in!M9/SER_summary!M$27)</f>
        <v>52.265445116833469</v>
      </c>
      <c r="N9" s="132">
        <f>IF(SER_hh_tesh_in!N9=0,0,SER_hh_tesh_in!N9/SER_summary!N$27)</f>
        <v>58.59476912495451</v>
      </c>
      <c r="O9" s="132">
        <f>IF(SER_hh_tesh_in!O9=0,0,SER_hh_tesh_in!O9/SER_summary!O$27)</f>
        <v>60.090243819401458</v>
      </c>
      <c r="P9" s="132">
        <f>IF(SER_hh_tesh_in!P9=0,0,SER_hh_tesh_in!P9/SER_summary!P$27)</f>
        <v>39.784343264327887</v>
      </c>
      <c r="Q9" s="132">
        <f>IF(SER_hh_tesh_in!Q9=0,0,SER_hh_tesh_in!Q9/SER_summary!Q$27)</f>
        <v>49.731370972126172</v>
      </c>
      <c r="R9" s="132">
        <f>IF(SER_hh_tesh_in!R9=0,0,SER_hh_tesh_in!R9/SER_summary!R$27)</f>
        <v>49.745639241656328</v>
      </c>
      <c r="S9" s="132">
        <f>IF(SER_hh_tesh_in!S9=0,0,SER_hh_tesh_in!S9/SER_summary!S$27)</f>
        <v>51.871825652045203</v>
      </c>
      <c r="T9" s="132">
        <f>IF(SER_hh_tesh_in!T9=0,0,SER_hh_tesh_in!T9/SER_summary!T$27)</f>
        <v>37.048377398559126</v>
      </c>
      <c r="U9" s="132">
        <f>IF(SER_hh_tesh_in!U9=0,0,SER_hh_tesh_in!U9/SER_summary!U$27)</f>
        <v>34.634588698117724</v>
      </c>
      <c r="V9" s="132">
        <f>IF(SER_hh_tesh_in!V9=0,0,SER_hh_tesh_in!V9/SER_summary!V$27)</f>
        <v>34.208202455041061</v>
      </c>
      <c r="W9" s="132">
        <f>IF(SER_hh_tesh_in!W9=0,0,SER_hh_tesh_in!W9/SER_summary!W$27)</f>
        <v>44.924622839480669</v>
      </c>
      <c r="X9" s="132">
        <f>IF(SER_hh_tesh_in!X9=0,0,SER_hh_tesh_in!X9/SER_summary!X$27)</f>
        <v>35.599405946973576</v>
      </c>
      <c r="Y9" s="132">
        <f>IF(SER_hh_tesh_in!Y9=0,0,SER_hh_tesh_in!Y9/SER_summary!Y$27)</f>
        <v>34.294009724681715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73.476364039149416</v>
      </c>
      <c r="D10" s="132">
        <f>IF(SER_hh_tesh_in!D10=0,0,SER_hh_tesh_in!D10/SER_summary!D$27)</f>
        <v>89.237580656524003</v>
      </c>
      <c r="E10" s="132">
        <f>IF(SER_hh_tesh_in!E10=0,0,SER_hh_tesh_in!E10/SER_summary!E$27)</f>
        <v>88.026444283623462</v>
      </c>
      <c r="F10" s="132">
        <f>IF(SER_hh_tesh_in!F10=0,0,SER_hh_tesh_in!F10/SER_summary!F$27)</f>
        <v>73.191698526692704</v>
      </c>
      <c r="G10" s="132">
        <f>IF(SER_hh_tesh_in!G10=0,0,SER_hh_tesh_in!G10/SER_summary!G$27)</f>
        <v>76.454004518603071</v>
      </c>
      <c r="H10" s="132">
        <f>IF(SER_hh_tesh_in!H10=0,0,SER_hh_tesh_in!H10/SER_summary!H$27)</f>
        <v>82.515864696641501</v>
      </c>
      <c r="I10" s="132">
        <f>IF(SER_hh_tesh_in!I10=0,0,SER_hh_tesh_in!I10/SER_summary!I$27)</f>
        <v>71.747744339235211</v>
      </c>
      <c r="J10" s="132">
        <f>IF(SER_hh_tesh_in!J10=0,0,SER_hh_tesh_in!J10/SER_summary!J$27)</f>
        <v>0</v>
      </c>
      <c r="K10" s="132">
        <f>IF(SER_hh_tesh_in!K10=0,0,SER_hh_tesh_in!K10/SER_summary!K$27)</f>
        <v>0</v>
      </c>
      <c r="L10" s="132">
        <f>IF(SER_hh_tesh_in!L10=0,0,SER_hh_tesh_in!L10/SER_summary!L$27)</f>
        <v>60.814422631348208</v>
      </c>
      <c r="M10" s="132">
        <f>IF(SER_hh_tesh_in!M10=0,0,SER_hh_tesh_in!M10/SER_summary!M$27)</f>
        <v>63.218474222063783</v>
      </c>
      <c r="N10" s="132">
        <f>IF(SER_hh_tesh_in!N10=0,0,SER_hh_tesh_in!N10/SER_summary!N$27)</f>
        <v>53.958102497336981</v>
      </c>
      <c r="O10" s="132">
        <f>IF(SER_hh_tesh_in!O10=0,0,SER_hh_tesh_in!O10/SER_summary!O$27)</f>
        <v>51.114216233940311</v>
      </c>
      <c r="P10" s="132">
        <f>IF(SER_hh_tesh_in!P10=0,0,SER_hh_tesh_in!P10/SER_summary!P$27)</f>
        <v>55.551812573339603</v>
      </c>
      <c r="Q10" s="132">
        <f>IF(SER_hh_tesh_in!Q10=0,0,SER_hh_tesh_in!Q10/SER_summary!Q$27)</f>
        <v>43.686184503276131</v>
      </c>
      <c r="R10" s="132">
        <f>IF(SER_hh_tesh_in!R10=0,0,SER_hh_tesh_in!R10/SER_summary!R$27)</f>
        <v>47.469480386480448</v>
      </c>
      <c r="S10" s="132">
        <f>IF(SER_hh_tesh_in!S10=0,0,SER_hh_tesh_in!S10/SER_summary!S$27)</f>
        <v>48.270239065317796</v>
      </c>
      <c r="T10" s="132">
        <f>IF(SER_hh_tesh_in!T10=0,0,SER_hh_tesh_in!T10/SER_summary!T$27)</f>
        <v>50.591109016932975</v>
      </c>
      <c r="U10" s="132">
        <f>IF(SER_hh_tesh_in!U10=0,0,SER_hh_tesh_in!U10/SER_summary!U$27)</f>
        <v>42.87537724795142</v>
      </c>
      <c r="V10" s="132">
        <f>IF(SER_hh_tesh_in!V10=0,0,SER_hh_tesh_in!V10/SER_summary!V$27)</f>
        <v>37.116763912703917</v>
      </c>
      <c r="W10" s="132">
        <f>IF(SER_hh_tesh_in!W10=0,0,SER_hh_tesh_in!W10/SER_summary!W$27)</f>
        <v>0</v>
      </c>
      <c r="X10" s="132">
        <f>IF(SER_hh_tesh_in!X10=0,0,SER_hh_tesh_in!X10/SER_summary!X$27)</f>
        <v>0</v>
      </c>
      <c r="Y10" s="132">
        <f>IF(SER_hh_tesh_in!Y10=0,0,SER_hh_tesh_in!Y10/SER_summary!Y$27)</f>
        <v>0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86.298995391130092</v>
      </c>
      <c r="D12" s="132">
        <f>IF(SER_hh_tesh_in!D12=0,0,SER_hh_tesh_in!D12/SER_summary!D$27)</f>
        <v>82.900030119837496</v>
      </c>
      <c r="E12" s="132">
        <f>IF(SER_hh_tesh_in!E12=0,0,SER_hh_tesh_in!E12/SER_summary!E$27)</f>
        <v>82.940842415982146</v>
      </c>
      <c r="F12" s="132">
        <f>IF(SER_hh_tesh_in!F12=0,0,SER_hh_tesh_in!F12/SER_summary!F$27)</f>
        <v>80.40238867325678</v>
      </c>
      <c r="G12" s="132">
        <f>IF(SER_hh_tesh_in!G12=0,0,SER_hh_tesh_in!G12/SER_summary!G$27)</f>
        <v>77.22973895690194</v>
      </c>
      <c r="H12" s="132">
        <f>IF(SER_hh_tesh_in!H12=0,0,SER_hh_tesh_in!H12/SER_summary!H$27)</f>
        <v>75.072195445520521</v>
      </c>
      <c r="I12" s="132">
        <f>IF(SER_hh_tesh_in!I12=0,0,SER_hh_tesh_in!I12/SER_summary!I$27)</f>
        <v>69.870601032251315</v>
      </c>
      <c r="J12" s="132">
        <f>IF(SER_hh_tesh_in!J12=0,0,SER_hh_tesh_in!J12/SER_summary!J$27)</f>
        <v>68.367931182884234</v>
      </c>
      <c r="K12" s="132">
        <f>IF(SER_hh_tesh_in!K12=0,0,SER_hh_tesh_in!K12/SER_summary!K$27)</f>
        <v>65.251262821322456</v>
      </c>
      <c r="L12" s="132">
        <f>IF(SER_hh_tesh_in!L12=0,0,SER_hh_tesh_in!L12/SER_summary!L$27)</f>
        <v>71.619934629215493</v>
      </c>
      <c r="M12" s="132">
        <f>IF(SER_hh_tesh_in!M12=0,0,SER_hh_tesh_in!M12/SER_summary!M$27)</f>
        <v>59.193131663501973</v>
      </c>
      <c r="N12" s="132">
        <f>IF(SER_hh_tesh_in!N12=0,0,SER_hh_tesh_in!N12/SER_summary!N$27)</f>
        <v>58.353148308726013</v>
      </c>
      <c r="O12" s="132">
        <f>IF(SER_hh_tesh_in!O12=0,0,SER_hh_tesh_in!O12/SER_summary!O$27)</f>
        <v>55.657692828745638</v>
      </c>
      <c r="P12" s="132">
        <f>IF(SER_hh_tesh_in!P12=0,0,SER_hh_tesh_in!P12/SER_summary!P$27)</f>
        <v>47.84456638209997</v>
      </c>
      <c r="Q12" s="132">
        <f>IF(SER_hh_tesh_in!Q12=0,0,SER_hh_tesh_in!Q12/SER_summary!Q$27)</f>
        <v>49.530338312972788</v>
      </c>
      <c r="R12" s="132">
        <f>IF(SER_hh_tesh_in!R12=0,0,SER_hh_tesh_in!R12/SER_summary!R$27)</f>
        <v>49.153139109493907</v>
      </c>
      <c r="S12" s="132">
        <f>IF(SER_hh_tesh_in!S12=0,0,SER_hh_tesh_in!S12/SER_summary!S$27)</f>
        <v>47.470122156553202</v>
      </c>
      <c r="T12" s="132">
        <f>IF(SER_hh_tesh_in!T12=0,0,SER_hh_tesh_in!T12/SER_summary!T$27)</f>
        <v>44.744205733676154</v>
      </c>
      <c r="U12" s="132">
        <f>IF(SER_hh_tesh_in!U12=0,0,SER_hh_tesh_in!U12/SER_summary!U$27)</f>
        <v>41.599291418678852</v>
      </c>
      <c r="V12" s="132">
        <f>IF(SER_hh_tesh_in!V12=0,0,SER_hh_tesh_in!V12/SER_summary!V$27)</f>
        <v>38.345711949820327</v>
      </c>
      <c r="W12" s="132">
        <f>IF(SER_hh_tesh_in!W12=0,0,SER_hh_tesh_in!W12/SER_summary!W$27)</f>
        <v>39.074501080509926</v>
      </c>
      <c r="X12" s="132">
        <f>IF(SER_hh_tesh_in!X12=0,0,SER_hh_tesh_in!X12/SER_summary!X$27)</f>
        <v>34.75970136369321</v>
      </c>
      <c r="Y12" s="132">
        <f>IF(SER_hh_tesh_in!Y12=0,0,SER_hh_tesh_in!Y12/SER_summary!Y$27)</f>
        <v>35.626363955208014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84.903760317677978</v>
      </c>
      <c r="D13" s="132">
        <f>IF(SER_hh_tesh_in!D13=0,0,SER_hh_tesh_in!D13/SER_summary!D$27)</f>
        <v>84.121384459235699</v>
      </c>
      <c r="E13" s="132">
        <f>IF(SER_hh_tesh_in!E13=0,0,SER_hh_tesh_in!E13/SER_summary!E$27)</f>
        <v>82.168828303894799</v>
      </c>
      <c r="F13" s="132">
        <f>IF(SER_hh_tesh_in!F13=0,0,SER_hh_tesh_in!F13/SER_summary!F$27)</f>
        <v>80.494027681495382</v>
      </c>
      <c r="G13" s="132">
        <f>IF(SER_hh_tesh_in!G13=0,0,SER_hh_tesh_in!G13/SER_summary!G$27)</f>
        <v>58.257070231696829</v>
      </c>
      <c r="H13" s="132">
        <f>IF(SER_hh_tesh_in!H13=0,0,SER_hh_tesh_in!H13/SER_summary!H$27)</f>
        <v>38.587774440109513</v>
      </c>
      <c r="I13" s="132">
        <f>IF(SER_hh_tesh_in!I13=0,0,SER_hh_tesh_in!I13/SER_summary!I$27)</f>
        <v>89.960291288515961</v>
      </c>
      <c r="J13" s="132">
        <f>IF(SER_hh_tesh_in!J13=0,0,SER_hh_tesh_in!J13/SER_summary!J$27)</f>
        <v>75.112672614860458</v>
      </c>
      <c r="K13" s="132">
        <f>IF(SER_hh_tesh_in!K13=0,0,SER_hh_tesh_in!K13/SER_summary!K$27)</f>
        <v>67.822180267933092</v>
      </c>
      <c r="L13" s="132">
        <f>IF(SER_hh_tesh_in!L13=0,0,SER_hh_tesh_in!L13/SER_summary!L$27)</f>
        <v>66.483039771878168</v>
      </c>
      <c r="M13" s="132">
        <f>IF(SER_hh_tesh_in!M13=0,0,SER_hh_tesh_in!M13/SER_summary!M$27)</f>
        <v>61.954371995822754</v>
      </c>
      <c r="N13" s="132">
        <f>IF(SER_hh_tesh_in!N13=0,0,SER_hh_tesh_in!N13/SER_summary!N$27)</f>
        <v>58.542657262572256</v>
      </c>
      <c r="O13" s="132">
        <f>IF(SER_hh_tesh_in!O13=0,0,SER_hh_tesh_in!O13/SER_summary!O$27)</f>
        <v>54.430945978403678</v>
      </c>
      <c r="P13" s="132">
        <f>IF(SER_hh_tesh_in!P13=0,0,SER_hh_tesh_in!P13/SER_summary!P$27)</f>
        <v>49.412045165766799</v>
      </c>
      <c r="Q13" s="132">
        <f>IF(SER_hh_tesh_in!Q13=0,0,SER_hh_tesh_in!Q13/SER_summary!Q$27)</f>
        <v>49.705299532253918</v>
      </c>
      <c r="R13" s="132">
        <f>IF(SER_hh_tesh_in!R13=0,0,SER_hh_tesh_in!R13/SER_summary!R$27)</f>
        <v>50.113225348673865</v>
      </c>
      <c r="S13" s="132">
        <f>IF(SER_hh_tesh_in!S13=0,0,SER_hh_tesh_in!S13/SER_summary!S$27)</f>
        <v>45.603819073535455</v>
      </c>
      <c r="T13" s="132">
        <f>IF(SER_hh_tesh_in!T13=0,0,SER_hh_tesh_in!T13/SER_summary!T$27)</f>
        <v>43.460523465750725</v>
      </c>
      <c r="U13" s="132">
        <f>IF(SER_hh_tesh_in!U13=0,0,SER_hh_tesh_in!U13/SER_summary!U$27)</f>
        <v>41.129427195515703</v>
      </c>
      <c r="V13" s="132">
        <f>IF(SER_hh_tesh_in!V13=0,0,SER_hh_tesh_in!V13/SER_summary!V$27)</f>
        <v>38.500333378218642</v>
      </c>
      <c r="W13" s="132">
        <f>IF(SER_hh_tesh_in!W13=0,0,SER_hh_tesh_in!W13/SER_summary!W$27)</f>
        <v>36.275795672922015</v>
      </c>
      <c r="X13" s="132">
        <f>IF(SER_hh_tesh_in!X13=0,0,SER_hh_tesh_in!X13/SER_summary!X$27)</f>
        <v>37.371703186509599</v>
      </c>
      <c r="Y13" s="132">
        <f>IF(SER_hh_tesh_in!Y13=0,0,SER_hh_tesh_in!Y13/SER_summary!Y$27)</f>
        <v>36.86037053212327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86.392204634017389</v>
      </c>
      <c r="D14" s="65">
        <f>IF(SER_hh_tesh_in!D14=0,0,SER_hh_tesh_in!D14/SER_summary!D$27)</f>
        <v>84.630707758891162</v>
      </c>
      <c r="E14" s="65">
        <f>IF(SER_hh_tesh_in!E14=0,0,SER_hh_tesh_in!E14/SER_summary!E$27)</f>
        <v>79.446740565799516</v>
      </c>
      <c r="F14" s="65">
        <f>IF(SER_hh_tesh_in!F14=0,0,SER_hh_tesh_in!F14/SER_summary!F$27)</f>
        <v>79.633757197122463</v>
      </c>
      <c r="G14" s="65">
        <f>IF(SER_hh_tesh_in!G14=0,0,SER_hh_tesh_in!G14/SER_summary!G$27)</f>
        <v>76.099574946762232</v>
      </c>
      <c r="H14" s="65">
        <f>IF(SER_hh_tesh_in!H14=0,0,SER_hh_tesh_in!H14/SER_summary!H$27)</f>
        <v>75.785762399771329</v>
      </c>
      <c r="I14" s="65">
        <f>IF(SER_hh_tesh_in!I14=0,0,SER_hh_tesh_in!I14/SER_summary!I$27)</f>
        <v>74.660633435076008</v>
      </c>
      <c r="J14" s="65">
        <f>IF(SER_hh_tesh_in!J14=0,0,SER_hh_tesh_in!J14/SER_summary!J$27)</f>
        <v>72.352690160301066</v>
      </c>
      <c r="K14" s="65">
        <f>IF(SER_hh_tesh_in!K14=0,0,SER_hh_tesh_in!K14/SER_summary!K$27)</f>
        <v>63.443054999193528</v>
      </c>
      <c r="L14" s="65">
        <f>IF(SER_hh_tesh_in!L14=0,0,SER_hh_tesh_in!L14/SER_summary!L$27)</f>
        <v>69.909373217915146</v>
      </c>
      <c r="M14" s="65">
        <f>IF(SER_hh_tesh_in!M14=0,0,SER_hh_tesh_in!M14/SER_summary!M$27)</f>
        <v>63.626289187946625</v>
      </c>
      <c r="N14" s="65">
        <f>IF(SER_hh_tesh_in!N14=0,0,SER_hh_tesh_in!N14/SER_summary!N$27)</f>
        <v>58.374192733952036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49.902036227690665</v>
      </c>
      <c r="X14" s="65">
        <f>IF(SER_hh_tesh_in!X14=0,0,SER_hh_tesh_in!X14/SER_summary!X$27)</f>
        <v>55.025040010538859</v>
      </c>
      <c r="Y14" s="65">
        <f>IF(SER_hh_tesh_in!Y14=0,0,SER_hh_tesh_in!Y14/SER_summary!Y$27)</f>
        <v>0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0.57828545155775901</v>
      </c>
      <c r="D15" s="134">
        <f>IF(SER_hh_tesh_in!D15=0,0,SER_hh_tesh_in!D15/SER_summary!D$27)</f>
        <v>0.66758366299549143</v>
      </c>
      <c r="E15" s="134">
        <f>IF(SER_hh_tesh_in!E15=0,0,SER_hh_tesh_in!E15/SER_summary!E$27)</f>
        <v>0.71048813751038553</v>
      </c>
      <c r="F15" s="134">
        <f>IF(SER_hh_tesh_in!F15=0,0,SER_hh_tesh_in!F15/SER_summary!F$27)</f>
        <v>0.67515391785918411</v>
      </c>
      <c r="G15" s="134">
        <f>IF(SER_hh_tesh_in!G15=0,0,SER_hh_tesh_in!G15/SER_summary!G$27)</f>
        <v>0.61411776561781195</v>
      </c>
      <c r="H15" s="134">
        <f>IF(SER_hh_tesh_in!H15=0,0,SER_hh_tesh_in!H15/SER_summary!H$27)</f>
        <v>0.5846819573469515</v>
      </c>
      <c r="I15" s="134">
        <f>IF(SER_hh_tesh_in!I15=0,0,SER_hh_tesh_in!I15/SER_summary!I$27)</f>
        <v>0.43972517537926281</v>
      </c>
      <c r="J15" s="134">
        <f>IF(SER_hh_tesh_in!J15=0,0,SER_hh_tesh_in!J15/SER_summary!J$27)</f>
        <v>0.43045067897671507</v>
      </c>
      <c r="K15" s="134">
        <f>IF(SER_hh_tesh_in!K15=0,0,SER_hh_tesh_in!K15/SER_summary!K$27)</f>
        <v>0.36806961285192269</v>
      </c>
      <c r="L15" s="134">
        <f>IF(SER_hh_tesh_in!L15=0,0,SER_hh_tesh_in!L15/SER_summary!L$27)</f>
        <v>0.36610990879523725</v>
      </c>
      <c r="M15" s="134">
        <f>IF(SER_hh_tesh_in!M15=0,0,SER_hh_tesh_in!M15/SER_summary!M$27)</f>
        <v>0.34124724904228437</v>
      </c>
      <c r="N15" s="134">
        <f>IF(SER_hh_tesh_in!N15=0,0,SER_hh_tesh_in!N15/SER_summary!N$27)</f>
        <v>0.4099828410760053</v>
      </c>
      <c r="O15" s="134">
        <f>IF(SER_hh_tesh_in!O15=0,0,SER_hh_tesh_in!O15/SER_summary!O$27)</f>
        <v>0.40051725153197443</v>
      </c>
      <c r="P15" s="134">
        <f>IF(SER_hh_tesh_in!P15=0,0,SER_hh_tesh_in!P15/SER_summary!P$27)</f>
        <v>0.28245884843388352</v>
      </c>
      <c r="Q15" s="134">
        <f>IF(SER_hh_tesh_in!Q15=0,0,SER_hh_tesh_in!Q15/SER_summary!Q$27)</f>
        <v>0.3815022239392456</v>
      </c>
      <c r="R15" s="134">
        <f>IF(SER_hh_tesh_in!R15=0,0,SER_hh_tesh_in!R15/SER_summary!R$27)</f>
        <v>0.3481806241943356</v>
      </c>
      <c r="S15" s="134">
        <f>IF(SER_hh_tesh_in!S15=0,0,SER_hh_tesh_in!S15/SER_summary!S$27)</f>
        <v>0.33760772303629877</v>
      </c>
      <c r="T15" s="134">
        <f>IF(SER_hh_tesh_in!T15=0,0,SER_hh_tesh_in!T15/SER_summary!T$27)</f>
        <v>0.28021789243795187</v>
      </c>
      <c r="U15" s="134">
        <f>IF(SER_hh_tesh_in!U15=0,0,SER_hh_tesh_in!U15/SER_summary!U$27)</f>
        <v>0.29754715231366929</v>
      </c>
      <c r="V15" s="134">
        <f>IF(SER_hh_tesh_in!V15=0,0,SER_hh_tesh_in!V15/SER_summary!V$27)</f>
        <v>0.27540685216774718</v>
      </c>
      <c r="W15" s="134">
        <f>IF(SER_hh_tesh_in!W15=0,0,SER_hh_tesh_in!W15/SER_summary!W$27)</f>
        <v>0.23932337634970574</v>
      </c>
      <c r="X15" s="134">
        <f>IF(SER_hh_tesh_in!X15=0,0,SER_hh_tesh_in!X15/SER_summary!X$27)</f>
        <v>0.21569110623510865</v>
      </c>
      <c r="Y15" s="134">
        <f>IF(SER_hh_tesh_in!Y15=0,0,SER_hh_tesh_in!Y15/SER_summary!Y$27)</f>
        <v>0.17269599618235537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25.995540882369077</v>
      </c>
      <c r="D16" s="130">
        <f>IF(SER_hh_tesh_in!D16=0,0,SER_hh_tesh_in!D16/SER_summary!D$27)</f>
        <v>25.866893180638776</v>
      </c>
      <c r="E16" s="130">
        <f>IF(SER_hh_tesh_in!E16=0,0,SER_hh_tesh_in!E16/SER_summary!E$27)</f>
        <v>25.719591154325872</v>
      </c>
      <c r="F16" s="130">
        <f>IF(SER_hh_tesh_in!F16=0,0,SER_hh_tesh_in!F16/SER_summary!F$27)</f>
        <v>25.582200274127718</v>
      </c>
      <c r="G16" s="130">
        <f>IF(SER_hh_tesh_in!G16=0,0,SER_hh_tesh_in!G16/SER_summary!G$27)</f>
        <v>25.442698635223341</v>
      </c>
      <c r="H16" s="130">
        <f>IF(SER_hh_tesh_in!H16=0,0,SER_hh_tesh_in!H16/SER_summary!H$27)</f>
        <v>25.300946431085531</v>
      </c>
      <c r="I16" s="130">
        <f>IF(SER_hh_tesh_in!I16=0,0,SER_hh_tesh_in!I16/SER_summary!I$27)</f>
        <v>25.199730992456399</v>
      </c>
      <c r="J16" s="130">
        <f>IF(SER_hh_tesh_in!J16=0,0,SER_hh_tesh_in!J16/SER_summary!J$27)</f>
        <v>24.971499731698493</v>
      </c>
      <c r="K16" s="130">
        <f>IF(SER_hh_tesh_in!K16=0,0,SER_hh_tesh_in!K16/SER_summary!K$27)</f>
        <v>24.792027757031494</v>
      </c>
      <c r="L16" s="130">
        <f>IF(SER_hh_tesh_in!L16=0,0,SER_hh_tesh_in!L16/SER_summary!L$27)</f>
        <v>24.714326540458352</v>
      </c>
      <c r="M16" s="130">
        <f>IF(SER_hh_tesh_in!M16=0,0,SER_hh_tesh_in!M16/SER_summary!M$27)</f>
        <v>24.289021306593195</v>
      </c>
      <c r="N16" s="130">
        <f>IF(SER_hh_tesh_in!N16=0,0,SER_hh_tesh_in!N16/SER_summary!N$27)</f>
        <v>23.913846607609447</v>
      </c>
      <c r="O16" s="130">
        <f>IF(SER_hh_tesh_in!O16=0,0,SER_hh_tesh_in!O16/SER_summary!O$27)</f>
        <v>23.491443577184295</v>
      </c>
      <c r="P16" s="130">
        <f>IF(SER_hh_tesh_in!P16=0,0,SER_hh_tesh_in!P16/SER_summary!P$27)</f>
        <v>23.180242416653599</v>
      </c>
      <c r="Q16" s="130">
        <f>IF(SER_hh_tesh_in!Q16=0,0,SER_hh_tesh_in!Q16/SER_summary!Q$27)</f>
        <v>22.749288565778116</v>
      </c>
      <c r="R16" s="130">
        <f>IF(SER_hh_tesh_in!R16=0,0,SER_hh_tesh_in!R16/SER_summary!R$27)</f>
        <v>22.485021394068688</v>
      </c>
      <c r="S16" s="130">
        <f>IF(SER_hh_tesh_in!S16=0,0,SER_hh_tesh_in!S16/SER_summary!S$27)</f>
        <v>22.017460296367755</v>
      </c>
      <c r="T16" s="130">
        <f>IF(SER_hh_tesh_in!T16=0,0,SER_hh_tesh_in!T16/SER_summary!T$27)</f>
        <v>22.285184773137463</v>
      </c>
      <c r="U16" s="130">
        <f>IF(SER_hh_tesh_in!U16=0,0,SER_hh_tesh_in!U16/SER_summary!U$27)</f>
        <v>20.982394946897536</v>
      </c>
      <c r="V16" s="130">
        <f>IF(SER_hh_tesh_in!V16=0,0,SER_hh_tesh_in!V16/SER_summary!V$27)</f>
        <v>19.104709712993895</v>
      </c>
      <c r="W16" s="130">
        <f>IF(SER_hh_tesh_in!W16=0,0,SER_hh_tesh_in!W16/SER_summary!W$27)</f>
        <v>18.294219296046077</v>
      </c>
      <c r="X16" s="130">
        <f>IF(SER_hh_tesh_in!X16=0,0,SER_hh_tesh_in!X16/SER_summary!X$27)</f>
        <v>18.809050473665639</v>
      </c>
      <c r="Y16" s="130">
        <f>IF(SER_hh_tesh_in!Y16=0,0,SER_hh_tesh_in!Y16/SER_summary!Y$27)</f>
        <v>18.347905392733729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26.001155131216628</v>
      </c>
      <c r="D17" s="132">
        <f>IF(SER_hh_tesh_in!D17=0,0,SER_hh_tesh_in!D17/SER_summary!D$27)</f>
        <v>25.885940351633671</v>
      </c>
      <c r="E17" s="132">
        <f>IF(SER_hh_tesh_in!E17=0,0,SER_hh_tesh_in!E17/SER_summary!E$27)</f>
        <v>25.736862337414987</v>
      </c>
      <c r="F17" s="132">
        <f>IF(SER_hh_tesh_in!F17=0,0,SER_hh_tesh_in!F17/SER_summary!F$27)</f>
        <v>25.621128869505174</v>
      </c>
      <c r="G17" s="132">
        <f>IF(SER_hh_tesh_in!G17=0,0,SER_hh_tesh_in!G17/SER_summary!G$27)</f>
        <v>25.496665381176054</v>
      </c>
      <c r="H17" s="132">
        <f>IF(SER_hh_tesh_in!H17=0,0,SER_hh_tesh_in!H17/SER_summary!H$27)</f>
        <v>25.340513421910384</v>
      </c>
      <c r="I17" s="132">
        <f>IF(SER_hh_tesh_in!I17=0,0,SER_hh_tesh_in!I17/SER_summary!I$27)</f>
        <v>25.204145930207957</v>
      </c>
      <c r="J17" s="132">
        <f>IF(SER_hh_tesh_in!J17=0,0,SER_hh_tesh_in!J17/SER_summary!J$27)</f>
        <v>24.959253344751755</v>
      </c>
      <c r="K17" s="132">
        <f>IF(SER_hh_tesh_in!K17=0,0,SER_hh_tesh_in!K17/SER_summary!K$27)</f>
        <v>24.764065120937317</v>
      </c>
      <c r="L17" s="132">
        <f>IF(SER_hh_tesh_in!L17=0,0,SER_hh_tesh_in!L17/SER_summary!L$27)</f>
        <v>24.73420022994889</v>
      </c>
      <c r="M17" s="132">
        <f>IF(SER_hh_tesh_in!M17=0,0,SER_hh_tesh_in!M17/SER_summary!M$27)</f>
        <v>24.314719482920953</v>
      </c>
      <c r="N17" s="132">
        <f>IF(SER_hh_tesh_in!N17=0,0,SER_hh_tesh_in!N17/SER_summary!N$27)</f>
        <v>23.922997994266954</v>
      </c>
      <c r="O17" s="132">
        <f>IF(SER_hh_tesh_in!O17=0,0,SER_hh_tesh_in!O17/SER_summary!O$27)</f>
        <v>23.503431162992506</v>
      </c>
      <c r="P17" s="132">
        <f>IF(SER_hh_tesh_in!P17=0,0,SER_hh_tesh_in!P17/SER_summary!P$27)</f>
        <v>23.240865559617678</v>
      </c>
      <c r="Q17" s="132">
        <f>IF(SER_hh_tesh_in!Q17=0,0,SER_hh_tesh_in!Q17/SER_summary!Q$27)</f>
        <v>22.91354141236549</v>
      </c>
      <c r="R17" s="132">
        <f>IF(SER_hh_tesh_in!R17=0,0,SER_hh_tesh_in!R17/SER_summary!R$27)</f>
        <v>22.720834566736851</v>
      </c>
      <c r="S17" s="132">
        <f>IF(SER_hh_tesh_in!S17=0,0,SER_hh_tesh_in!S17/SER_summary!S$27)</f>
        <v>22.257087679442122</v>
      </c>
      <c r="T17" s="132">
        <f>IF(SER_hh_tesh_in!T17=0,0,SER_hh_tesh_in!T17/SER_summary!T$27)</f>
        <v>22.471680826423402</v>
      </c>
      <c r="U17" s="132">
        <f>IF(SER_hh_tesh_in!U17=0,0,SER_hh_tesh_in!U17/SER_summary!U$27)</f>
        <v>21.188158977380557</v>
      </c>
      <c r="V17" s="132">
        <f>IF(SER_hh_tesh_in!V17=0,0,SER_hh_tesh_in!V17/SER_summary!V$27)</f>
        <v>14.850087658479106</v>
      </c>
      <c r="W17" s="132">
        <f>IF(SER_hh_tesh_in!W17=0,0,SER_hh_tesh_in!W17/SER_summary!W$27)</f>
        <v>14.33190564078232</v>
      </c>
      <c r="X17" s="132">
        <f>IF(SER_hh_tesh_in!X17=0,0,SER_hh_tesh_in!X17/SER_summary!X$27)</f>
        <v>14.778130259713631</v>
      </c>
      <c r="Y17" s="132">
        <f>IF(SER_hh_tesh_in!Y17=0,0,SER_hh_tesh_in!Y17/SER_summary!Y$27)</f>
        <v>14.630898608143971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25.995535411994918</v>
      </c>
      <c r="D18" s="132">
        <f>IF(SER_hh_tesh_in!D18=0,0,SER_hh_tesh_in!D18/SER_summary!D$27)</f>
        <v>25.866872738065645</v>
      </c>
      <c r="E18" s="132">
        <f>IF(SER_hh_tesh_in!E18=0,0,SER_hh_tesh_in!E18/SER_summary!E$27)</f>
        <v>25.719576166507395</v>
      </c>
      <c r="F18" s="132">
        <f>IF(SER_hh_tesh_in!F18=0,0,SER_hh_tesh_in!F18/SER_summary!F$27)</f>
        <v>25.582152667733943</v>
      </c>
      <c r="G18" s="132">
        <f>IF(SER_hh_tesh_in!G18=0,0,SER_hh_tesh_in!G18/SER_summary!G$27)</f>
        <v>25.442630043646457</v>
      </c>
      <c r="H18" s="132">
        <f>IF(SER_hh_tesh_in!H18=0,0,SER_hh_tesh_in!H18/SER_summary!H$27)</f>
        <v>25.300906285227306</v>
      </c>
      <c r="I18" s="132">
        <f>IF(SER_hh_tesh_in!I18=0,0,SER_hh_tesh_in!I18/SER_summary!I$27)</f>
        <v>25.199727076943923</v>
      </c>
      <c r="J18" s="132">
        <f>IF(SER_hh_tesh_in!J18=0,0,SER_hh_tesh_in!J18/SER_summary!J$27)</f>
        <v>24.971512221103648</v>
      </c>
      <c r="K18" s="132">
        <f>IF(SER_hh_tesh_in!K18=0,0,SER_hh_tesh_in!K18/SER_summary!K$27)</f>
        <v>24.792053767070101</v>
      </c>
      <c r="L18" s="132">
        <f>IF(SER_hh_tesh_in!L18=0,0,SER_hh_tesh_in!L18/SER_summary!L$27)</f>
        <v>24.714300027421743</v>
      </c>
      <c r="M18" s="132">
        <f>IF(SER_hh_tesh_in!M18=0,0,SER_hh_tesh_in!M18/SER_summary!M$27)</f>
        <v>24.288979172690375</v>
      </c>
      <c r="N18" s="132">
        <f>IF(SER_hh_tesh_in!N18=0,0,SER_hh_tesh_in!N18/SER_summary!N$27)</f>
        <v>23.91382694922352</v>
      </c>
      <c r="O18" s="132">
        <f>IF(SER_hh_tesh_in!O18=0,0,SER_hh_tesh_in!O18/SER_summary!O$27)</f>
        <v>23.4914084841663</v>
      </c>
      <c r="P18" s="132">
        <f>IF(SER_hh_tesh_in!P18=0,0,SER_hh_tesh_in!P18/SER_summary!P$27)</f>
        <v>23.179989188038785</v>
      </c>
      <c r="Q18" s="132">
        <f>IF(SER_hh_tesh_in!Q18=0,0,SER_hh_tesh_in!Q18/SER_summary!Q$27)</f>
        <v>22.748217450749163</v>
      </c>
      <c r="R18" s="132">
        <f>IF(SER_hh_tesh_in!R18=0,0,SER_hh_tesh_in!R18/SER_summary!R$27)</f>
        <v>22.483561909106555</v>
      </c>
      <c r="S18" s="132">
        <f>IF(SER_hh_tesh_in!S18=0,0,SER_hh_tesh_in!S18/SER_summary!S$27)</f>
        <v>22.016076844827587</v>
      </c>
      <c r="T18" s="132">
        <f>IF(SER_hh_tesh_in!T18=0,0,SER_hh_tesh_in!T18/SER_summary!T$27)</f>
        <v>22.284366172335208</v>
      </c>
      <c r="U18" s="132">
        <f>IF(SER_hh_tesh_in!U18=0,0,SER_hh_tesh_in!U18/SER_summary!U$27)</f>
        <v>20.98101327526873</v>
      </c>
      <c r="V18" s="132">
        <f>IF(SER_hh_tesh_in!V18=0,0,SER_hh_tesh_in!V18/SER_summary!V$27)</f>
        <v>19.171736686130895</v>
      </c>
      <c r="W18" s="132">
        <f>IF(SER_hh_tesh_in!W18=0,0,SER_hh_tesh_in!W18/SER_summary!W$27)</f>
        <v>18.314001481917192</v>
      </c>
      <c r="X18" s="132">
        <f>IF(SER_hh_tesh_in!X18=0,0,SER_hh_tesh_in!X18/SER_summary!X$27)</f>
        <v>18.827038878406967</v>
      </c>
      <c r="Y18" s="132">
        <f>IF(SER_hh_tesh_in!Y18=0,0,SER_hh_tesh_in!Y18/SER_summary!Y$27)</f>
        <v>18.370071589380881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10.511091450939904</v>
      </c>
      <c r="D19" s="130">
        <f>IF(SER_hh_tesh_in!D19=0,0,SER_hh_tesh_in!D19/SER_summary!D$27)</f>
        <v>10.342951279448027</v>
      </c>
      <c r="E19" s="130">
        <f>IF(SER_hh_tesh_in!E19=0,0,SER_hh_tesh_in!E19/SER_summary!E$27)</f>
        <v>10.341308854561298</v>
      </c>
      <c r="F19" s="130">
        <f>IF(SER_hh_tesh_in!F19=0,0,SER_hh_tesh_in!F19/SER_summary!F$27)</f>
        <v>10.198372386861784</v>
      </c>
      <c r="G19" s="130">
        <f>IF(SER_hh_tesh_in!G19=0,0,SER_hh_tesh_in!G19/SER_summary!G$27)</f>
        <v>10.192924171382963</v>
      </c>
      <c r="H19" s="130">
        <f>IF(SER_hh_tesh_in!H19=0,0,SER_hh_tesh_in!H19/SER_summary!H$27)</f>
        <v>10.220470555858197</v>
      </c>
      <c r="I19" s="130">
        <f>IF(SER_hh_tesh_in!I19=0,0,SER_hh_tesh_in!I19/SER_summary!I$27)</f>
        <v>10.120609551255747</v>
      </c>
      <c r="J19" s="130">
        <f>IF(SER_hh_tesh_in!J19=0,0,SER_hh_tesh_in!J19/SER_summary!J$27)</f>
        <v>10.086526026510814</v>
      </c>
      <c r="K19" s="130">
        <f>IF(SER_hh_tesh_in!K19=0,0,SER_hh_tesh_in!K19/SER_summary!K$27)</f>
        <v>10.062400676838909</v>
      </c>
      <c r="L19" s="130">
        <f>IF(SER_hh_tesh_in!L19=0,0,SER_hh_tesh_in!L19/SER_summary!L$27)</f>
        <v>10.044137409969759</v>
      </c>
      <c r="M19" s="130">
        <f>IF(SER_hh_tesh_in!M19=0,0,SER_hh_tesh_in!M19/SER_summary!M$27)</f>
        <v>10.159544929361994</v>
      </c>
      <c r="N19" s="130">
        <f>IF(SER_hh_tesh_in!N19=0,0,SER_hh_tesh_in!N19/SER_summary!N$27)</f>
        <v>10.211070596091387</v>
      </c>
      <c r="O19" s="130">
        <f>IF(SER_hh_tesh_in!O19=0,0,SER_hh_tesh_in!O19/SER_summary!O$27)</f>
        <v>10.210530865702335</v>
      </c>
      <c r="P19" s="130">
        <f>IF(SER_hh_tesh_in!P19=0,0,SER_hh_tesh_in!P19/SER_summary!P$27)</f>
        <v>10.218496285507975</v>
      </c>
      <c r="Q19" s="130">
        <f>IF(SER_hh_tesh_in!Q19=0,0,SER_hh_tesh_in!Q19/SER_summary!Q$27)</f>
        <v>10.330298844574866</v>
      </c>
      <c r="R19" s="130">
        <f>IF(SER_hh_tesh_in!R19=0,0,SER_hh_tesh_in!R19/SER_summary!R$27)</f>
        <v>10.251128508481864</v>
      </c>
      <c r="S19" s="130">
        <f>IF(SER_hh_tesh_in!S19=0,0,SER_hh_tesh_in!S19/SER_summary!S$27)</f>
        <v>10.26505354079165</v>
      </c>
      <c r="T19" s="130">
        <f>IF(SER_hh_tesh_in!T19=0,0,SER_hh_tesh_in!T19/SER_summary!T$27)</f>
        <v>10.171195760958931</v>
      </c>
      <c r="U19" s="130">
        <f>IF(SER_hh_tesh_in!U19=0,0,SER_hh_tesh_in!U19/SER_summary!U$27)</f>
        <v>9.8917252540240419</v>
      </c>
      <c r="V19" s="130">
        <f>IF(SER_hh_tesh_in!V19=0,0,SER_hh_tesh_in!V19/SER_summary!V$27)</f>
        <v>8.6554776872551855</v>
      </c>
      <c r="W19" s="130">
        <f>IF(SER_hh_tesh_in!W19=0,0,SER_hh_tesh_in!W19/SER_summary!W$27)</f>
        <v>8.943585417134301</v>
      </c>
      <c r="X19" s="130">
        <f>IF(SER_hh_tesh_in!X19=0,0,SER_hh_tesh_in!X19/SER_summary!X$27)</f>
        <v>9.4432226316614916</v>
      </c>
      <c r="Y19" s="130">
        <f>IF(SER_hh_tesh_in!Y19=0,0,SER_hh_tesh_in!Y19/SER_summary!Y$27)</f>
        <v>9.9299722317761976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10.291718050322807</v>
      </c>
      <c r="D22" s="132">
        <f>IF(SER_hh_tesh_in!D22=0,0,SER_hh_tesh_in!D22/SER_summary!D$27)</f>
        <v>10.219456743176419</v>
      </c>
      <c r="E22" s="132">
        <f>IF(SER_hh_tesh_in!E22=0,0,SER_hh_tesh_in!E22/SER_summary!E$27)</f>
        <v>10.176025358241922</v>
      </c>
      <c r="F22" s="132">
        <f>IF(SER_hh_tesh_in!F22=0,0,SER_hh_tesh_in!F22/SER_summary!F$27)</f>
        <v>10.279464521318426</v>
      </c>
      <c r="G22" s="132">
        <f>IF(SER_hh_tesh_in!G22=0,0,SER_hh_tesh_in!G22/SER_summary!G$27)</f>
        <v>10.174950272726194</v>
      </c>
      <c r="H22" s="132">
        <f>IF(SER_hh_tesh_in!H22=0,0,SER_hh_tesh_in!H22/SER_summary!H$27)</f>
        <v>10.014282668635449</v>
      </c>
      <c r="I22" s="132">
        <f>IF(SER_hh_tesh_in!I22=0,0,SER_hh_tesh_in!I22/SER_summary!I$27)</f>
        <v>9.5870441984206529</v>
      </c>
      <c r="J22" s="132">
        <f>IF(SER_hh_tesh_in!J22=0,0,SER_hh_tesh_in!J22/SER_summary!J$27)</f>
        <v>9.8863683161881237</v>
      </c>
      <c r="K22" s="132">
        <f>IF(SER_hh_tesh_in!K22=0,0,SER_hh_tesh_in!K22/SER_summary!K$27)</f>
        <v>10.120013806453793</v>
      </c>
      <c r="L22" s="132">
        <f>IF(SER_hh_tesh_in!L22=0,0,SER_hh_tesh_in!L22/SER_summary!L$27)</f>
        <v>9.4902840899733629</v>
      </c>
      <c r="M22" s="132">
        <f>IF(SER_hh_tesh_in!M22=0,0,SER_hh_tesh_in!M22/SER_summary!M$27)</f>
        <v>9.5647858020252166</v>
      </c>
      <c r="N22" s="132">
        <f>IF(SER_hh_tesh_in!N22=0,0,SER_hh_tesh_in!N22/SER_summary!N$27)</f>
        <v>10.010336147309184</v>
      </c>
      <c r="O22" s="132">
        <f>IF(SER_hh_tesh_in!O22=0,0,SER_hh_tesh_in!O22/SER_summary!O$27)</f>
        <v>10.016798623508992</v>
      </c>
      <c r="P22" s="132">
        <f>IF(SER_hh_tesh_in!P22=0,0,SER_hh_tesh_in!P22/SER_summary!P$27)</f>
        <v>10.308351214198444</v>
      </c>
      <c r="Q22" s="132">
        <f>IF(SER_hh_tesh_in!Q22=0,0,SER_hh_tesh_in!Q22/SER_summary!Q$27)</f>
        <v>10.135397885825624</v>
      </c>
      <c r="R22" s="132">
        <f>IF(SER_hh_tesh_in!R22=0,0,SER_hh_tesh_in!R22/SER_summary!R$27)</f>
        <v>10.565878826919501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0</v>
      </c>
      <c r="X22" s="132">
        <f>IF(SER_hh_tesh_in!X22=0,0,SER_hh_tesh_in!X22/SER_summary!X$27)</f>
        <v>10.413717358262502</v>
      </c>
      <c r="Y22" s="132">
        <f>IF(SER_hh_tesh_in!Y22=0,0,SER_hh_tesh_in!Y22/SER_summary!Y$27)</f>
        <v>7.9346095351179438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10.158697044962272</v>
      </c>
      <c r="D23" s="132">
        <f>IF(SER_hh_tesh_in!D23=0,0,SER_hh_tesh_in!D23/SER_summary!D$27)</f>
        <v>9.821790868517958</v>
      </c>
      <c r="E23" s="132">
        <f>IF(SER_hh_tesh_in!E23=0,0,SER_hh_tesh_in!E23/SER_summary!E$27)</f>
        <v>10.513444868641239</v>
      </c>
      <c r="F23" s="132">
        <f>IF(SER_hh_tesh_in!F23=0,0,SER_hh_tesh_in!F23/SER_summary!F$27)</f>
        <v>9.9408769482616446</v>
      </c>
      <c r="G23" s="132">
        <f>IF(SER_hh_tesh_in!G23=0,0,SER_hh_tesh_in!G23/SER_summary!G$27)</f>
        <v>10.077965659024942</v>
      </c>
      <c r="H23" s="132">
        <f>IF(SER_hh_tesh_in!H23=0,0,SER_hh_tesh_in!H23/SER_summary!H$27)</f>
        <v>10.379666739116033</v>
      </c>
      <c r="I23" s="132">
        <f>IF(SER_hh_tesh_in!I23=0,0,SER_hh_tesh_in!I23/SER_summary!I$27)</f>
        <v>10.087337177032506</v>
      </c>
      <c r="J23" s="132">
        <f>IF(SER_hh_tesh_in!J23=0,0,SER_hh_tesh_in!J23/SER_summary!J$27)</f>
        <v>9.9090893618513824</v>
      </c>
      <c r="K23" s="132">
        <f>IF(SER_hh_tesh_in!K23=0,0,SER_hh_tesh_in!K23/SER_summary!K$27)</f>
        <v>10.044717292042764</v>
      </c>
      <c r="L23" s="132">
        <f>IF(SER_hh_tesh_in!L23=0,0,SER_hh_tesh_in!L23/SER_summary!L$27)</f>
        <v>9.0018066747360557</v>
      </c>
      <c r="M23" s="132">
        <f>IF(SER_hh_tesh_in!M23=0,0,SER_hh_tesh_in!M23/SER_summary!M$27)</f>
        <v>9.5442088037941168</v>
      </c>
      <c r="N23" s="132">
        <f>IF(SER_hh_tesh_in!N23=0,0,SER_hh_tesh_in!N23/SER_summary!N$27)</f>
        <v>10.029078492425276</v>
      </c>
      <c r="O23" s="132">
        <f>IF(SER_hh_tesh_in!O23=0,0,SER_hh_tesh_in!O23/SER_summary!O$27)</f>
        <v>10.205841905372013</v>
      </c>
      <c r="P23" s="132">
        <f>IF(SER_hh_tesh_in!P23=0,0,SER_hh_tesh_in!P23/SER_summary!P$27)</f>
        <v>9.3815921609320085</v>
      </c>
      <c r="Q23" s="132">
        <f>IF(SER_hh_tesh_in!Q23=0,0,SER_hh_tesh_in!Q23/SER_summary!Q$27)</f>
        <v>10.157664420411225</v>
      </c>
      <c r="R23" s="132">
        <f>IF(SER_hh_tesh_in!R23=0,0,SER_hh_tesh_in!R23/SER_summary!R$27)</f>
        <v>10.297080434891079</v>
      </c>
      <c r="S23" s="132">
        <f>IF(SER_hh_tesh_in!S23=0,0,SER_hh_tesh_in!S23/SER_summary!S$27)</f>
        <v>10.453371211006949</v>
      </c>
      <c r="T23" s="132">
        <f>IF(SER_hh_tesh_in!T23=0,0,SER_hh_tesh_in!T23/SER_summary!T$27)</f>
        <v>10.039790321291587</v>
      </c>
      <c r="U23" s="132">
        <f>IF(SER_hh_tesh_in!U23=0,0,SER_hh_tesh_in!U23/SER_summary!U$27)</f>
        <v>10.432404463017535</v>
      </c>
      <c r="V23" s="132">
        <f>IF(SER_hh_tesh_in!V23=0,0,SER_hh_tesh_in!V23/SER_summary!V$27)</f>
        <v>7.0250747166599989</v>
      </c>
      <c r="W23" s="132">
        <f>IF(SER_hh_tesh_in!W23=0,0,SER_hh_tesh_in!W23/SER_summary!W$27)</f>
        <v>10.128792343042585</v>
      </c>
      <c r="X23" s="132">
        <f>IF(SER_hh_tesh_in!X23=0,0,SER_hh_tesh_in!X23/SER_summary!X$27)</f>
        <v>8.8967832003547009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10.504684041482255</v>
      </c>
      <c r="D24" s="132">
        <f>IF(SER_hh_tesh_in!D24=0,0,SER_hh_tesh_in!D24/SER_summary!D$27)</f>
        <v>10.383689862139493</v>
      </c>
      <c r="E24" s="132">
        <f>IF(SER_hh_tesh_in!E24=0,0,SER_hh_tesh_in!E24/SER_summary!E$27)</f>
        <v>10.145401420114782</v>
      </c>
      <c r="F24" s="132">
        <f>IF(SER_hh_tesh_in!F24=0,0,SER_hh_tesh_in!F24/SER_summary!F$27)</f>
        <v>10.032353991461504</v>
      </c>
      <c r="G24" s="132">
        <f>IF(SER_hh_tesh_in!G24=0,0,SER_hh_tesh_in!G24/SER_summary!G$27)</f>
        <v>10.039440157884885</v>
      </c>
      <c r="H24" s="132">
        <f>IF(SER_hh_tesh_in!H24=0,0,SER_hh_tesh_in!H24/SER_summary!H$27)</f>
        <v>10.044401020145756</v>
      </c>
      <c r="I24" s="132">
        <f>IF(SER_hh_tesh_in!I24=0,0,SER_hh_tesh_in!I24/SER_summary!I$27)</f>
        <v>10.004145729393398</v>
      </c>
      <c r="J24" s="132">
        <f>IF(SER_hh_tesh_in!J24=0,0,SER_hh_tesh_in!J24/SER_summary!J$27)</f>
        <v>9.8857180807932963</v>
      </c>
      <c r="K24" s="132">
        <f>IF(SER_hh_tesh_in!K24=0,0,SER_hh_tesh_in!K24/SER_summary!K$27)</f>
        <v>9.914255542641957</v>
      </c>
      <c r="L24" s="132">
        <f>IF(SER_hh_tesh_in!L24=0,0,SER_hh_tesh_in!L24/SER_summary!L$27)</f>
        <v>9.4041364773261282</v>
      </c>
      <c r="M24" s="132">
        <f>IF(SER_hh_tesh_in!M24=0,0,SER_hh_tesh_in!M24/SER_summary!M$27)</f>
        <v>10.10581610512102</v>
      </c>
      <c r="N24" s="132">
        <f>IF(SER_hh_tesh_in!N24=0,0,SER_hh_tesh_in!N24/SER_summary!N$27)</f>
        <v>10.301247520011239</v>
      </c>
      <c r="O24" s="132">
        <f>IF(SER_hh_tesh_in!O24=0,0,SER_hh_tesh_in!O24/SER_summary!O$27)</f>
        <v>9.5936029842332129</v>
      </c>
      <c r="P24" s="132">
        <f>IF(SER_hh_tesh_in!P24=0,0,SER_hh_tesh_in!P24/SER_summary!P$27)</f>
        <v>10.007700350590758</v>
      </c>
      <c r="Q24" s="132">
        <f>IF(SER_hh_tesh_in!Q24=0,0,SER_hh_tesh_in!Q24/SER_summary!Q$27)</f>
        <v>9.6530976607488128</v>
      </c>
      <c r="R24" s="132">
        <f>IF(SER_hh_tesh_in!R24=0,0,SER_hh_tesh_in!R24/SER_summary!R$27)</f>
        <v>10.27864616490306</v>
      </c>
      <c r="S24" s="132">
        <f>IF(SER_hh_tesh_in!S24=0,0,SER_hh_tesh_in!S24/SER_summary!S$27)</f>
        <v>10.543810127098238</v>
      </c>
      <c r="T24" s="132">
        <f>IF(SER_hh_tesh_in!T24=0,0,SER_hh_tesh_in!T24/SER_summary!T$27)</f>
        <v>10.309039693048987</v>
      </c>
      <c r="U24" s="132">
        <f>IF(SER_hh_tesh_in!U24=0,0,SER_hh_tesh_in!U24/SER_summary!U$27)</f>
        <v>9.8039646597136318</v>
      </c>
      <c r="V24" s="132">
        <f>IF(SER_hh_tesh_in!V24=0,0,SER_hh_tesh_in!V24/SER_summary!V$27)</f>
        <v>8.0213998844405516</v>
      </c>
      <c r="W24" s="132">
        <f>IF(SER_hh_tesh_in!W24=0,0,SER_hh_tesh_in!W24/SER_summary!W$27)</f>
        <v>9.6908996411933792</v>
      </c>
      <c r="X24" s="132">
        <f>IF(SER_hh_tesh_in!X24=0,0,SER_hh_tesh_in!X24/SER_summary!X$27)</f>
        <v>9.1049929750736744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10.464283330625856</v>
      </c>
      <c r="D25" s="132">
        <f>IF(SER_hh_tesh_in!D25=0,0,SER_hh_tesh_in!D25/SER_summary!D$27)</f>
        <v>10.301538089196773</v>
      </c>
      <c r="E25" s="132">
        <f>IF(SER_hh_tesh_in!E25=0,0,SER_hh_tesh_in!E25/SER_summary!E$27)</f>
        <v>10.179896896751597</v>
      </c>
      <c r="F25" s="132">
        <f>IF(SER_hh_tesh_in!F25=0,0,SER_hh_tesh_in!F25/SER_summary!F$27)</f>
        <v>10.121607273786948</v>
      </c>
      <c r="G25" s="132">
        <f>IF(SER_hh_tesh_in!G25=0,0,SER_hh_tesh_in!G25/SER_summary!G$27)</f>
        <v>10.053908037445463</v>
      </c>
      <c r="H25" s="132">
        <f>IF(SER_hh_tesh_in!H25=0,0,SER_hh_tesh_in!H25/SER_summary!H$27)</f>
        <v>9.9852414433705707</v>
      </c>
      <c r="I25" s="132">
        <f>IF(SER_hh_tesh_in!I25=0,0,SER_hh_tesh_in!I25/SER_summary!I$27)</f>
        <v>9.8488154519859084</v>
      </c>
      <c r="J25" s="132">
        <f>IF(SER_hh_tesh_in!J25=0,0,SER_hh_tesh_in!J25/SER_summary!J$27)</f>
        <v>9.7707441883798101</v>
      </c>
      <c r="K25" s="132">
        <f>IF(SER_hh_tesh_in!K25=0,0,SER_hh_tesh_in!K25/SER_summary!K$27)</f>
        <v>9.8627320532599398</v>
      </c>
      <c r="L25" s="132">
        <f>IF(SER_hh_tesh_in!L25=0,0,SER_hh_tesh_in!L25/SER_summary!L$27)</f>
        <v>9.5947449365285848</v>
      </c>
      <c r="M25" s="132">
        <f>IF(SER_hh_tesh_in!M25=0,0,SER_hh_tesh_in!M25/SER_summary!M$27)</f>
        <v>10.177059572669926</v>
      </c>
      <c r="N25" s="132">
        <f>IF(SER_hh_tesh_in!N25=0,0,SER_hh_tesh_in!N25/SER_summary!N$27)</f>
        <v>10.105466378139239</v>
      </c>
      <c r="O25" s="132">
        <f>IF(SER_hh_tesh_in!O25=0,0,SER_hh_tesh_in!O25/SER_summary!O$27)</f>
        <v>9.8296424095372181</v>
      </c>
      <c r="P25" s="132">
        <f>IF(SER_hh_tesh_in!P25=0,0,SER_hh_tesh_in!P25/SER_summary!P$27)</f>
        <v>10.341096007638752</v>
      </c>
      <c r="Q25" s="132">
        <f>IF(SER_hh_tesh_in!Q25=0,0,SER_hh_tesh_in!Q25/SER_summary!Q$27)</f>
        <v>10.060169290527078</v>
      </c>
      <c r="R25" s="132">
        <f>IF(SER_hh_tesh_in!R25=0,0,SER_hh_tesh_in!R25/SER_summary!R$27)</f>
        <v>10.182934862724062</v>
      </c>
      <c r="S25" s="132">
        <f>IF(SER_hh_tesh_in!S25=0,0,SER_hh_tesh_in!S25/SER_summary!S$27)</f>
        <v>10.062913702034923</v>
      </c>
      <c r="T25" s="132">
        <f>IF(SER_hh_tesh_in!T25=0,0,SER_hh_tesh_in!T25/SER_summary!T$27)</f>
        <v>9.7085586969216191</v>
      </c>
      <c r="U25" s="132">
        <f>IF(SER_hh_tesh_in!U25=0,0,SER_hh_tesh_in!U25/SER_summary!U$27)</f>
        <v>9.5605229200388067</v>
      </c>
      <c r="V25" s="132">
        <f>IF(SER_hh_tesh_in!V25=0,0,SER_hh_tesh_in!V25/SER_summary!V$27)</f>
        <v>7.8325141871764741</v>
      </c>
      <c r="W25" s="132">
        <f>IF(SER_hh_tesh_in!W25=0,0,SER_hh_tesh_in!W25/SER_summary!W$27)</f>
        <v>8.7651228215120369</v>
      </c>
      <c r="X25" s="132">
        <f>IF(SER_hh_tesh_in!X25=0,0,SER_hh_tesh_in!X25/SER_summary!X$27)</f>
        <v>9.4170199474564562</v>
      </c>
      <c r="Y25" s="132">
        <f>IF(SER_hh_tesh_in!Y25=0,0,SER_hh_tesh_in!Y25/SER_summary!Y$27)</f>
        <v>9.0101721037450488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9.2481003643342419</v>
      </c>
      <c r="D26" s="65">
        <f>IF(SER_hh_tesh_in!D26=0,0,SER_hh_tesh_in!D26/SER_summary!D$27)</f>
        <v>8.9834982381596582</v>
      </c>
      <c r="E26" s="65">
        <f>IF(SER_hh_tesh_in!E26=0,0,SER_hh_tesh_in!E26/SER_summary!E$27)</f>
        <v>9.1217071886977408</v>
      </c>
      <c r="F26" s="65">
        <f>IF(SER_hh_tesh_in!F26=0,0,SER_hh_tesh_in!F26/SER_summary!F$27)</f>
        <v>8.8173980810344119</v>
      </c>
      <c r="G26" s="65">
        <f>IF(SER_hh_tesh_in!G26=0,0,SER_hh_tesh_in!G26/SER_summary!G$27)</f>
        <v>8.3911581324658524</v>
      </c>
      <c r="H26" s="65">
        <f>IF(SER_hh_tesh_in!H26=0,0,SER_hh_tesh_in!H26/SER_summary!H$27)</f>
        <v>8.8521405596990679</v>
      </c>
      <c r="I26" s="65">
        <f>IF(SER_hh_tesh_in!I26=0,0,SER_hh_tesh_in!I26/SER_summary!I$27)</f>
        <v>8.9663731837913954</v>
      </c>
      <c r="J26" s="65">
        <f>IF(SER_hh_tesh_in!J26=0,0,SER_hh_tesh_in!J26/SER_summary!J$27)</f>
        <v>8.2979875419647886</v>
      </c>
      <c r="K26" s="65">
        <f>IF(SER_hh_tesh_in!K26=0,0,SER_hh_tesh_in!K26/SER_summary!K$27)</f>
        <v>9.4984221851564534</v>
      </c>
      <c r="L26" s="65">
        <f>IF(SER_hh_tesh_in!L26=0,0,SER_hh_tesh_in!L26/SER_summary!L$27)</f>
        <v>5.0082732035681028</v>
      </c>
      <c r="M26" s="65">
        <f>IF(SER_hh_tesh_in!M26=0,0,SER_hh_tesh_in!M26/SER_summary!M$27)</f>
        <v>6.9283193076392928</v>
      </c>
      <c r="N26" s="65">
        <f>IF(SER_hh_tesh_in!N26=0,0,SER_hh_tesh_in!N26/SER_summary!N$27)</f>
        <v>7.409612435987972</v>
      </c>
      <c r="O26" s="65">
        <f>IF(SER_hh_tesh_in!O26=0,0,SER_hh_tesh_in!O26/SER_summary!O$27)</f>
        <v>5.8920713697194955</v>
      </c>
      <c r="P26" s="65">
        <f>IF(SER_hh_tesh_in!P26=0,0,SER_hh_tesh_in!P26/SER_summary!P$27)</f>
        <v>10.420038553583296</v>
      </c>
      <c r="Q26" s="65">
        <f>IF(SER_hh_tesh_in!Q26=0,0,SER_hh_tesh_in!Q26/SER_summary!Q$27)</f>
        <v>5.5052417266368003</v>
      </c>
      <c r="R26" s="65">
        <f>IF(SER_hh_tesh_in!R26=0,0,SER_hh_tesh_in!R26/SER_summary!R$27)</f>
        <v>5.7271436306286132</v>
      </c>
      <c r="S26" s="65">
        <f>IF(SER_hh_tesh_in!S26=0,0,SER_hh_tesh_in!S26/SER_summary!S$27)</f>
        <v>9.5516538866395244</v>
      </c>
      <c r="T26" s="65">
        <f>IF(SER_hh_tesh_in!T26=0,0,SER_hh_tesh_in!T26/SER_summary!T$27)</f>
        <v>5.0374005698783098</v>
      </c>
      <c r="U26" s="65">
        <f>IF(SER_hh_tesh_in!U26=0,0,SER_hh_tesh_in!U26/SER_summary!U$27)</f>
        <v>5.7185483873319578</v>
      </c>
      <c r="V26" s="65">
        <f>IF(SER_hh_tesh_in!V26=0,0,SER_hh_tesh_in!V26/SER_summary!V$27)</f>
        <v>0</v>
      </c>
      <c r="W26" s="65">
        <f>IF(SER_hh_tesh_in!W26=0,0,SER_hh_tesh_in!W26/SER_summary!W$27)</f>
        <v>9.7449980759274535</v>
      </c>
      <c r="X26" s="65">
        <f>IF(SER_hh_tesh_in!X26=0,0,SER_hh_tesh_in!X26/SER_summary!X$27)</f>
        <v>10.105358617732346</v>
      </c>
      <c r="Y26" s="65">
        <f>IF(SER_hh_tesh_in!Y26=0,0,SER_hh_tesh_in!Y26/SER_summary!Y$27)</f>
        <v>0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0.35950320075406383</v>
      </c>
      <c r="D27" s="145">
        <f>IF(SER_hh_tesh_in!D27=0,0,SER_hh_tesh_in!D27/SER_summary!D$27)</f>
        <v>0.44675067442674105</v>
      </c>
      <c r="E27" s="145">
        <f>IF(SER_hh_tesh_in!E27=0,0,SER_hh_tesh_in!E27/SER_summary!E$27)</f>
        <v>0.35033632892980698</v>
      </c>
      <c r="F27" s="145">
        <f>IF(SER_hh_tesh_in!F27=0,0,SER_hh_tesh_in!F27/SER_summary!F$27)</f>
        <v>0.50451634021716096</v>
      </c>
      <c r="G27" s="145">
        <f>IF(SER_hh_tesh_in!G27=0,0,SER_hh_tesh_in!G27/SER_summary!G$27)</f>
        <v>0.67638877421754673</v>
      </c>
      <c r="H27" s="145">
        <f>IF(SER_hh_tesh_in!H27=0,0,SER_hh_tesh_in!H27/SER_summary!H$27)</f>
        <v>0.58885716257061615</v>
      </c>
      <c r="I27" s="145">
        <f>IF(SER_hh_tesh_in!I27=0,0,SER_hh_tesh_in!I27/SER_summary!I$27)</f>
        <v>0.50109696785511992</v>
      </c>
      <c r="J27" s="145">
        <f>IF(SER_hh_tesh_in!J27=0,0,SER_hh_tesh_in!J27/SER_summary!J$27)</f>
        <v>0.62465448648850741</v>
      </c>
      <c r="K27" s="145">
        <f>IF(SER_hh_tesh_in!K27=0,0,SER_hh_tesh_in!K27/SER_summary!K$27)</f>
        <v>0.2333838932201471</v>
      </c>
      <c r="L27" s="145">
        <f>IF(SER_hh_tesh_in!L27=0,0,SER_hh_tesh_in!L27/SER_summary!L$27)</f>
        <v>1.2329525239650689</v>
      </c>
      <c r="M27" s="145">
        <f>IF(SER_hh_tesh_in!M27=0,0,SER_hh_tesh_in!M27/SER_summary!M$27)</f>
        <v>1.103107117700981</v>
      </c>
      <c r="N27" s="145">
        <f>IF(SER_hh_tesh_in!N27=0,0,SER_hh_tesh_in!N27/SER_summary!N$27)</f>
        <v>1.054082454740678</v>
      </c>
      <c r="O27" s="145">
        <f>IF(SER_hh_tesh_in!O27=0,0,SER_hh_tesh_in!O27/SER_summary!O$27)</f>
        <v>1.4941737767529284</v>
      </c>
      <c r="P27" s="145">
        <f>IF(SER_hh_tesh_in!P27=0,0,SER_hh_tesh_in!P27/SER_summary!P$27)</f>
        <v>7.109576975884984E-15</v>
      </c>
      <c r="Q27" s="145">
        <f>IF(SER_hh_tesh_in!Q27=0,0,SER_hh_tesh_in!Q27/SER_summary!Q$27)</f>
        <v>0.65216761636036924</v>
      </c>
      <c r="R27" s="145">
        <f>IF(SER_hh_tesh_in!R27=0,0,SER_hh_tesh_in!R27/SER_summary!R$27)</f>
        <v>0.62300809656957634</v>
      </c>
      <c r="S27" s="145">
        <f>IF(SER_hh_tesh_in!S27=0,0,SER_hh_tesh_in!S27/SER_summary!S$27)</f>
        <v>0.19593827430341587</v>
      </c>
      <c r="T27" s="145">
        <f>IF(SER_hh_tesh_in!T27=0,0,SER_hh_tesh_in!T27/SER_summary!T$27)</f>
        <v>0.74966229902569281</v>
      </c>
      <c r="U27" s="145">
        <f>IF(SER_hh_tesh_in!U27=0,0,SER_hh_tesh_in!U27/SER_summary!U$27)</f>
        <v>0.73017098585885332</v>
      </c>
      <c r="V27" s="145">
        <f>IF(SER_hh_tesh_in!V27=0,0,SER_hh_tesh_in!V27/SER_summary!V$27)</f>
        <v>0.89273031029133465</v>
      </c>
      <c r="W27" s="145">
        <f>IF(SER_hh_tesh_in!W27=0,0,SER_hh_tesh_in!W27/SER_summary!W$27)</f>
        <v>1.4989773034611956E-4</v>
      </c>
      <c r="X27" s="145">
        <f>IF(SER_hh_tesh_in!X27=0,0,SER_hh_tesh_in!X27/SER_summary!X$27)</f>
        <v>4.6427450635426442E-15</v>
      </c>
      <c r="Y27" s="145">
        <f>IF(SER_hh_tesh_in!Y27=0,0,SER_hh_tesh_in!Y27/SER_summary!Y$27)</f>
        <v>0.93211847324966801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4.6324120299953542</v>
      </c>
      <c r="D28" s="146">
        <f>IF(SER_hh_tesh_in!D28=0,0,SER_hh_tesh_in!D28/SER_summary!D$27)</f>
        <v>4.5090001169283864</v>
      </c>
      <c r="E28" s="146">
        <f>IF(SER_hh_tesh_in!E28=0,0,SER_hh_tesh_in!E28/SER_summary!E$27)</f>
        <v>4.5786590749128724</v>
      </c>
      <c r="F28" s="146">
        <f>IF(SER_hh_tesh_in!F28=0,0,SER_hh_tesh_in!F28/SER_summary!F$27)</f>
        <v>4.5547253168183381</v>
      </c>
      <c r="G28" s="146">
        <f>IF(SER_hh_tesh_in!G28=0,0,SER_hh_tesh_in!G28/SER_summary!G$27)</f>
        <v>4.4683003336579397</v>
      </c>
      <c r="H28" s="146">
        <f>IF(SER_hh_tesh_in!H28=0,0,SER_hh_tesh_in!H28/SER_summary!H$27)</f>
        <v>4.4637992201202517</v>
      </c>
      <c r="I28" s="146">
        <f>IF(SER_hh_tesh_in!I28=0,0,SER_hh_tesh_in!I28/SER_summary!I$27)</f>
        <v>4.5289851565896218</v>
      </c>
      <c r="J28" s="146">
        <f>IF(SER_hh_tesh_in!J28=0,0,SER_hh_tesh_in!J28/SER_summary!J$27)</f>
        <v>4.6972456577995878</v>
      </c>
      <c r="K28" s="146">
        <f>IF(SER_hh_tesh_in!K28=0,0,SER_hh_tesh_in!K28/SER_summary!K$27)</f>
        <v>5.1903644656147616</v>
      </c>
      <c r="L28" s="146">
        <f>IF(SER_hh_tesh_in!L28=0,0,SER_hh_tesh_in!L28/SER_summary!L$27)</f>
        <v>4.4506957947319385</v>
      </c>
      <c r="M28" s="146">
        <f>IF(SER_hh_tesh_in!M28=0,0,SER_hh_tesh_in!M28/SER_summary!M$27)</f>
        <v>4.548849002794932</v>
      </c>
      <c r="N28" s="146">
        <f>IF(SER_hh_tesh_in!N28=0,0,SER_hh_tesh_in!N28/SER_summary!N$27)</f>
        <v>4.742673583369152</v>
      </c>
      <c r="O28" s="146">
        <f>IF(SER_hh_tesh_in!O28=0,0,SER_hh_tesh_in!O28/SER_summary!O$27)</f>
        <v>4.4172818957529332</v>
      </c>
      <c r="P28" s="146">
        <f>IF(SER_hh_tesh_in!P28=0,0,SER_hh_tesh_in!P28/SER_summary!P$27)</f>
        <v>4.7238406703490696</v>
      </c>
      <c r="Q28" s="146">
        <f>IF(SER_hh_tesh_in!Q28=0,0,SER_hh_tesh_in!Q28/SER_summary!Q$27)</f>
        <v>4.5287572296671428</v>
      </c>
      <c r="R28" s="146">
        <f>IF(SER_hh_tesh_in!R28=0,0,SER_hh_tesh_in!R28/SER_summary!R$27)</f>
        <v>4.5384631081061446</v>
      </c>
      <c r="S28" s="146">
        <f>IF(SER_hh_tesh_in!S28=0,0,SER_hh_tesh_in!S28/SER_summary!S$27)</f>
        <v>4.8982303497797322</v>
      </c>
      <c r="T28" s="146">
        <f>IF(SER_hh_tesh_in!T28=0,0,SER_hh_tesh_in!T28/SER_summary!T$27)</f>
        <v>4.7070868143702755</v>
      </c>
      <c r="U28" s="146">
        <f>IF(SER_hh_tesh_in!U28=0,0,SER_hh_tesh_in!U28/SER_summary!U$27)</f>
        <v>4.5631108349742711</v>
      </c>
      <c r="V28" s="146">
        <f>IF(SER_hh_tesh_in!V28=0,0,SER_hh_tesh_in!V28/SER_summary!V$27)</f>
        <v>3.7993357598673425</v>
      </c>
      <c r="W28" s="146">
        <f>IF(SER_hh_tesh_in!W28=0,0,SER_hh_tesh_in!W28/SER_summary!W$27)</f>
        <v>4.2184001611583195</v>
      </c>
      <c r="X28" s="146">
        <f>IF(SER_hh_tesh_in!X28=0,0,SER_hh_tesh_in!X28/SER_summary!X$27)</f>
        <v>6.3135649670014029</v>
      </c>
      <c r="Y28" s="146">
        <f>IF(SER_hh_tesh_in!Y28=0,0,SER_hh_tesh_in!Y28/SER_summary!Y$27)</f>
        <v>5.0015789961455361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8.9693990553454643</v>
      </c>
      <c r="D29" s="130">
        <f>IF(SER_hh_tesh_in!D29=0,0,SER_hh_tesh_in!D29/SER_summary!D$27)</f>
        <v>9.0071336468579837</v>
      </c>
      <c r="E29" s="130">
        <f>IF(SER_hh_tesh_in!E29=0,0,SER_hh_tesh_in!E29/SER_summary!E$27)</f>
        <v>9.2422611321185943</v>
      </c>
      <c r="F29" s="130">
        <f>IF(SER_hh_tesh_in!F29=0,0,SER_hh_tesh_in!F29/SER_summary!F$27)</f>
        <v>9.3678247962754195</v>
      </c>
      <c r="G29" s="130">
        <f>IF(SER_hh_tesh_in!G29=0,0,SER_hh_tesh_in!G29/SER_summary!G$27)</f>
        <v>9.3987234580580203</v>
      </c>
      <c r="H29" s="130">
        <f>IF(SER_hh_tesh_in!H29=0,0,SER_hh_tesh_in!H29/SER_summary!H$27)</f>
        <v>9.4953869527534938</v>
      </c>
      <c r="I29" s="130">
        <f>IF(SER_hh_tesh_in!I29=0,0,SER_hh_tesh_in!I29/SER_summary!I$27)</f>
        <v>9.3908631394283315</v>
      </c>
      <c r="J29" s="130">
        <f>IF(SER_hh_tesh_in!J29=0,0,SER_hh_tesh_in!J29/SER_summary!J$27)</f>
        <v>9.4725836572681601</v>
      </c>
      <c r="K29" s="130">
        <f>IF(SER_hh_tesh_in!K29=0,0,SER_hh_tesh_in!K29/SER_summary!K$27)</f>
        <v>9.4845326593697337</v>
      </c>
      <c r="L29" s="130">
        <f>IF(SER_hh_tesh_in!L29=0,0,SER_hh_tesh_in!L29/SER_summary!L$27)</f>
        <v>9.4620985400347291</v>
      </c>
      <c r="M29" s="130">
        <f>IF(SER_hh_tesh_in!M29=0,0,SER_hh_tesh_in!M29/SER_summary!M$27)</f>
        <v>9.6629855574619352</v>
      </c>
      <c r="N29" s="130">
        <f>IF(SER_hh_tesh_in!N29=0,0,SER_hh_tesh_in!N29/SER_summary!N$27)</f>
        <v>9.7652195663110177</v>
      </c>
      <c r="O29" s="130">
        <f>IF(SER_hh_tesh_in!O29=0,0,SER_hh_tesh_in!O29/SER_summary!O$27)</f>
        <v>9.7294897962251277</v>
      </c>
      <c r="P29" s="130">
        <f>IF(SER_hh_tesh_in!P29=0,0,SER_hh_tesh_in!P29/SER_summary!P$27)</f>
        <v>9.474406025125429</v>
      </c>
      <c r="Q29" s="130">
        <f>IF(SER_hh_tesh_in!Q29=0,0,SER_hh_tesh_in!Q29/SER_summary!Q$27)</f>
        <v>9.5881289213526397</v>
      </c>
      <c r="R29" s="130">
        <f>IF(SER_hh_tesh_in!R29=0,0,SER_hh_tesh_in!R29/SER_summary!R$27)</f>
        <v>9.6680666723321576</v>
      </c>
      <c r="S29" s="130">
        <f>IF(SER_hh_tesh_in!S29=0,0,SER_hh_tesh_in!S29/SER_summary!S$27)</f>
        <v>9.7744623712858782</v>
      </c>
      <c r="T29" s="130">
        <f>IF(SER_hh_tesh_in!T29=0,0,SER_hh_tesh_in!T29/SER_summary!T$27)</f>
        <v>9.5041035163080458</v>
      </c>
      <c r="U29" s="130">
        <f>IF(SER_hh_tesh_in!U29=0,0,SER_hh_tesh_in!U29/SER_summary!U$27)</f>
        <v>9.4652944591909058</v>
      </c>
      <c r="V29" s="130">
        <f>IF(SER_hh_tesh_in!V29=0,0,SER_hh_tesh_in!V29/SER_summary!V$27)</f>
        <v>7.6429473455457044</v>
      </c>
      <c r="W29" s="130">
        <f>IF(SER_hh_tesh_in!W29=0,0,SER_hh_tesh_in!W29/SER_summary!W$27)</f>
        <v>8.1516596535562886</v>
      </c>
      <c r="X29" s="130">
        <f>IF(SER_hh_tesh_in!X29=0,0,SER_hh_tesh_in!X29/SER_summary!X$27)</f>
        <v>7.7984794715132875</v>
      </c>
      <c r="Y29" s="130">
        <f>IF(SER_hh_tesh_in!Y29=0,0,SER_hh_tesh_in!Y29/SER_summary!Y$27)</f>
        <v>7.2881064691369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8.9737585925124428</v>
      </c>
      <c r="D30" s="132">
        <f>IF(SER_hh_tesh_in!D30=0,0,SER_hh_tesh_in!D30/SER_summary!D$27)</f>
        <v>8.0308458574141923</v>
      </c>
      <c r="E30" s="132">
        <f>IF(SER_hh_tesh_in!E30=0,0,SER_hh_tesh_in!E30/SER_summary!E$27)</f>
        <v>9.0113728413353087</v>
      </c>
      <c r="F30" s="132">
        <f>IF(SER_hh_tesh_in!F30=0,0,SER_hh_tesh_in!F30/SER_summary!F$27)</f>
        <v>9.5326654289369941</v>
      </c>
      <c r="G30" s="132">
        <f>IF(SER_hh_tesh_in!G30=0,0,SER_hh_tesh_in!G30/SER_summary!G$27)</f>
        <v>10.06355449119226</v>
      </c>
      <c r="H30" s="132">
        <f>IF(SER_hh_tesh_in!H30=0,0,SER_hh_tesh_in!H30/SER_summary!H$27)</f>
        <v>9.5961835010587517</v>
      </c>
      <c r="I30" s="132">
        <f>IF(SER_hh_tesh_in!I30=0,0,SER_hh_tesh_in!I30/SER_summary!I$27)</f>
        <v>9.4344804238144011</v>
      </c>
      <c r="J30" s="132">
        <f>IF(SER_hh_tesh_in!J30=0,0,SER_hh_tesh_in!J30/SER_summary!J$27)</f>
        <v>9.151533665532579</v>
      </c>
      <c r="K30" s="132">
        <f>IF(SER_hh_tesh_in!K30=0,0,SER_hh_tesh_in!K30/SER_summary!K$27)</f>
        <v>8.7557523317895587</v>
      </c>
      <c r="L30" s="132">
        <f>IF(SER_hh_tesh_in!L30=0,0,SER_hh_tesh_in!L30/SER_summary!L$27)</f>
        <v>10.892877349288963</v>
      </c>
      <c r="M30" s="132">
        <f>IF(SER_hh_tesh_in!M30=0,0,SER_hh_tesh_in!M30/SER_summary!M$27)</f>
        <v>9.7582648172998674</v>
      </c>
      <c r="N30" s="132">
        <f>IF(SER_hh_tesh_in!N30=0,0,SER_hh_tesh_in!N30/SER_summary!N$27)</f>
        <v>9.0685387084516567</v>
      </c>
      <c r="O30" s="132">
        <f>IF(SER_hh_tesh_in!O30=0,0,SER_hh_tesh_in!O30/SER_summary!O$27)</f>
        <v>10.697485378566272</v>
      </c>
      <c r="P30" s="132">
        <f>IF(SER_hh_tesh_in!P30=0,0,SER_hh_tesh_in!P30/SER_summary!P$27)</f>
        <v>5.7008346525966829</v>
      </c>
      <c r="Q30" s="132">
        <f>IF(SER_hh_tesh_in!Q30=0,0,SER_hh_tesh_in!Q30/SER_summary!Q$27)</f>
        <v>10.689043764162937</v>
      </c>
      <c r="R30" s="132">
        <f>IF(SER_hh_tesh_in!R30=0,0,SER_hh_tesh_in!R30/SER_summary!R$27)</f>
        <v>10.283665580449989</v>
      </c>
      <c r="S30" s="132">
        <f>IF(SER_hh_tesh_in!S30=0,0,SER_hh_tesh_in!S30/SER_summary!S$27)</f>
        <v>9.6053172148436641</v>
      </c>
      <c r="T30" s="132">
        <f>IF(SER_hh_tesh_in!T30=0,0,SER_hh_tesh_in!T30/SER_summary!T$27)</f>
        <v>9.6287040607145968</v>
      </c>
      <c r="U30" s="132">
        <f>IF(SER_hh_tesh_in!U30=0,0,SER_hh_tesh_in!U30/SER_summary!U$27)</f>
        <v>9.3261512523977839</v>
      </c>
      <c r="V30" s="132">
        <f>IF(SER_hh_tesh_in!V30=0,0,SER_hh_tesh_in!V30/SER_summary!V$27)</f>
        <v>7.6279793247025722</v>
      </c>
      <c r="W30" s="132">
        <f>IF(SER_hh_tesh_in!W30=0,0,SER_hh_tesh_in!W30/SER_summary!W$27)</f>
        <v>7.6932114255695483</v>
      </c>
      <c r="X30" s="132">
        <f>IF(SER_hh_tesh_in!X30=0,0,SER_hh_tesh_in!X30/SER_summary!X$27)</f>
        <v>7.8019694335002763</v>
      </c>
      <c r="Y30" s="132">
        <f>IF(SER_hh_tesh_in!Y30=0,0,SER_hh_tesh_in!Y30/SER_summary!Y$27)</f>
        <v>7.2507426078179105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8.9464038997164597</v>
      </c>
      <c r="D31" s="132">
        <f>IF(SER_hh_tesh_in!D31=0,0,SER_hh_tesh_in!D31/SER_summary!D$27)</f>
        <v>9.0391051964540736</v>
      </c>
      <c r="E31" s="132">
        <f>IF(SER_hh_tesh_in!E31=0,0,SER_hh_tesh_in!E31/SER_summary!E$27)</f>
        <v>9.182870477856401</v>
      </c>
      <c r="F31" s="132">
        <f>IF(SER_hh_tesh_in!F31=0,0,SER_hh_tesh_in!F31/SER_summary!F$27)</f>
        <v>9.1003438673325778</v>
      </c>
      <c r="G31" s="132">
        <f>IF(SER_hh_tesh_in!G31=0,0,SER_hh_tesh_in!G31/SER_summary!G$27)</f>
        <v>9.5618455004966556</v>
      </c>
      <c r="H31" s="132">
        <f>IF(SER_hh_tesh_in!H31=0,0,SER_hh_tesh_in!H31/SER_summary!H$27)</f>
        <v>9.5507038680860994</v>
      </c>
      <c r="I31" s="132">
        <f>IF(SER_hh_tesh_in!I31=0,0,SER_hh_tesh_in!I31/SER_summary!I$27)</f>
        <v>9.4406313753902094</v>
      </c>
      <c r="J31" s="132">
        <f>IF(SER_hh_tesh_in!J31=0,0,SER_hh_tesh_in!J31/SER_summary!J$27)</f>
        <v>9.4335472377151071</v>
      </c>
      <c r="K31" s="132">
        <f>IF(SER_hh_tesh_in!K31=0,0,SER_hh_tesh_in!K31/SER_summary!K$27)</f>
        <v>9.5786133030139879</v>
      </c>
      <c r="L31" s="132">
        <f>IF(SER_hh_tesh_in!L31=0,0,SER_hh_tesh_in!L31/SER_summary!L$27)</f>
        <v>9.6292257172213152</v>
      </c>
      <c r="M31" s="132">
        <f>IF(SER_hh_tesh_in!M31=0,0,SER_hh_tesh_in!M31/SER_summary!M$27)</f>
        <v>9.6124623293089115</v>
      </c>
      <c r="N31" s="132">
        <f>IF(SER_hh_tesh_in!N31=0,0,SER_hh_tesh_in!N31/SER_summary!N$27)</f>
        <v>9.6975820475291545</v>
      </c>
      <c r="O31" s="132">
        <f>IF(SER_hh_tesh_in!O31=0,0,SER_hh_tesh_in!O31/SER_summary!O$27)</f>
        <v>9.6027362009685646</v>
      </c>
      <c r="P31" s="132">
        <f>IF(SER_hh_tesh_in!P31=0,0,SER_hh_tesh_in!P31/SER_summary!P$27)</f>
        <v>9.1289968208081014</v>
      </c>
      <c r="Q31" s="132">
        <f>IF(SER_hh_tesh_in!Q31=0,0,SER_hh_tesh_in!Q31/SER_summary!Q$27)</f>
        <v>10.038132781276213</v>
      </c>
      <c r="R31" s="132">
        <f>IF(SER_hh_tesh_in!R31=0,0,SER_hh_tesh_in!R31/SER_summary!R$27)</f>
        <v>9.8481545479770087</v>
      </c>
      <c r="S31" s="132">
        <f>IF(SER_hh_tesh_in!S31=0,0,SER_hh_tesh_in!S31/SER_summary!S$27)</f>
        <v>9.0153377502551368</v>
      </c>
      <c r="T31" s="132">
        <f>IF(SER_hh_tesh_in!T31=0,0,SER_hh_tesh_in!T31/SER_summary!T$27)</f>
        <v>9.5994528833307307</v>
      </c>
      <c r="U31" s="132">
        <f>IF(SER_hh_tesh_in!U31=0,0,SER_hh_tesh_in!U31/SER_summary!U$27)</f>
        <v>10.428509504171577</v>
      </c>
      <c r="V31" s="132">
        <f>IF(SER_hh_tesh_in!V31=0,0,SER_hh_tesh_in!V31/SER_summary!V$27)</f>
        <v>6.1428407271168046</v>
      </c>
      <c r="W31" s="132">
        <f>IF(SER_hh_tesh_in!W31=0,0,SER_hh_tesh_in!W31/SER_summary!W$27)</f>
        <v>8.0448979246215426</v>
      </c>
      <c r="X31" s="132">
        <f>IF(SER_hh_tesh_in!X31=0,0,SER_hh_tesh_in!X31/SER_summary!X$27)</f>
        <v>7.1289360618887221</v>
      </c>
      <c r="Y31" s="132">
        <f>IF(SER_hh_tesh_in!Y31=0,0,SER_hh_tesh_in!Y31/SER_summary!Y$27)</f>
        <v>7.6614051968682286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8.9733796854292898</v>
      </c>
      <c r="D33" s="68">
        <f>IF(SER_hh_tesh_in!D33=0,0,SER_hh_tesh_in!D33/SER_summary!D$27)</f>
        <v>9.0458368542349454</v>
      </c>
      <c r="E33" s="68">
        <f>IF(SER_hh_tesh_in!E33=0,0,SER_hh_tesh_in!E33/SER_summary!E$27)</f>
        <v>9.270374338105734</v>
      </c>
      <c r="F33" s="68">
        <f>IF(SER_hh_tesh_in!F33=0,0,SER_hh_tesh_in!F33/SER_summary!F$27)</f>
        <v>9.4169138097053118</v>
      </c>
      <c r="G33" s="68">
        <f>IF(SER_hh_tesh_in!G33=0,0,SER_hh_tesh_in!G33/SER_summary!G$27)</f>
        <v>9.3051309805909632</v>
      </c>
      <c r="H33" s="68">
        <f>IF(SER_hh_tesh_in!H33=0,0,SER_hh_tesh_in!H33/SER_summary!H$27)</f>
        <v>9.4781257909432384</v>
      </c>
      <c r="I33" s="68">
        <f>IF(SER_hh_tesh_in!I33=0,0,SER_hh_tesh_in!I33/SER_summary!I$27)</f>
        <v>9.3795656293867165</v>
      </c>
      <c r="J33" s="68">
        <f>IF(SER_hh_tesh_in!J33=0,0,SER_hh_tesh_in!J33/SER_summary!J$27)</f>
        <v>9.4933045933886664</v>
      </c>
      <c r="K33" s="68">
        <f>IF(SER_hh_tesh_in!K33=0,0,SER_hh_tesh_in!K33/SER_summary!K$27)</f>
        <v>9.4970947056493813</v>
      </c>
      <c r="L33" s="68">
        <f>IF(SER_hh_tesh_in!L33=0,0,SER_hh_tesh_in!L33/SER_summary!L$27)</f>
        <v>9.3528872602741764</v>
      </c>
      <c r="M33" s="68">
        <f>IF(SER_hh_tesh_in!M33=0,0,SER_hh_tesh_in!M33/SER_summary!M$27)</f>
        <v>9.6669183605727973</v>
      </c>
      <c r="N33" s="68">
        <f>IF(SER_hh_tesh_in!N33=0,0,SER_hh_tesh_in!N33/SER_summary!N$27)</f>
        <v>9.7763944686703201</v>
      </c>
      <c r="O33" s="68">
        <f>IF(SER_hh_tesh_in!O33=0,0,SER_hh_tesh_in!O33/SER_summary!O$27)</f>
        <v>9.7138705944202215</v>
      </c>
      <c r="P33" s="68">
        <f>IF(SER_hh_tesh_in!P33=0,0,SER_hh_tesh_in!P33/SER_summary!P$27)</f>
        <v>9.8708668172921978</v>
      </c>
      <c r="Q33" s="68">
        <f>IF(SER_hh_tesh_in!Q33=0,0,SER_hh_tesh_in!Q33/SER_summary!Q$27)</f>
        <v>9.330773499889979</v>
      </c>
      <c r="R33" s="68">
        <f>IF(SER_hh_tesh_in!R33=0,0,SER_hh_tesh_in!R33/SER_summary!R$27)</f>
        <v>9.5653676029912429</v>
      </c>
      <c r="S33" s="68">
        <f>IF(SER_hh_tesh_in!S33=0,0,SER_hh_tesh_in!S33/SER_summary!S$27)</f>
        <v>9.9628362629830978</v>
      </c>
      <c r="T33" s="68">
        <f>IF(SER_hh_tesh_in!T33=0,0,SER_hh_tesh_in!T33/SER_summary!T$27)</f>
        <v>9.4737924344262687</v>
      </c>
      <c r="U33" s="68">
        <f>IF(SER_hh_tesh_in!U33=0,0,SER_hh_tesh_in!U33/SER_summary!U$27)</f>
        <v>9.2002740275426866</v>
      </c>
      <c r="V33" s="68">
        <f>IF(SER_hh_tesh_in!V33=0,0,SER_hh_tesh_in!V33/SER_summary!V$27)</f>
        <v>8.0781411047436791</v>
      </c>
      <c r="W33" s="68">
        <f>IF(SER_hh_tesh_in!W33=0,0,SER_hh_tesh_in!W33/SER_summary!W$27)</f>
        <v>8.25048023823493</v>
      </c>
      <c r="X33" s="68">
        <f>IF(SER_hh_tesh_in!X33=0,0,SER_hh_tesh_in!X33/SER_summary!X$27)</f>
        <v>8.419742241012548</v>
      </c>
      <c r="Y33" s="68">
        <f>IF(SER_hh_tesh_in!Y33=0,0,SER_hh_tesh_in!Y33/SER_summary!Y$27)</f>
        <v>6.2984997649570662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4.5618406192663796</v>
      </c>
      <c r="D3" s="125">
        <f>IF(SER_hh_emih_in!D3=0,0,SER_hh_emih_in!D3/SER_summary!D$27)</f>
        <v>7.9959465917182175</v>
      </c>
      <c r="E3" s="125">
        <f>IF(SER_hh_emih_in!E3=0,0,SER_hh_emih_in!E3/SER_summary!E$27)</f>
        <v>9.386135219656353</v>
      </c>
      <c r="F3" s="125">
        <f>IF(SER_hh_emih_in!F3=0,0,SER_hh_emih_in!F3/SER_summary!F$27)</f>
        <v>8.5243453321322438</v>
      </c>
      <c r="G3" s="125">
        <f>IF(SER_hh_emih_in!G3=0,0,SER_hh_emih_in!G3/SER_summary!G$27)</f>
        <v>7.0020091097284096</v>
      </c>
      <c r="H3" s="125">
        <f>IF(SER_hh_emih_in!H3=0,0,SER_hh_emih_in!H3/SER_summary!H$27)</f>
        <v>5.8658089973802863</v>
      </c>
      <c r="I3" s="125">
        <f>IF(SER_hh_emih_in!I3=0,0,SER_hh_emih_in!I3/SER_summary!I$27)</f>
        <v>3.7774588505665765</v>
      </c>
      <c r="J3" s="125">
        <f>IF(SER_hh_emih_in!J3=0,0,SER_hh_emih_in!J3/SER_summary!J$27)</f>
        <v>4.4401867537678212</v>
      </c>
      <c r="K3" s="125">
        <f>IF(SER_hh_emih_in!K3=0,0,SER_hh_emih_in!K3/SER_summary!K$27)</f>
        <v>3.4262503917297278</v>
      </c>
      <c r="L3" s="125">
        <f>IF(SER_hh_emih_in!L3=0,0,SER_hh_emih_in!L3/SER_summary!L$27)</f>
        <v>2.7833937012202159</v>
      </c>
      <c r="M3" s="125">
        <f>IF(SER_hh_emih_in!M3=0,0,SER_hh_emih_in!M3/SER_summary!M$27)</f>
        <v>3.1835491840021586</v>
      </c>
      <c r="N3" s="125">
        <f>IF(SER_hh_emih_in!N3=0,0,SER_hh_emih_in!N3/SER_summary!N$27)</f>
        <v>5.3614688099503001</v>
      </c>
      <c r="O3" s="125">
        <f>IF(SER_hh_emih_in!O3=0,0,SER_hh_emih_in!O3/SER_summary!O$27)</f>
        <v>5.3026302694578247</v>
      </c>
      <c r="P3" s="125">
        <f>IF(SER_hh_emih_in!P3=0,0,SER_hh_emih_in!P3/SER_summary!P$27)</f>
        <v>3.2793560488124918</v>
      </c>
      <c r="Q3" s="125">
        <f>IF(SER_hh_emih_in!Q3=0,0,SER_hh_emih_in!Q3/SER_summary!Q$27)</f>
        <v>5.6013854333974065</v>
      </c>
      <c r="R3" s="125">
        <f>IF(SER_hh_emih_in!R3=0,0,SER_hh_emih_in!R3/SER_summary!R$27)</f>
        <v>4.4820012157304374</v>
      </c>
      <c r="S3" s="125">
        <f>IF(SER_hh_emih_in!S3=0,0,SER_hh_emih_in!S3/SER_summary!S$27)</f>
        <v>4.0390831054012386</v>
      </c>
      <c r="T3" s="125">
        <f>IF(SER_hh_emih_in!T3=0,0,SER_hh_emih_in!T3/SER_summary!T$27)</f>
        <v>3.0756777329028662</v>
      </c>
      <c r="U3" s="125">
        <f>IF(SER_hh_emih_in!U3=0,0,SER_hh_emih_in!U3/SER_summary!U$27)</f>
        <v>3.5987901646201914</v>
      </c>
      <c r="V3" s="125">
        <f>IF(SER_hh_emih_in!V3=0,0,SER_hh_emih_in!V3/SER_summary!V$27)</f>
        <v>2.7409853811355172</v>
      </c>
      <c r="W3" s="125">
        <f>IF(SER_hh_emih_in!W3=0,0,SER_hh_emih_in!W3/SER_summary!W$27)</f>
        <v>1.9416565928013731</v>
      </c>
      <c r="X3" s="125">
        <f>IF(SER_hh_emih_in!X3=0,0,SER_hh_emih_in!X3/SER_summary!X$27)</f>
        <v>1.9513755037845739</v>
      </c>
      <c r="Y3" s="125">
        <f>IF(SER_hh_emih_in!Y3=0,0,SER_hh_emih_in!Y3/SER_summary!Y$27)</f>
        <v>1.936108814135912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3.4748409492867918</v>
      </c>
      <c r="D4" s="130">
        <f>IF(SER_hh_emih_in!D4=0,0,SER_hh_emih_in!D4/SER_summary!D$27)</f>
        <v>6.6279333642783991</v>
      </c>
      <c r="E4" s="130">
        <f>IF(SER_hh_emih_in!E4=0,0,SER_hh_emih_in!E4/SER_summary!E$27)</f>
        <v>7.767714735339613</v>
      </c>
      <c r="F4" s="130">
        <f>IF(SER_hh_emih_in!F4=0,0,SER_hh_emih_in!F4/SER_summary!F$27)</f>
        <v>6.9643432080481142</v>
      </c>
      <c r="G4" s="130">
        <f>IF(SER_hh_emih_in!G4=0,0,SER_hh_emih_in!G4/SER_summary!G$27)</f>
        <v>5.4009579750817993</v>
      </c>
      <c r="H4" s="130">
        <f>IF(SER_hh_emih_in!H4=0,0,SER_hh_emih_in!H4/SER_summary!H$27)</f>
        <v>4.5842497423138528</v>
      </c>
      <c r="I4" s="130">
        <f>IF(SER_hh_emih_in!I4=0,0,SER_hh_emih_in!I4/SER_summary!I$27)</f>
        <v>2.7420238264795893</v>
      </c>
      <c r="J4" s="130">
        <f>IF(SER_hh_emih_in!J4=0,0,SER_hh_emih_in!J4/SER_summary!J$27)</f>
        <v>3.2691569328966881</v>
      </c>
      <c r="K4" s="130">
        <f>IF(SER_hh_emih_in!K4=0,0,SER_hh_emih_in!K4/SER_summary!K$27)</f>
        <v>2.4036687129085399</v>
      </c>
      <c r="L4" s="130">
        <f>IF(SER_hh_emih_in!L4=0,0,SER_hh_emih_in!L4/SER_summary!L$27)</f>
        <v>1.8540950667945668</v>
      </c>
      <c r="M4" s="130">
        <f>IF(SER_hh_emih_in!M4=0,0,SER_hh_emih_in!M4/SER_summary!M$27)</f>
        <v>2.5846776577110413</v>
      </c>
      <c r="N4" s="130">
        <f>IF(SER_hh_emih_in!N4=0,0,SER_hh_emih_in!N4/SER_summary!N$27)</f>
        <v>4.6114198842197158</v>
      </c>
      <c r="O4" s="130">
        <f>IF(SER_hh_emih_in!O4=0,0,SER_hh_emih_in!O4/SER_summary!O$27)</f>
        <v>4.2295401448605885</v>
      </c>
      <c r="P4" s="130">
        <f>IF(SER_hh_emih_in!P4=0,0,SER_hh_emih_in!P4/SER_summary!P$27)</f>
        <v>2.1583946943465042</v>
      </c>
      <c r="Q4" s="130">
        <f>IF(SER_hh_emih_in!Q4=0,0,SER_hh_emih_in!Q4/SER_summary!Q$27)</f>
        <v>3.8314722402824786</v>
      </c>
      <c r="R4" s="130">
        <f>IF(SER_hh_emih_in!R4=0,0,SER_hh_emih_in!R4/SER_summary!R$27)</f>
        <v>3.0229193811995452</v>
      </c>
      <c r="S4" s="130">
        <f>IF(SER_hh_emih_in!S4=0,0,SER_hh_emih_in!S4/SER_summary!S$27)</f>
        <v>2.7952061938462132</v>
      </c>
      <c r="T4" s="130">
        <f>IF(SER_hh_emih_in!T4=0,0,SER_hh_emih_in!T4/SER_summary!T$27)</f>
        <v>2.0099799992796825</v>
      </c>
      <c r="U4" s="130">
        <f>IF(SER_hh_emih_in!U4=0,0,SER_hh_emih_in!U4/SER_summary!U$27)</f>
        <v>2.5008410306703461</v>
      </c>
      <c r="V4" s="130">
        <f>IF(SER_hh_emih_in!V4=0,0,SER_hh_emih_in!V4/SER_summary!V$27)</f>
        <v>2.0828248280417556</v>
      </c>
      <c r="W4" s="130">
        <f>IF(SER_hh_emih_in!W4=0,0,SER_hh_emih_in!W4/SER_summary!W$27)</f>
        <v>1.1415574819050323</v>
      </c>
      <c r="X4" s="130">
        <f>IF(SER_hh_emih_in!X4=0,0,SER_hh_emih_in!X4/SER_summary!X$27)</f>
        <v>0.97162797451014327</v>
      </c>
      <c r="Y4" s="130">
        <f>IF(SER_hh_emih_in!Y4=0,0,SER_hh_emih_in!Y4/SER_summary!Y$27)</f>
        <v>0.58117600990180807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43.089807589105</v>
      </c>
      <c r="D7" s="132">
        <f>IF(SER_hh_emih_in!D7=0,0,SER_hh_emih_in!D7/SER_summary!D$27)</f>
        <v>40.767476148752102</v>
      </c>
      <c r="E7" s="132">
        <f>IF(SER_hh_emih_in!E7=0,0,SER_hh_emih_in!E7/SER_summary!E$27)</f>
        <v>40.8030981717312</v>
      </c>
      <c r="F7" s="132">
        <f>IF(SER_hh_emih_in!F7=0,0,SER_hh_emih_in!F7/SER_summary!F$27)</f>
        <v>42.33247865365103</v>
      </c>
      <c r="G7" s="132">
        <f>IF(SER_hh_emih_in!G7=0,0,SER_hh_emih_in!G7/SER_summary!G$27)</f>
        <v>38.94833364645929</v>
      </c>
      <c r="H7" s="132">
        <f>IF(SER_hh_emih_in!H7=0,0,SER_hh_emih_in!H7/SER_summary!H$27)</f>
        <v>34.695825496383769</v>
      </c>
      <c r="I7" s="132">
        <f>IF(SER_hh_emih_in!I7=0,0,SER_hh_emih_in!I7/SER_summary!I$27)</f>
        <v>32.290318509412515</v>
      </c>
      <c r="J7" s="132">
        <f>IF(SER_hh_emih_in!J7=0,0,SER_hh_emih_in!J7/SER_summary!J$27)</f>
        <v>33.573430897941194</v>
      </c>
      <c r="K7" s="132">
        <f>IF(SER_hh_emih_in!K7=0,0,SER_hh_emih_in!K7/SER_summary!K$27)</f>
        <v>31.467694142533837</v>
      </c>
      <c r="L7" s="132">
        <f>IF(SER_hh_emih_in!L7=0,0,SER_hh_emih_in!L7/SER_summary!L$27)</f>
        <v>30.963473543409609</v>
      </c>
      <c r="M7" s="132">
        <f>IF(SER_hh_emih_in!M7=0,0,SER_hh_emih_in!M7/SER_summary!M$27)</f>
        <v>23.699976169108297</v>
      </c>
      <c r="N7" s="132">
        <f>IF(SER_hh_emih_in!N7=0,0,SER_hh_emih_in!N7/SER_summary!N$27)</f>
        <v>26.732605090658481</v>
      </c>
      <c r="O7" s="132">
        <f>IF(SER_hh_emih_in!O7=0,0,SER_hh_emih_in!O7/SER_summary!O$27)</f>
        <v>22.673239343026616</v>
      </c>
      <c r="P7" s="132">
        <f>IF(SER_hh_emih_in!P7=0,0,SER_hh_emih_in!P7/SER_summary!P$27)</f>
        <v>18.454450751667853</v>
      </c>
      <c r="Q7" s="132">
        <f>IF(SER_hh_emih_in!Q7=0,0,SER_hh_emih_in!Q7/SER_summary!Q$27)</f>
        <v>18.032677638624822</v>
      </c>
      <c r="R7" s="132">
        <f>IF(SER_hh_emih_in!R7=0,0,SER_hh_emih_in!R7/SER_summary!R$27)</f>
        <v>17.643942533337036</v>
      </c>
      <c r="S7" s="132">
        <f>IF(SER_hh_emih_in!S7=0,0,SER_hh_emih_in!S7/SER_summary!S$27)</f>
        <v>0</v>
      </c>
      <c r="T7" s="132">
        <f>IF(SER_hh_emih_in!T7=0,0,SER_hh_emih_in!T7/SER_summary!T$27)</f>
        <v>18.61028726580448</v>
      </c>
      <c r="U7" s="132">
        <f>IF(SER_hh_emih_in!U7=0,0,SER_hh_emih_in!U7/SER_summary!U$27)</f>
        <v>0</v>
      </c>
      <c r="V7" s="132">
        <f>IF(SER_hh_emih_in!V7=0,0,SER_hh_emih_in!V7/SER_summary!V$27)</f>
        <v>0</v>
      </c>
      <c r="W7" s="132">
        <f>IF(SER_hh_emih_in!W7=0,0,SER_hh_emih_in!W7/SER_summary!W$27)</f>
        <v>0</v>
      </c>
      <c r="X7" s="132">
        <f>IF(SER_hh_emih_in!X7=0,0,SER_hh_emih_in!X7/SER_summary!X$27)</f>
        <v>13.888673240111203</v>
      </c>
      <c r="Y7" s="132">
        <f>IF(SER_hh_emih_in!Y7=0,0,SER_hh_emih_in!Y7/SER_summary!Y$27)</f>
        <v>11.289510175491694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10.627331876514672</v>
      </c>
      <c r="D8" s="132">
        <f>IF(SER_hh_emih_in!D8=0,0,SER_hh_emih_in!D8/SER_summary!D$27)</f>
        <v>9.7440938382071813</v>
      </c>
      <c r="E8" s="132">
        <f>IF(SER_hh_emih_in!E8=0,0,SER_hh_emih_in!E8/SER_summary!E$27)</f>
        <v>10.673448493731435</v>
      </c>
      <c r="F8" s="132">
        <f>IF(SER_hh_emih_in!F8=0,0,SER_hh_emih_in!F8/SER_summary!F$27)</f>
        <v>9.9556647175675366</v>
      </c>
      <c r="G8" s="132">
        <f>IF(SER_hh_emih_in!G8=0,0,SER_hh_emih_in!G8/SER_summary!G$27)</f>
        <v>7.977480045270017</v>
      </c>
      <c r="H8" s="132">
        <f>IF(SER_hh_emih_in!H8=0,0,SER_hh_emih_in!H8/SER_summary!H$27)</f>
        <v>4.619070464175806</v>
      </c>
      <c r="I8" s="132">
        <f>IF(SER_hh_emih_in!I8=0,0,SER_hh_emih_in!I8/SER_summary!I$27)</f>
        <v>9.5369108021151199</v>
      </c>
      <c r="J8" s="132">
        <f>IF(SER_hh_emih_in!J8=0,0,SER_hh_emih_in!J8/SER_summary!J$27)</f>
        <v>7.7285275162253404</v>
      </c>
      <c r="K8" s="132">
        <f>IF(SER_hh_emih_in!K8=0,0,SER_hh_emih_in!K8/SER_summary!K$27)</f>
        <v>7.0568703322166719</v>
      </c>
      <c r="L8" s="132">
        <f>IF(SER_hh_emih_in!L8=0,0,SER_hh_emih_in!L8/SER_summary!L$27)</f>
        <v>6.4760462609778715</v>
      </c>
      <c r="M8" s="132">
        <f>IF(SER_hh_emih_in!M8=0,0,SER_hh_emih_in!M8/SER_summary!M$27)</f>
        <v>5.7965603593241841</v>
      </c>
      <c r="N8" s="132">
        <f>IF(SER_hh_emih_in!N8=0,0,SER_hh_emih_in!N8/SER_summary!N$27)</f>
        <v>5.1185394972312803</v>
      </c>
      <c r="O8" s="132">
        <f>IF(SER_hh_emih_in!O8=0,0,SER_hh_emih_in!O8/SER_summary!O$27)</f>
        <v>4.2129299973054879</v>
      </c>
      <c r="P8" s="132">
        <f>IF(SER_hh_emih_in!P8=0,0,SER_hh_emih_in!P8/SER_summary!P$27)</f>
        <v>4.195816099091485</v>
      </c>
      <c r="Q8" s="132">
        <f>IF(SER_hh_emih_in!Q8=0,0,SER_hh_emih_in!Q8/SER_summary!Q$27)</f>
        <v>4.2238222396415006</v>
      </c>
      <c r="R8" s="132">
        <f>IF(SER_hh_emih_in!R8=0,0,SER_hh_emih_in!R8/SER_summary!R$27)</f>
        <v>3.6359189485448389</v>
      </c>
      <c r="S8" s="132">
        <f>IF(SER_hh_emih_in!S8=0,0,SER_hh_emih_in!S8/SER_summary!S$27)</f>
        <v>3.2001084409688012</v>
      </c>
      <c r="T8" s="132">
        <f>IF(SER_hh_emih_in!T8=0,0,SER_hh_emih_in!T8/SER_summary!T$27)</f>
        <v>2.9120538284730366</v>
      </c>
      <c r="U8" s="132">
        <f>IF(SER_hh_emih_in!U8=0,0,SER_hh_emih_in!U8/SER_summary!U$27)</f>
        <v>2.5735655632184455</v>
      </c>
      <c r="V8" s="132">
        <f>IF(SER_hh_emih_in!V8=0,0,SER_hh_emih_in!V8/SER_summary!V$27)</f>
        <v>2.3883392306102778</v>
      </c>
      <c r="W8" s="132">
        <f>IF(SER_hh_emih_in!W8=0,0,SER_hh_emih_in!W8/SER_summary!W$27)</f>
        <v>1.9502048150820557</v>
      </c>
      <c r="X8" s="132">
        <f>IF(SER_hh_emih_in!X8=0,0,SER_hh_emih_in!X8/SER_summary!X$27)</f>
        <v>1.6951366278661166</v>
      </c>
      <c r="Y8" s="132">
        <f>IF(SER_hh_emih_in!Y8=0,0,SER_hh_emih_in!Y8/SER_summary!Y$27)</f>
        <v>1.6533491164693275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28.937312339738739</v>
      </c>
      <c r="D9" s="132">
        <f>IF(SER_hh_emih_in!D9=0,0,SER_hh_emih_in!D9/SER_summary!D$27)</f>
        <v>27.024050705687689</v>
      </c>
      <c r="E9" s="132">
        <f>IF(SER_hh_emih_in!E9=0,0,SER_hh_emih_in!E9/SER_summary!E$27)</f>
        <v>29.669803657421692</v>
      </c>
      <c r="F9" s="132">
        <f>IF(SER_hh_emih_in!F9=0,0,SER_hh_emih_in!F9/SER_summary!F$27)</f>
        <v>26.754249285580176</v>
      </c>
      <c r="G9" s="132">
        <f>IF(SER_hh_emih_in!G9=0,0,SER_hh_emih_in!G9/SER_summary!G$27)</f>
        <v>25.574853521810795</v>
      </c>
      <c r="H9" s="132">
        <f>IF(SER_hh_emih_in!H9=0,0,SER_hh_emih_in!H9/SER_summary!H$27)</f>
        <v>26.522576071233509</v>
      </c>
      <c r="I9" s="132">
        <f>IF(SER_hh_emih_in!I9=0,0,SER_hh_emih_in!I9/SER_summary!I$27)</f>
        <v>23.441187592378075</v>
      </c>
      <c r="J9" s="132">
        <f>IF(SER_hh_emih_in!J9=0,0,SER_hh_emih_in!J9/SER_summary!J$27)</f>
        <v>22.557204608874059</v>
      </c>
      <c r="K9" s="132">
        <f>IF(SER_hh_emih_in!K9=0,0,SER_hh_emih_in!K9/SER_summary!K$27)</f>
        <v>22.506351532607333</v>
      </c>
      <c r="L9" s="132">
        <f>IF(SER_hh_emih_in!L9=0,0,SER_hh_emih_in!L9/SER_summary!L$27)</f>
        <v>22.437710030636758</v>
      </c>
      <c r="M9" s="132">
        <f>IF(SER_hh_emih_in!M9=0,0,SER_hh_emih_in!M9/SER_summary!M$27)</f>
        <v>16.528153160987788</v>
      </c>
      <c r="N9" s="132">
        <f>IF(SER_hh_emih_in!N9=0,0,SER_hh_emih_in!N9/SER_summary!N$27)</f>
        <v>17.824707353519379</v>
      </c>
      <c r="O9" s="132">
        <f>IF(SER_hh_emih_in!O9=0,0,SER_hh_emih_in!O9/SER_summary!O$27)</f>
        <v>17.167859675732576</v>
      </c>
      <c r="P9" s="132">
        <f>IF(SER_hh_emih_in!P9=0,0,SER_hh_emih_in!P9/SER_summary!P$27)</f>
        <v>10.859172879130135</v>
      </c>
      <c r="Q9" s="132">
        <f>IF(SER_hh_emih_in!Q9=0,0,SER_hh_emih_in!Q9/SER_summary!Q$27)</f>
        <v>13.128170780141971</v>
      </c>
      <c r="R9" s="132">
        <f>IF(SER_hh_emih_in!R9=0,0,SER_hh_emih_in!R9/SER_summary!R$27)</f>
        <v>12.319243920701274</v>
      </c>
      <c r="S9" s="132">
        <f>IF(SER_hh_emih_in!S9=0,0,SER_hh_emih_in!S9/SER_summary!S$27)</f>
        <v>12.552514179685335</v>
      </c>
      <c r="T9" s="132">
        <f>IF(SER_hh_emih_in!T9=0,0,SER_hh_emih_in!T9/SER_summary!T$27)</f>
        <v>8.6477816684696087</v>
      </c>
      <c r="U9" s="132">
        <f>IF(SER_hh_emih_in!U9=0,0,SER_hh_emih_in!U9/SER_summary!U$27)</f>
        <v>7.731912649792573</v>
      </c>
      <c r="V9" s="132">
        <f>IF(SER_hh_emih_in!V9=0,0,SER_hh_emih_in!V9/SER_summary!V$27)</f>
        <v>7.0955982260436343</v>
      </c>
      <c r="W9" s="132">
        <f>IF(SER_hh_emih_in!W9=0,0,SER_hh_emih_in!W9/SER_summary!W$27)</f>
        <v>8.5373334275117987</v>
      </c>
      <c r="X9" s="132">
        <f>IF(SER_hh_emih_in!X9=0,0,SER_hh_emih_in!X9/SER_summary!X$27)</f>
        <v>5.7472300206045901</v>
      </c>
      <c r="Y9" s="132">
        <f>IF(SER_hh_emih_in!Y9=0,0,SER_hh_emih_in!Y9/SER_summary!Y$27)</f>
        <v>5.18449147021329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11.336955029212065</v>
      </c>
      <c r="D10" s="132">
        <f>IF(SER_hh_emih_in!D10=0,0,SER_hh_emih_in!D10/SER_summary!D$27)</f>
        <v>15.544837902802433</v>
      </c>
      <c r="E10" s="132">
        <f>IF(SER_hh_emih_in!E10=0,0,SER_hh_emih_in!E10/SER_summary!E$27)</f>
        <v>15.294294739188855</v>
      </c>
      <c r="F10" s="132">
        <f>IF(SER_hh_emih_in!F10=0,0,SER_hh_emih_in!F10/SER_summary!F$27)</f>
        <v>11.864164172868822</v>
      </c>
      <c r="G10" s="132">
        <f>IF(SER_hh_emih_in!G10=0,0,SER_hh_emih_in!G10/SER_summary!G$27)</f>
        <v>11.634516346998128</v>
      </c>
      <c r="H10" s="132">
        <f>IF(SER_hh_emih_in!H10=0,0,SER_hh_emih_in!H10/SER_summary!H$27)</f>
        <v>11.909472157579414</v>
      </c>
      <c r="I10" s="132">
        <f>IF(SER_hh_emih_in!I10=0,0,SER_hh_emih_in!I10/SER_summary!I$27)</f>
        <v>8.5053827983222625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4.2460909999698506</v>
      </c>
      <c r="M10" s="132">
        <f>IF(SER_hh_emih_in!M10=0,0,SER_hh_emih_in!M10/SER_summary!M$27)</f>
        <v>5.9627439510039597</v>
      </c>
      <c r="N10" s="132">
        <f>IF(SER_hh_emih_in!N10=0,0,SER_hh_emih_in!N10/SER_summary!N$27)</f>
        <v>5.2839599729994058</v>
      </c>
      <c r="O10" s="132">
        <f>IF(SER_hh_emih_in!O10=0,0,SER_hh_emih_in!O10/SER_summary!O$27)</f>
        <v>4.7878394108798918</v>
      </c>
      <c r="P10" s="132">
        <f>IF(SER_hh_emih_in!P10=0,0,SER_hh_emih_in!P10/SER_summary!P$27)</f>
        <v>6.018040630221356</v>
      </c>
      <c r="Q10" s="132">
        <f>IF(SER_hh_emih_in!Q10=0,0,SER_hh_emih_in!Q10/SER_summary!Q$27)</f>
        <v>2.2918898498990194</v>
      </c>
      <c r="R10" s="132">
        <f>IF(SER_hh_emih_in!R10=0,0,SER_hh_emih_in!R10/SER_summary!R$27)</f>
        <v>3.1416564521094936</v>
      </c>
      <c r="S10" s="132">
        <f>IF(SER_hh_emih_in!S10=0,0,SER_hh_emih_in!S10/SER_summary!S$27)</f>
        <v>3.7421590741095629</v>
      </c>
      <c r="T10" s="132">
        <f>IF(SER_hh_emih_in!T10=0,0,SER_hh_emih_in!T10/SER_summary!T$27)</f>
        <v>3.9424633453918529</v>
      </c>
      <c r="U10" s="132">
        <f>IF(SER_hh_emih_in!U10=0,0,SER_hh_emih_in!U10/SER_summary!U$27)</f>
        <v>3.5868071894191269</v>
      </c>
      <c r="V10" s="132">
        <f>IF(SER_hh_emih_in!V10=0,0,SER_hh_emih_in!V10/SER_summary!V$27)</f>
        <v>2.7410304708706823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3.6989475750610267E-3</v>
      </c>
      <c r="D16" s="130">
        <f>IF(SER_hh_emih_in!D16=0,0,SER_hh_emih_in!D16/SER_summary!D$27)</f>
        <v>3.9478825183748246E-3</v>
      </c>
      <c r="E16" s="130">
        <f>IF(SER_hh_emih_in!E16=0,0,SER_hh_emih_in!E16/SER_summary!E$27)</f>
        <v>3.1760786986297015E-3</v>
      </c>
      <c r="F16" s="130">
        <f>IF(SER_hh_emih_in!F16=0,0,SER_hh_emih_in!F16/SER_summary!F$27)</f>
        <v>4.3286909403053107E-3</v>
      </c>
      <c r="G16" s="130">
        <f>IF(SER_hh_emih_in!G16=0,0,SER_hh_emih_in!G16/SER_summary!G$27)</f>
        <v>4.3983250407095024E-3</v>
      </c>
      <c r="H16" s="130">
        <f>IF(SER_hh_emih_in!H16=0,0,SER_hh_emih_in!H16/SER_summary!H$27)</f>
        <v>3.4274819065046713E-3</v>
      </c>
      <c r="I16" s="130">
        <f>IF(SER_hh_emih_in!I16=0,0,SER_hh_emih_in!I16/SER_summary!I$27)</f>
        <v>2.9655638207137674E-3</v>
      </c>
      <c r="J16" s="130">
        <f>IF(SER_hh_emih_in!J16=0,0,SER_hh_emih_in!J16/SER_summary!J$27)</f>
        <v>3.320874386231412E-3</v>
      </c>
      <c r="K16" s="130">
        <f>IF(SER_hh_emih_in!K16=0,0,SER_hh_emih_in!K16/SER_summary!K$27)</f>
        <v>2.97604107850869E-3</v>
      </c>
      <c r="L16" s="130">
        <f>IF(SER_hh_emih_in!L16=0,0,SER_hh_emih_in!L16/SER_summary!L$27)</f>
        <v>4.1779993283261102E-3</v>
      </c>
      <c r="M16" s="130">
        <f>IF(SER_hh_emih_in!M16=0,0,SER_hh_emih_in!M16/SER_summary!M$27)</f>
        <v>4.9550288970705743E-3</v>
      </c>
      <c r="N16" s="130">
        <f>IF(SER_hh_emih_in!N16=0,0,SER_hh_emih_in!N16/SER_summary!N$27)</f>
        <v>6.2522118363651964E-3</v>
      </c>
      <c r="O16" s="130">
        <f>IF(SER_hh_emih_in!O16=0,0,SER_hh_emih_in!O16/SER_summary!O$27)</f>
        <v>8.0934207970978916E-3</v>
      </c>
      <c r="P16" s="130">
        <f>IF(SER_hh_emih_in!P16=0,0,SER_hh_emih_in!P16/SER_summary!P$27)</f>
        <v>1.1299674471345915E-2</v>
      </c>
      <c r="Q16" s="130">
        <f>IF(SER_hh_emih_in!Q16=0,0,SER_hh_emih_in!Q16/SER_summary!Q$27)</f>
        <v>1.7299262098944387E-2</v>
      </c>
      <c r="R16" s="130">
        <f>IF(SER_hh_emih_in!R16=0,0,SER_hh_emih_in!R16/SER_summary!R$27)</f>
        <v>1.5254415612515382E-2</v>
      </c>
      <c r="S16" s="130">
        <f>IF(SER_hh_emih_in!S16=0,0,SER_hh_emih_in!S16/SER_summary!S$27)</f>
        <v>1.3582550614661399E-2</v>
      </c>
      <c r="T16" s="130">
        <f>IF(SER_hh_emih_in!T16=0,0,SER_hh_emih_in!T16/SER_summary!T$27)</f>
        <v>9.9957764121295332E-3</v>
      </c>
      <c r="U16" s="130">
        <f>IF(SER_hh_emih_in!U16=0,0,SER_hh_emih_in!U16/SER_summary!U$27)</f>
        <v>1.3658711310078776E-2</v>
      </c>
      <c r="V16" s="130">
        <f>IF(SER_hh_emih_in!V16=0,0,SER_hh_emih_in!V16/SER_summary!V$27)</f>
        <v>2.0549834913032108E-2</v>
      </c>
      <c r="W16" s="130">
        <f>IF(SER_hh_emih_in!W16=0,0,SER_hh_emih_in!W16/SER_summary!W$27)</f>
        <v>5.7885861308890826E-3</v>
      </c>
      <c r="X16" s="130">
        <f>IF(SER_hh_emih_in!X16=0,0,SER_hh_emih_in!X16/SER_summary!X$27)</f>
        <v>4.5342426822352665E-3</v>
      </c>
      <c r="Y16" s="130">
        <f>IF(SER_hh_emih_in!Y16=0,0,SER_hh_emih_in!Y16/SER_summary!Y$27)</f>
        <v>5.6224982694309394E-3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3.799931447107169</v>
      </c>
      <c r="D17" s="132">
        <f>IF(SER_hh_emih_in!D17=0,0,SER_hh_emih_in!D17/SER_summary!D$27)</f>
        <v>3.6823494673643928</v>
      </c>
      <c r="E17" s="132">
        <f>IF(SER_hh_emih_in!E17=0,0,SER_hh_emih_in!E17/SER_summary!E$27)</f>
        <v>3.6631241074804679</v>
      </c>
      <c r="F17" s="132">
        <f>IF(SER_hh_emih_in!F17=0,0,SER_hh_emih_in!F17/SER_summary!F$27)</f>
        <v>3.543976305075768</v>
      </c>
      <c r="G17" s="132">
        <f>IF(SER_hh_emih_in!G17=0,0,SER_hh_emih_in!G17/SER_summary!G$27)</f>
        <v>3.4649294990803314</v>
      </c>
      <c r="H17" s="132">
        <f>IF(SER_hh_emih_in!H17=0,0,SER_hh_emih_in!H17/SER_summary!H$27)</f>
        <v>3.3814881617776931</v>
      </c>
      <c r="I17" s="132">
        <f>IF(SER_hh_emih_in!I17=0,0,SER_hh_emih_in!I17/SER_summary!I$27)</f>
        <v>3.3467883111380021</v>
      </c>
      <c r="J17" s="132">
        <f>IF(SER_hh_emih_in!J17=0,0,SER_hh_emih_in!J17/SER_summary!J$27)</f>
        <v>3.2595778558580246</v>
      </c>
      <c r="K17" s="132">
        <f>IF(SER_hh_emih_in!K17=0,0,SER_hh_emih_in!K17/SER_summary!K$27)</f>
        <v>3.2024312568871212</v>
      </c>
      <c r="L17" s="132">
        <f>IF(SER_hh_emih_in!L17=0,0,SER_hh_emih_in!L17/SER_summary!L$27)</f>
        <v>3.1359302223199181</v>
      </c>
      <c r="M17" s="132">
        <f>IF(SER_hh_emih_in!M17=0,0,SER_hh_emih_in!M17/SER_summary!M$27)</f>
        <v>3.027110532267399</v>
      </c>
      <c r="N17" s="132">
        <f>IF(SER_hh_emih_in!N17=0,0,SER_hh_emih_in!N17/SER_summary!N$27)</f>
        <v>2.916786586061682</v>
      </c>
      <c r="O17" s="132">
        <f>IF(SER_hh_emih_in!O17=0,0,SER_hh_emih_in!O17/SER_summary!O$27)</f>
        <v>2.7727623443302742</v>
      </c>
      <c r="P17" s="132">
        <f>IF(SER_hh_emih_in!P17=0,0,SER_hh_emih_in!P17/SER_summary!P$27)</f>
        <v>2.7164512285617328</v>
      </c>
      <c r="Q17" s="132">
        <f>IF(SER_hh_emih_in!Q17=0,0,SER_hh_emih_in!Q17/SER_summary!Q$27)</f>
        <v>2.6700984170020492</v>
      </c>
      <c r="R17" s="132">
        <f>IF(SER_hh_emih_in!R17=0,0,SER_hh_emih_in!R17/SER_summary!R$27)</f>
        <v>2.4799541118212112</v>
      </c>
      <c r="S17" s="132">
        <f>IF(SER_hh_emih_in!S17=0,0,SER_hh_emih_in!S17/SER_summary!S$27)</f>
        <v>2.3662136076198799</v>
      </c>
      <c r="T17" s="132">
        <f>IF(SER_hh_emih_in!T17=0,0,SER_hh_emih_in!T17/SER_summary!T$27)</f>
        <v>2.2872630906494664</v>
      </c>
      <c r="U17" s="132">
        <f>IF(SER_hh_emih_in!U17=0,0,SER_hh_emih_in!U17/SER_summary!U$27)</f>
        <v>2.0477682868206242</v>
      </c>
      <c r="V17" s="132">
        <f>IF(SER_hh_emih_in!V17=0,0,SER_hh_emih_in!V17/SER_summary!V$27)</f>
        <v>1.3249766461747439</v>
      </c>
      <c r="W17" s="132">
        <f>IF(SER_hh_emih_in!W17=0,0,SER_hh_emih_in!W17/SER_summary!W$27)</f>
        <v>1.1652253652882758</v>
      </c>
      <c r="X17" s="132">
        <f>IF(SER_hh_emih_in!X17=0,0,SER_hh_emih_in!X17/SER_summary!X$27)</f>
        <v>1.020587124836412</v>
      </c>
      <c r="Y17" s="132">
        <f>IF(SER_hh_emih_in!Y17=0,0,SER_hh_emih_in!Y17/SER_summary!Y$27)</f>
        <v>0.9484483942267391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0.56020102568150765</v>
      </c>
      <c r="D19" s="130">
        <f>IF(SER_hh_emih_in!D19=0,0,SER_hh_emih_in!D19/SER_summary!D$27)</f>
        <v>0.77415509721034115</v>
      </c>
      <c r="E19" s="130">
        <f>IF(SER_hh_emih_in!E19=0,0,SER_hh_emih_in!E19/SER_summary!E$27)</f>
        <v>0.89384013024957221</v>
      </c>
      <c r="F19" s="130">
        <f>IF(SER_hh_emih_in!F19=0,0,SER_hh_emih_in!F19/SER_summary!F$27)</f>
        <v>0.76835762248350836</v>
      </c>
      <c r="G19" s="130">
        <f>IF(SER_hh_emih_in!G19=0,0,SER_hh_emih_in!G19/SER_summary!G$27)</f>
        <v>0.69863249567079833</v>
      </c>
      <c r="H19" s="130">
        <f>IF(SER_hh_emih_in!H19=0,0,SER_hh_emih_in!H19/SER_summary!H$27)</f>
        <v>0.54375028237100675</v>
      </c>
      <c r="I19" s="130">
        <f>IF(SER_hh_emih_in!I19=0,0,SER_hh_emih_in!I19/SER_summary!I$27)</f>
        <v>0.40529891687785657</v>
      </c>
      <c r="J19" s="130">
        <f>IF(SER_hh_emih_in!J19=0,0,SER_hh_emih_in!J19/SER_summary!J$27)</f>
        <v>0.49892901333961287</v>
      </c>
      <c r="K19" s="130">
        <f>IF(SER_hh_emih_in!K19=0,0,SER_hh_emih_in!K19/SER_summary!K$27)</f>
        <v>0.38035157378990436</v>
      </c>
      <c r="L19" s="130">
        <f>IF(SER_hh_emih_in!L19=0,0,SER_hh_emih_in!L19/SER_summary!L$27)</f>
        <v>0.2711788326097414</v>
      </c>
      <c r="M19" s="130">
        <f>IF(SER_hh_emih_in!M19=0,0,SER_hh_emih_in!M19/SER_summary!M$27)</f>
        <v>0.1534819171126621</v>
      </c>
      <c r="N19" s="130">
        <f>IF(SER_hh_emih_in!N19=0,0,SER_hh_emih_in!N19/SER_summary!N$27)</f>
        <v>0.32679680795334776</v>
      </c>
      <c r="O19" s="130">
        <f>IF(SER_hh_emih_in!O19=0,0,SER_hh_emih_in!O19/SER_summary!O$27)</f>
        <v>0.40926591459313516</v>
      </c>
      <c r="P19" s="130">
        <f>IF(SER_hh_emih_in!P19=0,0,SER_hh_emih_in!P19/SER_summary!P$27)</f>
        <v>0.40199890480988637</v>
      </c>
      <c r="Q19" s="130">
        <f>IF(SER_hh_emih_in!Q19=0,0,SER_hh_emih_in!Q19/SER_summary!Q$27)</f>
        <v>0.66829188329106637</v>
      </c>
      <c r="R19" s="130">
        <f>IF(SER_hh_emih_in!R19=0,0,SER_hh_emih_in!R19/SER_summary!R$27)</f>
        <v>0.5706615670285895</v>
      </c>
      <c r="S19" s="130">
        <f>IF(SER_hh_emih_in!S19=0,0,SER_hh_emih_in!S19/SER_summary!S$27)</f>
        <v>0.49701761165742603</v>
      </c>
      <c r="T19" s="130">
        <f>IF(SER_hh_emih_in!T19=0,0,SER_hh_emih_in!T19/SER_summary!T$27)</f>
        <v>0.3371628844290297</v>
      </c>
      <c r="U19" s="130">
        <f>IF(SER_hh_emih_in!U19=0,0,SER_hh_emih_in!U19/SER_summary!U$27)</f>
        <v>0.29913544184990465</v>
      </c>
      <c r="V19" s="130">
        <f>IF(SER_hh_emih_in!V19=0,0,SER_hh_emih_in!V19/SER_summary!V$27)</f>
        <v>0.13197046749034591</v>
      </c>
      <c r="W19" s="130">
        <f>IF(SER_hh_emih_in!W19=0,0,SER_hh_emih_in!W19/SER_summary!W$27)</f>
        <v>5.8930244082112853E-3</v>
      </c>
      <c r="X19" s="130">
        <f>IF(SER_hh_emih_in!X19=0,0,SER_hh_emih_in!X19/SER_summary!X$27)</f>
        <v>2.370473643114579E-2</v>
      </c>
      <c r="Y19" s="130">
        <f>IF(SER_hh_emih_in!Y19=0,0,SER_hh_emih_in!Y19/SER_summary!Y$27)</f>
        <v>2.9116787534797916E-2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5.0357701060584494</v>
      </c>
      <c r="D22" s="132">
        <f>IF(SER_hh_emih_in!D22=0,0,SER_hh_emih_in!D22/SER_summary!D$27)</f>
        <v>4.990052773285572</v>
      </c>
      <c r="E22" s="132">
        <f>IF(SER_hh_emih_in!E22=0,0,SER_hh_emih_in!E22/SER_summary!E$27)</f>
        <v>4.9264361180499838</v>
      </c>
      <c r="F22" s="132">
        <f>IF(SER_hh_emih_in!F22=0,0,SER_hh_emih_in!F22/SER_summary!F$27)</f>
        <v>4.9454850290492045</v>
      </c>
      <c r="G22" s="132">
        <f>IF(SER_hh_emih_in!G22=0,0,SER_hh_emih_in!G22/SER_summary!G$27)</f>
        <v>4.8882708727903674</v>
      </c>
      <c r="H22" s="132">
        <f>IF(SER_hh_emih_in!H22=0,0,SER_hh_emih_in!H22/SER_summary!H$27)</f>
        <v>4.7690438476495816</v>
      </c>
      <c r="I22" s="132">
        <f>IF(SER_hh_emih_in!I22=0,0,SER_hh_emih_in!I22/SER_summary!I$27)</f>
        <v>4.5508849908933886</v>
      </c>
      <c r="J22" s="132">
        <f>IF(SER_hh_emih_in!J22=0,0,SER_hh_emih_in!J22/SER_summary!J$27)</f>
        <v>4.6571542155003405</v>
      </c>
      <c r="K22" s="132">
        <f>IF(SER_hh_emih_in!K22=0,0,SER_hh_emih_in!K22/SER_summary!K$27)</f>
        <v>4.6852540114076424</v>
      </c>
      <c r="L22" s="132">
        <f>IF(SER_hh_emih_in!L22=0,0,SER_hh_emih_in!L22/SER_summary!L$27)</f>
        <v>4.3434613395724426</v>
      </c>
      <c r="M22" s="132">
        <f>IF(SER_hh_emih_in!M22=0,0,SER_hh_emih_in!M22/SER_summary!M$27)</f>
        <v>4.2783492001004433</v>
      </c>
      <c r="N22" s="132">
        <f>IF(SER_hh_emih_in!N22=0,0,SER_hh_emih_in!N22/SER_summary!N$27)</f>
        <v>4.3235893922046431</v>
      </c>
      <c r="O22" s="132">
        <f>IF(SER_hh_emih_in!O22=0,0,SER_hh_emih_in!O22/SER_summary!O$27)</f>
        <v>4.1032927008512923</v>
      </c>
      <c r="P22" s="132">
        <f>IF(SER_hh_emih_in!P22=0,0,SER_hh_emih_in!P22/SER_summary!P$27)</f>
        <v>3.9868636903953671</v>
      </c>
      <c r="Q22" s="132">
        <f>IF(SER_hh_emih_in!Q22=0,0,SER_hh_emih_in!Q22/SER_summary!Q$27)</f>
        <v>3.7158934730129256</v>
      </c>
      <c r="R22" s="132">
        <f>IF(SER_hh_emih_in!R22=0,0,SER_hh_emih_in!R22/SER_summary!R$27)</f>
        <v>3.7536040812948039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0</v>
      </c>
      <c r="X22" s="132">
        <f>IF(SER_hh_emih_in!X22=0,0,SER_hh_emih_in!X22/SER_summary!X$27)</f>
        <v>3.3407214363665441</v>
      </c>
      <c r="Y22" s="132">
        <f>IF(SER_hh_emih_in!Y22=0,0,SER_hh_emih_in!Y22/SER_summary!Y$27)</f>
        <v>2.5422998167003779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3.3032020266533912</v>
      </c>
      <c r="D23" s="132">
        <f>IF(SER_hh_emih_in!D23=0,0,SER_hh_emih_in!D23/SER_summary!D$27)</f>
        <v>3.1362995878145146</v>
      </c>
      <c r="E23" s="132">
        <f>IF(SER_hh_emih_in!E23=0,0,SER_hh_emih_in!E23/SER_summary!E$27)</f>
        <v>3.3851303291307517</v>
      </c>
      <c r="F23" s="132">
        <f>IF(SER_hh_emih_in!F23=0,0,SER_hh_emih_in!F23/SER_summary!F$27)</f>
        <v>3.1323750476430559</v>
      </c>
      <c r="G23" s="132">
        <f>IF(SER_hh_emih_in!G23=0,0,SER_hh_emih_in!G23/SER_summary!G$27)</f>
        <v>3.1387277995270866</v>
      </c>
      <c r="H23" s="132">
        <f>IF(SER_hh_emih_in!H23=0,0,SER_hh_emih_in!H23/SER_summary!H$27)</f>
        <v>3.1907289603749383</v>
      </c>
      <c r="I23" s="132">
        <f>IF(SER_hh_emih_in!I23=0,0,SER_hh_emih_in!I23/SER_summary!I$27)</f>
        <v>3.0990173289070038</v>
      </c>
      <c r="J23" s="132">
        <f>IF(SER_hh_emih_in!J23=0,0,SER_hh_emih_in!J23/SER_summary!J$27)</f>
        <v>3.0039422774958324</v>
      </c>
      <c r="K23" s="132">
        <f>IF(SER_hh_emih_in!K23=0,0,SER_hh_emih_in!K23/SER_summary!K$27)</f>
        <v>3.021774884604115</v>
      </c>
      <c r="L23" s="132">
        <f>IF(SER_hh_emih_in!L23=0,0,SER_hh_emih_in!L23/SER_summary!L$27)</f>
        <v>2.6577112271215921</v>
      </c>
      <c r="M23" s="132">
        <f>IF(SER_hh_emih_in!M23=0,0,SER_hh_emih_in!M23/SER_summary!M$27)</f>
        <v>2.7552274430090402</v>
      </c>
      <c r="N23" s="132">
        <f>IF(SER_hh_emih_in!N23=0,0,SER_hh_emih_in!N23/SER_summary!N$27)</f>
        <v>2.8041097093876672</v>
      </c>
      <c r="O23" s="132">
        <f>IF(SER_hh_emih_in!O23=0,0,SER_hh_emih_in!O23/SER_summary!O$27)</f>
        <v>2.7092585563867528</v>
      </c>
      <c r="P23" s="132">
        <f>IF(SER_hh_emih_in!P23=0,0,SER_hh_emih_in!P23/SER_summary!P$27)</f>
        <v>2.4084672025549034</v>
      </c>
      <c r="Q23" s="132">
        <f>IF(SER_hh_emih_in!Q23=0,0,SER_hh_emih_in!Q23/SER_summary!Q$27)</f>
        <v>2.5422949063021076</v>
      </c>
      <c r="R23" s="132">
        <f>IF(SER_hh_emih_in!R23=0,0,SER_hh_emih_in!R23/SER_summary!R$27)</f>
        <v>2.417888583511989</v>
      </c>
      <c r="S23" s="132">
        <f>IF(SER_hh_emih_in!S23=0,0,SER_hh_emih_in!S23/SER_summary!S$27)</f>
        <v>2.3941814512319328</v>
      </c>
      <c r="T23" s="132">
        <f>IF(SER_hh_emih_in!T23=0,0,SER_hh_emih_in!T23/SER_summary!T$27)</f>
        <v>2.2136057461410212</v>
      </c>
      <c r="U23" s="132">
        <f>IF(SER_hh_emih_in!U23=0,0,SER_hh_emih_in!U23/SER_summary!U$27)</f>
        <v>2.1974954225481711</v>
      </c>
      <c r="V23" s="132">
        <f>IF(SER_hh_emih_in!V23=0,0,SER_hh_emih_in!V23/SER_summary!V$27)</f>
        <v>1.3751697848912383</v>
      </c>
      <c r="W23" s="132">
        <f>IF(SER_hh_emih_in!W23=0,0,SER_hh_emih_in!W23/SER_summary!W$27)</f>
        <v>1.8182495004208623</v>
      </c>
      <c r="X23" s="132">
        <f>IF(SER_hh_emih_in!X23=0,0,SER_hh_emih_in!X23/SER_summary!X$27)</f>
        <v>1.3592266441127916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1.5538763909039079</v>
      </c>
      <c r="D24" s="132">
        <f>IF(SER_hh_emih_in!D24=0,0,SER_hh_emih_in!D24/SER_summary!D$27)</f>
        <v>1.6990516917731866</v>
      </c>
      <c r="E24" s="132">
        <f>IF(SER_hh_emih_in!E24=0,0,SER_hh_emih_in!E24/SER_summary!E$27)</f>
        <v>1.6226996495258386</v>
      </c>
      <c r="F24" s="132">
        <f>IF(SER_hh_emih_in!F24=0,0,SER_hh_emih_in!F24/SER_summary!F$27)</f>
        <v>1.4674967858654566</v>
      </c>
      <c r="G24" s="132">
        <f>IF(SER_hh_emih_in!G24=0,0,SER_hh_emih_in!G24/SER_summary!G$27)</f>
        <v>1.3518192182677189</v>
      </c>
      <c r="H24" s="132">
        <f>IF(SER_hh_emih_in!H24=0,0,SER_hh_emih_in!H24/SER_summary!H$27)</f>
        <v>1.2581259649725651</v>
      </c>
      <c r="I24" s="132">
        <f>IF(SER_hh_emih_in!I24=0,0,SER_hh_emih_in!I24/SER_summary!I$27)</f>
        <v>1.0097765439798652</v>
      </c>
      <c r="J24" s="132">
        <f>IF(SER_hh_emih_in!J24=0,0,SER_hh_emih_in!J24/SER_summary!J$27)</f>
        <v>0.77187458628021799</v>
      </c>
      <c r="K24" s="132">
        <f>IF(SER_hh_emih_in!K24=0,0,SER_hh_emih_in!K24/SER_summary!K$27)</f>
        <v>0.55763138868152473</v>
      </c>
      <c r="L24" s="132">
        <f>IF(SER_hh_emih_in!L24=0,0,SER_hh_emih_in!L24/SER_summary!L$27)</f>
        <v>0.52920988846299299</v>
      </c>
      <c r="M24" s="132">
        <f>IF(SER_hh_emih_in!M24=0,0,SER_hh_emih_in!M24/SER_summary!M$27)</f>
        <v>0.75597738819152593</v>
      </c>
      <c r="N24" s="132">
        <f>IF(SER_hh_emih_in!N24=0,0,SER_hh_emih_in!N24/SER_summary!N$27)</f>
        <v>0.78915487757879743</v>
      </c>
      <c r="O24" s="132">
        <f>IF(SER_hh_emih_in!O24=0,0,SER_hh_emih_in!O24/SER_summary!O$27)</f>
        <v>0.69524770742629405</v>
      </c>
      <c r="P24" s="132">
        <f>IF(SER_hh_emih_in!P24=0,0,SER_hh_emih_in!P24/SER_summary!P$27)</f>
        <v>0.83089835805595103</v>
      </c>
      <c r="Q24" s="132">
        <f>IF(SER_hh_emih_in!Q24=0,0,SER_hh_emih_in!Q24/SER_summary!Q$27)</f>
        <v>0.38382245790807862</v>
      </c>
      <c r="R24" s="132">
        <f>IF(SER_hh_emih_in!R24=0,0,SER_hh_emih_in!R24/SER_summary!R$27)</f>
        <v>0.50716135662216622</v>
      </c>
      <c r="S24" s="132">
        <f>IF(SER_hh_emih_in!S24=0,0,SER_hh_emih_in!S24/SER_summary!S$27)</f>
        <v>0.59842294361770798</v>
      </c>
      <c r="T24" s="132">
        <f>IF(SER_hh_emih_in!T24=0,0,SER_hh_emih_in!T24/SER_summary!T$27)</f>
        <v>0.57764999931373318</v>
      </c>
      <c r="U24" s="132">
        <f>IF(SER_hh_emih_in!U24=0,0,SER_hh_emih_in!U24/SER_summary!U$27)</f>
        <v>0.58018543190859573</v>
      </c>
      <c r="V24" s="132">
        <f>IF(SER_hh_emih_in!V24=0,0,SER_hh_emih_in!V24/SER_summary!V$27)</f>
        <v>0.413434777597881</v>
      </c>
      <c r="W24" s="132">
        <f>IF(SER_hh_emih_in!W24=0,0,SER_hh_emih_in!W24/SER_summary!W$27)</f>
        <v>0.44802675024559752</v>
      </c>
      <c r="X24" s="132">
        <f>IF(SER_hh_emih_in!X24=0,0,SER_hh_emih_in!X24/SER_summary!X$27)</f>
        <v>0.63835831083235628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0.52309969672301915</v>
      </c>
      <c r="D29" s="130">
        <f>IF(SER_hh_emih_in!D29=0,0,SER_hh_emih_in!D29/SER_summary!D$27)</f>
        <v>0.58991024771110112</v>
      </c>
      <c r="E29" s="130">
        <f>IF(SER_hh_emih_in!E29=0,0,SER_hh_emih_in!E29/SER_summary!E$27)</f>
        <v>0.7214042753685378</v>
      </c>
      <c r="F29" s="130">
        <f>IF(SER_hh_emih_in!F29=0,0,SER_hh_emih_in!F29/SER_summary!F$27)</f>
        <v>0.78731581066031464</v>
      </c>
      <c r="G29" s="130">
        <f>IF(SER_hh_emih_in!G29=0,0,SER_hh_emih_in!G29/SER_summary!G$27)</f>
        <v>0.89802031393510295</v>
      </c>
      <c r="H29" s="130">
        <f>IF(SER_hh_emih_in!H29=0,0,SER_hh_emih_in!H29/SER_summary!H$27)</f>
        <v>0.73438149078892234</v>
      </c>
      <c r="I29" s="130">
        <f>IF(SER_hh_emih_in!I29=0,0,SER_hh_emih_in!I29/SER_summary!I$27)</f>
        <v>0.62717054338841671</v>
      </c>
      <c r="J29" s="130">
        <f>IF(SER_hh_emih_in!J29=0,0,SER_hh_emih_in!J29/SER_summary!J$27)</f>
        <v>0.66877993314528916</v>
      </c>
      <c r="K29" s="130">
        <f>IF(SER_hh_emih_in!K29=0,0,SER_hh_emih_in!K29/SER_summary!K$27)</f>
        <v>0.63925406395277506</v>
      </c>
      <c r="L29" s="130">
        <f>IF(SER_hh_emih_in!L29=0,0,SER_hh_emih_in!L29/SER_summary!L$27)</f>
        <v>0.65394180248758149</v>
      </c>
      <c r="M29" s="130">
        <f>IF(SER_hh_emih_in!M29=0,0,SER_hh_emih_in!M29/SER_summary!M$27)</f>
        <v>0.44043458028138532</v>
      </c>
      <c r="N29" s="130">
        <f>IF(SER_hh_emih_in!N29=0,0,SER_hh_emih_in!N29/SER_summary!N$27)</f>
        <v>0.41699990594087138</v>
      </c>
      <c r="O29" s="130">
        <f>IF(SER_hh_emih_in!O29=0,0,SER_hh_emih_in!O29/SER_summary!O$27)</f>
        <v>0.65573078920700345</v>
      </c>
      <c r="P29" s="130">
        <f>IF(SER_hh_emih_in!P29=0,0,SER_hh_emih_in!P29/SER_summary!P$27)</f>
        <v>0.70766277518475518</v>
      </c>
      <c r="Q29" s="130">
        <f>IF(SER_hh_emih_in!Q29=0,0,SER_hh_emih_in!Q29/SER_summary!Q$27)</f>
        <v>1.0843220477249185</v>
      </c>
      <c r="R29" s="130">
        <f>IF(SER_hh_emih_in!R29=0,0,SER_hh_emih_in!R29/SER_summary!R$27)</f>
        <v>0.87316585188978713</v>
      </c>
      <c r="S29" s="130">
        <f>IF(SER_hh_emih_in!S29=0,0,SER_hh_emih_in!S29/SER_summary!S$27)</f>
        <v>0.73327674928293762</v>
      </c>
      <c r="T29" s="130">
        <f>IF(SER_hh_emih_in!T29=0,0,SER_hh_emih_in!T29/SER_summary!T$27)</f>
        <v>0.71853907278202467</v>
      </c>
      <c r="U29" s="130">
        <f>IF(SER_hh_emih_in!U29=0,0,SER_hh_emih_in!U29/SER_summary!U$27)</f>
        <v>0.78515498078986223</v>
      </c>
      <c r="V29" s="130">
        <f>IF(SER_hh_emih_in!V29=0,0,SER_hh_emih_in!V29/SER_summary!V$27)</f>
        <v>0.50564025069038321</v>
      </c>
      <c r="W29" s="130">
        <f>IF(SER_hh_emih_in!W29=0,0,SER_hh_emih_in!W29/SER_summary!W$27)</f>
        <v>0.78841750035724045</v>
      </c>
      <c r="X29" s="130">
        <f>IF(SER_hh_emih_in!X29=0,0,SER_hh_emih_in!X29/SER_summary!X$27)</f>
        <v>0.95150855016104996</v>
      </c>
      <c r="Y29" s="130">
        <f>IF(SER_hh_emih_in!Y29=0,0,SER_hh_emih_in!Y29/SER_summary!Y$27)</f>
        <v>1.3201935184298748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3.7126377128127297</v>
      </c>
      <c r="D30" s="132">
        <f>IF(SER_hh_emih_in!D30=0,0,SER_hh_emih_in!D30/SER_summary!D$27)</f>
        <v>3.3176002371348678</v>
      </c>
      <c r="E30" s="132">
        <f>IF(SER_hh_emih_in!E30=0,0,SER_hh_emih_in!E30/SER_summary!E$27)</f>
        <v>3.7171423692112993</v>
      </c>
      <c r="F30" s="132">
        <f>IF(SER_hh_emih_in!F30=0,0,SER_hh_emih_in!F30/SER_summary!F$27)</f>
        <v>3.9263499728562459</v>
      </c>
      <c r="G30" s="132">
        <f>IF(SER_hh_emih_in!G30=0,0,SER_hh_emih_in!G30/SER_summary!G$27)</f>
        <v>4.1388851836420715</v>
      </c>
      <c r="H30" s="132">
        <f>IF(SER_hh_emih_in!H30=0,0,SER_hh_emih_in!H30/SER_summary!H$27)</f>
        <v>3.9408394487909439</v>
      </c>
      <c r="I30" s="132">
        <f>IF(SER_hh_emih_in!I30=0,0,SER_hh_emih_in!I30/SER_summary!I$27)</f>
        <v>3.8687199699394967</v>
      </c>
      <c r="J30" s="132">
        <f>IF(SER_hh_emih_in!J30=0,0,SER_hh_emih_in!J30/SER_summary!J$27)</f>
        <v>3.7471677803495407</v>
      </c>
      <c r="K30" s="132">
        <f>IF(SER_hh_emih_in!K30=0,0,SER_hh_emih_in!K30/SER_summary!K$27)</f>
        <v>3.5798388340546787</v>
      </c>
      <c r="L30" s="132">
        <f>IF(SER_hh_emih_in!L30=0,0,SER_hh_emih_in!L30/SER_summary!L$27)</f>
        <v>4.4470719467824891</v>
      </c>
      <c r="M30" s="132">
        <f>IF(SER_hh_emih_in!M30=0,0,SER_hh_emih_in!M30/SER_summary!M$27)</f>
        <v>3.9794210311937093</v>
      </c>
      <c r="N30" s="132">
        <f>IF(SER_hh_emih_in!N30=0,0,SER_hh_emih_in!N30/SER_summary!N$27)</f>
        <v>3.6958485295302803</v>
      </c>
      <c r="O30" s="132">
        <f>IF(SER_hh_emih_in!O30=0,0,SER_hh_emih_in!O30/SER_summary!O$27)</f>
        <v>4.3580980877498012</v>
      </c>
      <c r="P30" s="132">
        <f>IF(SER_hh_emih_in!P30=0,0,SER_hh_emih_in!P30/SER_summary!P$27)</f>
        <v>2.3200816704235692</v>
      </c>
      <c r="Q30" s="132">
        <f>IF(SER_hh_emih_in!Q30=0,0,SER_hh_emih_in!Q30/SER_summary!Q$27)</f>
        <v>4.3318655340341659</v>
      </c>
      <c r="R30" s="132">
        <f>IF(SER_hh_emih_in!R30=0,0,SER_hh_emih_in!R30/SER_summary!R$27)</f>
        <v>4.1220839767215782</v>
      </c>
      <c r="S30" s="132">
        <f>IF(SER_hh_emih_in!S30=0,0,SER_hh_emih_in!S30/SER_summary!S$27)</f>
        <v>3.7917844154156271</v>
      </c>
      <c r="T30" s="132">
        <f>IF(SER_hh_emih_in!T30=0,0,SER_hh_emih_in!T30/SER_summary!T$27)</f>
        <v>3.7388026380593509</v>
      </c>
      <c r="U30" s="132">
        <f>IF(SER_hh_emih_in!U30=0,0,SER_hh_emih_in!U30/SER_summary!U$27)</f>
        <v>3.568067943217887</v>
      </c>
      <c r="V30" s="132">
        <f>IF(SER_hh_emih_in!V30=0,0,SER_hh_emih_in!V30/SER_summary!V$27)</f>
        <v>2.8882314422596007</v>
      </c>
      <c r="W30" s="132">
        <f>IF(SER_hh_emih_in!W30=0,0,SER_hh_emih_in!W30/SER_summary!W$27)</f>
        <v>2.8985448600518349</v>
      </c>
      <c r="X30" s="132">
        <f>IF(SER_hh_emih_in!X30=0,0,SER_hh_emih_in!X30/SER_summary!X$27)</f>
        <v>2.9375790202819525</v>
      </c>
      <c r="Y30" s="132">
        <f>IF(SER_hh_emih_in!Y30=0,0,SER_hh_emih_in!Y30/SER_summary!Y$27)</f>
        <v>2.7298520350101216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3.0982080910474417</v>
      </c>
      <c r="D31" s="132">
        <f>IF(SER_hh_emih_in!D31=0,0,SER_hh_emih_in!D31/SER_summary!D$27)</f>
        <v>3.1024425462484397</v>
      </c>
      <c r="E31" s="132">
        <f>IF(SER_hh_emih_in!E31=0,0,SER_hh_emih_in!E31/SER_summary!E$27)</f>
        <v>3.2085213286976417</v>
      </c>
      <c r="F31" s="132">
        <f>IF(SER_hh_emih_in!F31=0,0,SER_hh_emih_in!F31/SER_summary!F$27)</f>
        <v>3.141469017415583</v>
      </c>
      <c r="G31" s="132">
        <f>IF(SER_hh_emih_in!G31=0,0,SER_hh_emih_in!G31/SER_summary!G$27)</f>
        <v>3.294666744396562</v>
      </c>
      <c r="H31" s="132">
        <f>IF(SER_hh_emih_in!H31=0,0,SER_hh_emih_in!H31/SER_summary!H$27)</f>
        <v>3.2809737271914834</v>
      </c>
      <c r="I31" s="132">
        <f>IF(SER_hh_emih_in!I31=0,0,SER_hh_emih_in!I31/SER_summary!I$27)</f>
        <v>3.2750646052180636</v>
      </c>
      <c r="J31" s="132">
        <f>IF(SER_hh_emih_in!J31=0,0,SER_hh_emih_in!J31/SER_summary!J$27)</f>
        <v>3.2650464624910103</v>
      </c>
      <c r="K31" s="132">
        <f>IF(SER_hh_emih_in!K31=0,0,SER_hh_emih_in!K31/SER_summary!K$27)</f>
        <v>3.3292714389470568</v>
      </c>
      <c r="L31" s="132">
        <f>IF(SER_hh_emih_in!L31=0,0,SER_hh_emih_in!L31/SER_summary!L$27)</f>
        <v>3.3269732806090691</v>
      </c>
      <c r="M31" s="132">
        <f>IF(SER_hh_emih_in!M31=0,0,SER_hh_emih_in!M31/SER_summary!M$27)</f>
        <v>3.3145856097960067</v>
      </c>
      <c r="N31" s="132">
        <f>IF(SER_hh_emih_in!N31=0,0,SER_hh_emih_in!N31/SER_summary!N$27)</f>
        <v>3.3366261765839114</v>
      </c>
      <c r="O31" s="132">
        <f>IF(SER_hh_emih_in!O31=0,0,SER_hh_emih_in!O31/SER_summary!O$27)</f>
        <v>3.2629138207781945</v>
      </c>
      <c r="P31" s="132">
        <f>IF(SER_hh_emih_in!P31=0,0,SER_hh_emih_in!P31/SER_summary!P$27)</f>
        <v>3.1325173716898189</v>
      </c>
      <c r="Q31" s="132">
        <f>IF(SER_hh_emih_in!Q31=0,0,SER_hh_emih_in!Q31/SER_summary!Q$27)</f>
        <v>3.4710913659541465</v>
      </c>
      <c r="R31" s="132">
        <f>IF(SER_hh_emih_in!R31=0,0,SER_hh_emih_in!R31/SER_summary!R$27)</f>
        <v>3.2312317834068796</v>
      </c>
      <c r="S31" s="132">
        <f>IF(SER_hh_emih_in!S31=0,0,SER_hh_emih_in!S31/SER_summary!S$27)</f>
        <v>2.8950492554357372</v>
      </c>
      <c r="T31" s="132">
        <f>IF(SER_hh_emih_in!T31=0,0,SER_hh_emih_in!T31/SER_summary!T$27)</f>
        <v>2.9646392373257955</v>
      </c>
      <c r="U31" s="132">
        <f>IF(SER_hh_emih_in!U31=0,0,SER_hh_emih_in!U31/SER_summary!U$27)</f>
        <v>3.0704714153636266</v>
      </c>
      <c r="V31" s="132">
        <f>IF(SER_hh_emih_in!V31=0,0,SER_hh_emih_in!V31/SER_summary!V$27)</f>
        <v>1.6804849044609318</v>
      </c>
      <c r="W31" s="132">
        <f>IF(SER_hh_emih_in!W31=0,0,SER_hh_emih_in!W31/SER_summary!W$27)</f>
        <v>2.0217150838081466</v>
      </c>
      <c r="X31" s="132">
        <f>IF(SER_hh_emih_in!X31=0,0,SER_hh_emih_in!X31/SER_summary!X$27)</f>
        <v>1.5280596459803286</v>
      </c>
      <c r="Y31" s="132">
        <f>IF(SER_hh_emih_in!Y31=0,0,SER_hh_emih_in!Y31/SER_summary!Y$27)</f>
        <v>1.5425683371743049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438.94767613050908</v>
      </c>
      <c r="C3" s="179">
        <f t="shared" ref="C3:W3" si="1">SUM(C4:C9)</f>
        <v>452.55431751605488</v>
      </c>
      <c r="D3" s="179">
        <f t="shared" si="1"/>
        <v>466.7221333603211</v>
      </c>
      <c r="E3" s="179">
        <f t="shared" si="1"/>
        <v>480.81339288050373</v>
      </c>
      <c r="F3" s="179">
        <f t="shared" si="1"/>
        <v>494.54088728730039</v>
      </c>
      <c r="G3" s="179">
        <f t="shared" si="1"/>
        <v>506.8918164050184</v>
      </c>
      <c r="H3" s="179">
        <f t="shared" si="1"/>
        <v>516.84374798809051</v>
      </c>
      <c r="I3" s="179">
        <f t="shared" si="1"/>
        <v>529.38369061183369</v>
      </c>
      <c r="J3" s="179">
        <f t="shared" si="1"/>
        <v>538.27311572317149</v>
      </c>
      <c r="K3" s="179">
        <f t="shared" si="1"/>
        <v>548.70128282674978</v>
      </c>
      <c r="L3" s="179">
        <f t="shared" si="1"/>
        <v>558.9163706795739</v>
      </c>
      <c r="M3" s="179">
        <f t="shared" si="1"/>
        <v>562.88147331618768</v>
      </c>
      <c r="N3" s="179">
        <f t="shared" si="1"/>
        <v>572.58191288625153</v>
      </c>
      <c r="O3" s="179">
        <f t="shared" si="1"/>
        <v>584.5432994899918</v>
      </c>
      <c r="P3" s="179">
        <f t="shared" si="1"/>
        <v>598.20444340680729</v>
      </c>
      <c r="Q3" s="179">
        <f t="shared" si="1"/>
        <v>613.73797002099604</v>
      </c>
      <c r="R3" s="179">
        <f t="shared" si="1"/>
        <v>618.0857593345861</v>
      </c>
      <c r="S3" s="179">
        <f t="shared" si="1"/>
        <v>633.31123855028466</v>
      </c>
      <c r="T3" s="179">
        <f t="shared" si="1"/>
        <v>635.10101548446255</v>
      </c>
      <c r="U3" s="179">
        <f t="shared" si="1"/>
        <v>634.85252945113962</v>
      </c>
      <c r="V3" s="179">
        <f t="shared" si="1"/>
        <v>611.63920194189086</v>
      </c>
      <c r="W3" s="179">
        <f t="shared" si="1"/>
        <v>632.45875981430322</v>
      </c>
      <c r="X3" s="179">
        <f t="shared" ref="X3:Y3" si="2">SUM(X4:X9)</f>
        <v>634.6347091720661</v>
      </c>
      <c r="Y3" s="179">
        <f t="shared" si="2"/>
        <v>650.78728251127814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38.784675834424455</v>
      </c>
      <c r="C4" s="180">
        <f t="shared" ref="C4:R9" si="4">C12*C44/11630</f>
        <v>39.626931940675192</v>
      </c>
      <c r="D4" s="180">
        <f t="shared" si="4"/>
        <v>40.634275940914854</v>
      </c>
      <c r="E4" s="180">
        <f t="shared" si="4"/>
        <v>41.747682473481241</v>
      </c>
      <c r="F4" s="180">
        <f t="shared" si="4"/>
        <v>42.744581534488937</v>
      </c>
      <c r="G4" s="180">
        <f t="shared" si="4"/>
        <v>43.713808160782193</v>
      </c>
      <c r="H4" s="180">
        <f t="shared" si="4"/>
        <v>44.527455816610733</v>
      </c>
      <c r="I4" s="180">
        <f t="shared" si="4"/>
        <v>45.618217400992101</v>
      </c>
      <c r="J4" s="180">
        <f t="shared" si="4"/>
        <v>46.093778957044222</v>
      </c>
      <c r="K4" s="180">
        <f t="shared" si="4"/>
        <v>46.843121219697444</v>
      </c>
      <c r="L4" s="180">
        <f t="shared" si="4"/>
        <v>47.714400320411329</v>
      </c>
      <c r="M4" s="180">
        <f t="shared" si="4"/>
        <v>47.836600903579679</v>
      </c>
      <c r="N4" s="180">
        <f t="shared" si="4"/>
        <v>47.816501687603434</v>
      </c>
      <c r="O4" s="180">
        <f t="shared" si="4"/>
        <v>47.837823466406483</v>
      </c>
      <c r="P4" s="180">
        <f t="shared" si="4"/>
        <v>47.963037747269084</v>
      </c>
      <c r="Q4" s="180">
        <f t="shared" si="4"/>
        <v>47.83810536121775</v>
      </c>
      <c r="R4" s="180">
        <f t="shared" si="4"/>
        <v>47.69468309468607</v>
      </c>
      <c r="S4" s="180">
        <f t="shared" ref="D4:W9" si="5">S12*S44/11630</f>
        <v>47.548607088207405</v>
      </c>
      <c r="T4" s="180">
        <f t="shared" si="5"/>
        <v>47.323819918047995</v>
      </c>
      <c r="U4" s="180">
        <f t="shared" si="5"/>
        <v>47.363827416673161</v>
      </c>
      <c r="V4" s="180">
        <f t="shared" si="5"/>
        <v>47.377709594553025</v>
      </c>
      <c r="W4" s="180">
        <f t="shared" si="5"/>
        <v>47.396622661629209</v>
      </c>
      <c r="X4" s="180">
        <f t="shared" ref="X4:Y4" si="6">X12*X44/11630</f>
        <v>47.344645761211389</v>
      </c>
      <c r="Y4" s="180">
        <f t="shared" si="6"/>
        <v>47.246415929813566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51.090893630323947</v>
      </c>
      <c r="C5" s="180">
        <f t="shared" si="4"/>
        <v>51.455245440917892</v>
      </c>
      <c r="D5" s="180">
        <f t="shared" si="5"/>
        <v>52.202443462627791</v>
      </c>
      <c r="E5" s="180">
        <f t="shared" si="5"/>
        <v>53.064110312471144</v>
      </c>
      <c r="F5" s="180">
        <f t="shared" si="5"/>
        <v>53.889532714103431</v>
      </c>
      <c r="G5" s="180">
        <f t="shared" si="5"/>
        <v>54.827121662656694</v>
      </c>
      <c r="H5" s="180">
        <f t="shared" si="5"/>
        <v>55.46948330798962</v>
      </c>
      <c r="I5" s="180">
        <f t="shared" si="5"/>
        <v>55.722947697625273</v>
      </c>
      <c r="J5" s="180">
        <f t="shared" si="5"/>
        <v>56.327673641430934</v>
      </c>
      <c r="K5" s="180">
        <f t="shared" si="5"/>
        <v>56.758408566469726</v>
      </c>
      <c r="L5" s="180">
        <f t="shared" si="5"/>
        <v>57.411395391609169</v>
      </c>
      <c r="M5" s="180">
        <f t="shared" si="5"/>
        <v>58.235857993581639</v>
      </c>
      <c r="N5" s="180">
        <f t="shared" si="5"/>
        <v>59.152288267230972</v>
      </c>
      <c r="O5" s="180">
        <f t="shared" si="5"/>
        <v>59.79103726760053</v>
      </c>
      <c r="P5" s="180">
        <f t="shared" si="5"/>
        <v>60.748415389892891</v>
      </c>
      <c r="Q5" s="180">
        <f t="shared" si="5"/>
        <v>62.19078673898327</v>
      </c>
      <c r="R5" s="180">
        <f t="shared" si="5"/>
        <v>61.705641200808486</v>
      </c>
      <c r="S5" s="180">
        <f t="shared" si="5"/>
        <v>61.2580753091056</v>
      </c>
      <c r="T5" s="180">
        <f t="shared" si="5"/>
        <v>59.606763932963368</v>
      </c>
      <c r="U5" s="180">
        <f t="shared" si="5"/>
        <v>57.097147982244657</v>
      </c>
      <c r="V5" s="180">
        <f t="shared" si="5"/>
        <v>54.063602797022753</v>
      </c>
      <c r="W5" s="180">
        <f t="shared" si="5"/>
        <v>51.866125516656126</v>
      </c>
      <c r="X5" s="180">
        <f t="shared" ref="X5:Y5" si="7">X13*X45/11630</f>
        <v>49.904207621855171</v>
      </c>
      <c r="Y5" s="180">
        <f t="shared" si="7"/>
        <v>48.688046501913938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154.47131534034889</v>
      </c>
      <c r="C6" s="180">
        <f t="shared" si="4"/>
        <v>158.88517578716448</v>
      </c>
      <c r="D6" s="180">
        <f t="shared" si="5"/>
        <v>162.52941410587758</v>
      </c>
      <c r="E6" s="180">
        <f t="shared" si="5"/>
        <v>166.06055158656804</v>
      </c>
      <c r="F6" s="180">
        <f t="shared" si="5"/>
        <v>169.5473112015766</v>
      </c>
      <c r="G6" s="180">
        <f t="shared" si="5"/>
        <v>171.91940168824016</v>
      </c>
      <c r="H6" s="180">
        <f t="shared" si="5"/>
        <v>173.26651406867356</v>
      </c>
      <c r="I6" s="180">
        <f t="shared" si="5"/>
        <v>177.53029085570773</v>
      </c>
      <c r="J6" s="180">
        <f t="shared" si="5"/>
        <v>179.69249328118946</v>
      </c>
      <c r="K6" s="180">
        <f t="shared" si="5"/>
        <v>182.98898306879536</v>
      </c>
      <c r="L6" s="180">
        <f t="shared" si="5"/>
        <v>186.85098934181266</v>
      </c>
      <c r="M6" s="180">
        <f t="shared" si="5"/>
        <v>188.71485354301245</v>
      </c>
      <c r="N6" s="180">
        <f t="shared" si="5"/>
        <v>190.2842692125553</v>
      </c>
      <c r="O6" s="180">
        <f t="shared" si="5"/>
        <v>191.47019363990157</v>
      </c>
      <c r="P6" s="180">
        <f t="shared" si="5"/>
        <v>193.81113262860467</v>
      </c>
      <c r="Q6" s="180">
        <f t="shared" si="5"/>
        <v>194.91885559790921</v>
      </c>
      <c r="R6" s="180">
        <f t="shared" si="5"/>
        <v>193.12368424751918</v>
      </c>
      <c r="S6" s="180">
        <f t="shared" si="5"/>
        <v>193.07062818461125</v>
      </c>
      <c r="T6" s="180">
        <f t="shared" si="5"/>
        <v>188.12519819438262</v>
      </c>
      <c r="U6" s="180">
        <f t="shared" si="5"/>
        <v>179.0821516595104</v>
      </c>
      <c r="V6" s="180">
        <f t="shared" si="5"/>
        <v>156.46635542512919</v>
      </c>
      <c r="W6" s="180">
        <f t="shared" si="5"/>
        <v>158.60059391330921</v>
      </c>
      <c r="X6" s="180">
        <f t="shared" ref="X6:Y6" si="8">X14*X46/11630</f>
        <v>150.19461253105803</v>
      </c>
      <c r="Y6" s="180">
        <f t="shared" si="8"/>
        <v>142.27499307771575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79.170937968856052</v>
      </c>
      <c r="C7" s="180">
        <f t="shared" si="4"/>
        <v>79.015840198330054</v>
      </c>
      <c r="D7" s="180">
        <f t="shared" si="5"/>
        <v>78.883870570842149</v>
      </c>
      <c r="E7" s="180">
        <f t="shared" si="5"/>
        <v>78.649153410871889</v>
      </c>
      <c r="F7" s="180">
        <f t="shared" si="5"/>
        <v>78.352779599488088</v>
      </c>
      <c r="G7" s="180">
        <f t="shared" si="5"/>
        <v>77.979446347611642</v>
      </c>
      <c r="H7" s="180">
        <f t="shared" si="5"/>
        <v>77.629243676804052</v>
      </c>
      <c r="I7" s="180">
        <f t="shared" si="5"/>
        <v>77.276442175684593</v>
      </c>
      <c r="J7" s="180">
        <f t="shared" si="5"/>
        <v>77.010679918678207</v>
      </c>
      <c r="K7" s="180">
        <f t="shared" si="5"/>
        <v>76.869487091150759</v>
      </c>
      <c r="L7" s="180">
        <f t="shared" si="5"/>
        <v>76.534969092243969</v>
      </c>
      <c r="M7" s="180">
        <f t="shared" si="5"/>
        <v>76.419279538917507</v>
      </c>
      <c r="N7" s="180">
        <f t="shared" si="5"/>
        <v>76.370127051493711</v>
      </c>
      <c r="O7" s="180">
        <f t="shared" si="5"/>
        <v>76.501290256263658</v>
      </c>
      <c r="P7" s="180">
        <f t="shared" si="5"/>
        <v>76.82167412183459</v>
      </c>
      <c r="Q7" s="180">
        <f t="shared" si="5"/>
        <v>77.580578145257917</v>
      </c>
      <c r="R7" s="180">
        <f t="shared" si="5"/>
        <v>77.374855149734273</v>
      </c>
      <c r="S7" s="180">
        <f t="shared" si="5"/>
        <v>77.100412982093445</v>
      </c>
      <c r="T7" s="180">
        <f t="shared" si="5"/>
        <v>76.674519224658638</v>
      </c>
      <c r="U7" s="180">
        <f t="shared" si="5"/>
        <v>76.180274817460031</v>
      </c>
      <c r="V7" s="180">
        <f t="shared" si="5"/>
        <v>75.678846012690229</v>
      </c>
      <c r="W7" s="180">
        <f t="shared" si="5"/>
        <v>75.414373899718626</v>
      </c>
      <c r="X7" s="180">
        <f t="shared" ref="X7:Y7" si="9">X15*X47/11630</f>
        <v>75.048919530207215</v>
      </c>
      <c r="Y7" s="180">
        <f t="shared" si="9"/>
        <v>74.741850920645248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35.395677765979244</v>
      </c>
      <c r="C8" s="55">
        <f t="shared" si="4"/>
        <v>37.657336917296917</v>
      </c>
      <c r="D8" s="55">
        <f t="shared" si="5"/>
        <v>40.991760285161455</v>
      </c>
      <c r="E8" s="55">
        <f t="shared" si="5"/>
        <v>44.503250635824294</v>
      </c>
      <c r="F8" s="55">
        <f t="shared" si="5"/>
        <v>48.390300796862377</v>
      </c>
      <c r="G8" s="55">
        <f t="shared" si="5"/>
        <v>52.619766928770595</v>
      </c>
      <c r="H8" s="55">
        <f t="shared" si="5"/>
        <v>56.179862833551965</v>
      </c>
      <c r="I8" s="55">
        <f t="shared" si="5"/>
        <v>60.133317451568793</v>
      </c>
      <c r="J8" s="55">
        <f t="shared" si="5"/>
        <v>62.782795645842533</v>
      </c>
      <c r="K8" s="55">
        <f t="shared" si="5"/>
        <v>66.155941981327757</v>
      </c>
      <c r="L8" s="55">
        <f t="shared" si="5"/>
        <v>68.557198805653428</v>
      </c>
      <c r="M8" s="55">
        <f t="shared" si="5"/>
        <v>69.712901857340299</v>
      </c>
      <c r="N8" s="55">
        <f t="shared" si="5"/>
        <v>70.848109806329234</v>
      </c>
      <c r="O8" s="55">
        <f t="shared" si="5"/>
        <v>71.987266860312829</v>
      </c>
      <c r="P8" s="55">
        <f t="shared" si="5"/>
        <v>72.790754549542882</v>
      </c>
      <c r="Q8" s="55">
        <f t="shared" si="5"/>
        <v>73.492688116983132</v>
      </c>
      <c r="R8" s="55">
        <f t="shared" si="5"/>
        <v>76.839418157935057</v>
      </c>
      <c r="S8" s="55">
        <f t="shared" si="5"/>
        <v>80.305153856911346</v>
      </c>
      <c r="T8" s="55">
        <f t="shared" si="5"/>
        <v>82.936292155224479</v>
      </c>
      <c r="U8" s="55">
        <f t="shared" si="5"/>
        <v>84.622525946227228</v>
      </c>
      <c r="V8" s="55">
        <f t="shared" si="5"/>
        <v>79.318334405494525</v>
      </c>
      <c r="W8" s="55">
        <f t="shared" si="5"/>
        <v>86.98039356188923</v>
      </c>
      <c r="X8" s="55">
        <f t="shared" ref="X8:Y8" si="10">X16*X48/11630</f>
        <v>88.482575465236806</v>
      </c>
      <c r="Y8" s="55">
        <f t="shared" si="10"/>
        <v>89.834763629698699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80.034175590576439</v>
      </c>
      <c r="C9" s="63">
        <f t="shared" si="4"/>
        <v>85.913787231670355</v>
      </c>
      <c r="D9" s="63">
        <f t="shared" si="5"/>
        <v>91.480368994897248</v>
      </c>
      <c r="E9" s="63">
        <f t="shared" si="5"/>
        <v>96.788644461287106</v>
      </c>
      <c r="F9" s="63">
        <f t="shared" si="5"/>
        <v>101.61638144078096</v>
      </c>
      <c r="G9" s="63">
        <f t="shared" si="5"/>
        <v>105.83227161695707</v>
      </c>
      <c r="H9" s="63">
        <f t="shared" si="5"/>
        <v>109.77118828446058</v>
      </c>
      <c r="I9" s="63">
        <f t="shared" si="5"/>
        <v>113.10247503025521</v>
      </c>
      <c r="J9" s="63">
        <f t="shared" si="5"/>
        <v>116.36569427898617</v>
      </c>
      <c r="K9" s="63">
        <f t="shared" si="5"/>
        <v>119.08534089930878</v>
      </c>
      <c r="L9" s="63">
        <f t="shared" si="5"/>
        <v>121.84741772784334</v>
      </c>
      <c r="M9" s="63">
        <f t="shared" si="5"/>
        <v>121.96197947975615</v>
      </c>
      <c r="N9" s="63">
        <f t="shared" si="5"/>
        <v>128.11061686103886</v>
      </c>
      <c r="O9" s="63">
        <f t="shared" si="5"/>
        <v>136.95568799950669</v>
      </c>
      <c r="P9" s="63">
        <f t="shared" si="5"/>
        <v>146.06942896966319</v>
      </c>
      <c r="Q9" s="63">
        <f t="shared" si="5"/>
        <v>157.7169560606448</v>
      </c>
      <c r="R9" s="63">
        <f t="shared" si="5"/>
        <v>161.34747748390305</v>
      </c>
      <c r="S9" s="63">
        <f t="shared" si="5"/>
        <v>174.02836112935563</v>
      </c>
      <c r="T9" s="63">
        <f t="shared" si="5"/>
        <v>180.43442205918547</v>
      </c>
      <c r="U9" s="63">
        <f t="shared" si="5"/>
        <v>190.50660162902415</v>
      </c>
      <c r="V9" s="63">
        <f t="shared" si="5"/>
        <v>198.73435370700108</v>
      </c>
      <c r="W9" s="63">
        <f t="shared" si="5"/>
        <v>212.2006502611008</v>
      </c>
      <c r="X9" s="63">
        <f t="shared" ref="X9:Y9" si="11">X17*X49/11630</f>
        <v>223.65974826249754</v>
      </c>
      <c r="Y9" s="63">
        <f t="shared" si="11"/>
        <v>248.00121245149089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1983.088302977824</v>
      </c>
      <c r="C11" s="179">
        <f t="shared" ref="C11:W11" si="13">SUM(C12:C17)</f>
        <v>2036.9657644380004</v>
      </c>
      <c r="D11" s="179">
        <f t="shared" si="13"/>
        <v>2100.0194120492029</v>
      </c>
      <c r="E11" s="179">
        <f t="shared" si="13"/>
        <v>2164.0016692437193</v>
      </c>
      <c r="F11" s="179">
        <f t="shared" si="13"/>
        <v>2230.2255411477436</v>
      </c>
      <c r="G11" s="179">
        <f t="shared" si="13"/>
        <v>2294.2978287143437</v>
      </c>
      <c r="H11" s="179">
        <f t="shared" si="13"/>
        <v>2346.5324531830611</v>
      </c>
      <c r="I11" s="179">
        <f t="shared" si="13"/>
        <v>2415.2535837725718</v>
      </c>
      <c r="J11" s="179">
        <f t="shared" si="13"/>
        <v>2459.2930178571314</v>
      </c>
      <c r="K11" s="179">
        <f t="shared" si="13"/>
        <v>2517.3765456102251</v>
      </c>
      <c r="L11" s="179">
        <f t="shared" si="13"/>
        <v>2562.8751987052074</v>
      </c>
      <c r="M11" s="179">
        <f t="shared" si="13"/>
        <v>2580.1582648030103</v>
      </c>
      <c r="N11" s="179">
        <f t="shared" si="13"/>
        <v>2612.9480694975473</v>
      </c>
      <c r="O11" s="179">
        <f t="shared" si="13"/>
        <v>2653.6573454665272</v>
      </c>
      <c r="P11" s="179">
        <f t="shared" si="13"/>
        <v>2702.6958465449839</v>
      </c>
      <c r="Q11" s="179">
        <f t="shared" si="13"/>
        <v>2762.0052481845842</v>
      </c>
      <c r="R11" s="179">
        <f t="shared" si="13"/>
        <v>2786.6405416608418</v>
      </c>
      <c r="S11" s="179">
        <f t="shared" si="13"/>
        <v>2824.4180937677579</v>
      </c>
      <c r="T11" s="179">
        <f t="shared" si="13"/>
        <v>2838.7752939980987</v>
      </c>
      <c r="U11" s="179">
        <f t="shared" si="13"/>
        <v>2848.8184238235926</v>
      </c>
      <c r="V11" s="179">
        <f t="shared" si="13"/>
        <v>2852.3098206708623</v>
      </c>
      <c r="W11" s="179">
        <f t="shared" si="13"/>
        <v>2854.5290062439026</v>
      </c>
      <c r="X11" s="179">
        <f t="shared" ref="X11:Y11" si="14">SUM(X12:X17)</f>
        <v>2853.4814180826934</v>
      </c>
      <c r="Y11" s="179">
        <f t="shared" si="14"/>
        <v>2878.6242257593453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51.491527392049832</v>
      </c>
      <c r="C12" s="180">
        <f t="shared" ref="C12:W12" si="15">C20*C52</f>
        <v>52.609728135850737</v>
      </c>
      <c r="D12" s="180">
        <f t="shared" si="15"/>
        <v>53.94710378913696</v>
      </c>
      <c r="E12" s="180">
        <f t="shared" si="15"/>
        <v>55.425290772441436</v>
      </c>
      <c r="F12" s="180">
        <f t="shared" si="15"/>
        <v>56.74879945731805</v>
      </c>
      <c r="G12" s="180">
        <f t="shared" si="15"/>
        <v>58.035569510262206</v>
      </c>
      <c r="H12" s="180">
        <f t="shared" si="15"/>
        <v>59.115788943742309</v>
      </c>
      <c r="I12" s="180">
        <f t="shared" si="15"/>
        <v>60.563911914787461</v>
      </c>
      <c r="J12" s="180">
        <f t="shared" si="15"/>
        <v>61.195279597080422</v>
      </c>
      <c r="K12" s="180">
        <f t="shared" si="15"/>
        <v>62.19012554624215</v>
      </c>
      <c r="L12" s="180">
        <f t="shared" si="15"/>
        <v>63.346857959632828</v>
      </c>
      <c r="M12" s="180">
        <f t="shared" si="15"/>
        <v>63.509094578610899</v>
      </c>
      <c r="N12" s="180">
        <f t="shared" si="15"/>
        <v>63.482410345528287</v>
      </c>
      <c r="O12" s="180">
        <f t="shared" si="15"/>
        <v>63.51071768428168</v>
      </c>
      <c r="P12" s="180">
        <f t="shared" si="15"/>
        <v>63.676955365381218</v>
      </c>
      <c r="Q12" s="180">
        <f t="shared" si="15"/>
        <v>63.511091935041371</v>
      </c>
      <c r="R12" s="180">
        <f t="shared" si="15"/>
        <v>63.320680866575216</v>
      </c>
      <c r="S12" s="180">
        <f t="shared" si="15"/>
        <v>63.126746625097248</v>
      </c>
      <c r="T12" s="180">
        <f t="shared" si="15"/>
        <v>62.828313430011178</v>
      </c>
      <c r="U12" s="180">
        <f t="shared" si="15"/>
        <v>62.881428408208762</v>
      </c>
      <c r="V12" s="180">
        <f t="shared" si="15"/>
        <v>62.899858742540154</v>
      </c>
      <c r="W12" s="180">
        <f t="shared" si="15"/>
        <v>62.924968214012274</v>
      </c>
      <c r="X12" s="180">
        <f t="shared" ref="X12:Y12" si="16">X20*X52</f>
        <v>62.8559623519279</v>
      </c>
      <c r="Y12" s="180">
        <f t="shared" si="16"/>
        <v>62.725549915951092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142.8870913797534</v>
      </c>
      <c r="C13" s="180">
        <f t="shared" ref="C13:W13" si="17">C21*C53/1000</f>
        <v>144.11427565392592</v>
      </c>
      <c r="D13" s="180">
        <f t="shared" si="17"/>
        <v>146.33993446953167</v>
      </c>
      <c r="E13" s="180">
        <f t="shared" si="17"/>
        <v>148.90580124606313</v>
      </c>
      <c r="F13" s="180">
        <f t="shared" si="17"/>
        <v>151.27004786543168</v>
      </c>
      <c r="G13" s="180">
        <f t="shared" si="17"/>
        <v>153.9837791403389</v>
      </c>
      <c r="H13" s="180">
        <f t="shared" si="17"/>
        <v>156.00091413148326</v>
      </c>
      <c r="I13" s="180">
        <f t="shared" si="17"/>
        <v>156.81913900323255</v>
      </c>
      <c r="J13" s="180">
        <f t="shared" si="17"/>
        <v>158.67641843769621</v>
      </c>
      <c r="K13" s="180">
        <f t="shared" si="17"/>
        <v>160.11953967949148</v>
      </c>
      <c r="L13" s="180">
        <f t="shared" si="17"/>
        <v>162.17124260002603</v>
      </c>
      <c r="M13" s="180">
        <f t="shared" si="17"/>
        <v>164.90489496559334</v>
      </c>
      <c r="N13" s="180">
        <f t="shared" si="17"/>
        <v>168.32039228840293</v>
      </c>
      <c r="O13" s="180">
        <f t="shared" si="17"/>
        <v>171.61294761779581</v>
      </c>
      <c r="P13" s="180">
        <f t="shared" si="17"/>
        <v>175.79910656107401</v>
      </c>
      <c r="Q13" s="180">
        <f t="shared" si="17"/>
        <v>181.50273152674123</v>
      </c>
      <c r="R13" s="180">
        <f t="shared" si="17"/>
        <v>179.40279472672032</v>
      </c>
      <c r="S13" s="180">
        <f t="shared" si="17"/>
        <v>176.31166966788638</v>
      </c>
      <c r="T13" s="180">
        <f t="shared" si="17"/>
        <v>172.15204216198666</v>
      </c>
      <c r="U13" s="180">
        <f t="shared" si="17"/>
        <v>166.88685566265366</v>
      </c>
      <c r="V13" s="180">
        <f t="shared" si="17"/>
        <v>161.02303296820526</v>
      </c>
      <c r="W13" s="180">
        <f t="shared" si="17"/>
        <v>155.23515311079103</v>
      </c>
      <c r="X13" s="180">
        <f t="shared" ref="X13:Y13" si="18">X21*X53/1000</f>
        <v>150.46961607527606</v>
      </c>
      <c r="Y13" s="180">
        <f t="shared" si="18"/>
        <v>147.89831060884563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761.8565582326388</v>
      </c>
      <c r="C14" s="180">
        <f t="shared" ref="C14:W14" si="19">C22*C54</f>
        <v>779.24732709448244</v>
      </c>
      <c r="D14" s="180">
        <f t="shared" si="19"/>
        <v>793.41238810138873</v>
      </c>
      <c r="E14" s="180">
        <f t="shared" si="19"/>
        <v>807.1046832578769</v>
      </c>
      <c r="F14" s="180">
        <f t="shared" si="19"/>
        <v>819.39756840382381</v>
      </c>
      <c r="G14" s="180">
        <f t="shared" si="19"/>
        <v>826.67230152635102</v>
      </c>
      <c r="H14" s="180">
        <f t="shared" si="19"/>
        <v>830.75490620158257</v>
      </c>
      <c r="I14" s="180">
        <f t="shared" si="19"/>
        <v>848.18639245119016</v>
      </c>
      <c r="J14" s="180">
        <f t="shared" si="19"/>
        <v>856.00942917109785</v>
      </c>
      <c r="K14" s="180">
        <f t="shared" si="19"/>
        <v>869.76166777419553</v>
      </c>
      <c r="L14" s="180">
        <f t="shared" si="19"/>
        <v>884.22977533200083</v>
      </c>
      <c r="M14" s="180">
        <f t="shared" si="19"/>
        <v>888.57849441334508</v>
      </c>
      <c r="N14" s="180">
        <f t="shared" si="19"/>
        <v>892.80129784940891</v>
      </c>
      <c r="O14" s="180">
        <f t="shared" si="19"/>
        <v>894.69903398719259</v>
      </c>
      <c r="P14" s="180">
        <f t="shared" si="19"/>
        <v>901.35642771410869</v>
      </c>
      <c r="Q14" s="180">
        <f t="shared" si="19"/>
        <v>902.60272985713743</v>
      </c>
      <c r="R14" s="180">
        <f t="shared" si="19"/>
        <v>887.07167021861551</v>
      </c>
      <c r="S14" s="180">
        <f t="shared" si="19"/>
        <v>871.84133716364681</v>
      </c>
      <c r="T14" s="180">
        <f t="shared" si="19"/>
        <v>848.12598488966444</v>
      </c>
      <c r="U14" s="180">
        <f t="shared" si="19"/>
        <v>815.48246840157424</v>
      </c>
      <c r="V14" s="180">
        <f t="shared" si="19"/>
        <v>778.03265347774834</v>
      </c>
      <c r="W14" s="180">
        <f t="shared" si="19"/>
        <v>736.58333274356175</v>
      </c>
      <c r="X14" s="180">
        <f t="shared" ref="X14:Y14" si="20">X22*X54</f>
        <v>698.77834254913239</v>
      </c>
      <c r="Y14" s="180">
        <f t="shared" si="20"/>
        <v>662.51873832245178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105.10936170979406</v>
      </c>
      <c r="C15" s="180">
        <f t="shared" ref="C15:W15" si="21">C23*C55/1000</f>
        <v>104.90344994367337</v>
      </c>
      <c r="D15" s="180">
        <f t="shared" si="21"/>
        <v>104.72824369165457</v>
      </c>
      <c r="E15" s="180">
        <f t="shared" si="21"/>
        <v>104.41662718817813</v>
      </c>
      <c r="F15" s="180">
        <f t="shared" si="21"/>
        <v>104.02315373767652</v>
      </c>
      <c r="G15" s="180">
        <f t="shared" si="21"/>
        <v>103.52750696606434</v>
      </c>
      <c r="H15" s="180">
        <f t="shared" si="21"/>
        <v>103.06256894534599</v>
      </c>
      <c r="I15" s="180">
        <f t="shared" si="21"/>
        <v>102.59418065105156</v>
      </c>
      <c r="J15" s="180">
        <f t="shared" si="21"/>
        <v>102.24134788290269</v>
      </c>
      <c r="K15" s="180">
        <f t="shared" si="21"/>
        <v>102.05389667466704</v>
      </c>
      <c r="L15" s="180">
        <f t="shared" si="21"/>
        <v>101.60978202543355</v>
      </c>
      <c r="M15" s="180">
        <f t="shared" si="21"/>
        <v>101.45618961616559</v>
      </c>
      <c r="N15" s="180">
        <f t="shared" si="21"/>
        <v>101.39093351699447</v>
      </c>
      <c r="O15" s="180">
        <f t="shared" si="21"/>
        <v>101.56506914159202</v>
      </c>
      <c r="P15" s="180">
        <f t="shared" si="21"/>
        <v>101.99041895398817</v>
      </c>
      <c r="Q15" s="180">
        <f t="shared" si="21"/>
        <v>102.99795934124992</v>
      </c>
      <c r="R15" s="180">
        <f t="shared" si="21"/>
        <v>102.72483623189611</v>
      </c>
      <c r="S15" s="180">
        <f t="shared" si="21"/>
        <v>102.36047979243685</v>
      </c>
      <c r="T15" s="180">
        <f t="shared" si="21"/>
        <v>101.79505234963243</v>
      </c>
      <c r="U15" s="180">
        <f t="shared" si="21"/>
        <v>101.13888083642242</v>
      </c>
      <c r="V15" s="180">
        <f t="shared" si="21"/>
        <v>100.47317113328623</v>
      </c>
      <c r="W15" s="180">
        <f t="shared" si="21"/>
        <v>100.12205119334793</v>
      </c>
      <c r="X15" s="180">
        <f t="shared" ref="X15:Y15" si="22">X23*X55/1000</f>
        <v>99.636864627432658</v>
      </c>
      <c r="Y15" s="180">
        <f t="shared" si="22"/>
        <v>99.229192489395473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493.61792124460618</v>
      </c>
      <c r="C16" s="55">
        <f t="shared" ref="C16:W16" si="23">C24*C56</f>
        <v>522.66167477668318</v>
      </c>
      <c r="D16" s="55">
        <f t="shared" si="23"/>
        <v>566.47166608927353</v>
      </c>
      <c r="E16" s="55">
        <f t="shared" si="23"/>
        <v>612.54112605947705</v>
      </c>
      <c r="F16" s="55">
        <f t="shared" si="23"/>
        <v>663.57895771616529</v>
      </c>
      <c r="G16" s="55">
        <f t="shared" si="23"/>
        <v>719.09297028200751</v>
      </c>
      <c r="H16" s="55">
        <f t="shared" si="23"/>
        <v>765.27118570917821</v>
      </c>
      <c r="I16" s="55">
        <f t="shared" si="23"/>
        <v>816.64518118603974</v>
      </c>
      <c r="J16" s="55">
        <f t="shared" si="23"/>
        <v>850.19336469319046</v>
      </c>
      <c r="K16" s="55">
        <f t="shared" si="23"/>
        <v>893.45331313198676</v>
      </c>
      <c r="L16" s="55">
        <f t="shared" si="23"/>
        <v>923.5113782381585</v>
      </c>
      <c r="M16" s="55">
        <f t="shared" si="23"/>
        <v>937.55345213963949</v>
      </c>
      <c r="N16" s="55">
        <f t="shared" si="23"/>
        <v>951.34425095020356</v>
      </c>
      <c r="O16" s="55">
        <f t="shared" si="23"/>
        <v>965.20954925091564</v>
      </c>
      <c r="P16" s="55">
        <f t="shared" si="23"/>
        <v>974.59915989779381</v>
      </c>
      <c r="Q16" s="55">
        <f t="shared" si="23"/>
        <v>982.65933727521838</v>
      </c>
      <c r="R16" s="55">
        <f t="shared" si="23"/>
        <v>1018.5909717036957</v>
      </c>
      <c r="S16" s="55">
        <f t="shared" si="23"/>
        <v>1051.6775336858345</v>
      </c>
      <c r="T16" s="55">
        <f t="shared" si="23"/>
        <v>1082.3728335488915</v>
      </c>
      <c r="U16" s="55">
        <f t="shared" si="23"/>
        <v>1111.0473760926404</v>
      </c>
      <c r="V16" s="55">
        <f t="shared" si="23"/>
        <v>1137.1943989781289</v>
      </c>
      <c r="W16" s="55">
        <f t="shared" si="23"/>
        <v>1164.7231696454423</v>
      </c>
      <c r="X16" s="55">
        <f t="shared" ref="X16:Y16" si="24">X24*X56</f>
        <v>1184.3645222261998</v>
      </c>
      <c r="Y16" s="55">
        <f t="shared" si="24"/>
        <v>1202.2235579079597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428.12584301898187</v>
      </c>
      <c r="C17" s="63">
        <f t="shared" ref="C17:W17" si="25">C25*C57/1000</f>
        <v>433.42930883338488</v>
      </c>
      <c r="D17" s="63">
        <f t="shared" si="25"/>
        <v>435.1200759082177</v>
      </c>
      <c r="E17" s="63">
        <f t="shared" si="25"/>
        <v>435.60814071968235</v>
      </c>
      <c r="F17" s="63">
        <f t="shared" si="25"/>
        <v>435.20701396732829</v>
      </c>
      <c r="G17" s="63">
        <f t="shared" si="25"/>
        <v>432.98570128931988</v>
      </c>
      <c r="H17" s="63">
        <f t="shared" si="25"/>
        <v>432.32708925172898</v>
      </c>
      <c r="I17" s="63">
        <f t="shared" si="25"/>
        <v>430.44477856627043</v>
      </c>
      <c r="J17" s="63">
        <f t="shared" si="25"/>
        <v>430.97717807516375</v>
      </c>
      <c r="K17" s="63">
        <f t="shared" si="25"/>
        <v>429.79800280364213</v>
      </c>
      <c r="L17" s="63">
        <f t="shared" si="25"/>
        <v>428.00616254995577</v>
      </c>
      <c r="M17" s="63">
        <f t="shared" si="25"/>
        <v>424.15613908965582</v>
      </c>
      <c r="N17" s="63">
        <f t="shared" si="25"/>
        <v>435.60878454700907</v>
      </c>
      <c r="O17" s="63">
        <f t="shared" si="25"/>
        <v>457.06002778474925</v>
      </c>
      <c r="P17" s="63">
        <f t="shared" si="25"/>
        <v>485.27377805263808</v>
      </c>
      <c r="Q17" s="63">
        <f t="shared" si="25"/>
        <v>528.73139824919599</v>
      </c>
      <c r="R17" s="63">
        <f t="shared" si="25"/>
        <v>535.52958791333913</v>
      </c>
      <c r="S17" s="63">
        <f t="shared" si="25"/>
        <v>559.10032683285647</v>
      </c>
      <c r="T17" s="63">
        <f t="shared" si="25"/>
        <v>571.50106761791221</v>
      </c>
      <c r="U17" s="63">
        <f t="shared" si="25"/>
        <v>591.38141442209348</v>
      </c>
      <c r="V17" s="63">
        <f t="shared" si="25"/>
        <v>612.6867053709534</v>
      </c>
      <c r="W17" s="63">
        <f t="shared" si="25"/>
        <v>634.94033133674736</v>
      </c>
      <c r="X17" s="63">
        <f t="shared" ref="X17:Y17" si="26">X25*X57/1000</f>
        <v>657.37611025272463</v>
      </c>
      <c r="Y17" s="63">
        <f t="shared" si="26"/>
        <v>704.02887651474168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83.077636115445287</v>
      </c>
      <c r="C20" s="181">
        <v>85.518976479679424</v>
      </c>
      <c r="D20" s="181">
        <v>88.441421138633913</v>
      </c>
      <c r="E20" s="181">
        <v>91.711033858749516</v>
      </c>
      <c r="F20" s="181">
        <v>94.796757020285625</v>
      </c>
      <c r="G20" s="181">
        <v>97.901923592710858</v>
      </c>
      <c r="H20" s="181">
        <v>100.71669606275663</v>
      </c>
      <c r="I20" s="181">
        <v>104.34923928491632</v>
      </c>
      <c r="J20" s="181">
        <v>106.5002837685159</v>
      </c>
      <c r="K20" s="181">
        <v>109.47524330923981</v>
      </c>
      <c r="L20" s="181">
        <v>112.90268876861074</v>
      </c>
      <c r="M20" s="181">
        <v>114.46055812786867</v>
      </c>
      <c r="N20" s="181">
        <v>115.75477626141743</v>
      </c>
      <c r="O20" s="181">
        <v>117.2907470488598</v>
      </c>
      <c r="P20" s="181">
        <v>119.25801444308398</v>
      </c>
      <c r="Q20" s="181">
        <v>120.66042883524457</v>
      </c>
      <c r="R20" s="181">
        <v>122.10708952646789</v>
      </c>
      <c r="S20" s="181">
        <v>123.67060254307933</v>
      </c>
      <c r="T20" s="181">
        <v>125.12882820844246</v>
      </c>
      <c r="U20" s="181">
        <v>126.64942772255114</v>
      </c>
      <c r="V20" s="181">
        <v>128.20734474438271</v>
      </c>
      <c r="W20" s="181">
        <v>129.84171452967482</v>
      </c>
      <c r="X20" s="181">
        <v>131.19227482996749</v>
      </c>
      <c r="Y20" s="181">
        <v>132.39638102753051</v>
      </c>
      <c r="DA20" s="190" t="s">
        <v>922</v>
      </c>
    </row>
    <row r="21" spans="1:105" ht="12" customHeight="1" x14ac:dyDescent="0.25">
      <c r="A21" s="131" t="s">
        <v>156</v>
      </c>
      <c r="B21" s="181">
        <v>800.85893787998873</v>
      </c>
      <c r="C21" s="181">
        <v>815.17885079189352</v>
      </c>
      <c r="D21" s="181">
        <v>837.55341576515957</v>
      </c>
      <c r="E21" s="181">
        <v>864.5671881753932</v>
      </c>
      <c r="F21" s="181">
        <v>892.78337144905311</v>
      </c>
      <c r="G21" s="181">
        <v>926.79711715140002</v>
      </c>
      <c r="H21" s="181">
        <v>959.51958433433117</v>
      </c>
      <c r="I21" s="181">
        <v>987.82092791533125</v>
      </c>
      <c r="J21" s="181">
        <v>1013.5929991762777</v>
      </c>
      <c r="K21" s="181">
        <v>1038.5851281100938</v>
      </c>
      <c r="L21" s="181">
        <v>1070.2145559933524</v>
      </c>
      <c r="M21" s="181">
        <v>1109.869371010333</v>
      </c>
      <c r="N21" s="181">
        <v>1159.7627506534211</v>
      </c>
      <c r="O21" s="181">
        <v>1215.4605569996572</v>
      </c>
      <c r="P21" s="181">
        <v>1288.6760753416727</v>
      </c>
      <c r="Q21" s="181">
        <v>1383.8393949308306</v>
      </c>
      <c r="R21" s="181">
        <v>1419.9271241519666</v>
      </c>
      <c r="S21" s="181">
        <v>1456.5666095726326</v>
      </c>
      <c r="T21" s="181">
        <v>1491.9724793997093</v>
      </c>
      <c r="U21" s="181">
        <v>1526.3400352211506</v>
      </c>
      <c r="V21" s="181">
        <v>1558.3744088111828</v>
      </c>
      <c r="W21" s="181">
        <v>1586.5409674465091</v>
      </c>
      <c r="X21" s="181">
        <v>1612.3927523894063</v>
      </c>
      <c r="Y21" s="181">
        <v>1640.6278430706275</v>
      </c>
      <c r="DA21" s="190" t="s">
        <v>923</v>
      </c>
    </row>
    <row r="22" spans="1:105" ht="12" customHeight="1" x14ac:dyDescent="0.25">
      <c r="A22" s="131" t="s">
        <v>160</v>
      </c>
      <c r="B22" s="181">
        <v>21.251614043594053</v>
      </c>
      <c r="C22" s="181">
        <v>22.022062873222971</v>
      </c>
      <c r="D22" s="181">
        <v>22.865942626102054</v>
      </c>
      <c r="E22" s="181">
        <v>23.807539623876437</v>
      </c>
      <c r="F22" s="181">
        <v>24.812149329452495</v>
      </c>
      <c r="G22" s="181">
        <v>25.796128460753103</v>
      </c>
      <c r="H22" s="181">
        <v>26.870346049727505</v>
      </c>
      <c r="I22" s="181">
        <v>28.27991378939376</v>
      </c>
      <c r="J22" s="181">
        <v>29.295201596527534</v>
      </c>
      <c r="K22" s="181">
        <v>30.529217399634291</v>
      </c>
      <c r="L22" s="181">
        <v>31.877882021159458</v>
      </c>
      <c r="M22" s="181">
        <v>32.860614051930554</v>
      </c>
      <c r="N22" s="181">
        <v>33.862395235075113</v>
      </c>
      <c r="O22" s="181">
        <v>35.002106893527255</v>
      </c>
      <c r="P22" s="181">
        <v>36.390902325315444</v>
      </c>
      <c r="Q22" s="181">
        <v>37.881023682827163</v>
      </c>
      <c r="R22" s="181">
        <v>38.961175407583902</v>
      </c>
      <c r="S22" s="181">
        <v>40.101411099859298</v>
      </c>
      <c r="T22" s="181">
        <v>41.181287898245131</v>
      </c>
      <c r="U22" s="181">
        <v>42.223479348782085</v>
      </c>
      <c r="V22" s="181">
        <v>43.160837734218781</v>
      </c>
      <c r="W22" s="181">
        <v>43.936220156650229</v>
      </c>
      <c r="X22" s="181">
        <v>44.507423898387472</v>
      </c>
      <c r="Y22" s="181">
        <v>44.973654785266113</v>
      </c>
      <c r="DA22" s="190" t="s">
        <v>924</v>
      </c>
    </row>
    <row r="23" spans="1:105" ht="12" customHeight="1" x14ac:dyDescent="0.25">
      <c r="A23" s="131" t="s">
        <v>172</v>
      </c>
      <c r="B23" s="181">
        <v>173.42070399293388</v>
      </c>
      <c r="C23" s="181">
        <v>174.48119764676409</v>
      </c>
      <c r="D23" s="181">
        <v>175.96062639369339</v>
      </c>
      <c r="E23" s="181">
        <v>177.49841299261112</v>
      </c>
      <c r="F23" s="181">
        <v>179.09550111267785</v>
      </c>
      <c r="G23" s="181">
        <v>180.78756007164108</v>
      </c>
      <c r="H23" s="181">
        <v>182.84864688112671</v>
      </c>
      <c r="I23" s="181">
        <v>185.28018888108423</v>
      </c>
      <c r="J23" s="181">
        <v>188.28854045785499</v>
      </c>
      <c r="K23" s="181">
        <v>192.18094917534177</v>
      </c>
      <c r="L23" s="181">
        <v>196.21386332663337</v>
      </c>
      <c r="M23" s="181">
        <v>199.13840020218566</v>
      </c>
      <c r="N23" s="181">
        <v>202.34005609658718</v>
      </c>
      <c r="O23" s="181">
        <v>206.13297532370993</v>
      </c>
      <c r="P23" s="181">
        <v>211.08962602610202</v>
      </c>
      <c r="Q23" s="181">
        <v>217.55015483853606</v>
      </c>
      <c r="R23" s="181">
        <v>221.24362329438031</v>
      </c>
      <c r="S23" s="181">
        <v>224.97099956643285</v>
      </c>
      <c r="T23" s="181">
        <v>228.56093557571822</v>
      </c>
      <c r="U23" s="181">
        <v>232.10982091634673</v>
      </c>
      <c r="V23" s="181">
        <v>235.53999577865147</v>
      </c>
      <c r="W23" s="181">
        <v>238.73243210645342</v>
      </c>
      <c r="X23" s="181">
        <v>241.8678045119743</v>
      </c>
      <c r="Y23" s="181">
        <v>245.56714902050462</v>
      </c>
      <c r="DA23" s="190" t="s">
        <v>925</v>
      </c>
    </row>
    <row r="24" spans="1:105" ht="12" customHeight="1" x14ac:dyDescent="0.25">
      <c r="A24" s="60" t="s">
        <v>159</v>
      </c>
      <c r="B24" s="36">
        <v>10.830192705698208</v>
      </c>
      <c r="C24" s="36">
        <v>11.525113090357564</v>
      </c>
      <c r="D24" s="36">
        <v>12.575698332980473</v>
      </c>
      <c r="E24" s="36">
        <v>13.690446066457236</v>
      </c>
      <c r="F24" s="36">
        <v>14.935298422123424</v>
      </c>
      <c r="G24" s="36">
        <v>16.304150064704885</v>
      </c>
      <c r="H24" s="36">
        <v>17.468306793440593</v>
      </c>
      <c r="I24" s="36">
        <v>18.780869768674762</v>
      </c>
      <c r="J24" s="36">
        <v>19.682960897115017</v>
      </c>
      <c r="K24" s="36">
        <v>20.854304936372358</v>
      </c>
      <c r="L24" s="36">
        <v>21.735417110476149</v>
      </c>
      <c r="M24" s="36">
        <v>22.256235794138949</v>
      </c>
      <c r="N24" s="36">
        <v>22.827011206661535</v>
      </c>
      <c r="O24" s="36">
        <v>23.466322294951048</v>
      </c>
      <c r="P24" s="36">
        <v>24.060504777279959</v>
      </c>
      <c r="Q24" s="36">
        <v>24.713744464830157</v>
      </c>
      <c r="R24" s="36">
        <v>26.00684400097218</v>
      </c>
      <c r="S24" s="36">
        <v>27.344788441257656</v>
      </c>
      <c r="T24" s="36">
        <v>28.669640410968942</v>
      </c>
      <c r="U24" s="36">
        <v>30.011750924476534</v>
      </c>
      <c r="V24" s="36">
        <v>31.353616310772402</v>
      </c>
      <c r="W24" s="36">
        <v>32.706843013759112</v>
      </c>
      <c r="X24" s="36">
        <v>33.883706650532709</v>
      </c>
      <c r="Y24" s="36">
        <v>34.908778254226903</v>
      </c>
      <c r="DA24" s="89" t="s">
        <v>926</v>
      </c>
    </row>
    <row r="25" spans="1:105" ht="12" customHeight="1" x14ac:dyDescent="0.25">
      <c r="A25" s="62" t="s">
        <v>157</v>
      </c>
      <c r="B25" s="38">
        <v>1230.7316158570388</v>
      </c>
      <c r="C25" s="38">
        <v>1276.3260963858168</v>
      </c>
      <c r="D25" s="38">
        <v>1325.8577859180139</v>
      </c>
      <c r="E25" s="38">
        <v>1386.3144664209692</v>
      </c>
      <c r="F25" s="38">
        <v>1460.3210671701227</v>
      </c>
      <c r="G25" s="38">
        <v>1541.2729676874364</v>
      </c>
      <c r="H25" s="38">
        <v>1625.3272646397008</v>
      </c>
      <c r="I25" s="38">
        <v>1706.3312151332482</v>
      </c>
      <c r="J25" s="38">
        <v>1812.0453214936447</v>
      </c>
      <c r="K25" s="38">
        <v>1924.4537146589948</v>
      </c>
      <c r="L25" s="38">
        <v>2057.8860046072364</v>
      </c>
      <c r="M25" s="38">
        <v>2199.6778176216581</v>
      </c>
      <c r="N25" s="38">
        <v>2429.300019179841</v>
      </c>
      <c r="O25" s="38">
        <v>2726.6137730597366</v>
      </c>
      <c r="P25" s="38">
        <v>3065.6504553938476</v>
      </c>
      <c r="Q25" s="38">
        <v>3489.4921847033365</v>
      </c>
      <c r="R25" s="38">
        <v>3646.3495090141691</v>
      </c>
      <c r="S25" s="38">
        <v>3935.8910917011649</v>
      </c>
      <c r="T25" s="38">
        <v>4147.3823284575565</v>
      </c>
      <c r="U25" s="38">
        <v>4413.2923940155506</v>
      </c>
      <c r="V25" s="38">
        <v>4709.8863413486706</v>
      </c>
      <c r="W25" s="38">
        <v>4984.1560307057571</v>
      </c>
      <c r="X25" s="38">
        <v>5284.2355744150536</v>
      </c>
      <c r="Y25" s="38">
        <v>5788.678439304028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6.0446938540060842</v>
      </c>
      <c r="D28" s="182">
        <v>6.6277211436500068</v>
      </c>
      <c r="E28" s="182">
        <v>7.0796951522187328</v>
      </c>
      <c r="F28" s="182">
        <v>7.0035760395552273</v>
      </c>
      <c r="G28" s="182">
        <v>7.1338382474708197</v>
      </c>
      <c r="H28" s="182">
        <v>6.9573975176510885</v>
      </c>
      <c r="I28" s="182">
        <v>7.8923448811898567</v>
      </c>
      <c r="J28" s="182">
        <v>6.5313371641465352</v>
      </c>
      <c r="K28" s="182">
        <v>7.4791514029388395</v>
      </c>
      <c r="L28" s="182">
        <v>8.0590410652403222</v>
      </c>
      <c r="M28" s="182">
        <v>6.3204723993868299</v>
      </c>
      <c r="N28" s="182">
        <v>6.1915342310726516</v>
      </c>
      <c r="O28" s="182">
        <v>6.5718103812493354</v>
      </c>
      <c r="P28" s="182">
        <v>7.1455487037308245</v>
      </c>
      <c r="Q28" s="182">
        <v>6.7271664659482866</v>
      </c>
      <c r="R28" s="182">
        <v>6.9220265419070159</v>
      </c>
      <c r="S28" s="182">
        <v>7.1937528443801</v>
      </c>
      <c r="T28" s="182">
        <v>7.2477201726998715</v>
      </c>
      <c r="U28" s="182">
        <v>7.5652933681147658</v>
      </c>
      <c r="V28" s="182">
        <v>8.1856381654815777</v>
      </c>
      <c r="W28" s="182">
        <v>8.714064937510841</v>
      </c>
      <c r="X28" s="182">
        <v>8.3541363398478978</v>
      </c>
      <c r="Y28" s="182">
        <v>8.3379444450338411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114.78320553071978</v>
      </c>
      <c r="D29" s="182">
        <v>127.1622881190259</v>
      </c>
      <c r="E29" s="182">
        <v>136.31207068257174</v>
      </c>
      <c r="F29" s="182">
        <v>142.21921384444454</v>
      </c>
      <c r="G29" s="182">
        <v>152.92402321590396</v>
      </c>
      <c r="H29" s="182">
        <v>156.75122350245567</v>
      </c>
      <c r="I29" s="182">
        <v>157.66890302020977</v>
      </c>
      <c r="J29" s="182">
        <v>140.55527679166619</v>
      </c>
      <c r="K29" s="182">
        <v>152.15441705284206</v>
      </c>
      <c r="L29" s="182">
        <v>167.94149856583033</v>
      </c>
      <c r="M29" s="182">
        <v>181.87402886142513</v>
      </c>
      <c r="N29" s="182">
        <v>202.81740285899207</v>
      </c>
      <c r="O29" s="182">
        <v>212.44902984869179</v>
      </c>
      <c r="P29" s="182">
        <v>230.88442136222534</v>
      </c>
      <c r="Q29" s="182">
        <v>235.71859638082424</v>
      </c>
      <c r="R29" s="182">
        <v>188.24214627397805</v>
      </c>
      <c r="S29" s="182">
        <v>204.58098398649622</v>
      </c>
      <c r="T29" s="182">
        <v>217.27989868850182</v>
      </c>
      <c r="U29" s="182">
        <v>237.18495868043328</v>
      </c>
      <c r="V29" s="182">
        <v>244.48340343872383</v>
      </c>
      <c r="W29" s="182">
        <v>259.05097999755162</v>
      </c>
      <c r="X29" s="182">
        <v>261.57038132372145</v>
      </c>
      <c r="Y29" s="182">
        <v>216.47723695519926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4.0892304548907212</v>
      </c>
      <c r="D30" s="182">
        <v>4.2488778556956781</v>
      </c>
      <c r="E30" s="182">
        <v>4.4350513401552298</v>
      </c>
      <c r="F30" s="182">
        <v>4.5888182348566851</v>
      </c>
      <c r="G30" s="182">
        <v>4.6612994917014987</v>
      </c>
      <c r="H30" s="182">
        <v>4.8470686724276923</v>
      </c>
      <c r="I30" s="182">
        <v>5.4987981945569757</v>
      </c>
      <c r="J30" s="182">
        <v>5.264165662829452</v>
      </c>
      <c r="K30" s="182">
        <v>5.6690671432619872</v>
      </c>
      <c r="L30" s="182">
        <v>5.9374828563818518</v>
      </c>
      <c r="M30" s="182">
        <v>5.644031522472595</v>
      </c>
      <c r="N30" s="182">
        <v>5.8488498555722508</v>
      </c>
      <c r="O30" s="182">
        <v>6.6385098530091184</v>
      </c>
      <c r="P30" s="182">
        <v>6.6529610946176412</v>
      </c>
      <c r="Q30" s="182">
        <v>7.1591885007737055</v>
      </c>
      <c r="R30" s="182">
        <v>7.0176345811385907</v>
      </c>
      <c r="S30" s="182">
        <v>6.7842672147479917</v>
      </c>
      <c r="T30" s="182">
        <v>6.9287266539580799</v>
      </c>
      <c r="U30" s="182">
        <v>7.6807013035460727</v>
      </c>
      <c r="V30" s="182">
        <v>7.5903194800543403</v>
      </c>
      <c r="W30" s="182">
        <v>7.9345709232051505</v>
      </c>
      <c r="X30" s="182">
        <v>7.58883832287583</v>
      </c>
      <c r="Y30" s="182">
        <v>7.2504981016266328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16.821505249761344</v>
      </c>
      <c r="D31" s="182">
        <v>17.57243320995795</v>
      </c>
      <c r="E31" s="182">
        <v>17.969777088279443</v>
      </c>
      <c r="F31" s="182">
        <v>18.375205100198258</v>
      </c>
      <c r="G31" s="182">
        <v>18.823593302366646</v>
      </c>
      <c r="H31" s="182">
        <v>19.553482964951542</v>
      </c>
      <c r="I31" s="182">
        <v>20.292401227524579</v>
      </c>
      <c r="J31" s="182">
        <v>21.245435250826773</v>
      </c>
      <c r="K31" s="182">
        <v>22.513641699446993</v>
      </c>
      <c r="L31" s="182">
        <v>23.04638823331976</v>
      </c>
      <c r="M31" s="182">
        <v>19.746042125313636</v>
      </c>
      <c r="N31" s="182">
        <v>20.774089104359462</v>
      </c>
      <c r="O31" s="182">
        <v>21.762696315402195</v>
      </c>
      <c r="P31" s="182">
        <v>23.331855802590354</v>
      </c>
      <c r="Q31" s="182">
        <v>25.284122114800681</v>
      </c>
      <c r="R31" s="182">
        <v>23.246951420795796</v>
      </c>
      <c r="S31" s="182">
        <v>24.019777499577117</v>
      </c>
      <c r="T31" s="182">
        <v>24.83537126011214</v>
      </c>
      <c r="U31" s="182">
        <v>26.062527040075508</v>
      </c>
      <c r="V31" s="182">
        <v>26.476563095624499</v>
      </c>
      <c r="W31" s="182">
        <v>22.938478453115579</v>
      </c>
      <c r="X31" s="182">
        <v>23.909461509880344</v>
      </c>
      <c r="Y31" s="182">
        <v>25.462040823932512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1.0033908561130858</v>
      </c>
      <c r="D32" s="41">
        <v>1.3937683515615049</v>
      </c>
      <c r="E32" s="41">
        <v>1.4965497442356028</v>
      </c>
      <c r="F32" s="41">
        <v>1.6696191102723255</v>
      </c>
      <c r="G32" s="41">
        <v>1.8414180270801417</v>
      </c>
      <c r="H32" s="41">
        <v>1.6899017060356059</v>
      </c>
      <c r="I32" s="41">
        <v>1.8974708108799376</v>
      </c>
      <c r="J32" s="41">
        <v>1.552819506211641</v>
      </c>
      <c r="K32" s="41">
        <v>1.8952998419172147</v>
      </c>
      <c r="L32" s="41">
        <v>1.6865357918655981</v>
      </c>
      <c r="M32" s="41">
        <v>1.4168778100143165</v>
      </c>
      <c r="N32" s="41">
        <v>1.5676693950321656</v>
      </c>
      <c r="O32" s="41">
        <v>1.7483870221626034</v>
      </c>
      <c r="P32" s="41">
        <v>1.8280643681438278</v>
      </c>
      <c r="Q32" s="41">
        <v>2.0259721233045838</v>
      </c>
      <c r="R32" s="41">
        <v>2.2964903922551088</v>
      </c>
      <c r="S32" s="41">
        <v>2.7317127918469808</v>
      </c>
      <c r="T32" s="41">
        <v>2.8214017139468872</v>
      </c>
      <c r="U32" s="41">
        <v>3.0117296237799174</v>
      </c>
      <c r="V32" s="41">
        <v>3.1832834133760102</v>
      </c>
      <c r="W32" s="41">
        <v>3.0431284090223159</v>
      </c>
      <c r="X32" s="41">
        <v>3.0743344476535341</v>
      </c>
      <c r="Y32" s="41">
        <v>2.5778911099058348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291.74080370018567</v>
      </c>
      <c r="D33" s="42">
        <v>295.67801270360496</v>
      </c>
      <c r="E33" s="42">
        <v>306.60300367436321</v>
      </c>
      <c r="F33" s="42">
        <v>320.15292392056131</v>
      </c>
      <c r="G33" s="42">
        <v>327.09822368872165</v>
      </c>
      <c r="H33" s="42">
        <v>375.79510065244995</v>
      </c>
      <c r="I33" s="42">
        <v>376.6819631971523</v>
      </c>
      <c r="J33" s="42">
        <v>412.31711003475971</v>
      </c>
      <c r="K33" s="42">
        <v>432.56131708591147</v>
      </c>
      <c r="L33" s="42">
        <v>460.53051363696318</v>
      </c>
      <c r="M33" s="42">
        <v>517.58691366687162</v>
      </c>
      <c r="N33" s="42">
        <v>606.30416475533525</v>
      </c>
      <c r="O33" s="42">
        <v>709.63086391465527</v>
      </c>
      <c r="P33" s="42">
        <v>771.59799942002246</v>
      </c>
      <c r="Q33" s="42">
        <v>884.37224294645239</v>
      </c>
      <c r="R33" s="42">
        <v>674.44423797770423</v>
      </c>
      <c r="S33" s="42">
        <v>895.84574744233078</v>
      </c>
      <c r="T33" s="42">
        <v>921.12210067104661</v>
      </c>
      <c r="U33" s="42">
        <v>1037.5080649780166</v>
      </c>
      <c r="V33" s="42">
        <v>1180.9661902795724</v>
      </c>
      <c r="W33" s="42">
        <v>948.7139273347907</v>
      </c>
      <c r="X33" s="42">
        <v>1195.9252911516273</v>
      </c>
      <c r="Y33" s="42">
        <v>1425.5649655600209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3.6033534897719477</v>
      </c>
      <c r="D36" s="182">
        <v>3.7052764846955171</v>
      </c>
      <c r="E36" s="182">
        <v>3.8100824321031297</v>
      </c>
      <c r="F36" s="182">
        <v>3.9178528780191186</v>
      </c>
      <c r="G36" s="182">
        <v>4.0286716750455867</v>
      </c>
      <c r="H36" s="182">
        <v>4.1426250476053212</v>
      </c>
      <c r="I36" s="182">
        <v>4.2598016590301597</v>
      </c>
      <c r="J36" s="182">
        <v>4.3802926805469582</v>
      </c>
      <c r="K36" s="182">
        <v>4.504191862214924</v>
      </c>
      <c r="L36" s="182">
        <v>4.6315956058693928</v>
      </c>
      <c r="M36" s="182">
        <v>4.7626030401289086</v>
      </c>
      <c r="N36" s="182">
        <v>4.8973160975238841</v>
      </c>
      <c r="O36" s="182">
        <v>5.0358395938069691</v>
      </c>
      <c r="P36" s="182">
        <v>5.1782813095066444</v>
      </c>
      <c r="Q36" s="182">
        <v>5.3247520737876926</v>
      </c>
      <c r="R36" s="182">
        <v>5.4753658506837013</v>
      </c>
      <c r="S36" s="182">
        <v>5.6302398277686621</v>
      </c>
      <c r="T36" s="182">
        <v>5.789494507336741</v>
      </c>
      <c r="U36" s="182">
        <v>6.0446938540060842</v>
      </c>
      <c r="V36" s="182">
        <v>6.6277211436500068</v>
      </c>
      <c r="W36" s="182">
        <v>7.0796951522187328</v>
      </c>
      <c r="X36" s="182">
        <v>7.0035760395552131</v>
      </c>
      <c r="Y36" s="182">
        <v>7.1338382474708339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100.46329261881499</v>
      </c>
      <c r="D37" s="182">
        <v>104.78772314575986</v>
      </c>
      <c r="E37" s="182">
        <v>109.29829827233812</v>
      </c>
      <c r="F37" s="182">
        <v>114.00303057078463</v>
      </c>
      <c r="G37" s="182">
        <v>118.91027751355705</v>
      </c>
      <c r="H37" s="182">
        <v>124.0287563195244</v>
      </c>
      <c r="I37" s="182">
        <v>129.36755943920969</v>
      </c>
      <c r="J37" s="182">
        <v>114.78320553071978</v>
      </c>
      <c r="K37" s="182">
        <v>127.16228811902579</v>
      </c>
      <c r="L37" s="182">
        <v>136.31207068257163</v>
      </c>
      <c r="M37" s="182">
        <v>142.21921384444454</v>
      </c>
      <c r="N37" s="182">
        <v>152.92402321590384</v>
      </c>
      <c r="O37" s="182">
        <v>156.75122350245579</v>
      </c>
      <c r="P37" s="182">
        <v>157.66890302020988</v>
      </c>
      <c r="Q37" s="182">
        <v>140.5552767916663</v>
      </c>
      <c r="R37" s="182">
        <v>152.15441705284206</v>
      </c>
      <c r="S37" s="182">
        <v>167.94149856583022</v>
      </c>
      <c r="T37" s="182">
        <v>181.87402886142513</v>
      </c>
      <c r="U37" s="182">
        <v>202.81740285899195</v>
      </c>
      <c r="V37" s="182">
        <v>212.44902984869168</v>
      </c>
      <c r="W37" s="182">
        <v>230.88442136222534</v>
      </c>
      <c r="X37" s="182">
        <v>235.71859638082424</v>
      </c>
      <c r="Y37" s="182">
        <v>188.24214627397805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3.3187816252618028</v>
      </c>
      <c r="D38" s="182">
        <v>3.4049981028165952</v>
      </c>
      <c r="E38" s="182">
        <v>3.4934543423808471</v>
      </c>
      <c r="F38" s="182">
        <v>3.5842085292806267</v>
      </c>
      <c r="G38" s="182">
        <v>3.6773203604008913</v>
      </c>
      <c r="H38" s="182">
        <v>3.7728510834532898</v>
      </c>
      <c r="I38" s="182">
        <v>4.0892304548907248</v>
      </c>
      <c r="J38" s="182">
        <v>4.2488778556956817</v>
      </c>
      <c r="K38" s="182">
        <v>4.4350513401552263</v>
      </c>
      <c r="L38" s="182">
        <v>4.5888182348566815</v>
      </c>
      <c r="M38" s="182">
        <v>4.6612994917014987</v>
      </c>
      <c r="N38" s="182">
        <v>4.8470686724276959</v>
      </c>
      <c r="O38" s="182">
        <v>5.4987981945569757</v>
      </c>
      <c r="P38" s="182">
        <v>5.2641656628294484</v>
      </c>
      <c r="Q38" s="182">
        <v>5.6690671432619837</v>
      </c>
      <c r="R38" s="182">
        <v>5.9374828563818554</v>
      </c>
      <c r="S38" s="182">
        <v>5.644031522472595</v>
      </c>
      <c r="T38" s="182">
        <v>5.8488498555722472</v>
      </c>
      <c r="U38" s="182">
        <v>6.6385098530091184</v>
      </c>
      <c r="V38" s="182">
        <v>6.6529610946176447</v>
      </c>
      <c r="W38" s="182">
        <v>7.1591885007737019</v>
      </c>
      <c r="X38" s="182">
        <v>7.0176345811385872</v>
      </c>
      <c r="Y38" s="182">
        <v>6.7842672147479917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15.761011595931137</v>
      </c>
      <c r="D39" s="182">
        <v>16.093004463028649</v>
      </c>
      <c r="E39" s="182">
        <v>16.431990489361709</v>
      </c>
      <c r="F39" s="182">
        <v>16.778116980131529</v>
      </c>
      <c r="G39" s="182">
        <v>17.131534343403416</v>
      </c>
      <c r="H39" s="182">
        <v>17.492396155465912</v>
      </c>
      <c r="I39" s="182">
        <v>17.860859227567062</v>
      </c>
      <c r="J39" s="182">
        <v>18.237083674056009</v>
      </c>
      <c r="K39" s="182">
        <v>18.621232981960219</v>
      </c>
      <c r="L39" s="182">
        <v>19.013474082028154</v>
      </c>
      <c r="M39" s="182">
        <v>16.821505249761344</v>
      </c>
      <c r="N39" s="182">
        <v>17.57243320995795</v>
      </c>
      <c r="O39" s="182">
        <v>17.969777088279443</v>
      </c>
      <c r="P39" s="182">
        <v>18.375205100198258</v>
      </c>
      <c r="Q39" s="182">
        <v>18.823593302366646</v>
      </c>
      <c r="R39" s="182">
        <v>19.553482964951542</v>
      </c>
      <c r="S39" s="182">
        <v>20.292401227524579</v>
      </c>
      <c r="T39" s="182">
        <v>21.245435250826773</v>
      </c>
      <c r="U39" s="182">
        <v>22.513641699446993</v>
      </c>
      <c r="V39" s="182">
        <v>23.04638823331976</v>
      </c>
      <c r="W39" s="182">
        <v>19.746042125313636</v>
      </c>
      <c r="X39" s="182">
        <v>20.774089104359433</v>
      </c>
      <c r="Y39" s="182">
        <v>21.762696315402223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0.30847047145372919</v>
      </c>
      <c r="D40" s="41">
        <v>0.3431831089385966</v>
      </c>
      <c r="E40" s="41">
        <v>0.38180201075883957</v>
      </c>
      <c r="F40" s="41">
        <v>0.42476675460613755</v>
      </c>
      <c r="G40" s="41">
        <v>0.47256638449868049</v>
      </c>
      <c r="H40" s="41">
        <v>0.52574497729989744</v>
      </c>
      <c r="I40" s="41">
        <v>0.58490783564576887</v>
      </c>
      <c r="J40" s="41">
        <v>0.65072837777138659</v>
      </c>
      <c r="K40" s="41">
        <v>0.72395580265987292</v>
      </c>
      <c r="L40" s="41">
        <v>0.80542361776180726</v>
      </c>
      <c r="M40" s="41">
        <v>0.89605912635151697</v>
      </c>
      <c r="N40" s="41">
        <v>0.9968939825095795</v>
      </c>
      <c r="O40" s="41">
        <v>1.1090759338730898</v>
      </c>
      <c r="P40" s="41">
        <v>1.2338818858149168</v>
      </c>
      <c r="Q40" s="41">
        <v>1.3727324357543864</v>
      </c>
      <c r="R40" s="41">
        <v>1.0033908561130858</v>
      </c>
      <c r="S40" s="41">
        <v>1.3937683515615049</v>
      </c>
      <c r="T40" s="41">
        <v>1.4965497442356011</v>
      </c>
      <c r="U40" s="41">
        <v>1.6696191102723255</v>
      </c>
      <c r="V40" s="41">
        <v>1.8414180270801452</v>
      </c>
      <c r="W40" s="41">
        <v>1.6899017060356059</v>
      </c>
      <c r="X40" s="41">
        <v>1.8974708108799376</v>
      </c>
      <c r="Y40" s="41">
        <v>1.552819506211641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246.14632317140763</v>
      </c>
      <c r="D41" s="42">
        <v>246.14632317140786</v>
      </c>
      <c r="E41" s="42">
        <v>246.14632317140786</v>
      </c>
      <c r="F41" s="42">
        <v>246.14632317140786</v>
      </c>
      <c r="G41" s="42">
        <v>246.14632317140786</v>
      </c>
      <c r="H41" s="42">
        <v>291.74080370018555</v>
      </c>
      <c r="I41" s="42">
        <v>295.67801270360496</v>
      </c>
      <c r="J41" s="42">
        <v>306.60300367436321</v>
      </c>
      <c r="K41" s="42">
        <v>320.15292392056131</v>
      </c>
      <c r="L41" s="42">
        <v>327.09822368872165</v>
      </c>
      <c r="M41" s="42">
        <v>375.79510065244995</v>
      </c>
      <c r="N41" s="42">
        <v>376.68196319715207</v>
      </c>
      <c r="O41" s="42">
        <v>412.31711003475993</v>
      </c>
      <c r="P41" s="42">
        <v>432.56131708591147</v>
      </c>
      <c r="Q41" s="42">
        <v>460.53051363696341</v>
      </c>
      <c r="R41" s="42">
        <v>517.58691366687208</v>
      </c>
      <c r="S41" s="42">
        <v>606.30416475533502</v>
      </c>
      <c r="T41" s="42">
        <v>709.63086391465458</v>
      </c>
      <c r="U41" s="42">
        <v>771.59799942002246</v>
      </c>
      <c r="V41" s="42">
        <v>884.37224294645239</v>
      </c>
      <c r="W41" s="42">
        <v>674.44423797770469</v>
      </c>
      <c r="X41" s="42">
        <v>895.84574744233032</v>
      </c>
      <c r="Y41" s="42">
        <v>921.12210067104661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8760</v>
      </c>
      <c r="D44" s="184">
        <v>8760</v>
      </c>
      <c r="E44" s="184">
        <v>8759.9999999999982</v>
      </c>
      <c r="F44" s="184">
        <v>8760.0000000000036</v>
      </c>
      <c r="G44" s="184">
        <v>8760</v>
      </c>
      <c r="H44" s="184">
        <v>8760.0000000000036</v>
      </c>
      <c r="I44" s="184">
        <v>8760</v>
      </c>
      <c r="J44" s="184">
        <v>8759.9999999999964</v>
      </c>
      <c r="K44" s="184">
        <v>8760</v>
      </c>
      <c r="L44" s="184">
        <v>8760.0000000000018</v>
      </c>
      <c r="M44" s="184">
        <v>8760.0000000000018</v>
      </c>
      <c r="N44" s="184">
        <v>8760.0000000000018</v>
      </c>
      <c r="O44" s="184">
        <v>8759.9999999999982</v>
      </c>
      <c r="P44" s="184">
        <v>8760</v>
      </c>
      <c r="Q44" s="184">
        <v>8760</v>
      </c>
      <c r="R44" s="184">
        <v>8760.0000000000018</v>
      </c>
      <c r="S44" s="184">
        <v>8760.0000000000036</v>
      </c>
      <c r="T44" s="184">
        <v>8760.0000000000036</v>
      </c>
      <c r="U44" s="184">
        <v>8760.0000000000018</v>
      </c>
      <c r="V44" s="184">
        <v>8760</v>
      </c>
      <c r="W44" s="184">
        <v>8760.0000000000018</v>
      </c>
      <c r="X44" s="184">
        <v>8760.0000000000018</v>
      </c>
      <c r="Y44" s="184">
        <v>8760.0000000000018</v>
      </c>
      <c r="DA44" s="193" t="s">
        <v>940</v>
      </c>
    </row>
    <row r="45" spans="1:105" ht="12" customHeight="1" x14ac:dyDescent="0.25">
      <c r="A45" s="131" t="s">
        <v>6</v>
      </c>
      <c r="B45" s="184">
        <v>4158.4378769491959</v>
      </c>
      <c r="C45" s="184">
        <v>4152.4304359335201</v>
      </c>
      <c r="D45" s="184">
        <v>4148.6585303669381</v>
      </c>
      <c r="E45" s="184">
        <v>4144.4698444907344</v>
      </c>
      <c r="F45" s="184">
        <v>4143.1550680975542</v>
      </c>
      <c r="G45" s="184">
        <v>4140.9519138737378</v>
      </c>
      <c r="H45" s="184">
        <v>4135.2968632491284</v>
      </c>
      <c r="I45" s="184">
        <v>4132.5177898727234</v>
      </c>
      <c r="J45" s="184">
        <v>4128.4700707248512</v>
      </c>
      <c r="K45" s="184">
        <v>4122.5467731755552</v>
      </c>
      <c r="L45" s="184">
        <v>4117.2190438917405</v>
      </c>
      <c r="M45" s="184">
        <v>4107.1129429279008</v>
      </c>
      <c r="N45" s="184">
        <v>4087.0930919003954</v>
      </c>
      <c r="O45" s="184">
        <v>4051.9656184151818</v>
      </c>
      <c r="P45" s="184">
        <v>4018.8149121167985</v>
      </c>
      <c r="Q45" s="184">
        <v>3984.9474643736316</v>
      </c>
      <c r="R45" s="184">
        <v>4000.1417383634421</v>
      </c>
      <c r="S45" s="184">
        <v>4040.7502077819709</v>
      </c>
      <c r="T45" s="184">
        <v>4026.8280052586974</v>
      </c>
      <c r="U45" s="184">
        <v>3978.9822176037665</v>
      </c>
      <c r="V45" s="184">
        <v>3904.7811293774735</v>
      </c>
      <c r="W45" s="184">
        <v>3885.7373969168302</v>
      </c>
      <c r="X45" s="184">
        <v>3857.1636572251473</v>
      </c>
      <c r="Y45" s="184">
        <v>3828.5899175334644</v>
      </c>
      <c r="DA45" s="193" t="s">
        <v>941</v>
      </c>
    </row>
    <row r="46" spans="1:105" ht="12" customHeight="1" x14ac:dyDescent="0.25">
      <c r="A46" s="131" t="s">
        <v>5</v>
      </c>
      <c r="B46" s="184">
        <v>2358.0572720615501</v>
      </c>
      <c r="C46" s="184">
        <v>2371.3069396010596</v>
      </c>
      <c r="D46" s="184">
        <v>2382.3891766734159</v>
      </c>
      <c r="E46" s="184">
        <v>2392.854675500284</v>
      </c>
      <c r="F46" s="184">
        <v>2406.4450583072221</v>
      </c>
      <c r="G46" s="184">
        <v>2418.6399350051279</v>
      </c>
      <c r="H46" s="184">
        <v>2425.6125887142366</v>
      </c>
      <c r="I46" s="184">
        <v>2434.2258977830693</v>
      </c>
      <c r="J46" s="184">
        <v>2441.3559309549646</v>
      </c>
      <c r="K46" s="184">
        <v>2446.8333704982228</v>
      </c>
      <c r="L46" s="184">
        <v>2457.5931128640837</v>
      </c>
      <c r="M46" s="184">
        <v>2469.9604598851442</v>
      </c>
      <c r="N46" s="184">
        <v>2478.7218122024856</v>
      </c>
      <c r="O46" s="184">
        <v>2488.8797991749384</v>
      </c>
      <c r="P46" s="184">
        <v>2500.7016127759853</v>
      </c>
      <c r="Q46" s="184">
        <v>2511.5216424865971</v>
      </c>
      <c r="R46" s="184">
        <v>2531.9582658356371</v>
      </c>
      <c r="S46" s="184">
        <v>2575.4816961214578</v>
      </c>
      <c r="T46" s="184">
        <v>2579.682846629561</v>
      </c>
      <c r="U46" s="184">
        <v>2553.9793980886584</v>
      </c>
      <c r="V46" s="184">
        <v>2338.8526245785592</v>
      </c>
      <c r="W46" s="184">
        <v>2504.1632429306533</v>
      </c>
      <c r="X46" s="184">
        <v>2499.7388118298568</v>
      </c>
      <c r="Y46" s="184">
        <v>2497.5265962794583</v>
      </c>
      <c r="DA46" s="193" t="s">
        <v>942</v>
      </c>
    </row>
    <row r="47" spans="1:105" ht="12" customHeight="1" x14ac:dyDescent="0.25">
      <c r="A47" s="131" t="s">
        <v>171</v>
      </c>
      <c r="B47" s="184">
        <v>8760</v>
      </c>
      <c r="C47" s="184">
        <v>8759.9999999999982</v>
      </c>
      <c r="D47" s="184">
        <v>8760.0000000000018</v>
      </c>
      <c r="E47" s="184">
        <v>8759.9999999999982</v>
      </c>
      <c r="F47" s="184">
        <v>8760.0000000000018</v>
      </c>
      <c r="G47" s="184">
        <v>8759.9999999999982</v>
      </c>
      <c r="H47" s="184">
        <v>8760.0000000000018</v>
      </c>
      <c r="I47" s="184">
        <v>8760.0000000000018</v>
      </c>
      <c r="J47" s="184">
        <v>8760</v>
      </c>
      <c r="K47" s="184">
        <v>8760</v>
      </c>
      <c r="L47" s="184">
        <v>8759.9999999999964</v>
      </c>
      <c r="M47" s="184">
        <v>8760</v>
      </c>
      <c r="N47" s="184">
        <v>8760.0000000000036</v>
      </c>
      <c r="O47" s="184">
        <v>8760.0000000000018</v>
      </c>
      <c r="P47" s="184">
        <v>8759.9999999999982</v>
      </c>
      <c r="Q47" s="184">
        <v>8760.0000000000018</v>
      </c>
      <c r="R47" s="184">
        <v>8759.9999999999982</v>
      </c>
      <c r="S47" s="184">
        <v>8760</v>
      </c>
      <c r="T47" s="184">
        <v>8759.9999999999982</v>
      </c>
      <c r="U47" s="184">
        <v>8759.9999999999982</v>
      </c>
      <c r="V47" s="184">
        <v>8760</v>
      </c>
      <c r="W47" s="184">
        <v>8759.9999999999982</v>
      </c>
      <c r="X47" s="184">
        <v>8759.9999999999982</v>
      </c>
      <c r="Y47" s="184">
        <v>8759.9999999999982</v>
      </c>
      <c r="DA47" s="193" t="s">
        <v>943</v>
      </c>
    </row>
    <row r="48" spans="1:105" ht="12" customHeight="1" x14ac:dyDescent="0.25">
      <c r="A48" s="60" t="s">
        <v>4</v>
      </c>
      <c r="B48" s="44">
        <v>833.94810986684115</v>
      </c>
      <c r="C48" s="44">
        <v>837.93178165452332</v>
      </c>
      <c r="D48" s="44">
        <v>841.58520302990132</v>
      </c>
      <c r="E48" s="44">
        <v>844.96008982159469</v>
      </c>
      <c r="F48" s="44">
        <v>848.09681157525313</v>
      </c>
      <c r="G48" s="44">
        <v>851.02749529258494</v>
      </c>
      <c r="H48" s="44">
        <v>853.77813375885637</v>
      </c>
      <c r="I48" s="44">
        <v>856.37005896006906</v>
      </c>
      <c r="J48" s="44">
        <v>858.82099729705976</v>
      </c>
      <c r="K48" s="44">
        <v>861.1458415725657</v>
      </c>
      <c r="L48" s="44">
        <v>863.35722644895611</v>
      </c>
      <c r="M48" s="44">
        <v>864.76248020908861</v>
      </c>
      <c r="N48" s="44">
        <v>866.10447924043626</v>
      </c>
      <c r="O48" s="44">
        <v>867.38875950324518</v>
      </c>
      <c r="P48" s="44">
        <v>868.62015713204801</v>
      </c>
      <c r="Q48" s="44">
        <v>869.80292190632088</v>
      </c>
      <c r="R48" s="44">
        <v>877.33197917715495</v>
      </c>
      <c r="S48" s="44">
        <v>888.05637606676839</v>
      </c>
      <c r="T48" s="44">
        <v>891.14309586160857</v>
      </c>
      <c r="U48" s="44">
        <v>885.7947896117098</v>
      </c>
      <c r="V48" s="44">
        <v>811.18252953481419</v>
      </c>
      <c r="W48" s="44">
        <v>868.51708928629887</v>
      </c>
      <c r="X48" s="44">
        <v>868.8645542391273</v>
      </c>
      <c r="Y48" s="44">
        <v>869.03828671554152</v>
      </c>
      <c r="DA48" s="95" t="s">
        <v>944</v>
      </c>
    </row>
    <row r="49" spans="1:105" ht="12" customHeight="1" x14ac:dyDescent="0.25">
      <c r="A49" s="62" t="s">
        <v>3</v>
      </c>
      <c r="B49" s="185">
        <v>2174.1211779106152</v>
      </c>
      <c r="C49" s="185">
        <v>2305.2832956629181</v>
      </c>
      <c r="D49" s="185">
        <v>2445.1105575626734</v>
      </c>
      <c r="E49" s="185">
        <v>2584.0929722411593</v>
      </c>
      <c r="F49" s="185">
        <v>2715.4859141240818</v>
      </c>
      <c r="G49" s="185">
        <v>2842.6558088179777</v>
      </c>
      <c r="H49" s="185">
        <v>2952.9468578013029</v>
      </c>
      <c r="I49" s="185">
        <v>3055.8665131986368</v>
      </c>
      <c r="J49" s="185">
        <v>3140.1500898699182</v>
      </c>
      <c r="K49" s="185">
        <v>3222.3567946445205</v>
      </c>
      <c r="L49" s="185">
        <v>3310.8996836217734</v>
      </c>
      <c r="M49" s="185">
        <v>3344.093579298039</v>
      </c>
      <c r="N49" s="185">
        <v>3420.3315611352077</v>
      </c>
      <c r="O49" s="185">
        <v>3484.8697208419717</v>
      </c>
      <c r="P49" s="185">
        <v>3500.678453581957</v>
      </c>
      <c r="Q49" s="185">
        <v>3469.1493734987175</v>
      </c>
      <c r="R49" s="185">
        <v>3503.9542267857819</v>
      </c>
      <c r="S49" s="185">
        <v>3620.0119062700305</v>
      </c>
      <c r="T49" s="185">
        <v>3671.8257365553809</v>
      </c>
      <c r="U49" s="185">
        <v>3746.4683923329908</v>
      </c>
      <c r="V49" s="185">
        <v>3772.3693257111713</v>
      </c>
      <c r="W49" s="185">
        <v>3886.8117848820802</v>
      </c>
      <c r="X49" s="185">
        <v>3956.8868289004963</v>
      </c>
      <c r="Y49" s="185">
        <v>4096.7838067796147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0.61980010264732177</v>
      </c>
      <c r="C52" s="180">
        <v>0.61518191986724247</v>
      </c>
      <c r="D52" s="180">
        <v>0.60997554194175219</v>
      </c>
      <c r="E52" s="180">
        <v>0.60434702827367259</v>
      </c>
      <c r="F52" s="180">
        <v>0.59863650657558187</v>
      </c>
      <c r="G52" s="180">
        <v>0.59279294400486282</v>
      </c>
      <c r="H52" s="180">
        <v>0.58695123305978214</v>
      </c>
      <c r="I52" s="180">
        <v>0.58039629545763227</v>
      </c>
      <c r="J52" s="180">
        <v>0.57460203326867798</v>
      </c>
      <c r="K52" s="180">
        <v>0.56807478719705429</v>
      </c>
      <c r="L52" s="180">
        <v>0.56107483931989888</v>
      </c>
      <c r="M52" s="180">
        <v>0.55485571289685864</v>
      </c>
      <c r="N52" s="180">
        <v>0.54842152000848188</v>
      </c>
      <c r="O52" s="180">
        <v>0.54148105696543158</v>
      </c>
      <c r="P52" s="180">
        <v>0.53394277661541245</v>
      </c>
      <c r="Q52" s="180">
        <v>0.52636222619233686</v>
      </c>
      <c r="R52" s="180">
        <v>0.51856678520578325</v>
      </c>
      <c r="S52" s="180">
        <v>0.51044262198939094</v>
      </c>
      <c r="T52" s="180">
        <v>0.50210902099514865</v>
      </c>
      <c r="U52" s="180">
        <v>0.49649990164947366</v>
      </c>
      <c r="V52" s="180">
        <v>0.49061041602529604</v>
      </c>
      <c r="W52" s="180">
        <v>0.48462829100759464</v>
      </c>
      <c r="X52" s="180">
        <v>0.47911328950879717</v>
      </c>
      <c r="Y52" s="180">
        <v>0.47377087975620674</v>
      </c>
      <c r="DA52" s="189" t="s">
        <v>946</v>
      </c>
    </row>
    <row r="53" spans="1:105" ht="12" customHeight="1" x14ac:dyDescent="0.25">
      <c r="A53" s="131" t="s">
        <v>100</v>
      </c>
      <c r="B53" s="180">
        <v>178.41730250023818</v>
      </c>
      <c r="C53" s="180">
        <v>176.78853605430052</v>
      </c>
      <c r="D53" s="180">
        <v>174.72310626999308</v>
      </c>
      <c r="E53" s="180">
        <v>172.23161286090223</v>
      </c>
      <c r="F53" s="180">
        <v>169.43645312289951</v>
      </c>
      <c r="G53" s="180">
        <v>166.14615679170737</v>
      </c>
      <c r="H53" s="180">
        <v>162.5823137728963</v>
      </c>
      <c r="I53" s="180">
        <v>158.75259834206909</v>
      </c>
      <c r="J53" s="180">
        <v>156.54845541223023</v>
      </c>
      <c r="K53" s="180">
        <v>154.17083813905549</v>
      </c>
      <c r="L53" s="180">
        <v>151.53152392839755</v>
      </c>
      <c r="M53" s="180">
        <v>148.58045394610505</v>
      </c>
      <c r="N53" s="180">
        <v>145.13346992181775</v>
      </c>
      <c r="O53" s="180">
        <v>141.19170435396055</v>
      </c>
      <c r="P53" s="180">
        <v>136.41838311808775</v>
      </c>
      <c r="Q53" s="180">
        <v>131.15881235323079</v>
      </c>
      <c r="R53" s="180">
        <v>126.34648051664367</v>
      </c>
      <c r="S53" s="180">
        <v>121.04607404093763</v>
      </c>
      <c r="T53" s="180">
        <v>115.38553461204026</v>
      </c>
      <c r="U53" s="180">
        <v>109.33792720602622</v>
      </c>
      <c r="V53" s="180">
        <v>103.32756496626689</v>
      </c>
      <c r="W53" s="180">
        <v>97.845032870873439</v>
      </c>
      <c r="X53" s="180">
        <v>93.320697362534673</v>
      </c>
      <c r="Y53" s="180">
        <v>90.147385486300536</v>
      </c>
      <c r="DA53" s="189" t="s">
        <v>947</v>
      </c>
    </row>
    <row r="54" spans="1:105" ht="12" customHeight="1" x14ac:dyDescent="0.25">
      <c r="A54" s="131" t="s">
        <v>140</v>
      </c>
      <c r="B54" s="180">
        <v>35.849350391448873</v>
      </c>
      <c r="C54" s="180">
        <v>35.384847077245588</v>
      </c>
      <c r="D54" s="180">
        <v>34.69843343329692</v>
      </c>
      <c r="E54" s="180">
        <v>33.901221882182085</v>
      </c>
      <c r="F54" s="180">
        <v>33.024046305862882</v>
      </c>
      <c r="G54" s="180">
        <v>32.046370942216065</v>
      </c>
      <c r="H54" s="180">
        <v>30.917164396176705</v>
      </c>
      <c r="I54" s="180">
        <v>29.992538123270315</v>
      </c>
      <c r="J54" s="180">
        <v>29.220124201929497</v>
      </c>
      <c r="K54" s="180">
        <v>28.489484561258827</v>
      </c>
      <c r="L54" s="180">
        <v>27.738033999406831</v>
      </c>
      <c r="M54" s="180">
        <v>27.040836577463203</v>
      </c>
      <c r="N54" s="180">
        <v>26.365568402693309</v>
      </c>
      <c r="O54" s="180">
        <v>25.561290830542671</v>
      </c>
      <c r="P54" s="180">
        <v>24.768729823087604</v>
      </c>
      <c r="Q54" s="180">
        <v>23.827305656111925</v>
      </c>
      <c r="R54" s="180">
        <v>22.7680931321683</v>
      </c>
      <c r="S54" s="180">
        <v>21.740914178621157</v>
      </c>
      <c r="T54" s="180">
        <v>20.59493590839848</v>
      </c>
      <c r="U54" s="180">
        <v>19.313483421519511</v>
      </c>
      <c r="V54" s="180">
        <v>18.026356630721939</v>
      </c>
      <c r="W54" s="180">
        <v>16.764831615404034</v>
      </c>
      <c r="X54" s="180">
        <v>15.700264839961889</v>
      </c>
      <c r="Y54" s="180">
        <v>14.731263035787356</v>
      </c>
      <c r="DA54" s="189" t="s">
        <v>948</v>
      </c>
    </row>
    <row r="55" spans="1:105" ht="12" customHeight="1" x14ac:dyDescent="0.25">
      <c r="A55" s="131" t="s">
        <v>173</v>
      </c>
      <c r="B55" s="180">
        <v>606.09465473094144</v>
      </c>
      <c r="C55" s="180">
        <v>601.23068478730659</v>
      </c>
      <c r="D55" s="180">
        <v>595.17998905809839</v>
      </c>
      <c r="E55" s="180">
        <v>588.26794802117342</v>
      </c>
      <c r="F55" s="180">
        <v>580.82505194940882</v>
      </c>
      <c r="G55" s="180">
        <v>572.6472934589043</v>
      </c>
      <c r="H55" s="180">
        <v>563.64961241604851</v>
      </c>
      <c r="I55" s="180">
        <v>553.72450379407883</v>
      </c>
      <c r="J55" s="180">
        <v>543.00356056871965</v>
      </c>
      <c r="K55" s="180">
        <v>531.03024577922793</v>
      </c>
      <c r="L55" s="180">
        <v>517.85220627497529</v>
      </c>
      <c r="M55" s="180">
        <v>509.47576917940933</v>
      </c>
      <c r="N55" s="180">
        <v>501.0917535210894</v>
      </c>
      <c r="O55" s="180">
        <v>492.7162623160844</v>
      </c>
      <c r="P55" s="180">
        <v>483.16168290229791</v>
      </c>
      <c r="Q55" s="180">
        <v>473.44466115270825</v>
      </c>
      <c r="R55" s="180">
        <v>464.30642701603847</v>
      </c>
      <c r="S55" s="180">
        <v>454.99411030624992</v>
      </c>
      <c r="T55" s="180">
        <v>445.37379974063646</v>
      </c>
      <c r="U55" s="180">
        <v>435.73718870289963</v>
      </c>
      <c r="V55" s="180">
        <v>426.5652243099546</v>
      </c>
      <c r="W55" s="180">
        <v>419.39023663405067</v>
      </c>
      <c r="X55" s="180">
        <v>411.94761257486783</v>
      </c>
      <c r="Y55" s="180">
        <v>404.08170590077555</v>
      </c>
      <c r="DA55" s="189" t="s">
        <v>949</v>
      </c>
    </row>
    <row r="56" spans="1:105" ht="12" customHeight="1" x14ac:dyDescent="0.25">
      <c r="A56" s="60" t="s">
        <v>99</v>
      </c>
      <c r="B56" s="55">
        <v>45.577944424284674</v>
      </c>
      <c r="C56" s="55">
        <v>45.349808776624137</v>
      </c>
      <c r="D56" s="55">
        <v>45.044947094800285</v>
      </c>
      <c r="E56" s="55">
        <v>44.742232874373265</v>
      </c>
      <c r="F56" s="55">
        <v>44.430244308558052</v>
      </c>
      <c r="G56" s="55">
        <v>44.104903808429434</v>
      </c>
      <c r="H56" s="55">
        <v>43.809122129486532</v>
      </c>
      <c r="I56" s="55">
        <v>43.482820084730548</v>
      </c>
      <c r="J56" s="55">
        <v>43.194383667032817</v>
      </c>
      <c r="K56" s="55">
        <v>42.842632054051307</v>
      </c>
      <c r="L56" s="55">
        <v>42.488781031629692</v>
      </c>
      <c r="M56" s="55">
        <v>42.125427714354949</v>
      </c>
      <c r="N56" s="55">
        <v>41.676251101702519</v>
      </c>
      <c r="O56" s="55">
        <v>41.131692351237653</v>
      </c>
      <c r="P56" s="55">
        <v>40.506180935077303</v>
      </c>
      <c r="Q56" s="55">
        <v>39.761653223922806</v>
      </c>
      <c r="R56" s="55">
        <v>39.166266066948339</v>
      </c>
      <c r="S56" s="55">
        <v>38.459889201375923</v>
      </c>
      <c r="T56" s="55">
        <v>37.753275521892419</v>
      </c>
      <c r="U56" s="55">
        <v>37.020411734341998</v>
      </c>
      <c r="V56" s="55">
        <v>36.269959666101236</v>
      </c>
      <c r="W56" s="55">
        <v>35.610993367824179</v>
      </c>
      <c r="X56" s="55">
        <v>34.953806395546152</v>
      </c>
      <c r="Y56" s="55">
        <v>34.439004113883286</v>
      </c>
      <c r="DA56" s="101" t="s">
        <v>950</v>
      </c>
    </row>
    <row r="57" spans="1:105" ht="12" customHeight="1" x14ac:dyDescent="0.25">
      <c r="A57" s="62" t="s">
        <v>98</v>
      </c>
      <c r="B57" s="63">
        <v>347.86287887863341</v>
      </c>
      <c r="C57" s="63">
        <v>339.59135526628364</v>
      </c>
      <c r="D57" s="63">
        <v>328.18005108062465</v>
      </c>
      <c r="E57" s="63">
        <v>314.22029508520274</v>
      </c>
      <c r="F57" s="63">
        <v>298.02145826101957</v>
      </c>
      <c r="G57" s="63">
        <v>280.92733108722604</v>
      </c>
      <c r="H57" s="63">
        <v>265.99387006995562</v>
      </c>
      <c r="I57" s="63">
        <v>252.26332071329821</v>
      </c>
      <c r="J57" s="63">
        <v>237.84017593992354</v>
      </c>
      <c r="K57" s="63">
        <v>223.3350688196731</v>
      </c>
      <c r="L57" s="63">
        <v>207.98341676445003</v>
      </c>
      <c r="M57" s="63">
        <v>192.82648381128067</v>
      </c>
      <c r="N57" s="63">
        <v>179.31452727443499</v>
      </c>
      <c r="O57" s="63">
        <v>167.62917883740025</v>
      </c>
      <c r="P57" s="63">
        <v>158.29390372892149</v>
      </c>
      <c r="Q57" s="63">
        <v>151.5210151686145</v>
      </c>
      <c r="R57" s="63">
        <v>146.86732212297593</v>
      </c>
      <c r="S57" s="63">
        <v>142.05177780750103</v>
      </c>
      <c r="T57" s="63">
        <v>137.7980186915774</v>
      </c>
      <c r="U57" s="63">
        <v>134.00005293644492</v>
      </c>
      <c r="V57" s="63">
        <v>130.08524218346875</v>
      </c>
      <c r="W57" s="63">
        <v>127.39174444481422</v>
      </c>
      <c r="X57" s="63">
        <v>124.40325587215968</v>
      </c>
      <c r="Y57" s="63">
        <v>121.62169377634095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0.55446308573839698</v>
      </c>
      <c r="D60" s="180">
        <v>0.54828896993031151</v>
      </c>
      <c r="E60" s="180">
        <v>0.5423505367478193</v>
      </c>
      <c r="F60" s="180">
        <v>0.53569694676552837</v>
      </c>
      <c r="G60" s="180">
        <v>0.5303934627353265</v>
      </c>
      <c r="H60" s="180">
        <v>0.52430795480072101</v>
      </c>
      <c r="I60" s="180">
        <v>0.51801442259742148</v>
      </c>
      <c r="J60" s="180">
        <v>0.51234126354561671</v>
      </c>
      <c r="K60" s="180">
        <v>0.50627996729921809</v>
      </c>
      <c r="L60" s="180">
        <v>0.4997363597885216</v>
      </c>
      <c r="M60" s="180">
        <v>0.49270027228036356</v>
      </c>
      <c r="N60" s="180">
        <v>0.48593332033276021</v>
      </c>
      <c r="O60" s="180">
        <v>0.47924712570779654</v>
      </c>
      <c r="P60" s="180">
        <v>0.47242515700801818</v>
      </c>
      <c r="Q60" s="180">
        <v>0.4659344268394664</v>
      </c>
      <c r="R60" s="180">
        <v>0.46275772397381909</v>
      </c>
      <c r="S60" s="180">
        <v>0.45813208390621024</v>
      </c>
      <c r="T60" s="180">
        <v>0.45392151137808284</v>
      </c>
      <c r="U60" s="180">
        <v>0.45003867254947622</v>
      </c>
      <c r="V60" s="180">
        <v>0.44618839231989427</v>
      </c>
      <c r="W60" s="180">
        <v>0.4435112619659749</v>
      </c>
      <c r="X60" s="180">
        <v>0.44083413161205554</v>
      </c>
      <c r="Y60" s="180">
        <v>0.43815700125813617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166.84996602911539</v>
      </c>
      <c r="D61" s="180">
        <v>164.52677931393515</v>
      </c>
      <c r="E61" s="180">
        <v>161.88276072435741</v>
      </c>
      <c r="F61" s="180">
        <v>159.6434068008104</v>
      </c>
      <c r="G61" s="180">
        <v>156.47889537045705</v>
      </c>
      <c r="H61" s="180">
        <v>154.04033593240214</v>
      </c>
      <c r="I61" s="180">
        <v>151.58116407310132</v>
      </c>
      <c r="J61" s="180">
        <v>149.47039952912587</v>
      </c>
      <c r="K61" s="180">
        <v>146.98701088935309</v>
      </c>
      <c r="L61" s="180">
        <v>143.61118275498191</v>
      </c>
      <c r="M61" s="180">
        <v>139.86610587270457</v>
      </c>
      <c r="N61" s="180">
        <v>134.82511444174114</v>
      </c>
      <c r="O61" s="180">
        <v>129.15364440622889</v>
      </c>
      <c r="P61" s="180">
        <v>121.64439088399054</v>
      </c>
      <c r="Q61" s="180">
        <v>113.32359327512739</v>
      </c>
      <c r="R61" s="180">
        <v>107.65275767039903</v>
      </c>
      <c r="S61" s="180">
        <v>102.7815575725111</v>
      </c>
      <c r="T61" s="180">
        <v>97.930755669363492</v>
      </c>
      <c r="U61" s="180">
        <v>93.090612384303682</v>
      </c>
      <c r="V61" s="180">
        <v>88.246250901383718</v>
      </c>
      <c r="W61" s="180">
        <v>86.075393129209687</v>
      </c>
      <c r="X61" s="180">
        <v>83.904535357035641</v>
      </c>
      <c r="Y61" s="180">
        <v>81.73367758486161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33.347823196284061</v>
      </c>
      <c r="D62" s="180">
        <v>32.063061284375671</v>
      </c>
      <c r="E62" s="180">
        <v>31.325536797092649</v>
      </c>
      <c r="F62" s="180">
        <v>30.679888673460308</v>
      </c>
      <c r="G62" s="180">
        <v>29.842381823308042</v>
      </c>
      <c r="H62" s="180">
        <v>28.746624930923101</v>
      </c>
      <c r="I62" s="180">
        <v>27.969460785158844</v>
      </c>
      <c r="J62" s="180">
        <v>27.365223099661407</v>
      </c>
      <c r="K62" s="180">
        <v>26.932579681579071</v>
      </c>
      <c r="L62" s="180">
        <v>26.147871733066346</v>
      </c>
      <c r="M62" s="180">
        <v>25.416760649601532</v>
      </c>
      <c r="N62" s="180">
        <v>24.544939966273802</v>
      </c>
      <c r="O62" s="180">
        <v>23.453479779859492</v>
      </c>
      <c r="P62" s="180">
        <v>22.653440983707217</v>
      </c>
      <c r="Q62" s="180">
        <v>21.500887241971469</v>
      </c>
      <c r="R62" s="180">
        <v>19.910053578874393</v>
      </c>
      <c r="S62" s="180">
        <v>18.900002195047147</v>
      </c>
      <c r="T62" s="180">
        <v>17.296730306762175</v>
      </c>
      <c r="U62" s="180">
        <v>16.021016213850885</v>
      </c>
      <c r="V62" s="180">
        <v>14.921986735554928</v>
      </c>
      <c r="W62" s="180">
        <v>14.175887398777181</v>
      </c>
      <c r="X62" s="180">
        <v>13.429788061999433</v>
      </c>
      <c r="Y62" s="180">
        <v>12.683688725221687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555.64308761596453</v>
      </c>
      <c r="D63" s="180">
        <v>545.09683531794622</v>
      </c>
      <c r="E63" s="180">
        <v>536.88618680796026</v>
      </c>
      <c r="F63" s="180">
        <v>532.00241925468731</v>
      </c>
      <c r="G63" s="180">
        <v>525.28146260050266</v>
      </c>
      <c r="H63" s="180">
        <v>518.42987797702176</v>
      </c>
      <c r="I63" s="180">
        <v>510.38725759017609</v>
      </c>
      <c r="J63" s="180">
        <v>503.66424778993269</v>
      </c>
      <c r="K63" s="180">
        <v>492.98015464564253</v>
      </c>
      <c r="L63" s="180">
        <v>480.76298323093278</v>
      </c>
      <c r="M63" s="180">
        <v>465.56979103535463</v>
      </c>
      <c r="N63" s="180">
        <v>457.9465113787611</v>
      </c>
      <c r="O63" s="180">
        <v>451.31635257721615</v>
      </c>
      <c r="P63" s="180">
        <v>437.21354470526745</v>
      </c>
      <c r="Q63" s="180">
        <v>430.91173816741411</v>
      </c>
      <c r="R63" s="180">
        <v>424.3131281879767</v>
      </c>
      <c r="S63" s="180">
        <v>416.01661685469293</v>
      </c>
      <c r="T63" s="180">
        <v>408.09290167733076</v>
      </c>
      <c r="U63" s="180">
        <v>400.67515469097407</v>
      </c>
      <c r="V63" s="180">
        <v>393.33430925307397</v>
      </c>
      <c r="W63" s="180">
        <v>385.46762306801247</v>
      </c>
      <c r="X63" s="180">
        <v>377.60093688295098</v>
      </c>
      <c r="Y63" s="180">
        <v>369.73425069788954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42.957540697052181</v>
      </c>
      <c r="D64" s="55">
        <v>42.655274753900535</v>
      </c>
      <c r="E64" s="55">
        <v>42.411694661088134</v>
      </c>
      <c r="F64" s="55">
        <v>42.164004208078438</v>
      </c>
      <c r="G64" s="55">
        <v>41.844174349420975</v>
      </c>
      <c r="H64" s="55">
        <v>41.505722216493503</v>
      </c>
      <c r="I64" s="55">
        <v>41.124686533157124</v>
      </c>
      <c r="J64" s="55">
        <v>40.704695614446536</v>
      </c>
      <c r="K64" s="55">
        <v>40.234460052995317</v>
      </c>
      <c r="L64" s="55">
        <v>39.588616094929741</v>
      </c>
      <c r="M64" s="55">
        <v>38.734890599104652</v>
      </c>
      <c r="N64" s="55">
        <v>37.780400338219458</v>
      </c>
      <c r="O64" s="55">
        <v>36.842357418906047</v>
      </c>
      <c r="P64" s="55">
        <v>35.899945214357182</v>
      </c>
      <c r="Q64" s="55">
        <v>34.860548786057016</v>
      </c>
      <c r="R64" s="55">
        <v>34.415488186473297</v>
      </c>
      <c r="S64" s="55">
        <v>33.875499004680684</v>
      </c>
      <c r="T64" s="55">
        <v>33.375789840638028</v>
      </c>
      <c r="U64" s="55">
        <v>32.895505942136069</v>
      </c>
      <c r="V64" s="55">
        <v>32.419243422422447</v>
      </c>
      <c r="W64" s="55">
        <v>32.095050988198224</v>
      </c>
      <c r="X64" s="55">
        <v>31.770858553973998</v>
      </c>
      <c r="Y64" s="55">
        <v>31.446666119749771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311.67609489293216</v>
      </c>
      <c r="D65" s="63">
        <v>295.30750318643686</v>
      </c>
      <c r="E65" s="63">
        <v>280.8623281026957</v>
      </c>
      <c r="F65" s="63">
        <v>266.19791819420863</v>
      </c>
      <c r="G65" s="63">
        <v>254.98107261248242</v>
      </c>
      <c r="H65" s="63">
        <v>240.21074842083598</v>
      </c>
      <c r="I65" s="63">
        <v>226.80572297127875</v>
      </c>
      <c r="J65" s="63">
        <v>210.1431903149732</v>
      </c>
      <c r="K65" s="63">
        <v>194.2958449130773</v>
      </c>
      <c r="L65" s="63">
        <v>177.21304724758454</v>
      </c>
      <c r="M65" s="63">
        <v>166.96712501493013</v>
      </c>
      <c r="N65" s="63">
        <v>159.79812787467984</v>
      </c>
      <c r="O65" s="63">
        <v>152.32831836763918</v>
      </c>
      <c r="P65" s="63">
        <v>145.48847577649173</v>
      </c>
      <c r="Q65" s="63">
        <v>141.4219372737962</v>
      </c>
      <c r="R65" s="63">
        <v>138.21481945484874</v>
      </c>
      <c r="S65" s="63">
        <v>134.46177504771356</v>
      </c>
      <c r="T65" s="63">
        <v>130.81611749318182</v>
      </c>
      <c r="U65" s="63">
        <v>127.36186648803587</v>
      </c>
      <c r="V65" s="63">
        <v>123.94506127467379</v>
      </c>
      <c r="W65" s="63">
        <v>121.71405017172965</v>
      </c>
      <c r="X65" s="63">
        <v>119.48303906878553</v>
      </c>
      <c r="Y65" s="63">
        <v>117.25202796584139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695.34009901553532</v>
      </c>
      <c r="C68" s="187">
        <f>1000000*C20/SER_summary!C$8</f>
        <v>700.0262845064442</v>
      </c>
      <c r="D68" s="187">
        <f>1000000*D20/SER_summary!D$8</f>
        <v>705.79820639336583</v>
      </c>
      <c r="E68" s="187">
        <f>1000000*E20/SER_summary!E$8</f>
        <v>715.45081218615667</v>
      </c>
      <c r="F68" s="187">
        <f>1000000*F20/SER_summary!F$8</f>
        <v>724.21937235816085</v>
      </c>
      <c r="G68" s="187">
        <f>1000000*G20/SER_summary!G$8</f>
        <v>732.75960894946581</v>
      </c>
      <c r="H68" s="187">
        <f>1000000*H20/SER_summary!H$8</f>
        <v>738.45264018246314</v>
      </c>
      <c r="I68" s="187">
        <f>1000000*I20/SER_summary!I$8</f>
        <v>742.76303808372825</v>
      </c>
      <c r="J68" s="187">
        <f>1000000*J20/SER_summary!J$8</f>
        <v>747.80860214478753</v>
      </c>
      <c r="K68" s="187">
        <f>1000000*K20/SER_summary!K$8</f>
        <v>752.94112708231728</v>
      </c>
      <c r="L68" s="187">
        <f>1000000*L20/SER_summary!L$8</f>
        <v>760.24053958795594</v>
      </c>
      <c r="M68" s="187">
        <f>1000000*M20/SER_summary!M$8</f>
        <v>765.38362985567142</v>
      </c>
      <c r="N68" s="187">
        <f>1000000*N20/SER_summary!N$8</f>
        <v>771.385367338278</v>
      </c>
      <c r="O68" s="187">
        <f>1000000*O20/SER_summary!O$8</f>
        <v>777.97678741315951</v>
      </c>
      <c r="P68" s="187">
        <f>1000000*P20/SER_summary!P$8</f>
        <v>785.58027947707728</v>
      </c>
      <c r="Q68" s="187">
        <f>1000000*Q20/SER_summary!Q$8</f>
        <v>789.16347897124581</v>
      </c>
      <c r="R68" s="187">
        <f>1000000*R20/SER_summary!R$8</f>
        <v>791.6923476495341</v>
      </c>
      <c r="S68" s="187">
        <f>1000000*S20/SER_summary!S$8</f>
        <v>794.19744586700438</v>
      </c>
      <c r="T68" s="187">
        <f>1000000*T20/SER_summary!T$8</f>
        <v>796.80448908829158</v>
      </c>
      <c r="U68" s="187">
        <f>1000000*U20/SER_summary!U$8</f>
        <v>799.5897254827297</v>
      </c>
      <c r="V68" s="187">
        <f>1000000*V20/SER_summary!V$8</f>
        <v>802.69508021700972</v>
      </c>
      <c r="W68" s="187">
        <f>1000000*W20/SER_summary!W$8</f>
        <v>806.26736913957927</v>
      </c>
      <c r="X68" s="187">
        <f>1000000*X20/SER_summary!X$8</f>
        <v>808.05947093705197</v>
      </c>
      <c r="Y68" s="187">
        <f>1000000*Y20/SER_summary!Y$8</f>
        <v>808.95701503156818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0.15025439639625907</v>
      </c>
      <c r="C69" s="187">
        <f>1000*C21/SER_summary!C$3</f>
        <v>0.15239232447543555</v>
      </c>
      <c r="D69" s="187">
        <f>1000*D21/SER_summary!D$3</f>
        <v>0.15601680063668669</v>
      </c>
      <c r="E69" s="187">
        <f>1000*E21/SER_summary!E$3</f>
        <v>0.16059553524782139</v>
      </c>
      <c r="F69" s="187">
        <f>1000*F21/SER_summary!F$3</f>
        <v>0.16540254100848761</v>
      </c>
      <c r="G69" s="187">
        <f>1000*G21/SER_summary!G$3</f>
        <v>0.17126737273432688</v>
      </c>
      <c r="H69" s="187">
        <f>1000*H21/SER_summary!H$3</f>
        <v>0.17678983559974035</v>
      </c>
      <c r="I69" s="187">
        <f>1000*I21/SER_summary!I$3</f>
        <v>0.18134857621349904</v>
      </c>
      <c r="J69" s="187">
        <f>1000*J21/SER_summary!J$3</f>
        <v>0.18510439846522223</v>
      </c>
      <c r="K69" s="187">
        <f>1000*K21/SER_summary!K$3</f>
        <v>0.18844132481810938</v>
      </c>
      <c r="L69" s="187">
        <f>1000*L21/SER_summary!L$3</f>
        <v>0.19336318286310072</v>
      </c>
      <c r="M69" s="187">
        <f>1000*M21/SER_summary!M$3</f>
        <v>0.19959424924852609</v>
      </c>
      <c r="N69" s="187">
        <f>1000*N21/SER_summary!N$3</f>
        <v>0.2078235687619964</v>
      </c>
      <c r="O69" s="187">
        <f>1000*O21/SER_summary!O$3</f>
        <v>0.21694471897824688</v>
      </c>
      <c r="P69" s="187">
        <f>1000*P21/SER_summary!P$3</f>
        <v>0.2290069768441646</v>
      </c>
      <c r="Q69" s="187">
        <f>1000*Q21/SER_summary!Q$3</f>
        <v>0.24450690448738685</v>
      </c>
      <c r="R69" s="187">
        <f>1000*R21/SER_summary!R$3</f>
        <v>0.24879353022181197</v>
      </c>
      <c r="S69" s="187">
        <f>1000*S21/SER_summary!S$3</f>
        <v>0.25337017534930223</v>
      </c>
      <c r="T69" s="187">
        <f>1000*T21/SER_summary!T$3</f>
        <v>0.25807359374103067</v>
      </c>
      <c r="U69" s="187">
        <f>1000*U21/SER_summary!U$3</f>
        <v>0.26288645219058271</v>
      </c>
      <c r="V69" s="187">
        <f>1000*V21/SER_summary!V$3</f>
        <v>0.26763486832817729</v>
      </c>
      <c r="W69" s="187">
        <f>1000*W21/SER_summary!W$3</f>
        <v>0.27166588056196639</v>
      </c>
      <c r="X69" s="187">
        <f>1000*X21/SER_summary!X$3</f>
        <v>0.27452365953556979</v>
      </c>
      <c r="Y69" s="187">
        <f>1000*Y21/SER_summary!Y$3</f>
        <v>0.27654197313219808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177.87096629444611</v>
      </c>
      <c r="C70" s="187">
        <f>1000000*C22/SER_summary!C$8</f>
        <v>180.26435166670478</v>
      </c>
      <c r="D70" s="187">
        <f>1000000*D22/SER_summary!D$8</f>
        <v>182.47944328821447</v>
      </c>
      <c r="E70" s="187">
        <f>1000000*E22/SER_summary!E$8</f>
        <v>185.7260009334361</v>
      </c>
      <c r="F70" s="187">
        <f>1000000*F22/SER_summary!F$8</f>
        <v>189.55753107026391</v>
      </c>
      <c r="G70" s="187">
        <f>1000000*G22/SER_summary!G$8</f>
        <v>193.07445972102408</v>
      </c>
      <c r="H70" s="187">
        <f>1000000*H22/SER_summary!H$8</f>
        <v>197.01279687206812</v>
      </c>
      <c r="I70" s="187">
        <f>1000000*I22/SER_summary!I$8</f>
        <v>201.29782283896668</v>
      </c>
      <c r="J70" s="187">
        <f>1000000*J22/SER_summary!J$8</f>
        <v>205.7008956245177</v>
      </c>
      <c r="K70" s="187">
        <f>1000000*K22/SER_summary!K$8</f>
        <v>209.97170376584708</v>
      </c>
      <c r="L70" s="187">
        <f>1000000*L22/SER_summary!L$8</f>
        <v>214.65262247523421</v>
      </c>
      <c r="M70" s="187">
        <f>1000000*M22/SER_summary!M$8</f>
        <v>219.73487176478454</v>
      </c>
      <c r="N70" s="187">
        <f>1000000*N22/SER_summary!N$8</f>
        <v>225.65769664978245</v>
      </c>
      <c r="O70" s="187">
        <f>1000000*O22/SER_summary!O$8</f>
        <v>232.16517379989739</v>
      </c>
      <c r="P70" s="187">
        <f>1000000*P22/SER_summary!P$8</f>
        <v>239.71533781310748</v>
      </c>
      <c r="Q70" s="187">
        <f>1000000*Q22/SER_summary!Q$8</f>
        <v>247.75579471336997</v>
      </c>
      <c r="R70" s="187">
        <f>1000000*R22/SER_summary!R$8</f>
        <v>252.60830100228853</v>
      </c>
      <c r="S70" s="187">
        <f>1000000*S22/SER_summary!S$8</f>
        <v>257.52634511566265</v>
      </c>
      <c r="T70" s="187">
        <f>1000000*T22/SER_summary!T$8</f>
        <v>262.23721210828967</v>
      </c>
      <c r="U70" s="187">
        <f>1000000*U22/SER_summary!U$8</f>
        <v>266.57412408825928</v>
      </c>
      <c r="V70" s="187">
        <f>1000000*V22/SER_summary!V$8</f>
        <v>270.22626649336348</v>
      </c>
      <c r="W70" s="187">
        <f>1000000*W22/SER_summary!W$8</f>
        <v>272.82711695511108</v>
      </c>
      <c r="X70" s="187">
        <f>1000000*X22/SER_summary!X$8</f>
        <v>274.1369143473903</v>
      </c>
      <c r="Y70" s="187">
        <f>1000000*Y22/SER_summary!Y$8</f>
        <v>274.79416920454838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3.2536595358541594E-2</v>
      </c>
      <c r="C71" s="187">
        <f>1000*C23/SER_summary!C$3</f>
        <v>3.261811228397081E-2</v>
      </c>
      <c r="D71" s="187">
        <f>1000*D23/SER_summary!D$3</f>
        <v>3.2777388822289547E-2</v>
      </c>
      <c r="E71" s="187">
        <f>1000*E23/SER_summary!E$3</f>
        <v>3.2970777783443234E-2</v>
      </c>
      <c r="F71" s="187">
        <f>1000*F23/SER_summary!F$3</f>
        <v>3.3180334574495124E-2</v>
      </c>
      <c r="G71" s="187">
        <f>1000*G23/SER_summary!G$3</f>
        <v>3.3408617553415627E-2</v>
      </c>
      <c r="H71" s="187">
        <f>1000*H23/SER_summary!H$3</f>
        <v>3.3689549175982117E-2</v>
      </c>
      <c r="I71" s="187">
        <f>1000*I23/SER_summary!I$3</f>
        <v>3.4014564284502356E-2</v>
      </c>
      <c r="J71" s="187">
        <f>1000*J23/SER_summary!J$3</f>
        <v>3.4385633136446402E-2</v>
      </c>
      <c r="K71" s="187">
        <f>1000*K23/SER_summary!K$3</f>
        <v>3.4869392683585819E-2</v>
      </c>
      <c r="L71" s="187">
        <f>1000*L23/SER_summary!L$3</f>
        <v>3.5451337231614824E-2</v>
      </c>
      <c r="M71" s="187">
        <f>1000*M23/SER_summary!M$3</f>
        <v>3.581221405247495E-2</v>
      </c>
      <c r="N71" s="187">
        <f>1000*N23/SER_summary!N$3</f>
        <v>3.6258305880063277E-2</v>
      </c>
      <c r="O71" s="187">
        <f>1000*O23/SER_summary!O$3</f>
        <v>3.6792193828273076E-2</v>
      </c>
      <c r="P71" s="187">
        <f>1000*P23/SER_summary!P$3</f>
        <v>3.7512139803314068E-2</v>
      </c>
      <c r="Q71" s="187">
        <f>1000*Q23/SER_summary!Q$3</f>
        <v>3.8438358616738839E-2</v>
      </c>
      <c r="R71" s="187">
        <f>1000*R23/SER_summary!R$3</f>
        <v>3.8765357138555903E-2</v>
      </c>
      <c r="S71" s="187">
        <f>1000*S23/SER_summary!S$3</f>
        <v>3.9133769258502621E-2</v>
      </c>
      <c r="T71" s="187">
        <f>1000*T23/SER_summary!T$3</f>
        <v>3.9535274844057749E-2</v>
      </c>
      <c r="U71" s="187">
        <f>1000*U23/SER_summary!U$3</f>
        <v>3.9977020802215255E-2</v>
      </c>
      <c r="V71" s="187">
        <f>1000*V23/SER_summary!V$3</f>
        <v>4.0451585575207415E-2</v>
      </c>
      <c r="W71" s="187">
        <f>1000*W23/SER_summary!W$3</f>
        <v>4.0878526125475642E-2</v>
      </c>
      <c r="X71" s="187">
        <f>1000*X23/SER_summary!X$3</f>
        <v>4.1180062810419533E-2</v>
      </c>
      <c r="Y71" s="187">
        <f>1000*Y23/SER_summary!Y$3</f>
        <v>4.1392460949265644E-2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90.646142818421666</v>
      </c>
      <c r="C72" s="187">
        <f>1000000*C24/SER_summary!C$8</f>
        <v>94.340255546400712</v>
      </c>
      <c r="D72" s="187">
        <f>1000000*D24/SER_summary!D$8</f>
        <v>100.35914408983182</v>
      </c>
      <c r="E72" s="187">
        <f>1000000*E24/SER_summary!E$8</f>
        <v>106.80111591069087</v>
      </c>
      <c r="F72" s="187">
        <f>1000000*F24/SER_summary!F$8</f>
        <v>114.10129195598368</v>
      </c>
      <c r="G72" s="187">
        <f>1000000*G24/SER_summary!G$8</f>
        <v>122.03051980233062</v>
      </c>
      <c r="H72" s="187">
        <f>1000000*H24/SER_summary!H$8</f>
        <v>128.07724811679449</v>
      </c>
      <c r="I72" s="187">
        <f>1000000*I24/SER_summary!I$8</f>
        <v>133.68315842866087</v>
      </c>
      <c r="J72" s="187">
        <f>1000000*J24/SER_summary!J$8</f>
        <v>138.20702587548803</v>
      </c>
      <c r="K72" s="187">
        <f>1000000*K24/SER_summary!K$8</f>
        <v>143.43027143548963</v>
      </c>
      <c r="L72" s="187">
        <f>1000000*L24/SER_summary!L$8</f>
        <v>146.35741108082209</v>
      </c>
      <c r="M72" s="187">
        <f>1000000*M24/SER_summary!M$8</f>
        <v>148.82470274181063</v>
      </c>
      <c r="N72" s="187">
        <f>1000000*N24/SER_summary!N$8</f>
        <v>152.11832283377416</v>
      </c>
      <c r="O72" s="187">
        <f>1000000*O24/SER_summary!O$8</f>
        <v>155.64956734245038</v>
      </c>
      <c r="P72" s="187">
        <f>1000000*P24/SER_summary!P$8</f>
        <v>158.49214122473828</v>
      </c>
      <c r="Q72" s="187">
        <f>1000000*Q24/SER_summary!Q$8</f>
        <v>161.63695710797037</v>
      </c>
      <c r="R72" s="187">
        <f>1000000*R24/SER_summary!R$8</f>
        <v>168.61772286876032</v>
      </c>
      <c r="S72" s="187">
        <f>1000000*S24/SER_summary!S$8</f>
        <v>175.60487853413241</v>
      </c>
      <c r="T72" s="187">
        <f>1000000*T24/SER_summary!T$8</f>
        <v>182.56462964675836</v>
      </c>
      <c r="U72" s="187">
        <f>1000000*U24/SER_summary!U$8</f>
        <v>189.47647940050928</v>
      </c>
      <c r="V72" s="187">
        <f>1000000*V24/SER_summary!V$8</f>
        <v>196.30227589415452</v>
      </c>
      <c r="W72" s="187">
        <f>1000000*W24/SER_summary!W$8</f>
        <v>203.09698131364343</v>
      </c>
      <c r="X72" s="187">
        <f>1000000*X24/SER_summary!X$8</f>
        <v>208.70169455405664</v>
      </c>
      <c r="Y72" s="187">
        <f>1000000*Y24/SER_summary!Y$8</f>
        <v>213.29662363706262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0.2309056280946486</v>
      </c>
      <c r="C73" s="52">
        <f>1000*C25/SER_summary!C$3</f>
        <v>0.23860076893303478</v>
      </c>
      <c r="D73" s="52">
        <f>1000*D25/SER_summary!D$3</f>
        <v>0.24697659392767576</v>
      </c>
      <c r="E73" s="52">
        <f>1000*E25/SER_summary!E$3</f>
        <v>0.25751140779067794</v>
      </c>
      <c r="F73" s="52">
        <f>1000*F25/SER_summary!F$3</f>
        <v>0.27054806677920767</v>
      </c>
      <c r="G73" s="52">
        <f>1000*G25/SER_summary!G$3</f>
        <v>0.28481937088194959</v>
      </c>
      <c r="H73" s="52">
        <f>1000*H25/SER_summary!H$3</f>
        <v>0.29946375728304919</v>
      </c>
      <c r="I73" s="52">
        <f>1000*I25/SER_summary!I$3</f>
        <v>0.31325590263216946</v>
      </c>
      <c r="J73" s="52">
        <f>1000*J25/SER_summary!J$3</f>
        <v>0.33091937246941033</v>
      </c>
      <c r="K73" s="52">
        <f>1000*K25/SER_summary!K$3</f>
        <v>0.34917369575797641</v>
      </c>
      <c r="L73" s="52">
        <f>1000*L25/SER_summary!L$3</f>
        <v>0.37181272259088621</v>
      </c>
      <c r="M73" s="52">
        <f>1000*M25/SER_summary!M$3</f>
        <v>0.3955808260544777</v>
      </c>
      <c r="N73" s="52">
        <f>1000*N25/SER_summary!N$3</f>
        <v>0.43531817114758581</v>
      </c>
      <c r="O73" s="52">
        <f>1000*O25/SER_summary!O$3</f>
        <v>0.48666693077957995</v>
      </c>
      <c r="P73" s="52">
        <f>1000*P25/SER_summary!P$3</f>
        <v>0.54478806294633997</v>
      </c>
      <c r="Q73" s="52">
        <f>1000*Q25/SER_summary!Q$3</f>
        <v>0.61654909915134182</v>
      </c>
      <c r="R73" s="52">
        <f>1000*R25/SER_summary!R$3</f>
        <v>0.63889769505742244</v>
      </c>
      <c r="S73" s="52">
        <f>1000*S25/SER_summary!S$3</f>
        <v>0.68464937305728668</v>
      </c>
      <c r="T73" s="52">
        <f>1000*T25/SER_summary!T$3</f>
        <v>0.717392496779652</v>
      </c>
      <c r="U73" s="52">
        <f>1000*U25/SER_summary!U$3</f>
        <v>0.76011553989955538</v>
      </c>
      <c r="V73" s="52">
        <f>1000*V25/SER_summary!V$3</f>
        <v>0.80887481447358767</v>
      </c>
      <c r="W73" s="52">
        <f>1000*W25/SER_summary!W$3</f>
        <v>0.85344479891948732</v>
      </c>
      <c r="X73" s="52">
        <f>1000*X25/SER_summary!X$3</f>
        <v>0.89968631128287324</v>
      </c>
      <c r="Y73" s="52">
        <f>1000*Y25/SER_summary!Y$3</f>
        <v>0.97573167747588641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38.784675834424455</v>
      </c>
      <c r="C3" s="198">
        <f>'SER_se-appl'!C4</f>
        <v>39.626931940675192</v>
      </c>
      <c r="D3" s="198">
        <f>'SER_se-appl'!D4</f>
        <v>40.634275940914854</v>
      </c>
      <c r="E3" s="198">
        <f>'SER_se-appl'!E4</f>
        <v>41.747682473481241</v>
      </c>
      <c r="F3" s="198">
        <f>'SER_se-appl'!F4</f>
        <v>42.744581534488937</v>
      </c>
      <c r="G3" s="198">
        <f>'SER_se-appl'!G4</f>
        <v>43.713808160782193</v>
      </c>
      <c r="H3" s="198">
        <f>'SER_se-appl'!H4</f>
        <v>44.527455816610733</v>
      </c>
      <c r="I3" s="198">
        <f>'SER_se-appl'!I4</f>
        <v>45.618217400992101</v>
      </c>
      <c r="J3" s="198">
        <f>'SER_se-appl'!J4</f>
        <v>46.093778957044222</v>
      </c>
      <c r="K3" s="198">
        <f>'SER_se-appl'!K4</f>
        <v>46.843121219697444</v>
      </c>
      <c r="L3" s="198">
        <f>'SER_se-appl'!L4</f>
        <v>47.714400320411329</v>
      </c>
      <c r="M3" s="198">
        <f>'SER_se-appl'!M4</f>
        <v>47.836600903579679</v>
      </c>
      <c r="N3" s="198">
        <f>'SER_se-appl'!N4</f>
        <v>47.816501687603434</v>
      </c>
      <c r="O3" s="198">
        <f>'SER_se-appl'!O4</f>
        <v>47.837823466406483</v>
      </c>
      <c r="P3" s="198">
        <f>'SER_se-appl'!P4</f>
        <v>47.963037747269084</v>
      </c>
      <c r="Q3" s="198">
        <f>'SER_se-appl'!Q4</f>
        <v>47.83810536121775</v>
      </c>
      <c r="R3" s="198">
        <f>'SER_se-appl'!R4</f>
        <v>47.69468309468607</v>
      </c>
      <c r="S3" s="198">
        <f>'SER_se-appl'!S4</f>
        <v>47.548607088207405</v>
      </c>
      <c r="T3" s="198">
        <f>'SER_se-appl'!T4</f>
        <v>47.323819918047995</v>
      </c>
      <c r="U3" s="198">
        <f>'SER_se-appl'!U4</f>
        <v>47.363827416673161</v>
      </c>
      <c r="V3" s="198">
        <f>'SER_se-appl'!V4</f>
        <v>47.377709594553025</v>
      </c>
      <c r="W3" s="198">
        <f>'SER_se-appl'!W4</f>
        <v>47.396622661629209</v>
      </c>
      <c r="X3" s="198">
        <f>'SER_se-appl'!X4</f>
        <v>47.344645761211389</v>
      </c>
      <c r="Y3" s="198">
        <f>'SER_se-appl'!Y4</f>
        <v>47.246415929813566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51.491527392049832</v>
      </c>
      <c r="C5" s="59">
        <f>'SER_se-appl'!C12</f>
        <v>52.609728135850737</v>
      </c>
      <c r="D5" s="59">
        <f>'SER_se-appl'!D12</f>
        <v>53.94710378913696</v>
      </c>
      <c r="E5" s="59">
        <f>'SER_se-appl'!E12</f>
        <v>55.425290772441436</v>
      </c>
      <c r="F5" s="59">
        <f>'SER_se-appl'!F12</f>
        <v>56.74879945731805</v>
      </c>
      <c r="G5" s="59">
        <f>'SER_se-appl'!G12</f>
        <v>58.035569510262206</v>
      </c>
      <c r="H5" s="59">
        <f>'SER_se-appl'!H12</f>
        <v>59.115788943742309</v>
      </c>
      <c r="I5" s="59">
        <f>'SER_se-appl'!I12</f>
        <v>60.563911914787461</v>
      </c>
      <c r="J5" s="59">
        <f>'SER_se-appl'!J12</f>
        <v>61.195279597080422</v>
      </c>
      <c r="K5" s="59">
        <f>'SER_se-appl'!K12</f>
        <v>62.19012554624215</v>
      </c>
      <c r="L5" s="59">
        <f>'SER_se-appl'!L12</f>
        <v>63.346857959632828</v>
      </c>
      <c r="M5" s="59">
        <f>'SER_se-appl'!M12</f>
        <v>63.509094578610899</v>
      </c>
      <c r="N5" s="59">
        <f>'SER_se-appl'!N12</f>
        <v>63.482410345528287</v>
      </c>
      <c r="O5" s="59">
        <f>'SER_se-appl'!O12</f>
        <v>63.51071768428168</v>
      </c>
      <c r="P5" s="59">
        <f>'SER_se-appl'!P12</f>
        <v>63.676955365381218</v>
      </c>
      <c r="Q5" s="59">
        <f>'SER_se-appl'!Q12</f>
        <v>63.511091935041371</v>
      </c>
      <c r="R5" s="59">
        <f>'SER_se-appl'!R12</f>
        <v>63.320680866575216</v>
      </c>
      <c r="S5" s="59">
        <f>'SER_se-appl'!S12</f>
        <v>63.126746625097248</v>
      </c>
      <c r="T5" s="59">
        <f>'SER_se-appl'!T12</f>
        <v>62.828313430011178</v>
      </c>
      <c r="U5" s="59">
        <f>'SER_se-appl'!U12</f>
        <v>62.881428408208762</v>
      </c>
      <c r="V5" s="59">
        <f>'SER_se-appl'!V12</f>
        <v>62.899858742540154</v>
      </c>
      <c r="W5" s="59">
        <f>'SER_se-appl'!W12</f>
        <v>62.924968214012274</v>
      </c>
      <c r="X5" s="59">
        <f>'SER_se-appl'!X12</f>
        <v>62.8559623519279</v>
      </c>
      <c r="Y5" s="59">
        <f>'SER_se-appl'!Y12</f>
        <v>62.725549915951092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695.34009901553532</v>
      </c>
      <c r="C6" s="201">
        <f>'SER_se-appl'!C68</f>
        <v>700.0262845064442</v>
      </c>
      <c r="D6" s="201">
        <f>'SER_se-appl'!D68</f>
        <v>705.79820639336583</v>
      </c>
      <c r="E6" s="201">
        <f>'SER_se-appl'!E68</f>
        <v>715.45081218615667</v>
      </c>
      <c r="F6" s="201">
        <f>'SER_se-appl'!F68</f>
        <v>724.21937235816085</v>
      </c>
      <c r="G6" s="201">
        <f>'SER_se-appl'!G68</f>
        <v>732.75960894946581</v>
      </c>
      <c r="H6" s="201">
        <f>'SER_se-appl'!H68</f>
        <v>738.45264018246314</v>
      </c>
      <c r="I6" s="201">
        <f>'SER_se-appl'!I68</f>
        <v>742.76303808372825</v>
      </c>
      <c r="J6" s="201">
        <f>'SER_se-appl'!J68</f>
        <v>747.80860214478753</v>
      </c>
      <c r="K6" s="201">
        <f>'SER_se-appl'!K68</f>
        <v>752.94112708231728</v>
      </c>
      <c r="L6" s="201">
        <f>'SER_se-appl'!L68</f>
        <v>760.24053958795594</v>
      </c>
      <c r="M6" s="201">
        <f>'SER_se-appl'!M68</f>
        <v>765.38362985567142</v>
      </c>
      <c r="N6" s="201">
        <f>'SER_se-appl'!N68</f>
        <v>771.385367338278</v>
      </c>
      <c r="O6" s="201">
        <f>'SER_se-appl'!O68</f>
        <v>777.97678741315951</v>
      </c>
      <c r="P6" s="201">
        <f>'SER_se-appl'!P68</f>
        <v>785.58027947707728</v>
      </c>
      <c r="Q6" s="201">
        <f>'SER_se-appl'!Q68</f>
        <v>789.16347897124581</v>
      </c>
      <c r="R6" s="201">
        <f>'SER_se-appl'!R68</f>
        <v>791.6923476495341</v>
      </c>
      <c r="S6" s="201">
        <f>'SER_se-appl'!S68</f>
        <v>794.19744586700438</v>
      </c>
      <c r="T6" s="201">
        <f>'SER_se-appl'!T68</f>
        <v>796.80448908829158</v>
      </c>
      <c r="U6" s="201">
        <f>'SER_se-appl'!U68</f>
        <v>799.5897254827297</v>
      </c>
      <c r="V6" s="201">
        <f>'SER_se-appl'!V68</f>
        <v>802.69508021700972</v>
      </c>
      <c r="W6" s="201">
        <f>'SER_se-appl'!W68</f>
        <v>806.26736913957927</v>
      </c>
      <c r="X6" s="201">
        <f>'SER_se-appl'!X68</f>
        <v>808.05947093705197</v>
      </c>
      <c r="Y6" s="201">
        <f>'SER_se-appl'!Y68</f>
        <v>808.95701503156818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83.077636115445287</v>
      </c>
      <c r="C8" s="34">
        <f>'SER_se-appl'!C20</f>
        <v>85.518976479679424</v>
      </c>
      <c r="D8" s="34">
        <f>'SER_se-appl'!D20</f>
        <v>88.441421138633913</v>
      </c>
      <c r="E8" s="34">
        <f>'SER_se-appl'!E20</f>
        <v>91.711033858749516</v>
      </c>
      <c r="F8" s="34">
        <f>'SER_se-appl'!F20</f>
        <v>94.796757020285625</v>
      </c>
      <c r="G8" s="34">
        <f>'SER_se-appl'!G20</f>
        <v>97.901923592710858</v>
      </c>
      <c r="H8" s="34">
        <f>'SER_se-appl'!H20</f>
        <v>100.71669606275663</v>
      </c>
      <c r="I8" s="34">
        <f>'SER_se-appl'!I20</f>
        <v>104.34923928491632</v>
      </c>
      <c r="J8" s="34">
        <f>'SER_se-appl'!J20</f>
        <v>106.5002837685159</v>
      </c>
      <c r="K8" s="34">
        <f>'SER_se-appl'!K20</f>
        <v>109.47524330923981</v>
      </c>
      <c r="L8" s="34">
        <f>'SER_se-appl'!L20</f>
        <v>112.90268876861074</v>
      </c>
      <c r="M8" s="34">
        <f>'SER_se-appl'!M20</f>
        <v>114.46055812786867</v>
      </c>
      <c r="N8" s="34">
        <f>'SER_se-appl'!N20</f>
        <v>115.75477626141743</v>
      </c>
      <c r="O8" s="34">
        <f>'SER_se-appl'!O20</f>
        <v>117.2907470488598</v>
      </c>
      <c r="P8" s="34">
        <f>'SER_se-appl'!P20</f>
        <v>119.25801444308398</v>
      </c>
      <c r="Q8" s="34">
        <f>'SER_se-appl'!Q20</f>
        <v>120.66042883524457</v>
      </c>
      <c r="R8" s="34">
        <f>'SER_se-appl'!R20</f>
        <v>122.10708952646789</v>
      </c>
      <c r="S8" s="34">
        <f>'SER_se-appl'!S20</f>
        <v>123.67060254307933</v>
      </c>
      <c r="T8" s="34">
        <f>'SER_se-appl'!T20</f>
        <v>125.12882820844246</v>
      </c>
      <c r="U8" s="34">
        <f>'SER_se-appl'!U20</f>
        <v>126.64942772255114</v>
      </c>
      <c r="V8" s="34">
        <f>'SER_se-appl'!V20</f>
        <v>128.20734474438271</v>
      </c>
      <c r="W8" s="34">
        <f>'SER_se-appl'!W20</f>
        <v>129.84171452967482</v>
      </c>
      <c r="X8" s="34">
        <f>'SER_se-appl'!X20</f>
        <v>131.19227482996749</v>
      </c>
      <c r="Y8" s="34">
        <f>'SER_se-appl'!Y20</f>
        <v>132.39638102753051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6.0446938540060842</v>
      </c>
      <c r="D9" s="36">
        <f>'SER_se-appl'!D28</f>
        <v>6.6277211436500068</v>
      </c>
      <c r="E9" s="36">
        <f>'SER_se-appl'!E28</f>
        <v>7.0796951522187328</v>
      </c>
      <c r="F9" s="36">
        <f>'SER_se-appl'!F28</f>
        <v>7.0035760395552273</v>
      </c>
      <c r="G9" s="36">
        <f>'SER_se-appl'!G28</f>
        <v>7.1338382474708197</v>
      </c>
      <c r="H9" s="36">
        <f>'SER_se-appl'!H28</f>
        <v>6.9573975176510885</v>
      </c>
      <c r="I9" s="36">
        <f>'SER_se-appl'!I28</f>
        <v>7.8923448811898567</v>
      </c>
      <c r="J9" s="36">
        <f>'SER_se-appl'!J28</f>
        <v>6.5313371641465352</v>
      </c>
      <c r="K9" s="36">
        <f>'SER_se-appl'!K28</f>
        <v>7.4791514029388395</v>
      </c>
      <c r="L9" s="36">
        <f>'SER_se-appl'!L28</f>
        <v>8.0590410652403222</v>
      </c>
      <c r="M9" s="36">
        <f>'SER_se-appl'!M28</f>
        <v>6.3204723993868299</v>
      </c>
      <c r="N9" s="36">
        <f>'SER_se-appl'!N28</f>
        <v>6.1915342310726516</v>
      </c>
      <c r="O9" s="36">
        <f>'SER_se-appl'!O28</f>
        <v>6.5718103812493354</v>
      </c>
      <c r="P9" s="36">
        <f>'SER_se-appl'!P28</f>
        <v>7.1455487037308245</v>
      </c>
      <c r="Q9" s="36">
        <f>'SER_se-appl'!Q28</f>
        <v>6.7271664659482866</v>
      </c>
      <c r="R9" s="36">
        <f>'SER_se-appl'!R28</f>
        <v>6.9220265419070159</v>
      </c>
      <c r="S9" s="36">
        <f>'SER_se-appl'!S28</f>
        <v>7.1937528443801</v>
      </c>
      <c r="T9" s="36">
        <f>'SER_se-appl'!T28</f>
        <v>7.2477201726998715</v>
      </c>
      <c r="U9" s="36">
        <f>'SER_se-appl'!U28</f>
        <v>7.5652933681147658</v>
      </c>
      <c r="V9" s="36">
        <f>'SER_se-appl'!V28</f>
        <v>8.1856381654815777</v>
      </c>
      <c r="W9" s="36">
        <f>'SER_se-appl'!W28</f>
        <v>8.714064937510841</v>
      </c>
      <c r="X9" s="36">
        <f>'SER_se-appl'!X28</f>
        <v>8.3541363398478978</v>
      </c>
      <c r="Y9" s="36">
        <f>'SER_se-appl'!Y28</f>
        <v>8.3379444450338411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3.6033534897719477</v>
      </c>
      <c r="D10" s="38">
        <f>'SER_se-appl'!D36</f>
        <v>3.7052764846955171</v>
      </c>
      <c r="E10" s="38">
        <f>'SER_se-appl'!E36</f>
        <v>3.8100824321031297</v>
      </c>
      <c r="F10" s="38">
        <f>'SER_se-appl'!F36</f>
        <v>3.9178528780191186</v>
      </c>
      <c r="G10" s="38">
        <f>'SER_se-appl'!G36</f>
        <v>4.0286716750455867</v>
      </c>
      <c r="H10" s="38">
        <f>'SER_se-appl'!H36</f>
        <v>4.1426250476053212</v>
      </c>
      <c r="I10" s="38">
        <f>'SER_se-appl'!I36</f>
        <v>4.2598016590301597</v>
      </c>
      <c r="J10" s="38">
        <f>'SER_se-appl'!J36</f>
        <v>4.3802926805469582</v>
      </c>
      <c r="K10" s="38">
        <f>'SER_se-appl'!K36</f>
        <v>4.504191862214924</v>
      </c>
      <c r="L10" s="38">
        <f>'SER_se-appl'!L36</f>
        <v>4.6315956058693928</v>
      </c>
      <c r="M10" s="38">
        <f>'SER_se-appl'!M36</f>
        <v>4.7626030401289086</v>
      </c>
      <c r="N10" s="38">
        <f>'SER_se-appl'!N36</f>
        <v>4.8973160975238841</v>
      </c>
      <c r="O10" s="38">
        <f>'SER_se-appl'!O36</f>
        <v>5.0358395938069691</v>
      </c>
      <c r="P10" s="38">
        <f>'SER_se-appl'!P36</f>
        <v>5.1782813095066444</v>
      </c>
      <c r="Q10" s="38">
        <f>'SER_se-appl'!Q36</f>
        <v>5.3247520737876926</v>
      </c>
      <c r="R10" s="38">
        <f>'SER_se-appl'!R36</f>
        <v>5.4753658506837013</v>
      </c>
      <c r="S10" s="38">
        <f>'SER_se-appl'!S36</f>
        <v>5.6302398277686621</v>
      </c>
      <c r="T10" s="38">
        <f>'SER_se-appl'!T36</f>
        <v>5.789494507336741</v>
      </c>
      <c r="U10" s="38">
        <f>'SER_se-appl'!U36</f>
        <v>6.0446938540060842</v>
      </c>
      <c r="V10" s="38">
        <f>'SER_se-appl'!V36</f>
        <v>6.6277211436500068</v>
      </c>
      <c r="W10" s="38">
        <f>'SER_se-appl'!W36</f>
        <v>7.0796951522187328</v>
      </c>
      <c r="X10" s="38">
        <f>'SER_se-appl'!X36</f>
        <v>7.0035760395552131</v>
      </c>
      <c r="Y10" s="38">
        <f>'SER_se-appl'!Y36</f>
        <v>7.1338382474708339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8760</v>
      </c>
      <c r="D12" s="204">
        <f>'SER_se-appl'!D44</f>
        <v>8760</v>
      </c>
      <c r="E12" s="204">
        <f>'SER_se-appl'!E44</f>
        <v>8759.9999999999982</v>
      </c>
      <c r="F12" s="204">
        <f>'SER_se-appl'!F44</f>
        <v>8760.0000000000036</v>
      </c>
      <c r="G12" s="204">
        <f>'SER_se-appl'!G44</f>
        <v>8760</v>
      </c>
      <c r="H12" s="204">
        <f>'SER_se-appl'!H44</f>
        <v>8760.0000000000036</v>
      </c>
      <c r="I12" s="204">
        <f>'SER_se-appl'!I44</f>
        <v>8760</v>
      </c>
      <c r="J12" s="204">
        <f>'SER_se-appl'!J44</f>
        <v>8759.9999999999964</v>
      </c>
      <c r="K12" s="204">
        <f>'SER_se-appl'!K44</f>
        <v>8760</v>
      </c>
      <c r="L12" s="204">
        <f>'SER_se-appl'!L44</f>
        <v>8760.0000000000018</v>
      </c>
      <c r="M12" s="204">
        <f>'SER_se-appl'!M44</f>
        <v>8760.0000000000018</v>
      </c>
      <c r="N12" s="204">
        <f>'SER_se-appl'!N44</f>
        <v>8760.0000000000018</v>
      </c>
      <c r="O12" s="204">
        <f>'SER_se-appl'!O44</f>
        <v>8759.9999999999982</v>
      </c>
      <c r="P12" s="204">
        <f>'SER_se-appl'!P44</f>
        <v>8760</v>
      </c>
      <c r="Q12" s="204">
        <f>'SER_se-appl'!Q44</f>
        <v>8760</v>
      </c>
      <c r="R12" s="204">
        <f>'SER_se-appl'!R44</f>
        <v>8760.0000000000018</v>
      </c>
      <c r="S12" s="204">
        <f>'SER_se-appl'!S44</f>
        <v>8760.0000000000036</v>
      </c>
      <c r="T12" s="204">
        <f>'SER_se-appl'!T44</f>
        <v>8760.0000000000036</v>
      </c>
      <c r="U12" s="204">
        <f>'SER_se-appl'!U44</f>
        <v>8760.0000000000018</v>
      </c>
      <c r="V12" s="204">
        <f>'SER_se-appl'!V44</f>
        <v>8760</v>
      </c>
      <c r="W12" s="204">
        <f>'SER_se-appl'!W44</f>
        <v>8760.0000000000018</v>
      </c>
      <c r="X12" s="204">
        <f>'SER_se-appl'!X44</f>
        <v>8760.0000000000018</v>
      </c>
      <c r="Y12" s="204">
        <f>'SER_se-appl'!Y44</f>
        <v>8760.0000000000018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0.61980010264732177</v>
      </c>
      <c r="C14" s="59">
        <f>'SER_se-appl'!C52</f>
        <v>0.61518191986724247</v>
      </c>
      <c r="D14" s="59">
        <f>'SER_se-appl'!D52</f>
        <v>0.60997554194175219</v>
      </c>
      <c r="E14" s="59">
        <f>'SER_se-appl'!E52</f>
        <v>0.60434702827367259</v>
      </c>
      <c r="F14" s="59">
        <f>'SER_se-appl'!F52</f>
        <v>0.59863650657558187</v>
      </c>
      <c r="G14" s="59">
        <f>'SER_se-appl'!G52</f>
        <v>0.59279294400486282</v>
      </c>
      <c r="H14" s="59">
        <f>'SER_se-appl'!H52</f>
        <v>0.58695123305978214</v>
      </c>
      <c r="I14" s="59">
        <f>'SER_se-appl'!I52</f>
        <v>0.58039629545763227</v>
      </c>
      <c r="J14" s="59">
        <f>'SER_se-appl'!J52</f>
        <v>0.57460203326867798</v>
      </c>
      <c r="K14" s="59">
        <f>'SER_se-appl'!K52</f>
        <v>0.56807478719705429</v>
      </c>
      <c r="L14" s="59">
        <f>'SER_se-appl'!L52</f>
        <v>0.56107483931989888</v>
      </c>
      <c r="M14" s="59">
        <f>'SER_se-appl'!M52</f>
        <v>0.55485571289685864</v>
      </c>
      <c r="N14" s="59">
        <f>'SER_se-appl'!N52</f>
        <v>0.54842152000848188</v>
      </c>
      <c r="O14" s="59">
        <f>'SER_se-appl'!O52</f>
        <v>0.54148105696543158</v>
      </c>
      <c r="P14" s="59">
        <f>'SER_se-appl'!P52</f>
        <v>0.53394277661541245</v>
      </c>
      <c r="Q14" s="59">
        <f>'SER_se-appl'!Q52</f>
        <v>0.52636222619233686</v>
      </c>
      <c r="R14" s="59">
        <f>'SER_se-appl'!R52</f>
        <v>0.51856678520578325</v>
      </c>
      <c r="S14" s="59">
        <f>'SER_se-appl'!S52</f>
        <v>0.51044262198939094</v>
      </c>
      <c r="T14" s="59">
        <f>'SER_se-appl'!T52</f>
        <v>0.50210902099514865</v>
      </c>
      <c r="U14" s="59">
        <f>'SER_se-appl'!U52</f>
        <v>0.49649990164947366</v>
      </c>
      <c r="V14" s="59">
        <f>'SER_se-appl'!V52</f>
        <v>0.49061041602529604</v>
      </c>
      <c r="W14" s="59">
        <f>'SER_se-appl'!W52</f>
        <v>0.48462829100759464</v>
      </c>
      <c r="X14" s="59">
        <f>'SER_se-appl'!X52</f>
        <v>0.47911328950879717</v>
      </c>
      <c r="Y14" s="59">
        <f>'SER_se-appl'!Y52</f>
        <v>0.47377087975620674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0.55446308573839698</v>
      </c>
      <c r="D15" s="63">
        <f>'SER_se-appl'!D60</f>
        <v>0.54828896993031151</v>
      </c>
      <c r="E15" s="63">
        <f>'SER_se-appl'!E60</f>
        <v>0.5423505367478193</v>
      </c>
      <c r="F15" s="63">
        <f>'SER_se-appl'!F60</f>
        <v>0.53569694676552837</v>
      </c>
      <c r="G15" s="63">
        <f>'SER_se-appl'!G60</f>
        <v>0.5303934627353265</v>
      </c>
      <c r="H15" s="63">
        <f>'SER_se-appl'!H60</f>
        <v>0.52430795480072101</v>
      </c>
      <c r="I15" s="63">
        <f>'SER_se-appl'!I60</f>
        <v>0.51801442259742148</v>
      </c>
      <c r="J15" s="63">
        <f>'SER_se-appl'!J60</f>
        <v>0.51234126354561671</v>
      </c>
      <c r="K15" s="63">
        <f>'SER_se-appl'!K60</f>
        <v>0.50627996729921809</v>
      </c>
      <c r="L15" s="63">
        <f>'SER_se-appl'!L60</f>
        <v>0.4997363597885216</v>
      </c>
      <c r="M15" s="63">
        <f>'SER_se-appl'!M60</f>
        <v>0.49270027228036356</v>
      </c>
      <c r="N15" s="63">
        <f>'SER_se-appl'!N60</f>
        <v>0.48593332033276021</v>
      </c>
      <c r="O15" s="63">
        <f>'SER_se-appl'!O60</f>
        <v>0.47924712570779654</v>
      </c>
      <c r="P15" s="63">
        <f>'SER_se-appl'!P60</f>
        <v>0.47242515700801818</v>
      </c>
      <c r="Q15" s="63">
        <f>'SER_se-appl'!Q60</f>
        <v>0.4659344268394664</v>
      </c>
      <c r="R15" s="63">
        <f>'SER_se-appl'!R60</f>
        <v>0.46275772397381909</v>
      </c>
      <c r="S15" s="63">
        <f>'SER_se-appl'!S60</f>
        <v>0.45813208390621024</v>
      </c>
      <c r="T15" s="63">
        <f>'SER_se-appl'!T60</f>
        <v>0.45392151137808284</v>
      </c>
      <c r="U15" s="63">
        <f>'SER_se-appl'!U60</f>
        <v>0.45003867254947622</v>
      </c>
      <c r="V15" s="63">
        <f>'SER_se-appl'!V60</f>
        <v>0.44618839231989427</v>
      </c>
      <c r="W15" s="63">
        <f>'SER_se-appl'!W60</f>
        <v>0.4435112619659749</v>
      </c>
      <c r="X15" s="63">
        <f>'SER_se-appl'!X60</f>
        <v>0.44083413161205554</v>
      </c>
      <c r="Y15" s="63">
        <f>'SER_se-appl'!Y60</f>
        <v>0.43815700125813617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51.090893630323947</v>
      </c>
      <c r="C3" s="198">
        <f>'SER_se-appl'!C5</f>
        <v>51.455245440917892</v>
      </c>
      <c r="D3" s="198">
        <f>'SER_se-appl'!D5</f>
        <v>52.202443462627791</v>
      </c>
      <c r="E3" s="198">
        <f>'SER_se-appl'!E5</f>
        <v>53.064110312471144</v>
      </c>
      <c r="F3" s="198">
        <f>'SER_se-appl'!F5</f>
        <v>53.889532714103431</v>
      </c>
      <c r="G3" s="198">
        <f>'SER_se-appl'!G5</f>
        <v>54.827121662656694</v>
      </c>
      <c r="H3" s="198">
        <f>'SER_se-appl'!H5</f>
        <v>55.46948330798962</v>
      </c>
      <c r="I3" s="198">
        <f>'SER_se-appl'!I5</f>
        <v>55.722947697625273</v>
      </c>
      <c r="J3" s="198">
        <f>'SER_se-appl'!J5</f>
        <v>56.327673641430934</v>
      </c>
      <c r="K3" s="198">
        <f>'SER_se-appl'!K5</f>
        <v>56.758408566469726</v>
      </c>
      <c r="L3" s="198">
        <f>'SER_se-appl'!L5</f>
        <v>57.411395391609169</v>
      </c>
      <c r="M3" s="198">
        <f>'SER_se-appl'!M5</f>
        <v>58.235857993581639</v>
      </c>
      <c r="N3" s="198">
        <f>'SER_se-appl'!N5</f>
        <v>59.152288267230972</v>
      </c>
      <c r="O3" s="198">
        <f>'SER_se-appl'!O5</f>
        <v>59.79103726760053</v>
      </c>
      <c r="P3" s="198">
        <f>'SER_se-appl'!P5</f>
        <v>60.748415389892891</v>
      </c>
      <c r="Q3" s="198">
        <f>'SER_se-appl'!Q5</f>
        <v>62.19078673898327</v>
      </c>
      <c r="R3" s="198">
        <f>'SER_se-appl'!R5</f>
        <v>61.705641200808486</v>
      </c>
      <c r="S3" s="198">
        <f>'SER_se-appl'!S5</f>
        <v>61.2580753091056</v>
      </c>
      <c r="T3" s="198">
        <f>'SER_se-appl'!T5</f>
        <v>59.606763932963368</v>
      </c>
      <c r="U3" s="198">
        <f>'SER_se-appl'!U5</f>
        <v>57.097147982244657</v>
      </c>
      <c r="V3" s="198">
        <f>'SER_se-appl'!V5</f>
        <v>54.063602797022753</v>
      </c>
      <c r="W3" s="198">
        <f>'SER_se-appl'!W5</f>
        <v>51.866125516656126</v>
      </c>
      <c r="X3" s="198">
        <f>'SER_se-appl'!X5</f>
        <v>49.904207621855171</v>
      </c>
      <c r="Y3" s="198">
        <f>'SER_se-appl'!Y5</f>
        <v>48.688046501913938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142.8870913797534</v>
      </c>
      <c r="C5" s="59">
        <f>'SER_se-appl'!C13</f>
        <v>144.11427565392592</v>
      </c>
      <c r="D5" s="59">
        <f>'SER_se-appl'!D13</f>
        <v>146.33993446953167</v>
      </c>
      <c r="E5" s="59">
        <f>'SER_se-appl'!E13</f>
        <v>148.90580124606313</v>
      </c>
      <c r="F5" s="59">
        <f>'SER_se-appl'!F13</f>
        <v>151.27004786543168</v>
      </c>
      <c r="G5" s="59">
        <f>'SER_se-appl'!G13</f>
        <v>153.9837791403389</v>
      </c>
      <c r="H5" s="59">
        <f>'SER_se-appl'!H13</f>
        <v>156.00091413148326</v>
      </c>
      <c r="I5" s="59">
        <f>'SER_se-appl'!I13</f>
        <v>156.81913900323255</v>
      </c>
      <c r="J5" s="59">
        <f>'SER_se-appl'!J13</f>
        <v>158.67641843769621</v>
      </c>
      <c r="K5" s="59">
        <f>'SER_se-appl'!K13</f>
        <v>160.11953967949148</v>
      </c>
      <c r="L5" s="59">
        <f>'SER_se-appl'!L13</f>
        <v>162.17124260002603</v>
      </c>
      <c r="M5" s="59">
        <f>'SER_se-appl'!M13</f>
        <v>164.90489496559334</v>
      </c>
      <c r="N5" s="59">
        <f>'SER_se-appl'!N13</f>
        <v>168.32039228840293</v>
      </c>
      <c r="O5" s="59">
        <f>'SER_se-appl'!O13</f>
        <v>171.61294761779581</v>
      </c>
      <c r="P5" s="59">
        <f>'SER_se-appl'!P13</f>
        <v>175.79910656107401</v>
      </c>
      <c r="Q5" s="59">
        <f>'SER_se-appl'!Q13</f>
        <v>181.50273152674123</v>
      </c>
      <c r="R5" s="59">
        <f>'SER_se-appl'!R13</f>
        <v>179.40279472672032</v>
      </c>
      <c r="S5" s="59">
        <f>'SER_se-appl'!S13</f>
        <v>176.31166966788638</v>
      </c>
      <c r="T5" s="59">
        <f>'SER_se-appl'!T13</f>
        <v>172.15204216198666</v>
      </c>
      <c r="U5" s="59">
        <f>'SER_se-appl'!U13</f>
        <v>166.88685566265366</v>
      </c>
      <c r="V5" s="59">
        <f>'SER_se-appl'!V13</f>
        <v>161.02303296820526</v>
      </c>
      <c r="W5" s="59">
        <f>'SER_se-appl'!W13</f>
        <v>155.23515311079103</v>
      </c>
      <c r="X5" s="59">
        <f>'SER_se-appl'!X13</f>
        <v>150.46961607527606</v>
      </c>
      <c r="Y5" s="59">
        <f>'SER_se-appl'!Y13</f>
        <v>147.89831060884563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0.15025439639625907</v>
      </c>
      <c r="C6" s="201">
        <f>'SER_se-appl'!C69</f>
        <v>0.15239232447543555</v>
      </c>
      <c r="D6" s="201">
        <f>'SER_se-appl'!D69</f>
        <v>0.15601680063668669</v>
      </c>
      <c r="E6" s="201">
        <f>'SER_se-appl'!E69</f>
        <v>0.16059553524782139</v>
      </c>
      <c r="F6" s="201">
        <f>'SER_se-appl'!F69</f>
        <v>0.16540254100848761</v>
      </c>
      <c r="G6" s="201">
        <f>'SER_se-appl'!G69</f>
        <v>0.17126737273432688</v>
      </c>
      <c r="H6" s="201">
        <f>'SER_se-appl'!H69</f>
        <v>0.17678983559974035</v>
      </c>
      <c r="I6" s="201">
        <f>'SER_se-appl'!I69</f>
        <v>0.18134857621349904</v>
      </c>
      <c r="J6" s="201">
        <f>'SER_se-appl'!J69</f>
        <v>0.18510439846522223</v>
      </c>
      <c r="K6" s="201">
        <f>'SER_se-appl'!K69</f>
        <v>0.18844132481810938</v>
      </c>
      <c r="L6" s="201">
        <f>'SER_se-appl'!L69</f>
        <v>0.19336318286310072</v>
      </c>
      <c r="M6" s="201">
        <f>'SER_se-appl'!M69</f>
        <v>0.19959424924852609</v>
      </c>
      <c r="N6" s="201">
        <f>'SER_se-appl'!N69</f>
        <v>0.2078235687619964</v>
      </c>
      <c r="O6" s="201">
        <f>'SER_se-appl'!O69</f>
        <v>0.21694471897824688</v>
      </c>
      <c r="P6" s="201">
        <f>'SER_se-appl'!P69</f>
        <v>0.2290069768441646</v>
      </c>
      <c r="Q6" s="201">
        <f>'SER_se-appl'!Q69</f>
        <v>0.24450690448738685</v>
      </c>
      <c r="R6" s="201">
        <f>'SER_se-appl'!R69</f>
        <v>0.24879353022181197</v>
      </c>
      <c r="S6" s="201">
        <f>'SER_se-appl'!S69</f>
        <v>0.25337017534930223</v>
      </c>
      <c r="T6" s="201">
        <f>'SER_se-appl'!T69</f>
        <v>0.25807359374103067</v>
      </c>
      <c r="U6" s="201">
        <f>'SER_se-appl'!U69</f>
        <v>0.26288645219058271</v>
      </c>
      <c r="V6" s="201">
        <f>'SER_se-appl'!V69</f>
        <v>0.26763486832817729</v>
      </c>
      <c r="W6" s="201">
        <f>'SER_se-appl'!W69</f>
        <v>0.27166588056196639</v>
      </c>
      <c r="X6" s="201">
        <f>'SER_se-appl'!X69</f>
        <v>0.27452365953556979</v>
      </c>
      <c r="Y6" s="201">
        <f>'SER_se-appl'!Y69</f>
        <v>0.27654197313219808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800.85893787998873</v>
      </c>
      <c r="C8" s="34">
        <f>'SER_se-appl'!C21</f>
        <v>815.17885079189352</v>
      </c>
      <c r="D8" s="34">
        <f>'SER_se-appl'!D21</f>
        <v>837.55341576515957</v>
      </c>
      <c r="E8" s="34">
        <f>'SER_se-appl'!E21</f>
        <v>864.5671881753932</v>
      </c>
      <c r="F8" s="34">
        <f>'SER_se-appl'!F21</f>
        <v>892.78337144905311</v>
      </c>
      <c r="G8" s="34">
        <f>'SER_se-appl'!G21</f>
        <v>926.79711715140002</v>
      </c>
      <c r="H8" s="34">
        <f>'SER_se-appl'!H21</f>
        <v>959.51958433433117</v>
      </c>
      <c r="I8" s="34">
        <f>'SER_se-appl'!I21</f>
        <v>987.82092791533125</v>
      </c>
      <c r="J8" s="34">
        <f>'SER_se-appl'!J21</f>
        <v>1013.5929991762777</v>
      </c>
      <c r="K8" s="34">
        <f>'SER_se-appl'!K21</f>
        <v>1038.5851281100938</v>
      </c>
      <c r="L8" s="34">
        <f>'SER_se-appl'!L21</f>
        <v>1070.2145559933524</v>
      </c>
      <c r="M8" s="34">
        <f>'SER_se-appl'!M21</f>
        <v>1109.869371010333</v>
      </c>
      <c r="N8" s="34">
        <f>'SER_se-appl'!N21</f>
        <v>1159.7627506534211</v>
      </c>
      <c r="O8" s="34">
        <f>'SER_se-appl'!O21</f>
        <v>1215.4605569996572</v>
      </c>
      <c r="P8" s="34">
        <f>'SER_se-appl'!P21</f>
        <v>1288.6760753416727</v>
      </c>
      <c r="Q8" s="34">
        <f>'SER_se-appl'!Q21</f>
        <v>1383.8393949308306</v>
      </c>
      <c r="R8" s="34">
        <f>'SER_se-appl'!R21</f>
        <v>1419.9271241519666</v>
      </c>
      <c r="S8" s="34">
        <f>'SER_se-appl'!S21</f>
        <v>1456.5666095726326</v>
      </c>
      <c r="T8" s="34">
        <f>'SER_se-appl'!T21</f>
        <v>1491.9724793997093</v>
      </c>
      <c r="U8" s="34">
        <f>'SER_se-appl'!U21</f>
        <v>1526.3400352211506</v>
      </c>
      <c r="V8" s="34">
        <f>'SER_se-appl'!V21</f>
        <v>1558.3744088111828</v>
      </c>
      <c r="W8" s="34">
        <f>'SER_se-appl'!W21</f>
        <v>1586.5409674465091</v>
      </c>
      <c r="X8" s="34">
        <f>'SER_se-appl'!X21</f>
        <v>1612.3927523894063</v>
      </c>
      <c r="Y8" s="34">
        <f>'SER_se-appl'!Y21</f>
        <v>1640.6278430706275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114.78320553071978</v>
      </c>
      <c r="D9" s="36">
        <f>'SER_se-appl'!D29</f>
        <v>127.1622881190259</v>
      </c>
      <c r="E9" s="36">
        <f>'SER_se-appl'!E29</f>
        <v>136.31207068257174</v>
      </c>
      <c r="F9" s="36">
        <f>'SER_se-appl'!F29</f>
        <v>142.21921384444454</v>
      </c>
      <c r="G9" s="36">
        <f>'SER_se-appl'!G29</f>
        <v>152.92402321590396</v>
      </c>
      <c r="H9" s="36">
        <f>'SER_se-appl'!H29</f>
        <v>156.75122350245567</v>
      </c>
      <c r="I9" s="36">
        <f>'SER_se-appl'!I29</f>
        <v>157.66890302020977</v>
      </c>
      <c r="J9" s="36">
        <f>'SER_se-appl'!J29</f>
        <v>140.55527679166619</v>
      </c>
      <c r="K9" s="36">
        <f>'SER_se-appl'!K29</f>
        <v>152.15441705284206</v>
      </c>
      <c r="L9" s="36">
        <f>'SER_se-appl'!L29</f>
        <v>167.94149856583033</v>
      </c>
      <c r="M9" s="36">
        <f>'SER_se-appl'!M29</f>
        <v>181.87402886142513</v>
      </c>
      <c r="N9" s="36">
        <f>'SER_se-appl'!N29</f>
        <v>202.81740285899207</v>
      </c>
      <c r="O9" s="36">
        <f>'SER_se-appl'!O29</f>
        <v>212.44902984869179</v>
      </c>
      <c r="P9" s="36">
        <f>'SER_se-appl'!P29</f>
        <v>230.88442136222534</v>
      </c>
      <c r="Q9" s="36">
        <f>'SER_se-appl'!Q29</f>
        <v>235.71859638082424</v>
      </c>
      <c r="R9" s="36">
        <f>'SER_se-appl'!R29</f>
        <v>188.24214627397805</v>
      </c>
      <c r="S9" s="36">
        <f>'SER_se-appl'!S29</f>
        <v>204.58098398649622</v>
      </c>
      <c r="T9" s="36">
        <f>'SER_se-appl'!T29</f>
        <v>217.27989868850182</v>
      </c>
      <c r="U9" s="36">
        <f>'SER_se-appl'!U29</f>
        <v>237.18495868043328</v>
      </c>
      <c r="V9" s="36">
        <f>'SER_se-appl'!V29</f>
        <v>244.48340343872383</v>
      </c>
      <c r="W9" s="36">
        <f>'SER_se-appl'!W29</f>
        <v>259.05097999755162</v>
      </c>
      <c r="X9" s="36">
        <f>'SER_se-appl'!X29</f>
        <v>261.57038132372145</v>
      </c>
      <c r="Y9" s="36">
        <f>'SER_se-appl'!Y29</f>
        <v>216.47723695519926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100.46329261881499</v>
      </c>
      <c r="D10" s="38">
        <f>'SER_se-appl'!D37</f>
        <v>104.78772314575986</v>
      </c>
      <c r="E10" s="38">
        <f>'SER_se-appl'!E37</f>
        <v>109.29829827233812</v>
      </c>
      <c r="F10" s="38">
        <f>'SER_se-appl'!F37</f>
        <v>114.00303057078463</v>
      </c>
      <c r="G10" s="38">
        <f>'SER_se-appl'!G37</f>
        <v>118.91027751355705</v>
      </c>
      <c r="H10" s="38">
        <f>'SER_se-appl'!H37</f>
        <v>124.0287563195244</v>
      </c>
      <c r="I10" s="38">
        <f>'SER_se-appl'!I37</f>
        <v>129.36755943920969</v>
      </c>
      <c r="J10" s="38">
        <f>'SER_se-appl'!J37</f>
        <v>114.78320553071978</v>
      </c>
      <c r="K10" s="38">
        <f>'SER_se-appl'!K37</f>
        <v>127.16228811902579</v>
      </c>
      <c r="L10" s="38">
        <f>'SER_se-appl'!L37</f>
        <v>136.31207068257163</v>
      </c>
      <c r="M10" s="38">
        <f>'SER_se-appl'!M37</f>
        <v>142.21921384444454</v>
      </c>
      <c r="N10" s="38">
        <f>'SER_se-appl'!N37</f>
        <v>152.92402321590384</v>
      </c>
      <c r="O10" s="38">
        <f>'SER_se-appl'!O37</f>
        <v>156.75122350245579</v>
      </c>
      <c r="P10" s="38">
        <f>'SER_se-appl'!P37</f>
        <v>157.66890302020988</v>
      </c>
      <c r="Q10" s="38">
        <f>'SER_se-appl'!Q37</f>
        <v>140.5552767916663</v>
      </c>
      <c r="R10" s="38">
        <f>'SER_se-appl'!R37</f>
        <v>152.15441705284206</v>
      </c>
      <c r="S10" s="38">
        <f>'SER_se-appl'!S37</f>
        <v>167.94149856583022</v>
      </c>
      <c r="T10" s="38">
        <f>'SER_se-appl'!T37</f>
        <v>181.87402886142513</v>
      </c>
      <c r="U10" s="38">
        <f>'SER_se-appl'!U37</f>
        <v>202.81740285899195</v>
      </c>
      <c r="V10" s="38">
        <f>'SER_se-appl'!V37</f>
        <v>212.44902984869168</v>
      </c>
      <c r="W10" s="38">
        <f>'SER_se-appl'!W37</f>
        <v>230.88442136222534</v>
      </c>
      <c r="X10" s="38">
        <f>'SER_se-appl'!X37</f>
        <v>235.71859638082424</v>
      </c>
      <c r="Y10" s="38">
        <f>'SER_se-appl'!Y37</f>
        <v>188.24214627397805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4158.4378769491959</v>
      </c>
      <c r="C12" s="204">
        <f>'SER_se-appl'!C45</f>
        <v>4152.4304359335201</v>
      </c>
      <c r="D12" s="204">
        <f>'SER_se-appl'!D45</f>
        <v>4148.6585303669381</v>
      </c>
      <c r="E12" s="204">
        <f>'SER_se-appl'!E45</f>
        <v>4144.4698444907344</v>
      </c>
      <c r="F12" s="204">
        <f>'SER_se-appl'!F45</f>
        <v>4143.1550680975542</v>
      </c>
      <c r="G12" s="204">
        <f>'SER_se-appl'!G45</f>
        <v>4140.9519138737378</v>
      </c>
      <c r="H12" s="204">
        <f>'SER_se-appl'!H45</f>
        <v>4135.2968632491284</v>
      </c>
      <c r="I12" s="204">
        <f>'SER_se-appl'!I45</f>
        <v>4132.5177898727234</v>
      </c>
      <c r="J12" s="204">
        <f>'SER_se-appl'!J45</f>
        <v>4128.4700707248512</v>
      </c>
      <c r="K12" s="204">
        <f>'SER_se-appl'!K45</f>
        <v>4122.5467731755552</v>
      </c>
      <c r="L12" s="204">
        <f>'SER_se-appl'!L45</f>
        <v>4117.2190438917405</v>
      </c>
      <c r="M12" s="204">
        <f>'SER_se-appl'!M45</f>
        <v>4107.1129429279008</v>
      </c>
      <c r="N12" s="204">
        <f>'SER_se-appl'!N45</f>
        <v>4087.0930919003954</v>
      </c>
      <c r="O12" s="204">
        <f>'SER_se-appl'!O45</f>
        <v>4051.9656184151818</v>
      </c>
      <c r="P12" s="204">
        <f>'SER_se-appl'!P45</f>
        <v>4018.8149121167985</v>
      </c>
      <c r="Q12" s="204">
        <f>'SER_se-appl'!Q45</f>
        <v>3984.9474643736316</v>
      </c>
      <c r="R12" s="204">
        <f>'SER_se-appl'!R45</f>
        <v>4000.1417383634421</v>
      </c>
      <c r="S12" s="204">
        <f>'SER_se-appl'!S45</f>
        <v>4040.7502077819709</v>
      </c>
      <c r="T12" s="204">
        <f>'SER_se-appl'!T45</f>
        <v>4026.8280052586974</v>
      </c>
      <c r="U12" s="204">
        <f>'SER_se-appl'!U45</f>
        <v>3978.9822176037665</v>
      </c>
      <c r="V12" s="204">
        <f>'SER_se-appl'!V45</f>
        <v>3904.7811293774735</v>
      </c>
      <c r="W12" s="204">
        <f>'SER_se-appl'!W45</f>
        <v>3885.7373969168302</v>
      </c>
      <c r="X12" s="204">
        <f>'SER_se-appl'!X45</f>
        <v>3857.1636572251473</v>
      </c>
      <c r="Y12" s="204">
        <f>'SER_se-appl'!Y45</f>
        <v>3828.5899175334644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178.41730250023818</v>
      </c>
      <c r="C14" s="59">
        <f>'SER_se-appl'!C53</f>
        <v>176.78853605430052</v>
      </c>
      <c r="D14" s="59">
        <f>'SER_se-appl'!D53</f>
        <v>174.72310626999308</v>
      </c>
      <c r="E14" s="59">
        <f>'SER_se-appl'!E53</f>
        <v>172.23161286090223</v>
      </c>
      <c r="F14" s="59">
        <f>'SER_se-appl'!F53</f>
        <v>169.43645312289951</v>
      </c>
      <c r="G14" s="59">
        <f>'SER_se-appl'!G53</f>
        <v>166.14615679170737</v>
      </c>
      <c r="H14" s="59">
        <f>'SER_se-appl'!H53</f>
        <v>162.5823137728963</v>
      </c>
      <c r="I14" s="59">
        <f>'SER_se-appl'!I53</f>
        <v>158.75259834206909</v>
      </c>
      <c r="J14" s="59">
        <f>'SER_se-appl'!J53</f>
        <v>156.54845541223023</v>
      </c>
      <c r="K14" s="59">
        <f>'SER_se-appl'!K53</f>
        <v>154.17083813905549</v>
      </c>
      <c r="L14" s="59">
        <f>'SER_se-appl'!L53</f>
        <v>151.53152392839755</v>
      </c>
      <c r="M14" s="59">
        <f>'SER_se-appl'!M53</f>
        <v>148.58045394610505</v>
      </c>
      <c r="N14" s="59">
        <f>'SER_se-appl'!N53</f>
        <v>145.13346992181775</v>
      </c>
      <c r="O14" s="59">
        <f>'SER_se-appl'!O53</f>
        <v>141.19170435396055</v>
      </c>
      <c r="P14" s="59">
        <f>'SER_se-appl'!P53</f>
        <v>136.41838311808775</v>
      </c>
      <c r="Q14" s="59">
        <f>'SER_se-appl'!Q53</f>
        <v>131.15881235323079</v>
      </c>
      <c r="R14" s="59">
        <f>'SER_se-appl'!R53</f>
        <v>126.34648051664367</v>
      </c>
      <c r="S14" s="59">
        <f>'SER_se-appl'!S53</f>
        <v>121.04607404093763</v>
      </c>
      <c r="T14" s="59">
        <f>'SER_se-appl'!T53</f>
        <v>115.38553461204026</v>
      </c>
      <c r="U14" s="59">
        <f>'SER_se-appl'!U53</f>
        <v>109.33792720602622</v>
      </c>
      <c r="V14" s="59">
        <f>'SER_se-appl'!V53</f>
        <v>103.32756496626689</v>
      </c>
      <c r="W14" s="59">
        <f>'SER_se-appl'!W53</f>
        <v>97.845032870873439</v>
      </c>
      <c r="X14" s="59">
        <f>'SER_se-appl'!X53</f>
        <v>93.320697362534673</v>
      </c>
      <c r="Y14" s="59">
        <f>'SER_se-appl'!Y53</f>
        <v>90.147385486300536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166.84996602911539</v>
      </c>
      <c r="D15" s="63">
        <f>'SER_se-appl'!D61</f>
        <v>164.52677931393515</v>
      </c>
      <c r="E15" s="63">
        <f>'SER_se-appl'!E61</f>
        <v>161.88276072435741</v>
      </c>
      <c r="F15" s="63">
        <f>'SER_se-appl'!F61</f>
        <v>159.6434068008104</v>
      </c>
      <c r="G15" s="63">
        <f>'SER_se-appl'!G61</f>
        <v>156.47889537045705</v>
      </c>
      <c r="H15" s="63">
        <f>'SER_se-appl'!H61</f>
        <v>154.04033593240214</v>
      </c>
      <c r="I15" s="63">
        <f>'SER_se-appl'!I61</f>
        <v>151.58116407310132</v>
      </c>
      <c r="J15" s="63">
        <f>'SER_se-appl'!J61</f>
        <v>149.47039952912587</v>
      </c>
      <c r="K15" s="63">
        <f>'SER_se-appl'!K61</f>
        <v>146.98701088935309</v>
      </c>
      <c r="L15" s="63">
        <f>'SER_se-appl'!L61</f>
        <v>143.61118275498191</v>
      </c>
      <c r="M15" s="63">
        <f>'SER_se-appl'!M61</f>
        <v>139.86610587270457</v>
      </c>
      <c r="N15" s="63">
        <f>'SER_se-appl'!N61</f>
        <v>134.82511444174114</v>
      </c>
      <c r="O15" s="63">
        <f>'SER_se-appl'!O61</f>
        <v>129.15364440622889</v>
      </c>
      <c r="P15" s="63">
        <f>'SER_se-appl'!P61</f>
        <v>121.64439088399054</v>
      </c>
      <c r="Q15" s="63">
        <f>'SER_se-appl'!Q61</f>
        <v>113.32359327512739</v>
      </c>
      <c r="R15" s="63">
        <f>'SER_se-appl'!R61</f>
        <v>107.65275767039903</v>
      </c>
      <c r="S15" s="63">
        <f>'SER_se-appl'!S61</f>
        <v>102.7815575725111</v>
      </c>
      <c r="T15" s="63">
        <f>'SER_se-appl'!T61</f>
        <v>97.930755669363492</v>
      </c>
      <c r="U15" s="63">
        <f>'SER_se-appl'!U61</f>
        <v>93.090612384303682</v>
      </c>
      <c r="V15" s="63">
        <f>'SER_se-appl'!V61</f>
        <v>88.246250901383718</v>
      </c>
      <c r="W15" s="63">
        <f>'SER_se-appl'!W61</f>
        <v>86.075393129209687</v>
      </c>
      <c r="X15" s="63">
        <f>'SER_se-appl'!X61</f>
        <v>83.904535357035641</v>
      </c>
      <c r="Y15" s="63">
        <f>'SER_se-appl'!Y61</f>
        <v>81.73367758486161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154.47131534034889</v>
      </c>
      <c r="C3" s="198">
        <f>'SER_se-appl'!C6</f>
        <v>158.88517578716448</v>
      </c>
      <c r="D3" s="198">
        <f>'SER_se-appl'!D6</f>
        <v>162.52941410587758</v>
      </c>
      <c r="E3" s="198">
        <f>'SER_se-appl'!E6</f>
        <v>166.06055158656804</v>
      </c>
      <c r="F3" s="198">
        <f>'SER_se-appl'!F6</f>
        <v>169.5473112015766</v>
      </c>
      <c r="G3" s="198">
        <f>'SER_se-appl'!G6</f>
        <v>171.91940168824016</v>
      </c>
      <c r="H3" s="198">
        <f>'SER_se-appl'!H6</f>
        <v>173.26651406867356</v>
      </c>
      <c r="I3" s="198">
        <f>'SER_se-appl'!I6</f>
        <v>177.53029085570773</v>
      </c>
      <c r="J3" s="198">
        <f>'SER_se-appl'!J6</f>
        <v>179.69249328118946</v>
      </c>
      <c r="K3" s="198">
        <f>'SER_se-appl'!K6</f>
        <v>182.98898306879536</v>
      </c>
      <c r="L3" s="198">
        <f>'SER_se-appl'!L6</f>
        <v>186.85098934181266</v>
      </c>
      <c r="M3" s="198">
        <f>'SER_se-appl'!M6</f>
        <v>188.71485354301245</v>
      </c>
      <c r="N3" s="198">
        <f>'SER_se-appl'!N6</f>
        <v>190.2842692125553</v>
      </c>
      <c r="O3" s="198">
        <f>'SER_se-appl'!O6</f>
        <v>191.47019363990157</v>
      </c>
      <c r="P3" s="198">
        <f>'SER_se-appl'!P6</f>
        <v>193.81113262860467</v>
      </c>
      <c r="Q3" s="198">
        <f>'SER_se-appl'!Q6</f>
        <v>194.91885559790921</v>
      </c>
      <c r="R3" s="198">
        <f>'SER_se-appl'!R6</f>
        <v>193.12368424751918</v>
      </c>
      <c r="S3" s="198">
        <f>'SER_se-appl'!S6</f>
        <v>193.07062818461125</v>
      </c>
      <c r="T3" s="198">
        <f>'SER_se-appl'!T6</f>
        <v>188.12519819438262</v>
      </c>
      <c r="U3" s="198">
        <f>'SER_se-appl'!U6</f>
        <v>179.0821516595104</v>
      </c>
      <c r="V3" s="198">
        <f>'SER_se-appl'!V6</f>
        <v>156.46635542512919</v>
      </c>
      <c r="W3" s="198">
        <f>'SER_se-appl'!W6</f>
        <v>158.60059391330921</v>
      </c>
      <c r="X3" s="198">
        <f>'SER_se-appl'!X6</f>
        <v>150.19461253105803</v>
      </c>
      <c r="Y3" s="198">
        <f>'SER_se-appl'!Y6</f>
        <v>142.27499307771575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761.8565582326388</v>
      </c>
      <c r="C5" s="59">
        <f>'SER_se-appl'!C14</f>
        <v>779.24732709448244</v>
      </c>
      <c r="D5" s="59">
        <f>'SER_se-appl'!D14</f>
        <v>793.41238810138873</v>
      </c>
      <c r="E5" s="59">
        <f>'SER_se-appl'!E14</f>
        <v>807.1046832578769</v>
      </c>
      <c r="F5" s="59">
        <f>'SER_se-appl'!F14</f>
        <v>819.39756840382381</v>
      </c>
      <c r="G5" s="59">
        <f>'SER_se-appl'!G14</f>
        <v>826.67230152635102</v>
      </c>
      <c r="H5" s="59">
        <f>'SER_se-appl'!H14</f>
        <v>830.75490620158257</v>
      </c>
      <c r="I5" s="59">
        <f>'SER_se-appl'!I14</f>
        <v>848.18639245119016</v>
      </c>
      <c r="J5" s="59">
        <f>'SER_se-appl'!J14</f>
        <v>856.00942917109785</v>
      </c>
      <c r="K5" s="59">
        <f>'SER_se-appl'!K14</f>
        <v>869.76166777419553</v>
      </c>
      <c r="L5" s="59">
        <f>'SER_se-appl'!L14</f>
        <v>884.22977533200083</v>
      </c>
      <c r="M5" s="59">
        <f>'SER_se-appl'!M14</f>
        <v>888.57849441334508</v>
      </c>
      <c r="N5" s="59">
        <f>'SER_se-appl'!N14</f>
        <v>892.80129784940891</v>
      </c>
      <c r="O5" s="59">
        <f>'SER_se-appl'!O14</f>
        <v>894.69903398719259</v>
      </c>
      <c r="P5" s="59">
        <f>'SER_se-appl'!P14</f>
        <v>901.35642771410869</v>
      </c>
      <c r="Q5" s="59">
        <f>'SER_se-appl'!Q14</f>
        <v>902.60272985713743</v>
      </c>
      <c r="R5" s="59">
        <f>'SER_se-appl'!R14</f>
        <v>887.07167021861551</v>
      </c>
      <c r="S5" s="59">
        <f>'SER_se-appl'!S14</f>
        <v>871.84133716364681</v>
      </c>
      <c r="T5" s="59">
        <f>'SER_se-appl'!T14</f>
        <v>848.12598488966444</v>
      </c>
      <c r="U5" s="59">
        <f>'SER_se-appl'!U14</f>
        <v>815.48246840157424</v>
      </c>
      <c r="V5" s="59">
        <f>'SER_se-appl'!V14</f>
        <v>778.03265347774834</v>
      </c>
      <c r="W5" s="59">
        <f>'SER_se-appl'!W14</f>
        <v>736.58333274356175</v>
      </c>
      <c r="X5" s="59">
        <f>'SER_se-appl'!X14</f>
        <v>698.77834254913239</v>
      </c>
      <c r="Y5" s="59">
        <f>'SER_se-appl'!Y14</f>
        <v>662.51873832245178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177.87096629444611</v>
      </c>
      <c r="C6" s="201">
        <f>'SER_se-appl'!C70</f>
        <v>180.26435166670478</v>
      </c>
      <c r="D6" s="201">
        <f>'SER_se-appl'!D70</f>
        <v>182.47944328821447</v>
      </c>
      <c r="E6" s="201">
        <f>'SER_se-appl'!E70</f>
        <v>185.7260009334361</v>
      </c>
      <c r="F6" s="201">
        <f>'SER_se-appl'!F70</f>
        <v>189.55753107026391</v>
      </c>
      <c r="G6" s="201">
        <f>'SER_se-appl'!G70</f>
        <v>193.07445972102408</v>
      </c>
      <c r="H6" s="201">
        <f>'SER_se-appl'!H70</f>
        <v>197.01279687206812</v>
      </c>
      <c r="I6" s="201">
        <f>'SER_se-appl'!I70</f>
        <v>201.29782283896668</v>
      </c>
      <c r="J6" s="201">
        <f>'SER_se-appl'!J70</f>
        <v>205.7008956245177</v>
      </c>
      <c r="K6" s="201">
        <f>'SER_se-appl'!K70</f>
        <v>209.97170376584708</v>
      </c>
      <c r="L6" s="201">
        <f>'SER_se-appl'!L70</f>
        <v>214.65262247523421</v>
      </c>
      <c r="M6" s="201">
        <f>'SER_se-appl'!M70</f>
        <v>219.73487176478454</v>
      </c>
      <c r="N6" s="201">
        <f>'SER_se-appl'!N70</f>
        <v>225.65769664978245</v>
      </c>
      <c r="O6" s="201">
        <f>'SER_se-appl'!O70</f>
        <v>232.16517379989739</v>
      </c>
      <c r="P6" s="201">
        <f>'SER_se-appl'!P70</f>
        <v>239.71533781310748</v>
      </c>
      <c r="Q6" s="201">
        <f>'SER_se-appl'!Q70</f>
        <v>247.75579471336997</v>
      </c>
      <c r="R6" s="201">
        <f>'SER_se-appl'!R70</f>
        <v>252.60830100228853</v>
      </c>
      <c r="S6" s="201">
        <f>'SER_se-appl'!S70</f>
        <v>257.52634511566265</v>
      </c>
      <c r="T6" s="201">
        <f>'SER_se-appl'!T70</f>
        <v>262.23721210828967</v>
      </c>
      <c r="U6" s="201">
        <f>'SER_se-appl'!U70</f>
        <v>266.57412408825928</v>
      </c>
      <c r="V6" s="201">
        <f>'SER_se-appl'!V70</f>
        <v>270.22626649336348</v>
      </c>
      <c r="W6" s="201">
        <f>'SER_se-appl'!W70</f>
        <v>272.82711695511108</v>
      </c>
      <c r="X6" s="201">
        <f>'SER_se-appl'!X70</f>
        <v>274.1369143473903</v>
      </c>
      <c r="Y6" s="201">
        <f>'SER_se-appl'!Y70</f>
        <v>274.79416920454838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21.251614043594053</v>
      </c>
      <c r="C8" s="34">
        <f>'SER_se-appl'!C22</f>
        <v>22.022062873222971</v>
      </c>
      <c r="D8" s="34">
        <f>'SER_se-appl'!D22</f>
        <v>22.865942626102054</v>
      </c>
      <c r="E8" s="34">
        <f>'SER_se-appl'!E22</f>
        <v>23.807539623876437</v>
      </c>
      <c r="F8" s="34">
        <f>'SER_se-appl'!F22</f>
        <v>24.812149329452495</v>
      </c>
      <c r="G8" s="34">
        <f>'SER_se-appl'!G22</f>
        <v>25.796128460753103</v>
      </c>
      <c r="H8" s="34">
        <f>'SER_se-appl'!H22</f>
        <v>26.870346049727505</v>
      </c>
      <c r="I8" s="34">
        <f>'SER_se-appl'!I22</f>
        <v>28.27991378939376</v>
      </c>
      <c r="J8" s="34">
        <f>'SER_se-appl'!J22</f>
        <v>29.295201596527534</v>
      </c>
      <c r="K8" s="34">
        <f>'SER_se-appl'!K22</f>
        <v>30.529217399634291</v>
      </c>
      <c r="L8" s="34">
        <f>'SER_se-appl'!L22</f>
        <v>31.877882021159458</v>
      </c>
      <c r="M8" s="34">
        <f>'SER_se-appl'!M22</f>
        <v>32.860614051930554</v>
      </c>
      <c r="N8" s="34">
        <f>'SER_se-appl'!N22</f>
        <v>33.862395235075113</v>
      </c>
      <c r="O8" s="34">
        <f>'SER_se-appl'!O22</f>
        <v>35.002106893527255</v>
      </c>
      <c r="P8" s="34">
        <f>'SER_se-appl'!P22</f>
        <v>36.390902325315444</v>
      </c>
      <c r="Q8" s="34">
        <f>'SER_se-appl'!Q22</f>
        <v>37.881023682827163</v>
      </c>
      <c r="R8" s="34">
        <f>'SER_se-appl'!R22</f>
        <v>38.961175407583902</v>
      </c>
      <c r="S8" s="34">
        <f>'SER_se-appl'!S22</f>
        <v>40.101411099859298</v>
      </c>
      <c r="T8" s="34">
        <f>'SER_se-appl'!T22</f>
        <v>41.181287898245131</v>
      </c>
      <c r="U8" s="34">
        <f>'SER_se-appl'!U22</f>
        <v>42.223479348782085</v>
      </c>
      <c r="V8" s="34">
        <f>'SER_se-appl'!V22</f>
        <v>43.160837734218781</v>
      </c>
      <c r="W8" s="34">
        <f>'SER_se-appl'!W22</f>
        <v>43.936220156650229</v>
      </c>
      <c r="X8" s="34">
        <f>'SER_se-appl'!X22</f>
        <v>44.507423898387472</v>
      </c>
      <c r="Y8" s="34">
        <f>'SER_se-appl'!Y22</f>
        <v>44.973654785266113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4.0892304548907212</v>
      </c>
      <c r="D9" s="36">
        <f>'SER_se-appl'!D30</f>
        <v>4.2488778556956781</v>
      </c>
      <c r="E9" s="36">
        <f>'SER_se-appl'!E30</f>
        <v>4.4350513401552298</v>
      </c>
      <c r="F9" s="36">
        <f>'SER_se-appl'!F30</f>
        <v>4.5888182348566851</v>
      </c>
      <c r="G9" s="36">
        <f>'SER_se-appl'!G30</f>
        <v>4.6612994917014987</v>
      </c>
      <c r="H9" s="36">
        <f>'SER_se-appl'!H30</f>
        <v>4.8470686724276923</v>
      </c>
      <c r="I9" s="36">
        <f>'SER_se-appl'!I30</f>
        <v>5.4987981945569757</v>
      </c>
      <c r="J9" s="36">
        <f>'SER_se-appl'!J30</f>
        <v>5.264165662829452</v>
      </c>
      <c r="K9" s="36">
        <f>'SER_se-appl'!K30</f>
        <v>5.6690671432619872</v>
      </c>
      <c r="L9" s="36">
        <f>'SER_se-appl'!L30</f>
        <v>5.9374828563818518</v>
      </c>
      <c r="M9" s="36">
        <f>'SER_se-appl'!M30</f>
        <v>5.644031522472595</v>
      </c>
      <c r="N9" s="36">
        <f>'SER_se-appl'!N30</f>
        <v>5.8488498555722508</v>
      </c>
      <c r="O9" s="36">
        <f>'SER_se-appl'!O30</f>
        <v>6.6385098530091184</v>
      </c>
      <c r="P9" s="36">
        <f>'SER_se-appl'!P30</f>
        <v>6.6529610946176412</v>
      </c>
      <c r="Q9" s="36">
        <f>'SER_se-appl'!Q30</f>
        <v>7.1591885007737055</v>
      </c>
      <c r="R9" s="36">
        <f>'SER_se-appl'!R30</f>
        <v>7.0176345811385907</v>
      </c>
      <c r="S9" s="36">
        <f>'SER_se-appl'!S30</f>
        <v>6.7842672147479917</v>
      </c>
      <c r="T9" s="36">
        <f>'SER_se-appl'!T30</f>
        <v>6.9287266539580799</v>
      </c>
      <c r="U9" s="36">
        <f>'SER_se-appl'!U30</f>
        <v>7.6807013035460727</v>
      </c>
      <c r="V9" s="36">
        <f>'SER_se-appl'!V30</f>
        <v>7.5903194800543403</v>
      </c>
      <c r="W9" s="36">
        <f>'SER_se-appl'!W30</f>
        <v>7.9345709232051505</v>
      </c>
      <c r="X9" s="36">
        <f>'SER_se-appl'!X30</f>
        <v>7.58883832287583</v>
      </c>
      <c r="Y9" s="36">
        <f>'SER_se-appl'!Y30</f>
        <v>7.2504981016266328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3.3187816252618028</v>
      </c>
      <c r="D10" s="38">
        <f>'SER_se-appl'!D38</f>
        <v>3.4049981028165952</v>
      </c>
      <c r="E10" s="38">
        <f>'SER_se-appl'!E38</f>
        <v>3.4934543423808471</v>
      </c>
      <c r="F10" s="38">
        <f>'SER_se-appl'!F38</f>
        <v>3.5842085292806267</v>
      </c>
      <c r="G10" s="38">
        <f>'SER_se-appl'!G38</f>
        <v>3.6773203604008913</v>
      </c>
      <c r="H10" s="38">
        <f>'SER_se-appl'!H38</f>
        <v>3.7728510834532898</v>
      </c>
      <c r="I10" s="38">
        <f>'SER_se-appl'!I38</f>
        <v>4.0892304548907248</v>
      </c>
      <c r="J10" s="38">
        <f>'SER_se-appl'!J38</f>
        <v>4.2488778556956817</v>
      </c>
      <c r="K10" s="38">
        <f>'SER_se-appl'!K38</f>
        <v>4.4350513401552263</v>
      </c>
      <c r="L10" s="38">
        <f>'SER_se-appl'!L38</f>
        <v>4.5888182348566815</v>
      </c>
      <c r="M10" s="38">
        <f>'SER_se-appl'!M38</f>
        <v>4.6612994917014987</v>
      </c>
      <c r="N10" s="38">
        <f>'SER_se-appl'!N38</f>
        <v>4.8470686724276959</v>
      </c>
      <c r="O10" s="38">
        <f>'SER_se-appl'!O38</f>
        <v>5.4987981945569757</v>
      </c>
      <c r="P10" s="38">
        <f>'SER_se-appl'!P38</f>
        <v>5.2641656628294484</v>
      </c>
      <c r="Q10" s="38">
        <f>'SER_se-appl'!Q38</f>
        <v>5.6690671432619837</v>
      </c>
      <c r="R10" s="38">
        <f>'SER_se-appl'!R38</f>
        <v>5.9374828563818554</v>
      </c>
      <c r="S10" s="38">
        <f>'SER_se-appl'!S38</f>
        <v>5.644031522472595</v>
      </c>
      <c r="T10" s="38">
        <f>'SER_se-appl'!T38</f>
        <v>5.8488498555722472</v>
      </c>
      <c r="U10" s="38">
        <f>'SER_se-appl'!U38</f>
        <v>6.6385098530091184</v>
      </c>
      <c r="V10" s="38">
        <f>'SER_se-appl'!V38</f>
        <v>6.6529610946176447</v>
      </c>
      <c r="W10" s="38">
        <f>'SER_se-appl'!W38</f>
        <v>7.1591885007737019</v>
      </c>
      <c r="X10" s="38">
        <f>'SER_se-appl'!X38</f>
        <v>7.0176345811385872</v>
      </c>
      <c r="Y10" s="38">
        <f>'SER_se-appl'!Y38</f>
        <v>6.7842672147479917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2358.0572720615501</v>
      </c>
      <c r="C12" s="204">
        <f>'SER_se-appl'!C46</f>
        <v>2371.3069396010596</v>
      </c>
      <c r="D12" s="204">
        <f>'SER_se-appl'!D46</f>
        <v>2382.3891766734159</v>
      </c>
      <c r="E12" s="204">
        <f>'SER_se-appl'!E46</f>
        <v>2392.854675500284</v>
      </c>
      <c r="F12" s="204">
        <f>'SER_se-appl'!F46</f>
        <v>2406.4450583072221</v>
      </c>
      <c r="G12" s="204">
        <f>'SER_se-appl'!G46</f>
        <v>2418.6399350051279</v>
      </c>
      <c r="H12" s="204">
        <f>'SER_se-appl'!H46</f>
        <v>2425.6125887142366</v>
      </c>
      <c r="I12" s="204">
        <f>'SER_se-appl'!I46</f>
        <v>2434.2258977830693</v>
      </c>
      <c r="J12" s="204">
        <f>'SER_se-appl'!J46</f>
        <v>2441.3559309549646</v>
      </c>
      <c r="K12" s="204">
        <f>'SER_se-appl'!K46</f>
        <v>2446.8333704982228</v>
      </c>
      <c r="L12" s="204">
        <f>'SER_se-appl'!L46</f>
        <v>2457.5931128640837</v>
      </c>
      <c r="M12" s="204">
        <f>'SER_se-appl'!M46</f>
        <v>2469.9604598851442</v>
      </c>
      <c r="N12" s="204">
        <f>'SER_se-appl'!N46</f>
        <v>2478.7218122024856</v>
      </c>
      <c r="O12" s="204">
        <f>'SER_se-appl'!O46</f>
        <v>2488.8797991749384</v>
      </c>
      <c r="P12" s="204">
        <f>'SER_se-appl'!P46</f>
        <v>2500.7016127759853</v>
      </c>
      <c r="Q12" s="204">
        <f>'SER_se-appl'!Q46</f>
        <v>2511.5216424865971</v>
      </c>
      <c r="R12" s="204">
        <f>'SER_se-appl'!R46</f>
        <v>2531.9582658356371</v>
      </c>
      <c r="S12" s="204">
        <f>'SER_se-appl'!S46</f>
        <v>2575.4816961214578</v>
      </c>
      <c r="T12" s="204">
        <f>'SER_se-appl'!T46</f>
        <v>2579.682846629561</v>
      </c>
      <c r="U12" s="204">
        <f>'SER_se-appl'!U46</f>
        <v>2553.9793980886584</v>
      </c>
      <c r="V12" s="204">
        <f>'SER_se-appl'!V46</f>
        <v>2338.8526245785592</v>
      </c>
      <c r="W12" s="204">
        <f>'SER_se-appl'!W46</f>
        <v>2504.1632429306533</v>
      </c>
      <c r="X12" s="204">
        <f>'SER_se-appl'!X46</f>
        <v>2499.7388118298568</v>
      </c>
      <c r="Y12" s="204">
        <f>'SER_se-appl'!Y46</f>
        <v>2497.5265962794583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35.849350391448873</v>
      </c>
      <c r="C14" s="59">
        <f>'SER_se-appl'!C54</f>
        <v>35.384847077245588</v>
      </c>
      <c r="D14" s="59">
        <f>'SER_se-appl'!D54</f>
        <v>34.69843343329692</v>
      </c>
      <c r="E14" s="59">
        <f>'SER_se-appl'!E54</f>
        <v>33.901221882182085</v>
      </c>
      <c r="F14" s="59">
        <f>'SER_se-appl'!F54</f>
        <v>33.024046305862882</v>
      </c>
      <c r="G14" s="59">
        <f>'SER_se-appl'!G54</f>
        <v>32.046370942216065</v>
      </c>
      <c r="H14" s="59">
        <f>'SER_se-appl'!H54</f>
        <v>30.917164396176705</v>
      </c>
      <c r="I14" s="59">
        <f>'SER_se-appl'!I54</f>
        <v>29.992538123270315</v>
      </c>
      <c r="J14" s="59">
        <f>'SER_se-appl'!J54</f>
        <v>29.220124201929497</v>
      </c>
      <c r="K14" s="59">
        <f>'SER_se-appl'!K54</f>
        <v>28.489484561258827</v>
      </c>
      <c r="L14" s="59">
        <f>'SER_se-appl'!L54</f>
        <v>27.738033999406831</v>
      </c>
      <c r="M14" s="59">
        <f>'SER_se-appl'!M54</f>
        <v>27.040836577463203</v>
      </c>
      <c r="N14" s="59">
        <f>'SER_se-appl'!N54</f>
        <v>26.365568402693309</v>
      </c>
      <c r="O14" s="59">
        <f>'SER_se-appl'!O54</f>
        <v>25.561290830542671</v>
      </c>
      <c r="P14" s="59">
        <f>'SER_se-appl'!P54</f>
        <v>24.768729823087604</v>
      </c>
      <c r="Q14" s="59">
        <f>'SER_se-appl'!Q54</f>
        <v>23.827305656111925</v>
      </c>
      <c r="R14" s="59">
        <f>'SER_se-appl'!R54</f>
        <v>22.7680931321683</v>
      </c>
      <c r="S14" s="59">
        <f>'SER_se-appl'!S54</f>
        <v>21.740914178621157</v>
      </c>
      <c r="T14" s="59">
        <f>'SER_se-appl'!T54</f>
        <v>20.59493590839848</v>
      </c>
      <c r="U14" s="59">
        <f>'SER_se-appl'!U54</f>
        <v>19.313483421519511</v>
      </c>
      <c r="V14" s="59">
        <f>'SER_se-appl'!V54</f>
        <v>18.026356630721939</v>
      </c>
      <c r="W14" s="59">
        <f>'SER_se-appl'!W54</f>
        <v>16.764831615404034</v>
      </c>
      <c r="X14" s="59">
        <f>'SER_se-appl'!X54</f>
        <v>15.700264839961889</v>
      </c>
      <c r="Y14" s="59">
        <f>'SER_se-appl'!Y54</f>
        <v>14.731263035787356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33.347823196284061</v>
      </c>
      <c r="D15" s="63">
        <f>'SER_se-appl'!D62</f>
        <v>32.063061284375671</v>
      </c>
      <c r="E15" s="63">
        <f>'SER_se-appl'!E62</f>
        <v>31.325536797092649</v>
      </c>
      <c r="F15" s="63">
        <f>'SER_se-appl'!F62</f>
        <v>30.679888673460308</v>
      </c>
      <c r="G15" s="63">
        <f>'SER_se-appl'!G62</f>
        <v>29.842381823308042</v>
      </c>
      <c r="H15" s="63">
        <f>'SER_se-appl'!H62</f>
        <v>28.746624930923101</v>
      </c>
      <c r="I15" s="63">
        <f>'SER_se-appl'!I62</f>
        <v>27.969460785158844</v>
      </c>
      <c r="J15" s="63">
        <f>'SER_se-appl'!J62</f>
        <v>27.365223099661407</v>
      </c>
      <c r="K15" s="63">
        <f>'SER_se-appl'!K62</f>
        <v>26.932579681579071</v>
      </c>
      <c r="L15" s="63">
        <f>'SER_se-appl'!L62</f>
        <v>26.147871733066346</v>
      </c>
      <c r="M15" s="63">
        <f>'SER_se-appl'!M62</f>
        <v>25.416760649601532</v>
      </c>
      <c r="N15" s="63">
        <f>'SER_se-appl'!N62</f>
        <v>24.544939966273802</v>
      </c>
      <c r="O15" s="63">
        <f>'SER_se-appl'!O62</f>
        <v>23.453479779859492</v>
      </c>
      <c r="P15" s="63">
        <f>'SER_se-appl'!P62</f>
        <v>22.653440983707217</v>
      </c>
      <c r="Q15" s="63">
        <f>'SER_se-appl'!Q62</f>
        <v>21.500887241971469</v>
      </c>
      <c r="R15" s="63">
        <f>'SER_se-appl'!R62</f>
        <v>19.910053578874393</v>
      </c>
      <c r="S15" s="63">
        <f>'SER_se-appl'!S62</f>
        <v>18.900002195047147</v>
      </c>
      <c r="T15" s="63">
        <f>'SER_se-appl'!T62</f>
        <v>17.296730306762175</v>
      </c>
      <c r="U15" s="63">
        <f>'SER_se-appl'!U62</f>
        <v>16.021016213850885</v>
      </c>
      <c r="V15" s="63">
        <f>'SER_se-appl'!V62</f>
        <v>14.921986735554928</v>
      </c>
      <c r="W15" s="63">
        <f>'SER_se-appl'!W62</f>
        <v>14.175887398777181</v>
      </c>
      <c r="X15" s="63">
        <f>'SER_se-appl'!X62</f>
        <v>13.429788061999433</v>
      </c>
      <c r="Y15" s="63">
        <f>'SER_se-appl'!Y62</f>
        <v>12.683688725221687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79.170937968856052</v>
      </c>
      <c r="C3" s="198">
        <f>'SER_se-appl'!C7</f>
        <v>79.015840198330054</v>
      </c>
      <c r="D3" s="198">
        <f>'SER_se-appl'!D7</f>
        <v>78.883870570842149</v>
      </c>
      <c r="E3" s="198">
        <f>'SER_se-appl'!E7</f>
        <v>78.649153410871889</v>
      </c>
      <c r="F3" s="198">
        <f>'SER_se-appl'!F7</f>
        <v>78.352779599488088</v>
      </c>
      <c r="G3" s="198">
        <f>'SER_se-appl'!G7</f>
        <v>77.979446347611642</v>
      </c>
      <c r="H3" s="198">
        <f>'SER_se-appl'!H7</f>
        <v>77.629243676804052</v>
      </c>
      <c r="I3" s="198">
        <f>'SER_se-appl'!I7</f>
        <v>77.276442175684593</v>
      </c>
      <c r="J3" s="198">
        <f>'SER_se-appl'!J7</f>
        <v>77.010679918678207</v>
      </c>
      <c r="K3" s="198">
        <f>'SER_se-appl'!K7</f>
        <v>76.869487091150759</v>
      </c>
      <c r="L3" s="198">
        <f>'SER_se-appl'!L7</f>
        <v>76.534969092243969</v>
      </c>
      <c r="M3" s="198">
        <f>'SER_se-appl'!M7</f>
        <v>76.419279538917507</v>
      </c>
      <c r="N3" s="198">
        <f>'SER_se-appl'!N7</f>
        <v>76.370127051493711</v>
      </c>
      <c r="O3" s="198">
        <f>'SER_se-appl'!O7</f>
        <v>76.501290256263658</v>
      </c>
      <c r="P3" s="198">
        <f>'SER_se-appl'!P7</f>
        <v>76.82167412183459</v>
      </c>
      <c r="Q3" s="198">
        <f>'SER_se-appl'!Q7</f>
        <v>77.580578145257917</v>
      </c>
      <c r="R3" s="198">
        <f>'SER_se-appl'!R7</f>
        <v>77.374855149734273</v>
      </c>
      <c r="S3" s="198">
        <f>'SER_se-appl'!S7</f>
        <v>77.100412982093445</v>
      </c>
      <c r="T3" s="198">
        <f>'SER_se-appl'!T7</f>
        <v>76.674519224658638</v>
      </c>
      <c r="U3" s="198">
        <f>'SER_se-appl'!U7</f>
        <v>76.180274817460031</v>
      </c>
      <c r="V3" s="198">
        <f>'SER_se-appl'!V7</f>
        <v>75.678846012690229</v>
      </c>
      <c r="W3" s="198">
        <f>'SER_se-appl'!W7</f>
        <v>75.414373899718626</v>
      </c>
      <c r="X3" s="198">
        <f>'SER_se-appl'!X7</f>
        <v>75.048919530207215</v>
      </c>
      <c r="Y3" s="198">
        <f>'SER_se-appl'!Y7</f>
        <v>74.741850920645248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105.10936170979406</v>
      </c>
      <c r="C5" s="59">
        <f>'SER_se-appl'!C15</f>
        <v>104.90344994367337</v>
      </c>
      <c r="D5" s="59">
        <f>'SER_se-appl'!D15</f>
        <v>104.72824369165457</v>
      </c>
      <c r="E5" s="59">
        <f>'SER_se-appl'!E15</f>
        <v>104.41662718817813</v>
      </c>
      <c r="F5" s="59">
        <f>'SER_se-appl'!F15</f>
        <v>104.02315373767652</v>
      </c>
      <c r="G5" s="59">
        <f>'SER_se-appl'!G15</f>
        <v>103.52750696606434</v>
      </c>
      <c r="H5" s="59">
        <f>'SER_se-appl'!H15</f>
        <v>103.06256894534599</v>
      </c>
      <c r="I5" s="59">
        <f>'SER_se-appl'!I15</f>
        <v>102.59418065105156</v>
      </c>
      <c r="J5" s="59">
        <f>'SER_se-appl'!J15</f>
        <v>102.24134788290269</v>
      </c>
      <c r="K5" s="59">
        <f>'SER_se-appl'!K15</f>
        <v>102.05389667466704</v>
      </c>
      <c r="L5" s="59">
        <f>'SER_se-appl'!L15</f>
        <v>101.60978202543355</v>
      </c>
      <c r="M5" s="59">
        <f>'SER_se-appl'!M15</f>
        <v>101.45618961616559</v>
      </c>
      <c r="N5" s="59">
        <f>'SER_se-appl'!N15</f>
        <v>101.39093351699447</v>
      </c>
      <c r="O5" s="59">
        <f>'SER_se-appl'!O15</f>
        <v>101.56506914159202</v>
      </c>
      <c r="P5" s="59">
        <f>'SER_se-appl'!P15</f>
        <v>101.99041895398817</v>
      </c>
      <c r="Q5" s="59">
        <f>'SER_se-appl'!Q15</f>
        <v>102.99795934124992</v>
      </c>
      <c r="R5" s="59">
        <f>'SER_se-appl'!R15</f>
        <v>102.72483623189611</v>
      </c>
      <c r="S5" s="59">
        <f>'SER_se-appl'!S15</f>
        <v>102.36047979243685</v>
      </c>
      <c r="T5" s="59">
        <f>'SER_se-appl'!T15</f>
        <v>101.79505234963243</v>
      </c>
      <c r="U5" s="59">
        <f>'SER_se-appl'!U15</f>
        <v>101.13888083642242</v>
      </c>
      <c r="V5" s="59">
        <f>'SER_se-appl'!V15</f>
        <v>100.47317113328623</v>
      </c>
      <c r="W5" s="59">
        <f>'SER_se-appl'!W15</f>
        <v>100.12205119334793</v>
      </c>
      <c r="X5" s="59">
        <f>'SER_se-appl'!X15</f>
        <v>99.636864627432658</v>
      </c>
      <c r="Y5" s="59">
        <f>'SER_se-appl'!Y15</f>
        <v>99.229192489395473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3.2536595358541594E-2</v>
      </c>
      <c r="C6" s="201">
        <f>'SER_se-appl'!C71</f>
        <v>3.261811228397081E-2</v>
      </c>
      <c r="D6" s="201">
        <f>'SER_se-appl'!D71</f>
        <v>3.2777388822289547E-2</v>
      </c>
      <c r="E6" s="201">
        <f>'SER_se-appl'!E71</f>
        <v>3.2970777783443234E-2</v>
      </c>
      <c r="F6" s="201">
        <f>'SER_se-appl'!F71</f>
        <v>3.3180334574495124E-2</v>
      </c>
      <c r="G6" s="201">
        <f>'SER_se-appl'!G71</f>
        <v>3.3408617553415627E-2</v>
      </c>
      <c r="H6" s="201">
        <f>'SER_se-appl'!H71</f>
        <v>3.3689549175982117E-2</v>
      </c>
      <c r="I6" s="201">
        <f>'SER_se-appl'!I71</f>
        <v>3.4014564284502356E-2</v>
      </c>
      <c r="J6" s="201">
        <f>'SER_se-appl'!J71</f>
        <v>3.4385633136446402E-2</v>
      </c>
      <c r="K6" s="201">
        <f>'SER_se-appl'!K71</f>
        <v>3.4869392683585819E-2</v>
      </c>
      <c r="L6" s="201">
        <f>'SER_se-appl'!L71</f>
        <v>3.5451337231614824E-2</v>
      </c>
      <c r="M6" s="201">
        <f>'SER_se-appl'!M71</f>
        <v>3.581221405247495E-2</v>
      </c>
      <c r="N6" s="201">
        <f>'SER_se-appl'!N71</f>
        <v>3.6258305880063277E-2</v>
      </c>
      <c r="O6" s="201">
        <f>'SER_se-appl'!O71</f>
        <v>3.6792193828273076E-2</v>
      </c>
      <c r="P6" s="201">
        <f>'SER_se-appl'!P71</f>
        <v>3.7512139803314068E-2</v>
      </c>
      <c r="Q6" s="201">
        <f>'SER_se-appl'!Q71</f>
        <v>3.8438358616738839E-2</v>
      </c>
      <c r="R6" s="201">
        <f>'SER_se-appl'!R71</f>
        <v>3.8765357138555903E-2</v>
      </c>
      <c r="S6" s="201">
        <f>'SER_se-appl'!S71</f>
        <v>3.9133769258502621E-2</v>
      </c>
      <c r="T6" s="201">
        <f>'SER_se-appl'!T71</f>
        <v>3.9535274844057749E-2</v>
      </c>
      <c r="U6" s="201">
        <f>'SER_se-appl'!U71</f>
        <v>3.9977020802215255E-2</v>
      </c>
      <c r="V6" s="201">
        <f>'SER_se-appl'!V71</f>
        <v>4.0451585575207415E-2</v>
      </c>
      <c r="W6" s="201">
        <f>'SER_se-appl'!W71</f>
        <v>4.0878526125475642E-2</v>
      </c>
      <c r="X6" s="201">
        <f>'SER_se-appl'!X71</f>
        <v>4.1180062810419533E-2</v>
      </c>
      <c r="Y6" s="201">
        <f>'SER_se-appl'!Y71</f>
        <v>4.1392460949265644E-2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173.42070399293388</v>
      </c>
      <c r="C8" s="34">
        <f>'SER_se-appl'!C23</f>
        <v>174.48119764676409</v>
      </c>
      <c r="D8" s="34">
        <f>'SER_se-appl'!D23</f>
        <v>175.96062639369339</v>
      </c>
      <c r="E8" s="34">
        <f>'SER_se-appl'!E23</f>
        <v>177.49841299261112</v>
      </c>
      <c r="F8" s="34">
        <f>'SER_se-appl'!F23</f>
        <v>179.09550111267785</v>
      </c>
      <c r="G8" s="34">
        <f>'SER_se-appl'!G23</f>
        <v>180.78756007164108</v>
      </c>
      <c r="H8" s="34">
        <f>'SER_se-appl'!H23</f>
        <v>182.84864688112671</v>
      </c>
      <c r="I8" s="34">
        <f>'SER_se-appl'!I23</f>
        <v>185.28018888108423</v>
      </c>
      <c r="J8" s="34">
        <f>'SER_se-appl'!J23</f>
        <v>188.28854045785499</v>
      </c>
      <c r="K8" s="34">
        <f>'SER_se-appl'!K23</f>
        <v>192.18094917534177</v>
      </c>
      <c r="L8" s="34">
        <f>'SER_se-appl'!L23</f>
        <v>196.21386332663337</v>
      </c>
      <c r="M8" s="34">
        <f>'SER_se-appl'!M23</f>
        <v>199.13840020218566</v>
      </c>
      <c r="N8" s="34">
        <f>'SER_se-appl'!N23</f>
        <v>202.34005609658718</v>
      </c>
      <c r="O8" s="34">
        <f>'SER_se-appl'!O23</f>
        <v>206.13297532370993</v>
      </c>
      <c r="P8" s="34">
        <f>'SER_se-appl'!P23</f>
        <v>211.08962602610202</v>
      </c>
      <c r="Q8" s="34">
        <f>'SER_se-appl'!Q23</f>
        <v>217.55015483853606</v>
      </c>
      <c r="R8" s="34">
        <f>'SER_se-appl'!R23</f>
        <v>221.24362329438031</v>
      </c>
      <c r="S8" s="34">
        <f>'SER_se-appl'!S23</f>
        <v>224.97099956643285</v>
      </c>
      <c r="T8" s="34">
        <f>'SER_se-appl'!T23</f>
        <v>228.56093557571822</v>
      </c>
      <c r="U8" s="34">
        <f>'SER_se-appl'!U23</f>
        <v>232.10982091634673</v>
      </c>
      <c r="V8" s="34">
        <f>'SER_se-appl'!V23</f>
        <v>235.53999577865147</v>
      </c>
      <c r="W8" s="34">
        <f>'SER_se-appl'!W23</f>
        <v>238.73243210645342</v>
      </c>
      <c r="X8" s="34">
        <f>'SER_se-appl'!X23</f>
        <v>241.8678045119743</v>
      </c>
      <c r="Y8" s="34">
        <f>'SER_se-appl'!Y23</f>
        <v>245.56714902050462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16.821505249761344</v>
      </c>
      <c r="D9" s="36">
        <f>'SER_se-appl'!D31</f>
        <v>17.57243320995795</v>
      </c>
      <c r="E9" s="36">
        <f>'SER_se-appl'!E31</f>
        <v>17.969777088279443</v>
      </c>
      <c r="F9" s="36">
        <f>'SER_se-appl'!F31</f>
        <v>18.375205100198258</v>
      </c>
      <c r="G9" s="36">
        <f>'SER_se-appl'!G31</f>
        <v>18.823593302366646</v>
      </c>
      <c r="H9" s="36">
        <f>'SER_se-appl'!H31</f>
        <v>19.553482964951542</v>
      </c>
      <c r="I9" s="36">
        <f>'SER_se-appl'!I31</f>
        <v>20.292401227524579</v>
      </c>
      <c r="J9" s="36">
        <f>'SER_se-appl'!J31</f>
        <v>21.245435250826773</v>
      </c>
      <c r="K9" s="36">
        <f>'SER_se-appl'!K31</f>
        <v>22.513641699446993</v>
      </c>
      <c r="L9" s="36">
        <f>'SER_se-appl'!L31</f>
        <v>23.04638823331976</v>
      </c>
      <c r="M9" s="36">
        <f>'SER_se-appl'!M31</f>
        <v>19.746042125313636</v>
      </c>
      <c r="N9" s="36">
        <f>'SER_se-appl'!N31</f>
        <v>20.774089104359462</v>
      </c>
      <c r="O9" s="36">
        <f>'SER_se-appl'!O31</f>
        <v>21.762696315402195</v>
      </c>
      <c r="P9" s="36">
        <f>'SER_se-appl'!P31</f>
        <v>23.331855802590354</v>
      </c>
      <c r="Q9" s="36">
        <f>'SER_se-appl'!Q31</f>
        <v>25.284122114800681</v>
      </c>
      <c r="R9" s="36">
        <f>'SER_se-appl'!R31</f>
        <v>23.246951420795796</v>
      </c>
      <c r="S9" s="36">
        <f>'SER_se-appl'!S31</f>
        <v>24.019777499577117</v>
      </c>
      <c r="T9" s="36">
        <f>'SER_se-appl'!T31</f>
        <v>24.83537126011214</v>
      </c>
      <c r="U9" s="36">
        <f>'SER_se-appl'!U31</f>
        <v>26.062527040075508</v>
      </c>
      <c r="V9" s="36">
        <f>'SER_se-appl'!V31</f>
        <v>26.476563095624499</v>
      </c>
      <c r="W9" s="36">
        <f>'SER_se-appl'!W31</f>
        <v>22.938478453115579</v>
      </c>
      <c r="X9" s="36">
        <f>'SER_se-appl'!X31</f>
        <v>23.909461509880344</v>
      </c>
      <c r="Y9" s="36">
        <f>'SER_se-appl'!Y31</f>
        <v>25.462040823932512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15.761011595931137</v>
      </c>
      <c r="D10" s="38">
        <f>'SER_se-appl'!D39</f>
        <v>16.093004463028649</v>
      </c>
      <c r="E10" s="38">
        <f>'SER_se-appl'!E39</f>
        <v>16.431990489361709</v>
      </c>
      <c r="F10" s="38">
        <f>'SER_se-appl'!F39</f>
        <v>16.778116980131529</v>
      </c>
      <c r="G10" s="38">
        <f>'SER_se-appl'!G39</f>
        <v>17.131534343403416</v>
      </c>
      <c r="H10" s="38">
        <f>'SER_se-appl'!H39</f>
        <v>17.492396155465912</v>
      </c>
      <c r="I10" s="38">
        <f>'SER_se-appl'!I39</f>
        <v>17.860859227567062</v>
      </c>
      <c r="J10" s="38">
        <f>'SER_se-appl'!J39</f>
        <v>18.237083674056009</v>
      </c>
      <c r="K10" s="38">
        <f>'SER_se-appl'!K39</f>
        <v>18.621232981960219</v>
      </c>
      <c r="L10" s="38">
        <f>'SER_se-appl'!L39</f>
        <v>19.013474082028154</v>
      </c>
      <c r="M10" s="38">
        <f>'SER_se-appl'!M39</f>
        <v>16.821505249761344</v>
      </c>
      <c r="N10" s="38">
        <f>'SER_se-appl'!N39</f>
        <v>17.57243320995795</v>
      </c>
      <c r="O10" s="38">
        <f>'SER_se-appl'!O39</f>
        <v>17.969777088279443</v>
      </c>
      <c r="P10" s="38">
        <f>'SER_se-appl'!P39</f>
        <v>18.375205100198258</v>
      </c>
      <c r="Q10" s="38">
        <f>'SER_se-appl'!Q39</f>
        <v>18.823593302366646</v>
      </c>
      <c r="R10" s="38">
        <f>'SER_se-appl'!R39</f>
        <v>19.553482964951542</v>
      </c>
      <c r="S10" s="38">
        <f>'SER_se-appl'!S39</f>
        <v>20.292401227524579</v>
      </c>
      <c r="T10" s="38">
        <f>'SER_se-appl'!T39</f>
        <v>21.245435250826773</v>
      </c>
      <c r="U10" s="38">
        <f>'SER_se-appl'!U39</f>
        <v>22.513641699446993</v>
      </c>
      <c r="V10" s="38">
        <f>'SER_se-appl'!V39</f>
        <v>23.04638823331976</v>
      </c>
      <c r="W10" s="38">
        <f>'SER_se-appl'!W39</f>
        <v>19.746042125313636</v>
      </c>
      <c r="X10" s="38">
        <f>'SER_se-appl'!X39</f>
        <v>20.774089104359433</v>
      </c>
      <c r="Y10" s="38">
        <f>'SER_se-appl'!Y39</f>
        <v>21.762696315402223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</v>
      </c>
      <c r="C12" s="204">
        <f>'SER_se-appl'!C47</f>
        <v>8759.9999999999982</v>
      </c>
      <c r="D12" s="204">
        <f>'SER_se-appl'!D47</f>
        <v>8760.0000000000018</v>
      </c>
      <c r="E12" s="204">
        <f>'SER_se-appl'!E47</f>
        <v>8759.9999999999982</v>
      </c>
      <c r="F12" s="204">
        <f>'SER_se-appl'!F47</f>
        <v>8760.0000000000018</v>
      </c>
      <c r="G12" s="204">
        <f>'SER_se-appl'!G47</f>
        <v>8759.9999999999982</v>
      </c>
      <c r="H12" s="204">
        <f>'SER_se-appl'!H47</f>
        <v>8760.0000000000018</v>
      </c>
      <c r="I12" s="204">
        <f>'SER_se-appl'!I47</f>
        <v>8760.0000000000018</v>
      </c>
      <c r="J12" s="204">
        <f>'SER_se-appl'!J47</f>
        <v>8760</v>
      </c>
      <c r="K12" s="204">
        <f>'SER_se-appl'!K47</f>
        <v>8760</v>
      </c>
      <c r="L12" s="204">
        <f>'SER_se-appl'!L47</f>
        <v>8759.9999999999964</v>
      </c>
      <c r="M12" s="204">
        <f>'SER_se-appl'!M47</f>
        <v>8760</v>
      </c>
      <c r="N12" s="204">
        <f>'SER_se-appl'!N47</f>
        <v>8760.0000000000036</v>
      </c>
      <c r="O12" s="204">
        <f>'SER_se-appl'!O47</f>
        <v>8760.0000000000018</v>
      </c>
      <c r="P12" s="204">
        <f>'SER_se-appl'!P47</f>
        <v>8759.9999999999982</v>
      </c>
      <c r="Q12" s="204">
        <f>'SER_se-appl'!Q47</f>
        <v>8760.0000000000018</v>
      </c>
      <c r="R12" s="204">
        <f>'SER_se-appl'!R47</f>
        <v>8759.9999999999982</v>
      </c>
      <c r="S12" s="204">
        <f>'SER_se-appl'!S47</f>
        <v>8760</v>
      </c>
      <c r="T12" s="204">
        <f>'SER_se-appl'!T47</f>
        <v>8759.9999999999982</v>
      </c>
      <c r="U12" s="204">
        <f>'SER_se-appl'!U47</f>
        <v>8759.9999999999982</v>
      </c>
      <c r="V12" s="204">
        <f>'SER_se-appl'!V47</f>
        <v>8760</v>
      </c>
      <c r="W12" s="204">
        <f>'SER_se-appl'!W47</f>
        <v>8759.9999999999982</v>
      </c>
      <c r="X12" s="204">
        <f>'SER_se-appl'!X47</f>
        <v>8759.9999999999982</v>
      </c>
      <c r="Y12" s="204">
        <f>'SER_se-appl'!Y47</f>
        <v>8759.9999999999982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606.09465473094144</v>
      </c>
      <c r="C14" s="59">
        <f>'SER_se-appl'!C55</f>
        <v>601.23068478730659</v>
      </c>
      <c r="D14" s="59">
        <f>'SER_se-appl'!D55</f>
        <v>595.17998905809839</v>
      </c>
      <c r="E14" s="59">
        <f>'SER_se-appl'!E55</f>
        <v>588.26794802117342</v>
      </c>
      <c r="F14" s="59">
        <f>'SER_se-appl'!F55</f>
        <v>580.82505194940882</v>
      </c>
      <c r="G14" s="59">
        <f>'SER_se-appl'!G55</f>
        <v>572.6472934589043</v>
      </c>
      <c r="H14" s="59">
        <f>'SER_se-appl'!H55</f>
        <v>563.64961241604851</v>
      </c>
      <c r="I14" s="59">
        <f>'SER_se-appl'!I55</f>
        <v>553.72450379407883</v>
      </c>
      <c r="J14" s="59">
        <f>'SER_se-appl'!J55</f>
        <v>543.00356056871965</v>
      </c>
      <c r="K14" s="59">
        <f>'SER_se-appl'!K55</f>
        <v>531.03024577922793</v>
      </c>
      <c r="L14" s="59">
        <f>'SER_se-appl'!L55</f>
        <v>517.85220627497529</v>
      </c>
      <c r="M14" s="59">
        <f>'SER_se-appl'!M55</f>
        <v>509.47576917940933</v>
      </c>
      <c r="N14" s="59">
        <f>'SER_se-appl'!N55</f>
        <v>501.0917535210894</v>
      </c>
      <c r="O14" s="59">
        <f>'SER_se-appl'!O55</f>
        <v>492.7162623160844</v>
      </c>
      <c r="P14" s="59">
        <f>'SER_se-appl'!P55</f>
        <v>483.16168290229791</v>
      </c>
      <c r="Q14" s="59">
        <f>'SER_se-appl'!Q55</f>
        <v>473.44466115270825</v>
      </c>
      <c r="R14" s="59">
        <f>'SER_se-appl'!R55</f>
        <v>464.30642701603847</v>
      </c>
      <c r="S14" s="59">
        <f>'SER_se-appl'!S55</f>
        <v>454.99411030624992</v>
      </c>
      <c r="T14" s="59">
        <f>'SER_se-appl'!T55</f>
        <v>445.37379974063646</v>
      </c>
      <c r="U14" s="59">
        <f>'SER_se-appl'!U55</f>
        <v>435.73718870289963</v>
      </c>
      <c r="V14" s="59">
        <f>'SER_se-appl'!V55</f>
        <v>426.5652243099546</v>
      </c>
      <c r="W14" s="59">
        <f>'SER_se-appl'!W55</f>
        <v>419.39023663405067</v>
      </c>
      <c r="X14" s="59">
        <f>'SER_se-appl'!X55</f>
        <v>411.94761257486783</v>
      </c>
      <c r="Y14" s="59">
        <f>'SER_se-appl'!Y55</f>
        <v>404.08170590077555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555.64308761596453</v>
      </c>
      <c r="D15" s="63">
        <f>'SER_se-appl'!D63</f>
        <v>545.09683531794622</v>
      </c>
      <c r="E15" s="63">
        <f>'SER_se-appl'!E63</f>
        <v>536.88618680796026</v>
      </c>
      <c r="F15" s="63">
        <f>'SER_se-appl'!F63</f>
        <v>532.00241925468731</v>
      </c>
      <c r="G15" s="63">
        <f>'SER_se-appl'!G63</f>
        <v>525.28146260050266</v>
      </c>
      <c r="H15" s="63">
        <f>'SER_se-appl'!H63</f>
        <v>518.42987797702176</v>
      </c>
      <c r="I15" s="63">
        <f>'SER_se-appl'!I63</f>
        <v>510.38725759017609</v>
      </c>
      <c r="J15" s="63">
        <f>'SER_se-appl'!J63</f>
        <v>503.66424778993269</v>
      </c>
      <c r="K15" s="63">
        <f>'SER_se-appl'!K63</f>
        <v>492.98015464564253</v>
      </c>
      <c r="L15" s="63">
        <f>'SER_se-appl'!L63</f>
        <v>480.76298323093278</v>
      </c>
      <c r="M15" s="63">
        <f>'SER_se-appl'!M63</f>
        <v>465.56979103535463</v>
      </c>
      <c r="N15" s="63">
        <f>'SER_se-appl'!N63</f>
        <v>457.9465113787611</v>
      </c>
      <c r="O15" s="63">
        <f>'SER_se-appl'!O63</f>
        <v>451.31635257721615</v>
      </c>
      <c r="P15" s="63">
        <f>'SER_se-appl'!P63</f>
        <v>437.21354470526745</v>
      </c>
      <c r="Q15" s="63">
        <f>'SER_se-appl'!Q63</f>
        <v>430.91173816741411</v>
      </c>
      <c r="R15" s="63">
        <f>'SER_se-appl'!R63</f>
        <v>424.3131281879767</v>
      </c>
      <c r="S15" s="63">
        <f>'SER_se-appl'!S63</f>
        <v>416.01661685469293</v>
      </c>
      <c r="T15" s="63">
        <f>'SER_se-appl'!T63</f>
        <v>408.09290167733076</v>
      </c>
      <c r="U15" s="63">
        <f>'SER_se-appl'!U63</f>
        <v>400.67515469097407</v>
      </c>
      <c r="V15" s="63">
        <f>'SER_se-appl'!V63</f>
        <v>393.33430925307397</v>
      </c>
      <c r="W15" s="63">
        <f>'SER_se-appl'!W63</f>
        <v>385.46762306801247</v>
      </c>
      <c r="X15" s="63">
        <f>'SER_se-appl'!X63</f>
        <v>377.60093688295098</v>
      </c>
      <c r="Y15" s="63">
        <f>'SER_se-appl'!Y63</f>
        <v>369.73425069788954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35.395677765979244</v>
      </c>
      <c r="C3" s="198">
        <f>'SER_se-appl'!C8</f>
        <v>37.657336917296917</v>
      </c>
      <c r="D3" s="198">
        <f>'SER_se-appl'!D8</f>
        <v>40.991760285161455</v>
      </c>
      <c r="E3" s="198">
        <f>'SER_se-appl'!E8</f>
        <v>44.503250635824294</v>
      </c>
      <c r="F3" s="198">
        <f>'SER_se-appl'!F8</f>
        <v>48.390300796862377</v>
      </c>
      <c r="G3" s="198">
        <f>'SER_se-appl'!G8</f>
        <v>52.619766928770595</v>
      </c>
      <c r="H3" s="198">
        <f>'SER_se-appl'!H8</f>
        <v>56.179862833551965</v>
      </c>
      <c r="I3" s="198">
        <f>'SER_se-appl'!I8</f>
        <v>60.133317451568793</v>
      </c>
      <c r="J3" s="198">
        <f>'SER_se-appl'!J8</f>
        <v>62.782795645842533</v>
      </c>
      <c r="K3" s="198">
        <f>'SER_se-appl'!K8</f>
        <v>66.155941981327757</v>
      </c>
      <c r="L3" s="198">
        <f>'SER_se-appl'!L8</f>
        <v>68.557198805653428</v>
      </c>
      <c r="M3" s="198">
        <f>'SER_se-appl'!M8</f>
        <v>69.712901857340299</v>
      </c>
      <c r="N3" s="198">
        <f>'SER_se-appl'!N8</f>
        <v>70.848109806329234</v>
      </c>
      <c r="O3" s="198">
        <f>'SER_se-appl'!O8</f>
        <v>71.987266860312829</v>
      </c>
      <c r="P3" s="198">
        <f>'SER_se-appl'!P8</f>
        <v>72.790754549542882</v>
      </c>
      <c r="Q3" s="198">
        <f>'SER_se-appl'!Q8</f>
        <v>73.492688116983132</v>
      </c>
      <c r="R3" s="198">
        <f>'SER_se-appl'!R8</f>
        <v>76.839418157935057</v>
      </c>
      <c r="S3" s="198">
        <f>'SER_se-appl'!S8</f>
        <v>80.305153856911346</v>
      </c>
      <c r="T3" s="198">
        <f>'SER_se-appl'!T8</f>
        <v>82.936292155224479</v>
      </c>
      <c r="U3" s="198">
        <f>'SER_se-appl'!U8</f>
        <v>84.622525946227228</v>
      </c>
      <c r="V3" s="198">
        <f>'SER_se-appl'!V8</f>
        <v>79.318334405494525</v>
      </c>
      <c r="W3" s="198">
        <f>'SER_se-appl'!W8</f>
        <v>86.98039356188923</v>
      </c>
      <c r="X3" s="198">
        <f>'SER_se-appl'!X8</f>
        <v>88.482575465236806</v>
      </c>
      <c r="Y3" s="198">
        <f>'SER_se-appl'!Y8</f>
        <v>89.834763629698699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493.61792124460618</v>
      </c>
      <c r="C5" s="59">
        <f>'SER_se-appl'!C16</f>
        <v>522.66167477668318</v>
      </c>
      <c r="D5" s="59">
        <f>'SER_se-appl'!D16</f>
        <v>566.47166608927353</v>
      </c>
      <c r="E5" s="59">
        <f>'SER_se-appl'!E16</f>
        <v>612.54112605947705</v>
      </c>
      <c r="F5" s="59">
        <f>'SER_se-appl'!F16</f>
        <v>663.57895771616529</v>
      </c>
      <c r="G5" s="59">
        <f>'SER_se-appl'!G16</f>
        <v>719.09297028200751</v>
      </c>
      <c r="H5" s="59">
        <f>'SER_se-appl'!H16</f>
        <v>765.27118570917821</v>
      </c>
      <c r="I5" s="59">
        <f>'SER_se-appl'!I16</f>
        <v>816.64518118603974</v>
      </c>
      <c r="J5" s="59">
        <f>'SER_se-appl'!J16</f>
        <v>850.19336469319046</v>
      </c>
      <c r="K5" s="59">
        <f>'SER_se-appl'!K16</f>
        <v>893.45331313198676</v>
      </c>
      <c r="L5" s="59">
        <f>'SER_se-appl'!L16</f>
        <v>923.5113782381585</v>
      </c>
      <c r="M5" s="59">
        <f>'SER_se-appl'!M16</f>
        <v>937.55345213963949</v>
      </c>
      <c r="N5" s="59">
        <f>'SER_se-appl'!N16</f>
        <v>951.34425095020356</v>
      </c>
      <c r="O5" s="59">
        <f>'SER_se-appl'!O16</f>
        <v>965.20954925091564</v>
      </c>
      <c r="P5" s="59">
        <f>'SER_se-appl'!P16</f>
        <v>974.59915989779381</v>
      </c>
      <c r="Q5" s="59">
        <f>'SER_se-appl'!Q16</f>
        <v>982.65933727521838</v>
      </c>
      <c r="R5" s="59">
        <f>'SER_se-appl'!R16</f>
        <v>1018.5909717036957</v>
      </c>
      <c r="S5" s="59">
        <f>'SER_se-appl'!S16</f>
        <v>1051.6775336858345</v>
      </c>
      <c r="T5" s="59">
        <f>'SER_se-appl'!T16</f>
        <v>1082.3728335488915</v>
      </c>
      <c r="U5" s="59">
        <f>'SER_se-appl'!U16</f>
        <v>1111.0473760926404</v>
      </c>
      <c r="V5" s="59">
        <f>'SER_se-appl'!V16</f>
        <v>1137.1943989781289</v>
      </c>
      <c r="W5" s="59">
        <f>'SER_se-appl'!W16</f>
        <v>1164.7231696454423</v>
      </c>
      <c r="X5" s="59">
        <f>'SER_se-appl'!X16</f>
        <v>1184.3645222261998</v>
      </c>
      <c r="Y5" s="59">
        <f>'SER_se-appl'!Y16</f>
        <v>1202.2235579079597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90.646142818421666</v>
      </c>
      <c r="C6" s="201">
        <f>'SER_se-appl'!C72</f>
        <v>94.340255546400712</v>
      </c>
      <c r="D6" s="201">
        <f>'SER_se-appl'!D72</f>
        <v>100.35914408983182</v>
      </c>
      <c r="E6" s="201">
        <f>'SER_se-appl'!E72</f>
        <v>106.80111591069087</v>
      </c>
      <c r="F6" s="201">
        <f>'SER_se-appl'!F72</f>
        <v>114.10129195598368</v>
      </c>
      <c r="G6" s="201">
        <f>'SER_se-appl'!G72</f>
        <v>122.03051980233062</v>
      </c>
      <c r="H6" s="201">
        <f>'SER_se-appl'!H72</f>
        <v>128.07724811679449</v>
      </c>
      <c r="I6" s="201">
        <f>'SER_se-appl'!I72</f>
        <v>133.68315842866087</v>
      </c>
      <c r="J6" s="201">
        <f>'SER_se-appl'!J72</f>
        <v>138.20702587548803</v>
      </c>
      <c r="K6" s="201">
        <f>'SER_se-appl'!K72</f>
        <v>143.43027143548963</v>
      </c>
      <c r="L6" s="201">
        <f>'SER_se-appl'!L72</f>
        <v>146.35741108082209</v>
      </c>
      <c r="M6" s="201">
        <f>'SER_se-appl'!M72</f>
        <v>148.82470274181063</v>
      </c>
      <c r="N6" s="201">
        <f>'SER_se-appl'!N72</f>
        <v>152.11832283377416</v>
      </c>
      <c r="O6" s="201">
        <f>'SER_se-appl'!O72</f>
        <v>155.64956734245038</v>
      </c>
      <c r="P6" s="201">
        <f>'SER_se-appl'!P72</f>
        <v>158.49214122473828</v>
      </c>
      <c r="Q6" s="201">
        <f>'SER_se-appl'!Q72</f>
        <v>161.63695710797037</v>
      </c>
      <c r="R6" s="201">
        <f>'SER_se-appl'!R72</f>
        <v>168.61772286876032</v>
      </c>
      <c r="S6" s="201">
        <f>'SER_se-appl'!S72</f>
        <v>175.60487853413241</v>
      </c>
      <c r="T6" s="201">
        <f>'SER_se-appl'!T72</f>
        <v>182.56462964675836</v>
      </c>
      <c r="U6" s="201">
        <f>'SER_se-appl'!U72</f>
        <v>189.47647940050928</v>
      </c>
      <c r="V6" s="201">
        <f>'SER_se-appl'!V72</f>
        <v>196.30227589415452</v>
      </c>
      <c r="W6" s="201">
        <f>'SER_se-appl'!W72</f>
        <v>203.09698131364343</v>
      </c>
      <c r="X6" s="201">
        <f>'SER_se-appl'!X72</f>
        <v>208.70169455405664</v>
      </c>
      <c r="Y6" s="201">
        <f>'SER_se-appl'!Y72</f>
        <v>213.29662363706262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10.830192705698208</v>
      </c>
      <c r="C8" s="34">
        <f>'SER_se-appl'!C24</f>
        <v>11.525113090357564</v>
      </c>
      <c r="D8" s="34">
        <f>'SER_se-appl'!D24</f>
        <v>12.575698332980473</v>
      </c>
      <c r="E8" s="34">
        <f>'SER_se-appl'!E24</f>
        <v>13.690446066457236</v>
      </c>
      <c r="F8" s="34">
        <f>'SER_se-appl'!F24</f>
        <v>14.935298422123424</v>
      </c>
      <c r="G8" s="34">
        <f>'SER_se-appl'!G24</f>
        <v>16.304150064704885</v>
      </c>
      <c r="H8" s="34">
        <f>'SER_se-appl'!H24</f>
        <v>17.468306793440593</v>
      </c>
      <c r="I8" s="34">
        <f>'SER_se-appl'!I24</f>
        <v>18.780869768674762</v>
      </c>
      <c r="J8" s="34">
        <f>'SER_se-appl'!J24</f>
        <v>19.682960897115017</v>
      </c>
      <c r="K8" s="34">
        <f>'SER_se-appl'!K24</f>
        <v>20.854304936372358</v>
      </c>
      <c r="L8" s="34">
        <f>'SER_se-appl'!L24</f>
        <v>21.735417110476149</v>
      </c>
      <c r="M8" s="34">
        <f>'SER_se-appl'!M24</f>
        <v>22.256235794138949</v>
      </c>
      <c r="N8" s="34">
        <f>'SER_se-appl'!N24</f>
        <v>22.827011206661535</v>
      </c>
      <c r="O8" s="34">
        <f>'SER_se-appl'!O24</f>
        <v>23.466322294951048</v>
      </c>
      <c r="P8" s="34">
        <f>'SER_se-appl'!P24</f>
        <v>24.060504777279959</v>
      </c>
      <c r="Q8" s="34">
        <f>'SER_se-appl'!Q24</f>
        <v>24.713744464830157</v>
      </c>
      <c r="R8" s="34">
        <f>'SER_se-appl'!R24</f>
        <v>26.00684400097218</v>
      </c>
      <c r="S8" s="34">
        <f>'SER_se-appl'!S24</f>
        <v>27.344788441257656</v>
      </c>
      <c r="T8" s="34">
        <f>'SER_se-appl'!T24</f>
        <v>28.669640410968942</v>
      </c>
      <c r="U8" s="34">
        <f>'SER_se-appl'!U24</f>
        <v>30.011750924476534</v>
      </c>
      <c r="V8" s="34">
        <f>'SER_se-appl'!V24</f>
        <v>31.353616310772402</v>
      </c>
      <c r="W8" s="34">
        <f>'SER_se-appl'!W24</f>
        <v>32.706843013759112</v>
      </c>
      <c r="X8" s="34">
        <f>'SER_se-appl'!X24</f>
        <v>33.883706650532709</v>
      </c>
      <c r="Y8" s="34">
        <f>'SER_se-appl'!Y24</f>
        <v>34.908778254226903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1.0033908561130858</v>
      </c>
      <c r="D9" s="36">
        <f>'SER_se-appl'!D32</f>
        <v>1.3937683515615049</v>
      </c>
      <c r="E9" s="36">
        <f>'SER_se-appl'!E32</f>
        <v>1.4965497442356028</v>
      </c>
      <c r="F9" s="36">
        <f>'SER_se-appl'!F32</f>
        <v>1.6696191102723255</v>
      </c>
      <c r="G9" s="36">
        <f>'SER_se-appl'!G32</f>
        <v>1.8414180270801417</v>
      </c>
      <c r="H9" s="36">
        <f>'SER_se-appl'!H32</f>
        <v>1.6899017060356059</v>
      </c>
      <c r="I9" s="36">
        <f>'SER_se-appl'!I32</f>
        <v>1.8974708108799376</v>
      </c>
      <c r="J9" s="36">
        <f>'SER_se-appl'!J32</f>
        <v>1.552819506211641</v>
      </c>
      <c r="K9" s="36">
        <f>'SER_se-appl'!K32</f>
        <v>1.8952998419172147</v>
      </c>
      <c r="L9" s="36">
        <f>'SER_se-appl'!L32</f>
        <v>1.6865357918655981</v>
      </c>
      <c r="M9" s="36">
        <f>'SER_se-appl'!M32</f>
        <v>1.4168778100143165</v>
      </c>
      <c r="N9" s="36">
        <f>'SER_se-appl'!N32</f>
        <v>1.5676693950321656</v>
      </c>
      <c r="O9" s="36">
        <f>'SER_se-appl'!O32</f>
        <v>1.7483870221626034</v>
      </c>
      <c r="P9" s="36">
        <f>'SER_se-appl'!P32</f>
        <v>1.8280643681438278</v>
      </c>
      <c r="Q9" s="36">
        <f>'SER_se-appl'!Q32</f>
        <v>2.0259721233045838</v>
      </c>
      <c r="R9" s="36">
        <f>'SER_se-appl'!R32</f>
        <v>2.2964903922551088</v>
      </c>
      <c r="S9" s="36">
        <f>'SER_se-appl'!S32</f>
        <v>2.7317127918469808</v>
      </c>
      <c r="T9" s="36">
        <f>'SER_se-appl'!T32</f>
        <v>2.8214017139468872</v>
      </c>
      <c r="U9" s="36">
        <f>'SER_se-appl'!U32</f>
        <v>3.0117296237799174</v>
      </c>
      <c r="V9" s="36">
        <f>'SER_se-appl'!V32</f>
        <v>3.1832834133760102</v>
      </c>
      <c r="W9" s="36">
        <f>'SER_se-appl'!W32</f>
        <v>3.0431284090223159</v>
      </c>
      <c r="X9" s="36">
        <f>'SER_se-appl'!X32</f>
        <v>3.0743344476535341</v>
      </c>
      <c r="Y9" s="36">
        <f>'SER_se-appl'!Y32</f>
        <v>2.5778911099058348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0.30847047145372919</v>
      </c>
      <c r="D10" s="38">
        <f>'SER_se-appl'!D40</f>
        <v>0.3431831089385966</v>
      </c>
      <c r="E10" s="38">
        <f>'SER_se-appl'!E40</f>
        <v>0.38180201075883957</v>
      </c>
      <c r="F10" s="38">
        <f>'SER_se-appl'!F40</f>
        <v>0.42476675460613755</v>
      </c>
      <c r="G10" s="38">
        <f>'SER_se-appl'!G40</f>
        <v>0.47256638449868049</v>
      </c>
      <c r="H10" s="38">
        <f>'SER_se-appl'!H40</f>
        <v>0.52574497729989744</v>
      </c>
      <c r="I10" s="38">
        <f>'SER_se-appl'!I40</f>
        <v>0.58490783564576887</v>
      </c>
      <c r="J10" s="38">
        <f>'SER_se-appl'!J40</f>
        <v>0.65072837777138659</v>
      </c>
      <c r="K10" s="38">
        <f>'SER_se-appl'!K40</f>
        <v>0.72395580265987292</v>
      </c>
      <c r="L10" s="38">
        <f>'SER_se-appl'!L40</f>
        <v>0.80542361776180726</v>
      </c>
      <c r="M10" s="38">
        <f>'SER_se-appl'!M40</f>
        <v>0.89605912635151697</v>
      </c>
      <c r="N10" s="38">
        <f>'SER_se-appl'!N40</f>
        <v>0.9968939825095795</v>
      </c>
      <c r="O10" s="38">
        <f>'SER_se-appl'!O40</f>
        <v>1.1090759338730898</v>
      </c>
      <c r="P10" s="38">
        <f>'SER_se-appl'!P40</f>
        <v>1.2338818858149168</v>
      </c>
      <c r="Q10" s="38">
        <f>'SER_se-appl'!Q40</f>
        <v>1.3727324357543864</v>
      </c>
      <c r="R10" s="38">
        <f>'SER_se-appl'!R40</f>
        <v>1.0033908561130858</v>
      </c>
      <c r="S10" s="38">
        <f>'SER_se-appl'!S40</f>
        <v>1.3937683515615049</v>
      </c>
      <c r="T10" s="38">
        <f>'SER_se-appl'!T40</f>
        <v>1.4965497442356011</v>
      </c>
      <c r="U10" s="38">
        <f>'SER_se-appl'!U40</f>
        <v>1.6696191102723255</v>
      </c>
      <c r="V10" s="38">
        <f>'SER_se-appl'!V40</f>
        <v>1.8414180270801452</v>
      </c>
      <c r="W10" s="38">
        <f>'SER_se-appl'!W40</f>
        <v>1.6899017060356059</v>
      </c>
      <c r="X10" s="38">
        <f>'SER_se-appl'!X40</f>
        <v>1.8974708108799376</v>
      </c>
      <c r="Y10" s="38">
        <f>'SER_se-appl'!Y40</f>
        <v>1.552819506211641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833.94810986684115</v>
      </c>
      <c r="C12" s="204">
        <f>'SER_se-appl'!C48</f>
        <v>837.93178165452332</v>
      </c>
      <c r="D12" s="204">
        <f>'SER_se-appl'!D48</f>
        <v>841.58520302990132</v>
      </c>
      <c r="E12" s="204">
        <f>'SER_se-appl'!E48</f>
        <v>844.96008982159469</v>
      </c>
      <c r="F12" s="204">
        <f>'SER_se-appl'!F48</f>
        <v>848.09681157525313</v>
      </c>
      <c r="G12" s="204">
        <f>'SER_se-appl'!G48</f>
        <v>851.02749529258494</v>
      </c>
      <c r="H12" s="204">
        <f>'SER_se-appl'!H48</f>
        <v>853.77813375885637</v>
      </c>
      <c r="I12" s="204">
        <f>'SER_se-appl'!I48</f>
        <v>856.37005896006906</v>
      </c>
      <c r="J12" s="204">
        <f>'SER_se-appl'!J48</f>
        <v>858.82099729705976</v>
      </c>
      <c r="K12" s="204">
        <f>'SER_se-appl'!K48</f>
        <v>861.1458415725657</v>
      </c>
      <c r="L12" s="204">
        <f>'SER_se-appl'!L48</f>
        <v>863.35722644895611</v>
      </c>
      <c r="M12" s="204">
        <f>'SER_se-appl'!M48</f>
        <v>864.76248020908861</v>
      </c>
      <c r="N12" s="204">
        <f>'SER_se-appl'!N48</f>
        <v>866.10447924043626</v>
      </c>
      <c r="O12" s="204">
        <f>'SER_se-appl'!O48</f>
        <v>867.38875950324518</v>
      </c>
      <c r="P12" s="204">
        <f>'SER_se-appl'!P48</f>
        <v>868.62015713204801</v>
      </c>
      <c r="Q12" s="204">
        <f>'SER_se-appl'!Q48</f>
        <v>869.80292190632088</v>
      </c>
      <c r="R12" s="204">
        <f>'SER_se-appl'!R48</f>
        <v>877.33197917715495</v>
      </c>
      <c r="S12" s="204">
        <f>'SER_se-appl'!S48</f>
        <v>888.05637606676839</v>
      </c>
      <c r="T12" s="204">
        <f>'SER_se-appl'!T48</f>
        <v>891.14309586160857</v>
      </c>
      <c r="U12" s="204">
        <f>'SER_se-appl'!U48</f>
        <v>885.7947896117098</v>
      </c>
      <c r="V12" s="204">
        <f>'SER_se-appl'!V48</f>
        <v>811.18252953481419</v>
      </c>
      <c r="W12" s="204">
        <f>'SER_se-appl'!W48</f>
        <v>868.51708928629887</v>
      </c>
      <c r="X12" s="204">
        <f>'SER_se-appl'!X48</f>
        <v>868.8645542391273</v>
      </c>
      <c r="Y12" s="204">
        <f>'SER_se-appl'!Y48</f>
        <v>869.03828671554152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45.577944424284674</v>
      </c>
      <c r="C14" s="59">
        <f>'SER_se-appl'!C56</f>
        <v>45.349808776624137</v>
      </c>
      <c r="D14" s="59">
        <f>'SER_se-appl'!D56</f>
        <v>45.044947094800285</v>
      </c>
      <c r="E14" s="59">
        <f>'SER_se-appl'!E56</f>
        <v>44.742232874373265</v>
      </c>
      <c r="F14" s="59">
        <f>'SER_se-appl'!F56</f>
        <v>44.430244308558052</v>
      </c>
      <c r="G14" s="59">
        <f>'SER_se-appl'!G56</f>
        <v>44.104903808429434</v>
      </c>
      <c r="H14" s="59">
        <f>'SER_se-appl'!H56</f>
        <v>43.809122129486532</v>
      </c>
      <c r="I14" s="59">
        <f>'SER_se-appl'!I56</f>
        <v>43.482820084730548</v>
      </c>
      <c r="J14" s="59">
        <f>'SER_se-appl'!J56</f>
        <v>43.194383667032817</v>
      </c>
      <c r="K14" s="59">
        <f>'SER_se-appl'!K56</f>
        <v>42.842632054051307</v>
      </c>
      <c r="L14" s="59">
        <f>'SER_se-appl'!L56</f>
        <v>42.488781031629692</v>
      </c>
      <c r="M14" s="59">
        <f>'SER_se-appl'!M56</f>
        <v>42.125427714354949</v>
      </c>
      <c r="N14" s="59">
        <f>'SER_se-appl'!N56</f>
        <v>41.676251101702519</v>
      </c>
      <c r="O14" s="59">
        <f>'SER_se-appl'!O56</f>
        <v>41.131692351237653</v>
      </c>
      <c r="P14" s="59">
        <f>'SER_se-appl'!P56</f>
        <v>40.506180935077303</v>
      </c>
      <c r="Q14" s="59">
        <f>'SER_se-appl'!Q56</f>
        <v>39.761653223922806</v>
      </c>
      <c r="R14" s="59">
        <f>'SER_se-appl'!R56</f>
        <v>39.166266066948339</v>
      </c>
      <c r="S14" s="59">
        <f>'SER_se-appl'!S56</f>
        <v>38.459889201375923</v>
      </c>
      <c r="T14" s="59">
        <f>'SER_se-appl'!T56</f>
        <v>37.753275521892419</v>
      </c>
      <c r="U14" s="59">
        <f>'SER_se-appl'!U56</f>
        <v>37.020411734341998</v>
      </c>
      <c r="V14" s="59">
        <f>'SER_se-appl'!V56</f>
        <v>36.269959666101236</v>
      </c>
      <c r="W14" s="59">
        <f>'SER_se-appl'!W56</f>
        <v>35.610993367824179</v>
      </c>
      <c r="X14" s="59">
        <f>'SER_se-appl'!X56</f>
        <v>34.953806395546152</v>
      </c>
      <c r="Y14" s="59">
        <f>'SER_se-appl'!Y56</f>
        <v>34.439004113883286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42.957540697052181</v>
      </c>
      <c r="D15" s="63">
        <f>'SER_se-appl'!D64</f>
        <v>42.655274753900535</v>
      </c>
      <c r="E15" s="63">
        <f>'SER_se-appl'!E64</f>
        <v>42.411694661088134</v>
      </c>
      <c r="F15" s="63">
        <f>'SER_se-appl'!F64</f>
        <v>42.164004208078438</v>
      </c>
      <c r="G15" s="63">
        <f>'SER_se-appl'!G64</f>
        <v>41.844174349420975</v>
      </c>
      <c r="H15" s="63">
        <f>'SER_se-appl'!H64</f>
        <v>41.505722216493503</v>
      </c>
      <c r="I15" s="63">
        <f>'SER_se-appl'!I64</f>
        <v>41.124686533157124</v>
      </c>
      <c r="J15" s="63">
        <f>'SER_se-appl'!J64</f>
        <v>40.704695614446536</v>
      </c>
      <c r="K15" s="63">
        <f>'SER_se-appl'!K64</f>
        <v>40.234460052995317</v>
      </c>
      <c r="L15" s="63">
        <f>'SER_se-appl'!L64</f>
        <v>39.588616094929741</v>
      </c>
      <c r="M15" s="63">
        <f>'SER_se-appl'!M64</f>
        <v>38.734890599104652</v>
      </c>
      <c r="N15" s="63">
        <f>'SER_se-appl'!N64</f>
        <v>37.780400338219458</v>
      </c>
      <c r="O15" s="63">
        <f>'SER_se-appl'!O64</f>
        <v>36.842357418906047</v>
      </c>
      <c r="P15" s="63">
        <f>'SER_se-appl'!P64</f>
        <v>35.899945214357182</v>
      </c>
      <c r="Q15" s="63">
        <f>'SER_se-appl'!Q64</f>
        <v>34.860548786057016</v>
      </c>
      <c r="R15" s="63">
        <f>'SER_se-appl'!R64</f>
        <v>34.415488186473297</v>
      </c>
      <c r="S15" s="63">
        <f>'SER_se-appl'!S64</f>
        <v>33.875499004680684</v>
      </c>
      <c r="T15" s="63">
        <f>'SER_se-appl'!T64</f>
        <v>33.375789840638028</v>
      </c>
      <c r="U15" s="63">
        <f>'SER_se-appl'!U64</f>
        <v>32.895505942136069</v>
      </c>
      <c r="V15" s="63">
        <f>'SER_se-appl'!V64</f>
        <v>32.419243422422447</v>
      </c>
      <c r="W15" s="63">
        <f>'SER_se-appl'!W64</f>
        <v>32.095050988198224</v>
      </c>
      <c r="X15" s="63">
        <f>'SER_se-appl'!X64</f>
        <v>31.770858553973998</v>
      </c>
      <c r="Y15" s="63">
        <f>'SER_se-appl'!Y64</f>
        <v>31.446666119749771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80.034175590576439</v>
      </c>
      <c r="C3" s="198">
        <f>'SER_se-appl'!C9</f>
        <v>85.913787231670355</v>
      </c>
      <c r="D3" s="198">
        <f>'SER_se-appl'!D9</f>
        <v>91.480368994897248</v>
      </c>
      <c r="E3" s="198">
        <f>'SER_se-appl'!E9</f>
        <v>96.788644461287106</v>
      </c>
      <c r="F3" s="198">
        <f>'SER_se-appl'!F9</f>
        <v>101.61638144078096</v>
      </c>
      <c r="G3" s="198">
        <f>'SER_se-appl'!G9</f>
        <v>105.83227161695707</v>
      </c>
      <c r="H3" s="198">
        <f>'SER_se-appl'!H9</f>
        <v>109.77118828446058</v>
      </c>
      <c r="I3" s="198">
        <f>'SER_se-appl'!I9</f>
        <v>113.10247503025521</v>
      </c>
      <c r="J3" s="198">
        <f>'SER_se-appl'!J9</f>
        <v>116.36569427898617</v>
      </c>
      <c r="K3" s="198">
        <f>'SER_se-appl'!K9</f>
        <v>119.08534089930878</v>
      </c>
      <c r="L3" s="198">
        <f>'SER_se-appl'!L9</f>
        <v>121.84741772784334</v>
      </c>
      <c r="M3" s="198">
        <f>'SER_se-appl'!M9</f>
        <v>121.96197947975615</v>
      </c>
      <c r="N3" s="198">
        <f>'SER_se-appl'!N9</f>
        <v>128.11061686103886</v>
      </c>
      <c r="O3" s="198">
        <f>'SER_se-appl'!O9</f>
        <v>136.95568799950669</v>
      </c>
      <c r="P3" s="198">
        <f>'SER_se-appl'!P9</f>
        <v>146.06942896966319</v>
      </c>
      <c r="Q3" s="198">
        <f>'SER_se-appl'!Q9</f>
        <v>157.7169560606448</v>
      </c>
      <c r="R3" s="198">
        <f>'SER_se-appl'!R9</f>
        <v>161.34747748390305</v>
      </c>
      <c r="S3" s="198">
        <f>'SER_se-appl'!S9</f>
        <v>174.02836112935563</v>
      </c>
      <c r="T3" s="198">
        <f>'SER_se-appl'!T9</f>
        <v>180.43442205918547</v>
      </c>
      <c r="U3" s="198">
        <f>'SER_se-appl'!U9</f>
        <v>190.50660162902415</v>
      </c>
      <c r="V3" s="198">
        <f>'SER_se-appl'!V9</f>
        <v>198.73435370700108</v>
      </c>
      <c r="W3" s="198">
        <f>'SER_se-appl'!W9</f>
        <v>212.2006502611008</v>
      </c>
      <c r="X3" s="198">
        <f>'SER_se-appl'!X9</f>
        <v>223.65974826249754</v>
      </c>
      <c r="Y3" s="198">
        <f>'SER_se-appl'!Y9</f>
        <v>248.00121245149089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428.12584301898187</v>
      </c>
      <c r="C5" s="59">
        <f>'SER_se-appl'!C17</f>
        <v>433.42930883338488</v>
      </c>
      <c r="D5" s="59">
        <f>'SER_se-appl'!D17</f>
        <v>435.1200759082177</v>
      </c>
      <c r="E5" s="59">
        <f>'SER_se-appl'!E17</f>
        <v>435.60814071968235</v>
      </c>
      <c r="F5" s="59">
        <f>'SER_se-appl'!F17</f>
        <v>435.20701396732829</v>
      </c>
      <c r="G5" s="59">
        <f>'SER_se-appl'!G17</f>
        <v>432.98570128931988</v>
      </c>
      <c r="H5" s="59">
        <f>'SER_se-appl'!H17</f>
        <v>432.32708925172898</v>
      </c>
      <c r="I5" s="59">
        <f>'SER_se-appl'!I17</f>
        <v>430.44477856627043</v>
      </c>
      <c r="J5" s="59">
        <f>'SER_se-appl'!J17</f>
        <v>430.97717807516375</v>
      </c>
      <c r="K5" s="59">
        <f>'SER_se-appl'!K17</f>
        <v>429.79800280364213</v>
      </c>
      <c r="L5" s="59">
        <f>'SER_se-appl'!L17</f>
        <v>428.00616254995577</v>
      </c>
      <c r="M5" s="59">
        <f>'SER_se-appl'!M17</f>
        <v>424.15613908965582</v>
      </c>
      <c r="N5" s="59">
        <f>'SER_se-appl'!N17</f>
        <v>435.60878454700907</v>
      </c>
      <c r="O5" s="59">
        <f>'SER_se-appl'!O17</f>
        <v>457.06002778474925</v>
      </c>
      <c r="P5" s="59">
        <f>'SER_se-appl'!P17</f>
        <v>485.27377805263808</v>
      </c>
      <c r="Q5" s="59">
        <f>'SER_se-appl'!Q17</f>
        <v>528.73139824919599</v>
      </c>
      <c r="R5" s="59">
        <f>'SER_se-appl'!R17</f>
        <v>535.52958791333913</v>
      </c>
      <c r="S5" s="59">
        <f>'SER_se-appl'!S17</f>
        <v>559.10032683285647</v>
      </c>
      <c r="T5" s="59">
        <f>'SER_se-appl'!T17</f>
        <v>571.50106761791221</v>
      </c>
      <c r="U5" s="59">
        <f>'SER_se-appl'!U17</f>
        <v>591.38141442209348</v>
      </c>
      <c r="V5" s="59">
        <f>'SER_se-appl'!V17</f>
        <v>612.6867053709534</v>
      </c>
      <c r="W5" s="59">
        <f>'SER_se-appl'!W17</f>
        <v>634.94033133674736</v>
      </c>
      <c r="X5" s="59">
        <f>'SER_se-appl'!X17</f>
        <v>657.37611025272463</v>
      </c>
      <c r="Y5" s="59">
        <f>'SER_se-appl'!Y17</f>
        <v>704.02887651474168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0.2309056280946486</v>
      </c>
      <c r="C6" s="201">
        <f>'SER_se-appl'!C73</f>
        <v>0.23860076893303478</v>
      </c>
      <c r="D6" s="201">
        <f>'SER_se-appl'!D73</f>
        <v>0.24697659392767576</v>
      </c>
      <c r="E6" s="201">
        <f>'SER_se-appl'!E73</f>
        <v>0.25751140779067794</v>
      </c>
      <c r="F6" s="201">
        <f>'SER_se-appl'!F73</f>
        <v>0.27054806677920767</v>
      </c>
      <c r="G6" s="201">
        <f>'SER_se-appl'!G73</f>
        <v>0.28481937088194959</v>
      </c>
      <c r="H6" s="201">
        <f>'SER_se-appl'!H73</f>
        <v>0.29946375728304919</v>
      </c>
      <c r="I6" s="201">
        <f>'SER_se-appl'!I73</f>
        <v>0.31325590263216946</v>
      </c>
      <c r="J6" s="201">
        <f>'SER_se-appl'!J73</f>
        <v>0.33091937246941033</v>
      </c>
      <c r="K6" s="201">
        <f>'SER_se-appl'!K73</f>
        <v>0.34917369575797641</v>
      </c>
      <c r="L6" s="201">
        <f>'SER_se-appl'!L73</f>
        <v>0.37181272259088621</v>
      </c>
      <c r="M6" s="201">
        <f>'SER_se-appl'!M73</f>
        <v>0.3955808260544777</v>
      </c>
      <c r="N6" s="201">
        <f>'SER_se-appl'!N73</f>
        <v>0.43531817114758581</v>
      </c>
      <c r="O6" s="201">
        <f>'SER_se-appl'!O73</f>
        <v>0.48666693077957995</v>
      </c>
      <c r="P6" s="201">
        <f>'SER_se-appl'!P73</f>
        <v>0.54478806294633997</v>
      </c>
      <c r="Q6" s="201">
        <f>'SER_se-appl'!Q73</f>
        <v>0.61654909915134182</v>
      </c>
      <c r="R6" s="201">
        <f>'SER_se-appl'!R73</f>
        <v>0.63889769505742244</v>
      </c>
      <c r="S6" s="201">
        <f>'SER_se-appl'!S73</f>
        <v>0.68464937305728668</v>
      </c>
      <c r="T6" s="201">
        <f>'SER_se-appl'!T73</f>
        <v>0.717392496779652</v>
      </c>
      <c r="U6" s="201">
        <f>'SER_se-appl'!U73</f>
        <v>0.76011553989955538</v>
      </c>
      <c r="V6" s="201">
        <f>'SER_se-appl'!V73</f>
        <v>0.80887481447358767</v>
      </c>
      <c r="W6" s="201">
        <f>'SER_se-appl'!W73</f>
        <v>0.85344479891948732</v>
      </c>
      <c r="X6" s="201">
        <f>'SER_se-appl'!X73</f>
        <v>0.89968631128287324</v>
      </c>
      <c r="Y6" s="201">
        <f>'SER_se-appl'!Y73</f>
        <v>0.97573167747588641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1230.7316158570388</v>
      </c>
      <c r="C8" s="34">
        <f>'SER_se-appl'!C25</f>
        <v>1276.3260963858168</v>
      </c>
      <c r="D8" s="34">
        <f>'SER_se-appl'!D25</f>
        <v>1325.8577859180139</v>
      </c>
      <c r="E8" s="34">
        <f>'SER_se-appl'!E25</f>
        <v>1386.3144664209692</v>
      </c>
      <c r="F8" s="34">
        <f>'SER_se-appl'!F25</f>
        <v>1460.3210671701227</v>
      </c>
      <c r="G8" s="34">
        <f>'SER_se-appl'!G25</f>
        <v>1541.2729676874364</v>
      </c>
      <c r="H8" s="34">
        <f>'SER_se-appl'!H25</f>
        <v>1625.3272646397008</v>
      </c>
      <c r="I8" s="34">
        <f>'SER_se-appl'!I25</f>
        <v>1706.3312151332482</v>
      </c>
      <c r="J8" s="34">
        <f>'SER_se-appl'!J25</f>
        <v>1812.0453214936447</v>
      </c>
      <c r="K8" s="34">
        <f>'SER_se-appl'!K25</f>
        <v>1924.4537146589948</v>
      </c>
      <c r="L8" s="34">
        <f>'SER_se-appl'!L25</f>
        <v>2057.8860046072364</v>
      </c>
      <c r="M8" s="34">
        <f>'SER_se-appl'!M25</f>
        <v>2199.6778176216581</v>
      </c>
      <c r="N8" s="34">
        <f>'SER_se-appl'!N25</f>
        <v>2429.300019179841</v>
      </c>
      <c r="O8" s="34">
        <f>'SER_se-appl'!O25</f>
        <v>2726.6137730597366</v>
      </c>
      <c r="P8" s="34">
        <f>'SER_se-appl'!P25</f>
        <v>3065.6504553938476</v>
      </c>
      <c r="Q8" s="34">
        <f>'SER_se-appl'!Q25</f>
        <v>3489.4921847033365</v>
      </c>
      <c r="R8" s="34">
        <f>'SER_se-appl'!R25</f>
        <v>3646.3495090141691</v>
      </c>
      <c r="S8" s="34">
        <f>'SER_se-appl'!S25</f>
        <v>3935.8910917011649</v>
      </c>
      <c r="T8" s="34">
        <f>'SER_se-appl'!T25</f>
        <v>4147.3823284575565</v>
      </c>
      <c r="U8" s="34">
        <f>'SER_se-appl'!U25</f>
        <v>4413.2923940155506</v>
      </c>
      <c r="V8" s="34">
        <f>'SER_se-appl'!V25</f>
        <v>4709.8863413486706</v>
      </c>
      <c r="W8" s="34">
        <f>'SER_se-appl'!W25</f>
        <v>4984.1560307057571</v>
      </c>
      <c r="X8" s="34">
        <f>'SER_se-appl'!X25</f>
        <v>5284.2355744150536</v>
      </c>
      <c r="Y8" s="34">
        <f>'SER_se-appl'!Y25</f>
        <v>5788.678439304028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291.74080370018567</v>
      </c>
      <c r="D9" s="36">
        <f>'SER_se-appl'!D33</f>
        <v>295.67801270360496</v>
      </c>
      <c r="E9" s="36">
        <f>'SER_se-appl'!E33</f>
        <v>306.60300367436321</v>
      </c>
      <c r="F9" s="36">
        <f>'SER_se-appl'!F33</f>
        <v>320.15292392056131</v>
      </c>
      <c r="G9" s="36">
        <f>'SER_se-appl'!G33</f>
        <v>327.09822368872165</v>
      </c>
      <c r="H9" s="36">
        <f>'SER_se-appl'!H33</f>
        <v>375.79510065244995</v>
      </c>
      <c r="I9" s="36">
        <f>'SER_se-appl'!I33</f>
        <v>376.6819631971523</v>
      </c>
      <c r="J9" s="36">
        <f>'SER_se-appl'!J33</f>
        <v>412.31711003475971</v>
      </c>
      <c r="K9" s="36">
        <f>'SER_se-appl'!K33</f>
        <v>432.56131708591147</v>
      </c>
      <c r="L9" s="36">
        <f>'SER_se-appl'!L33</f>
        <v>460.53051363696318</v>
      </c>
      <c r="M9" s="36">
        <f>'SER_se-appl'!M33</f>
        <v>517.58691366687162</v>
      </c>
      <c r="N9" s="36">
        <f>'SER_se-appl'!N33</f>
        <v>606.30416475533525</v>
      </c>
      <c r="O9" s="36">
        <f>'SER_se-appl'!O33</f>
        <v>709.63086391465527</v>
      </c>
      <c r="P9" s="36">
        <f>'SER_se-appl'!P33</f>
        <v>771.59799942002246</v>
      </c>
      <c r="Q9" s="36">
        <f>'SER_se-appl'!Q33</f>
        <v>884.37224294645239</v>
      </c>
      <c r="R9" s="36">
        <f>'SER_se-appl'!R33</f>
        <v>674.44423797770423</v>
      </c>
      <c r="S9" s="36">
        <f>'SER_se-appl'!S33</f>
        <v>895.84574744233078</v>
      </c>
      <c r="T9" s="36">
        <f>'SER_se-appl'!T33</f>
        <v>921.12210067104661</v>
      </c>
      <c r="U9" s="36">
        <f>'SER_se-appl'!U33</f>
        <v>1037.5080649780166</v>
      </c>
      <c r="V9" s="36">
        <f>'SER_se-appl'!V33</f>
        <v>1180.9661902795724</v>
      </c>
      <c r="W9" s="36">
        <f>'SER_se-appl'!W33</f>
        <v>948.7139273347907</v>
      </c>
      <c r="X9" s="36">
        <f>'SER_se-appl'!X33</f>
        <v>1195.9252911516273</v>
      </c>
      <c r="Y9" s="36">
        <f>'SER_se-appl'!Y33</f>
        <v>1425.5649655600209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246.14632317140763</v>
      </c>
      <c r="D10" s="38">
        <f>'SER_se-appl'!D41</f>
        <v>246.14632317140786</v>
      </c>
      <c r="E10" s="38">
        <f>'SER_se-appl'!E41</f>
        <v>246.14632317140786</v>
      </c>
      <c r="F10" s="38">
        <f>'SER_se-appl'!F41</f>
        <v>246.14632317140786</v>
      </c>
      <c r="G10" s="38">
        <f>'SER_se-appl'!G41</f>
        <v>246.14632317140786</v>
      </c>
      <c r="H10" s="38">
        <f>'SER_se-appl'!H41</f>
        <v>291.74080370018555</v>
      </c>
      <c r="I10" s="38">
        <f>'SER_se-appl'!I41</f>
        <v>295.67801270360496</v>
      </c>
      <c r="J10" s="38">
        <f>'SER_se-appl'!J41</f>
        <v>306.60300367436321</v>
      </c>
      <c r="K10" s="38">
        <f>'SER_se-appl'!K41</f>
        <v>320.15292392056131</v>
      </c>
      <c r="L10" s="38">
        <f>'SER_se-appl'!L41</f>
        <v>327.09822368872165</v>
      </c>
      <c r="M10" s="38">
        <f>'SER_se-appl'!M41</f>
        <v>375.79510065244995</v>
      </c>
      <c r="N10" s="38">
        <f>'SER_se-appl'!N41</f>
        <v>376.68196319715207</v>
      </c>
      <c r="O10" s="38">
        <f>'SER_se-appl'!O41</f>
        <v>412.31711003475993</v>
      </c>
      <c r="P10" s="38">
        <f>'SER_se-appl'!P41</f>
        <v>432.56131708591147</v>
      </c>
      <c r="Q10" s="38">
        <f>'SER_se-appl'!Q41</f>
        <v>460.53051363696341</v>
      </c>
      <c r="R10" s="38">
        <f>'SER_se-appl'!R41</f>
        <v>517.58691366687208</v>
      </c>
      <c r="S10" s="38">
        <f>'SER_se-appl'!S41</f>
        <v>606.30416475533502</v>
      </c>
      <c r="T10" s="38">
        <f>'SER_se-appl'!T41</f>
        <v>709.63086391465458</v>
      </c>
      <c r="U10" s="38">
        <f>'SER_se-appl'!U41</f>
        <v>771.59799942002246</v>
      </c>
      <c r="V10" s="38">
        <f>'SER_se-appl'!V41</f>
        <v>884.37224294645239</v>
      </c>
      <c r="W10" s="38">
        <f>'SER_se-appl'!W41</f>
        <v>674.44423797770469</v>
      </c>
      <c r="X10" s="38">
        <f>'SER_se-appl'!X41</f>
        <v>895.84574744233032</v>
      </c>
      <c r="Y10" s="38">
        <f>'SER_se-appl'!Y41</f>
        <v>921.12210067104661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2174.1211779106152</v>
      </c>
      <c r="C12" s="204">
        <f>'SER_se-appl'!C49</f>
        <v>2305.2832956629181</v>
      </c>
      <c r="D12" s="204">
        <f>'SER_se-appl'!D49</f>
        <v>2445.1105575626734</v>
      </c>
      <c r="E12" s="204">
        <f>'SER_se-appl'!E49</f>
        <v>2584.0929722411593</v>
      </c>
      <c r="F12" s="204">
        <f>'SER_se-appl'!F49</f>
        <v>2715.4859141240818</v>
      </c>
      <c r="G12" s="204">
        <f>'SER_se-appl'!G49</f>
        <v>2842.6558088179777</v>
      </c>
      <c r="H12" s="204">
        <f>'SER_se-appl'!H49</f>
        <v>2952.9468578013029</v>
      </c>
      <c r="I12" s="204">
        <f>'SER_se-appl'!I49</f>
        <v>3055.8665131986368</v>
      </c>
      <c r="J12" s="204">
        <f>'SER_se-appl'!J49</f>
        <v>3140.1500898699182</v>
      </c>
      <c r="K12" s="204">
        <f>'SER_se-appl'!K49</f>
        <v>3222.3567946445205</v>
      </c>
      <c r="L12" s="204">
        <f>'SER_se-appl'!L49</f>
        <v>3310.8996836217734</v>
      </c>
      <c r="M12" s="204">
        <f>'SER_se-appl'!M49</f>
        <v>3344.093579298039</v>
      </c>
      <c r="N12" s="204">
        <f>'SER_se-appl'!N49</f>
        <v>3420.3315611352077</v>
      </c>
      <c r="O12" s="204">
        <f>'SER_se-appl'!O49</f>
        <v>3484.8697208419717</v>
      </c>
      <c r="P12" s="204">
        <f>'SER_se-appl'!P49</f>
        <v>3500.678453581957</v>
      </c>
      <c r="Q12" s="204">
        <f>'SER_se-appl'!Q49</f>
        <v>3469.1493734987175</v>
      </c>
      <c r="R12" s="204">
        <f>'SER_se-appl'!R49</f>
        <v>3503.9542267857819</v>
      </c>
      <c r="S12" s="204">
        <f>'SER_se-appl'!S49</f>
        <v>3620.0119062700305</v>
      </c>
      <c r="T12" s="204">
        <f>'SER_se-appl'!T49</f>
        <v>3671.8257365553809</v>
      </c>
      <c r="U12" s="204">
        <f>'SER_se-appl'!U49</f>
        <v>3746.4683923329908</v>
      </c>
      <c r="V12" s="204">
        <f>'SER_se-appl'!V49</f>
        <v>3772.3693257111713</v>
      </c>
      <c r="W12" s="204">
        <f>'SER_se-appl'!W49</f>
        <v>3886.8117848820802</v>
      </c>
      <c r="X12" s="204">
        <f>'SER_se-appl'!X49</f>
        <v>3956.8868289004963</v>
      </c>
      <c r="Y12" s="204">
        <f>'SER_se-appl'!Y49</f>
        <v>4096.7838067796147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347.86287887863341</v>
      </c>
      <c r="C14" s="59">
        <f>'SER_se-appl'!C57</f>
        <v>339.59135526628364</v>
      </c>
      <c r="D14" s="59">
        <f>'SER_se-appl'!D57</f>
        <v>328.18005108062465</v>
      </c>
      <c r="E14" s="59">
        <f>'SER_se-appl'!E57</f>
        <v>314.22029508520274</v>
      </c>
      <c r="F14" s="59">
        <f>'SER_se-appl'!F57</f>
        <v>298.02145826101957</v>
      </c>
      <c r="G14" s="59">
        <f>'SER_se-appl'!G57</f>
        <v>280.92733108722604</v>
      </c>
      <c r="H14" s="59">
        <f>'SER_se-appl'!H57</f>
        <v>265.99387006995562</v>
      </c>
      <c r="I14" s="59">
        <f>'SER_se-appl'!I57</f>
        <v>252.26332071329821</v>
      </c>
      <c r="J14" s="59">
        <f>'SER_se-appl'!J57</f>
        <v>237.84017593992354</v>
      </c>
      <c r="K14" s="59">
        <f>'SER_se-appl'!K57</f>
        <v>223.3350688196731</v>
      </c>
      <c r="L14" s="59">
        <f>'SER_se-appl'!L57</f>
        <v>207.98341676445003</v>
      </c>
      <c r="M14" s="59">
        <f>'SER_se-appl'!M57</f>
        <v>192.82648381128067</v>
      </c>
      <c r="N14" s="59">
        <f>'SER_se-appl'!N57</f>
        <v>179.31452727443499</v>
      </c>
      <c r="O14" s="59">
        <f>'SER_se-appl'!O57</f>
        <v>167.62917883740025</v>
      </c>
      <c r="P14" s="59">
        <f>'SER_se-appl'!P57</f>
        <v>158.29390372892149</v>
      </c>
      <c r="Q14" s="59">
        <f>'SER_se-appl'!Q57</f>
        <v>151.5210151686145</v>
      </c>
      <c r="R14" s="59">
        <f>'SER_se-appl'!R57</f>
        <v>146.86732212297593</v>
      </c>
      <c r="S14" s="59">
        <f>'SER_se-appl'!S57</f>
        <v>142.05177780750103</v>
      </c>
      <c r="T14" s="59">
        <f>'SER_se-appl'!T57</f>
        <v>137.7980186915774</v>
      </c>
      <c r="U14" s="59">
        <f>'SER_se-appl'!U57</f>
        <v>134.00005293644492</v>
      </c>
      <c r="V14" s="59">
        <f>'SER_se-appl'!V57</f>
        <v>130.08524218346875</v>
      </c>
      <c r="W14" s="59">
        <f>'SER_se-appl'!W57</f>
        <v>127.39174444481422</v>
      </c>
      <c r="X14" s="59">
        <f>'SER_se-appl'!X57</f>
        <v>124.40325587215968</v>
      </c>
      <c r="Y14" s="59">
        <f>'SER_se-appl'!Y57</f>
        <v>121.62169377634095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311.67609489293216</v>
      </c>
      <c r="D15" s="63">
        <f>'SER_se-appl'!D65</f>
        <v>295.30750318643686</v>
      </c>
      <c r="E15" s="63">
        <f>'SER_se-appl'!E65</f>
        <v>280.8623281026957</v>
      </c>
      <c r="F15" s="63">
        <f>'SER_se-appl'!F65</f>
        <v>266.19791819420863</v>
      </c>
      <c r="G15" s="63">
        <f>'SER_se-appl'!G65</f>
        <v>254.98107261248242</v>
      </c>
      <c r="H15" s="63">
        <f>'SER_se-appl'!H65</f>
        <v>240.21074842083598</v>
      </c>
      <c r="I15" s="63">
        <f>'SER_se-appl'!I65</f>
        <v>226.80572297127875</v>
      </c>
      <c r="J15" s="63">
        <f>'SER_se-appl'!J65</f>
        <v>210.1431903149732</v>
      </c>
      <c r="K15" s="63">
        <f>'SER_se-appl'!K65</f>
        <v>194.2958449130773</v>
      </c>
      <c r="L15" s="63">
        <f>'SER_se-appl'!L65</f>
        <v>177.21304724758454</v>
      </c>
      <c r="M15" s="63">
        <f>'SER_se-appl'!M65</f>
        <v>166.96712501493013</v>
      </c>
      <c r="N15" s="63">
        <f>'SER_se-appl'!N65</f>
        <v>159.79812787467984</v>
      </c>
      <c r="O15" s="63">
        <f>'SER_se-appl'!O65</f>
        <v>152.32831836763918</v>
      </c>
      <c r="P15" s="63">
        <f>'SER_se-appl'!P65</f>
        <v>145.48847577649173</v>
      </c>
      <c r="Q15" s="63">
        <f>'SER_se-appl'!Q65</f>
        <v>141.4219372737962</v>
      </c>
      <c r="R15" s="63">
        <f>'SER_se-appl'!R65</f>
        <v>138.21481945484874</v>
      </c>
      <c r="S15" s="63">
        <f>'SER_se-appl'!S65</f>
        <v>134.46177504771356</v>
      </c>
      <c r="T15" s="63">
        <f>'SER_se-appl'!T65</f>
        <v>130.81611749318182</v>
      </c>
      <c r="U15" s="63">
        <f>'SER_se-appl'!U65</f>
        <v>127.36186648803587</v>
      </c>
      <c r="V15" s="63">
        <f>'SER_se-appl'!V65</f>
        <v>123.94506127467379</v>
      </c>
      <c r="W15" s="63">
        <f>'SER_se-appl'!W65</f>
        <v>121.71405017172965</v>
      </c>
      <c r="X15" s="63">
        <f>'SER_se-appl'!X65</f>
        <v>119.48303906878553</v>
      </c>
      <c r="Y15" s="63">
        <f>'SER_se-appl'!Y65</f>
        <v>117.25202796584139</v>
      </c>
      <c r="DA15" s="105" t="s">
        <v>957</v>
      </c>
    </row>
    <row r="17" spans="1:105" ht="12" customHeight="1" x14ac:dyDescent="0.25">
      <c r="A17" s="197" t="s">
        <v>184</v>
      </c>
      <c r="B17" s="198">
        <v>29.253521478206792</v>
      </c>
      <c r="C17" s="198">
        <v>35.390042720801532</v>
      </c>
      <c r="D17" s="198">
        <v>41.564850468864812</v>
      </c>
      <c r="E17" s="198">
        <v>47.575457868596935</v>
      </c>
      <c r="F17" s="198">
        <v>53.299053840536075</v>
      </c>
      <c r="G17" s="198">
        <v>58.507042956413549</v>
      </c>
      <c r="H17" s="198">
        <v>63.077129965150995</v>
      </c>
      <c r="I17" s="198">
        <v>67.135554989975262</v>
      </c>
      <c r="J17" s="198">
        <v>70.892544438635255</v>
      </c>
      <c r="K17" s="198">
        <v>74.465809581812309</v>
      </c>
      <c r="L17" s="198">
        <v>78.009390608551442</v>
      </c>
      <c r="M17" s="198">
        <v>78.073694006204164</v>
      </c>
      <c r="N17" s="198">
        <v>83.462969541489869</v>
      </c>
      <c r="O17" s="198">
        <v>90.37552023472665</v>
      </c>
      <c r="P17" s="198">
        <v>95.934563476807213</v>
      </c>
      <c r="Q17" s="198">
        <v>101.30875924141522</v>
      </c>
      <c r="R17" s="198">
        <v>103.10475773029779</v>
      </c>
      <c r="S17" s="198">
        <v>113.49561114280814</v>
      </c>
      <c r="T17" s="198">
        <v>118.51024187977342</v>
      </c>
      <c r="U17" s="198">
        <v>127.75635219497921</v>
      </c>
      <c r="V17" s="198">
        <v>139.23477842243094</v>
      </c>
      <c r="W17" s="198">
        <v>149.91122013304675</v>
      </c>
      <c r="X17" s="198">
        <v>161.08657581826643</v>
      </c>
      <c r="Y17" s="198">
        <v>185.24956219100636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6189.7292211846461</v>
      </c>
      <c r="C3" s="219">
        <v>6718.0916827801757</v>
      </c>
      <c r="D3" s="219">
        <v>5131.2648626671489</v>
      </c>
      <c r="E3" s="219">
        <v>4654.9666323731144</v>
      </c>
      <c r="F3" s="219">
        <v>4796.5915915692258</v>
      </c>
      <c r="G3" s="219">
        <v>3483.1401680428098</v>
      </c>
      <c r="H3" s="219">
        <v>3667.395425845044</v>
      </c>
      <c r="I3" s="219">
        <v>3768.840959767329</v>
      </c>
      <c r="J3" s="219">
        <v>2683.6394900038549</v>
      </c>
      <c r="K3" s="219">
        <v>2444.1216303099891</v>
      </c>
      <c r="L3" s="219">
        <v>3652.70538351596</v>
      </c>
      <c r="M3" s="219">
        <v>3957.525427089045</v>
      </c>
      <c r="N3" s="219">
        <v>5043.8705801914439</v>
      </c>
      <c r="O3" s="219">
        <v>3964.6025992294049</v>
      </c>
      <c r="P3" s="219">
        <v>4308.928765388674</v>
      </c>
      <c r="Q3" s="219">
        <v>2948.5595159999998</v>
      </c>
      <c r="R3" s="219">
        <v>3104.8482169988379</v>
      </c>
      <c r="S3" s="219">
        <v>4336.5101923755738</v>
      </c>
      <c r="T3" s="219">
        <v>3494.2698391159188</v>
      </c>
      <c r="U3" s="219">
        <v>4407.5629494528403</v>
      </c>
      <c r="V3" s="219">
        <v>4645.3735679695446</v>
      </c>
      <c r="W3" s="219">
        <v>3998.8603129573748</v>
      </c>
      <c r="X3" s="219">
        <v>3716.3032310243698</v>
      </c>
      <c r="Y3" s="219">
        <v>3883.4</v>
      </c>
      <c r="DA3" s="210" t="s">
        <v>974</v>
      </c>
    </row>
    <row r="5" spans="1:105" x14ac:dyDescent="0.25">
      <c r="A5" s="218" t="s">
        <v>120</v>
      </c>
      <c r="B5" s="219">
        <v>8833.460677258654</v>
      </c>
      <c r="C5" s="219">
        <v>8705.9182797336089</v>
      </c>
      <c r="D5" s="219">
        <v>8315.7968147868778</v>
      </c>
      <c r="E5" s="219">
        <v>7724.8917155919262</v>
      </c>
      <c r="F5" s="219">
        <v>7781.1481295489129</v>
      </c>
      <c r="G5" s="219">
        <v>6856.3038639481483</v>
      </c>
      <c r="H5" s="219">
        <v>7081.201814656868</v>
      </c>
      <c r="I5" s="219">
        <v>7526.6039355274906</v>
      </c>
      <c r="J5" s="219">
        <v>7109.4989756485274</v>
      </c>
      <c r="K5" s="219">
        <v>6368.5891074112124</v>
      </c>
      <c r="L5" s="219">
        <v>6972.8230553176491</v>
      </c>
      <c r="M5" s="219">
        <v>7472.7427566617507</v>
      </c>
      <c r="N5" s="219">
        <v>6746.810248726355</v>
      </c>
      <c r="O5" s="219">
        <v>6896.689418965937</v>
      </c>
      <c r="P5" s="219">
        <v>6696.5247501458443</v>
      </c>
      <c r="Q5" s="219">
        <v>6650.3470614070629</v>
      </c>
      <c r="R5" s="219">
        <v>6498.5434963367206</v>
      </c>
      <c r="S5" s="219">
        <v>6881.3282775283824</v>
      </c>
      <c r="T5" s="219">
        <v>6273.4975584695003</v>
      </c>
      <c r="U5" s="219">
        <v>6273.1443557976854</v>
      </c>
      <c r="V5" s="219">
        <v>5898.2797410354488</v>
      </c>
      <c r="W5" s="219">
        <v>6142.9121452898362</v>
      </c>
      <c r="X5" s="219">
        <v>7104.1747119108213</v>
      </c>
      <c r="Y5" s="219">
        <v>7120.7133838120208</v>
      </c>
      <c r="DA5" s="210" t="s">
        <v>975</v>
      </c>
    </row>
    <row r="6" spans="1:105" x14ac:dyDescent="0.25">
      <c r="A6" s="220" t="s">
        <v>119</v>
      </c>
      <c r="B6" s="221">
        <v>11041.82584657332</v>
      </c>
      <c r="C6" s="221">
        <v>10489.734554244649</v>
      </c>
      <c r="D6" s="221">
        <v>10489.734554244649</v>
      </c>
      <c r="E6" s="221">
        <v>9937.6432619159859</v>
      </c>
      <c r="F6" s="221">
        <v>9385.5519695873209</v>
      </c>
      <c r="G6" s="221">
        <v>9385.5519695873209</v>
      </c>
      <c r="H6" s="221">
        <v>8833.4606772586558</v>
      </c>
      <c r="I6" s="221">
        <v>8281.3693849299907</v>
      </c>
      <c r="J6" s="221">
        <v>7729.2780926013247</v>
      </c>
      <c r="K6" s="221">
        <v>7729.2780926013247</v>
      </c>
      <c r="L6" s="221">
        <v>7729.2780926013247</v>
      </c>
      <c r="M6" s="221">
        <v>8281.3693849299907</v>
      </c>
      <c r="N6" s="221">
        <v>8281.3693849299907</v>
      </c>
      <c r="O6" s="221">
        <v>7729.2780926013247</v>
      </c>
      <c r="P6" s="221">
        <v>7177.1868002726587</v>
      </c>
      <c r="Q6" s="221">
        <v>7177.1868002726587</v>
      </c>
      <c r="R6" s="221">
        <v>7177.1868002726587</v>
      </c>
      <c r="S6" s="221">
        <v>7729.2780926013247</v>
      </c>
      <c r="T6" s="221">
        <v>7177.1868002726587</v>
      </c>
      <c r="U6" s="221">
        <v>6625.0955079439927</v>
      </c>
      <c r="V6" s="221">
        <v>6625.0955079439927</v>
      </c>
      <c r="W6" s="221">
        <v>6625.0955079439927</v>
      </c>
      <c r="X6" s="221">
        <v>7729.2780926013247</v>
      </c>
      <c r="Y6" s="221">
        <v>7729.2780926013247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552.09129232866587</v>
      </c>
      <c r="M7" s="225">
        <v>1104.182584657332</v>
      </c>
      <c r="N7" s="225">
        <v>0</v>
      </c>
      <c r="O7" s="225">
        <v>0</v>
      </c>
      <c r="P7" s="225">
        <v>0</v>
      </c>
      <c r="Q7" s="225">
        <v>0</v>
      </c>
      <c r="R7" s="225">
        <v>552.09129232866587</v>
      </c>
      <c r="S7" s="225">
        <v>552.09129232866599</v>
      </c>
      <c r="T7" s="225">
        <v>0</v>
      </c>
      <c r="U7" s="225">
        <v>0</v>
      </c>
      <c r="V7" s="225">
        <v>552.09129232866587</v>
      </c>
      <c r="W7" s="225">
        <v>0</v>
      </c>
      <c r="X7" s="225">
        <v>1656.273876985998</v>
      </c>
      <c r="Y7" s="225">
        <v>552.09129232866587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552.09129232867053</v>
      </c>
      <c r="D8" s="227">
        <f t="shared" ref="D8" si="1">IF(C6=0,0,C6+D7-D6)</f>
        <v>0</v>
      </c>
      <c r="E8" s="227">
        <f t="shared" ref="E8" si="2">IF(D6=0,0,D6+E7-E6)</f>
        <v>552.09129232866326</v>
      </c>
      <c r="F8" s="227">
        <f t="shared" ref="F8" si="3">IF(E6=0,0,E6+F7-F6)</f>
        <v>552.09129232866508</v>
      </c>
      <c r="G8" s="227">
        <f t="shared" ref="G8" si="4">IF(F6=0,0,F6+G7-G6)</f>
        <v>0</v>
      </c>
      <c r="H8" s="227">
        <f t="shared" ref="H8" si="5">IF(G6=0,0,G6+H7-H6)</f>
        <v>552.09129232866508</v>
      </c>
      <c r="I8" s="227">
        <f t="shared" ref="I8" si="6">IF(H6=0,0,H6+I7-I6)</f>
        <v>552.09129232866508</v>
      </c>
      <c r="J8" s="227">
        <f t="shared" ref="J8" si="7">IF(I6=0,0,I6+J7-J6)</f>
        <v>552.09129232866599</v>
      </c>
      <c r="K8" s="227">
        <f t="shared" ref="K8" si="8">IF(J6=0,0,J6+K7-K6)</f>
        <v>0</v>
      </c>
      <c r="L8" s="227">
        <f t="shared" ref="L8" si="9">IF(K6=0,0,K6+L7-L6)</f>
        <v>552.09129232866599</v>
      </c>
      <c r="M8" s="227">
        <f t="shared" ref="M8" si="10">IF(L6=0,0,L6+M7-M6)</f>
        <v>552.09129232866508</v>
      </c>
      <c r="N8" s="227">
        <f t="shared" ref="N8" si="11">IF(M6=0,0,M6+N7-N6)</f>
        <v>0</v>
      </c>
      <c r="O8" s="227">
        <f t="shared" ref="O8" si="12">IF(N6=0,0,N6+O7-O6)</f>
        <v>552.09129232866599</v>
      </c>
      <c r="P8" s="227">
        <f t="shared" ref="P8" si="13">IF(O6=0,0,O6+P7-P6)</f>
        <v>552.09129232866599</v>
      </c>
      <c r="Q8" s="227">
        <f t="shared" ref="Q8" si="14">IF(P6=0,0,P6+Q7-Q6)</f>
        <v>0</v>
      </c>
      <c r="R8" s="227">
        <f t="shared" ref="R8" si="15">IF(Q6=0,0,Q6+R7-R6)</f>
        <v>552.09129232866599</v>
      </c>
      <c r="S8" s="227">
        <f t="shared" ref="S8" si="16">IF(R6=0,0,R6+S7-S6)</f>
        <v>0</v>
      </c>
      <c r="T8" s="227">
        <f t="shared" ref="T8" si="17">IF(S6=0,0,S6+T7-T6)</f>
        <v>552.09129232866599</v>
      </c>
      <c r="U8" s="227">
        <f t="shared" ref="U8" si="18">IF(T6=0,0,T6+U7-U6)</f>
        <v>552.09129232866599</v>
      </c>
      <c r="V8" s="227">
        <f t="shared" ref="V8" si="19">IF(U6=0,0,U6+V7-V6)</f>
        <v>552.09129232866599</v>
      </c>
      <c r="W8" s="227">
        <f t="shared" ref="W8" si="20">IF(V6=0,0,V6+W7-W6)</f>
        <v>0</v>
      </c>
      <c r="X8" s="227">
        <f t="shared" ref="X8" si="21">IF(W6=0,0,W6+X7-X6)</f>
        <v>552.09129232866599</v>
      </c>
      <c r="Y8" s="227">
        <f t="shared" ref="Y8" si="22">IF(X6=0,0,X6+Y7-Y6)</f>
        <v>552.09129232866599</v>
      </c>
      <c r="DA8" s="213" t="s">
        <v>978</v>
      </c>
    </row>
    <row r="9" spans="1:105" x14ac:dyDescent="0.25">
      <c r="A9" s="222" t="s">
        <v>116</v>
      </c>
      <c r="B9" s="223">
        <f>B6-B5</f>
        <v>2208.3651693146658</v>
      </c>
      <c r="C9" s="223">
        <f t="shared" ref="C9:W9" si="23">C6-C5</f>
        <v>1783.8162745110403</v>
      </c>
      <c r="D9" s="223">
        <f t="shared" si="23"/>
        <v>2173.9377394577714</v>
      </c>
      <c r="E9" s="223">
        <f t="shared" si="23"/>
        <v>2212.7515463240597</v>
      </c>
      <c r="F9" s="223">
        <f t="shared" si="23"/>
        <v>1604.4038400384079</v>
      </c>
      <c r="G9" s="223">
        <f t="shared" si="23"/>
        <v>2529.2481056391725</v>
      </c>
      <c r="H9" s="223">
        <f t="shared" si="23"/>
        <v>1752.2588626017878</v>
      </c>
      <c r="I9" s="223">
        <f t="shared" si="23"/>
        <v>754.76544940250005</v>
      </c>
      <c r="J9" s="223">
        <f t="shared" si="23"/>
        <v>619.77911695279727</v>
      </c>
      <c r="K9" s="223">
        <f t="shared" si="23"/>
        <v>1360.6889851901124</v>
      </c>
      <c r="L9" s="223">
        <f t="shared" si="23"/>
        <v>756.45503728367567</v>
      </c>
      <c r="M9" s="223">
        <f t="shared" si="23"/>
        <v>808.62662826823998</v>
      </c>
      <c r="N9" s="223">
        <f t="shared" si="23"/>
        <v>1534.5591362036357</v>
      </c>
      <c r="O9" s="223">
        <f t="shared" si="23"/>
        <v>832.58867363538775</v>
      </c>
      <c r="P9" s="223">
        <f t="shared" si="23"/>
        <v>480.66205012681439</v>
      </c>
      <c r="Q9" s="223">
        <f t="shared" si="23"/>
        <v>526.83973886559579</v>
      </c>
      <c r="R9" s="223">
        <f t="shared" si="23"/>
        <v>678.64330393593809</v>
      </c>
      <c r="S9" s="223">
        <f t="shared" si="23"/>
        <v>847.94981507294233</v>
      </c>
      <c r="T9" s="223">
        <f t="shared" si="23"/>
        <v>903.68924180315844</v>
      </c>
      <c r="U9" s="223">
        <f t="shared" si="23"/>
        <v>351.95115214630732</v>
      </c>
      <c r="V9" s="223">
        <f t="shared" si="23"/>
        <v>726.81576690854399</v>
      </c>
      <c r="W9" s="223">
        <f t="shared" si="23"/>
        <v>482.18336265415655</v>
      </c>
      <c r="X9" s="223">
        <f t="shared" ref="X9:Y9" si="24">X6-X5</f>
        <v>625.1033806905034</v>
      </c>
      <c r="Y9" s="223">
        <f t="shared" si="24"/>
        <v>608.56470878930395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993.51444539982811</v>
      </c>
      <c r="C12" s="229">
        <f t="shared" ref="C12:W12" si="25">SUM(C13,C14,C18,C19,C26,C27)</f>
        <v>956.07893379191751</v>
      </c>
      <c r="D12" s="229">
        <f t="shared" si="25"/>
        <v>946.41306964746354</v>
      </c>
      <c r="E12" s="229">
        <f t="shared" si="25"/>
        <v>923.41711092003447</v>
      </c>
      <c r="F12" s="229">
        <f t="shared" si="25"/>
        <v>912.77661220980224</v>
      </c>
      <c r="G12" s="229">
        <f t="shared" si="25"/>
        <v>920.7607050730868</v>
      </c>
      <c r="H12" s="229">
        <f t="shared" si="25"/>
        <v>920.96147893379191</v>
      </c>
      <c r="I12" s="229">
        <f t="shared" si="25"/>
        <v>886.74453998280308</v>
      </c>
      <c r="J12" s="229">
        <f t="shared" si="25"/>
        <v>877.99604471195175</v>
      </c>
      <c r="K12" s="229">
        <f t="shared" si="25"/>
        <v>877.80558899398102</v>
      </c>
      <c r="L12" s="229">
        <f t="shared" si="25"/>
        <v>895.84161650902831</v>
      </c>
      <c r="M12" s="229">
        <f t="shared" si="25"/>
        <v>866.99742046431641</v>
      </c>
      <c r="N12" s="229">
        <f t="shared" si="25"/>
        <v>798.22975064488389</v>
      </c>
      <c r="O12" s="229">
        <f t="shared" si="25"/>
        <v>813.08400687876178</v>
      </c>
      <c r="P12" s="229">
        <f t="shared" si="25"/>
        <v>764.82785898538259</v>
      </c>
      <c r="Q12" s="229">
        <f t="shared" si="25"/>
        <v>775.94445399828044</v>
      </c>
      <c r="R12" s="229">
        <f t="shared" si="25"/>
        <v>769.50877042132413</v>
      </c>
      <c r="S12" s="229">
        <f t="shared" si="25"/>
        <v>751.85296646603615</v>
      </c>
      <c r="T12" s="229">
        <f t="shared" si="25"/>
        <v>721.70017196904541</v>
      </c>
      <c r="U12" s="229">
        <f t="shared" si="25"/>
        <v>717.08650042992269</v>
      </c>
      <c r="V12" s="229">
        <f t="shared" si="25"/>
        <v>713.82622527944977</v>
      </c>
      <c r="W12" s="229">
        <f t="shared" si="25"/>
        <v>710.20008598452273</v>
      </c>
      <c r="X12" s="229">
        <f t="shared" ref="X12:Y12" si="26">SUM(X13,X14,X18,X19,X26,X27)</f>
        <v>702.79122957867582</v>
      </c>
      <c r="Y12" s="229">
        <f t="shared" si="26"/>
        <v>721.8901977644025</v>
      </c>
      <c r="DA12" s="210" t="s">
        <v>980</v>
      </c>
    </row>
    <row r="13" spans="1:105" x14ac:dyDescent="0.25">
      <c r="A13" s="58" t="s">
        <v>29</v>
      </c>
      <c r="B13" s="59">
        <v>25.46276870163371</v>
      </c>
      <c r="C13" s="59">
        <v>28.955460017196899</v>
      </c>
      <c r="D13" s="59">
        <v>20.325451418744624</v>
      </c>
      <c r="E13" s="59">
        <v>27.346431642304378</v>
      </c>
      <c r="F13" s="59">
        <v>32.602235597592426</v>
      </c>
      <c r="G13" s="59">
        <v>39.289767841788468</v>
      </c>
      <c r="H13" s="59">
        <v>45.173774720550298</v>
      </c>
      <c r="I13" s="59">
        <v>45.096904557179712</v>
      </c>
      <c r="J13" s="59">
        <v>41.208512467755803</v>
      </c>
      <c r="K13" s="59">
        <v>29.833018056749783</v>
      </c>
      <c r="L13" s="59">
        <v>31.958985382631131</v>
      </c>
      <c r="M13" s="59">
        <v>28.9700773860705</v>
      </c>
      <c r="N13" s="59">
        <v>28.2158211521926</v>
      </c>
      <c r="O13" s="59">
        <v>36.702923473774717</v>
      </c>
      <c r="P13" s="59">
        <v>24.777901977644021</v>
      </c>
      <c r="Q13" s="59">
        <v>17.622012037833191</v>
      </c>
      <c r="R13" s="59">
        <v>14.829492691315561</v>
      </c>
      <c r="S13" s="59">
        <v>10.636973344797941</v>
      </c>
      <c r="T13" s="59">
        <v>8.6205503009458297</v>
      </c>
      <c r="U13" s="59">
        <v>5.2683576956147888</v>
      </c>
      <c r="V13" s="59">
        <v>3.2120378331900259</v>
      </c>
      <c r="W13" s="59">
        <v>3.0399828030954419</v>
      </c>
      <c r="X13" s="59">
        <v>3.1515907136715389</v>
      </c>
      <c r="Y13" s="59">
        <v>1.7982803095442821</v>
      </c>
      <c r="DA13" s="9" t="s">
        <v>981</v>
      </c>
    </row>
    <row r="14" spans="1:105" x14ac:dyDescent="0.25">
      <c r="A14" s="60" t="s">
        <v>28</v>
      </c>
      <c r="B14" s="55">
        <f>SUM(B15:B17)</f>
        <v>643.26208082545145</v>
      </c>
      <c r="C14" s="55">
        <f t="shared" ref="C14:W14" si="27">SUM(C15:C17)</f>
        <v>604.47592433362001</v>
      </c>
      <c r="D14" s="55">
        <f t="shared" si="27"/>
        <v>608.9042132416165</v>
      </c>
      <c r="E14" s="55">
        <f t="shared" si="27"/>
        <v>579.76018916595012</v>
      </c>
      <c r="F14" s="55">
        <f t="shared" si="27"/>
        <v>563.12338779019785</v>
      </c>
      <c r="G14" s="55">
        <f t="shared" si="27"/>
        <v>566.2845227858985</v>
      </c>
      <c r="H14" s="55">
        <f t="shared" si="27"/>
        <v>550.29613069647462</v>
      </c>
      <c r="I14" s="55">
        <f t="shared" si="27"/>
        <v>532.59776440240751</v>
      </c>
      <c r="J14" s="55">
        <f t="shared" si="27"/>
        <v>525.92201203783316</v>
      </c>
      <c r="K14" s="55">
        <f t="shared" si="27"/>
        <v>544.52803095442823</v>
      </c>
      <c r="L14" s="55">
        <f t="shared" si="27"/>
        <v>553.91711092003436</v>
      </c>
      <c r="M14" s="55">
        <f t="shared" si="27"/>
        <v>547.54221840068783</v>
      </c>
      <c r="N14" s="55">
        <f t="shared" si="27"/>
        <v>487.18830610490107</v>
      </c>
      <c r="O14" s="55">
        <f t="shared" si="27"/>
        <v>491.96999140154776</v>
      </c>
      <c r="P14" s="55">
        <f t="shared" si="27"/>
        <v>461.50042992261382</v>
      </c>
      <c r="Q14" s="55">
        <f t="shared" si="27"/>
        <v>477.34651762682728</v>
      </c>
      <c r="R14" s="55">
        <f t="shared" si="27"/>
        <v>471.63052450558894</v>
      </c>
      <c r="S14" s="55">
        <f t="shared" si="27"/>
        <v>455.01049011177992</v>
      </c>
      <c r="T14" s="55">
        <f t="shared" si="27"/>
        <v>434.68323301805668</v>
      </c>
      <c r="U14" s="55">
        <f t="shared" si="27"/>
        <v>428.4999140154772</v>
      </c>
      <c r="V14" s="55">
        <f t="shared" si="27"/>
        <v>429.88082545141873</v>
      </c>
      <c r="W14" s="55">
        <f t="shared" si="27"/>
        <v>420.64024075666384</v>
      </c>
      <c r="X14" s="55">
        <f t="shared" ref="X14:Y14" si="28">SUM(X15:X17)</f>
        <v>452.51186586414445</v>
      </c>
      <c r="Y14" s="55">
        <f t="shared" si="28"/>
        <v>472.57325881341364</v>
      </c>
      <c r="DA14" s="10"/>
    </row>
    <row r="15" spans="1:105" x14ac:dyDescent="0.25">
      <c r="A15" s="61" t="s">
        <v>52</v>
      </c>
      <c r="B15" s="55">
        <v>4.3947549441100593</v>
      </c>
      <c r="C15" s="55">
        <v>5.4934651762682716</v>
      </c>
      <c r="D15" s="55">
        <v>4.3947549441100593</v>
      </c>
      <c r="E15" s="55">
        <v>4.3947549441100593</v>
      </c>
      <c r="F15" s="55">
        <v>3.2960447119518479</v>
      </c>
      <c r="G15" s="55">
        <v>3.2960447119518479</v>
      </c>
      <c r="H15" s="55">
        <v>3.2960447119518479</v>
      </c>
      <c r="I15" s="55">
        <v>3.2960447119518479</v>
      </c>
      <c r="J15" s="55">
        <v>2.1974204643164228</v>
      </c>
      <c r="K15" s="55">
        <v>3.2960447119518479</v>
      </c>
      <c r="L15" s="55">
        <v>3.2960447119518479</v>
      </c>
      <c r="M15" s="55">
        <v>3.2960447119518479</v>
      </c>
      <c r="N15" s="55">
        <v>3.2960447119518479</v>
      </c>
      <c r="O15" s="55">
        <v>3.2960447119518479</v>
      </c>
      <c r="P15" s="55">
        <v>3.2960447119518479</v>
      </c>
      <c r="Q15" s="55">
        <v>4.585984522785898</v>
      </c>
      <c r="R15" s="55">
        <v>4.505674978503869</v>
      </c>
      <c r="S15" s="55">
        <v>6.2448839208942388</v>
      </c>
      <c r="T15" s="55">
        <v>4.8539982803095443</v>
      </c>
      <c r="U15" s="55">
        <v>5.9593293207222695</v>
      </c>
      <c r="V15" s="55">
        <v>5.7658641444539978</v>
      </c>
      <c r="W15" s="55">
        <v>6.015305245055889</v>
      </c>
      <c r="X15" s="55">
        <v>6.4844368013757512</v>
      </c>
      <c r="Y15" s="55">
        <v>8.0819432502149606</v>
      </c>
      <c r="DA15" s="10" t="s">
        <v>982</v>
      </c>
    </row>
    <row r="16" spans="1:105" x14ac:dyDescent="0.25">
      <c r="A16" s="61" t="s">
        <v>165</v>
      </c>
      <c r="B16" s="55">
        <v>567.04875322441967</v>
      </c>
      <c r="C16" s="55">
        <v>547.67119518486675</v>
      </c>
      <c r="D16" s="55">
        <v>551.75073086844361</v>
      </c>
      <c r="E16" s="55">
        <v>535.43276010318141</v>
      </c>
      <c r="F16" s="55">
        <v>495.65778159931222</v>
      </c>
      <c r="G16" s="55">
        <v>482.39939810834051</v>
      </c>
      <c r="H16" s="55">
        <v>496.67764402407568</v>
      </c>
      <c r="I16" s="55">
        <v>472.200773860705</v>
      </c>
      <c r="J16" s="55">
        <v>487.498796216681</v>
      </c>
      <c r="K16" s="55">
        <v>499.73731728288908</v>
      </c>
      <c r="L16" s="55">
        <v>501.77704213241611</v>
      </c>
      <c r="M16" s="55">
        <v>485.45907136715391</v>
      </c>
      <c r="N16" s="55">
        <v>450.7834049871023</v>
      </c>
      <c r="O16" s="55">
        <v>456.90266552020643</v>
      </c>
      <c r="P16" s="55">
        <v>431.40584694754938</v>
      </c>
      <c r="Q16" s="55">
        <v>450.51616509028383</v>
      </c>
      <c r="R16" s="55">
        <v>448.58564058469472</v>
      </c>
      <c r="S16" s="55">
        <v>413.91814273430782</v>
      </c>
      <c r="T16" s="55">
        <v>411.45915735167659</v>
      </c>
      <c r="U16" s="55">
        <v>395.49312123817714</v>
      </c>
      <c r="V16" s="55">
        <v>383.89922613929491</v>
      </c>
      <c r="W16" s="55">
        <v>384.68039552880481</v>
      </c>
      <c r="X16" s="55">
        <v>421.44677558039552</v>
      </c>
      <c r="Y16" s="55">
        <v>410.92269991401554</v>
      </c>
      <c r="DA16" s="10" t="s">
        <v>983</v>
      </c>
    </row>
    <row r="17" spans="1:105" x14ac:dyDescent="0.25">
      <c r="A17" s="61" t="s">
        <v>113</v>
      </c>
      <c r="B17" s="55">
        <v>71.818572656921731</v>
      </c>
      <c r="C17" s="55">
        <v>51.311263972484952</v>
      </c>
      <c r="D17" s="55">
        <v>52.758727429062773</v>
      </c>
      <c r="E17" s="55">
        <v>39.932674118658639</v>
      </c>
      <c r="F17" s="55">
        <v>64.169561478933787</v>
      </c>
      <c r="G17" s="55">
        <v>80.589079965606189</v>
      </c>
      <c r="H17" s="55">
        <v>50.322441960447122</v>
      </c>
      <c r="I17" s="55">
        <v>57.100945829750643</v>
      </c>
      <c r="J17" s="55">
        <v>36.225795356835768</v>
      </c>
      <c r="K17" s="55">
        <v>41.494668959587273</v>
      </c>
      <c r="L17" s="55">
        <v>48.844024075666375</v>
      </c>
      <c r="M17" s="55">
        <v>58.787102321582111</v>
      </c>
      <c r="N17" s="55">
        <v>33.10885640584695</v>
      </c>
      <c r="O17" s="55">
        <v>31.771281169389503</v>
      </c>
      <c r="P17" s="55">
        <v>26.79853826311264</v>
      </c>
      <c r="Q17" s="55">
        <v>22.244368013757526</v>
      </c>
      <c r="R17" s="55">
        <v>18.539208942390367</v>
      </c>
      <c r="S17" s="55">
        <v>34.847463456577806</v>
      </c>
      <c r="T17" s="55">
        <v>18.370077386070509</v>
      </c>
      <c r="U17" s="55">
        <v>27.047463456577816</v>
      </c>
      <c r="V17" s="55">
        <v>40.215735167669827</v>
      </c>
      <c r="W17" s="55">
        <v>29.944539982803093</v>
      </c>
      <c r="X17" s="55">
        <v>24.580653482373165</v>
      </c>
      <c r="Y17" s="55">
        <v>53.568615649183144</v>
      </c>
      <c r="DA17" s="10" t="s">
        <v>984</v>
      </c>
    </row>
    <row r="18" spans="1:105" x14ac:dyDescent="0.25">
      <c r="A18" s="60" t="s">
        <v>149</v>
      </c>
      <c r="B18" s="55">
        <v>56.943078245915743</v>
      </c>
      <c r="C18" s="55">
        <v>64.187618228718819</v>
      </c>
      <c r="D18" s="55">
        <v>60.748839208942393</v>
      </c>
      <c r="E18" s="55">
        <v>55.395270851246771</v>
      </c>
      <c r="F18" s="55">
        <v>53.933619948409287</v>
      </c>
      <c r="G18" s="55">
        <v>53.697936371453132</v>
      </c>
      <c r="H18" s="55">
        <v>53.417454858125531</v>
      </c>
      <c r="I18" s="55">
        <v>44.604471195184857</v>
      </c>
      <c r="J18" s="55">
        <v>39.703783319002582</v>
      </c>
      <c r="K18" s="55">
        <v>40.413069647463459</v>
      </c>
      <c r="L18" s="55">
        <v>41.91779879621668</v>
      </c>
      <c r="M18" s="55">
        <v>38.865520206362852</v>
      </c>
      <c r="N18" s="55">
        <v>37.898194325021493</v>
      </c>
      <c r="O18" s="55">
        <v>36.070077386070508</v>
      </c>
      <c r="P18" s="55">
        <v>33.713564578740538</v>
      </c>
      <c r="Q18" s="55">
        <v>34.89993392483364</v>
      </c>
      <c r="R18" s="55">
        <v>38.914363392139748</v>
      </c>
      <c r="S18" s="55">
        <v>40.518371441181785</v>
      </c>
      <c r="T18" s="55">
        <v>33.858344352820701</v>
      </c>
      <c r="U18" s="55">
        <v>31.714779220029389</v>
      </c>
      <c r="V18" s="55">
        <v>29.775594990269415</v>
      </c>
      <c r="W18" s="55">
        <v>28.011423020388101</v>
      </c>
      <c r="X18" s="55">
        <v>10.43971742363993</v>
      </c>
      <c r="Y18" s="55">
        <v>9.9356350928842954</v>
      </c>
      <c r="DA18" s="10" t="s">
        <v>985</v>
      </c>
    </row>
    <row r="19" spans="1:105" x14ac:dyDescent="0.25">
      <c r="A19" s="60" t="s">
        <v>51</v>
      </c>
      <c r="B19" s="55">
        <f>SUM(B20:B25)</f>
        <v>55.412209802235594</v>
      </c>
      <c r="C19" s="55">
        <f t="shared" ref="C19:W19" si="29">SUM(C20:C25)</f>
        <v>51.61461736887361</v>
      </c>
      <c r="D19" s="55">
        <f t="shared" si="29"/>
        <v>51.996818572656927</v>
      </c>
      <c r="E19" s="55">
        <f t="shared" si="29"/>
        <v>52.092261392949261</v>
      </c>
      <c r="F19" s="55">
        <f t="shared" si="29"/>
        <v>52.593809114359409</v>
      </c>
      <c r="G19" s="55">
        <f t="shared" si="29"/>
        <v>50.277042132416156</v>
      </c>
      <c r="H19" s="55">
        <f t="shared" si="29"/>
        <v>55.961564918314707</v>
      </c>
      <c r="I19" s="55">
        <f t="shared" si="29"/>
        <v>54.695700773860707</v>
      </c>
      <c r="J19" s="55">
        <f t="shared" si="29"/>
        <v>58.230610490111786</v>
      </c>
      <c r="K19" s="55">
        <f t="shared" si="29"/>
        <v>54.313585554600174</v>
      </c>
      <c r="L19" s="55">
        <f t="shared" si="29"/>
        <v>55.89045571797076</v>
      </c>
      <c r="M19" s="55">
        <f t="shared" si="29"/>
        <v>54.949097162510739</v>
      </c>
      <c r="N19" s="55">
        <f t="shared" si="29"/>
        <v>53.759931212381765</v>
      </c>
      <c r="O19" s="55">
        <f t="shared" si="29"/>
        <v>53.390197764402402</v>
      </c>
      <c r="P19" s="55">
        <f t="shared" si="29"/>
        <v>53.582480133211284</v>
      </c>
      <c r="Q19" s="55">
        <f t="shared" si="29"/>
        <v>54.786222566997836</v>
      </c>
      <c r="R19" s="55">
        <f t="shared" si="29"/>
        <v>56.407562661170651</v>
      </c>
      <c r="S19" s="55">
        <f t="shared" si="29"/>
        <v>56.529177999918808</v>
      </c>
      <c r="T19" s="55">
        <f t="shared" si="29"/>
        <v>57.167107065923922</v>
      </c>
      <c r="U19" s="55">
        <f t="shared" si="29"/>
        <v>57.589348037064326</v>
      </c>
      <c r="V19" s="55">
        <f t="shared" si="29"/>
        <v>58.64916855229292</v>
      </c>
      <c r="W19" s="55">
        <f t="shared" si="29"/>
        <v>64.524518510136389</v>
      </c>
      <c r="X19" s="55">
        <f t="shared" ref="X19:Y19" si="30">SUM(X20:X25)</f>
        <v>59.929758070771086</v>
      </c>
      <c r="Y19" s="55">
        <f t="shared" si="30"/>
        <v>60.632120711070989</v>
      </c>
      <c r="DA19" s="10"/>
    </row>
    <row r="20" spans="1:105" x14ac:dyDescent="0.25">
      <c r="A20" s="61" t="s">
        <v>164</v>
      </c>
      <c r="B20" s="55">
        <v>53.596990541702489</v>
      </c>
      <c r="C20" s="55">
        <v>49.703869303525373</v>
      </c>
      <c r="D20" s="55">
        <v>49.703869303525373</v>
      </c>
      <c r="E20" s="55">
        <v>48.867841788478067</v>
      </c>
      <c r="F20" s="55">
        <v>48.55735167669819</v>
      </c>
      <c r="G20" s="55">
        <v>48.270765262252787</v>
      </c>
      <c r="H20" s="55">
        <v>48.103525365434223</v>
      </c>
      <c r="I20" s="55">
        <v>48.103525365434223</v>
      </c>
      <c r="J20" s="55">
        <v>49.106706792777302</v>
      </c>
      <c r="K20" s="55">
        <v>50.109888220120382</v>
      </c>
      <c r="L20" s="55">
        <v>51.136027515047289</v>
      </c>
      <c r="M20" s="55">
        <v>50.906620808254509</v>
      </c>
      <c r="N20" s="55">
        <v>50.922098022355968</v>
      </c>
      <c r="O20" s="55">
        <v>50.980481513327597</v>
      </c>
      <c r="P20" s="55">
        <v>50.911521926053297</v>
      </c>
      <c r="Q20" s="55">
        <v>51.797334479793633</v>
      </c>
      <c r="R20" s="55">
        <v>52.234909716251067</v>
      </c>
      <c r="S20" s="55">
        <v>52.239982803095437</v>
      </c>
      <c r="T20" s="55">
        <v>51.958985382631127</v>
      </c>
      <c r="U20" s="55">
        <v>51.609544282029233</v>
      </c>
      <c r="V20" s="55">
        <v>50.352880481513331</v>
      </c>
      <c r="W20" s="55">
        <v>54.481427343078238</v>
      </c>
      <c r="X20" s="55">
        <v>52.716251074806543</v>
      </c>
      <c r="Y20" s="55">
        <v>53.146947549441101</v>
      </c>
      <c r="DA20" s="10" t="s">
        <v>986</v>
      </c>
    </row>
    <row r="21" spans="1:105" x14ac:dyDescent="0.25">
      <c r="A21" s="61" t="s">
        <v>50</v>
      </c>
      <c r="B21" s="55">
        <v>1.8152192605331039</v>
      </c>
      <c r="C21" s="55">
        <v>1.9107480653482369</v>
      </c>
      <c r="D21" s="55">
        <v>2.2929492691315558</v>
      </c>
      <c r="E21" s="55">
        <v>3.224419604471195</v>
      </c>
      <c r="F21" s="55">
        <v>4.0364574376612206</v>
      </c>
      <c r="G21" s="55">
        <v>2.00627687016337</v>
      </c>
      <c r="H21" s="55">
        <v>7.8580395528804807</v>
      </c>
      <c r="I21" s="55">
        <v>6.592175408426483</v>
      </c>
      <c r="J21" s="55">
        <v>9.1239036973344803</v>
      </c>
      <c r="K21" s="55">
        <v>4.2036973344797932</v>
      </c>
      <c r="L21" s="55">
        <v>4.7544282029234726</v>
      </c>
      <c r="M21" s="55">
        <v>4.0424763542562339</v>
      </c>
      <c r="N21" s="55">
        <v>2.8378331900257949</v>
      </c>
      <c r="O21" s="55">
        <v>2.4097162510748058</v>
      </c>
      <c r="P21" s="55">
        <v>2.6709582071579874</v>
      </c>
      <c r="Q21" s="55">
        <v>2.9888880872042005</v>
      </c>
      <c r="R21" s="55">
        <v>4.1726529449195811</v>
      </c>
      <c r="S21" s="55">
        <v>4.289195196823373</v>
      </c>
      <c r="T21" s="55">
        <v>5.2081216832927932</v>
      </c>
      <c r="U21" s="55">
        <v>5.9798037550350962</v>
      </c>
      <c r="V21" s="55">
        <v>8.2962880707795925</v>
      </c>
      <c r="W21" s="55">
        <v>10.043091167058147</v>
      </c>
      <c r="X21" s="55">
        <v>7.2135069959645435</v>
      </c>
      <c r="Y21" s="55">
        <v>7.4851731616298904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45.022441960447118</v>
      </c>
      <c r="C26" s="55">
        <v>45.022441960447118</v>
      </c>
      <c r="D26" s="55">
        <v>45.022441960447118</v>
      </c>
      <c r="E26" s="55">
        <v>45.022441960447118</v>
      </c>
      <c r="F26" s="55">
        <v>47.410920034393797</v>
      </c>
      <c r="G26" s="55">
        <v>47.410920034393797</v>
      </c>
      <c r="H26" s="55">
        <v>47.410920034393797</v>
      </c>
      <c r="I26" s="55">
        <v>47.410920034393797</v>
      </c>
      <c r="J26" s="55">
        <v>47.410920034393797</v>
      </c>
      <c r="K26" s="55">
        <v>47.410920034393797</v>
      </c>
      <c r="L26" s="55">
        <v>47.410920034393797</v>
      </c>
      <c r="M26" s="55">
        <v>37.857093723129843</v>
      </c>
      <c r="N26" s="55">
        <v>37.857093723129843</v>
      </c>
      <c r="O26" s="55">
        <v>37.857093723129843</v>
      </c>
      <c r="P26" s="55">
        <v>37.857093723129843</v>
      </c>
      <c r="Q26" s="55">
        <v>37.857093723129843</v>
      </c>
      <c r="R26" s="55">
        <v>37.857093723129843</v>
      </c>
      <c r="S26" s="55">
        <v>37.857093723129843</v>
      </c>
      <c r="T26" s="55">
        <v>37.717626827171109</v>
      </c>
      <c r="U26" s="55">
        <v>36.964402407566638</v>
      </c>
      <c r="V26" s="55">
        <v>36.964402407566638</v>
      </c>
      <c r="W26" s="55">
        <v>35.386070507308681</v>
      </c>
      <c r="X26" s="55">
        <v>33.80773860705073</v>
      </c>
      <c r="Y26" s="55">
        <v>34.176182287188297</v>
      </c>
      <c r="DA26" s="10" t="s">
        <v>992</v>
      </c>
    </row>
    <row r="27" spans="1:105" x14ac:dyDescent="0.25">
      <c r="A27" s="62" t="s">
        <v>24</v>
      </c>
      <c r="B27" s="63">
        <v>167.4118658641444</v>
      </c>
      <c r="C27" s="63">
        <v>161.822871883061</v>
      </c>
      <c r="D27" s="63">
        <v>159.41530524505589</v>
      </c>
      <c r="E27" s="63">
        <v>163.80051590713671</v>
      </c>
      <c r="F27" s="63">
        <v>163.11263972484949</v>
      </c>
      <c r="G27" s="63">
        <v>163.80051590713671</v>
      </c>
      <c r="H27" s="63">
        <v>168.70163370593289</v>
      </c>
      <c r="I27" s="63">
        <v>162.33877901977641</v>
      </c>
      <c r="J27" s="63">
        <v>165.52020636285471</v>
      </c>
      <c r="K27" s="63">
        <v>161.30696474634561</v>
      </c>
      <c r="L27" s="63">
        <v>164.7463456577816</v>
      </c>
      <c r="M27" s="63">
        <v>158.8134135855546</v>
      </c>
      <c r="N27" s="63">
        <v>153.3104041272571</v>
      </c>
      <c r="O27" s="63">
        <v>157.0937231298366</v>
      </c>
      <c r="P27" s="63">
        <v>153.39638865004301</v>
      </c>
      <c r="Q27" s="63">
        <v>153.43267411865861</v>
      </c>
      <c r="R27" s="63">
        <v>149.86973344797931</v>
      </c>
      <c r="S27" s="63">
        <v>151.30085984522779</v>
      </c>
      <c r="T27" s="63">
        <v>149.65331040412721</v>
      </c>
      <c r="U27" s="63">
        <v>157.04969905417019</v>
      </c>
      <c r="V27" s="63">
        <v>155.34419604471191</v>
      </c>
      <c r="W27" s="63">
        <v>158.5978503869303</v>
      </c>
      <c r="X27" s="63">
        <v>142.95055889939809</v>
      </c>
      <c r="Y27" s="63">
        <v>142.77472055030091</v>
      </c>
      <c r="DA27" s="11" t="s">
        <v>993</v>
      </c>
    </row>
    <row r="29" spans="1:105" x14ac:dyDescent="0.25">
      <c r="A29" s="218" t="s">
        <v>84</v>
      </c>
      <c r="B29" s="219">
        <v>2230.7753282386088</v>
      </c>
      <c r="C29" s="219">
        <v>2141.7588557984445</v>
      </c>
      <c r="D29" s="219">
        <v>2112.4232585988957</v>
      </c>
      <c r="E29" s="219">
        <v>2036.3260759185323</v>
      </c>
      <c r="F29" s="219">
        <v>1999.1190229182387</v>
      </c>
      <c r="G29" s="219">
        <v>2033.4694381178069</v>
      </c>
      <c r="H29" s="219">
        <v>2010.356532356848</v>
      </c>
      <c r="I29" s="219">
        <v>1931.8433104787412</v>
      </c>
      <c r="J29" s="219">
        <v>1886.2228796377301</v>
      </c>
      <c r="K29" s="219">
        <v>1899.1374073187756</v>
      </c>
      <c r="L29" s="219">
        <v>1942.3435575586861</v>
      </c>
      <c r="M29" s="219">
        <v>1902.3401922100149</v>
      </c>
      <c r="N29" s="219">
        <v>1710.7517032219446</v>
      </c>
      <c r="O29" s="219">
        <v>1752.2289028815246</v>
      </c>
      <c r="P29" s="219">
        <v>1605.2122602170471</v>
      </c>
      <c r="Q29" s="219">
        <v>1628.9551340274847</v>
      </c>
      <c r="R29" s="219">
        <v>1609.8094284997348</v>
      </c>
      <c r="S29" s="219">
        <v>1542.700886321071</v>
      </c>
      <c r="T29" s="219">
        <v>1458.3375775601537</v>
      </c>
      <c r="U29" s="219">
        <v>1419.5337484633003</v>
      </c>
      <c r="V29" s="219">
        <v>1409.8080532400959</v>
      </c>
      <c r="W29" s="219">
        <v>1377.0609334908879</v>
      </c>
      <c r="X29" s="219">
        <v>1435.5423024658951</v>
      </c>
      <c r="Y29" s="219">
        <v>1487.7900363848394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160.51016286778381</v>
      </c>
      <c r="C31" s="59">
        <f t="shared" si="31"/>
        <v>142.31406460893362</v>
      </c>
      <c r="D31" s="59">
        <f t="shared" si="31"/>
        <v>184.44050248373523</v>
      </c>
      <c r="E31" s="59">
        <f t="shared" si="31"/>
        <v>198.37244471272911</v>
      </c>
      <c r="F31" s="59">
        <f t="shared" si="31"/>
        <v>190.29692121675578</v>
      </c>
      <c r="G31" s="59">
        <f t="shared" si="31"/>
        <v>264.34787595426167</v>
      </c>
      <c r="H31" s="59">
        <f t="shared" si="31"/>
        <v>251.12140142934908</v>
      </c>
      <c r="I31" s="59">
        <f t="shared" si="31"/>
        <v>235.28308820904627</v>
      </c>
      <c r="J31" s="59">
        <f t="shared" si="31"/>
        <v>327.16616668608145</v>
      </c>
      <c r="K31" s="59">
        <f t="shared" si="31"/>
        <v>359.1497158358066</v>
      </c>
      <c r="L31" s="59">
        <f t="shared" si="31"/>
        <v>245.25427661146983</v>
      </c>
      <c r="M31" s="59">
        <f t="shared" si="31"/>
        <v>219.07564118976128</v>
      </c>
      <c r="N31" s="59">
        <f t="shared" si="31"/>
        <v>158.25738149978196</v>
      </c>
      <c r="O31" s="59">
        <f t="shared" si="31"/>
        <v>205.08587847790847</v>
      </c>
      <c r="P31" s="59">
        <f t="shared" si="31"/>
        <v>177.49837619243948</v>
      </c>
      <c r="Q31" s="59">
        <f t="shared" si="31"/>
        <v>263.16051949696526</v>
      </c>
      <c r="R31" s="59">
        <f t="shared" si="31"/>
        <v>247.84102688444307</v>
      </c>
      <c r="S31" s="59">
        <f t="shared" si="31"/>
        <v>173.37742403740674</v>
      </c>
      <c r="T31" s="59">
        <f t="shared" si="31"/>
        <v>206.53819115230149</v>
      </c>
      <c r="U31" s="59">
        <f t="shared" si="31"/>
        <v>162.69455675475777</v>
      </c>
      <c r="V31" s="59">
        <f t="shared" si="31"/>
        <v>153.66390126326425</v>
      </c>
      <c r="W31" s="59">
        <f t="shared" si="31"/>
        <v>177.60062377855132</v>
      </c>
      <c r="X31" s="59">
        <f t="shared" si="31"/>
        <v>189.11030287077972</v>
      </c>
      <c r="Y31" s="59">
        <f t="shared" si="31"/>
        <v>185.89128026070003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112.4717120162867</v>
      </c>
      <c r="C32" s="55">
        <f t="shared" si="32"/>
        <v>109.81942433546165</v>
      </c>
      <c r="D32" s="55">
        <f t="shared" si="32"/>
        <v>113.80906613357637</v>
      </c>
      <c r="E32" s="55">
        <f t="shared" si="32"/>
        <v>119.53787119840254</v>
      </c>
      <c r="F32" s="55">
        <f t="shared" si="32"/>
        <v>117.30616060932354</v>
      </c>
      <c r="G32" s="55">
        <f t="shared" si="32"/>
        <v>134.29403412451356</v>
      </c>
      <c r="H32" s="55">
        <f t="shared" si="32"/>
        <v>130.05722800154635</v>
      </c>
      <c r="I32" s="55">
        <f t="shared" si="32"/>
        <v>117.81469406104162</v>
      </c>
      <c r="J32" s="55">
        <f t="shared" si="32"/>
        <v>123.49619118298854</v>
      </c>
      <c r="K32" s="55">
        <f t="shared" si="32"/>
        <v>137.83360398812147</v>
      </c>
      <c r="L32" s="55">
        <f t="shared" si="32"/>
        <v>128.47617233393541</v>
      </c>
      <c r="M32" s="55">
        <f t="shared" si="32"/>
        <v>116.02131221383358</v>
      </c>
      <c r="N32" s="55">
        <f t="shared" si="32"/>
        <v>118.31216844961241</v>
      </c>
      <c r="O32" s="55">
        <f t="shared" si="32"/>
        <v>117.89482713876833</v>
      </c>
      <c r="P32" s="55">
        <f t="shared" si="32"/>
        <v>114.21265320772918</v>
      </c>
      <c r="Q32" s="55">
        <f t="shared" si="32"/>
        <v>116.67728719019787</v>
      </c>
      <c r="R32" s="55">
        <f t="shared" si="32"/>
        <v>118.41249825520167</v>
      </c>
      <c r="S32" s="55">
        <f t="shared" si="32"/>
        <v>109.25986032686188</v>
      </c>
      <c r="T32" s="55">
        <f t="shared" si="32"/>
        <v>115.03952384499108</v>
      </c>
      <c r="U32" s="55">
        <f t="shared" si="32"/>
        <v>114.3105370701674</v>
      </c>
      <c r="V32" s="55">
        <f t="shared" si="32"/>
        <v>121.0227823399466</v>
      </c>
      <c r="W32" s="55">
        <f t="shared" si="32"/>
        <v>115.6129323010225</v>
      </c>
      <c r="X32" s="55">
        <f t="shared" si="32"/>
        <v>98.926512660278433</v>
      </c>
      <c r="Y32" s="55">
        <f t="shared" si="32"/>
        <v>101.37891512464499</v>
      </c>
      <c r="DA32" s="216"/>
    </row>
    <row r="33" spans="1:105" x14ac:dyDescent="0.25">
      <c r="A33" s="35" t="s">
        <v>111</v>
      </c>
      <c r="B33" s="55">
        <f>IF(AGR_ued!B$5=0,"",AGR_ued!B$5/B$5*1000)</f>
        <v>42.427973003755831</v>
      </c>
      <c r="C33" s="55">
        <f>IF(AGR_ued!C$5=0,"",AGR_ued!C$5/C$5*1000)</f>
        <v>41.610723408393788</v>
      </c>
      <c r="D33" s="55">
        <f>IF(AGR_ued!D$5=0,"",AGR_ued!D$5/D$5*1000)</f>
        <v>43.142515457520034</v>
      </c>
      <c r="E33" s="55">
        <f>IF(AGR_ued!E$5=0,"",AGR_ued!E$5/E$5*1000)</f>
        <v>45.571475517515765</v>
      </c>
      <c r="F33" s="55">
        <f>IF(AGR_ued!F$5=0,"",AGR_ued!F$5/F$5*1000)</f>
        <v>44.6385060638383</v>
      </c>
      <c r="G33" s="55">
        <f>IF(AGR_ued!G$5=0,"",AGR_ued!G$5/G$5*1000)</f>
        <v>50.888408772596875</v>
      </c>
      <c r="H33" s="55">
        <f>IF(AGR_ued!H$5=0,"",AGR_ued!H$5/H$5*1000)</f>
        <v>49.63699195089437</v>
      </c>
      <c r="I33" s="55">
        <f>IF(AGR_ued!I$5=0,"",AGR_ued!I$5/I$5*1000)</f>
        <v>44.878160625612509</v>
      </c>
      <c r="J33" s="55">
        <f>IF(AGR_ued!J$5=0,"",AGR_ued!J$5/J$5*1000)</f>
        <v>47.351231573473321</v>
      </c>
      <c r="K33" s="55">
        <f>IF(AGR_ued!K$5=0,"",AGR_ued!K$5/K$5*1000)</f>
        <v>52.716369367206717</v>
      </c>
      <c r="L33" s="55">
        <f>IF(AGR_ued!L$5=0,"",AGR_ued!L$5/L$5*1000)</f>
        <v>49.06587427688568</v>
      </c>
      <c r="M33" s="55">
        <f>IF(AGR_ued!M$5=0,"",AGR_ued!M$5/M$5*1000)</f>
        <v>43.999182324752397</v>
      </c>
      <c r="N33" s="55">
        <f>IF(AGR_ued!N$5=0,"",AGR_ued!N$5/N$5*1000)</f>
        <v>45.299356860468933</v>
      </c>
      <c r="O33" s="55">
        <f>IF(AGR_ued!O$5=0,"",AGR_ued!O$5/O$5*1000)</f>
        <v>45.090688882673057</v>
      </c>
      <c r="P33" s="55">
        <f>IF(AGR_ued!P$5=0,"",AGR_ued!P$5/P$5*1000)</f>
        <v>44.018743135204687</v>
      </c>
      <c r="Q33" s="55">
        <f>IF(AGR_ued!Q$5=0,"",AGR_ued!Q$5/Q$5*1000)</f>
        <v>44.970215446228501</v>
      </c>
      <c r="R33" s="55">
        <f>IF(AGR_ued!R$5=0,"",AGR_ued!R$5/R$5*1000)</f>
        <v>45.638906435916361</v>
      </c>
      <c r="S33" s="55">
        <f>IF(AGR_ued!S$5=0,"",AGR_ued!S$5/S$5*1000)</f>
        <v>42.225230967159</v>
      </c>
      <c r="T33" s="55">
        <f>IF(AGR_ued!T$5=0,"",AGR_ued!T$5/T$5*1000)</f>
        <v>44.747938055817926</v>
      </c>
      <c r="U33" s="55">
        <f>IF(AGR_ued!U$5=0,"",AGR_ued!U$5/U$5*1000)</f>
        <v>44.729698435379767</v>
      </c>
      <c r="V33" s="55">
        <f>IF(AGR_ued!V$5=0,"",AGR_ued!V$5/V$5*1000)</f>
        <v>47.254689228712508</v>
      </c>
      <c r="W33" s="55">
        <f>IF(AGR_ued!W$5=0,"",AGR_ued!W$5/W$5*1000)</f>
        <v>45.29205702085028</v>
      </c>
      <c r="X33" s="55">
        <f>IF(AGR_ued!X$5=0,"",AGR_ued!X$5/X$5*1000)</f>
        <v>38.16417585936366</v>
      </c>
      <c r="Y33" s="55">
        <f>IF(AGR_ued!Y$5=0,"",AGR_ued!Y$5/Y$5*1000)</f>
        <v>38.785133270740516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2.2453375877598436</v>
      </c>
      <c r="C34" s="217">
        <f t="shared" si="33"/>
        <v>2.2401485694324275</v>
      </c>
      <c r="D34" s="217">
        <f t="shared" si="33"/>
        <v>2.2320309454155867</v>
      </c>
      <c r="E34" s="217">
        <f t="shared" si="33"/>
        <v>2.2052072155016336</v>
      </c>
      <c r="F34" s="217">
        <f t="shared" si="33"/>
        <v>2.1901514523673402</v>
      </c>
      <c r="G34" s="217">
        <f t="shared" si="33"/>
        <v>2.2084667893775909</v>
      </c>
      <c r="H34" s="217">
        <f t="shared" si="33"/>
        <v>2.1828888377440734</v>
      </c>
      <c r="I34" s="217">
        <f t="shared" si="33"/>
        <v>2.1785793127254056</v>
      </c>
      <c r="J34" s="217">
        <f t="shared" si="33"/>
        <v>2.1483273085319561</v>
      </c>
      <c r="K34" s="217">
        <f t="shared" si="33"/>
        <v>2.1635057137142444</v>
      </c>
      <c r="L34" s="217">
        <f t="shared" si="33"/>
        <v>2.1681774119042738</v>
      </c>
      <c r="M34" s="217">
        <f t="shared" si="33"/>
        <v>2.1941705330463677</v>
      </c>
      <c r="N34" s="217">
        <f t="shared" si="33"/>
        <v>2.1431820874126037</v>
      </c>
      <c r="O34" s="217">
        <f t="shared" si="33"/>
        <v>2.1550404239383814</v>
      </c>
      <c r="P34" s="217">
        <f t="shared" si="33"/>
        <v>2.0987889514727076</v>
      </c>
      <c r="Q34" s="217">
        <f t="shared" si="33"/>
        <v>2.0993192562094074</v>
      </c>
      <c r="R34" s="217">
        <f t="shared" si="33"/>
        <v>2.0919962063828415</v>
      </c>
      <c r="S34" s="217">
        <f t="shared" si="33"/>
        <v>2.0518651320514012</v>
      </c>
      <c r="T34" s="217">
        <f t="shared" si="33"/>
        <v>2.020697284277083</v>
      </c>
      <c r="U34" s="217">
        <f t="shared" si="33"/>
        <v>1.9795850955390064</v>
      </c>
      <c r="V34" s="217">
        <f t="shared" si="33"/>
        <v>1.9750017627724199</v>
      </c>
      <c r="W34" s="217">
        <f t="shared" si="33"/>
        <v>1.938976016289722</v>
      </c>
      <c r="X34" s="217">
        <f t="shared" si="33"/>
        <v>2.0426297911066769</v>
      </c>
      <c r="Y34" s="217">
        <f t="shared" si="33"/>
        <v>2.0609644527551785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993.51444539982765</v>
      </c>
      <c r="C5" s="80">
        <f t="shared" ref="C5:W5" si="1">SUM(C6:C9,C16:C17,C25:C27)</f>
        <v>956.07893379191717</v>
      </c>
      <c r="D5" s="80">
        <f t="shared" si="1"/>
        <v>946.41306964746343</v>
      </c>
      <c r="E5" s="80">
        <f t="shared" si="1"/>
        <v>923.41711092003391</v>
      </c>
      <c r="F5" s="80">
        <f t="shared" si="1"/>
        <v>912.77661220980167</v>
      </c>
      <c r="G5" s="80">
        <f t="shared" si="1"/>
        <v>920.76070507308668</v>
      </c>
      <c r="H5" s="80">
        <f t="shared" si="1"/>
        <v>920.9614789337918</v>
      </c>
      <c r="I5" s="80">
        <f t="shared" si="1"/>
        <v>886.74453998280273</v>
      </c>
      <c r="J5" s="80">
        <f t="shared" si="1"/>
        <v>877.99604471195198</v>
      </c>
      <c r="K5" s="80">
        <f t="shared" si="1"/>
        <v>877.80558899398102</v>
      </c>
      <c r="L5" s="80">
        <f t="shared" si="1"/>
        <v>895.84161650902809</v>
      </c>
      <c r="M5" s="80">
        <f t="shared" si="1"/>
        <v>866.99742046431675</v>
      </c>
      <c r="N5" s="80">
        <f t="shared" si="1"/>
        <v>798.22975064488367</v>
      </c>
      <c r="O5" s="80">
        <f t="shared" si="1"/>
        <v>813.08400687876167</v>
      </c>
      <c r="P5" s="80">
        <f t="shared" si="1"/>
        <v>764.82785898538259</v>
      </c>
      <c r="Q5" s="80">
        <f t="shared" si="1"/>
        <v>775.94445399828055</v>
      </c>
      <c r="R5" s="80">
        <f t="shared" si="1"/>
        <v>769.5087704213239</v>
      </c>
      <c r="S5" s="80">
        <f t="shared" si="1"/>
        <v>751.85296646603638</v>
      </c>
      <c r="T5" s="80">
        <f t="shared" si="1"/>
        <v>721.7001719690453</v>
      </c>
      <c r="U5" s="80">
        <f t="shared" si="1"/>
        <v>717.08650042992235</v>
      </c>
      <c r="V5" s="80">
        <f t="shared" si="1"/>
        <v>713.82622527944966</v>
      </c>
      <c r="W5" s="80">
        <f t="shared" si="1"/>
        <v>710.2000859845225</v>
      </c>
      <c r="X5" s="80">
        <f t="shared" ref="X5:Y5" si="2">SUM(X6:X9,X16:X17,X25:X27)</f>
        <v>702.79122957867594</v>
      </c>
      <c r="Y5" s="80">
        <f t="shared" si="2"/>
        <v>721.89019776440227</v>
      </c>
      <c r="DA5" s="103"/>
    </row>
    <row r="6" spans="1:105" x14ac:dyDescent="0.25">
      <c r="A6" s="238" t="s">
        <v>125</v>
      </c>
      <c r="B6" s="239">
        <v>27.010075830500131</v>
      </c>
      <c r="C6" s="239">
        <v>26.189346031050551</v>
      </c>
      <c r="D6" s="239">
        <v>25.88617529717601</v>
      </c>
      <c r="E6" s="239">
        <v>26.190578537125489</v>
      </c>
      <c r="F6" s="239">
        <v>25.826407969815989</v>
      </c>
      <c r="G6" s="239">
        <v>25.800507547657389</v>
      </c>
      <c r="H6" s="239">
        <v>26.510009937075651</v>
      </c>
      <c r="I6" s="239">
        <v>25.426456010083161</v>
      </c>
      <c r="J6" s="239">
        <v>25.854262181084799</v>
      </c>
      <c r="K6" s="239">
        <v>25.445383353005781</v>
      </c>
      <c r="L6" s="239">
        <v>25.91156482415704</v>
      </c>
      <c r="M6" s="239">
        <v>24.84411494264646</v>
      </c>
      <c r="N6" s="239">
        <v>23.744377856069871</v>
      </c>
      <c r="O6" s="239">
        <v>24.225224734596399</v>
      </c>
      <c r="P6" s="239">
        <v>23.44620666542265</v>
      </c>
      <c r="Q6" s="239">
        <v>23.661329118776042</v>
      </c>
      <c r="R6" s="239">
        <v>23.289298801611331</v>
      </c>
      <c r="S6" s="239">
        <v>23.115814749533371</v>
      </c>
      <c r="T6" s="239">
        <v>22.765561664650711</v>
      </c>
      <c r="U6" s="239">
        <v>23.33622446590169</v>
      </c>
      <c r="V6" s="239">
        <v>23.045765756930258</v>
      </c>
      <c r="W6" s="239">
        <v>23.330959291293919</v>
      </c>
      <c r="X6" s="239">
        <v>21.798624354445899</v>
      </c>
      <c r="Y6" s="239">
        <v>21.749309243034531</v>
      </c>
      <c r="DA6" s="267" t="s">
        <v>995</v>
      </c>
    </row>
    <row r="7" spans="1:105" x14ac:dyDescent="0.25">
      <c r="A7" s="240" t="s">
        <v>124</v>
      </c>
      <c r="B7" s="241">
        <v>17.556549289825082</v>
      </c>
      <c r="C7" s="241">
        <v>17.02307492018285</v>
      </c>
      <c r="D7" s="241">
        <v>16.826013943164391</v>
      </c>
      <c r="E7" s="241">
        <v>17.023876049131559</v>
      </c>
      <c r="F7" s="241">
        <v>16.787165180380391</v>
      </c>
      <c r="G7" s="241">
        <v>16.770329905977299</v>
      </c>
      <c r="H7" s="241">
        <v>17.231506459099169</v>
      </c>
      <c r="I7" s="241">
        <v>16.527196406554051</v>
      </c>
      <c r="J7" s="241">
        <v>16.80527041770511</v>
      </c>
      <c r="K7" s="241">
        <v>16.53949917945376</v>
      </c>
      <c r="L7" s="241">
        <v>16.84251713570206</v>
      </c>
      <c r="M7" s="241">
        <v>16.14867471272019</v>
      </c>
      <c r="N7" s="241">
        <v>15.43384560644542</v>
      </c>
      <c r="O7" s="241">
        <v>15.74639607748766</v>
      </c>
      <c r="P7" s="241">
        <v>15.24003433252472</v>
      </c>
      <c r="Q7" s="241">
        <v>15.37986392720442</v>
      </c>
      <c r="R7" s="241">
        <v>15.138044221047361</v>
      </c>
      <c r="S7" s="241">
        <v>15.025279587196691</v>
      </c>
      <c r="T7" s="241">
        <v>14.797615082022959</v>
      </c>
      <c r="U7" s="241">
        <v>15.16854590283609</v>
      </c>
      <c r="V7" s="241">
        <v>14.979747742004671</v>
      </c>
      <c r="W7" s="241">
        <v>15.16512353934105</v>
      </c>
      <c r="X7" s="241">
        <v>14.169105830389841</v>
      </c>
      <c r="Y7" s="241">
        <v>14.137051007972429</v>
      </c>
      <c r="DA7" s="268" t="s">
        <v>996</v>
      </c>
    </row>
    <row r="8" spans="1:105" x14ac:dyDescent="0.25">
      <c r="A8" s="240" t="s">
        <v>123</v>
      </c>
      <c r="B8" s="241">
        <v>24.30906824745011</v>
      </c>
      <c r="C8" s="241">
        <v>23.570411427945491</v>
      </c>
      <c r="D8" s="241">
        <v>23.2975577674584</v>
      </c>
      <c r="E8" s="241">
        <v>23.571520683412931</v>
      </c>
      <c r="F8" s="241">
        <v>23.243767172834399</v>
      </c>
      <c r="G8" s="241">
        <v>23.220456792891639</v>
      </c>
      <c r="H8" s="241">
        <v>23.859008943368089</v>
      </c>
      <c r="I8" s="241">
        <v>22.88381040907484</v>
      </c>
      <c r="J8" s="241">
        <v>23.268835962976311</v>
      </c>
      <c r="K8" s="241">
        <v>22.900845017705201</v>
      </c>
      <c r="L8" s="241">
        <v>23.32040834174132</v>
      </c>
      <c r="M8" s="241">
        <v>22.359703448381801</v>
      </c>
      <c r="N8" s="241">
        <v>21.369940070462881</v>
      </c>
      <c r="O8" s="241">
        <v>21.802702261136758</v>
      </c>
      <c r="P8" s="241">
        <v>21.101585998880381</v>
      </c>
      <c r="Q8" s="241">
        <v>21.295196206898432</v>
      </c>
      <c r="R8" s="241">
        <v>20.96036892145019</v>
      </c>
      <c r="S8" s="241">
        <v>20.804233274580039</v>
      </c>
      <c r="T8" s="241">
        <v>20.489005498185641</v>
      </c>
      <c r="U8" s="241">
        <v>21.002602019311521</v>
      </c>
      <c r="V8" s="241">
        <v>20.741189181237232</v>
      </c>
      <c r="W8" s="241">
        <v>20.99786336216453</v>
      </c>
      <c r="X8" s="241">
        <v>19.618761919001312</v>
      </c>
      <c r="Y8" s="241">
        <v>19.574378318731071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201.7568649571551</v>
      </c>
      <c r="C9" s="243">
        <f t="shared" ref="C9:W9" si="4">SUM(C10:C15)</f>
        <v>196.29752711812961</v>
      </c>
      <c r="D9" s="243">
        <f t="shared" si="4"/>
        <v>194.87316992729205</v>
      </c>
      <c r="E9" s="243">
        <f t="shared" si="4"/>
        <v>190.91557946913841</v>
      </c>
      <c r="F9" s="243">
        <f t="shared" si="4"/>
        <v>187.75572687507756</v>
      </c>
      <c r="G9" s="243">
        <f t="shared" si="4"/>
        <v>187.387806014852</v>
      </c>
      <c r="H9" s="243">
        <f t="shared" si="4"/>
        <v>189.85495943209094</v>
      </c>
      <c r="I9" s="243">
        <f t="shared" si="4"/>
        <v>182.20823168787263</v>
      </c>
      <c r="J9" s="243">
        <f t="shared" si="4"/>
        <v>182.54813632376209</v>
      </c>
      <c r="K9" s="243">
        <f t="shared" si="4"/>
        <v>182.35701015099411</v>
      </c>
      <c r="L9" s="243">
        <f t="shared" si="4"/>
        <v>185.19532843683282</v>
      </c>
      <c r="M9" s="243">
        <f t="shared" si="4"/>
        <v>175.13604952107318</v>
      </c>
      <c r="N9" s="243">
        <f t="shared" si="4"/>
        <v>164.03168343842694</v>
      </c>
      <c r="O9" s="243">
        <f t="shared" si="4"/>
        <v>166.38425559104621</v>
      </c>
      <c r="P9" s="243">
        <f t="shared" si="4"/>
        <v>158.5408895869765</v>
      </c>
      <c r="Q9" s="243">
        <f t="shared" si="4"/>
        <v>161.22826714042776</v>
      </c>
      <c r="R9" s="243">
        <f t="shared" si="4"/>
        <v>160.41354452648889</v>
      </c>
      <c r="S9" s="243">
        <f t="shared" si="4"/>
        <v>156.53722829609427</v>
      </c>
      <c r="T9" s="243">
        <f t="shared" si="4"/>
        <v>152.08575862832251</v>
      </c>
      <c r="U9" s="243">
        <f t="shared" si="4"/>
        <v>151.36852716263215</v>
      </c>
      <c r="V9" s="243">
        <f t="shared" si="4"/>
        <v>150.03355653943561</v>
      </c>
      <c r="W9" s="243">
        <f t="shared" si="4"/>
        <v>149.555799150572</v>
      </c>
      <c r="X9" s="243">
        <f t="shared" ref="X9:Y9" si="5">SUM(X10:X15)</f>
        <v>145.55139012470292</v>
      </c>
      <c r="Y9" s="243">
        <f t="shared" si="5"/>
        <v>146.9349027497812</v>
      </c>
      <c r="DA9" s="269"/>
    </row>
    <row r="10" spans="1:105" x14ac:dyDescent="0.25">
      <c r="A10" s="253" t="s">
        <v>166</v>
      </c>
      <c r="B10" s="254">
        <v>103.3655980288051</v>
      </c>
      <c r="C10" s="254">
        <v>97.38931025958523</v>
      </c>
      <c r="D10" s="254">
        <v>98.153933162969295</v>
      </c>
      <c r="E10" s="254">
        <v>93.286326704231826</v>
      </c>
      <c r="F10" s="254">
        <v>86.066863937249408</v>
      </c>
      <c r="G10" s="254">
        <v>84.92228837479152</v>
      </c>
      <c r="H10" s="254">
        <v>85.064839261571478</v>
      </c>
      <c r="I10" s="254">
        <v>81.570161369140493</v>
      </c>
      <c r="J10" s="254">
        <v>82.544618655305953</v>
      </c>
      <c r="K10" s="254">
        <v>85.920929560613317</v>
      </c>
      <c r="L10" s="254">
        <v>86.71298498747646</v>
      </c>
      <c r="M10" s="254">
        <v>87.439054499197709</v>
      </c>
      <c r="N10" s="254">
        <v>77.839546501074437</v>
      </c>
      <c r="O10" s="254">
        <v>79.449514942029168</v>
      </c>
      <c r="P10" s="254">
        <v>72.594467979384376</v>
      </c>
      <c r="Q10" s="254">
        <v>76.005642040765707</v>
      </c>
      <c r="R10" s="254">
        <v>75.297380093512047</v>
      </c>
      <c r="S10" s="254">
        <v>68.319477281249775</v>
      </c>
      <c r="T10" s="254">
        <v>66.38961317307934</v>
      </c>
      <c r="U10" s="254">
        <v>62.382289053389357</v>
      </c>
      <c r="V10" s="254">
        <v>60.907157690374241</v>
      </c>
      <c r="W10" s="254">
        <v>60.392510032278651</v>
      </c>
      <c r="X10" s="254">
        <v>72.135944419866661</v>
      </c>
      <c r="Y10" s="254">
        <v>72.75952922756818</v>
      </c>
      <c r="DA10" s="270" t="s">
        <v>998</v>
      </c>
    </row>
    <row r="11" spans="1:105" x14ac:dyDescent="0.25">
      <c r="A11" s="253" t="s">
        <v>169</v>
      </c>
      <c r="B11" s="255">
        <v>21.007338255502422</v>
      </c>
      <c r="C11" s="255">
        <v>23.009633169670199</v>
      </c>
      <c r="D11" s="255">
        <v>21.712366044056509</v>
      </c>
      <c r="E11" s="255">
        <v>19.759187582053212</v>
      </c>
      <c r="F11" s="255">
        <v>20.29734302718354</v>
      </c>
      <c r="G11" s="255">
        <v>20.256619435978301</v>
      </c>
      <c r="H11" s="255">
        <v>21.227616115139249</v>
      </c>
      <c r="I11" s="255">
        <v>18.020651314481821</v>
      </c>
      <c r="J11" s="255">
        <v>16.34370217708295</v>
      </c>
      <c r="K11" s="255">
        <v>14.94511257568244</v>
      </c>
      <c r="L11" s="255">
        <v>15.882901878389131</v>
      </c>
      <c r="M11" s="255">
        <v>15.247062425727361</v>
      </c>
      <c r="N11" s="255">
        <v>13.746528367756721</v>
      </c>
      <c r="O11" s="255">
        <v>13.11004746945858</v>
      </c>
      <c r="P11" s="255">
        <v>11.923972562374541</v>
      </c>
      <c r="Q11" s="255">
        <v>12.239502852590279</v>
      </c>
      <c r="R11" s="255">
        <v>13.835831270713699</v>
      </c>
      <c r="S11" s="255">
        <v>14.6388711950464</v>
      </c>
      <c r="T11" s="255">
        <v>12.15301654768383</v>
      </c>
      <c r="U11" s="255">
        <v>11.65325897758764</v>
      </c>
      <c r="V11" s="255">
        <v>12.04662918196949</v>
      </c>
      <c r="W11" s="255">
        <v>11.834164681100409</v>
      </c>
      <c r="X11" s="255">
        <v>5.6502699715002862</v>
      </c>
      <c r="Y11" s="255">
        <v>5.9710169003520122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45.022441960460071</v>
      </c>
      <c r="C14" s="254">
        <v>45.022441960456817</v>
      </c>
      <c r="D14" s="254">
        <v>45.022441960456213</v>
      </c>
      <c r="E14" s="254">
        <v>45.022441960465578</v>
      </c>
      <c r="F14" s="254">
        <v>47.410920034408413</v>
      </c>
      <c r="G14" s="254">
        <v>47.410920034423206</v>
      </c>
      <c r="H14" s="254">
        <v>47.410920034407937</v>
      </c>
      <c r="I14" s="254">
        <v>47.410920034412626</v>
      </c>
      <c r="J14" s="254">
        <v>47.410920034377277</v>
      </c>
      <c r="K14" s="254">
        <v>47.41092003436156</v>
      </c>
      <c r="L14" s="254">
        <v>47.410920034379792</v>
      </c>
      <c r="M14" s="254">
        <v>37.857093723149227</v>
      </c>
      <c r="N14" s="254">
        <v>37.85709372311517</v>
      </c>
      <c r="O14" s="254">
        <v>37.857093723115113</v>
      </c>
      <c r="P14" s="254">
        <v>37.857093723096327</v>
      </c>
      <c r="Q14" s="254">
        <v>37.857093723101201</v>
      </c>
      <c r="R14" s="254">
        <v>37.857093723105343</v>
      </c>
      <c r="S14" s="254">
        <v>37.85709372309347</v>
      </c>
      <c r="T14" s="254">
        <v>37.71762682715049</v>
      </c>
      <c r="U14" s="254">
        <v>36.964402407537143</v>
      </c>
      <c r="V14" s="254">
        <v>36.964402407537811</v>
      </c>
      <c r="W14" s="254">
        <v>35.386070507277978</v>
      </c>
      <c r="X14" s="254">
        <v>33.807738607017178</v>
      </c>
      <c r="Y14" s="254">
        <v>34.176182287169411</v>
      </c>
      <c r="DA14" s="270" t="s">
        <v>1002</v>
      </c>
    </row>
    <row r="15" spans="1:105" x14ac:dyDescent="0.25">
      <c r="A15" s="253" t="s">
        <v>24</v>
      </c>
      <c r="B15" s="255">
        <v>32.361486712387517</v>
      </c>
      <c r="C15" s="255">
        <v>30.87614172841738</v>
      </c>
      <c r="D15" s="255">
        <v>29.984428759810051</v>
      </c>
      <c r="E15" s="255">
        <v>32.847623222387803</v>
      </c>
      <c r="F15" s="255">
        <v>33.980599876236198</v>
      </c>
      <c r="G15" s="255">
        <v>34.797978169658961</v>
      </c>
      <c r="H15" s="255">
        <v>36.151584020972273</v>
      </c>
      <c r="I15" s="255">
        <v>35.20649896983771</v>
      </c>
      <c r="J15" s="255">
        <v>36.248895456995903</v>
      </c>
      <c r="K15" s="255">
        <v>34.080047980336794</v>
      </c>
      <c r="L15" s="255">
        <v>35.188521536587437</v>
      </c>
      <c r="M15" s="255">
        <v>34.592838872998868</v>
      </c>
      <c r="N15" s="255">
        <v>34.588514846480592</v>
      </c>
      <c r="O15" s="255">
        <v>35.967599456443352</v>
      </c>
      <c r="P15" s="255">
        <v>36.165355322121258</v>
      </c>
      <c r="Q15" s="255">
        <v>35.126028523970561</v>
      </c>
      <c r="R15" s="255">
        <v>33.423239439157811</v>
      </c>
      <c r="S15" s="255">
        <v>35.721786096704633</v>
      </c>
      <c r="T15" s="255">
        <v>35.825502080408853</v>
      </c>
      <c r="U15" s="255">
        <v>40.368576724118022</v>
      </c>
      <c r="V15" s="255">
        <v>40.115367259554048</v>
      </c>
      <c r="W15" s="255">
        <v>41.943053929914953</v>
      </c>
      <c r="X15" s="255">
        <v>33.957437126318801</v>
      </c>
      <c r="Y15" s="255">
        <v>34.028174334691613</v>
      </c>
      <c r="DA15" s="271" t="s">
        <v>1003</v>
      </c>
    </row>
    <row r="16" spans="1:105" x14ac:dyDescent="0.25">
      <c r="A16" s="256" t="s">
        <v>168</v>
      </c>
      <c r="B16" s="257">
        <v>233.13293804139471</v>
      </c>
      <c r="C16" s="257">
        <v>224.7242424461642</v>
      </c>
      <c r="D16" s="257">
        <v>223.76313467878899</v>
      </c>
      <c r="E16" s="257">
        <v>216.98435045810101</v>
      </c>
      <c r="F16" s="257">
        <v>209.57547357182631</v>
      </c>
      <c r="G16" s="257">
        <v>208.75528482016409</v>
      </c>
      <c r="H16" s="257">
        <v>210.65159048895779</v>
      </c>
      <c r="I16" s="257">
        <v>201.70144036397619</v>
      </c>
      <c r="J16" s="257">
        <v>202.06403213500391</v>
      </c>
      <c r="K16" s="257">
        <v>204.02584668541999</v>
      </c>
      <c r="L16" s="257">
        <v>207.16140016433161</v>
      </c>
      <c r="M16" s="257">
        <v>200.80363534733411</v>
      </c>
      <c r="N16" s="257">
        <v>184.6366777458361</v>
      </c>
      <c r="O16" s="257">
        <v>187.64907171377729</v>
      </c>
      <c r="P16" s="257">
        <v>176.0612070220551</v>
      </c>
      <c r="Q16" s="257">
        <v>180.5395693463332</v>
      </c>
      <c r="R16" s="257">
        <v>179.5880753221472</v>
      </c>
      <c r="S16" s="257">
        <v>171.7906383663462</v>
      </c>
      <c r="T16" s="257">
        <v>166.12432545135101</v>
      </c>
      <c r="U16" s="257">
        <v>162.4836819788799</v>
      </c>
      <c r="V16" s="257">
        <v>160.55726363459661</v>
      </c>
      <c r="W16" s="257">
        <v>159.77685547745889</v>
      </c>
      <c r="X16" s="257">
        <v>164.46753892121751</v>
      </c>
      <c r="Y16" s="257">
        <v>166.62409886562881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378.77582633828075</v>
      </c>
      <c r="C17" s="257">
        <f t="shared" ref="C17:W17" si="7">SUM(C18:C24)</f>
        <v>360.92779809625597</v>
      </c>
      <c r="D17" s="257">
        <f t="shared" si="7"/>
        <v>355.34793744649699</v>
      </c>
      <c r="E17" s="257">
        <f t="shared" si="7"/>
        <v>342.86893707869189</v>
      </c>
      <c r="F17" s="257">
        <f t="shared" si="7"/>
        <v>346.04169812258419</v>
      </c>
      <c r="G17" s="257">
        <f t="shared" si="7"/>
        <v>355.50100881240974</v>
      </c>
      <c r="H17" s="257">
        <f t="shared" si="7"/>
        <v>347.42642070244182</v>
      </c>
      <c r="I17" s="257">
        <f t="shared" si="7"/>
        <v>336.94397519022203</v>
      </c>
      <c r="J17" s="257">
        <f t="shared" si="7"/>
        <v>325.28427762690268</v>
      </c>
      <c r="K17" s="257">
        <f t="shared" si="7"/>
        <v>324.99054865659292</v>
      </c>
      <c r="L17" s="257">
        <f t="shared" si="7"/>
        <v>334.11927431931952</v>
      </c>
      <c r="M17" s="257">
        <f t="shared" si="7"/>
        <v>328.25106890836912</v>
      </c>
      <c r="N17" s="257">
        <f t="shared" si="7"/>
        <v>295.36002384007327</v>
      </c>
      <c r="O17" s="257">
        <f t="shared" si="7"/>
        <v>301.86622295535471</v>
      </c>
      <c r="P17" s="257">
        <f t="shared" si="7"/>
        <v>279.16310087423062</v>
      </c>
      <c r="Q17" s="257">
        <f t="shared" si="7"/>
        <v>281.17778910058132</v>
      </c>
      <c r="R17" s="257">
        <f t="shared" si="7"/>
        <v>278.55131125381013</v>
      </c>
      <c r="S17" s="257">
        <f t="shared" si="7"/>
        <v>274.93502323786203</v>
      </c>
      <c r="T17" s="257">
        <f t="shared" si="7"/>
        <v>257.74010599616236</v>
      </c>
      <c r="U17" s="257">
        <f t="shared" si="7"/>
        <v>255.33057537230374</v>
      </c>
      <c r="V17" s="257">
        <f t="shared" si="7"/>
        <v>257.15416007326314</v>
      </c>
      <c r="W17" s="257">
        <f t="shared" si="7"/>
        <v>253.51018058362007</v>
      </c>
      <c r="X17" s="257">
        <f t="shared" ref="X17:Y17" si="8">SUM(X18:X24)</f>
        <v>252.17537052953895</v>
      </c>
      <c r="Y17" s="257">
        <f t="shared" si="8"/>
        <v>267.56644073733611</v>
      </c>
      <c r="DA17" s="272"/>
    </row>
    <row r="18" spans="1:105" x14ac:dyDescent="0.25">
      <c r="A18" s="61" t="s">
        <v>29</v>
      </c>
      <c r="B18" s="55">
        <v>25.462768701601281</v>
      </c>
      <c r="C18" s="55">
        <v>28.955460017165919</v>
      </c>
      <c r="D18" s="55">
        <v>20.325451418721961</v>
      </c>
      <c r="E18" s="55">
        <v>27.34643164225972</v>
      </c>
      <c r="F18" s="55">
        <v>32.602235597562547</v>
      </c>
      <c r="G18" s="55">
        <v>39.289767841725002</v>
      </c>
      <c r="H18" s="55">
        <v>45.173774720513237</v>
      </c>
      <c r="I18" s="55">
        <v>45.096904557134827</v>
      </c>
      <c r="J18" s="55">
        <v>41.208512467793142</v>
      </c>
      <c r="K18" s="55">
        <v>29.833018056809561</v>
      </c>
      <c r="L18" s="55">
        <v>31.95898538265752</v>
      </c>
      <c r="M18" s="55">
        <v>28.970077386029601</v>
      </c>
      <c r="N18" s="55">
        <v>28.215821152220251</v>
      </c>
      <c r="O18" s="55">
        <v>36.702923473809079</v>
      </c>
      <c r="P18" s="55">
        <v>24.777901977693141</v>
      </c>
      <c r="Q18" s="55">
        <v>17.622012037866771</v>
      </c>
      <c r="R18" s="55">
        <v>14.829492691342059</v>
      </c>
      <c r="S18" s="55">
        <v>10.636973344820641</v>
      </c>
      <c r="T18" s="55">
        <v>8.6205503009562339</v>
      </c>
      <c r="U18" s="55">
        <v>5.2683576956225711</v>
      </c>
      <c r="V18" s="55">
        <v>3.2120378331945152</v>
      </c>
      <c r="W18" s="55">
        <v>3.039982803100052</v>
      </c>
      <c r="X18" s="55">
        <v>3.151590713678674</v>
      </c>
      <c r="Y18" s="55">
        <v>1.7982803095463691</v>
      </c>
      <c r="DA18" s="101" t="s">
        <v>1005</v>
      </c>
    </row>
    <row r="19" spans="1:105" x14ac:dyDescent="0.25">
      <c r="A19" s="61" t="s">
        <v>27</v>
      </c>
      <c r="B19" s="55">
        <v>4.3947549441044611</v>
      </c>
      <c r="C19" s="55">
        <v>5.4934651762623954</v>
      </c>
      <c r="D19" s="55">
        <v>4.3947549441051583</v>
      </c>
      <c r="E19" s="55">
        <v>4.3947549441028828</v>
      </c>
      <c r="F19" s="55">
        <v>3.2960447119488259</v>
      </c>
      <c r="G19" s="55">
        <v>3.2960447119465242</v>
      </c>
      <c r="H19" s="55">
        <v>3.2960447119491438</v>
      </c>
      <c r="I19" s="55">
        <v>3.296044711948567</v>
      </c>
      <c r="J19" s="55">
        <v>2.1974204643184141</v>
      </c>
      <c r="K19" s="55">
        <v>3.2960447119584528</v>
      </c>
      <c r="L19" s="55">
        <v>3.2960447119545702</v>
      </c>
      <c r="M19" s="55">
        <v>3.2960447119471952</v>
      </c>
      <c r="N19" s="55">
        <v>3.2960447119550791</v>
      </c>
      <c r="O19" s="55">
        <v>3.296044711954933</v>
      </c>
      <c r="P19" s="55">
        <v>3.2960447119583818</v>
      </c>
      <c r="Q19" s="55">
        <v>4.5859845227946359</v>
      </c>
      <c r="R19" s="55">
        <v>4.5056749785119186</v>
      </c>
      <c r="S19" s="55">
        <v>6.2448839209075624</v>
      </c>
      <c r="T19" s="55">
        <v>4.8539982803154027</v>
      </c>
      <c r="U19" s="55">
        <v>5.9593293207310731</v>
      </c>
      <c r="V19" s="55">
        <v>5.7658641444620553</v>
      </c>
      <c r="W19" s="55">
        <v>6.0153052450650124</v>
      </c>
      <c r="X19" s="55">
        <v>6.4844368013904292</v>
      </c>
      <c r="Y19" s="55">
        <v>8.0819432502243433</v>
      </c>
      <c r="DA19" s="101" t="s">
        <v>1006</v>
      </c>
    </row>
    <row r="20" spans="1:105" x14ac:dyDescent="0.25">
      <c r="A20" s="61" t="s">
        <v>166</v>
      </c>
      <c r="B20" s="55">
        <v>185.75178024320621</v>
      </c>
      <c r="C20" s="55">
        <v>182.3750065025697</v>
      </c>
      <c r="D20" s="55">
        <v>186.83571191722021</v>
      </c>
      <c r="E20" s="55">
        <v>183.46673171172819</v>
      </c>
      <c r="F20" s="55">
        <v>159.74377029868549</v>
      </c>
      <c r="G20" s="55">
        <v>148.60775722549391</v>
      </c>
      <c r="H20" s="55">
        <v>160.48275564833861</v>
      </c>
      <c r="I20" s="55">
        <v>150.17055943695479</v>
      </c>
      <c r="J20" s="55">
        <v>164.06185770582289</v>
      </c>
      <c r="K20" s="55">
        <v>170.5852743016236</v>
      </c>
      <c r="L20" s="55">
        <v>168.09486751313941</v>
      </c>
      <c r="M20" s="55">
        <v>158.6302895458501</v>
      </c>
      <c r="N20" s="55">
        <v>152.827704400301</v>
      </c>
      <c r="O20" s="55">
        <v>153.74574591909069</v>
      </c>
      <c r="P20" s="55">
        <v>148.91854377169719</v>
      </c>
      <c r="Q20" s="55">
        <v>159.27877088674049</v>
      </c>
      <c r="R20" s="55">
        <v>159.19083985879931</v>
      </c>
      <c r="S20" s="55">
        <v>140.79702426926571</v>
      </c>
      <c r="T20" s="55">
        <v>147.02304515764871</v>
      </c>
      <c r="U20" s="55">
        <v>139.40455661972081</v>
      </c>
      <c r="V20" s="55">
        <v>131.58238856719029</v>
      </c>
      <c r="W20" s="55">
        <v>133.80857570307029</v>
      </c>
      <c r="X20" s="55">
        <v>153.23948400898939</v>
      </c>
      <c r="Y20" s="55">
        <v>139.5208626246451</v>
      </c>
      <c r="DA20" s="101" t="s">
        <v>1007</v>
      </c>
    </row>
    <row r="21" spans="1:105" x14ac:dyDescent="0.25">
      <c r="A21" s="61" t="s">
        <v>129</v>
      </c>
      <c r="B21" s="55">
        <v>71.818572656830241</v>
      </c>
      <c r="C21" s="55">
        <v>51.311263972430062</v>
      </c>
      <c r="D21" s="55">
        <v>52.758727429003947</v>
      </c>
      <c r="E21" s="55">
        <v>39.932674118593432</v>
      </c>
      <c r="F21" s="55">
        <v>64.169561478874968</v>
      </c>
      <c r="G21" s="55">
        <v>80.589079965476017</v>
      </c>
      <c r="H21" s="55">
        <v>50.322441960405847</v>
      </c>
      <c r="I21" s="55">
        <v>57.100945829693821</v>
      </c>
      <c r="J21" s="55">
        <v>36.225795356868588</v>
      </c>
      <c r="K21" s="55">
        <v>41.49466895967042</v>
      </c>
      <c r="L21" s="55">
        <v>48.844024075706713</v>
      </c>
      <c r="M21" s="55">
        <v>58.787102321499098</v>
      </c>
      <c r="N21" s="55">
        <v>33.108856405879401</v>
      </c>
      <c r="O21" s="55">
        <v>31.77128116941924</v>
      </c>
      <c r="P21" s="55">
        <v>26.79853826316576</v>
      </c>
      <c r="Q21" s="55">
        <v>22.24436801379991</v>
      </c>
      <c r="R21" s="55">
        <v>18.539208942423489</v>
      </c>
      <c r="S21" s="55">
        <v>34.847463456652157</v>
      </c>
      <c r="T21" s="55">
        <v>18.370077386092682</v>
      </c>
      <c r="U21" s="55">
        <v>27.04746345661777</v>
      </c>
      <c r="V21" s="55">
        <v>40.215735167726038</v>
      </c>
      <c r="W21" s="55">
        <v>29.9445399828485</v>
      </c>
      <c r="X21" s="55">
        <v>24.580653482428811</v>
      </c>
      <c r="Y21" s="55">
        <v>53.568615649245316</v>
      </c>
      <c r="DA21" s="101" t="s">
        <v>1008</v>
      </c>
    </row>
    <row r="22" spans="1:105" x14ac:dyDescent="0.25">
      <c r="A22" s="61" t="s">
        <v>169</v>
      </c>
      <c r="B22" s="55">
        <v>37.750959250904387</v>
      </c>
      <c r="C22" s="55">
        <v>43.088733124355713</v>
      </c>
      <c r="D22" s="55">
        <v>41.329422433975743</v>
      </c>
      <c r="E22" s="55">
        <v>38.860502873609413</v>
      </c>
      <c r="F22" s="55">
        <v>37.67273435885869</v>
      </c>
      <c r="G22" s="55">
        <v>35.447593805593499</v>
      </c>
      <c r="H22" s="55">
        <v>40.047878295840228</v>
      </c>
      <c r="I22" s="55">
        <v>33.175995289103653</v>
      </c>
      <c r="J22" s="55">
        <v>32.483984839277859</v>
      </c>
      <c r="K22" s="55">
        <v>29.671654406310111</v>
      </c>
      <c r="L22" s="55">
        <v>30.78932512077176</v>
      </c>
      <c r="M22" s="55">
        <v>27.660934134860469</v>
      </c>
      <c r="N22" s="55">
        <v>26.98949914731169</v>
      </c>
      <c r="O22" s="55">
        <v>25.36974616770539</v>
      </c>
      <c r="P22" s="55">
        <v>24.460550223561921</v>
      </c>
      <c r="Q22" s="55">
        <v>25.64931915948717</v>
      </c>
      <c r="R22" s="55">
        <v>29.251185066388949</v>
      </c>
      <c r="S22" s="55">
        <v>30.168695443009071</v>
      </c>
      <c r="T22" s="55">
        <v>26.913449488455498</v>
      </c>
      <c r="U22" s="55">
        <v>26.041323997506019</v>
      </c>
      <c r="V22" s="55">
        <v>26.025253879106501</v>
      </c>
      <c r="W22" s="55">
        <v>26.220349506375339</v>
      </c>
      <c r="X22" s="55">
        <v>12.00295444812576</v>
      </c>
      <c r="Y22" s="55">
        <v>11.44979135417217</v>
      </c>
      <c r="DA22" s="101" t="s">
        <v>1009</v>
      </c>
    </row>
    <row r="23" spans="1:105" x14ac:dyDescent="0.25">
      <c r="A23" s="61" t="s">
        <v>164</v>
      </c>
      <c r="B23" s="55">
        <v>53.596990541634227</v>
      </c>
      <c r="C23" s="55">
        <v>49.703869303472203</v>
      </c>
      <c r="D23" s="55">
        <v>49.703869303469951</v>
      </c>
      <c r="E23" s="55">
        <v>48.867841788398273</v>
      </c>
      <c r="F23" s="55">
        <v>48.557351676653703</v>
      </c>
      <c r="G23" s="55">
        <v>48.27076526217482</v>
      </c>
      <c r="H23" s="55">
        <v>48.103525365394759</v>
      </c>
      <c r="I23" s="55">
        <v>48.103525365386353</v>
      </c>
      <c r="J23" s="55">
        <v>49.106706792821797</v>
      </c>
      <c r="K23" s="55">
        <v>50.109888220220803</v>
      </c>
      <c r="L23" s="55">
        <v>51.136027515089523</v>
      </c>
      <c r="M23" s="55">
        <v>50.906620808182637</v>
      </c>
      <c r="N23" s="55">
        <v>50.922098022405891</v>
      </c>
      <c r="O23" s="55">
        <v>50.980481513375338</v>
      </c>
      <c r="P23" s="55">
        <v>50.911521926154222</v>
      </c>
      <c r="Q23" s="55">
        <v>51.797334479892342</v>
      </c>
      <c r="R23" s="55">
        <v>52.234909716344397</v>
      </c>
      <c r="S23" s="55">
        <v>52.239982803206892</v>
      </c>
      <c r="T23" s="55">
        <v>51.958985382693839</v>
      </c>
      <c r="U23" s="55">
        <v>51.609544282105468</v>
      </c>
      <c r="V23" s="55">
        <v>50.352880481583703</v>
      </c>
      <c r="W23" s="55">
        <v>54.48142734316086</v>
      </c>
      <c r="X23" s="55">
        <v>52.716251074925893</v>
      </c>
      <c r="Y23" s="55">
        <v>53.146947549502798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44.798436910496598</v>
      </c>
      <c r="C25" s="257">
        <v>43.182635976114611</v>
      </c>
      <c r="D25" s="257">
        <v>42.997951109005427</v>
      </c>
      <c r="E25" s="257">
        <v>41.695351228475303</v>
      </c>
      <c r="F25" s="257">
        <v>40.27167379123356</v>
      </c>
      <c r="G25" s="257">
        <v>40.114067687373989</v>
      </c>
      <c r="H25" s="257">
        <v>40.47845862492305</v>
      </c>
      <c r="I25" s="257">
        <v>38.75861269031612</v>
      </c>
      <c r="J25" s="257">
        <v>38.828287720859258</v>
      </c>
      <c r="K25" s="257">
        <v>39.205266735945088</v>
      </c>
      <c r="L25" s="257">
        <v>39.807789467759029</v>
      </c>
      <c r="M25" s="257">
        <v>38.586091974308033</v>
      </c>
      <c r="N25" s="257">
        <v>35.479476340198097</v>
      </c>
      <c r="O25" s="257">
        <v>36.058332945601528</v>
      </c>
      <c r="P25" s="257">
        <v>33.83162817500704</v>
      </c>
      <c r="Q25" s="257">
        <v>34.692182817058047</v>
      </c>
      <c r="R25" s="257">
        <v>34.509345310820983</v>
      </c>
      <c r="S25" s="257">
        <v>33.011002818066892</v>
      </c>
      <c r="T25" s="257">
        <v>31.92217356995581</v>
      </c>
      <c r="U25" s="257">
        <v>31.222593586598212</v>
      </c>
      <c r="V25" s="257">
        <v>30.852416247503051</v>
      </c>
      <c r="W25" s="257">
        <v>30.702454316401901</v>
      </c>
      <c r="X25" s="257">
        <v>31.603808230986981</v>
      </c>
      <c r="Y25" s="257">
        <v>32.018209196483582</v>
      </c>
      <c r="DA25" s="272" t="s">
        <v>1012</v>
      </c>
    </row>
    <row r="26" spans="1:105" x14ac:dyDescent="0.25">
      <c r="A26" s="256" t="s">
        <v>170</v>
      </c>
      <c r="B26" s="257">
        <v>27.010075830500131</v>
      </c>
      <c r="C26" s="257">
        <v>26.189346031050551</v>
      </c>
      <c r="D26" s="257">
        <v>25.88617529717601</v>
      </c>
      <c r="E26" s="257">
        <v>26.190578537125489</v>
      </c>
      <c r="F26" s="257">
        <v>25.826407969815989</v>
      </c>
      <c r="G26" s="257">
        <v>25.800507547657389</v>
      </c>
      <c r="H26" s="257">
        <v>26.510009937075651</v>
      </c>
      <c r="I26" s="257">
        <v>25.426456010083161</v>
      </c>
      <c r="J26" s="257">
        <v>25.854262181084799</v>
      </c>
      <c r="K26" s="257">
        <v>25.445383353005781</v>
      </c>
      <c r="L26" s="257">
        <v>25.91156482415704</v>
      </c>
      <c r="M26" s="257">
        <v>24.84411494264646</v>
      </c>
      <c r="N26" s="257">
        <v>23.744377856069871</v>
      </c>
      <c r="O26" s="257">
        <v>24.225224734596399</v>
      </c>
      <c r="P26" s="257">
        <v>23.44620666542265</v>
      </c>
      <c r="Q26" s="257">
        <v>23.661329118776042</v>
      </c>
      <c r="R26" s="257">
        <v>23.289298801611331</v>
      </c>
      <c r="S26" s="257">
        <v>23.115814749533371</v>
      </c>
      <c r="T26" s="257">
        <v>22.765561664650711</v>
      </c>
      <c r="U26" s="257">
        <v>23.33622446590169</v>
      </c>
      <c r="V26" s="257">
        <v>23.045765756930258</v>
      </c>
      <c r="W26" s="257">
        <v>23.330959291293919</v>
      </c>
      <c r="X26" s="257">
        <v>21.798624354445899</v>
      </c>
      <c r="Y26" s="257">
        <v>21.749309243034531</v>
      </c>
      <c r="DA26" s="272" t="s">
        <v>1013</v>
      </c>
    </row>
    <row r="27" spans="1:105" x14ac:dyDescent="0.25">
      <c r="A27" s="128" t="s">
        <v>33</v>
      </c>
      <c r="B27" s="258">
        <v>39.164609954225178</v>
      </c>
      <c r="C27" s="258">
        <v>37.974551745023291</v>
      </c>
      <c r="D27" s="258">
        <v>37.534954180905203</v>
      </c>
      <c r="E27" s="258">
        <v>37.976338878831953</v>
      </c>
      <c r="F27" s="258">
        <v>37.448291556233201</v>
      </c>
      <c r="G27" s="258">
        <v>37.410735944103209</v>
      </c>
      <c r="H27" s="258">
        <v>38.439514408759692</v>
      </c>
      <c r="I27" s="258">
        <v>36.868361214620577</v>
      </c>
      <c r="J27" s="258">
        <v>37.488680162572969</v>
      </c>
      <c r="K27" s="258">
        <v>36.895805861858378</v>
      </c>
      <c r="L27" s="258">
        <v>37.571768995027682</v>
      </c>
      <c r="M27" s="258">
        <v>36.02396666683736</v>
      </c>
      <c r="N27" s="258">
        <v>34.429347891301319</v>
      </c>
      <c r="O27" s="258">
        <v>35.126575865164781</v>
      </c>
      <c r="P27" s="258">
        <v>33.996999664862848</v>
      </c>
      <c r="Q27" s="258">
        <v>34.30892722222525</v>
      </c>
      <c r="R27" s="258">
        <v>33.769483262336443</v>
      </c>
      <c r="S27" s="258">
        <v>33.517931386823392</v>
      </c>
      <c r="T27" s="258">
        <v>33.010064413743528</v>
      </c>
      <c r="U27" s="258">
        <v>33.837525475557449</v>
      </c>
      <c r="V27" s="258">
        <v>33.416360347548867</v>
      </c>
      <c r="W27" s="258">
        <v>33.829890972376191</v>
      </c>
      <c r="X27" s="258">
        <v>31.608005313946549</v>
      </c>
      <c r="Y27" s="258">
        <v>31.53649840240006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0.99999999999999989</v>
      </c>
      <c r="D31" s="235">
        <f t="shared" si="9"/>
        <v>1</v>
      </c>
      <c r="E31" s="235">
        <f t="shared" si="9"/>
        <v>1.0000000000000002</v>
      </c>
      <c r="F31" s="235">
        <f t="shared" si="9"/>
        <v>1</v>
      </c>
      <c r="G31" s="235">
        <f t="shared" si="9"/>
        <v>1.0000000000000002</v>
      </c>
      <c r="H31" s="235">
        <f t="shared" si="9"/>
        <v>1</v>
      </c>
      <c r="I31" s="235">
        <f t="shared" si="9"/>
        <v>0.99999999999999989</v>
      </c>
      <c r="J31" s="235">
        <f t="shared" si="9"/>
        <v>0.99999999999999989</v>
      </c>
      <c r="K31" s="235">
        <f t="shared" si="9"/>
        <v>0.99999999999999989</v>
      </c>
      <c r="L31" s="235">
        <f t="shared" si="9"/>
        <v>1.0000000000000002</v>
      </c>
      <c r="M31" s="235">
        <f t="shared" si="9"/>
        <v>0.99999999999999989</v>
      </c>
      <c r="N31" s="235">
        <f t="shared" si="9"/>
        <v>1</v>
      </c>
      <c r="O31" s="235">
        <f t="shared" si="9"/>
        <v>1</v>
      </c>
      <c r="P31" s="235">
        <f t="shared" si="9"/>
        <v>0.99999999999999978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1</v>
      </c>
      <c r="U31" s="235">
        <f t="shared" si="10"/>
        <v>1.0000000000000002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0.99999999999999978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2.7186394677563303E-2</v>
      </c>
      <c r="C32" s="244">
        <f t="shared" si="12"/>
        <v>2.7392451716492322E-2</v>
      </c>
      <c r="D32" s="244">
        <f t="shared" si="12"/>
        <v>2.7351878505670411E-2</v>
      </c>
      <c r="E32" s="244">
        <f t="shared" si="12"/>
        <v>2.8362674058563707E-2</v>
      </c>
      <c r="F32" s="244">
        <f t="shared" si="12"/>
        <v>2.8294335792950608E-2</v>
      </c>
      <c r="G32" s="244">
        <f t="shared" si="12"/>
        <v>2.8020860800754346E-2</v>
      </c>
      <c r="H32" s="244">
        <f t="shared" si="12"/>
        <v>2.8785145245995097E-2</v>
      </c>
      <c r="I32" s="244">
        <f t="shared" si="12"/>
        <v>2.8673935799566664E-2</v>
      </c>
      <c r="J32" s="244">
        <f t="shared" si="12"/>
        <v>2.9446900514872958E-2</v>
      </c>
      <c r="K32" s="244">
        <f t="shared" si="12"/>
        <v>2.8987492984827938E-2</v>
      </c>
      <c r="L32" s="244">
        <f t="shared" si="12"/>
        <v>2.8924270034619351E-2</v>
      </c>
      <c r="M32" s="244">
        <f t="shared" si="12"/>
        <v>2.8655350473062884E-2</v>
      </c>
      <c r="N32" s="244">
        <f t="shared" si="12"/>
        <v>2.9746295270111106E-2</v>
      </c>
      <c r="O32" s="244">
        <f t="shared" si="12"/>
        <v>2.979424577245264E-2</v>
      </c>
      <c r="P32" s="244">
        <f t="shared" si="12"/>
        <v>3.0655534300916141E-2</v>
      </c>
      <c r="Q32" s="244">
        <f t="shared" si="12"/>
        <v>3.0493586231403715E-2</v>
      </c>
      <c r="R32" s="244">
        <f t="shared" si="12"/>
        <v>3.026515056983678E-2</v>
      </c>
      <c r="S32" s="244">
        <f t="shared" si="12"/>
        <v>3.074512674756812E-2</v>
      </c>
      <c r="T32" s="244">
        <f t="shared" si="12"/>
        <v>3.1544348399610962E-2</v>
      </c>
      <c r="U32" s="244">
        <f t="shared" si="12"/>
        <v>3.2543109446225356E-2</v>
      </c>
      <c r="V32" s="244">
        <f t="shared" si="12"/>
        <v>3.2284840400628699E-2</v>
      </c>
      <c r="W32" s="244">
        <f t="shared" si="12"/>
        <v>3.2851248192896407E-2</v>
      </c>
      <c r="X32" s="244">
        <f t="shared" si="12"/>
        <v>3.1017211708111662E-2</v>
      </c>
      <c r="Y32" s="244">
        <f t="shared" si="12"/>
        <v>3.0128278941020731E-2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1.7671156540416143E-2</v>
      </c>
      <c r="C33" s="245">
        <f t="shared" si="13"/>
        <v>1.780509361572E-2</v>
      </c>
      <c r="D33" s="245">
        <f t="shared" si="13"/>
        <v>1.7778721028685752E-2</v>
      </c>
      <c r="E33" s="245">
        <f t="shared" si="13"/>
        <v>1.8435738138066399E-2</v>
      </c>
      <c r="F33" s="245">
        <f t="shared" si="13"/>
        <v>1.8391318265417893E-2</v>
      </c>
      <c r="G33" s="245">
        <f t="shared" si="13"/>
        <v>1.8213559520490322E-2</v>
      </c>
      <c r="H33" s="245">
        <f t="shared" si="13"/>
        <v>1.8710344409896808E-2</v>
      </c>
      <c r="I33" s="245">
        <f t="shared" si="13"/>
        <v>1.8638058269718327E-2</v>
      </c>
      <c r="J33" s="245">
        <f t="shared" si="13"/>
        <v>1.9140485334667411E-2</v>
      </c>
      <c r="K33" s="245">
        <f t="shared" si="13"/>
        <v>1.8841870440138162E-2</v>
      </c>
      <c r="L33" s="245">
        <f t="shared" si="13"/>
        <v>1.8800775522502561E-2</v>
      </c>
      <c r="M33" s="245">
        <f t="shared" si="13"/>
        <v>1.8625977807490864E-2</v>
      </c>
      <c r="N33" s="245">
        <f t="shared" si="13"/>
        <v>1.9335091925572225E-2</v>
      </c>
      <c r="O33" s="245">
        <f t="shared" si="13"/>
        <v>1.9366259752094217E-2</v>
      </c>
      <c r="P33" s="245">
        <f t="shared" si="13"/>
        <v>1.9926097295595489E-2</v>
      </c>
      <c r="Q33" s="245">
        <f t="shared" si="13"/>
        <v>1.9820831050412407E-2</v>
      </c>
      <c r="R33" s="245">
        <f t="shared" si="13"/>
        <v>1.9672347870393903E-2</v>
      </c>
      <c r="S33" s="245">
        <f t="shared" si="13"/>
        <v>1.9984332385919276E-2</v>
      </c>
      <c r="T33" s="245">
        <f t="shared" si="13"/>
        <v>2.0503826459747122E-2</v>
      </c>
      <c r="U33" s="245">
        <f t="shared" si="13"/>
        <v>2.1153021140046472E-2</v>
      </c>
      <c r="V33" s="245">
        <f t="shared" si="13"/>
        <v>2.0985146260408656E-2</v>
      </c>
      <c r="W33" s="245">
        <f t="shared" si="13"/>
        <v>2.1353311325382669E-2</v>
      </c>
      <c r="X33" s="245">
        <f t="shared" si="13"/>
        <v>2.016118761027259E-2</v>
      </c>
      <c r="Y33" s="245">
        <f t="shared" si="13"/>
        <v>1.9583381311663452E-2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2.4467755209806964E-2</v>
      </c>
      <c r="C34" s="245">
        <f t="shared" si="14"/>
        <v>2.4653206544843084E-2</v>
      </c>
      <c r="D34" s="245">
        <f t="shared" si="14"/>
        <v>2.4616690655103361E-2</v>
      </c>
      <c r="E34" s="245">
        <f t="shared" si="14"/>
        <v>2.5526406652707324E-2</v>
      </c>
      <c r="F34" s="245">
        <f t="shared" si="14"/>
        <v>2.546490221365556E-2</v>
      </c>
      <c r="G34" s="245">
        <f t="shared" si="14"/>
        <v>2.5218774720678901E-2</v>
      </c>
      <c r="H34" s="245">
        <f t="shared" si="14"/>
        <v>2.5906630721395593E-2</v>
      </c>
      <c r="I34" s="245">
        <f t="shared" si="14"/>
        <v>2.5806542219609992E-2</v>
      </c>
      <c r="J34" s="245">
        <f t="shared" si="14"/>
        <v>2.6502210463385655E-2</v>
      </c>
      <c r="K34" s="245">
        <f t="shared" si="14"/>
        <v>2.6088743686345141E-2</v>
      </c>
      <c r="L34" s="245">
        <f t="shared" si="14"/>
        <v>2.6031843031157399E-2</v>
      </c>
      <c r="M34" s="245">
        <f t="shared" si="14"/>
        <v>2.578981542575658E-2</v>
      </c>
      <c r="N34" s="245">
        <f t="shared" si="14"/>
        <v>2.6771665743099991E-2</v>
      </c>
      <c r="O34" s="245">
        <f t="shared" si="14"/>
        <v>2.6814821195207377E-2</v>
      </c>
      <c r="P34" s="245">
        <f t="shared" si="14"/>
        <v>2.7589980870824524E-2</v>
      </c>
      <c r="Q34" s="245">
        <f t="shared" si="14"/>
        <v>2.7444227608263337E-2</v>
      </c>
      <c r="R34" s="245">
        <f t="shared" si="14"/>
        <v>2.723863551285309E-2</v>
      </c>
      <c r="S34" s="245">
        <f t="shared" si="14"/>
        <v>2.7670614072811312E-2</v>
      </c>
      <c r="T34" s="245">
        <f t="shared" si="14"/>
        <v>2.8389913559649867E-2</v>
      </c>
      <c r="U34" s="245">
        <f t="shared" si="14"/>
        <v>2.9288798501602823E-2</v>
      </c>
      <c r="V34" s="245">
        <f t="shared" si="14"/>
        <v>2.9056356360565826E-2</v>
      </c>
      <c r="W34" s="245">
        <f t="shared" si="14"/>
        <v>2.9566123373606774E-2</v>
      </c>
      <c r="X34" s="245">
        <f t="shared" si="14"/>
        <v>2.79154905373005E-2</v>
      </c>
      <c r="Y34" s="245">
        <f t="shared" si="14"/>
        <v>2.7115451046918648E-2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0.20307391190065741</v>
      </c>
      <c r="C35" s="246">
        <f t="shared" si="15"/>
        <v>0.20531518913359112</v>
      </c>
      <c r="D35" s="246">
        <f t="shared" si="15"/>
        <v>0.20590709931751242</v>
      </c>
      <c r="E35" s="246">
        <f t="shared" si="15"/>
        <v>0.20674901646442559</v>
      </c>
      <c r="F35" s="246">
        <f t="shared" si="15"/>
        <v>0.20569734627679298</v>
      </c>
      <c r="G35" s="246">
        <f t="shared" si="15"/>
        <v>0.20351412151105844</v>
      </c>
      <c r="H35" s="246">
        <f t="shared" si="15"/>
        <v>0.20614864331990118</v>
      </c>
      <c r="I35" s="246">
        <f t="shared" si="15"/>
        <v>0.20547995896473895</v>
      </c>
      <c r="J35" s="246">
        <f t="shared" si="15"/>
        <v>0.207914531532601</v>
      </c>
      <c r="K35" s="246">
        <f t="shared" si="15"/>
        <v>0.20774191055218322</v>
      </c>
      <c r="L35" s="246">
        <f t="shared" si="15"/>
        <v>0.20672775747850788</v>
      </c>
      <c r="M35" s="246">
        <f t="shared" si="15"/>
        <v>0.20200296493071435</v>
      </c>
      <c r="N35" s="246">
        <f t="shared" si="15"/>
        <v>0.20549432454241026</v>
      </c>
      <c r="O35" s="246">
        <f t="shared" si="15"/>
        <v>0.2046335362440054</v>
      </c>
      <c r="P35" s="246">
        <f t="shared" si="15"/>
        <v>0.20728963743200488</v>
      </c>
      <c r="Q35" s="246">
        <f t="shared" si="15"/>
        <v>0.20778325859493163</v>
      </c>
      <c r="R35" s="246">
        <f t="shared" si="15"/>
        <v>0.20846226929766992</v>
      </c>
      <c r="S35" s="246">
        <f t="shared" si="15"/>
        <v>0.20820191616968975</v>
      </c>
      <c r="T35" s="246">
        <f t="shared" si="15"/>
        <v>0.21073260688490686</v>
      </c>
      <c r="U35" s="246">
        <f t="shared" si="15"/>
        <v>0.21108823980353916</v>
      </c>
      <c r="V35" s="246">
        <f t="shared" si="15"/>
        <v>0.21018218612057896</v>
      </c>
      <c r="W35" s="246">
        <f t="shared" si="15"/>
        <v>0.21058262608240699</v>
      </c>
      <c r="X35" s="246">
        <f t="shared" si="15"/>
        <v>0.20710473323914574</v>
      </c>
      <c r="Y35" s="246">
        <f t="shared" si="15"/>
        <v>0.20354190042311007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0.2346548045887478</v>
      </c>
      <c r="C36" s="259">
        <f t="shared" si="16"/>
        <v>0.2350477920843653</v>
      </c>
      <c r="D36" s="259">
        <f t="shared" si="16"/>
        <v>0.23643284508120774</v>
      </c>
      <c r="E36" s="259">
        <f t="shared" si="16"/>
        <v>0.23497978095934527</v>
      </c>
      <c r="F36" s="259">
        <f t="shared" si="16"/>
        <v>0.22960215102844395</v>
      </c>
      <c r="G36" s="259">
        <f t="shared" si="16"/>
        <v>0.22672045371831312</v>
      </c>
      <c r="H36" s="259">
        <f t="shared" si="16"/>
        <v>0.22873007754117108</v>
      </c>
      <c r="I36" s="259">
        <f t="shared" si="16"/>
        <v>0.22746285008745351</v>
      </c>
      <c r="J36" s="259">
        <f t="shared" si="16"/>
        <v>0.23014230343292258</v>
      </c>
      <c r="K36" s="259">
        <f t="shared" si="16"/>
        <v>0.23242714473855891</v>
      </c>
      <c r="L36" s="259">
        <f t="shared" si="16"/>
        <v>0.23124779687241051</v>
      </c>
      <c r="M36" s="259">
        <f t="shared" si="16"/>
        <v>0.23160811163635825</v>
      </c>
      <c r="N36" s="259">
        <f t="shared" si="16"/>
        <v>0.23130768753816749</v>
      </c>
      <c r="O36" s="259">
        <f t="shared" si="16"/>
        <v>0.23078681922931674</v>
      </c>
      <c r="P36" s="259">
        <f t="shared" si="16"/>
        <v>0.23019716783802457</v>
      </c>
      <c r="Q36" s="259">
        <f t="shared" si="16"/>
        <v>0.23267073875720137</v>
      </c>
      <c r="R36" s="259">
        <f t="shared" si="16"/>
        <v>0.23338015396993925</v>
      </c>
      <c r="S36" s="259">
        <f t="shared" si="16"/>
        <v>0.22848967288620325</v>
      </c>
      <c r="T36" s="259">
        <f t="shared" si="16"/>
        <v>0.23018468320176083</v>
      </c>
      <c r="U36" s="259">
        <f t="shared" si="16"/>
        <v>0.22658867776964756</v>
      </c>
      <c r="V36" s="259">
        <f t="shared" si="16"/>
        <v>0.22492485978886728</v>
      </c>
      <c r="W36" s="259">
        <f t="shared" si="16"/>
        <v>0.22497442429335462</v>
      </c>
      <c r="X36" s="259">
        <f t="shared" si="16"/>
        <v>0.23402047720461164</v>
      </c>
      <c r="Y36" s="259">
        <f t="shared" si="16"/>
        <v>0.2308164030785311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0.38124843387239032</v>
      </c>
      <c r="C37" s="259">
        <f t="shared" si="17"/>
        <v>0.37750836812686117</v>
      </c>
      <c r="D37" s="259">
        <f t="shared" si="17"/>
        <v>0.37546812152421272</v>
      </c>
      <c r="E37" s="259">
        <f t="shared" si="17"/>
        <v>0.37130450911514856</v>
      </c>
      <c r="F37" s="259">
        <f t="shared" si="17"/>
        <v>0.37910885696866048</v>
      </c>
      <c r="G37" s="259">
        <f t="shared" si="17"/>
        <v>0.38609489615892256</v>
      </c>
      <c r="H37" s="259">
        <f t="shared" si="17"/>
        <v>0.37724316233580318</v>
      </c>
      <c r="I37" s="259">
        <f t="shared" si="17"/>
        <v>0.37997862969278234</v>
      </c>
      <c r="J37" s="259">
        <f t="shared" si="17"/>
        <v>0.37048490091275993</v>
      </c>
      <c r="K37" s="259">
        <f t="shared" si="17"/>
        <v>0.3702306669396489</v>
      </c>
      <c r="L37" s="259">
        <f t="shared" si="17"/>
        <v>0.37296690415135714</v>
      </c>
      <c r="M37" s="259">
        <f t="shared" si="17"/>
        <v>0.37860674225832835</v>
      </c>
      <c r="N37" s="259">
        <f t="shared" si="17"/>
        <v>0.37001881175370144</v>
      </c>
      <c r="O37" s="259">
        <f t="shared" si="17"/>
        <v>0.37126080503556841</v>
      </c>
      <c r="P37" s="259">
        <f t="shared" si="17"/>
        <v>0.36500121902537286</v>
      </c>
      <c r="Q37" s="259">
        <f t="shared" si="17"/>
        <v>0.36236845002465135</v>
      </c>
      <c r="R37" s="259">
        <f t="shared" si="17"/>
        <v>0.36198588237181084</v>
      </c>
      <c r="S37" s="259">
        <f t="shared" si="17"/>
        <v>0.36567658239103551</v>
      </c>
      <c r="T37" s="259">
        <f t="shared" si="17"/>
        <v>0.35712906274216211</v>
      </c>
      <c r="U37" s="259">
        <f t="shared" si="17"/>
        <v>0.35606663243447301</v>
      </c>
      <c r="V37" s="259">
        <f t="shared" si="17"/>
        <v>0.36024756581700551</v>
      </c>
      <c r="W37" s="259">
        <f t="shared" si="17"/>
        <v>0.35695599815675727</v>
      </c>
      <c r="X37" s="259">
        <f t="shared" si="17"/>
        <v>0.35881974605846795</v>
      </c>
      <c r="Y37" s="259">
        <f t="shared" si="17"/>
        <v>0.37064700638123876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4.5090876250388101E-2</v>
      </c>
      <c r="C38" s="259">
        <f t="shared" si="18"/>
        <v>4.5166392072720808E-2</v>
      </c>
      <c r="D38" s="259">
        <f t="shared" si="18"/>
        <v>4.543254154871515E-2</v>
      </c>
      <c r="E38" s="259">
        <f t="shared" si="18"/>
        <v>4.5153323168262191E-2</v>
      </c>
      <c r="F38" s="259">
        <f t="shared" si="18"/>
        <v>4.4119966761349397E-2</v>
      </c>
      <c r="G38" s="259">
        <f t="shared" si="18"/>
        <v>4.3566224607934238E-2</v>
      </c>
      <c r="H38" s="259">
        <f t="shared" si="18"/>
        <v>4.3952390573149105E-2</v>
      </c>
      <c r="I38" s="259">
        <f t="shared" si="18"/>
        <v>4.3708882257191897E-2</v>
      </c>
      <c r="J38" s="259">
        <f t="shared" si="18"/>
        <v>4.4223761547351643E-2</v>
      </c>
      <c r="K38" s="259">
        <f t="shared" si="18"/>
        <v>4.466281284546926E-2</v>
      </c>
      <c r="L38" s="259">
        <f t="shared" si="18"/>
        <v>4.4436191324627811E-2</v>
      </c>
      <c r="M38" s="259">
        <f t="shared" si="18"/>
        <v>4.4505428809284597E-2</v>
      </c>
      <c r="N38" s="259">
        <f t="shared" si="18"/>
        <v>4.4447699815165373E-2</v>
      </c>
      <c r="O38" s="259">
        <f t="shared" si="18"/>
        <v>4.4347610628846325E-2</v>
      </c>
      <c r="P38" s="259">
        <f t="shared" si="18"/>
        <v>4.4234304200016894E-2</v>
      </c>
      <c r="Q38" s="259">
        <f t="shared" si="18"/>
        <v>4.4709621466197016E-2</v>
      </c>
      <c r="R38" s="259">
        <f t="shared" si="18"/>
        <v>4.4845941511396051E-2</v>
      </c>
      <c r="S38" s="259">
        <f t="shared" si="18"/>
        <v>4.3906194815230677E-2</v>
      </c>
      <c r="T38" s="259">
        <f t="shared" si="18"/>
        <v>4.4231905173115288E-2</v>
      </c>
      <c r="U38" s="259">
        <f t="shared" si="18"/>
        <v>4.3540902761213612E-2</v>
      </c>
      <c r="V38" s="259">
        <f t="shared" si="18"/>
        <v>4.3221186270404825E-2</v>
      </c>
      <c r="W38" s="259">
        <f t="shared" si="18"/>
        <v>4.3230710502999016E-2</v>
      </c>
      <c r="X38" s="259">
        <f t="shared" si="18"/>
        <v>4.496898495721624E-2</v>
      </c>
      <c r="Y38" s="259">
        <f t="shared" si="18"/>
        <v>4.4353295412016547E-2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2.7186394677563303E-2</v>
      </c>
      <c r="C39" s="259">
        <f t="shared" si="19"/>
        <v>2.7392451716492322E-2</v>
      </c>
      <c r="D39" s="259">
        <f t="shared" si="19"/>
        <v>2.7351878505670411E-2</v>
      </c>
      <c r="E39" s="259">
        <f t="shared" si="19"/>
        <v>2.8362674058563707E-2</v>
      </c>
      <c r="F39" s="259">
        <f t="shared" si="19"/>
        <v>2.8294335792950608E-2</v>
      </c>
      <c r="G39" s="259">
        <f t="shared" si="19"/>
        <v>2.8020860800754346E-2</v>
      </c>
      <c r="H39" s="259">
        <f t="shared" si="19"/>
        <v>2.8785145245995097E-2</v>
      </c>
      <c r="I39" s="259">
        <f t="shared" si="19"/>
        <v>2.8673935799566664E-2</v>
      </c>
      <c r="J39" s="259">
        <f t="shared" si="19"/>
        <v>2.9446900514872958E-2</v>
      </c>
      <c r="K39" s="259">
        <f t="shared" si="19"/>
        <v>2.8987492984827938E-2</v>
      </c>
      <c r="L39" s="259">
        <f t="shared" si="19"/>
        <v>2.8924270034619351E-2</v>
      </c>
      <c r="M39" s="259">
        <f t="shared" si="19"/>
        <v>2.8655350473062884E-2</v>
      </c>
      <c r="N39" s="259">
        <f t="shared" si="19"/>
        <v>2.9746295270111106E-2</v>
      </c>
      <c r="O39" s="259">
        <f t="shared" si="19"/>
        <v>2.979424577245264E-2</v>
      </c>
      <c r="P39" s="259">
        <f t="shared" si="19"/>
        <v>3.0655534300916141E-2</v>
      </c>
      <c r="Q39" s="259">
        <f t="shared" si="19"/>
        <v>3.0493586231403715E-2</v>
      </c>
      <c r="R39" s="259">
        <f t="shared" si="19"/>
        <v>3.026515056983678E-2</v>
      </c>
      <c r="S39" s="259">
        <f t="shared" si="19"/>
        <v>3.074512674756812E-2</v>
      </c>
      <c r="T39" s="259">
        <f t="shared" si="19"/>
        <v>3.1544348399610962E-2</v>
      </c>
      <c r="U39" s="259">
        <f t="shared" si="19"/>
        <v>3.2543109446225356E-2</v>
      </c>
      <c r="V39" s="259">
        <f t="shared" si="19"/>
        <v>3.2284840400628699E-2</v>
      </c>
      <c r="W39" s="259">
        <f t="shared" si="19"/>
        <v>3.2851248192896407E-2</v>
      </c>
      <c r="X39" s="259">
        <f t="shared" si="19"/>
        <v>3.1017211708111662E-2</v>
      </c>
      <c r="Y39" s="259">
        <f t="shared" si="19"/>
        <v>3.0128278941020731E-2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3.9420272282466778E-2</v>
      </c>
      <c r="C40" s="261">
        <f t="shared" si="20"/>
        <v>3.9719054988913857E-2</v>
      </c>
      <c r="D40" s="261">
        <f t="shared" si="20"/>
        <v>3.9660223833222083E-2</v>
      </c>
      <c r="E40" s="261">
        <f t="shared" si="20"/>
        <v>4.1125877384917367E-2</v>
      </c>
      <c r="F40" s="261">
        <f t="shared" si="20"/>
        <v>4.10267868997784E-2</v>
      </c>
      <c r="G40" s="261">
        <f t="shared" si="20"/>
        <v>4.0630248161093799E-2</v>
      </c>
      <c r="H40" s="261">
        <f t="shared" si="20"/>
        <v>4.1738460606692888E-2</v>
      </c>
      <c r="I40" s="261">
        <f t="shared" si="20"/>
        <v>4.157720690937166E-2</v>
      </c>
      <c r="J40" s="261">
        <f t="shared" si="20"/>
        <v>4.2698005746565799E-2</v>
      </c>
      <c r="K40" s="261">
        <f t="shared" si="20"/>
        <v>4.2031864828000504E-2</v>
      </c>
      <c r="L40" s="261">
        <f t="shared" si="20"/>
        <v>4.1940191550198028E-2</v>
      </c>
      <c r="M40" s="261">
        <f t="shared" si="20"/>
        <v>4.1550258185941179E-2</v>
      </c>
      <c r="N40" s="261">
        <f t="shared" si="20"/>
        <v>4.3132128141661112E-2</v>
      </c>
      <c r="O40" s="261">
        <f t="shared" si="20"/>
        <v>4.3201656370056331E-2</v>
      </c>
      <c r="P40" s="261">
        <f t="shared" si="20"/>
        <v>4.4450524736328413E-2</v>
      </c>
      <c r="Q40" s="261">
        <f t="shared" si="20"/>
        <v>4.4215700035535377E-2</v>
      </c>
      <c r="R40" s="261">
        <f t="shared" si="20"/>
        <v>4.3884468326263346E-2</v>
      </c>
      <c r="S40" s="261">
        <f t="shared" si="20"/>
        <v>4.4580433783973777E-2</v>
      </c>
      <c r="T40" s="261">
        <f t="shared" si="20"/>
        <v>4.5739305179435891E-2</v>
      </c>
      <c r="U40" s="261">
        <f t="shared" si="20"/>
        <v>4.7187508697026766E-2</v>
      </c>
      <c r="V40" s="261">
        <f t="shared" si="20"/>
        <v>4.6813018580911601E-2</v>
      </c>
      <c r="W40" s="261">
        <f t="shared" si="20"/>
        <v>4.7634309879699806E-2</v>
      </c>
      <c r="X40" s="261">
        <f t="shared" si="20"/>
        <v>4.4974956976761904E-2</v>
      </c>
      <c r="Y40" s="261">
        <f t="shared" si="20"/>
        <v>4.3686004464480045E-2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112.47171201628666</v>
      </c>
      <c r="C44" s="236">
        <f t="shared" si="21"/>
        <v>109.81942433546162</v>
      </c>
      <c r="D44" s="236">
        <f t="shared" si="21"/>
        <v>113.80906613357637</v>
      </c>
      <c r="E44" s="236">
        <f t="shared" si="21"/>
        <v>119.53787119840248</v>
      </c>
      <c r="F44" s="236">
        <f t="shared" si="21"/>
        <v>117.30616060932346</v>
      </c>
      <c r="G44" s="236">
        <f t="shared" si="21"/>
        <v>134.29403412451356</v>
      </c>
      <c r="H44" s="236">
        <f t="shared" si="21"/>
        <v>130.05722800154632</v>
      </c>
      <c r="I44" s="236">
        <f t="shared" si="21"/>
        <v>117.81469406104158</v>
      </c>
      <c r="J44" s="236">
        <f t="shared" si="21"/>
        <v>123.49619118298857</v>
      </c>
      <c r="K44" s="236">
        <f t="shared" si="21"/>
        <v>137.83360398812147</v>
      </c>
      <c r="L44" s="236">
        <f t="shared" si="21"/>
        <v>128.47617233393538</v>
      </c>
      <c r="M44" s="236">
        <f t="shared" si="21"/>
        <v>116.02131221383362</v>
      </c>
      <c r="N44" s="236">
        <f t="shared" si="21"/>
        <v>118.31216844961239</v>
      </c>
      <c r="O44" s="236">
        <f t="shared" si="21"/>
        <v>117.89482713876832</v>
      </c>
      <c r="P44" s="236">
        <f t="shared" si="21"/>
        <v>114.21265320772916</v>
      </c>
      <c r="Q44" s="236">
        <f t="shared" si="21"/>
        <v>116.67728719019789</v>
      </c>
      <c r="R44" s="236">
        <f t="shared" si="21"/>
        <v>118.41249825520164</v>
      </c>
      <c r="S44" s="236">
        <f t="shared" si="21"/>
        <v>109.25986032686191</v>
      </c>
      <c r="T44" s="236">
        <f t="shared" si="21"/>
        <v>115.03952384499107</v>
      </c>
      <c r="U44" s="236">
        <f t="shared" si="21"/>
        <v>114.31053707016736</v>
      </c>
      <c r="V44" s="236">
        <f t="shared" si="21"/>
        <v>121.02278233994659</v>
      </c>
      <c r="W44" s="236">
        <f t="shared" si="21"/>
        <v>115.61293230102247</v>
      </c>
      <c r="X44" s="236">
        <f t="shared" si="21"/>
        <v>98.926512660278462</v>
      </c>
      <c r="Y44" s="236">
        <f t="shared" si="21"/>
        <v>101.37891512464498</v>
      </c>
      <c r="DA44" s="280"/>
    </row>
    <row r="45" spans="1:105" x14ac:dyDescent="0.25">
      <c r="A45" s="238" t="s">
        <v>125</v>
      </c>
      <c r="B45" s="247">
        <f>IF(B$6=0,0,B$6/AGR!B$5*1000)</f>
        <v>3.0577003529360076</v>
      </c>
      <c r="C45" s="247">
        <f>IF(C$6=0,0,C$6/AGR!C$5*1000)</f>
        <v>3.0082232786421139</v>
      </c>
      <c r="D45" s="247">
        <f>IF(D$6=0,0,D$6/AGR!D$5*1000)</f>
        <v>3.1128917497293895</v>
      </c>
      <c r="E45" s="247">
        <f>IF(E$6=0,0,E$6/AGR!E$5*1000)</f>
        <v>3.3904136784548591</v>
      </c>
      <c r="F45" s="247">
        <f>IF(F$6=0,0,F$6/AGR!F$5*1000)</f>
        <v>3.3190998988619937</v>
      </c>
      <c r="G45" s="247">
        <f>IF(G$6=0,0,G$6/AGR!G$5*1000)</f>
        <v>3.7630344365747481</v>
      </c>
      <c r="H45" s="247">
        <f>IF(H$6=0,0,H$6/AGR!H$5*1000)</f>
        <v>3.7437161983160112</v>
      </c>
      <c r="I45" s="247">
        <f>IF(I$6=0,0,I$6/AGR!I$5*1000)</f>
        <v>3.3782109737518939</v>
      </c>
      <c r="J45" s="247">
        <f>IF(J$6=0,0,J$6/AGR!J$5*1000)</f>
        <v>3.6365800557311956</v>
      </c>
      <c r="K45" s="247">
        <f>IF(K$6=0,0,K$6/AGR!K$5*1000)</f>
        <v>3.9954506286792233</v>
      </c>
      <c r="L45" s="247">
        <f>IF(L$6=0,0,L$6/AGR!L$5*1000)</f>
        <v>3.7160795016010386</v>
      </c>
      <c r="M45" s="247">
        <f>IF(M$6=0,0,M$6/AGR!M$5*1000)</f>
        <v>3.3246313638320539</v>
      </c>
      <c r="N45" s="247">
        <f>IF(N$6=0,0,N$6/AGR!N$5*1000)</f>
        <v>3.5193486967492933</v>
      </c>
      <c r="O45" s="247">
        <f>IF(O$6=0,0,O$6/AGR!O$5*1000)</f>
        <v>3.512587455073283</v>
      </c>
      <c r="P45" s="247">
        <f>IF(P$6=0,0,P$6/AGR!P$5*1000)</f>
        <v>3.5012499080081816</v>
      </c>
      <c r="Q45" s="247">
        <f>IF(Q$6=0,0,Q$6/AGR!Q$5*1000)</f>
        <v>3.5579089181805559</v>
      </c>
      <c r="R45" s="247">
        <f>IF(R$6=0,0,R$6/AGR!R$5*1000)</f>
        <v>3.5837720890442126</v>
      </c>
      <c r="S45" s="247">
        <f>IF(S$6=0,0,S$6/AGR!S$5*1000)</f>
        <v>3.3592082541709591</v>
      </c>
      <c r="T45" s="247">
        <f>IF(T$6=0,0,T$6/AGR!T$5*1000)</f>
        <v>3.6288468198917512</v>
      </c>
      <c r="U45" s="247">
        <f>IF(U$6=0,0,U$6/AGR!U$5*1000)</f>
        <v>3.7200203187312568</v>
      </c>
      <c r="V45" s="247">
        <f>IF(V$6=0,0,V$6/AGR!V$5*1000)</f>
        <v>3.9072012126852012</v>
      </c>
      <c r="W45" s="247">
        <f>IF(W$6=0,0,W$6/AGR!W$5*1000)</f>
        <v>3.7980291333294192</v>
      </c>
      <c r="X45" s="247">
        <f>IF(X$6=0,0,X$6/AGR!X$5*1000)</f>
        <v>3.0684245867290456</v>
      </c>
      <c r="Y45" s="247">
        <f>IF(Y$6=0,0,Y$6/AGR!Y$5*1000)</f>
        <v>3.054372233613369</v>
      </c>
      <c r="DA45" s="281"/>
    </row>
    <row r="46" spans="1:105" x14ac:dyDescent="0.25">
      <c r="A46" s="240" t="s">
        <v>124</v>
      </c>
      <c r="B46" s="248">
        <f>IF(B$7=0,0,B$7/AGR!B$5*1000)</f>
        <v>1.9875052294084048</v>
      </c>
      <c r="C46" s="248">
        <f>IF(C$7=0,0,C$7/AGR!C$5*1000)</f>
        <v>1.9553451311173733</v>
      </c>
      <c r="D46" s="248">
        <f>IF(D$7=0,0,D$7/AGR!D$5*1000)</f>
        <v>2.0233796373241018</v>
      </c>
      <c r="E46" s="248">
        <f>IF(E$7=0,0,E$7/AGR!E$5*1000)</f>
        <v>2.203768890995657</v>
      </c>
      <c r="F46" s="248">
        <f>IF(F$7=0,0,F$7/AGR!F$5*1000)</f>
        <v>2.1574149342602955</v>
      </c>
      <c r="G46" s="248">
        <f>IF(G$7=0,0,G$7/AGR!G$5*1000)</f>
        <v>2.4459723837735856</v>
      </c>
      <c r="H46" s="248">
        <f>IF(H$7=0,0,H$7/AGR!H$5*1000)</f>
        <v>2.4334155289054067</v>
      </c>
      <c r="I46" s="248">
        <f>IF(I$7=0,0,I$7/AGR!I$5*1000)</f>
        <v>2.1958371329387307</v>
      </c>
      <c r="J46" s="248">
        <f>IF(J$7=0,0,J$7/AGR!J$5*1000)</f>
        <v>2.3637770362252759</v>
      </c>
      <c r="K46" s="248">
        <f>IF(K$7=0,0,K$7/AGR!K$5*1000)</f>
        <v>2.5970429086414955</v>
      </c>
      <c r="L46" s="248">
        <f>IF(L$7=0,0,L$7/AGR!L$5*1000)</f>
        <v>2.4154516760406728</v>
      </c>
      <c r="M46" s="248">
        <f>IF(M$7=0,0,M$7/AGR!M$5*1000)</f>
        <v>2.1610103864908337</v>
      </c>
      <c r="N46" s="248">
        <f>IF(N$7=0,0,N$7/AGR!N$5*1000)</f>
        <v>2.2875766528870414</v>
      </c>
      <c r="O46" s="248">
        <f>IF(O$7=0,0,O$7/AGR!O$5*1000)</f>
        <v>2.2831818457976336</v>
      </c>
      <c r="P46" s="248">
        <f>IF(P$7=0,0,P$7/AGR!P$5*1000)</f>
        <v>2.2758124402053177</v>
      </c>
      <c r="Q46" s="248">
        <f>IF(Q$7=0,0,Q$7/AGR!Q$5*1000)</f>
        <v>2.3126407968173601</v>
      </c>
      <c r="R46" s="248">
        <f>IF(R$7=0,0,R$7/AGR!R$5*1000)</f>
        <v>2.3294518578787375</v>
      </c>
      <c r="S46" s="248">
        <f>IF(S$7=0,0,S$7/AGR!S$5*1000)</f>
        <v>2.1834853652111232</v>
      </c>
      <c r="T46" s="248">
        <f>IF(T$7=0,0,T$7/AGR!T$5*1000)</f>
        <v>2.3587504329296376</v>
      </c>
      <c r="U46" s="248">
        <f>IF(U$7=0,0,U$7/AGR!U$5*1000)</f>
        <v>2.4180132071753158</v>
      </c>
      <c r="V46" s="248">
        <f>IF(V$7=0,0,V$7/AGR!V$5*1000)</f>
        <v>2.5396807882453811</v>
      </c>
      <c r="W46" s="248">
        <f>IF(W$7=0,0,W$7/AGR!W$5*1000)</f>
        <v>2.4687189366641231</v>
      </c>
      <c r="X46" s="248">
        <f>IF(X$7=0,0,X$7/AGR!X$5*1000)</f>
        <v>1.9944759813738804</v>
      </c>
      <c r="Y46" s="248">
        <f>IF(Y$7=0,0,Y$7/AGR!Y$5*1000)</f>
        <v>1.9853419518486874</v>
      </c>
      <c r="DA46" s="282"/>
    </row>
    <row r="47" spans="1:105" x14ac:dyDescent="0.25">
      <c r="A47" s="240" t="s">
        <v>123</v>
      </c>
      <c r="B47" s="248">
        <f>IF(B$8=0,0,B$8/AGR!B$5*1000)</f>
        <v>2.7519303176424059</v>
      </c>
      <c r="C47" s="248">
        <f>IF(C$8=0,0,C$8/AGR!C$5*1000)</f>
        <v>2.707400950777902</v>
      </c>
      <c r="D47" s="248">
        <f>IF(D$8=0,0,D$8/AGR!D$5*1000)</f>
        <v>2.8016025747564499</v>
      </c>
      <c r="E47" s="248">
        <f>IF(E$8=0,0,E$8/AGR!E$5*1000)</f>
        <v>3.0513723106093722</v>
      </c>
      <c r="F47" s="248">
        <f>IF(F$8=0,0,F$8/AGR!F$5*1000)</f>
        <v>2.9871899089757954</v>
      </c>
      <c r="G47" s="248">
        <f>IF(G$8=0,0,G$8/AGR!G$5*1000)</f>
        <v>3.3867309929172715</v>
      </c>
      <c r="H47" s="248">
        <f>IF(H$8=0,0,H$8/AGR!H$5*1000)</f>
        <v>3.3693445784844109</v>
      </c>
      <c r="I47" s="248">
        <f>IF(I$8=0,0,I$8/AGR!I$5*1000)</f>
        <v>3.0403898763767039</v>
      </c>
      <c r="J47" s="248">
        <f>IF(J$8=0,0,J$8/AGR!J$5*1000)</f>
        <v>3.2729220501580749</v>
      </c>
      <c r="K47" s="248">
        <f>IF(K$8=0,0,K$8/AGR!K$5*1000)</f>
        <v>3.5959055658113006</v>
      </c>
      <c r="L47" s="248">
        <f>IF(L$8=0,0,L$8/AGR!L$5*1000)</f>
        <v>3.3444715514409324</v>
      </c>
      <c r="M47" s="248">
        <f>IF(M$8=0,0,M$8/AGR!M$5*1000)</f>
        <v>2.9921682274488468</v>
      </c>
      <c r="N47" s="248">
        <f>IF(N$8=0,0,N$8/AGR!N$5*1000)</f>
        <v>3.1674138270743635</v>
      </c>
      <c r="O47" s="248">
        <f>IF(O$8=0,0,O$8/AGR!O$5*1000)</f>
        <v>3.1613287095659546</v>
      </c>
      <c r="P47" s="248">
        <f>IF(P$8=0,0,P$8/AGR!P$5*1000)</f>
        <v>3.1511249172073628</v>
      </c>
      <c r="Q47" s="248">
        <f>IF(Q$8=0,0,Q$8/AGR!Q$5*1000)</f>
        <v>3.2021180263624993</v>
      </c>
      <c r="R47" s="248">
        <f>IF(R$8=0,0,R$8/AGR!R$5*1000)</f>
        <v>3.22539488013979</v>
      </c>
      <c r="S47" s="248">
        <f>IF(S$8=0,0,S$8/AGR!S$5*1000)</f>
        <v>3.0232874287538638</v>
      </c>
      <c r="T47" s="248">
        <f>IF(T$8=0,0,T$8/AGR!T$5*1000)</f>
        <v>3.2659621379025761</v>
      </c>
      <c r="U47" s="248">
        <f>IF(U$8=0,0,U$8/AGR!U$5*1000)</f>
        <v>3.3480182868581307</v>
      </c>
      <c r="V47" s="248">
        <f>IF(V$8=0,0,V$8/AGR!V$5*1000)</f>
        <v>3.5164810914166806</v>
      </c>
      <c r="W47" s="248">
        <f>IF(W$8=0,0,W$8/AGR!W$5*1000)</f>
        <v>3.4182262199964777</v>
      </c>
      <c r="X47" s="248">
        <f>IF(X$8=0,0,X$8/AGR!X$5*1000)</f>
        <v>2.7615821280561414</v>
      </c>
      <c r="Y47" s="248">
        <f>IF(Y$8=0,0,Y$8/AGR!Y$5*1000)</f>
        <v>2.7489350102520311</v>
      </c>
      <c r="DA47" s="282"/>
    </row>
    <row r="48" spans="1:105" x14ac:dyDescent="0.25">
      <c r="A48" s="242" t="s">
        <v>122</v>
      </c>
      <c r="B48" s="249">
        <f>IF(B$9=0,0,B$9/AGR!B$5*1000)</f>
        <v>22.840070537311504</v>
      </c>
      <c r="C48" s="249">
        <f>IF(C$9=0,0,C$9/AGR!C$5*1000)</f>
        <v>22.5475958779774</v>
      </c>
      <c r="D48" s="249">
        <f>IF(D$9=0,0,D$9/AGR!D$5*1000)</f>
        <v>23.43409468359965</v>
      </c>
      <c r="E48" s="249">
        <f>IF(E$9=0,0,E$9/AGR!E$5*1000)</f>
        <v>24.714337300520896</v>
      </c>
      <c r="F48" s="249">
        <f>IF(F$9=0,0,F$9/AGR!F$5*1000)</f>
        <v>24.129565939257102</v>
      </c>
      <c r="G48" s="249">
        <f>IF(G$9=0,0,G$9/AGR!G$5*1000)</f>
        <v>27.330732379026475</v>
      </c>
      <c r="H48" s="249">
        <f>IF(H$9=0,0,H$9/AGR!H$5*1000)</f>
        <v>26.811121106465837</v>
      </c>
      <c r="I48" s="249">
        <f>IF(I$9=0,0,I$9/AGR!I$5*1000)</f>
        <v>24.208558501106097</v>
      </c>
      <c r="J48" s="249">
        <f>IF(J$9=0,0,J$9/AGR!J$5*1000)</f>
        <v>25.676652735871599</v>
      </c>
      <c r="K48" s="249">
        <f>IF(K$9=0,0,K$9/AGR!K$5*1000)</f>
        <v>28.633816230785378</v>
      </c>
      <c r="L48" s="249">
        <f>IF(L$9=0,0,L$9/AGR!L$5*1000)</f>
        <v>26.559590996016777</v>
      </c>
      <c r="M48" s="249">
        <f>IF(M$9=0,0,M$9/AGR!M$5*1000)</f>
        <v>23.436649062346493</v>
      </c>
      <c r="N48" s="249">
        <f>IF(N$9=0,0,N$9/AGR!N$5*1000)</f>
        <v>24.312479140700955</v>
      </c>
      <c r="O48" s="249">
        <f>IF(O$9=0,0,O$9/AGR!O$5*1000)</f>
        <v>24.1252353822819</v>
      </c>
      <c r="P48" s="249">
        <f>IF(P$9=0,0,P$9/AGR!P$5*1000)</f>
        <v>23.67509947357749</v>
      </c>
      <c r="Q48" s="249">
        <f>IF(Q$9=0,0,Q$9/AGR!Q$5*1000)</f>
        <v>24.243586936395992</v>
      </c>
      <c r="R48" s="249">
        <f>IF(R$9=0,0,R$9/AGR!R$5*1000)</f>
        <v>24.684538099485717</v>
      </c>
      <c r="S48" s="249">
        <f>IF(S$9=0,0,S$9/AGR!S$5*1000)</f>
        <v>22.748112280485316</v>
      </c>
      <c r="T48" s="249">
        <f>IF(T$9=0,0,T$9/AGR!T$5*1000)</f>
        <v>24.242578754653373</v>
      </c>
      <c r="U48" s="249">
        <f>IF(U$9=0,0,U$9/AGR!U$5*1000)</f>
        <v>24.129610061138841</v>
      </c>
      <c r="V48" s="249">
        <f>IF(V$9=0,0,V$9/AGR!V$5*1000)</f>
        <v>25.436832962604971</v>
      </c>
      <c r="W48" s="249">
        <f>IF(W$9=0,0,W$9/AGR!W$5*1000)</f>
        <v>24.34607489303685</v>
      </c>
      <c r="X48" s="249">
        <f>IF(X$9=0,0,X$9/AGR!X$5*1000)</f>
        <v>20.488149014785943</v>
      </c>
      <c r="Y48" s="249">
        <f>IF(Y$9=0,0,Y$9/AGR!Y$5*1000)</f>
        <v>20.634857047303409</v>
      </c>
      <c r="DA48" s="283"/>
    </row>
    <row r="49" spans="1:105" x14ac:dyDescent="0.25">
      <c r="A49" s="127" t="s">
        <v>168</v>
      </c>
      <c r="B49" s="262">
        <f>IF(B$16=0,0,B$16/AGR!B$5*1000)</f>
        <v>26.39202760494366</v>
      </c>
      <c r="C49" s="262">
        <f>IF(C$16=0,0,C$16/AGR!C$5*1000)</f>
        <v>25.812813218026267</v>
      </c>
      <c r="D49" s="262">
        <f>IF(D$16=0,0,D$16/AGR!D$5*1000)</f>
        <v>26.908201301996783</v>
      </c>
      <c r="E49" s="262">
        <f>IF(E$16=0,0,E$16/AGR!E$5*1000)</f>
        <v>28.088982790547039</v>
      </c>
      <c r="F49" s="262">
        <f>IF(F$16=0,0,F$16/AGR!F$5*1000)</f>
        <v>26.93374680478879</v>
      </c>
      <c r="G49" s="262">
        <f>IF(G$16=0,0,G$16/AGR!G$5*1000)</f>
        <v>30.447204348372335</v>
      </c>
      <c r="H49" s="262">
        <f>IF(H$16=0,0,H$16/AGR!H$5*1000)</f>
        <v>29.747999845583454</v>
      </c>
      <c r="I49" s="262">
        <f>IF(I$16=0,0,I$16/AGR!I$5*1000)</f>
        <v>26.798466093305898</v>
      </c>
      <c r="J49" s="262">
        <f>IF(J$16=0,0,J$16/AGR!J$5*1000)</f>
        <v>28.421697904045573</v>
      </c>
      <c r="K49" s="262">
        <f>IF(K$16=0,0,K$16/AGR!K$5*1000)</f>
        <v>32.03627102398432</v>
      </c>
      <c r="L49" s="262">
        <f>IF(L$16=0,0,L$16/AGR!L$5*1000)</f>
        <v>29.709831802822695</v>
      </c>
      <c r="M49" s="262">
        <f>IF(M$16=0,0,M$16/AGR!M$5*1000)</f>
        <v>26.871477031418355</v>
      </c>
      <c r="N49" s="262">
        <f>IF(N$16=0,0,N$16/AGR!N$5*1000)</f>
        <v>27.366514091705977</v>
      </c>
      <c r="O49" s="262">
        <f>IF(O$16=0,0,O$16/AGR!O$5*1000)</f>
        <v>27.208572158946467</v>
      </c>
      <c r="P49" s="262">
        <f>IF(P$16=0,0,P$16/AGR!P$5*1000)</f>
        <v>26.291429299685728</v>
      </c>
      <c r="Q49" s="262">
        <f>IF(Q$16=0,0,Q$16/AGR!Q$5*1000)</f>
        <v>27.147390606729495</v>
      </c>
      <c r="R49" s="262">
        <f>IF(R$16=0,0,R$16/AGR!R$5*1000)</f>
        <v>27.635127074764121</v>
      </c>
      <c r="S49" s="262">
        <f>IF(S$16=0,0,S$16/AGR!S$5*1000)</f>
        <v>24.964749745676936</v>
      </c>
      <c r="T49" s="262">
        <f>IF(T$16=0,0,T$16/AGR!T$5*1000)</f>
        <v>26.480336351940682</v>
      </c>
      <c r="U49" s="262">
        <f>IF(U$16=0,0,U$16/AGR!U$5*1000)</f>
        <v>25.901473449867499</v>
      </c>
      <c r="V49" s="262">
        <f>IF(V$16=0,0,V$16/AGR!V$5*1000)</f>
        <v>27.221032349071091</v>
      </c>
      <c r="W49" s="262">
        <f>IF(W$16=0,0,W$16/AGR!W$5*1000)</f>
        <v>26.009952885289113</v>
      </c>
      <c r="X49" s="262">
        <f>IF(X$16=0,0,X$16/AGR!X$5*1000)</f>
        <v>23.150829700946421</v>
      </c>
      <c r="Y49" s="262">
        <f>IF(Y$16=0,0,Y$16/AGR!Y$5*1000)</f>
        <v>23.399916537074247</v>
      </c>
      <c r="DA49" s="284"/>
    </row>
    <row r="50" spans="1:105" x14ac:dyDescent="0.25">
      <c r="A50" s="127" t="s">
        <v>121</v>
      </c>
      <c r="B50" s="262">
        <f>IF(B$17=0,0,B$17/AGR!B$5*1000)</f>
        <v>42.879664061155786</v>
      </c>
      <c r="C50" s="262">
        <f>IF(C$17=0,0,C$17/AGR!C$5*1000)</f>
        <v>41.45775166951141</v>
      </c>
      <c r="D50" s="262">
        <f>IF(D$17=0,0,D$17/AGR!D$5*1000)</f>
        <v>42.731676273598815</v>
      </c>
      <c r="E50" s="262">
        <f>IF(E$17=0,0,E$17/AGR!E$5*1000)</f>
        <v>44.384950585992684</v>
      </c>
      <c r="F50" s="262">
        <f>IF(F$17=0,0,F$17/AGR!F$5*1000)</f>
        <v>44.471804463982721</v>
      </c>
      <c r="G50" s="262">
        <f>IF(G$17=0,0,G$17/AGR!G$5*1000)</f>
        <v>51.850241160066858</v>
      </c>
      <c r="H50" s="262">
        <f>IF(H$17=0,0,H$17/AGR!H$5*1000)</f>
        <v>49.063199975931909</v>
      </c>
      <c r="I50" s="262">
        <f>IF(I$17=0,0,I$17/AGR!I$5*1000)</f>
        <v>44.767066006988962</v>
      </c>
      <c r="J50" s="262">
        <f>IF(J$17=0,0,J$17/AGR!J$5*1000)</f>
        <v>45.753474153532778</v>
      </c>
      <c r="K50" s="262">
        <f>IF(K$17=0,0,K$17/AGR!K$5*1000)</f>
        <v>51.030227131217657</v>
      </c>
      <c r="L50" s="262">
        <f>IF(L$17=0,0,L$17/AGR!L$5*1000)</f>
        <v>47.917360252604119</v>
      </c>
      <c r="M50" s="262">
        <f>IF(M$17=0,0,M$17/AGR!M$5*1000)</f>
        <v>43.926451049815952</v>
      </c>
      <c r="N50" s="262">
        <f>IF(N$17=0,0,N$17/AGR!N$5*1000)</f>
        <v>43.777727985729342</v>
      </c>
      <c r="O50" s="262">
        <f>IF(O$17=0,0,O$17/AGR!O$5*1000)</f>
        <v>43.769728433068302</v>
      </c>
      <c r="P50" s="262">
        <f>IF(P$17=0,0,P$17/AGR!P$5*1000)</f>
        <v>41.687757648943318</v>
      </c>
      <c r="Q50" s="262">
        <f>IF(Q$17=0,0,Q$17/AGR!Q$5*1000)</f>
        <v>42.280167712193126</v>
      </c>
      <c r="R50" s="262">
        <f>IF(R$17=0,0,R$17/AGR!R$5*1000)</f>
        <v>42.86365266475967</v>
      </c>
      <c r="S50" s="262">
        <f>IF(S$17=0,0,S$17/AGR!S$5*1000)</f>
        <v>39.953772316848756</v>
      </c>
      <c r="T50" s="262">
        <f>IF(T$17=0,0,T$17/AGR!T$5*1000)</f>
        <v>41.083957329066266</v>
      </c>
      <c r="U50" s="262">
        <f>IF(U$17=0,0,U$17/AGR!U$5*1000)</f>
        <v>40.702167986350474</v>
      </c>
      <c r="V50" s="262">
        <f>IF(V$17=0,0,V$17/AGR!V$5*1000)</f>
        <v>43.598162746367038</v>
      </c>
      <c r="W50" s="262">
        <f>IF(W$17=0,0,W$17/AGR!W$5*1000)</f>
        <v>41.268729649341076</v>
      </c>
      <c r="X50" s="262">
        <f>IF(X$17=0,0,X$17/AGR!X$5*1000)</f>
        <v>35.496786151210934</v>
      </c>
      <c r="Y50" s="262">
        <f>IF(Y$17=0,0,Y$17/AGR!Y$5*1000)</f>
        <v>37.575791401127347</v>
      </c>
      <c r="DA50" s="284"/>
    </row>
    <row r="51" spans="1:105" x14ac:dyDescent="0.25">
      <c r="A51" s="127" t="s">
        <v>167</v>
      </c>
      <c r="B51" s="262">
        <f>IF(B$25=0,0,B$25/AGR!B$5*1000)</f>
        <v>5.0714480481956699</v>
      </c>
      <c r="C51" s="262">
        <f>IF(C$25=0,0,C$25/AGR!C$5*1000)</f>
        <v>4.9601471767359566</v>
      </c>
      <c r="D51" s="262">
        <f>IF(D$25=0,0,D$25/AGR!D$5*1000)</f>
        <v>5.1706351257341785</v>
      </c>
      <c r="E51" s="262">
        <f>IF(E$25=0,0,E$25/AGR!E$5*1000)</f>
        <v>5.3975321290675673</v>
      </c>
      <c r="F51" s="262">
        <f>IF(F$25=0,0,F$25/AGR!F$5*1000)</f>
        <v>5.1755439069848661</v>
      </c>
      <c r="G51" s="262">
        <f>IF(G$25=0,0,G$25/AGR!G$5*1000)</f>
        <v>5.8506840541741427</v>
      </c>
      <c r="H51" s="262">
        <f>IF(H$25=0,0,H$25/AGR!H$5*1000)</f>
        <v>5.7163260819850681</v>
      </c>
      <c r="I51" s="262">
        <f>IF(I$25=0,0,I$25/AGR!I$5*1000)</f>
        <v>5.1495485908811514</v>
      </c>
      <c r="J51" s="262">
        <f>IF(J$25=0,0,J$25/AGR!J$5*1000)</f>
        <v>5.461466110882637</v>
      </c>
      <c r="K51" s="262">
        <f>IF(K$25=0,0,K$25/AGR!K$5*1000)</f>
        <v>6.1560364587379945</v>
      </c>
      <c r="L51" s="262">
        <f>IF(L$25=0,0,L$25/AGR!L$5*1000)</f>
        <v>5.7089917744866066</v>
      </c>
      <c r="M51" s="262">
        <f>IF(M$25=0,0,M$25/AGR!M$5*1000)</f>
        <v>5.1635782510925541</v>
      </c>
      <c r="N51" s="262">
        <f>IF(N$25=0,0,N$25/AGR!N$5*1000)</f>
        <v>5.2587037477296503</v>
      </c>
      <c r="O51" s="262">
        <f>IF(O$25=0,0,O$25/AGR!O$5*1000)</f>
        <v>5.2283538891052412</v>
      </c>
      <c r="P51" s="262">
        <f>IF(P$25=0,0,P$25/AGR!P$5*1000)</f>
        <v>5.0521172454817282</v>
      </c>
      <c r="Q51" s="262">
        <f>IF(Q$25=0,0,Q$25/AGR!Q$5*1000)</f>
        <v>5.2165973439765061</v>
      </c>
      <c r="R51" s="262">
        <f>IF(R$25=0,0,R$25/AGR!R$5*1000)</f>
        <v>5.3103199709710598</v>
      </c>
      <c r="S51" s="262">
        <f>IF(S$25=0,0,S$25/AGR!S$5*1000)</f>
        <v>4.7971847129960929</v>
      </c>
      <c r="T51" s="262">
        <f>IF(T$25=0,0,T$25/AGR!T$5*1000)</f>
        <v>5.0884173098719803</v>
      </c>
      <c r="U51" s="262">
        <f>IF(U$25=0,0,U$25/AGR!U$5*1000)</f>
        <v>4.97718397915426</v>
      </c>
      <c r="V51" s="262">
        <f>IF(V$25=0,0,V$25/AGR!V$5*1000)</f>
        <v>5.2307482184774905</v>
      </c>
      <c r="W51" s="262">
        <f>IF(W$25=0,0,W$25/AGR!W$5*1000)</f>
        <v>4.9980292067083258</v>
      </c>
      <c r="X51" s="262">
        <f>IF(X$25=0,0,X$25/AGR!X$5*1000)</f>
        <v>4.4486248596899234</v>
      </c>
      <c r="Y51" s="262">
        <f>IF(Y$25=0,0,Y$25/AGR!Y$5*1000)</f>
        <v>4.4964889710731306</v>
      </c>
      <c r="DA51" s="284"/>
    </row>
    <row r="52" spans="1:105" x14ac:dyDescent="0.25">
      <c r="A52" s="127" t="s">
        <v>170</v>
      </c>
      <c r="B52" s="262">
        <f>IF(B$26=0,0,B$26/AGR!B$5*1000)</f>
        <v>3.0577003529360076</v>
      </c>
      <c r="C52" s="262">
        <f>IF(C$26=0,0,C$26/AGR!C$5*1000)</f>
        <v>3.0082232786421139</v>
      </c>
      <c r="D52" s="262">
        <f>IF(D$26=0,0,D$26/AGR!D$5*1000)</f>
        <v>3.1128917497293895</v>
      </c>
      <c r="E52" s="262">
        <f>IF(E$26=0,0,E$26/AGR!E$5*1000)</f>
        <v>3.3904136784548591</v>
      </c>
      <c r="F52" s="262">
        <f>IF(F$26=0,0,F$26/AGR!F$5*1000)</f>
        <v>3.3190998988619937</v>
      </c>
      <c r="G52" s="262">
        <f>IF(G$26=0,0,G$26/AGR!G$5*1000)</f>
        <v>3.7630344365747481</v>
      </c>
      <c r="H52" s="262">
        <f>IF(H$26=0,0,H$26/AGR!H$5*1000)</f>
        <v>3.7437161983160112</v>
      </c>
      <c r="I52" s="262">
        <f>IF(I$26=0,0,I$26/AGR!I$5*1000)</f>
        <v>3.3782109737518939</v>
      </c>
      <c r="J52" s="262">
        <f>IF(J$26=0,0,J$26/AGR!J$5*1000)</f>
        <v>3.6365800557311956</v>
      </c>
      <c r="K52" s="262">
        <f>IF(K$26=0,0,K$26/AGR!K$5*1000)</f>
        <v>3.9954506286792233</v>
      </c>
      <c r="L52" s="262">
        <f>IF(L$26=0,0,L$26/AGR!L$5*1000)</f>
        <v>3.7160795016010386</v>
      </c>
      <c r="M52" s="262">
        <f>IF(M$26=0,0,M$26/AGR!M$5*1000)</f>
        <v>3.3246313638320539</v>
      </c>
      <c r="N52" s="262">
        <f>IF(N$26=0,0,N$26/AGR!N$5*1000)</f>
        <v>3.5193486967492933</v>
      </c>
      <c r="O52" s="262">
        <f>IF(O$26=0,0,O$26/AGR!O$5*1000)</f>
        <v>3.512587455073283</v>
      </c>
      <c r="P52" s="262">
        <f>IF(P$26=0,0,P$26/AGR!P$5*1000)</f>
        <v>3.5012499080081816</v>
      </c>
      <c r="Q52" s="262">
        <f>IF(Q$26=0,0,Q$26/AGR!Q$5*1000)</f>
        <v>3.5579089181805559</v>
      </c>
      <c r="R52" s="262">
        <f>IF(R$26=0,0,R$26/AGR!R$5*1000)</f>
        <v>3.5837720890442126</v>
      </c>
      <c r="S52" s="262">
        <f>IF(S$26=0,0,S$26/AGR!S$5*1000)</f>
        <v>3.3592082541709591</v>
      </c>
      <c r="T52" s="262">
        <f>IF(T$26=0,0,T$26/AGR!T$5*1000)</f>
        <v>3.6288468198917512</v>
      </c>
      <c r="U52" s="262">
        <f>IF(U$26=0,0,U$26/AGR!U$5*1000)</f>
        <v>3.7200203187312568</v>
      </c>
      <c r="V52" s="262">
        <f>IF(V$26=0,0,V$26/AGR!V$5*1000)</f>
        <v>3.9072012126852012</v>
      </c>
      <c r="W52" s="262">
        <f>IF(W$26=0,0,W$26/AGR!W$5*1000)</f>
        <v>3.7980291333294192</v>
      </c>
      <c r="X52" s="262">
        <f>IF(X$26=0,0,X$26/AGR!X$5*1000)</f>
        <v>3.0684245867290456</v>
      </c>
      <c r="Y52" s="262">
        <f>IF(Y$26=0,0,Y$26/AGR!Y$5*1000)</f>
        <v>3.054372233613369</v>
      </c>
      <c r="DA52" s="284"/>
    </row>
    <row r="53" spans="1:105" x14ac:dyDescent="0.25">
      <c r="A53" s="260" t="s">
        <v>33</v>
      </c>
      <c r="B53" s="263">
        <f>IF(B$27=0,0,B$27/AGR!B$5*1000)</f>
        <v>4.4336655117572095</v>
      </c>
      <c r="C53" s="263">
        <f>IF(C$27=0,0,C$27/AGR!C$5*1000)</f>
        <v>4.3619237540310642</v>
      </c>
      <c r="D53" s="263">
        <f>IF(D$27=0,0,D$27/AGR!D$5*1000)</f>
        <v>4.5136930371076138</v>
      </c>
      <c r="E53" s="263">
        <f>IF(E$27=0,0,E$27/AGR!E$5*1000)</f>
        <v>4.916099833759545</v>
      </c>
      <c r="F53" s="263">
        <f>IF(F$27=0,0,F$27/AGR!F$5*1000)</f>
        <v>4.8126948533498934</v>
      </c>
      <c r="G53" s="263">
        <f>IF(G$27=0,0,G$27/AGR!G$5*1000)</f>
        <v>5.4563999330333841</v>
      </c>
      <c r="H53" s="263">
        <f>IF(H$27=0,0,H$27/AGR!H$5*1000)</f>
        <v>5.428388487558216</v>
      </c>
      <c r="I53" s="263">
        <f>IF(I$27=0,0,I$27/AGR!I$5*1000)</f>
        <v>4.8984059119402454</v>
      </c>
      <c r="J53" s="263">
        <f>IF(J$27=0,0,J$27/AGR!J$5*1000)</f>
        <v>5.273041080810235</v>
      </c>
      <c r="K53" s="263">
        <f>IF(K$27=0,0,K$27/AGR!K$5*1000)</f>
        <v>5.7934034115848725</v>
      </c>
      <c r="L53" s="263">
        <f>IF(L$27=0,0,L$27/AGR!L$5*1000)</f>
        <v>5.3883152773215022</v>
      </c>
      <c r="M53" s="263">
        <f>IF(M$27=0,0,M$27/AGR!M$5*1000)</f>
        <v>4.8207154775564778</v>
      </c>
      <c r="N53" s="263">
        <f>IF(N$27=0,0,N$27/AGR!N$5*1000)</f>
        <v>5.103055610286475</v>
      </c>
      <c r="O53" s="263">
        <f>IF(O$27=0,0,O$27/AGR!O$5*1000)</f>
        <v>5.0932518098562607</v>
      </c>
      <c r="P53" s="263">
        <f>IF(P$27=0,0,P$27/AGR!P$5*1000)</f>
        <v>5.0768123666118639</v>
      </c>
      <c r="Q53" s="263">
        <f>IF(Q$27=0,0,Q$27/AGR!Q$5*1000)</f>
        <v>5.1589679313618042</v>
      </c>
      <c r="R53" s="263">
        <f>IF(R$27=0,0,R$27/AGR!R$5*1000)</f>
        <v>5.1964695291141103</v>
      </c>
      <c r="S53" s="263">
        <f>IF(S$27=0,0,S$27/AGR!S$5*1000)</f>
        <v>4.8708519685478908</v>
      </c>
      <c r="T53" s="263">
        <f>IF(T$27=0,0,T$27/AGR!T$5*1000)</f>
        <v>5.2618278888430385</v>
      </c>
      <c r="U53" s="263">
        <f>IF(U$27=0,0,U$27/AGR!U$5*1000)</f>
        <v>5.3940294621603222</v>
      </c>
      <c r="V53" s="263">
        <f>IF(V$27=0,0,V$27/AGR!V$5*1000)</f>
        <v>5.6654417583935404</v>
      </c>
      <c r="W53" s="263">
        <f>IF(W$27=0,0,W$27/AGR!W$5*1000)</f>
        <v>5.5071422433276584</v>
      </c>
      <c r="X53" s="263">
        <f>IF(X$27=0,0,X$27/AGR!X$5*1000)</f>
        <v>4.4492156507571163</v>
      </c>
      <c r="Y53" s="263">
        <f>IF(Y$27=0,0,Y$27/AGR!Y$5*1000)</f>
        <v>4.4288397387393834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374.78583114446883</v>
      </c>
      <c r="C5" s="80">
        <f t="shared" ref="C5:W5" si="1">SUM(C6:C9,C16:C17,C25:C27)</f>
        <v>362.25955755407466</v>
      </c>
      <c r="D5" s="80">
        <f t="shared" si="1"/>
        <v>358.76439262353875</v>
      </c>
      <c r="E5" s="80">
        <f t="shared" si="1"/>
        <v>352.03471369255783</v>
      </c>
      <c r="F5" s="80">
        <f t="shared" si="1"/>
        <v>347.33882796449319</v>
      </c>
      <c r="G5" s="80">
        <f t="shared" si="1"/>
        <v>348.90639369772884</v>
      </c>
      <c r="H5" s="80">
        <f t="shared" si="1"/>
        <v>351.48955747678156</v>
      </c>
      <c r="I5" s="80">
        <f t="shared" si="1"/>
        <v>337.78014038396998</v>
      </c>
      <c r="J5" s="80">
        <f t="shared" si="1"/>
        <v>336.64353236730477</v>
      </c>
      <c r="K5" s="80">
        <f t="shared" si="1"/>
        <v>335.7288957342588</v>
      </c>
      <c r="L5" s="80">
        <f t="shared" si="1"/>
        <v>342.12765938718564</v>
      </c>
      <c r="M5" s="80">
        <f t="shared" si="1"/>
        <v>328.79457101633318</v>
      </c>
      <c r="N5" s="80">
        <f t="shared" si="1"/>
        <v>305.62616512692432</v>
      </c>
      <c r="O5" s="80">
        <f t="shared" si="1"/>
        <v>310.97647691101628</v>
      </c>
      <c r="P5" s="80">
        <f t="shared" si="1"/>
        <v>294.77260287521068</v>
      </c>
      <c r="Q5" s="80">
        <f t="shared" si="1"/>
        <v>299.06754014366823</v>
      </c>
      <c r="R5" s="80">
        <f t="shared" si="1"/>
        <v>296.58641859904435</v>
      </c>
      <c r="S5" s="80">
        <f t="shared" si="1"/>
        <v>290.56567587947836</v>
      </c>
      <c r="T5" s="80">
        <f t="shared" si="1"/>
        <v>280.72608013971819</v>
      </c>
      <c r="U5" s="80">
        <f t="shared" si="1"/>
        <v>280.59585527643515</v>
      </c>
      <c r="V5" s="80">
        <f t="shared" si="1"/>
        <v>278.72137614664103</v>
      </c>
      <c r="W5" s="80">
        <f t="shared" si="1"/>
        <v>278.22512715854094</v>
      </c>
      <c r="X5" s="80">
        <f t="shared" ref="X5:Y5" si="2">SUM(X6:X9,X16:X17,X25:X27)</f>
        <v>271.12497304100873</v>
      </c>
      <c r="Y5" s="80">
        <f t="shared" si="2"/>
        <v>276.17781757389491</v>
      </c>
      <c r="DA5" s="103"/>
    </row>
    <row r="6" spans="1:105" x14ac:dyDescent="0.25">
      <c r="A6" s="238" t="s">
        <v>125</v>
      </c>
      <c r="B6" s="239">
        <v>12.125603942418291</v>
      </c>
      <c r="C6" s="239">
        <v>11.757154606906671</v>
      </c>
      <c r="D6" s="239">
        <v>11.62105249934636</v>
      </c>
      <c r="E6" s="239">
        <v>11.757707914517329</v>
      </c>
      <c r="F6" s="239">
        <v>11.5942212181307</v>
      </c>
      <c r="G6" s="239">
        <v>11.58259376980336</v>
      </c>
      <c r="H6" s="239">
        <v>11.90110990519941</v>
      </c>
      <c r="I6" s="239">
        <v>11.41467122019111</v>
      </c>
      <c r="J6" s="239">
        <v>11.6067257788766</v>
      </c>
      <c r="K6" s="239">
        <v>11.423168251647169</v>
      </c>
      <c r="L6" s="239">
        <v>11.632450592057729</v>
      </c>
      <c r="M6" s="239">
        <v>11.153241478658551</v>
      </c>
      <c r="N6" s="239">
        <v>10.65953770543336</v>
      </c>
      <c r="O6" s="239">
        <v>10.875403771213771</v>
      </c>
      <c r="P6" s="239">
        <v>10.52568003737213</v>
      </c>
      <c r="Q6" s="239">
        <v>10.62225472619766</v>
      </c>
      <c r="R6" s="239">
        <v>10.45523956086379</v>
      </c>
      <c r="S6" s="239">
        <v>10.377357554199889</v>
      </c>
      <c r="T6" s="239">
        <v>10.220118818050119</v>
      </c>
      <c r="U6" s="239">
        <v>10.47630584825559</v>
      </c>
      <c r="V6" s="239">
        <v>10.345910536198129</v>
      </c>
      <c r="W6" s="239">
        <v>10.47394215915001</v>
      </c>
      <c r="X6" s="239">
        <v>9.7860327038804211</v>
      </c>
      <c r="Y6" s="239">
        <v>9.7638937245934692</v>
      </c>
      <c r="DA6" s="267" t="s">
        <v>1016</v>
      </c>
    </row>
    <row r="7" spans="1:105" x14ac:dyDescent="0.25">
      <c r="A7" s="240" t="s">
        <v>124</v>
      </c>
      <c r="B7" s="241">
        <v>7.8156567713882641</v>
      </c>
      <c r="C7" s="241">
        <v>7.5781697515515791</v>
      </c>
      <c r="D7" s="241">
        <v>7.4904440297149284</v>
      </c>
      <c r="E7" s="241">
        <v>7.578526390478137</v>
      </c>
      <c r="F7" s="241">
        <v>7.4731497088947867</v>
      </c>
      <c r="G7" s="241">
        <v>7.4656551423820501</v>
      </c>
      <c r="H7" s="241">
        <v>7.6709573114308034</v>
      </c>
      <c r="I7" s="241">
        <v>7.357419295476765</v>
      </c>
      <c r="J7" s="241">
        <v>7.4812096253600666</v>
      </c>
      <c r="K7" s="241">
        <v>7.3628961263011554</v>
      </c>
      <c r="L7" s="241">
        <v>7.4977907631975329</v>
      </c>
      <c r="M7" s="241">
        <v>7.1889126265014136</v>
      </c>
      <c r="N7" s="241">
        <v>6.8706918387706688</v>
      </c>
      <c r="O7" s="241">
        <v>7.0098300694717084</v>
      </c>
      <c r="P7" s="241">
        <v>6.7844127886917551</v>
      </c>
      <c r="Q7" s="241">
        <v>6.846660790873611</v>
      </c>
      <c r="R7" s="241">
        <v>6.7390098058946393</v>
      </c>
      <c r="S7" s="241">
        <v>6.6888103242323229</v>
      </c>
      <c r="T7" s="241">
        <v>6.5874608163027091</v>
      </c>
      <c r="U7" s="241">
        <v>6.7525882529958006</v>
      </c>
      <c r="V7" s="241">
        <v>6.6685408926763703</v>
      </c>
      <c r="W7" s="241">
        <v>6.7510647179330352</v>
      </c>
      <c r="X7" s="241">
        <v>6.3076670762393636</v>
      </c>
      <c r="Y7" s="241">
        <v>6.2933972168412318</v>
      </c>
      <c r="DA7" s="268" t="s">
        <v>1017</v>
      </c>
    </row>
    <row r="8" spans="1:105" x14ac:dyDescent="0.25">
      <c r="A8" s="240" t="s">
        <v>123</v>
      </c>
      <c r="B8" s="241">
        <v>15.531525053750441</v>
      </c>
      <c r="C8" s="241">
        <v>15.0595831931461</v>
      </c>
      <c r="D8" s="241">
        <v>14.885251811098691</v>
      </c>
      <c r="E8" s="241">
        <v>15.06029191751629</v>
      </c>
      <c r="F8" s="241">
        <v>14.850883979326831</v>
      </c>
      <c r="G8" s="241">
        <v>14.8359905351846</v>
      </c>
      <c r="H8" s="241">
        <v>15.24397362290707</v>
      </c>
      <c r="I8" s="241">
        <v>14.620900771509531</v>
      </c>
      <c r="J8" s="241">
        <v>14.866900905117371</v>
      </c>
      <c r="K8" s="241">
        <v>14.63178450625535</v>
      </c>
      <c r="L8" s="241">
        <v>14.899851476678419</v>
      </c>
      <c r="M8" s="241">
        <v>14.28603888754148</v>
      </c>
      <c r="N8" s="241">
        <v>13.653660281132129</v>
      </c>
      <c r="O8" s="241">
        <v>13.9301602579452</v>
      </c>
      <c r="P8" s="241">
        <v>13.482203771831459</v>
      </c>
      <c r="Q8" s="241">
        <v>13.605905008171909</v>
      </c>
      <c r="R8" s="241">
        <v>13.391977500968339</v>
      </c>
      <c r="S8" s="241">
        <v>13.29221947295747</v>
      </c>
      <c r="T8" s="241">
        <v>13.090814464058321</v>
      </c>
      <c r="U8" s="241">
        <v>13.41896102871419</v>
      </c>
      <c r="V8" s="241">
        <v>13.25193940523635</v>
      </c>
      <c r="W8" s="241">
        <v>13.41593341073022</v>
      </c>
      <c r="X8" s="241">
        <v>12.534799325370949</v>
      </c>
      <c r="Y8" s="241">
        <v>12.506441800822669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128.14886990364516</v>
      </c>
      <c r="C9" s="243">
        <f t="shared" ref="C9:W9" si="4">SUM(C10:C15)</f>
        <v>124.80693528336124</v>
      </c>
      <c r="D9" s="243">
        <f t="shared" si="4"/>
        <v>123.70953421141274</v>
      </c>
      <c r="E9" s="243">
        <f t="shared" si="4"/>
        <v>121.93932363603709</v>
      </c>
      <c r="F9" s="243">
        <f t="shared" si="4"/>
        <v>120.59631276454809</v>
      </c>
      <c r="G9" s="243">
        <f t="shared" si="4"/>
        <v>120.56187379288359</v>
      </c>
      <c r="H9" s="243">
        <f t="shared" si="4"/>
        <v>122.34035840841184</v>
      </c>
      <c r="I9" s="243">
        <f t="shared" si="4"/>
        <v>117.53072637408707</v>
      </c>
      <c r="J9" s="243">
        <f t="shared" si="4"/>
        <v>117.85005056858444</v>
      </c>
      <c r="K9" s="243">
        <f t="shared" si="4"/>
        <v>117.17488707043745</v>
      </c>
      <c r="L9" s="243">
        <f t="shared" si="4"/>
        <v>119.11091532770712</v>
      </c>
      <c r="M9" s="243">
        <f t="shared" si="4"/>
        <v>112.38392859054612</v>
      </c>
      <c r="N9" s="243">
        <f t="shared" si="4"/>
        <v>105.89922021930056</v>
      </c>
      <c r="O9" s="243">
        <f t="shared" si="4"/>
        <v>107.51617910828894</v>
      </c>
      <c r="P9" s="243">
        <f t="shared" si="4"/>
        <v>102.97205634023459</v>
      </c>
      <c r="Q9" s="243">
        <f t="shared" si="4"/>
        <v>104.309549281556</v>
      </c>
      <c r="R9" s="243">
        <f t="shared" si="4"/>
        <v>103.56666156239255</v>
      </c>
      <c r="S9" s="243">
        <f t="shared" si="4"/>
        <v>101.89251831209032</v>
      </c>
      <c r="T9" s="243">
        <f t="shared" si="4"/>
        <v>99.186312523587588</v>
      </c>
      <c r="U9" s="243">
        <f t="shared" si="4"/>
        <v>99.68108419842963</v>
      </c>
      <c r="V9" s="243">
        <f t="shared" si="4"/>
        <v>98.882022076997728</v>
      </c>
      <c r="W9" s="243">
        <f t="shared" si="4"/>
        <v>98.868969486224444</v>
      </c>
      <c r="X9" s="243">
        <f t="shared" ref="X9:Y9" si="5">SUM(X10:X15)</f>
        <v>94.291887101036565</v>
      </c>
      <c r="Y9" s="243">
        <f t="shared" si="5"/>
        <v>95.153311047018121</v>
      </c>
      <c r="DA9" s="269"/>
    </row>
    <row r="10" spans="1:105" x14ac:dyDescent="0.25">
      <c r="A10" s="253" t="s">
        <v>166</v>
      </c>
      <c r="B10" s="254">
        <v>59.47503023389482</v>
      </c>
      <c r="C10" s="254">
        <v>56.036362993158129</v>
      </c>
      <c r="D10" s="254">
        <v>56.476315657908557</v>
      </c>
      <c r="E10" s="254">
        <v>53.675567180456369</v>
      </c>
      <c r="F10" s="254">
        <v>49.521595505865932</v>
      </c>
      <c r="G10" s="254">
        <v>48.863023722987158</v>
      </c>
      <c r="H10" s="254">
        <v>48.945045386507587</v>
      </c>
      <c r="I10" s="254">
        <v>46.934259619543461</v>
      </c>
      <c r="J10" s="254">
        <v>47.494947872323451</v>
      </c>
      <c r="K10" s="254">
        <v>49.437627032523601</v>
      </c>
      <c r="L10" s="254">
        <v>49.893363963939393</v>
      </c>
      <c r="M10" s="254">
        <v>50.311133579604913</v>
      </c>
      <c r="N10" s="254">
        <v>44.7877192202182</v>
      </c>
      <c r="O10" s="254">
        <v>45.714071154782687</v>
      </c>
      <c r="P10" s="254">
        <v>41.76977892281154</v>
      </c>
      <c r="Q10" s="254">
        <v>43.732517825334952</v>
      </c>
      <c r="R10" s="254">
        <v>43.32499441784023</v>
      </c>
      <c r="S10" s="254">
        <v>39.310012754281082</v>
      </c>
      <c r="T10" s="254">
        <v>38.199597602919411</v>
      </c>
      <c r="U10" s="254">
        <v>35.893842809055023</v>
      </c>
      <c r="V10" s="254">
        <v>35.045074126946282</v>
      </c>
      <c r="W10" s="254">
        <v>34.748953506461802</v>
      </c>
      <c r="X10" s="254">
        <v>41.505951275264152</v>
      </c>
      <c r="Y10" s="254">
        <v>41.864752714028242</v>
      </c>
      <c r="DA10" s="270" t="s">
        <v>1019</v>
      </c>
    </row>
    <row r="11" spans="1:105" x14ac:dyDescent="0.25">
      <c r="A11" s="253" t="s">
        <v>169</v>
      </c>
      <c r="B11" s="255">
        <v>13.40987814749942</v>
      </c>
      <c r="C11" s="255">
        <v>14.68802821524134</v>
      </c>
      <c r="D11" s="255">
        <v>13.85992739315456</v>
      </c>
      <c r="E11" s="255">
        <v>12.61313044738138</v>
      </c>
      <c r="F11" s="255">
        <v>12.956657973612399</v>
      </c>
      <c r="G11" s="255">
        <v>12.930662372020761</v>
      </c>
      <c r="H11" s="255">
        <v>13.550490881030671</v>
      </c>
      <c r="I11" s="255">
        <v>11.503348750167349</v>
      </c>
      <c r="J11" s="255">
        <v>10.432880739486221</v>
      </c>
      <c r="K11" s="255">
        <v>9.5401014684984649</v>
      </c>
      <c r="L11" s="255">
        <v>10.13873229570626</v>
      </c>
      <c r="M11" s="255">
        <v>9.732848909726421</v>
      </c>
      <c r="N11" s="255">
        <v>8.7749941530302173</v>
      </c>
      <c r="O11" s="255">
        <v>8.3687013049987193</v>
      </c>
      <c r="P11" s="255">
        <v>7.6115792086932679</v>
      </c>
      <c r="Q11" s="255">
        <v>7.8129956229089057</v>
      </c>
      <c r="R11" s="255">
        <v>8.8319999970027308</v>
      </c>
      <c r="S11" s="255">
        <v>9.3446145606330369</v>
      </c>
      <c r="T11" s="255">
        <v>7.7577877333553928</v>
      </c>
      <c r="U11" s="255">
        <v>7.4387712050941346</v>
      </c>
      <c r="V11" s="255">
        <v>7.689876149635877</v>
      </c>
      <c r="W11" s="255">
        <v>7.5542510155674352</v>
      </c>
      <c r="X11" s="255">
        <v>3.606807816237628</v>
      </c>
      <c r="Y11" s="255">
        <v>3.811554232931313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29.524200433233879</v>
      </c>
      <c r="C14" s="254">
        <v>29.524200433231741</v>
      </c>
      <c r="D14" s="254">
        <v>29.52420043323135</v>
      </c>
      <c r="E14" s="254">
        <v>29.524200433237489</v>
      </c>
      <c r="F14" s="254">
        <v>31.090483875779391</v>
      </c>
      <c r="G14" s="254">
        <v>31.09048387578909</v>
      </c>
      <c r="H14" s="254">
        <v>31.090483875779078</v>
      </c>
      <c r="I14" s="254">
        <v>31.090483875782159</v>
      </c>
      <c r="J14" s="254">
        <v>31.090483875758981</v>
      </c>
      <c r="K14" s="254">
        <v>31.090483875748671</v>
      </c>
      <c r="L14" s="254">
        <v>31.090483875760629</v>
      </c>
      <c r="M14" s="254">
        <v>24.82540649135764</v>
      </c>
      <c r="N14" s="254">
        <v>24.825406491335301</v>
      </c>
      <c r="O14" s="254">
        <v>24.825406491335261</v>
      </c>
      <c r="P14" s="254">
        <v>24.825406491322951</v>
      </c>
      <c r="Q14" s="254">
        <v>24.825406491326142</v>
      </c>
      <c r="R14" s="254">
        <v>24.825406491328859</v>
      </c>
      <c r="S14" s="254">
        <v>24.825406491321068</v>
      </c>
      <c r="T14" s="254">
        <v>24.733948800215881</v>
      </c>
      <c r="U14" s="254">
        <v>24.24000960528279</v>
      </c>
      <c r="V14" s="254">
        <v>24.240009605283241</v>
      </c>
      <c r="W14" s="254">
        <v>23.204992726048591</v>
      </c>
      <c r="X14" s="254">
        <v>22.169975846813319</v>
      </c>
      <c r="Y14" s="254">
        <v>22.411588797766228</v>
      </c>
      <c r="DA14" s="270" t="s">
        <v>1023</v>
      </c>
    </row>
    <row r="15" spans="1:105" x14ac:dyDescent="0.25">
      <c r="A15" s="253" t="s">
        <v>24</v>
      </c>
      <c r="B15" s="255">
        <v>25.739761089017041</v>
      </c>
      <c r="C15" s="255">
        <v>24.55834364173003</v>
      </c>
      <c r="D15" s="255">
        <v>23.84909072711827</v>
      </c>
      <c r="E15" s="255">
        <v>26.126425574961861</v>
      </c>
      <c r="F15" s="255">
        <v>27.02757540929036</v>
      </c>
      <c r="G15" s="255">
        <v>27.677703822086571</v>
      </c>
      <c r="H15" s="255">
        <v>28.754338265094511</v>
      </c>
      <c r="I15" s="255">
        <v>28.002634128594089</v>
      </c>
      <c r="J15" s="255">
        <v>28.831738081015779</v>
      </c>
      <c r="K15" s="255">
        <v>27.106674693666719</v>
      </c>
      <c r="L15" s="255">
        <v>27.988335192300831</v>
      </c>
      <c r="M15" s="255">
        <v>27.514539609857149</v>
      </c>
      <c r="N15" s="255">
        <v>27.511100354716849</v>
      </c>
      <c r="O15" s="255">
        <v>28.60800015717227</v>
      </c>
      <c r="P15" s="255">
        <v>28.765291717406829</v>
      </c>
      <c r="Q15" s="255">
        <v>27.938629341986001</v>
      </c>
      <c r="R15" s="255">
        <v>26.584260656220739</v>
      </c>
      <c r="S15" s="255">
        <v>28.41248450585514</v>
      </c>
      <c r="T15" s="255">
        <v>28.494978387096911</v>
      </c>
      <c r="U15" s="255">
        <v>32.108460578997679</v>
      </c>
      <c r="V15" s="255">
        <v>31.90706219513233</v>
      </c>
      <c r="W15" s="255">
        <v>33.360772238146602</v>
      </c>
      <c r="X15" s="255">
        <v>27.00915216272146</v>
      </c>
      <c r="Y15" s="255">
        <v>27.06541530229233</v>
      </c>
      <c r="DA15" s="271" t="s">
        <v>1024</v>
      </c>
    </row>
    <row r="16" spans="1:105" x14ac:dyDescent="0.25">
      <c r="A16" s="256" t="s">
        <v>168</v>
      </c>
      <c r="B16" s="257">
        <v>74.892655551377302</v>
      </c>
      <c r="C16" s="257">
        <v>72.191409008779544</v>
      </c>
      <c r="D16" s="257">
        <v>71.882658501131402</v>
      </c>
      <c r="E16" s="257">
        <v>69.705011893310797</v>
      </c>
      <c r="F16" s="257">
        <v>67.324951532351349</v>
      </c>
      <c r="G16" s="257">
        <v>67.061470472225722</v>
      </c>
      <c r="H16" s="257">
        <v>67.670648087650775</v>
      </c>
      <c r="I16" s="257">
        <v>64.795462298483812</v>
      </c>
      <c r="J16" s="257">
        <v>64.911942881800215</v>
      </c>
      <c r="K16" s="257">
        <v>65.542164859931447</v>
      </c>
      <c r="L16" s="257">
        <v>66.549443919818572</v>
      </c>
      <c r="M16" s="257">
        <v>64.507047446303005</v>
      </c>
      <c r="N16" s="257">
        <v>59.313502522386138</v>
      </c>
      <c r="O16" s="257">
        <v>60.281217276557882</v>
      </c>
      <c r="P16" s="257">
        <v>56.558680400284231</v>
      </c>
      <c r="Q16" s="257">
        <v>57.99732930937521</v>
      </c>
      <c r="R16" s="257">
        <v>57.691667163085476</v>
      </c>
      <c r="S16" s="257">
        <v>55.186784047810313</v>
      </c>
      <c r="T16" s="257">
        <v>53.366512639770583</v>
      </c>
      <c r="U16" s="257">
        <v>52.196976237665368</v>
      </c>
      <c r="V16" s="257">
        <v>51.578125093256723</v>
      </c>
      <c r="W16" s="257">
        <v>51.327423327161263</v>
      </c>
      <c r="X16" s="257">
        <v>52.834279211213072</v>
      </c>
      <c r="Y16" s="257">
        <v>53.52706206055894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95.848071402612504</v>
      </c>
      <c r="C17" s="257">
        <f t="shared" ref="C17:W17" si="7">SUM(C18:C24)</f>
        <v>91.728408138368934</v>
      </c>
      <c r="D17" s="257">
        <f t="shared" si="7"/>
        <v>90.419738751695505</v>
      </c>
      <c r="E17" s="257">
        <f t="shared" si="7"/>
        <v>87.18901682550748</v>
      </c>
      <c r="F17" s="257">
        <f t="shared" si="7"/>
        <v>87.423813806631273</v>
      </c>
      <c r="G17" s="257">
        <f t="shared" si="7"/>
        <v>89.387858812508256</v>
      </c>
      <c r="H17" s="257">
        <f t="shared" si="7"/>
        <v>87.772393413884885</v>
      </c>
      <c r="I17" s="257">
        <f t="shared" si="7"/>
        <v>84.775110800975014</v>
      </c>
      <c r="J17" s="257">
        <f t="shared" si="7"/>
        <v>82.144485379542019</v>
      </c>
      <c r="K17" s="257">
        <f t="shared" si="7"/>
        <v>82.186438211492018</v>
      </c>
      <c r="L17" s="257">
        <f t="shared" si="7"/>
        <v>84.370340964650353</v>
      </c>
      <c r="M17" s="257">
        <f t="shared" si="7"/>
        <v>82.68268842889286</v>
      </c>
      <c r="N17" s="257">
        <f t="shared" si="7"/>
        <v>74.571134555366797</v>
      </c>
      <c r="O17" s="257">
        <f t="shared" si="7"/>
        <v>76.034801991973623</v>
      </c>
      <c r="P17" s="257">
        <f t="shared" si="7"/>
        <v>70.496741735182212</v>
      </c>
      <c r="Q17" s="257">
        <f t="shared" si="7"/>
        <v>71.297779380348487</v>
      </c>
      <c r="R17" s="257">
        <f t="shared" si="7"/>
        <v>70.812944007767541</v>
      </c>
      <c r="S17" s="257">
        <f t="shared" si="7"/>
        <v>69.730934535363986</v>
      </c>
      <c r="T17" s="257">
        <f t="shared" si="7"/>
        <v>65.516213500764266</v>
      </c>
      <c r="U17" s="257">
        <f t="shared" si="7"/>
        <v>64.827388661915336</v>
      </c>
      <c r="V17" s="257">
        <f t="shared" si="7"/>
        <v>65.161900014655416</v>
      </c>
      <c r="W17" s="257">
        <f t="shared" si="7"/>
        <v>64.268123451348444</v>
      </c>
      <c r="X17" s="257">
        <f t="shared" ref="X17:Y17" si="8">SUM(X18:X24)</f>
        <v>63.769739894634142</v>
      </c>
      <c r="Y17" s="257">
        <f t="shared" si="8"/>
        <v>67.29536958004195</v>
      </c>
      <c r="DA17" s="272"/>
    </row>
    <row r="18" spans="1:105" x14ac:dyDescent="0.25">
      <c r="A18" s="61" t="s">
        <v>29</v>
      </c>
      <c r="B18" s="55">
        <v>5.9795239982335282</v>
      </c>
      <c r="C18" s="55">
        <v>6.7997266943577408</v>
      </c>
      <c r="D18" s="55">
        <v>4.7731071965294394</v>
      </c>
      <c r="E18" s="55">
        <v>6.4218721140353239</v>
      </c>
      <c r="F18" s="55">
        <v>7.6561136157761611</v>
      </c>
      <c r="G18" s="55">
        <v>9.2265736082284029</v>
      </c>
      <c r="H18" s="55">
        <v>10.60833851957023</v>
      </c>
      <c r="I18" s="55">
        <v>10.59028679110126</v>
      </c>
      <c r="J18" s="55">
        <v>9.6771600967799998</v>
      </c>
      <c r="K18" s="55">
        <v>7.0058071650004292</v>
      </c>
      <c r="L18" s="55">
        <v>7.5050565904397297</v>
      </c>
      <c r="M18" s="55">
        <v>6.8031593496567657</v>
      </c>
      <c r="N18" s="55">
        <v>6.626034336122923</v>
      </c>
      <c r="O18" s="55">
        <v>8.6190945803615016</v>
      </c>
      <c r="P18" s="55">
        <v>5.8186940013391686</v>
      </c>
      <c r="Q18" s="55">
        <v>4.1382476946019597</v>
      </c>
      <c r="R18" s="55">
        <v>3.4824691874113491</v>
      </c>
      <c r="S18" s="55">
        <v>2.4979230707116891</v>
      </c>
      <c r="T18" s="55">
        <v>2.0243983679318198</v>
      </c>
      <c r="U18" s="55">
        <v>1.237189546880358</v>
      </c>
      <c r="V18" s="55">
        <v>0.75429571433890397</v>
      </c>
      <c r="W18" s="55">
        <v>0.71389134223297745</v>
      </c>
      <c r="X18" s="55">
        <v>0.74010067506391997</v>
      </c>
      <c r="Y18" s="55">
        <v>0.42229737042724319</v>
      </c>
      <c r="DA18" s="101" t="s">
        <v>1026</v>
      </c>
    </row>
    <row r="19" spans="1:105" x14ac:dyDescent="0.25">
      <c r="A19" s="61" t="s">
        <v>27</v>
      </c>
      <c r="B19" s="55">
        <v>1.197836258850866</v>
      </c>
      <c r="C19" s="55">
        <v>1.497301182558326</v>
      </c>
      <c r="D19" s="55">
        <v>1.197836258851056</v>
      </c>
      <c r="E19" s="55">
        <v>1.1978362588504361</v>
      </c>
      <c r="F19" s="55">
        <v>0.89837133514403278</v>
      </c>
      <c r="G19" s="55">
        <v>0.89837133514340528</v>
      </c>
      <c r="H19" s="55">
        <v>0.89837133514411949</v>
      </c>
      <c r="I19" s="55">
        <v>0.89837133514396228</v>
      </c>
      <c r="J19" s="55">
        <v>0.59892984741561472</v>
      </c>
      <c r="K19" s="55">
        <v>0.89837133514665657</v>
      </c>
      <c r="L19" s="55">
        <v>0.89837133514559819</v>
      </c>
      <c r="M19" s="55">
        <v>0.89837133514358825</v>
      </c>
      <c r="N19" s="55">
        <v>0.89837133514573697</v>
      </c>
      <c r="O19" s="55">
        <v>0.89837133514569723</v>
      </c>
      <c r="P19" s="55">
        <v>0.89837133514663703</v>
      </c>
      <c r="Q19" s="55">
        <v>1.249957873373913</v>
      </c>
      <c r="R19" s="55">
        <v>1.228068670153907</v>
      </c>
      <c r="S19" s="55">
        <v>1.7021081921331449</v>
      </c>
      <c r="T19" s="55">
        <v>1.323007816024278</v>
      </c>
      <c r="U19" s="55">
        <v>1.624277310019475</v>
      </c>
      <c r="V19" s="55">
        <v>1.5715463600785959</v>
      </c>
      <c r="W19" s="55">
        <v>1.639534131535731</v>
      </c>
      <c r="X19" s="55">
        <v>1.767400826148946</v>
      </c>
      <c r="Y19" s="55">
        <v>2.2028178567909769</v>
      </c>
      <c r="DA19" s="101" t="s">
        <v>1027</v>
      </c>
    </row>
    <row r="20" spans="1:105" x14ac:dyDescent="0.25">
      <c r="A20" s="61" t="s">
        <v>166</v>
      </c>
      <c r="B20" s="55">
        <v>48.396805444156392</v>
      </c>
      <c r="C20" s="55">
        <v>47.517001969107334</v>
      </c>
      <c r="D20" s="55">
        <v>48.679219051570172</v>
      </c>
      <c r="E20" s="55">
        <v>47.801446147660812</v>
      </c>
      <c r="F20" s="55">
        <v>41.620533391061549</v>
      </c>
      <c r="G20" s="55">
        <v>38.719094398545892</v>
      </c>
      <c r="H20" s="55">
        <v>41.813072758094343</v>
      </c>
      <c r="I20" s="55">
        <v>39.126275608205063</v>
      </c>
      <c r="J20" s="55">
        <v>42.745591981942709</v>
      </c>
      <c r="K20" s="55">
        <v>44.445239346855097</v>
      </c>
      <c r="L20" s="55">
        <v>43.796374864042228</v>
      </c>
      <c r="M20" s="55">
        <v>41.330420901747949</v>
      </c>
      <c r="N20" s="55">
        <v>39.818582985607378</v>
      </c>
      <c r="O20" s="55">
        <v>40.05777464620062</v>
      </c>
      <c r="P20" s="55">
        <v>38.800068459691211</v>
      </c>
      <c r="Q20" s="55">
        <v>41.499379849264628</v>
      </c>
      <c r="R20" s="55">
        <v>41.47646980853068</v>
      </c>
      <c r="S20" s="55">
        <v>36.684042444998539</v>
      </c>
      <c r="T20" s="55">
        <v>38.306204672632667</v>
      </c>
      <c r="U20" s="55">
        <v>36.321241152682148</v>
      </c>
      <c r="V20" s="55">
        <v>34.283209835328677</v>
      </c>
      <c r="W20" s="55">
        <v>34.863233055329069</v>
      </c>
      <c r="X20" s="55">
        <v>39.925870342861607</v>
      </c>
      <c r="Y20" s="55">
        <v>36.351544168270692</v>
      </c>
      <c r="DA20" s="101" t="s">
        <v>1028</v>
      </c>
    </row>
    <row r="21" spans="1:105" x14ac:dyDescent="0.25">
      <c r="A21" s="61" t="s">
        <v>129</v>
      </c>
      <c r="B21" s="55">
        <v>17.443133183592341</v>
      </c>
      <c r="C21" s="55">
        <v>12.462364235032449</v>
      </c>
      <c r="D21" s="55">
        <v>12.81392089951874</v>
      </c>
      <c r="E21" s="55">
        <v>9.6987579571643163</v>
      </c>
      <c r="F21" s="55">
        <v>15.585358575102241</v>
      </c>
      <c r="G21" s="55">
        <v>19.57329424657231</v>
      </c>
      <c r="H21" s="55">
        <v>12.22220137168758</v>
      </c>
      <c r="I21" s="55">
        <v>13.868549125526449</v>
      </c>
      <c r="J21" s="55">
        <v>8.7984395918139189</v>
      </c>
      <c r="K21" s="55">
        <v>10.07813174638148</v>
      </c>
      <c r="L21" s="55">
        <v>11.86312656541099</v>
      </c>
      <c r="M21" s="55">
        <v>14.278079016846849</v>
      </c>
      <c r="N21" s="55">
        <v>8.0414044790858679</v>
      </c>
      <c r="O21" s="55">
        <v>7.7165372180204894</v>
      </c>
      <c r="P21" s="55">
        <v>6.5087686201117938</v>
      </c>
      <c r="Q21" s="55">
        <v>5.4026620064364614</v>
      </c>
      <c r="R21" s="55">
        <v>4.5027613156049542</v>
      </c>
      <c r="S21" s="55">
        <v>8.4636734440438897</v>
      </c>
      <c r="T21" s="55">
        <v>4.4616830241061338</v>
      </c>
      <c r="U21" s="55">
        <v>6.5692270104905948</v>
      </c>
      <c r="V21" s="55">
        <v>9.7675071872931323</v>
      </c>
      <c r="W21" s="55">
        <v>7.2728624326475924</v>
      </c>
      <c r="X21" s="55">
        <v>5.9700937594860628</v>
      </c>
      <c r="Y21" s="55">
        <v>13.01062472649391</v>
      </c>
      <c r="DA21" s="101" t="s">
        <v>1029</v>
      </c>
    </row>
    <row r="22" spans="1:105" x14ac:dyDescent="0.25">
      <c r="A22" s="61" t="s">
        <v>169</v>
      </c>
      <c r="B22" s="55">
        <v>10.65077226908685</v>
      </c>
      <c r="C22" s="55">
        <v>12.15673172225358</v>
      </c>
      <c r="D22" s="55">
        <v>11.66037301016712</v>
      </c>
      <c r="E22" s="55">
        <v>10.963810578113801</v>
      </c>
      <c r="F22" s="55">
        <v>10.62870248523274</v>
      </c>
      <c r="G22" s="55">
        <v>10.00091803233914</v>
      </c>
      <c r="H22" s="55">
        <v>11.298807766822019</v>
      </c>
      <c r="I22" s="55">
        <v>9.3600262784335975</v>
      </c>
      <c r="J22" s="55">
        <v>9.164787644629973</v>
      </c>
      <c r="K22" s="55">
        <v>8.3713378467617439</v>
      </c>
      <c r="L22" s="55">
        <v>8.6866690724516804</v>
      </c>
      <c r="M22" s="55">
        <v>7.8040483226542587</v>
      </c>
      <c r="N22" s="55">
        <v>7.6146146953297276</v>
      </c>
      <c r="O22" s="55">
        <v>7.1576297481843598</v>
      </c>
      <c r="P22" s="55">
        <v>6.9011160292960767</v>
      </c>
      <c r="Q22" s="55">
        <v>7.2365063734977602</v>
      </c>
      <c r="R22" s="55">
        <v>8.2527097834092498</v>
      </c>
      <c r="S22" s="55">
        <v>8.5115692738650033</v>
      </c>
      <c r="T22" s="55">
        <v>7.5931586154395321</v>
      </c>
      <c r="U22" s="55">
        <v>7.3471036759495929</v>
      </c>
      <c r="V22" s="55">
        <v>7.3425697733731567</v>
      </c>
      <c r="W22" s="55">
        <v>7.3976125891841278</v>
      </c>
      <c r="X22" s="55">
        <v>3.3864234689651691</v>
      </c>
      <c r="Y22" s="55">
        <v>3.2303581859029382</v>
      </c>
      <c r="DA22" s="101" t="s">
        <v>1030</v>
      </c>
    </row>
    <row r="23" spans="1:105" x14ac:dyDescent="0.25">
      <c r="A23" s="61" t="s">
        <v>164</v>
      </c>
      <c r="B23" s="55">
        <v>12.180000248692529</v>
      </c>
      <c r="C23" s="55">
        <v>11.2952823350595</v>
      </c>
      <c r="D23" s="55">
        <v>11.295282335058991</v>
      </c>
      <c r="E23" s="55">
        <v>11.10529376968279</v>
      </c>
      <c r="F23" s="55">
        <v>11.03473440431455</v>
      </c>
      <c r="G23" s="55">
        <v>10.96960719167911</v>
      </c>
      <c r="H23" s="55">
        <v>10.931601662566599</v>
      </c>
      <c r="I23" s="55">
        <v>10.93160166256469</v>
      </c>
      <c r="J23" s="55">
        <v>11.159576216959801</v>
      </c>
      <c r="K23" s="55">
        <v>11.387550771346611</v>
      </c>
      <c r="L23" s="55">
        <v>11.62074253716013</v>
      </c>
      <c r="M23" s="55">
        <v>11.56860950284346</v>
      </c>
      <c r="N23" s="55">
        <v>11.57212672407516</v>
      </c>
      <c r="O23" s="55">
        <v>11.585394464060951</v>
      </c>
      <c r="P23" s="55">
        <v>11.569723289597331</v>
      </c>
      <c r="Q23" s="55">
        <v>11.77102558317377</v>
      </c>
      <c r="R23" s="55">
        <v>11.870465242657399</v>
      </c>
      <c r="S23" s="55">
        <v>11.87161810961172</v>
      </c>
      <c r="T23" s="55">
        <v>11.80776100462983</v>
      </c>
      <c r="U23" s="55">
        <v>11.72834996589317</v>
      </c>
      <c r="V23" s="55">
        <v>11.44277114424295</v>
      </c>
      <c r="W23" s="55">
        <v>12.380989900418941</v>
      </c>
      <c r="X23" s="55">
        <v>11.979850822108441</v>
      </c>
      <c r="Y23" s="55">
        <v>12.07772727215619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10.07387352930604</v>
      </c>
      <c r="C25" s="257">
        <v>9.7105266050814372</v>
      </c>
      <c r="D25" s="257">
        <v>9.6689963169209001</v>
      </c>
      <c r="E25" s="257">
        <v>9.3760792564000912</v>
      </c>
      <c r="F25" s="257">
        <v>9.0559353532109288</v>
      </c>
      <c r="G25" s="257">
        <v>9.0204942961736005</v>
      </c>
      <c r="H25" s="257">
        <v>9.1024352850395385</v>
      </c>
      <c r="I25" s="257">
        <v>8.7156916477618314</v>
      </c>
      <c r="J25" s="257">
        <v>8.7313595481228319</v>
      </c>
      <c r="K25" s="257">
        <v>8.8161312317591207</v>
      </c>
      <c r="L25" s="257">
        <v>8.9516211777800656</v>
      </c>
      <c r="M25" s="257">
        <v>8.6768967255701703</v>
      </c>
      <c r="N25" s="257">
        <v>7.9783086684753588</v>
      </c>
      <c r="O25" s="257">
        <v>8.1084767867534193</v>
      </c>
      <c r="P25" s="257">
        <v>7.6077552483906468</v>
      </c>
      <c r="Q25" s="257">
        <v>7.8012691124211981</v>
      </c>
      <c r="R25" s="257">
        <v>7.7601542423214704</v>
      </c>
      <c r="S25" s="257">
        <v>7.4232203263960876</v>
      </c>
      <c r="T25" s="257">
        <v>7.1783741019085019</v>
      </c>
      <c r="U25" s="257">
        <v>7.0210587855268427</v>
      </c>
      <c r="V25" s="257">
        <v>6.9378166022133909</v>
      </c>
      <c r="W25" s="257">
        <v>6.9040944986689814</v>
      </c>
      <c r="X25" s="257">
        <v>7.1067829397593787</v>
      </c>
      <c r="Y25" s="257">
        <v>7.1999697383339711</v>
      </c>
      <c r="DA25" s="272" t="s">
        <v>1033</v>
      </c>
    </row>
    <row r="26" spans="1:105" x14ac:dyDescent="0.25">
      <c r="A26" s="256" t="s">
        <v>170</v>
      </c>
      <c r="B26" s="257">
        <v>12.02408734059733</v>
      </c>
      <c r="C26" s="257">
        <v>11.658722694694751</v>
      </c>
      <c r="D26" s="257">
        <v>11.52376004571528</v>
      </c>
      <c r="E26" s="257">
        <v>11.659271369966371</v>
      </c>
      <c r="F26" s="257">
        <v>11.49715339829968</v>
      </c>
      <c r="G26" s="257">
        <v>11.48562329597239</v>
      </c>
      <c r="H26" s="257">
        <v>11.80147278681663</v>
      </c>
      <c r="I26" s="257">
        <v>11.319106608425789</v>
      </c>
      <c r="J26" s="257">
        <v>11.509553269784719</v>
      </c>
      <c r="K26" s="257">
        <v>11.32753250200178</v>
      </c>
      <c r="L26" s="257">
        <v>11.535062712611589</v>
      </c>
      <c r="M26" s="257">
        <v>11.059865579232961</v>
      </c>
      <c r="N26" s="257">
        <v>10.570295136570261</v>
      </c>
      <c r="O26" s="257">
        <v>10.784353953033399</v>
      </c>
      <c r="P26" s="257">
        <v>10.43755813644886</v>
      </c>
      <c r="Q26" s="257">
        <v>10.53332429365171</v>
      </c>
      <c r="R26" s="257">
        <v>10.367707393684061</v>
      </c>
      <c r="S26" s="257">
        <v>10.290477421895879</v>
      </c>
      <c r="T26" s="257">
        <v>10.134555102004169</v>
      </c>
      <c r="U26" s="257">
        <v>10.388597312301229</v>
      </c>
      <c r="V26" s="257">
        <v>10.259293681040569</v>
      </c>
      <c r="W26" s="257">
        <v>10.38625341220467</v>
      </c>
      <c r="X26" s="257">
        <v>9.7041031942144027</v>
      </c>
      <c r="Y26" s="257">
        <v>9.6821495643711284</v>
      </c>
      <c r="DA26" s="272" t="s">
        <v>1034</v>
      </c>
    </row>
    <row r="27" spans="1:105" x14ac:dyDescent="0.25">
      <c r="A27" s="128" t="s">
        <v>33</v>
      </c>
      <c r="B27" s="258">
        <v>18.325487649373521</v>
      </c>
      <c r="C27" s="258">
        <v>17.768648272184411</v>
      </c>
      <c r="D27" s="258">
        <v>17.56295645650296</v>
      </c>
      <c r="E27" s="258">
        <v>17.7694844888243</v>
      </c>
      <c r="F27" s="258">
        <v>17.52240620309956</v>
      </c>
      <c r="G27" s="258">
        <v>17.504833580595289</v>
      </c>
      <c r="H27" s="258">
        <v>17.98620865544062</v>
      </c>
      <c r="I27" s="258">
        <v>17.251051367059059</v>
      </c>
      <c r="J27" s="258">
        <v>17.541304410116549</v>
      </c>
      <c r="K27" s="258">
        <v>17.263892974433311</v>
      </c>
      <c r="L27" s="258">
        <v>17.580182452684301</v>
      </c>
      <c r="M27" s="258">
        <v>16.855951253086641</v>
      </c>
      <c r="N27" s="258">
        <v>16.10981419948903</v>
      </c>
      <c r="O27" s="258">
        <v>16.43605369577832</v>
      </c>
      <c r="P27" s="258">
        <v>15.90751441677482</v>
      </c>
      <c r="Q27" s="258">
        <v>16.053468241072441</v>
      </c>
      <c r="R27" s="258">
        <v>15.80105736206648</v>
      </c>
      <c r="S27" s="258">
        <v>15.683353884532069</v>
      </c>
      <c r="T27" s="258">
        <v>15.445718173271899</v>
      </c>
      <c r="U27" s="258">
        <v>15.832894950631131</v>
      </c>
      <c r="V27" s="258">
        <v>15.63582784436635</v>
      </c>
      <c r="W27" s="258">
        <v>15.82932269511983</v>
      </c>
      <c r="X27" s="258">
        <v>14.789681594660459</v>
      </c>
      <c r="Y27" s="258">
        <v>14.75622284131345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1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1</v>
      </c>
      <c r="J31" s="235">
        <f t="shared" si="9"/>
        <v>1.0000000000000002</v>
      </c>
      <c r="K31" s="235">
        <f t="shared" si="9"/>
        <v>1</v>
      </c>
      <c r="L31" s="235">
        <f t="shared" si="9"/>
        <v>1</v>
      </c>
      <c r="M31" s="235">
        <f t="shared" si="9"/>
        <v>0.99999999999999989</v>
      </c>
      <c r="N31" s="235">
        <f t="shared" si="9"/>
        <v>1</v>
      </c>
      <c r="O31" s="235">
        <f t="shared" si="9"/>
        <v>1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0.99999999999999989</v>
      </c>
      <c r="U31" s="235">
        <f t="shared" si="10"/>
        <v>0.99999999999999989</v>
      </c>
      <c r="V31" s="235">
        <f t="shared" si="10"/>
        <v>1</v>
      </c>
      <c r="W31" s="235">
        <f t="shared" si="10"/>
        <v>0.99999999999999989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3.2353421433758071E-2</v>
      </c>
      <c r="C32" s="244">
        <f t="shared" si="12"/>
        <v>3.2455057048844528E-2</v>
      </c>
      <c r="D32" s="244">
        <f t="shared" si="12"/>
        <v>3.2391878174879658E-2</v>
      </c>
      <c r="E32" s="244">
        <f t="shared" si="12"/>
        <v>3.3399285517012045E-2</v>
      </c>
      <c r="F32" s="244">
        <f t="shared" si="12"/>
        <v>3.3380147235701284E-2</v>
      </c>
      <c r="G32" s="244">
        <f t="shared" si="12"/>
        <v>3.3196851588331196E-2</v>
      </c>
      <c r="H32" s="244">
        <f t="shared" si="12"/>
        <v>3.3859071064964899E-2</v>
      </c>
      <c r="I32" s="244">
        <f t="shared" si="12"/>
        <v>3.379319816498251E-2</v>
      </c>
      <c r="J32" s="244">
        <f t="shared" si="12"/>
        <v>3.4477792272607041E-2</v>
      </c>
      <c r="K32" s="244">
        <f t="shared" si="12"/>
        <v>3.4024977881823459E-2</v>
      </c>
      <c r="L32" s="244">
        <f t="shared" si="12"/>
        <v>3.4000322022760786E-2</v>
      </c>
      <c r="M32" s="244">
        <f t="shared" si="12"/>
        <v>3.3921610822778774E-2</v>
      </c>
      <c r="N32" s="244">
        <f t="shared" si="12"/>
        <v>3.4877700019586122E-2</v>
      </c>
      <c r="O32" s="244">
        <f t="shared" si="12"/>
        <v>3.4971789118074324E-2</v>
      </c>
      <c r="P32" s="244">
        <f t="shared" si="12"/>
        <v>3.5707796229041279E-2</v>
      </c>
      <c r="Q32" s="244">
        <f t="shared" si="12"/>
        <v>3.5517912512654716E-2</v>
      </c>
      <c r="R32" s="244">
        <f t="shared" si="12"/>
        <v>3.5251916153983584E-2</v>
      </c>
      <c r="S32" s="244">
        <f t="shared" si="12"/>
        <v>3.5714326968558523E-2</v>
      </c>
      <c r="T32" s="244">
        <f t="shared" si="12"/>
        <v>3.6406018325634497E-2</v>
      </c>
      <c r="U32" s="244">
        <f t="shared" si="12"/>
        <v>3.7335925143778863E-2</v>
      </c>
      <c r="V32" s="244">
        <f t="shared" si="12"/>
        <v>3.7119185759024571E-2</v>
      </c>
      <c r="W32" s="244">
        <f t="shared" si="12"/>
        <v>3.7645565179961787E-2</v>
      </c>
      <c r="X32" s="244">
        <f t="shared" si="12"/>
        <v>3.6094176770651978E-2</v>
      </c>
      <c r="Y32" s="244">
        <f t="shared" si="12"/>
        <v>3.5353649363895831E-2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2.0853661269749444E-2</v>
      </c>
      <c r="C33" s="245">
        <f t="shared" si="13"/>
        <v>2.0919171333168712E-2</v>
      </c>
      <c r="D33" s="245">
        <f t="shared" si="13"/>
        <v>2.0878448875429105E-2</v>
      </c>
      <c r="E33" s="245">
        <f t="shared" si="13"/>
        <v>2.1527781482074761E-2</v>
      </c>
      <c r="F33" s="245">
        <f t="shared" si="13"/>
        <v>2.1515445746994724E-2</v>
      </c>
      <c r="G33" s="245">
        <f t="shared" si="13"/>
        <v>2.1397301044731892E-2</v>
      </c>
      <c r="H33" s="245">
        <f t="shared" si="13"/>
        <v>2.1824140001477928E-2</v>
      </c>
      <c r="I33" s="245">
        <f t="shared" si="13"/>
        <v>2.1781681087328739E-2</v>
      </c>
      <c r="J33" s="245">
        <f t="shared" si="13"/>
        <v>2.2222941794697762E-2</v>
      </c>
      <c r="K33" s="245">
        <f t="shared" si="13"/>
        <v>2.1931076591420795E-2</v>
      </c>
      <c r="L33" s="245">
        <f t="shared" si="13"/>
        <v>2.191518445666589E-2</v>
      </c>
      <c r="M33" s="245">
        <f t="shared" si="13"/>
        <v>2.1864450511697463E-2</v>
      </c>
      <c r="N33" s="245">
        <f t="shared" si="13"/>
        <v>2.2480705589841499E-2</v>
      </c>
      <c r="O33" s="245">
        <f t="shared" si="13"/>
        <v>2.2541351484528915E-2</v>
      </c>
      <c r="P33" s="245">
        <f t="shared" si="13"/>
        <v>2.3015750861907186E-2</v>
      </c>
      <c r="Q33" s="245">
        <f t="shared" si="13"/>
        <v>2.2893359766106888E-2</v>
      </c>
      <c r="R33" s="245">
        <f t="shared" si="13"/>
        <v>2.2721909646864571E-2</v>
      </c>
      <c r="S33" s="245">
        <f t="shared" si="13"/>
        <v>2.3019960303249053E-2</v>
      </c>
      <c r="T33" s="245">
        <f t="shared" si="13"/>
        <v>2.3465795600551651E-2</v>
      </c>
      <c r="U33" s="245">
        <f t="shared" si="13"/>
        <v>2.4065174613300471E-2</v>
      </c>
      <c r="V33" s="245">
        <f t="shared" si="13"/>
        <v>2.3925473477742567E-2</v>
      </c>
      <c r="W33" s="245">
        <f t="shared" si="13"/>
        <v>2.4264755620314903E-2</v>
      </c>
      <c r="X33" s="245">
        <f t="shared" si="13"/>
        <v>2.3264795586665873E-2</v>
      </c>
      <c r="Y33" s="245">
        <f t="shared" si="13"/>
        <v>2.2787482615823598E-2</v>
      </c>
      <c r="DA33" s="276"/>
    </row>
    <row r="34" spans="1:105" x14ac:dyDescent="0.25">
      <c r="A34" s="240" t="s">
        <v>123</v>
      </c>
      <c r="B34" s="245">
        <f t="shared" ref="B34:Y34" si="14">IF(B$8=0,0,B$8/B$5)</f>
        <v>4.1441067839524323E-2</v>
      </c>
      <c r="C34" s="245">
        <f t="shared" si="14"/>
        <v>4.1571251549099984E-2</v>
      </c>
      <c r="D34" s="245">
        <f t="shared" si="14"/>
        <v>4.1490326568495862E-2</v>
      </c>
      <c r="E34" s="245">
        <f t="shared" si="14"/>
        <v>4.2780701253993039E-2</v>
      </c>
      <c r="F34" s="245">
        <f t="shared" si="14"/>
        <v>4.2756187283631203E-2</v>
      </c>
      <c r="G34" s="245">
        <f t="shared" si="14"/>
        <v>4.2521406323203108E-2</v>
      </c>
      <c r="H34" s="245">
        <f t="shared" si="14"/>
        <v>4.336963445610769E-2</v>
      </c>
      <c r="I34" s="245">
        <f t="shared" si="14"/>
        <v>4.328525873335623E-2</v>
      </c>
      <c r="J34" s="245">
        <f t="shared" si="14"/>
        <v>4.4162146233946965E-2</v>
      </c>
      <c r="K34" s="245">
        <f t="shared" si="14"/>
        <v>4.3582142294468815E-2</v>
      </c>
      <c r="L34" s="245">
        <f t="shared" si="14"/>
        <v>4.3550560932041647E-2</v>
      </c>
      <c r="M34" s="245">
        <f t="shared" si="14"/>
        <v>4.3449740801321829E-2</v>
      </c>
      <c r="N34" s="245">
        <f t="shared" si="14"/>
        <v>4.4674382756011301E-2</v>
      </c>
      <c r="O34" s="245">
        <f t="shared" si="14"/>
        <v>4.4794900232699005E-2</v>
      </c>
      <c r="P34" s="245">
        <f t="shared" si="14"/>
        <v>4.5737641966472127E-2</v>
      </c>
      <c r="Q34" s="245">
        <f t="shared" si="14"/>
        <v>4.5494422435934725E-2</v>
      </c>
      <c r="R34" s="245">
        <f t="shared" si="14"/>
        <v>4.5153711232721598E-2</v>
      </c>
      <c r="S34" s="245">
        <f t="shared" si="14"/>
        <v>4.5746007103987234E-2</v>
      </c>
      <c r="T34" s="245">
        <f t="shared" si="14"/>
        <v>4.6631985377144095E-2</v>
      </c>
      <c r="U34" s="245">
        <f t="shared" si="14"/>
        <v>4.7823090670723579E-2</v>
      </c>
      <c r="V34" s="245">
        <f t="shared" si="14"/>
        <v>4.7545472071235155E-2</v>
      </c>
      <c r="W34" s="245">
        <f t="shared" si="14"/>
        <v>4.8219704480844477E-2</v>
      </c>
      <c r="X34" s="245">
        <f t="shared" si="14"/>
        <v>4.623255167083045E-2</v>
      </c>
      <c r="Y34" s="245">
        <f t="shared" si="14"/>
        <v>4.5284019950213451E-2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0.34192559924776766</v>
      </c>
      <c r="C35" s="246">
        <f t="shared" si="15"/>
        <v>0.34452351271568937</v>
      </c>
      <c r="D35" s="246">
        <f t="shared" si="15"/>
        <v>0.34482110475557848</v>
      </c>
      <c r="E35" s="246">
        <f t="shared" si="15"/>
        <v>0.3463843731687502</v>
      </c>
      <c r="F35" s="246">
        <f t="shared" si="15"/>
        <v>0.34720078221970646</v>
      </c>
      <c r="G35" s="246">
        <f t="shared" si="15"/>
        <v>0.34554217397727316</v>
      </c>
      <c r="H35" s="246">
        <f t="shared" si="15"/>
        <v>0.34806256916037487</v>
      </c>
      <c r="I35" s="246">
        <f t="shared" si="15"/>
        <v>0.34795037458532813</v>
      </c>
      <c r="J35" s="246">
        <f t="shared" si="15"/>
        <v>0.3500737107285361</v>
      </c>
      <c r="K35" s="246">
        <f t="shared" si="15"/>
        <v>0.34901638959068176</v>
      </c>
      <c r="L35" s="246">
        <f t="shared" si="15"/>
        <v>0.34814757608623914</v>
      </c>
      <c r="M35" s="246">
        <f t="shared" si="15"/>
        <v>0.34180591316686715</v>
      </c>
      <c r="N35" s="246">
        <f t="shared" si="15"/>
        <v>0.3464991951043242</v>
      </c>
      <c r="O35" s="246">
        <f t="shared" si="15"/>
        <v>0.34573733735832995</v>
      </c>
      <c r="P35" s="246">
        <f t="shared" si="15"/>
        <v>0.34932709259899192</v>
      </c>
      <c r="Q35" s="246">
        <f t="shared" si="15"/>
        <v>0.34878258346407981</v>
      </c>
      <c r="R35" s="246">
        <f t="shared" si="15"/>
        <v>0.34919556347724906</v>
      </c>
      <c r="S35" s="246">
        <f t="shared" si="15"/>
        <v>0.35066949323482233</v>
      </c>
      <c r="T35" s="246">
        <f t="shared" si="15"/>
        <v>0.35332061942453752</v>
      </c>
      <c r="U35" s="246">
        <f t="shared" si="15"/>
        <v>0.35524788525556311</v>
      </c>
      <c r="V35" s="246">
        <f t="shared" si="15"/>
        <v>0.35477014158029224</v>
      </c>
      <c r="W35" s="246">
        <f t="shared" si="15"/>
        <v>0.35535600431188219</v>
      </c>
      <c r="X35" s="246">
        <f t="shared" si="15"/>
        <v>0.34778016220134228</v>
      </c>
      <c r="Y35" s="246">
        <f t="shared" si="15"/>
        <v>0.34453640007332825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0.19982787322210269</v>
      </c>
      <c r="C36" s="259">
        <f t="shared" si="16"/>
        <v>0.19928089543366567</v>
      </c>
      <c r="D36" s="259">
        <f t="shared" si="16"/>
        <v>0.20036174151920319</v>
      </c>
      <c r="E36" s="259">
        <f t="shared" si="16"/>
        <v>0.19800607491847017</v>
      </c>
      <c r="F36" s="259">
        <f t="shared" si="16"/>
        <v>0.19383076728534843</v>
      </c>
      <c r="G36" s="259">
        <f t="shared" si="16"/>
        <v>0.19220476231892636</v>
      </c>
      <c r="H36" s="259">
        <f t="shared" si="16"/>
        <v>0.19252534434716717</v>
      </c>
      <c r="I36" s="259">
        <f t="shared" si="16"/>
        <v>0.19182732953106088</v>
      </c>
      <c r="J36" s="259">
        <f t="shared" si="16"/>
        <v>0.19282100097196028</v>
      </c>
      <c r="K36" s="259">
        <f t="shared" si="16"/>
        <v>0.19522348446232751</v>
      </c>
      <c r="L36" s="259">
        <f t="shared" si="16"/>
        <v>0.19451640957361069</v>
      </c>
      <c r="M36" s="259">
        <f t="shared" si="16"/>
        <v>0.19619255648566825</v>
      </c>
      <c r="N36" s="259">
        <f t="shared" si="16"/>
        <v>0.19407207003285754</v>
      </c>
      <c r="O36" s="259">
        <f t="shared" si="16"/>
        <v>0.19384494247070311</v>
      </c>
      <c r="P36" s="259">
        <f t="shared" si="16"/>
        <v>0.19187224270034295</v>
      </c>
      <c r="Q36" s="259">
        <f t="shared" si="16"/>
        <v>0.19392719544726933</v>
      </c>
      <c r="R36" s="259">
        <f t="shared" si="16"/>
        <v>0.19451891099935675</v>
      </c>
      <c r="S36" s="259">
        <f t="shared" si="16"/>
        <v>0.18992877902998026</v>
      </c>
      <c r="T36" s="259">
        <f t="shared" si="16"/>
        <v>0.19010172696890118</v>
      </c>
      <c r="U36" s="259">
        <f t="shared" si="16"/>
        <v>0.18602190750908409</v>
      </c>
      <c r="V36" s="259">
        <f t="shared" si="16"/>
        <v>0.1850526350233016</v>
      </c>
      <c r="W36" s="259">
        <f t="shared" si="16"/>
        <v>0.18448162411266819</v>
      </c>
      <c r="X36" s="259">
        <f t="shared" si="16"/>
        <v>0.19487057432817773</v>
      </c>
      <c r="Y36" s="259">
        <f t="shared" si="16"/>
        <v>0.19381376292553651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0.25574091504453356</v>
      </c>
      <c r="C37" s="259">
        <f t="shared" si="17"/>
        <v>0.25321183727409757</v>
      </c>
      <c r="D37" s="259">
        <f t="shared" si="17"/>
        <v>0.25203097244540484</v>
      </c>
      <c r="E37" s="259">
        <f t="shared" si="17"/>
        <v>0.24767164553451448</v>
      </c>
      <c r="F37" s="259">
        <f t="shared" si="17"/>
        <v>0.25169605805075207</v>
      </c>
      <c r="G37" s="259">
        <f t="shared" si="17"/>
        <v>0.25619438458886035</v>
      </c>
      <c r="H37" s="259">
        <f t="shared" si="17"/>
        <v>0.24971550803378531</v>
      </c>
      <c r="I37" s="259">
        <f t="shared" si="17"/>
        <v>0.25097719097578475</v>
      </c>
      <c r="J37" s="259">
        <f t="shared" si="17"/>
        <v>0.24401028827702495</v>
      </c>
      <c r="K37" s="259">
        <f t="shared" si="17"/>
        <v>0.24480001351014322</v>
      </c>
      <c r="L37" s="259">
        <f t="shared" si="17"/>
        <v>0.24660485245704292</v>
      </c>
      <c r="M37" s="259">
        <f t="shared" si="17"/>
        <v>0.25147218268633004</v>
      </c>
      <c r="N37" s="259">
        <f t="shared" si="17"/>
        <v>0.24399460211267562</v>
      </c>
      <c r="O37" s="259">
        <f t="shared" si="17"/>
        <v>0.24450338735341209</v>
      </c>
      <c r="P37" s="259">
        <f t="shared" si="17"/>
        <v>0.23915635662051798</v>
      </c>
      <c r="Q37" s="259">
        <f t="shared" si="17"/>
        <v>0.23840026017567117</v>
      </c>
      <c r="R37" s="259">
        <f t="shared" si="17"/>
        <v>0.23875990121954868</v>
      </c>
      <c r="S37" s="259">
        <f t="shared" si="17"/>
        <v>0.23998338525121313</v>
      </c>
      <c r="T37" s="259">
        <f t="shared" si="17"/>
        <v>0.23338128565809296</v>
      </c>
      <c r="U37" s="259">
        <f t="shared" si="17"/>
        <v>0.23103473356029872</v>
      </c>
      <c r="V37" s="259">
        <f t="shared" si="17"/>
        <v>0.23378867066289313</v>
      </c>
      <c r="W37" s="259">
        <f t="shared" si="17"/>
        <v>0.23099323956720327</v>
      </c>
      <c r="X37" s="259">
        <f t="shared" si="17"/>
        <v>0.23520422770125538</v>
      </c>
      <c r="Y37" s="259">
        <f t="shared" si="17"/>
        <v>0.24366681644167967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2.6879013805147987E-2</v>
      </c>
      <c r="C38" s="259">
        <f t="shared" si="18"/>
        <v>2.6805439366860438E-2</v>
      </c>
      <c r="D38" s="259">
        <f t="shared" si="18"/>
        <v>2.6950824874827646E-2</v>
      </c>
      <c r="E38" s="259">
        <f t="shared" si="18"/>
        <v>2.6633962196661361E-2</v>
      </c>
      <c r="F38" s="259">
        <f t="shared" si="18"/>
        <v>2.6072338086361811E-2</v>
      </c>
      <c r="G38" s="259">
        <f t="shared" si="18"/>
        <v>2.5853622802878198E-2</v>
      </c>
      <c r="H38" s="259">
        <f t="shared" si="18"/>
        <v>2.5896744558736487E-2</v>
      </c>
      <c r="I38" s="259">
        <f t="shared" si="18"/>
        <v>2.5802854003951534E-2</v>
      </c>
      <c r="J38" s="259">
        <f t="shared" si="18"/>
        <v>2.5936513577799043E-2</v>
      </c>
      <c r="K38" s="259">
        <f t="shared" si="18"/>
        <v>2.6259673634816939E-2</v>
      </c>
      <c r="L38" s="259">
        <f t="shared" si="18"/>
        <v>2.6164564402112608E-2</v>
      </c>
      <c r="M38" s="259">
        <f t="shared" si="18"/>
        <v>2.6390024320502352E-2</v>
      </c>
      <c r="N38" s="259">
        <f t="shared" si="18"/>
        <v>2.6104795920081074E-2</v>
      </c>
      <c r="O38" s="259">
        <f t="shared" si="18"/>
        <v>2.6074244802360414E-2</v>
      </c>
      <c r="P38" s="259">
        <f t="shared" si="18"/>
        <v>2.580889531179165E-2</v>
      </c>
      <c r="Q38" s="259">
        <f t="shared" si="18"/>
        <v>2.6085308718805017E-2</v>
      </c>
      <c r="R38" s="259">
        <f t="shared" si="18"/>
        <v>2.6164900870974929E-2</v>
      </c>
      <c r="S38" s="259">
        <f t="shared" si="18"/>
        <v>2.5547478393404977E-2</v>
      </c>
      <c r="T38" s="259">
        <f t="shared" si="18"/>
        <v>2.557074176483996E-2</v>
      </c>
      <c r="U38" s="259">
        <f t="shared" si="18"/>
        <v>2.5021961848331269E-2</v>
      </c>
      <c r="V38" s="259">
        <f t="shared" si="18"/>
        <v>2.4891584198275713E-2</v>
      </c>
      <c r="W38" s="259">
        <f t="shared" si="18"/>
        <v>2.4814777044687351E-2</v>
      </c>
      <c r="X38" s="259">
        <f t="shared" si="18"/>
        <v>2.6212203398483878E-2</v>
      </c>
      <c r="Y38" s="259">
        <f t="shared" si="18"/>
        <v>2.6070050815748542E-2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3.2082555799614526E-2</v>
      </c>
      <c r="C39" s="259">
        <f t="shared" si="19"/>
        <v>3.2183340512567285E-2</v>
      </c>
      <c r="D39" s="259">
        <f t="shared" si="19"/>
        <v>3.2120690577583252E-2</v>
      </c>
      <c r="E39" s="259">
        <f t="shared" si="19"/>
        <v>3.3119663818576575E-2</v>
      </c>
      <c r="F39" s="259">
        <f t="shared" si="19"/>
        <v>3.3100685764607292E-2</v>
      </c>
      <c r="G39" s="259">
        <f t="shared" si="19"/>
        <v>3.2918924684202926E-2</v>
      </c>
      <c r="H39" s="259">
        <f t="shared" si="19"/>
        <v>3.3575600002273762E-2</v>
      </c>
      <c r="I39" s="259">
        <f t="shared" si="19"/>
        <v>3.3510278595890355E-2</v>
      </c>
      <c r="J39" s="259">
        <f t="shared" si="19"/>
        <v>3.4189141222611949E-2</v>
      </c>
      <c r="K39" s="259">
        <f t="shared" si="19"/>
        <v>3.3740117832955073E-2</v>
      </c>
      <c r="L39" s="259">
        <f t="shared" si="19"/>
        <v>3.3715668394870599E-2</v>
      </c>
      <c r="M39" s="259">
        <f t="shared" si="19"/>
        <v>3.3637616171842299E-2</v>
      </c>
      <c r="N39" s="259">
        <f t="shared" si="19"/>
        <v>3.4585700907448468E-2</v>
      </c>
      <c r="O39" s="259">
        <f t="shared" si="19"/>
        <v>3.4679002283890641E-2</v>
      </c>
      <c r="P39" s="259">
        <f t="shared" si="19"/>
        <v>3.5408847479857231E-2</v>
      </c>
      <c r="Q39" s="259">
        <f t="shared" si="19"/>
        <v>3.5220553486318293E-2</v>
      </c>
      <c r="R39" s="259">
        <f t="shared" si="19"/>
        <v>3.4956784072099338E-2</v>
      </c>
      <c r="S39" s="259">
        <f t="shared" si="19"/>
        <v>3.5415323543460074E-2</v>
      </c>
      <c r="T39" s="259">
        <f t="shared" si="19"/>
        <v>3.6101224000848697E-2</v>
      </c>
      <c r="U39" s="259">
        <f t="shared" si="19"/>
        <v>3.7023345558923795E-2</v>
      </c>
      <c r="V39" s="259">
        <f t="shared" si="19"/>
        <v>3.6808420734988564E-2</v>
      </c>
      <c r="W39" s="259">
        <f t="shared" si="19"/>
        <v>3.7330393262022935E-2</v>
      </c>
      <c r="X39" s="259">
        <f t="shared" si="19"/>
        <v>3.5791993210255175E-2</v>
      </c>
      <c r="Y39" s="259">
        <f t="shared" si="19"/>
        <v>3.5057665562805547E-2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4.8895892337801825E-2</v>
      </c>
      <c r="C40" s="261">
        <f t="shared" si="20"/>
        <v>4.9049494766006486E-2</v>
      </c>
      <c r="D40" s="261">
        <f t="shared" si="20"/>
        <v>4.8954012208597991E-2</v>
      </c>
      <c r="E40" s="261">
        <f t="shared" si="20"/>
        <v>5.0476512109947511E-2</v>
      </c>
      <c r="F40" s="261">
        <f t="shared" si="20"/>
        <v>5.0447588326896733E-2</v>
      </c>
      <c r="G40" s="261">
        <f t="shared" si="20"/>
        <v>5.0170572671592847E-2</v>
      </c>
      <c r="H40" s="261">
        <f t="shared" si="20"/>
        <v>5.117138837511194E-2</v>
      </c>
      <c r="I40" s="261">
        <f t="shared" si="20"/>
        <v>5.1071834322316899E-2</v>
      </c>
      <c r="J40" s="261">
        <f t="shared" si="20"/>
        <v>5.2106464920815991E-2</v>
      </c>
      <c r="K40" s="261">
        <f t="shared" si="20"/>
        <v>5.1422124201362426E-2</v>
      </c>
      <c r="L40" s="261">
        <f t="shared" si="20"/>
        <v>5.1384861674655835E-2</v>
      </c>
      <c r="M40" s="261">
        <f t="shared" si="20"/>
        <v>5.1265905032991881E-2</v>
      </c>
      <c r="N40" s="261">
        <f t="shared" si="20"/>
        <v>5.2710847557174111E-2</v>
      </c>
      <c r="O40" s="261">
        <f t="shared" si="20"/>
        <v>5.2853044896001511E-2</v>
      </c>
      <c r="P40" s="261">
        <f t="shared" si="20"/>
        <v>5.3965376231077763E-2</v>
      </c>
      <c r="Q40" s="261">
        <f t="shared" si="20"/>
        <v>5.3678403993160075E-2</v>
      </c>
      <c r="R40" s="261">
        <f t="shared" si="20"/>
        <v>5.3276402327201482E-2</v>
      </c>
      <c r="S40" s="261">
        <f t="shared" si="20"/>
        <v>5.3975246171324293E-2</v>
      </c>
      <c r="T40" s="261">
        <f t="shared" si="20"/>
        <v>5.5020602879449321E-2</v>
      </c>
      <c r="U40" s="261">
        <f t="shared" si="20"/>
        <v>5.6425975839995951E-2</v>
      </c>
      <c r="V40" s="261">
        <f t="shared" si="20"/>
        <v>5.6098416492246436E-2</v>
      </c>
      <c r="W40" s="261">
        <f t="shared" si="20"/>
        <v>5.6893936420414723E-2</v>
      </c>
      <c r="X40" s="261">
        <f t="shared" si="20"/>
        <v>5.4549315132337371E-2</v>
      </c>
      <c r="Y40" s="261">
        <f t="shared" si="20"/>
        <v>5.343015225096865E-2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0.37723239242247847</v>
      </c>
      <c r="C44" s="237">
        <f>IF(C$5=0,0,C$5/AGR_fec!C$5)</f>
        <v>0.37890130694263108</v>
      </c>
      <c r="D44" s="237">
        <f>IF(D$5=0,0,D$5/AGR_fec!D$5)</f>
        <v>0.37907802008395514</v>
      </c>
      <c r="E44" s="237">
        <f>IF(E$5=0,0,E$5/AGR_fec!E$5)</f>
        <v>0.38123044237485798</v>
      </c>
      <c r="F44" s="237">
        <f>IF(F$5=0,0,F$5/AGR_fec!F$5)</f>
        <v>0.38052993834230425</v>
      </c>
      <c r="G44" s="237">
        <f>IF(G$5=0,0,G$5/AGR_fec!G$5)</f>
        <v>0.37893275828928202</v>
      </c>
      <c r="H44" s="237">
        <f>IF(H$5=0,0,H$5/AGR_fec!H$5)</f>
        <v>0.38165500459770069</v>
      </c>
      <c r="I44" s="237">
        <f>IF(I$5=0,0,I$5/AGR_fec!I$5)</f>
        <v>0.38092159032692863</v>
      </c>
      <c r="J44" s="237">
        <f>IF(J$5=0,0,J$5/AGR_fec!J$5)</f>
        <v>0.38342260696373515</v>
      </c>
      <c r="K44" s="237">
        <f>IF(K$5=0,0,K$5/AGR_fec!K$5)</f>
        <v>0.38246383930982336</v>
      </c>
      <c r="L44" s="237">
        <f>IF(L$5=0,0,L$5/AGR_fec!L$5)</f>
        <v>0.38190641412754434</v>
      </c>
      <c r="M44" s="237">
        <f>IF(M$5=0,0,M$5/AGR_fec!M$5)</f>
        <v>0.379233620833899</v>
      </c>
      <c r="N44" s="237">
        <f>IF(N$5=0,0,N$5/AGR_fec!N$5)</f>
        <v>0.3828799476341383</v>
      </c>
      <c r="O44" s="237">
        <f>IF(O$5=0,0,O$5/AGR_fec!O$5)</f>
        <v>0.38246537169607092</v>
      </c>
      <c r="P44" s="237">
        <f>IF(P$5=0,0,P$5/AGR_fec!P$5)</f>
        <v>0.38541038929499088</v>
      </c>
      <c r="Q44" s="237">
        <f>IF(Q$5=0,0,Q$5/AGR_fec!Q$5)</f>
        <v>0.3854239032222414</v>
      </c>
      <c r="R44" s="237">
        <f>IF(R$5=0,0,R$5/AGR_fec!R$5)</f>
        <v>0.38542305169134905</v>
      </c>
      <c r="S44" s="237">
        <f>IF(S$5=0,0,S$5/AGR_fec!S$5)</f>
        <v>0.38646608956700068</v>
      </c>
      <c r="T44" s="237">
        <f>IF(T$5=0,0,T$5/AGR_fec!T$5)</f>
        <v>0.3889788184112542</v>
      </c>
      <c r="U44" s="237">
        <f>IF(U$5=0,0,U$5/AGR_fec!U$5)</f>
        <v>0.39129987122642329</v>
      </c>
      <c r="V44" s="237">
        <f>IF(V$5=0,0,V$5/AGR_fec!V$5)</f>
        <v>0.39046110422396824</v>
      </c>
      <c r="W44" s="237">
        <f>IF(W$5=0,0,W$5/AGR_fec!W$5)</f>
        <v>0.39175597504025694</v>
      </c>
      <c r="X44" s="237">
        <f>IF(X$5=0,0,X$5/AGR_fec!X$5)</f>
        <v>0.38578309123685056</v>
      </c>
      <c r="Y44" s="237">
        <f>IF(Y$5=0,0,Y$5/AGR_fec!Y$5)</f>
        <v>0.3825759352726783</v>
      </c>
      <c r="DA44" s="286"/>
    </row>
    <row r="45" spans="1:105" x14ac:dyDescent="0.25">
      <c r="A45" s="238" t="s">
        <v>125</v>
      </c>
      <c r="B45" s="250">
        <f>IF(B$6=0,0,B$6/AGR_fec!B$6)</f>
        <v>0.44892891151108505</v>
      </c>
      <c r="C45" s="250">
        <f>IF(C$6=0,0,C$6/AGR_fec!C$6)</f>
        <v>0.44892891151108472</v>
      </c>
      <c r="D45" s="250">
        <f>IF(D$6=0,0,D$6/AGR_fec!D$6)</f>
        <v>0.44892891151108488</v>
      </c>
      <c r="E45" s="250">
        <f>IF(E$6=0,0,E$6/AGR_fec!E$6)</f>
        <v>0.44892891151108494</v>
      </c>
      <c r="F45" s="250">
        <f>IF(F$6=0,0,F$6/AGR_fec!F$6)</f>
        <v>0.44892891151108494</v>
      </c>
      <c r="G45" s="250">
        <f>IF(G$6=0,0,G$6/AGR_fec!G$6)</f>
        <v>0.44892891151108483</v>
      </c>
      <c r="H45" s="250">
        <f>IF(H$6=0,0,H$6/AGR_fec!H$6)</f>
        <v>0.44892891151108466</v>
      </c>
      <c r="I45" s="250">
        <f>IF(I$6=0,0,I$6/AGR_fec!I$6)</f>
        <v>0.44892891151108466</v>
      </c>
      <c r="J45" s="250">
        <f>IF(J$6=0,0,J$6/AGR_fec!J$6)</f>
        <v>0.44892891151108461</v>
      </c>
      <c r="K45" s="250">
        <f>IF(K$6=0,0,K$6/AGR_fec!K$6)</f>
        <v>0.44892891151108505</v>
      </c>
      <c r="L45" s="250">
        <f>IF(L$6=0,0,L$6/AGR_fec!L$6)</f>
        <v>0.44892891151108466</v>
      </c>
      <c r="M45" s="250">
        <f>IF(M$6=0,0,M$6/AGR_fec!M$6)</f>
        <v>0.44892891151108472</v>
      </c>
      <c r="N45" s="250">
        <f>IF(N$6=0,0,N$6/AGR_fec!N$6)</f>
        <v>0.4489289115110851</v>
      </c>
      <c r="O45" s="250">
        <f>IF(O$6=0,0,O$6/AGR_fec!O$6)</f>
        <v>0.44892891151108483</v>
      </c>
      <c r="P45" s="250">
        <f>IF(P$6=0,0,P$6/AGR_fec!P$6)</f>
        <v>0.44892891151108472</v>
      </c>
      <c r="Q45" s="250">
        <f>IF(Q$6=0,0,Q$6/AGR_fec!Q$6)</f>
        <v>0.44892891151108466</v>
      </c>
      <c r="R45" s="250">
        <f>IF(R$6=0,0,R$6/AGR_fec!R$6)</f>
        <v>0.44892891151108494</v>
      </c>
      <c r="S45" s="250">
        <f>IF(S$6=0,0,S$6/AGR_fec!S$6)</f>
        <v>0.44892891151108455</v>
      </c>
      <c r="T45" s="250">
        <f>IF(T$6=0,0,T$6/AGR_fec!T$6)</f>
        <v>0.44892891151108461</v>
      </c>
      <c r="U45" s="250">
        <f>IF(U$6=0,0,U$6/AGR_fec!U$6)</f>
        <v>0.44892891151108472</v>
      </c>
      <c r="V45" s="250">
        <f>IF(V$6=0,0,V$6/AGR_fec!V$6)</f>
        <v>0.44892891151108466</v>
      </c>
      <c r="W45" s="250">
        <f>IF(W$6=0,0,W$6/AGR_fec!W$6)</f>
        <v>0.44892891151108483</v>
      </c>
      <c r="X45" s="250">
        <f>IF(X$6=0,0,X$6/AGR_fec!X$6)</f>
        <v>0.44892891151108483</v>
      </c>
      <c r="Y45" s="250">
        <f>IF(Y$6=0,0,Y$6/AGR_fec!Y$6)</f>
        <v>0.44892891151108488</v>
      </c>
      <c r="DA45" s="287"/>
    </row>
    <row r="46" spans="1:105" x14ac:dyDescent="0.25">
      <c r="A46" s="240" t="s">
        <v>124</v>
      </c>
      <c r="B46" s="251">
        <f>IF(B$7=0,0,B$7/AGR_fec!B$7)</f>
        <v>0.44517043995187805</v>
      </c>
      <c r="C46" s="251">
        <f>IF(C$7=0,0,C$7/AGR_fec!C$7)</f>
        <v>0.44517043995187794</v>
      </c>
      <c r="D46" s="251">
        <f>IF(D$7=0,0,D$7/AGR_fec!D$7)</f>
        <v>0.44517043995187816</v>
      </c>
      <c r="E46" s="251">
        <f>IF(E$7=0,0,E$7/AGR_fec!E$7)</f>
        <v>0.44517043995187816</v>
      </c>
      <c r="F46" s="251">
        <f>IF(F$7=0,0,F$7/AGR_fec!F$7)</f>
        <v>0.44517043995187805</v>
      </c>
      <c r="G46" s="251">
        <f>IF(G$7=0,0,G$7/AGR_fec!G$7)</f>
        <v>0.44517043995187794</v>
      </c>
      <c r="H46" s="251">
        <f>IF(H$7=0,0,H$7/AGR_fec!H$7)</f>
        <v>0.44517043995187794</v>
      </c>
      <c r="I46" s="251">
        <f>IF(I$7=0,0,I$7/AGR_fec!I$7)</f>
        <v>0.44517043995187805</v>
      </c>
      <c r="J46" s="251">
        <f>IF(J$7=0,0,J$7/AGR_fec!J$7)</f>
        <v>0.44517043995187816</v>
      </c>
      <c r="K46" s="251">
        <f>IF(K$7=0,0,K$7/AGR_fec!K$7)</f>
        <v>0.44517043995187799</v>
      </c>
      <c r="L46" s="251">
        <f>IF(L$7=0,0,L$7/AGR_fec!L$7)</f>
        <v>0.44517043995187816</v>
      </c>
      <c r="M46" s="251">
        <f>IF(M$7=0,0,M$7/AGR_fec!M$7)</f>
        <v>0.44517043995187799</v>
      </c>
      <c r="N46" s="251">
        <f>IF(N$7=0,0,N$7/AGR_fec!N$7)</f>
        <v>0.44517043995187811</v>
      </c>
      <c r="O46" s="251">
        <f>IF(O$7=0,0,O$7/AGR_fec!O$7)</f>
        <v>0.44517043995187805</v>
      </c>
      <c r="P46" s="251">
        <f>IF(P$7=0,0,P$7/AGR_fec!P$7)</f>
        <v>0.44517043995187799</v>
      </c>
      <c r="Q46" s="251">
        <f>IF(Q$7=0,0,Q$7/AGR_fec!Q$7)</f>
        <v>0.44517043995187805</v>
      </c>
      <c r="R46" s="251">
        <f>IF(R$7=0,0,R$7/AGR_fec!R$7)</f>
        <v>0.44517043995187811</v>
      </c>
      <c r="S46" s="251">
        <f>IF(S$7=0,0,S$7/AGR_fec!S$7)</f>
        <v>0.44517043995187799</v>
      </c>
      <c r="T46" s="251">
        <f>IF(T$7=0,0,T$7/AGR_fec!T$7)</f>
        <v>0.44517043995187822</v>
      </c>
      <c r="U46" s="251">
        <f>IF(U$7=0,0,U$7/AGR_fec!U$7)</f>
        <v>0.44517043995187811</v>
      </c>
      <c r="V46" s="251">
        <f>IF(V$7=0,0,V$7/AGR_fec!V$7)</f>
        <v>0.44517043995187799</v>
      </c>
      <c r="W46" s="251">
        <f>IF(W$7=0,0,W$7/AGR_fec!W$7)</f>
        <v>0.44517043995187794</v>
      </c>
      <c r="X46" s="251">
        <f>IF(X$7=0,0,X$7/AGR_fec!X$7)</f>
        <v>0.44517043995187788</v>
      </c>
      <c r="Y46" s="251">
        <f>IF(Y$7=0,0,Y$7/AGR_fec!Y$7)</f>
        <v>0.44517043995187838</v>
      </c>
      <c r="DA46" s="288"/>
    </row>
    <row r="47" spans="1:105" x14ac:dyDescent="0.25">
      <c r="A47" s="240" t="s">
        <v>123</v>
      </c>
      <c r="B47" s="251">
        <f>IF(B$8=0,0,B$8/AGR_fec!B$8)</f>
        <v>0.63891897853302604</v>
      </c>
      <c r="C47" s="251">
        <f>IF(C$8=0,0,C$8/AGR_fec!C$8)</f>
        <v>0.63891897853302615</v>
      </c>
      <c r="D47" s="251">
        <f>IF(D$8=0,0,D$8/AGR_fec!D$8)</f>
        <v>0.63891897853302615</v>
      </c>
      <c r="E47" s="251">
        <f>IF(E$8=0,0,E$8/AGR_fec!E$8)</f>
        <v>0.63891897853302626</v>
      </c>
      <c r="F47" s="251">
        <f>IF(F$8=0,0,F$8/AGR_fec!F$8)</f>
        <v>0.63891897853302582</v>
      </c>
      <c r="G47" s="251">
        <f>IF(G$8=0,0,G$8/AGR_fec!G$8)</f>
        <v>0.63891897853302637</v>
      </c>
      <c r="H47" s="251">
        <f>IF(H$8=0,0,H$8/AGR_fec!H$8)</f>
        <v>0.63891897853302593</v>
      </c>
      <c r="I47" s="251">
        <f>IF(I$8=0,0,I$8/AGR_fec!I$8)</f>
        <v>0.63891897853302626</v>
      </c>
      <c r="J47" s="251">
        <f>IF(J$8=0,0,J$8/AGR_fec!J$8)</f>
        <v>0.63891897853302626</v>
      </c>
      <c r="K47" s="251">
        <f>IF(K$8=0,0,K$8/AGR_fec!K$8)</f>
        <v>0.63891897853302626</v>
      </c>
      <c r="L47" s="251">
        <f>IF(L$8=0,0,L$8/AGR_fec!L$8)</f>
        <v>0.63891897853302582</v>
      </c>
      <c r="M47" s="251">
        <f>IF(M$8=0,0,M$8/AGR_fec!M$8)</f>
        <v>0.63891897853302604</v>
      </c>
      <c r="N47" s="251">
        <f>IF(N$8=0,0,N$8/AGR_fec!N$8)</f>
        <v>0.63891897853302615</v>
      </c>
      <c r="O47" s="251">
        <f>IF(O$8=0,0,O$8/AGR_fec!O$8)</f>
        <v>0.63891897853302626</v>
      </c>
      <c r="P47" s="251">
        <f>IF(P$8=0,0,P$8/AGR_fec!P$8)</f>
        <v>0.63891897853302615</v>
      </c>
      <c r="Q47" s="251">
        <f>IF(Q$8=0,0,Q$8/AGR_fec!Q$8)</f>
        <v>0.63891897853302571</v>
      </c>
      <c r="R47" s="251">
        <f>IF(R$8=0,0,R$8/AGR_fec!R$8)</f>
        <v>0.63891897853302604</v>
      </c>
      <c r="S47" s="251">
        <f>IF(S$8=0,0,S$8/AGR_fec!S$8)</f>
        <v>0.63891897853302604</v>
      </c>
      <c r="T47" s="251">
        <f>IF(T$8=0,0,T$8/AGR_fec!T$8)</f>
        <v>0.63891897853302593</v>
      </c>
      <c r="U47" s="251">
        <f>IF(U$8=0,0,U$8/AGR_fec!U$8)</f>
        <v>0.63891897853302615</v>
      </c>
      <c r="V47" s="251">
        <f>IF(V$8=0,0,V$8/AGR_fec!V$8)</f>
        <v>0.63891897853302637</v>
      </c>
      <c r="W47" s="251">
        <f>IF(W$8=0,0,W$8/AGR_fec!W$8)</f>
        <v>0.63891897853302637</v>
      </c>
      <c r="X47" s="251">
        <f>IF(X$8=0,0,X$8/AGR_fec!X$8)</f>
        <v>0.63891897853302615</v>
      </c>
      <c r="Y47" s="251">
        <f>IF(Y$8=0,0,Y$8/AGR_fec!Y$8)</f>
        <v>0.63891897853302615</v>
      </c>
      <c r="DA47" s="288"/>
    </row>
    <row r="48" spans="1:105" x14ac:dyDescent="0.25">
      <c r="A48" s="242" t="s">
        <v>122</v>
      </c>
      <c r="B48" s="252">
        <f>IF(B$9=0,0,B$9/AGR_fec!B$9)</f>
        <v>0.63516485513818199</v>
      </c>
      <c r="C48" s="252">
        <f>IF(C$9=0,0,C$9/AGR_fec!C$9)</f>
        <v>0.63580492895488105</v>
      </c>
      <c r="D48" s="252">
        <f>IF(D$9=0,0,D$9/AGR_fec!D$9)</f>
        <v>0.63482076192207093</v>
      </c>
      <c r="E48" s="252">
        <f>IF(E$9=0,0,E$9/AGR_fec!E$9)</f>
        <v>0.63870808225867515</v>
      </c>
      <c r="F48" s="252">
        <f>IF(F$9=0,0,F$9/AGR_fec!F$9)</f>
        <v>0.6423043108814801</v>
      </c>
      <c r="G48" s="252">
        <f>IF(G$9=0,0,G$9/AGR_fec!G$9)</f>
        <v>0.64338163916241209</v>
      </c>
      <c r="H48" s="252">
        <f>IF(H$9=0,0,H$9/AGR_fec!H$9)</f>
        <v>0.64438853098368321</v>
      </c>
      <c r="I48" s="252">
        <f>IF(I$9=0,0,I$9/AGR_fec!I$9)</f>
        <v>0.64503521759335336</v>
      </c>
      <c r="J48" s="252">
        <f>IF(J$9=0,0,J$9/AGR_fec!J$9)</f>
        <v>0.64558342222442078</v>
      </c>
      <c r="K48" s="252">
        <f>IF(K$9=0,0,K$9/AGR_fec!K$9)</f>
        <v>0.6425576234958833</v>
      </c>
      <c r="L48" s="252">
        <f>IF(L$9=0,0,L$9/AGR_fec!L$9)</f>
        <v>0.64316371440402698</v>
      </c>
      <c r="M48" s="252">
        <f>IF(M$9=0,0,M$9/AGR_fec!M$9)</f>
        <v>0.64169500738352314</v>
      </c>
      <c r="N48" s="252">
        <f>IF(N$9=0,0,N$9/AGR_fec!N$9)</f>
        <v>0.64560222756631203</v>
      </c>
      <c r="O48" s="252">
        <f>IF(O$9=0,0,O$9/AGR_fec!O$9)</f>
        <v>0.64619202535936826</v>
      </c>
      <c r="P48" s="252">
        <f>IF(P$9=0,0,P$9/AGR_fec!P$9)</f>
        <v>0.64949841399586372</v>
      </c>
      <c r="Q48" s="252">
        <f>IF(Q$9=0,0,Q$9/AGR_fec!Q$9)</f>
        <v>0.64696812247385704</v>
      </c>
      <c r="R48" s="252">
        <f>IF(R$9=0,0,R$9/AGR_fec!R$9)</f>
        <v>0.6456229233516545</v>
      </c>
      <c r="S48" s="252">
        <f>IF(S$9=0,0,S$9/AGR_fec!S$9)</f>
        <v>0.65091556443913745</v>
      </c>
      <c r="T48" s="252">
        <f>IF(T$9=0,0,T$9/AGR_fec!T$9)</f>
        <v>0.65217357245122354</v>
      </c>
      <c r="U48" s="252">
        <f>IF(U$9=0,0,U$9/AGR_fec!U$9)</f>
        <v>0.65853243119245708</v>
      </c>
      <c r="V48" s="252">
        <f>IF(V$9=0,0,V$9/AGR_fec!V$9)</f>
        <v>0.65906604067608743</v>
      </c>
      <c r="W48" s="252">
        <f>IF(W$9=0,0,W$9/AGR_fec!W$9)</f>
        <v>0.66108415753697169</v>
      </c>
      <c r="X48" s="252">
        <f>IF(X$9=0,0,X$9/AGR_fec!X$9)</f>
        <v>0.64782539706594933</v>
      </c>
      <c r="Y48" s="252">
        <f>IF(Y$9=0,0,Y$9/AGR_fec!Y$9)</f>
        <v>0.64758821264581956</v>
      </c>
      <c r="DA48" s="289"/>
    </row>
    <row r="49" spans="1:105" x14ac:dyDescent="0.25">
      <c r="A49" s="127" t="s">
        <v>168</v>
      </c>
      <c r="B49" s="264">
        <f>IF(B$16=0,0,B$16/AGR_fec!B$16)</f>
        <v>0.32124442037477985</v>
      </c>
      <c r="C49" s="264">
        <f>IF(C$16=0,0,C$16/AGR_fec!C$16)</f>
        <v>0.32124442037477996</v>
      </c>
      <c r="D49" s="264">
        <f>IF(D$16=0,0,D$16/AGR_fec!D$16)</f>
        <v>0.32124442037478002</v>
      </c>
      <c r="E49" s="264">
        <f>IF(E$16=0,0,E$16/AGR_fec!E$16)</f>
        <v>0.32124442037478007</v>
      </c>
      <c r="F49" s="264">
        <f>IF(F$16=0,0,F$16/AGR_fec!F$16)</f>
        <v>0.3212444203747799</v>
      </c>
      <c r="G49" s="264">
        <f>IF(G$16=0,0,G$16/AGR_fec!G$16)</f>
        <v>0.32124442037478002</v>
      </c>
      <c r="H49" s="264">
        <f>IF(H$16=0,0,H$16/AGR_fec!H$16)</f>
        <v>0.32124442037478007</v>
      </c>
      <c r="I49" s="264">
        <f>IF(I$16=0,0,I$16/AGR_fec!I$16)</f>
        <v>0.32124442037478013</v>
      </c>
      <c r="J49" s="264">
        <f>IF(J$16=0,0,J$16/AGR_fec!J$16)</f>
        <v>0.32124442037477979</v>
      </c>
      <c r="K49" s="264">
        <f>IF(K$16=0,0,K$16/AGR_fec!K$16)</f>
        <v>0.32124442037477985</v>
      </c>
      <c r="L49" s="264">
        <f>IF(L$16=0,0,L$16/AGR_fec!L$16)</f>
        <v>0.32124442037478007</v>
      </c>
      <c r="M49" s="264">
        <f>IF(M$16=0,0,M$16/AGR_fec!M$16)</f>
        <v>0.32124442037477985</v>
      </c>
      <c r="N49" s="264">
        <f>IF(N$16=0,0,N$16/AGR_fec!N$16)</f>
        <v>0.3212444203747799</v>
      </c>
      <c r="O49" s="264">
        <f>IF(O$16=0,0,O$16/AGR_fec!O$16)</f>
        <v>0.32124442037477985</v>
      </c>
      <c r="P49" s="264">
        <f>IF(P$16=0,0,P$16/AGR_fec!P$16)</f>
        <v>0.32124442037477996</v>
      </c>
      <c r="Q49" s="264">
        <f>IF(Q$16=0,0,Q$16/AGR_fec!Q$16)</f>
        <v>0.32124442037478002</v>
      </c>
      <c r="R49" s="264">
        <f>IF(R$16=0,0,R$16/AGR_fec!R$16)</f>
        <v>0.32124442037477979</v>
      </c>
      <c r="S49" s="264">
        <f>IF(S$16=0,0,S$16/AGR_fec!S$16)</f>
        <v>0.3212444203747799</v>
      </c>
      <c r="T49" s="264">
        <f>IF(T$16=0,0,T$16/AGR_fec!T$16)</f>
        <v>0.32124442037478007</v>
      </c>
      <c r="U49" s="264">
        <f>IF(U$16=0,0,U$16/AGR_fec!U$16)</f>
        <v>0.32124442037478007</v>
      </c>
      <c r="V49" s="264">
        <f>IF(V$16=0,0,V$16/AGR_fec!V$16)</f>
        <v>0.32124442037477996</v>
      </c>
      <c r="W49" s="264">
        <f>IF(W$16=0,0,W$16/AGR_fec!W$16)</f>
        <v>0.3212444203747799</v>
      </c>
      <c r="X49" s="264">
        <f>IF(X$16=0,0,X$16/AGR_fec!X$16)</f>
        <v>0.3212444203747799</v>
      </c>
      <c r="Y49" s="264">
        <f>IF(Y$16=0,0,Y$16/AGR_fec!Y$16)</f>
        <v>0.32124442037477985</v>
      </c>
      <c r="DA49" s="290"/>
    </row>
    <row r="50" spans="1:105" x14ac:dyDescent="0.25">
      <c r="A50" s="127" t="s">
        <v>121</v>
      </c>
      <c r="B50" s="264">
        <f>IF(B$17=0,0,B$17/AGR_fec!B$17)</f>
        <v>0.25304696006922994</v>
      </c>
      <c r="C50" s="264">
        <f>IF(C$17=0,0,C$17/AGR_fec!C$17)</f>
        <v>0.25414614397172547</v>
      </c>
      <c r="D50" s="264">
        <f>IF(D$17=0,0,D$17/AGR_fec!D$17)</f>
        <v>0.25445409758515786</v>
      </c>
      <c r="E50" s="264">
        <f>IF(E$17=0,0,E$17/AGR_fec!E$17)</f>
        <v>0.25429255145821716</v>
      </c>
      <c r="F50" s="264">
        <f>IF(F$17=0,0,F$17/AGR_fec!F$17)</f>
        <v>0.25263953529571936</v>
      </c>
      <c r="G50" s="264">
        <f>IF(G$17=0,0,G$17/AGR_fec!G$17)</f>
        <v>0.25144192729893577</v>
      </c>
      <c r="H50" s="264">
        <f>IF(H$17=0,0,H$17/AGR_fec!H$17)</f>
        <v>0.25263591996378065</v>
      </c>
      <c r="I50" s="264">
        <f>IF(I$17=0,0,I$17/AGR_fec!I$17)</f>
        <v>0.25160001971578555</v>
      </c>
      <c r="J50" s="264">
        <f>IF(J$17=0,0,J$17/AGR_fec!J$17)</f>
        <v>0.25253137341535087</v>
      </c>
      <c r="K50" s="264">
        <f>IF(K$17=0,0,K$17/AGR_fec!K$17)</f>
        <v>0.25288870261373597</v>
      </c>
      <c r="L50" s="264">
        <f>IF(L$17=0,0,L$17/AGR_fec!L$17)</f>
        <v>0.25251563573078151</v>
      </c>
      <c r="M50" s="264">
        <f>IF(M$17=0,0,M$17/AGR_fec!M$17)</f>
        <v>0.25188855805972599</v>
      </c>
      <c r="N50" s="264">
        <f>IF(N$17=0,0,N$17/AGR_fec!N$17)</f>
        <v>0.25247538101413602</v>
      </c>
      <c r="O50" s="264">
        <f>IF(O$17=0,0,O$17/AGR_fec!O$17)</f>
        <v>0.25188244397657894</v>
      </c>
      <c r="P50" s="264">
        <f>IF(P$17=0,0,P$17/AGR_fec!P$17)</f>
        <v>0.25252886758462612</v>
      </c>
      <c r="Q50" s="264">
        <f>IF(Q$17=0,0,Q$17/AGR_fec!Q$17)</f>
        <v>0.25356831920619538</v>
      </c>
      <c r="R50" s="264">
        <f>IF(R$17=0,0,R$17/AGR_fec!R$17)</f>
        <v>0.25421867048130414</v>
      </c>
      <c r="S50" s="264">
        <f>IF(S$17=0,0,S$17/AGR_fec!S$17)</f>
        <v>0.25362696143312291</v>
      </c>
      <c r="T50" s="264">
        <f>IF(T$17=0,0,T$17/AGR_fec!T$17)</f>
        <v>0.25419487296144661</v>
      </c>
      <c r="U50" s="264">
        <f>IF(U$17=0,0,U$17/AGR_fec!U$17)</f>
        <v>0.25389590951803925</v>
      </c>
      <c r="V50" s="264">
        <f>IF(V$17=0,0,V$17/AGR_fec!V$17)</f>
        <v>0.25339625070071126</v>
      </c>
      <c r="W50" s="264">
        <f>IF(W$17=0,0,W$17/AGR_fec!W$17)</f>
        <v>0.25351298832809466</v>
      </c>
      <c r="X50" s="264">
        <f>IF(X$17=0,0,X$17/AGR_fec!X$17)</f>
        <v>0.2528785414718539</v>
      </c>
      <c r="Y50" s="264">
        <f>IF(Y$17=0,0,Y$17/AGR_fec!Y$17)</f>
        <v>0.25150900611674348</v>
      </c>
      <c r="DA50" s="290"/>
    </row>
    <row r="51" spans="1:105" x14ac:dyDescent="0.25">
      <c r="A51" s="127" t="s">
        <v>167</v>
      </c>
      <c r="B51" s="264">
        <f>IF(B$25=0,0,B$25/AGR_fec!B$25)</f>
        <v>0.22487109426234597</v>
      </c>
      <c r="C51" s="264">
        <f>IF(C$25=0,0,C$25/AGR_fec!C$25)</f>
        <v>0.22487109426234589</v>
      </c>
      <c r="D51" s="264">
        <f>IF(D$25=0,0,D$25/AGR_fec!D$25)</f>
        <v>0.22487109426234592</v>
      </c>
      <c r="E51" s="264">
        <f>IF(E$25=0,0,E$25/AGR_fec!E$25)</f>
        <v>0.22487109426234594</v>
      </c>
      <c r="F51" s="264">
        <f>IF(F$25=0,0,F$25/AGR_fec!F$25)</f>
        <v>0.22487109426234594</v>
      </c>
      <c r="G51" s="264">
        <f>IF(G$25=0,0,G$25/AGR_fec!G$25)</f>
        <v>0.22487109426234592</v>
      </c>
      <c r="H51" s="264">
        <f>IF(H$25=0,0,H$25/AGR_fec!H$25)</f>
        <v>0.22487109426234586</v>
      </c>
      <c r="I51" s="264">
        <f>IF(I$25=0,0,I$25/AGR_fec!I$25)</f>
        <v>0.22487109426234589</v>
      </c>
      <c r="J51" s="264">
        <f>IF(J$25=0,0,J$25/AGR_fec!J$25)</f>
        <v>0.22487109426234594</v>
      </c>
      <c r="K51" s="264">
        <f>IF(K$25=0,0,K$25/AGR_fec!K$25)</f>
        <v>0.22487109426234586</v>
      </c>
      <c r="L51" s="264">
        <f>IF(L$25=0,0,L$25/AGR_fec!L$25)</f>
        <v>0.22487109426234603</v>
      </c>
      <c r="M51" s="264">
        <f>IF(M$25=0,0,M$25/AGR_fec!M$25)</f>
        <v>0.22487109426234589</v>
      </c>
      <c r="N51" s="264">
        <f>IF(N$25=0,0,N$25/AGR_fec!N$25)</f>
        <v>0.22487109426234594</v>
      </c>
      <c r="O51" s="264">
        <f>IF(O$25=0,0,O$25/AGR_fec!O$25)</f>
        <v>0.22487109426234606</v>
      </c>
      <c r="P51" s="264">
        <f>IF(P$25=0,0,P$25/AGR_fec!P$25)</f>
        <v>0.22487109426234594</v>
      </c>
      <c r="Q51" s="264">
        <f>IF(Q$25=0,0,Q$25/AGR_fec!Q$25)</f>
        <v>0.22487109426234594</v>
      </c>
      <c r="R51" s="264">
        <f>IF(R$25=0,0,R$25/AGR_fec!R$25)</f>
        <v>0.22487109426234592</v>
      </c>
      <c r="S51" s="264">
        <f>IF(S$25=0,0,S$25/AGR_fec!S$25)</f>
        <v>0.22487109426234594</v>
      </c>
      <c r="T51" s="264">
        <f>IF(T$25=0,0,T$25/AGR_fec!T$25)</f>
        <v>0.22487109426234597</v>
      </c>
      <c r="U51" s="264">
        <f>IF(U$25=0,0,U$25/AGR_fec!U$25)</f>
        <v>0.22487109426234589</v>
      </c>
      <c r="V51" s="264">
        <f>IF(V$25=0,0,V$25/AGR_fec!V$25)</f>
        <v>0.22487109426234592</v>
      </c>
      <c r="W51" s="264">
        <f>IF(W$25=0,0,W$25/AGR_fec!W$25)</f>
        <v>0.22487109426234592</v>
      </c>
      <c r="X51" s="264">
        <f>IF(X$25=0,0,X$25/AGR_fec!X$25)</f>
        <v>0.22487109426234597</v>
      </c>
      <c r="Y51" s="264">
        <f>IF(Y$25=0,0,Y$25/AGR_fec!Y$25)</f>
        <v>0.22487109426234594</v>
      </c>
      <c r="DA51" s="290"/>
    </row>
    <row r="52" spans="1:105" x14ac:dyDescent="0.25">
      <c r="A52" s="127" t="s">
        <v>170</v>
      </c>
      <c r="B52" s="264">
        <f>IF(B$26=0,0,B$26/AGR_fec!B$26)</f>
        <v>0.44517043995187799</v>
      </c>
      <c r="C52" s="264">
        <f>IF(C$26=0,0,C$26/AGR_fec!C$26)</f>
        <v>0.44517043995187827</v>
      </c>
      <c r="D52" s="264">
        <f>IF(D$26=0,0,D$26/AGR_fec!D$26)</f>
        <v>0.44517043995187799</v>
      </c>
      <c r="E52" s="264">
        <f>IF(E$26=0,0,E$26/AGR_fec!E$26)</f>
        <v>0.44517043995187811</v>
      </c>
      <c r="F52" s="264">
        <f>IF(F$26=0,0,F$26/AGR_fec!F$26)</f>
        <v>0.44517043995187833</v>
      </c>
      <c r="G52" s="264">
        <f>IF(G$26=0,0,G$26/AGR_fec!G$26)</f>
        <v>0.44517043995187805</v>
      </c>
      <c r="H52" s="264">
        <f>IF(H$26=0,0,H$26/AGR_fec!H$26)</f>
        <v>0.44517043995187816</v>
      </c>
      <c r="I52" s="264">
        <f>IF(I$26=0,0,I$26/AGR_fec!I$26)</f>
        <v>0.44517043995187783</v>
      </c>
      <c r="J52" s="264">
        <f>IF(J$26=0,0,J$26/AGR_fec!J$26)</f>
        <v>0.44517043995187794</v>
      </c>
      <c r="K52" s="264">
        <f>IF(K$26=0,0,K$26/AGR_fec!K$26)</f>
        <v>0.44517043995187816</v>
      </c>
      <c r="L52" s="264">
        <f>IF(L$26=0,0,L$26/AGR_fec!L$26)</f>
        <v>0.44517043995187777</v>
      </c>
      <c r="M52" s="264">
        <f>IF(M$26=0,0,M$26/AGR_fec!M$26)</f>
        <v>0.44517043995187838</v>
      </c>
      <c r="N52" s="264">
        <f>IF(N$26=0,0,N$26/AGR_fec!N$26)</f>
        <v>0.44517043995187827</v>
      </c>
      <c r="O52" s="264">
        <f>IF(O$26=0,0,O$26/AGR_fec!O$26)</f>
        <v>0.44517043995187816</v>
      </c>
      <c r="P52" s="264">
        <f>IF(P$26=0,0,P$26/AGR_fec!P$26)</f>
        <v>0.44517043995187822</v>
      </c>
      <c r="Q52" s="264">
        <f>IF(Q$26=0,0,Q$26/AGR_fec!Q$26)</f>
        <v>0.44517043995187788</v>
      </c>
      <c r="R52" s="264">
        <f>IF(R$26=0,0,R$26/AGR_fec!R$26)</f>
        <v>0.44517043995187799</v>
      </c>
      <c r="S52" s="264">
        <f>IF(S$26=0,0,S$26/AGR_fec!S$26)</f>
        <v>0.44517043995187794</v>
      </c>
      <c r="T52" s="264">
        <f>IF(T$26=0,0,T$26/AGR_fec!T$26)</f>
        <v>0.44517043995187816</v>
      </c>
      <c r="U52" s="264">
        <f>IF(U$26=0,0,U$26/AGR_fec!U$26)</f>
        <v>0.44517043995187777</v>
      </c>
      <c r="V52" s="264">
        <f>IF(V$26=0,0,V$26/AGR_fec!V$26)</f>
        <v>0.44517043995187805</v>
      </c>
      <c r="W52" s="264">
        <f>IF(W$26=0,0,W$26/AGR_fec!W$26)</f>
        <v>0.44517043995187805</v>
      </c>
      <c r="X52" s="264">
        <f>IF(X$26=0,0,X$26/AGR_fec!X$26)</f>
        <v>0.44517043995187799</v>
      </c>
      <c r="Y52" s="264">
        <f>IF(Y$26=0,0,Y$26/AGR_fec!Y$26)</f>
        <v>0.44517043995187799</v>
      </c>
      <c r="DA52" s="290"/>
    </row>
    <row r="53" spans="1:105" x14ac:dyDescent="0.25">
      <c r="A53" s="260" t="s">
        <v>33</v>
      </c>
      <c r="B53" s="265">
        <f>IF(B$27=0,0,B$27/AGR_fec!B$27)</f>
        <v>0.46790936181394349</v>
      </c>
      <c r="C53" s="265">
        <f>IF(C$27=0,0,C$27/AGR_fec!C$27)</f>
        <v>0.46790936181394321</v>
      </c>
      <c r="D53" s="265">
        <f>IF(D$27=0,0,D$27/AGR_fec!D$27)</f>
        <v>0.46790936181394338</v>
      </c>
      <c r="E53" s="265">
        <f>IF(E$27=0,0,E$27/AGR_fec!E$27)</f>
        <v>0.46790936181394327</v>
      </c>
      <c r="F53" s="265">
        <f>IF(F$27=0,0,F$27/AGR_fec!F$27)</f>
        <v>0.46790936181394333</v>
      </c>
      <c r="G53" s="265">
        <f>IF(G$27=0,0,G$27/AGR_fec!G$27)</f>
        <v>0.46790936181394349</v>
      </c>
      <c r="H53" s="265">
        <f>IF(H$27=0,0,H$27/AGR_fec!H$27)</f>
        <v>0.46790936181394316</v>
      </c>
      <c r="I53" s="265">
        <f>IF(I$27=0,0,I$27/AGR_fec!I$27)</f>
        <v>0.46790936181394344</v>
      </c>
      <c r="J53" s="265">
        <f>IF(J$27=0,0,J$27/AGR_fec!J$27)</f>
        <v>0.46790936181394316</v>
      </c>
      <c r="K53" s="265">
        <f>IF(K$27=0,0,K$27/AGR_fec!K$27)</f>
        <v>0.46790936181394355</v>
      </c>
      <c r="L53" s="265">
        <f>IF(L$27=0,0,L$27/AGR_fec!L$27)</f>
        <v>0.46790936181394321</v>
      </c>
      <c r="M53" s="265">
        <f>IF(M$27=0,0,M$27/AGR_fec!M$27)</f>
        <v>0.46790936181394344</v>
      </c>
      <c r="N53" s="265">
        <f>IF(N$27=0,0,N$27/AGR_fec!N$27)</f>
        <v>0.46790936181394316</v>
      </c>
      <c r="O53" s="265">
        <f>IF(O$27=0,0,O$27/AGR_fec!O$27)</f>
        <v>0.46790936181394338</v>
      </c>
      <c r="P53" s="265">
        <f>IF(P$27=0,0,P$27/AGR_fec!P$27)</f>
        <v>0.46790936181394333</v>
      </c>
      <c r="Q53" s="265">
        <f>IF(Q$27=0,0,Q$27/AGR_fec!Q$27)</f>
        <v>0.46790936181394321</v>
      </c>
      <c r="R53" s="265">
        <f>IF(R$27=0,0,R$27/AGR_fec!R$27)</f>
        <v>0.46790936181394316</v>
      </c>
      <c r="S53" s="265">
        <f>IF(S$27=0,0,S$27/AGR_fec!S$27)</f>
        <v>0.46790936181394321</v>
      </c>
      <c r="T53" s="265">
        <f>IF(T$27=0,0,T$27/AGR_fec!T$27)</f>
        <v>0.46790936181394344</v>
      </c>
      <c r="U53" s="265">
        <f>IF(U$27=0,0,U$27/AGR_fec!U$27)</f>
        <v>0.46790936181394321</v>
      </c>
      <c r="V53" s="265">
        <f>IF(V$27=0,0,V$27/AGR_fec!V$27)</f>
        <v>0.46790936181394327</v>
      </c>
      <c r="W53" s="265">
        <f>IF(W$27=0,0,W$27/AGR_fec!W$27)</f>
        <v>0.46790936181394344</v>
      </c>
      <c r="X53" s="265">
        <f>IF(X$27=0,0,X$27/AGR_fec!X$27)</f>
        <v>0.46790936181394333</v>
      </c>
      <c r="Y53" s="265">
        <f>IF(Y$27=0,0,Y$27/AGR_fec!Y$27)</f>
        <v>0.46790936181394316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2230.7753282364793</v>
      </c>
      <c r="C5" s="80">
        <f t="shared" ref="C5:W5" si="0">SUM(C6:C9,C16:C17,C25:C27)</f>
        <v>2141.7588557966951</v>
      </c>
      <c r="D5" s="80">
        <f t="shared" si="0"/>
        <v>2112.4232585970876</v>
      </c>
      <c r="E5" s="80">
        <f t="shared" si="0"/>
        <v>2036.3260759160075</v>
      </c>
      <c r="F5" s="80">
        <f t="shared" si="0"/>
        <v>1999.1190229168853</v>
      </c>
      <c r="G5" s="80">
        <f t="shared" si="0"/>
        <v>2033.4694381154382</v>
      </c>
      <c r="H5" s="80">
        <f t="shared" si="0"/>
        <v>2010.3565323556281</v>
      </c>
      <c r="I5" s="80">
        <f t="shared" si="0"/>
        <v>1931.8433104773433</v>
      </c>
      <c r="J5" s="80">
        <f t="shared" si="0"/>
        <v>1886.2228796389943</v>
      </c>
      <c r="K5" s="80">
        <f t="shared" si="0"/>
        <v>1899.1374073216004</v>
      </c>
      <c r="L5" s="80">
        <f t="shared" si="0"/>
        <v>1942.343557559868</v>
      </c>
      <c r="M5" s="80">
        <f t="shared" si="0"/>
        <v>1902.3401922080782</v>
      </c>
      <c r="N5" s="80">
        <f t="shared" si="0"/>
        <v>1710.7517032231628</v>
      </c>
      <c r="O5" s="80">
        <f t="shared" si="0"/>
        <v>1752.2289028827065</v>
      </c>
      <c r="P5" s="80">
        <f t="shared" si="0"/>
        <v>1605.2122602193456</v>
      </c>
      <c r="Q5" s="80">
        <f t="shared" si="0"/>
        <v>1628.9551340297589</v>
      </c>
      <c r="R5" s="80">
        <f t="shared" si="0"/>
        <v>1609.8094285018678</v>
      </c>
      <c r="S5" s="80">
        <f t="shared" si="0"/>
        <v>1542.7008863234523</v>
      </c>
      <c r="T5" s="80">
        <f t="shared" si="0"/>
        <v>1458.3375775614413</v>
      </c>
      <c r="U5" s="80">
        <f t="shared" si="0"/>
        <v>1419.5337484648078</v>
      </c>
      <c r="V5" s="80">
        <f t="shared" si="0"/>
        <v>1409.8080532414995</v>
      </c>
      <c r="W5" s="80">
        <f t="shared" si="0"/>
        <v>1377.060933492374</v>
      </c>
      <c r="X5" s="80">
        <f t="shared" ref="X5:Y5" si="1">SUM(X6:X9,X16:X17,X25:X27)</f>
        <v>1435.5423024682225</v>
      </c>
      <c r="Y5" s="80">
        <f t="shared" si="1"/>
        <v>1487.7900363860349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368.50098200002867</v>
      </c>
      <c r="C9" s="243">
        <f t="shared" ref="C9:W9" si="2">SUM(C10:C15)</f>
        <v>354.62502286393425</v>
      </c>
      <c r="D9" s="243">
        <f t="shared" si="2"/>
        <v>353.65761004292062</v>
      </c>
      <c r="E9" s="243">
        <f t="shared" si="2"/>
        <v>333.27069904199459</v>
      </c>
      <c r="F9" s="243">
        <f t="shared" si="2"/>
        <v>311.37018863712069</v>
      </c>
      <c r="G9" s="243">
        <f t="shared" si="2"/>
        <v>309.32952502795456</v>
      </c>
      <c r="H9" s="243">
        <f t="shared" si="2"/>
        <v>307.37205533966778</v>
      </c>
      <c r="I9" s="243">
        <f t="shared" si="2"/>
        <v>289.94153522497169</v>
      </c>
      <c r="J9" s="243">
        <f t="shared" si="2"/>
        <v>287.30282705495318</v>
      </c>
      <c r="K9" s="243">
        <f t="shared" si="2"/>
        <v>298.35837928139546</v>
      </c>
      <c r="L9" s="243">
        <f t="shared" si="2"/>
        <v>302.52540001937939</v>
      </c>
      <c r="M9" s="243">
        <f t="shared" si="2"/>
        <v>303.71082299235275</v>
      </c>
      <c r="N9" s="243">
        <f t="shared" si="2"/>
        <v>271.52935241850355</v>
      </c>
      <c r="O9" s="243">
        <f t="shared" si="2"/>
        <v>275.35014500109884</v>
      </c>
      <c r="P9" s="243">
        <f t="shared" si="2"/>
        <v>251.1694384955087</v>
      </c>
      <c r="Q9" s="243">
        <f t="shared" si="2"/>
        <v>262.28159956542561</v>
      </c>
      <c r="R9" s="243">
        <f t="shared" si="2"/>
        <v>262.95439530942241</v>
      </c>
      <c r="S9" s="243">
        <f t="shared" si="2"/>
        <v>243.04796214520005</v>
      </c>
      <c r="T9" s="243">
        <f t="shared" si="2"/>
        <v>230.70787486103816</v>
      </c>
      <c r="U9" s="243">
        <f t="shared" si="2"/>
        <v>216.56499401382985</v>
      </c>
      <c r="V9" s="243">
        <f t="shared" si="2"/>
        <v>211.08876180771992</v>
      </c>
      <c r="W9" s="243">
        <f t="shared" si="2"/>
        <v>207.82314333964962</v>
      </c>
      <c r="X9" s="243">
        <f t="shared" ref="X9:Y9" si="3">SUM(X10:X15)</f>
        <v>231.64427123356239</v>
      </c>
      <c r="Y9" s="243">
        <f t="shared" si="3"/>
        <v>233.72925531381824</v>
      </c>
      <c r="DA9" s="269"/>
    </row>
    <row r="10" spans="1:105" x14ac:dyDescent="0.25">
      <c r="A10" s="253" t="s">
        <v>166</v>
      </c>
      <c r="B10" s="254">
        <v>320.68337459780798</v>
      </c>
      <c r="C10" s="254">
        <v>302.14242706837013</v>
      </c>
      <c r="D10" s="254">
        <v>304.51460753873943</v>
      </c>
      <c r="E10" s="254">
        <v>289.41325375015077</v>
      </c>
      <c r="F10" s="254">
        <v>267.01545673596462</v>
      </c>
      <c r="G10" s="254">
        <v>263.4645039929747</v>
      </c>
      <c r="H10" s="254">
        <v>263.9067565440775</v>
      </c>
      <c r="I10" s="254">
        <v>253.0648021506552</v>
      </c>
      <c r="J10" s="254">
        <v>256.0879767550519</v>
      </c>
      <c r="K10" s="254">
        <v>266.56270718232253</v>
      </c>
      <c r="L10" s="254">
        <v>269.01999482926482</v>
      </c>
      <c r="M10" s="254">
        <v>271.27256653253551</v>
      </c>
      <c r="N10" s="254">
        <v>241.4908724484076</v>
      </c>
      <c r="O10" s="254">
        <v>246.4856688070322</v>
      </c>
      <c r="P10" s="254">
        <v>225.2184422352401</v>
      </c>
      <c r="Q10" s="254">
        <v>235.8013327733419</v>
      </c>
      <c r="R10" s="254">
        <v>233.60400759285761</v>
      </c>
      <c r="S10" s="254">
        <v>211.95563072352221</v>
      </c>
      <c r="T10" s="254">
        <v>205.96838403288899</v>
      </c>
      <c r="U10" s="254">
        <v>193.5359863462694</v>
      </c>
      <c r="V10" s="254">
        <v>188.9595110731816</v>
      </c>
      <c r="W10" s="254">
        <v>187.3628585033299</v>
      </c>
      <c r="X10" s="254">
        <v>223.7959101239494</v>
      </c>
      <c r="Y10" s="254">
        <v>225.73053135475701</v>
      </c>
      <c r="DA10" s="270" t="s">
        <v>1040</v>
      </c>
    </row>
    <row r="11" spans="1:105" x14ac:dyDescent="0.25">
      <c r="A11" s="253" t="s">
        <v>169</v>
      </c>
      <c r="B11" s="255">
        <v>47.817607402220673</v>
      </c>
      <c r="C11" s="255">
        <v>52.482595795564137</v>
      </c>
      <c r="D11" s="255">
        <v>49.14300250418119</v>
      </c>
      <c r="E11" s="255">
        <v>43.857445291843817</v>
      </c>
      <c r="F11" s="255">
        <v>44.3547319011561</v>
      </c>
      <c r="G11" s="255">
        <v>45.865021034979883</v>
      </c>
      <c r="H11" s="255">
        <v>43.465298795590279</v>
      </c>
      <c r="I11" s="255">
        <v>36.876733074316512</v>
      </c>
      <c r="J11" s="255">
        <v>31.214850299901279</v>
      </c>
      <c r="K11" s="255">
        <v>31.79567209907292</v>
      </c>
      <c r="L11" s="255">
        <v>33.505405190114551</v>
      </c>
      <c r="M11" s="255">
        <v>32.438256459817268</v>
      </c>
      <c r="N11" s="255">
        <v>30.038479970095921</v>
      </c>
      <c r="O11" s="255">
        <v>28.864476194066651</v>
      </c>
      <c r="P11" s="255">
        <v>25.950996260268589</v>
      </c>
      <c r="Q11" s="255">
        <v>26.480266792083722</v>
      </c>
      <c r="R11" s="255">
        <v>29.350387716564789</v>
      </c>
      <c r="S11" s="255">
        <v>31.09233142167783</v>
      </c>
      <c r="T11" s="255">
        <v>24.739490828149169</v>
      </c>
      <c r="U11" s="255">
        <v>23.02900766756045</v>
      </c>
      <c r="V11" s="255">
        <v>22.12925073453831</v>
      </c>
      <c r="W11" s="255">
        <v>20.460284836319708</v>
      </c>
      <c r="X11" s="255">
        <v>7.8483611096129859</v>
      </c>
      <c r="Y11" s="255">
        <v>7.9987239590612491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723.27600987885796</v>
      </c>
      <c r="C16" s="257">
        <v>697.18871458073761</v>
      </c>
      <c r="D16" s="257">
        <v>694.20695577440699</v>
      </c>
      <c r="E16" s="257">
        <v>673.1763281670012</v>
      </c>
      <c r="F16" s="257">
        <v>650.19088922813705</v>
      </c>
      <c r="G16" s="257">
        <v>647.64632022543185</v>
      </c>
      <c r="H16" s="257">
        <v>653.52945458284398</v>
      </c>
      <c r="I16" s="257">
        <v>625.76234057227873</v>
      </c>
      <c r="J16" s="257">
        <v>626.88725209944016</v>
      </c>
      <c r="K16" s="257">
        <v>632.97362244276451</v>
      </c>
      <c r="L16" s="257">
        <v>642.70142250414563</v>
      </c>
      <c r="M16" s="257">
        <v>622.97697340991374</v>
      </c>
      <c r="N16" s="257">
        <v>572.82030020822356</v>
      </c>
      <c r="O16" s="257">
        <v>582.16600788737071</v>
      </c>
      <c r="P16" s="257">
        <v>546.21559861591584</v>
      </c>
      <c r="Q16" s="257">
        <v>560.10935408396779</v>
      </c>
      <c r="R16" s="257">
        <v>557.1574211352455</v>
      </c>
      <c r="S16" s="257">
        <v>532.96650613175382</v>
      </c>
      <c r="T16" s="257">
        <v>515.3872304175901</v>
      </c>
      <c r="U16" s="257">
        <v>504.0924296644983</v>
      </c>
      <c r="V16" s="257">
        <v>498.11587317652902</v>
      </c>
      <c r="W16" s="257">
        <v>495.69472023815149</v>
      </c>
      <c r="X16" s="257">
        <v>510.24718473891693</v>
      </c>
      <c r="Y16" s="257">
        <v>516.9377368537854</v>
      </c>
      <c r="DA16" s="272" t="s">
        <v>1046</v>
      </c>
    </row>
    <row r="17" spans="1:105" x14ac:dyDescent="0.25">
      <c r="A17" s="256" t="s">
        <v>121</v>
      </c>
      <c r="B17" s="257">
        <f>SUM(B18:B24)</f>
        <v>1000.0148234758541</v>
      </c>
      <c r="C17" s="257">
        <f t="shared" ref="C17:W17" si="4">SUM(C18:C24)</f>
        <v>955.97449666616865</v>
      </c>
      <c r="D17" s="257">
        <f t="shared" si="4"/>
        <v>931.1610408977009</v>
      </c>
      <c r="E17" s="257">
        <f t="shared" si="4"/>
        <v>900.52260718318678</v>
      </c>
      <c r="F17" s="257">
        <f t="shared" si="4"/>
        <v>912.61834717423744</v>
      </c>
      <c r="G17" s="257">
        <f t="shared" si="4"/>
        <v>952.04295512427018</v>
      </c>
      <c r="H17" s="257">
        <f t="shared" si="4"/>
        <v>923.87389140013295</v>
      </c>
      <c r="I17" s="257">
        <f t="shared" si="4"/>
        <v>895.89398600773757</v>
      </c>
      <c r="J17" s="257">
        <f t="shared" si="4"/>
        <v>851.57119068759812</v>
      </c>
      <c r="K17" s="257">
        <f t="shared" si="4"/>
        <v>846.17424901683</v>
      </c>
      <c r="L17" s="257">
        <f t="shared" si="4"/>
        <v>873.6163006051255</v>
      </c>
      <c r="M17" s="257">
        <f t="shared" si="4"/>
        <v>855.9421786461894</v>
      </c>
      <c r="N17" s="257">
        <f t="shared" si="4"/>
        <v>756.32985618445014</v>
      </c>
      <c r="O17" s="257">
        <f t="shared" si="4"/>
        <v>782.84469996714324</v>
      </c>
      <c r="P17" s="257">
        <f t="shared" si="4"/>
        <v>702.86734382316968</v>
      </c>
      <c r="Q17" s="257">
        <f t="shared" si="4"/>
        <v>698.93450019568775</v>
      </c>
      <c r="R17" s="257">
        <f t="shared" si="4"/>
        <v>682.6351703892168</v>
      </c>
      <c r="S17" s="257">
        <f t="shared" si="4"/>
        <v>664.27246229687466</v>
      </c>
      <c r="T17" s="257">
        <f t="shared" si="4"/>
        <v>613.20652086251891</v>
      </c>
      <c r="U17" s="257">
        <f t="shared" si="4"/>
        <v>602.01076345865806</v>
      </c>
      <c r="V17" s="257">
        <f t="shared" si="4"/>
        <v>604.8863020655715</v>
      </c>
      <c r="W17" s="257">
        <f t="shared" si="4"/>
        <v>578.29119843722651</v>
      </c>
      <c r="X17" s="257">
        <f t="shared" ref="X17:Y17" si="5">SUM(X18:X24)</f>
        <v>595.6025976883343</v>
      </c>
      <c r="Y17" s="257">
        <f t="shared" si="5"/>
        <v>637.78915006492764</v>
      </c>
      <c r="DA17" s="272"/>
    </row>
    <row r="18" spans="1:105" x14ac:dyDescent="0.25">
      <c r="A18" s="61" t="s">
        <v>29</v>
      </c>
      <c r="B18" s="55">
        <v>100.27511459848139</v>
      </c>
      <c r="C18" s="55">
        <v>114.08498099832249</v>
      </c>
      <c r="D18" s="55">
        <v>80.056729798806572</v>
      </c>
      <c r="E18" s="55">
        <v>108.0053027983556</v>
      </c>
      <c r="F18" s="55">
        <v>128.69000279812059</v>
      </c>
      <c r="G18" s="55">
        <v>154.62849599755691</v>
      </c>
      <c r="H18" s="55">
        <v>178.54208063670129</v>
      </c>
      <c r="I18" s="55">
        <v>178.04945195856411</v>
      </c>
      <c r="J18" s="55">
        <v>162.24393779787709</v>
      </c>
      <c r="K18" s="55">
        <v>116.9823329990097</v>
      </c>
      <c r="L18" s="55">
        <v>125.31366899878979</v>
      </c>
      <c r="M18" s="55">
        <v>114.9505234898528</v>
      </c>
      <c r="N18" s="55">
        <v>111.40076610205369</v>
      </c>
      <c r="O18" s="55">
        <v>144.43585884165969</v>
      </c>
      <c r="P18" s="55">
        <v>97.692071005231043</v>
      </c>
      <c r="Q18" s="55">
        <v>69.692436864624653</v>
      </c>
      <c r="R18" s="55">
        <v>58.954772159072178</v>
      </c>
      <c r="S18" s="55">
        <v>42.027566255644338</v>
      </c>
      <c r="T18" s="55">
        <v>33.941405807680042</v>
      </c>
      <c r="U18" s="55">
        <v>20.762781228177719</v>
      </c>
      <c r="V18" s="55">
        <v>12.66816672006253</v>
      </c>
      <c r="W18" s="55">
        <v>11.95649532001813</v>
      </c>
      <c r="X18" s="55">
        <v>12.470670107808321</v>
      </c>
      <c r="Y18" s="55">
        <v>7.1608699439832151</v>
      </c>
      <c r="DA18" s="101" t="s">
        <v>1047</v>
      </c>
    </row>
    <row r="19" spans="1:105" x14ac:dyDescent="0.25">
      <c r="A19" s="61" t="s">
        <v>27</v>
      </c>
      <c r="B19" s="55">
        <v>11.610374759985209</v>
      </c>
      <c r="C19" s="55">
        <v>14.513025239984479</v>
      </c>
      <c r="D19" s="55">
        <v>11.610374759987049</v>
      </c>
      <c r="E19" s="55">
        <v>11.61037475998104</v>
      </c>
      <c r="F19" s="55">
        <v>8.707724279992016</v>
      </c>
      <c r="G19" s="55">
        <v>8.7077242799859338</v>
      </c>
      <c r="H19" s="55">
        <v>8.7077242799928563</v>
      </c>
      <c r="I19" s="55">
        <v>8.7077242799913321</v>
      </c>
      <c r="J19" s="55">
        <v>5.805300960005261</v>
      </c>
      <c r="K19" s="55">
        <v>8.7077242800174481</v>
      </c>
      <c r="L19" s="55">
        <v>8.7077242800071897</v>
      </c>
      <c r="M19" s="55">
        <v>8.7077242799877066</v>
      </c>
      <c r="N19" s="55">
        <v>8.7077242800085344</v>
      </c>
      <c r="O19" s="55">
        <v>8.7077242800081489</v>
      </c>
      <c r="P19" s="55">
        <v>8.7077242800172616</v>
      </c>
      <c r="Q19" s="55">
        <v>12.115578600023079</v>
      </c>
      <c r="R19" s="55">
        <v>11.903411160021269</v>
      </c>
      <c r="S19" s="55">
        <v>16.498176480035202</v>
      </c>
      <c r="T19" s="55">
        <v>12.823636320015479</v>
      </c>
      <c r="U19" s="55">
        <v>15.74377812002326</v>
      </c>
      <c r="V19" s="55">
        <v>15.232668120021289</v>
      </c>
      <c r="W19" s="55">
        <v>15.891659280024101</v>
      </c>
      <c r="X19" s="55">
        <v>17.131044240038779</v>
      </c>
      <c r="Y19" s="55">
        <v>21.351449880024791</v>
      </c>
      <c r="DA19" s="101" t="s">
        <v>1048</v>
      </c>
    </row>
    <row r="20" spans="1:105" x14ac:dyDescent="0.25">
      <c r="A20" s="61" t="s">
        <v>166</v>
      </c>
      <c r="B20" s="55">
        <v>576.27981515999159</v>
      </c>
      <c r="C20" s="55">
        <v>565.8036488236944</v>
      </c>
      <c r="D20" s="55">
        <v>579.64262516336817</v>
      </c>
      <c r="E20" s="55">
        <v>569.19063763702161</v>
      </c>
      <c r="F20" s="55">
        <v>495.59207615752342</v>
      </c>
      <c r="G20" s="55">
        <v>461.04349984220801</v>
      </c>
      <c r="H20" s="55">
        <v>497.88471819921182</v>
      </c>
      <c r="I20" s="55">
        <v>465.89196680372589</v>
      </c>
      <c r="J20" s="55">
        <v>508.98859170946969</v>
      </c>
      <c r="K20" s="55">
        <v>529.22696199651398</v>
      </c>
      <c r="L20" s="55">
        <v>521.5006771562729</v>
      </c>
      <c r="M20" s="55">
        <v>492.13759253648868</v>
      </c>
      <c r="N20" s="55">
        <v>474.13554329233659</v>
      </c>
      <c r="O20" s="55">
        <v>476.98369255941031</v>
      </c>
      <c r="P20" s="55">
        <v>462.00768986593641</v>
      </c>
      <c r="Q20" s="55">
        <v>494.14945323991662</v>
      </c>
      <c r="R20" s="55">
        <v>493.87665436572831</v>
      </c>
      <c r="S20" s="55">
        <v>436.81133507702611</v>
      </c>
      <c r="T20" s="55">
        <v>456.12705933033828</v>
      </c>
      <c r="U20" s="55">
        <v>432.49131726268632</v>
      </c>
      <c r="V20" s="55">
        <v>408.22367603975641</v>
      </c>
      <c r="W20" s="55">
        <v>415.13024086242871</v>
      </c>
      <c r="X20" s="55">
        <v>475.41305609178801</v>
      </c>
      <c r="Y20" s="55">
        <v>432.85214719891633</v>
      </c>
      <c r="DA20" s="101" t="s">
        <v>1049</v>
      </c>
    </row>
    <row r="21" spans="1:105" x14ac:dyDescent="0.25">
      <c r="A21" s="61" t="s">
        <v>129</v>
      </c>
      <c r="B21" s="55">
        <v>225.9195202797122</v>
      </c>
      <c r="C21" s="55">
        <v>163.29189347982529</v>
      </c>
      <c r="D21" s="55">
        <v>166.30775603981459</v>
      </c>
      <c r="E21" s="55">
        <v>125.46161315979521</v>
      </c>
      <c r="F21" s="55">
        <v>197.30426975981919</v>
      </c>
      <c r="G21" s="55">
        <v>247.4028223196004</v>
      </c>
      <c r="H21" s="55">
        <v>156.73802687987151</v>
      </c>
      <c r="I21" s="55">
        <v>175.35482603982561</v>
      </c>
      <c r="J21" s="55">
        <v>112.492170720102</v>
      </c>
      <c r="K21" s="55">
        <v>128.1308940002568</v>
      </c>
      <c r="L21" s="55">
        <v>153.14332752012649</v>
      </c>
      <c r="M21" s="55">
        <v>181.297463039744</v>
      </c>
      <c r="N21" s="55">
        <v>103.10922072010111</v>
      </c>
      <c r="O21" s="55">
        <v>96.860690280090665</v>
      </c>
      <c r="P21" s="55">
        <v>81.224609760161002</v>
      </c>
      <c r="Q21" s="55">
        <v>67.484514960128578</v>
      </c>
      <c r="R21" s="55">
        <v>55.848866040099793</v>
      </c>
      <c r="S21" s="55">
        <v>104.85837576022369</v>
      </c>
      <c r="T21" s="55">
        <v>55.527607080067042</v>
      </c>
      <c r="U21" s="55">
        <v>81.550386000120497</v>
      </c>
      <c r="V21" s="55">
        <v>120.9542792401691</v>
      </c>
      <c r="W21" s="55">
        <v>89.980003080136456</v>
      </c>
      <c r="X21" s="55">
        <v>73.915434360167325</v>
      </c>
      <c r="Y21" s="55">
        <v>161.086638960187</v>
      </c>
      <c r="DA21" s="101" t="s">
        <v>1050</v>
      </c>
    </row>
    <row r="22" spans="1:105" x14ac:dyDescent="0.25">
      <c r="A22" s="61" t="s">
        <v>169</v>
      </c>
      <c r="B22" s="55">
        <v>85.929998677683685</v>
      </c>
      <c r="C22" s="55">
        <v>98.280948124342004</v>
      </c>
      <c r="D22" s="55">
        <v>93.543555135724461</v>
      </c>
      <c r="E22" s="55">
        <v>86.254678828033335</v>
      </c>
      <c r="F22" s="55">
        <v>82.324274178782119</v>
      </c>
      <c r="G22" s="55">
        <v>80.260412684918919</v>
      </c>
      <c r="H22" s="55">
        <v>82.001341404355415</v>
      </c>
      <c r="I22" s="55">
        <v>67.890016925630547</v>
      </c>
      <c r="J22" s="55">
        <v>62.0411895001441</v>
      </c>
      <c r="K22" s="55">
        <v>63.126335741031987</v>
      </c>
      <c r="L22" s="55">
        <v>64.950902649929205</v>
      </c>
      <c r="M22" s="55">
        <v>58.848875300116262</v>
      </c>
      <c r="N22" s="55">
        <v>58.976601789950237</v>
      </c>
      <c r="O22" s="55">
        <v>55.856734005974431</v>
      </c>
      <c r="P22" s="55">
        <v>53.23524891182393</v>
      </c>
      <c r="Q22" s="55">
        <v>55.492516530994841</v>
      </c>
      <c r="R22" s="55">
        <v>62.051466664295297</v>
      </c>
      <c r="S22" s="55">
        <v>64.077008723945312</v>
      </c>
      <c r="T22" s="55">
        <v>54.786812324418051</v>
      </c>
      <c r="U22" s="55">
        <v>51.462500847650283</v>
      </c>
      <c r="V22" s="55">
        <v>47.807511945562119</v>
      </c>
      <c r="W22" s="55">
        <v>45.332799894619157</v>
      </c>
      <c r="X22" s="55">
        <v>16.672392888531839</v>
      </c>
      <c r="Y22" s="55">
        <v>15.338044081816291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138.98351288173859</v>
      </c>
      <c r="C25" s="257">
        <v>133.9706216858543</v>
      </c>
      <c r="D25" s="257">
        <v>133.39765188205931</v>
      </c>
      <c r="E25" s="257">
        <v>129.35644152382491</v>
      </c>
      <c r="F25" s="257">
        <v>124.9395978773903</v>
      </c>
      <c r="G25" s="257">
        <v>124.45063773778161</v>
      </c>
      <c r="H25" s="257">
        <v>125.58113103298339</v>
      </c>
      <c r="I25" s="257">
        <v>120.24544867235529</v>
      </c>
      <c r="J25" s="257">
        <v>120.46160979700289</v>
      </c>
      <c r="K25" s="257">
        <v>121.63115658061071</v>
      </c>
      <c r="L25" s="257">
        <v>123.5004344312176</v>
      </c>
      <c r="M25" s="257">
        <v>119.7102171596223</v>
      </c>
      <c r="N25" s="257">
        <v>110.07219441198581</v>
      </c>
      <c r="O25" s="257">
        <v>111.8680500270936</v>
      </c>
      <c r="P25" s="257">
        <v>104.95987928475149</v>
      </c>
      <c r="Q25" s="257">
        <v>107.62968018467789</v>
      </c>
      <c r="R25" s="257">
        <v>107.0624416679829</v>
      </c>
      <c r="S25" s="257">
        <v>102.4139557496237</v>
      </c>
      <c r="T25" s="257">
        <v>99.035951420294055</v>
      </c>
      <c r="U25" s="257">
        <v>96.865561327821723</v>
      </c>
      <c r="V25" s="257">
        <v>95.717116191678912</v>
      </c>
      <c r="W25" s="257">
        <v>95.251871477346398</v>
      </c>
      <c r="X25" s="257">
        <v>98.048248807408768</v>
      </c>
      <c r="Y25" s="257">
        <v>99.333894153503564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0.99999999999999989</v>
      </c>
      <c r="D31" s="235">
        <f t="shared" si="6"/>
        <v>1</v>
      </c>
      <c r="E31" s="235">
        <f t="shared" si="6"/>
        <v>0.99999999999999989</v>
      </c>
      <c r="F31" s="235">
        <f t="shared" si="6"/>
        <v>1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0.99999999999999989</v>
      </c>
      <c r="K31" s="235">
        <f t="shared" si="6"/>
        <v>1.0000000000000002</v>
      </c>
      <c r="L31" s="235">
        <f t="shared" si="6"/>
        <v>1</v>
      </c>
      <c r="M31" s="235">
        <f t="shared" si="6"/>
        <v>1</v>
      </c>
      <c r="N31" s="235">
        <f t="shared" si="6"/>
        <v>1</v>
      </c>
      <c r="O31" s="235">
        <f t="shared" si="6"/>
        <v>0.99999999999999989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0.99999999999999978</v>
      </c>
      <c r="S31" s="235">
        <f t="shared" si="7"/>
        <v>1</v>
      </c>
      <c r="T31" s="235">
        <f t="shared" si="7"/>
        <v>0.99999999999999989</v>
      </c>
      <c r="U31" s="235">
        <f t="shared" si="7"/>
        <v>1</v>
      </c>
      <c r="V31" s="235">
        <f t="shared" si="7"/>
        <v>0.99999999999999989</v>
      </c>
      <c r="W31" s="235">
        <f t="shared" si="7"/>
        <v>1</v>
      </c>
      <c r="X31" s="235">
        <f t="shared" ref="X31:Y31" si="8">SUM(X32:X40)</f>
        <v>0.99999999999999989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0.16518964385864177</v>
      </c>
      <c r="C35" s="246">
        <f t="shared" si="12"/>
        <v>0.16557654093696755</v>
      </c>
      <c r="D35" s="246">
        <f t="shared" si="12"/>
        <v>0.1674179682521548</v>
      </c>
      <c r="E35" s="246">
        <f t="shared" si="12"/>
        <v>0.16366273701626016</v>
      </c>
      <c r="F35" s="246">
        <f t="shared" si="12"/>
        <v>0.15575370203961392</v>
      </c>
      <c r="G35" s="246">
        <f t="shared" si="12"/>
        <v>0.1521190922419923</v>
      </c>
      <c r="H35" s="246">
        <f t="shared" si="12"/>
        <v>0.15289430028588297</v>
      </c>
      <c r="I35" s="246">
        <f t="shared" si="12"/>
        <v>0.15008543066224631</v>
      </c>
      <c r="J35" s="246">
        <f t="shared" si="12"/>
        <v>0.15231647869203044</v>
      </c>
      <c r="K35" s="246">
        <f t="shared" si="12"/>
        <v>0.15710204966273478</v>
      </c>
      <c r="L35" s="246">
        <f t="shared" si="12"/>
        <v>0.15575277547677338</v>
      </c>
      <c r="M35" s="246">
        <f t="shared" si="12"/>
        <v>0.1596511624137166</v>
      </c>
      <c r="N35" s="246">
        <f t="shared" si="12"/>
        <v>0.15871932315304746</v>
      </c>
      <c r="O35" s="246">
        <f t="shared" si="12"/>
        <v>0.15714279370012804</v>
      </c>
      <c r="P35" s="246">
        <f t="shared" si="12"/>
        <v>0.15647116877937839</v>
      </c>
      <c r="Q35" s="246">
        <f t="shared" si="12"/>
        <v>0.16101216914218219</v>
      </c>
      <c r="R35" s="246">
        <f t="shared" si="12"/>
        <v>0.1633450460991118</v>
      </c>
      <c r="S35" s="246">
        <f t="shared" si="12"/>
        <v>0.15754704252775095</v>
      </c>
      <c r="T35" s="246">
        <f t="shared" si="12"/>
        <v>0.15819922520738736</v>
      </c>
      <c r="U35" s="246">
        <f t="shared" si="12"/>
        <v>0.15256065186758663</v>
      </c>
      <c r="V35" s="246">
        <f t="shared" si="12"/>
        <v>0.14972872464614906</v>
      </c>
      <c r="W35" s="246">
        <f t="shared" si="12"/>
        <v>0.15091789933549843</v>
      </c>
      <c r="X35" s="246">
        <f t="shared" si="12"/>
        <v>0.16136359815749152</v>
      </c>
      <c r="Y35" s="246">
        <f t="shared" si="12"/>
        <v>0.15709827972874851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0.32422629061916231</v>
      </c>
      <c r="C36" s="259">
        <f t="shared" si="13"/>
        <v>0.32552157433307127</v>
      </c>
      <c r="D36" s="259">
        <f t="shared" si="13"/>
        <v>0.32863061554976769</v>
      </c>
      <c r="E36" s="259">
        <f t="shared" si="13"/>
        <v>0.3305837587254703</v>
      </c>
      <c r="F36" s="259">
        <f t="shared" si="13"/>
        <v>0.3252387085384506</v>
      </c>
      <c r="G36" s="259">
        <f t="shared" si="13"/>
        <v>0.3184932648044379</v>
      </c>
      <c r="H36" s="259">
        <f t="shared" si="13"/>
        <v>0.32508136943105964</v>
      </c>
      <c r="I36" s="259">
        <f t="shared" si="13"/>
        <v>0.32391982164312166</v>
      </c>
      <c r="J36" s="259">
        <f t="shared" si="13"/>
        <v>0.3323505715397857</v>
      </c>
      <c r="K36" s="259">
        <f t="shared" si="13"/>
        <v>0.33329532660591554</v>
      </c>
      <c r="L36" s="259">
        <f t="shared" si="13"/>
        <v>0.33088967191342816</v>
      </c>
      <c r="M36" s="259">
        <f t="shared" si="13"/>
        <v>0.32747926788363435</v>
      </c>
      <c r="N36" s="259">
        <f t="shared" si="13"/>
        <v>0.33483544054288789</v>
      </c>
      <c r="O36" s="259">
        <f t="shared" si="13"/>
        <v>0.33224312584366761</v>
      </c>
      <c r="P36" s="259">
        <f t="shared" si="13"/>
        <v>0.34027624392881084</v>
      </c>
      <c r="Q36" s="259">
        <f t="shared" si="13"/>
        <v>0.34384578333864368</v>
      </c>
      <c r="R36" s="259">
        <f t="shared" si="13"/>
        <v>0.34610147715046696</v>
      </c>
      <c r="S36" s="259">
        <f t="shared" si="13"/>
        <v>0.34547624290403678</v>
      </c>
      <c r="T36" s="259">
        <f t="shared" si="13"/>
        <v>0.35340735804078688</v>
      </c>
      <c r="U36" s="259">
        <f t="shared" si="13"/>
        <v>0.35511126819609773</v>
      </c>
      <c r="V36" s="259">
        <f t="shared" si="13"/>
        <v>0.35332176747837174</v>
      </c>
      <c r="W36" s="259">
        <f t="shared" si="13"/>
        <v>0.35996571261448584</v>
      </c>
      <c r="X36" s="259">
        <f t="shared" si="13"/>
        <v>0.35543862682528776</v>
      </c>
      <c r="Y36" s="259">
        <f t="shared" si="13"/>
        <v>0.34745342031559101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0.44828128176691262</v>
      </c>
      <c r="C37" s="259">
        <f t="shared" si="14"/>
        <v>0.44635020141451154</v>
      </c>
      <c r="D37" s="259">
        <f t="shared" si="14"/>
        <v>0.44080230470294474</v>
      </c>
      <c r="E37" s="259">
        <f t="shared" si="14"/>
        <v>0.4422290800249668</v>
      </c>
      <c r="F37" s="259">
        <f t="shared" si="14"/>
        <v>0.45651026112624815</v>
      </c>
      <c r="G37" s="259">
        <f t="shared" si="14"/>
        <v>0.46818650788604749</v>
      </c>
      <c r="H37" s="259">
        <f t="shared" si="14"/>
        <v>0.45955723600807613</v>
      </c>
      <c r="I37" s="259">
        <f t="shared" si="14"/>
        <v>0.46375085450712317</v>
      </c>
      <c r="J37" s="259">
        <f t="shared" si="14"/>
        <v>0.45146901772847808</v>
      </c>
      <c r="K37" s="259">
        <f t="shared" si="14"/>
        <v>0.445557149132358</v>
      </c>
      <c r="L37" s="259">
        <f t="shared" si="14"/>
        <v>0.44977434460803334</v>
      </c>
      <c r="M37" s="259">
        <f t="shared" si="14"/>
        <v>0.44994169925657879</v>
      </c>
      <c r="N37" s="259">
        <f t="shared" si="14"/>
        <v>0.44210381597719733</v>
      </c>
      <c r="O37" s="259">
        <f t="shared" si="14"/>
        <v>0.44677079500243044</v>
      </c>
      <c r="P37" s="259">
        <f t="shared" si="14"/>
        <v>0.43786567125217807</v>
      </c>
      <c r="Q37" s="259">
        <f t="shared" si="14"/>
        <v>0.42906921473438142</v>
      </c>
      <c r="R37" s="259">
        <f t="shared" si="14"/>
        <v>0.42404719360135412</v>
      </c>
      <c r="S37" s="259">
        <f t="shared" si="14"/>
        <v>0.43059057539012729</v>
      </c>
      <c r="T37" s="259">
        <f t="shared" si="14"/>
        <v>0.42048324770448003</v>
      </c>
      <c r="U37" s="259">
        <f t="shared" si="14"/>
        <v>0.42409049035270807</v>
      </c>
      <c r="V37" s="259">
        <f t="shared" si="14"/>
        <v>0.42905578576798975</v>
      </c>
      <c r="W37" s="259">
        <f t="shared" si="14"/>
        <v>0.41994597651580901</v>
      </c>
      <c r="X37" s="259">
        <f t="shared" si="14"/>
        <v>0.41489728074489723</v>
      </c>
      <c r="Y37" s="259">
        <f t="shared" si="14"/>
        <v>0.42868222966069208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6.2302783755283343E-2</v>
      </c>
      <c r="C38" s="259">
        <f t="shared" si="15"/>
        <v>6.2551683315449483E-2</v>
      </c>
      <c r="D38" s="259">
        <f t="shared" si="15"/>
        <v>6.3149111495132831E-2</v>
      </c>
      <c r="E38" s="259">
        <f t="shared" si="15"/>
        <v>6.3524424233302651E-2</v>
      </c>
      <c r="F38" s="259">
        <f t="shared" si="15"/>
        <v>6.2497328295687347E-2</v>
      </c>
      <c r="G38" s="259">
        <f t="shared" si="15"/>
        <v>6.1201135067522297E-2</v>
      </c>
      <c r="H38" s="259">
        <f t="shared" si="15"/>
        <v>6.246709427498124E-2</v>
      </c>
      <c r="I38" s="259">
        <f t="shared" si="15"/>
        <v>6.2243893187508871E-2</v>
      </c>
      <c r="J38" s="259">
        <f t="shared" si="15"/>
        <v>6.3863932039705792E-2</v>
      </c>
      <c r="K38" s="259">
        <f t="shared" si="15"/>
        <v>6.4045474598991806E-2</v>
      </c>
      <c r="L38" s="259">
        <f t="shared" si="15"/>
        <v>6.358320800176516E-2</v>
      </c>
      <c r="M38" s="259">
        <f t="shared" si="15"/>
        <v>6.2927870446070247E-2</v>
      </c>
      <c r="N38" s="259">
        <f t="shared" si="15"/>
        <v>6.4341420326867377E-2</v>
      </c>
      <c r="O38" s="259">
        <f t="shared" si="15"/>
        <v>6.3843285453773851E-2</v>
      </c>
      <c r="P38" s="259">
        <f t="shared" si="15"/>
        <v>6.5386916039632773E-2</v>
      </c>
      <c r="Q38" s="259">
        <f t="shared" si="15"/>
        <v>6.6072832784792729E-2</v>
      </c>
      <c r="R38" s="259">
        <f t="shared" si="15"/>
        <v>6.6506283149066966E-2</v>
      </c>
      <c r="S38" s="259">
        <f t="shared" si="15"/>
        <v>6.6386139178084932E-2</v>
      </c>
      <c r="T38" s="259">
        <f t="shared" si="15"/>
        <v>6.7910169047345662E-2</v>
      </c>
      <c r="U38" s="259">
        <f t="shared" si="15"/>
        <v>6.8237589583607677E-2</v>
      </c>
      <c r="V38" s="259">
        <f t="shared" si="15"/>
        <v>6.7893722107489354E-2</v>
      </c>
      <c r="W38" s="259">
        <f t="shared" si="15"/>
        <v>6.9170411534206735E-2</v>
      </c>
      <c r="X38" s="259">
        <f t="shared" si="15"/>
        <v>6.8300494272323389E-2</v>
      </c>
      <c r="Y38" s="259">
        <f t="shared" si="15"/>
        <v>6.676607029496838E-2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2.2453375877577013</v>
      </c>
      <c r="C44" s="237">
        <f>IF(C$5=0,0,C$5/AGR_fec!C$5)</f>
        <v>2.2401485694305983</v>
      </c>
      <c r="D44" s="237">
        <f>IF(D$5=0,0,D$5/AGR_fec!D$5)</f>
        <v>2.2320309454136766</v>
      </c>
      <c r="E44" s="237">
        <f>IF(E$5=0,0,E$5/AGR_fec!E$5)</f>
        <v>2.2052072154989006</v>
      </c>
      <c r="F44" s="237">
        <f>IF(F$5=0,0,F$5/AGR_fec!F$5)</f>
        <v>2.1901514523658587</v>
      </c>
      <c r="G44" s="237">
        <f>IF(G$5=0,0,G$5/AGR_fec!G$5)</f>
        <v>2.2084667893750187</v>
      </c>
      <c r="H44" s="237">
        <f>IF(H$5=0,0,H$5/AGR_fec!H$5)</f>
        <v>2.1828888377427491</v>
      </c>
      <c r="I44" s="237">
        <f>IF(I$5=0,0,I$5/AGR_fec!I$5)</f>
        <v>2.17857931272383</v>
      </c>
      <c r="J44" s="237">
        <f>IF(J$5=0,0,J$5/AGR_fec!J$5)</f>
        <v>2.1483273085333954</v>
      </c>
      <c r="K44" s="237">
        <f>IF(K$5=0,0,K$5/AGR_fec!K$5)</f>
        <v>2.1635057137174627</v>
      </c>
      <c r="L44" s="237">
        <f>IF(L$5=0,0,L$5/AGR_fec!L$5)</f>
        <v>2.1681774119055937</v>
      </c>
      <c r="M44" s="237">
        <f>IF(M$5=0,0,M$5/AGR_fec!M$5)</f>
        <v>2.194170533044133</v>
      </c>
      <c r="N44" s="237">
        <f>IF(N$5=0,0,N$5/AGR_fec!N$5)</f>
        <v>2.1431820874141305</v>
      </c>
      <c r="O44" s="237">
        <f>IF(O$5=0,0,O$5/AGR_fec!O$5)</f>
        <v>2.1550404239398353</v>
      </c>
      <c r="P44" s="237">
        <f>IF(P$5=0,0,P$5/AGR_fec!P$5)</f>
        <v>2.0987889514757128</v>
      </c>
      <c r="Q44" s="237">
        <f>IF(Q$5=0,0,Q$5/AGR_fec!Q$5)</f>
        <v>2.0993192562123379</v>
      </c>
      <c r="R44" s="237">
        <f>IF(R$5=0,0,R$5/AGR_fec!R$5)</f>
        <v>2.0919962063856139</v>
      </c>
      <c r="S44" s="237">
        <f>IF(S$5=0,0,S$5/AGR_fec!S$5)</f>
        <v>2.051865132054568</v>
      </c>
      <c r="T44" s="237">
        <f>IF(T$5=0,0,T$5/AGR_fec!T$5)</f>
        <v>2.0206972842788673</v>
      </c>
      <c r="U44" s="237">
        <f>IF(U$5=0,0,U$5/AGR_fec!U$5)</f>
        <v>1.9795850955411096</v>
      </c>
      <c r="V44" s="237">
        <f>IF(V$5=0,0,V$5/AGR_fec!V$5)</f>
        <v>1.9750017627743865</v>
      </c>
      <c r="W44" s="237">
        <f>IF(W$5=0,0,W$5/AGR_fec!W$5)</f>
        <v>1.9389760162918153</v>
      </c>
      <c r="X44" s="237">
        <f>IF(X$5=0,0,X$5/AGR_fec!X$5)</f>
        <v>2.042629791109988</v>
      </c>
      <c r="Y44" s="237">
        <f>IF(Y$5=0,0,Y$5/AGR_fec!Y$5)</f>
        <v>2.0609644527568354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1.826460686124773</v>
      </c>
      <c r="C48" s="252">
        <f>IF(C$9=0,0,C$9/AGR_fec!C$9)</f>
        <v>1.806568977562947</v>
      </c>
      <c r="D48" s="252">
        <f>IF(D$9=0,0,D$9/AGR_fec!D$9)</f>
        <v>1.8148091406060243</v>
      </c>
      <c r="E48" s="252">
        <f>IF(E$9=0,0,E$9/AGR_fec!E$9)</f>
        <v>1.7456443312205852</v>
      </c>
      <c r="F48" s="252">
        <f>IF(F$9=0,0,F$9/AGR_fec!F$9)</f>
        <v>1.6583791813939688</v>
      </c>
      <c r="G48" s="252">
        <f>IF(G$9=0,0,G$9/AGR_fec!G$9)</f>
        <v>1.6507452198006827</v>
      </c>
      <c r="H48" s="252">
        <f>IF(H$9=0,0,H$9/AGR_fec!H$9)</f>
        <v>1.6189835454343844</v>
      </c>
      <c r="I48" s="252">
        <f>IF(I$9=0,0,I$9/AGR_fec!I$9)</f>
        <v>1.5912647444032548</v>
      </c>
      <c r="J48" s="252">
        <f>IF(J$9=0,0,J$9/AGR_fec!J$9)</f>
        <v>1.5738469471164647</v>
      </c>
      <c r="K48" s="252">
        <f>IF(K$9=0,0,K$9/AGR_fec!K$9)</f>
        <v>1.6361223461294447</v>
      </c>
      <c r="L48" s="252">
        <f>IF(L$9=0,0,L$9/AGR_fec!L$9)</f>
        <v>1.6335476848843191</v>
      </c>
      <c r="M48" s="252">
        <f>IF(M$9=0,0,M$9/AGR_fec!M$9)</f>
        <v>1.7341422501128694</v>
      </c>
      <c r="N48" s="252">
        <f>IF(N$9=0,0,N$9/AGR_fec!N$9)</f>
        <v>1.6553469837455417</v>
      </c>
      <c r="O48" s="252">
        <f>IF(O$9=0,0,O$9/AGR_fec!O$9)</f>
        <v>1.6549050510997778</v>
      </c>
      <c r="P48" s="252">
        <f>IF(P$9=0,0,P$9/AGR_fec!P$9)</f>
        <v>1.5842565230322845</v>
      </c>
      <c r="Q48" s="252">
        <f>IF(Q$9=0,0,Q$9/AGR_fec!Q$9)</f>
        <v>1.6267718075576765</v>
      </c>
      <c r="R48" s="252">
        <f>IF(R$9=0,0,R$9/AGR_fec!R$9)</f>
        <v>1.6392281342926194</v>
      </c>
      <c r="S48" s="252">
        <f>IF(S$9=0,0,S$9/AGR_fec!S$9)</f>
        <v>1.5526527765361251</v>
      </c>
      <c r="T48" s="252">
        <f>IF(T$9=0,0,T$9/AGR_fec!T$9)</f>
        <v>1.5169590955906511</v>
      </c>
      <c r="U48" s="252">
        <f>IF(U$9=0,0,U$9/AGR_fec!U$9)</f>
        <v>1.4307134915909556</v>
      </c>
      <c r="V48" s="252">
        <f>IF(V$9=0,0,V$9/AGR_fec!V$9)</f>
        <v>1.4069436643144311</v>
      </c>
      <c r="W48" s="252">
        <f>IF(W$9=0,0,W$9/AGR_fec!W$9)</f>
        <v>1.3896027069496273</v>
      </c>
      <c r="X48" s="252">
        <f>IF(X$9=0,0,X$9/AGR_fec!X$9)</f>
        <v>1.591494736224081</v>
      </c>
      <c r="Y48" s="252">
        <f>IF(Y$9=0,0,Y$9/AGR_fec!Y$9)</f>
        <v>1.5906993569243457</v>
      </c>
      <c r="DA48" s="289"/>
    </row>
    <row r="49" spans="1:105" x14ac:dyDescent="0.25">
      <c r="A49" s="127" t="s">
        <v>168</v>
      </c>
      <c r="B49" s="264">
        <f>IF(B$16=0,0,B$16/AGR_fec!B$16)</f>
        <v>3.1024187999999993</v>
      </c>
      <c r="C49" s="264">
        <f>IF(C$16=0,0,C$16/AGR_fec!C$16)</f>
        <v>3.1024187999999993</v>
      </c>
      <c r="D49" s="264">
        <f>IF(D$16=0,0,D$16/AGR_fec!D$16)</f>
        <v>3.1024188000000001</v>
      </c>
      <c r="E49" s="264">
        <f>IF(E$16=0,0,E$16/AGR_fec!E$16)</f>
        <v>3.1024188000000001</v>
      </c>
      <c r="F49" s="264">
        <f>IF(F$16=0,0,F$16/AGR_fec!F$16)</f>
        <v>3.1024187999999997</v>
      </c>
      <c r="G49" s="264">
        <f>IF(G$16=0,0,G$16/AGR_fec!G$16)</f>
        <v>3.1024188000000006</v>
      </c>
      <c r="H49" s="264">
        <f>IF(H$16=0,0,H$16/AGR_fec!H$16)</f>
        <v>3.1024188000000006</v>
      </c>
      <c r="I49" s="264">
        <f>IF(I$16=0,0,I$16/AGR_fec!I$16)</f>
        <v>3.1024188000000006</v>
      </c>
      <c r="J49" s="264">
        <f>IF(J$16=0,0,J$16/AGR_fec!J$16)</f>
        <v>3.1024187999999993</v>
      </c>
      <c r="K49" s="264">
        <f>IF(K$16=0,0,K$16/AGR_fec!K$16)</f>
        <v>3.1024187999999993</v>
      </c>
      <c r="L49" s="264">
        <f>IF(L$16=0,0,L$16/AGR_fec!L$16)</f>
        <v>3.1024188000000006</v>
      </c>
      <c r="M49" s="264">
        <f>IF(M$16=0,0,M$16/AGR_fec!M$16)</f>
        <v>3.1024187999999993</v>
      </c>
      <c r="N49" s="264">
        <f>IF(N$16=0,0,N$16/AGR_fec!N$16)</f>
        <v>3.1024188000000001</v>
      </c>
      <c r="O49" s="264">
        <f>IF(O$16=0,0,O$16/AGR_fec!O$16)</f>
        <v>3.1024187999999993</v>
      </c>
      <c r="P49" s="264">
        <f>IF(P$16=0,0,P$16/AGR_fec!P$16)</f>
        <v>3.1024188000000006</v>
      </c>
      <c r="Q49" s="264">
        <f>IF(Q$16=0,0,Q$16/AGR_fec!Q$16)</f>
        <v>3.1024187999999997</v>
      </c>
      <c r="R49" s="264">
        <f>IF(R$16=0,0,R$16/AGR_fec!R$16)</f>
        <v>3.1024187999999997</v>
      </c>
      <c r="S49" s="264">
        <f>IF(S$16=0,0,S$16/AGR_fec!S$16)</f>
        <v>3.1024188000000006</v>
      </c>
      <c r="T49" s="264">
        <f>IF(T$16=0,0,T$16/AGR_fec!T$16)</f>
        <v>3.1024188000000015</v>
      </c>
      <c r="U49" s="264">
        <f>IF(U$16=0,0,U$16/AGR_fec!U$16)</f>
        <v>3.1024188000000006</v>
      </c>
      <c r="V49" s="264">
        <f>IF(V$16=0,0,V$16/AGR_fec!V$16)</f>
        <v>3.102418800000001</v>
      </c>
      <c r="W49" s="264">
        <f>IF(W$16=0,0,W$16/AGR_fec!W$16)</f>
        <v>3.1024188000000001</v>
      </c>
      <c r="X49" s="264">
        <f>IF(X$16=0,0,X$16/AGR_fec!X$16)</f>
        <v>3.1024188000000001</v>
      </c>
      <c r="Y49" s="264">
        <f>IF(Y$16=0,0,Y$16/AGR_fec!Y$16)</f>
        <v>3.1024187999999993</v>
      </c>
      <c r="DA49" s="290"/>
    </row>
    <row r="50" spans="1:105" x14ac:dyDescent="0.25">
      <c r="A50" s="127" t="s">
        <v>121</v>
      </c>
      <c r="B50" s="264">
        <f>IF(B$17=0,0,B$17/AGR_fec!B$17)</f>
        <v>2.6401231386470561</v>
      </c>
      <c r="C50" s="264">
        <f>IF(C$17=0,0,C$17/AGR_fec!C$17)</f>
        <v>2.6486585453061156</v>
      </c>
      <c r="D50" s="264">
        <f>IF(D$17=0,0,D$17/AGR_fec!D$17)</f>
        <v>2.6204205590412393</v>
      </c>
      <c r="E50" s="264">
        <f>IF(E$17=0,0,E$17/AGR_fec!E$17)</f>
        <v>2.6264339221155741</v>
      </c>
      <c r="F50" s="264">
        <f>IF(F$17=0,0,F$17/AGR_fec!F$17)</f>
        <v>2.6373074462573736</v>
      </c>
      <c r="G50" s="264">
        <f>IF(G$17=0,0,G$17/AGR_fec!G$17)</f>
        <v>2.6780316553943813</v>
      </c>
      <c r="H50" s="264">
        <f>IF(H$17=0,0,H$17/AGR_fec!H$17)</f>
        <v>2.65919295812968</v>
      </c>
      <c r="I50" s="264">
        <f>IF(I$17=0,0,I$17/AGR_fec!I$17)</f>
        <v>2.658881155248316</v>
      </c>
      <c r="J50" s="264">
        <f>IF(J$17=0,0,J$17/AGR_fec!J$17)</f>
        <v>2.6179291446245072</v>
      </c>
      <c r="K50" s="264">
        <f>IF(K$17=0,0,K$17/AGR_fec!K$17)</f>
        <v>2.6036887919191618</v>
      </c>
      <c r="L50" s="264">
        <f>IF(L$17=0,0,L$17/AGR_fec!L$17)</f>
        <v>2.6146839399938533</v>
      </c>
      <c r="M50" s="264">
        <f>IF(M$17=0,0,M$17/AGR_fec!M$17)</f>
        <v>2.6075838275034671</v>
      </c>
      <c r="N50" s="264">
        <f>IF(N$17=0,0,N$17/AGR_fec!N$17)</f>
        <v>2.5607048860274175</v>
      </c>
      <c r="O50" s="264">
        <f>IF(O$17=0,0,O$17/AGR_fec!O$17)</f>
        <v>2.5933497703150579</v>
      </c>
      <c r="P50" s="264">
        <f>IF(P$17=0,0,P$17/AGR_fec!P$17)</f>
        <v>2.5177659283123792</v>
      </c>
      <c r="Q50" s="264">
        <f>IF(Q$17=0,0,Q$17/AGR_fec!Q$17)</f>
        <v>2.4857386582041472</v>
      </c>
      <c r="R50" s="264">
        <f>IF(R$17=0,0,R$17/AGR_fec!R$17)</f>
        <v>2.4506622040892636</v>
      </c>
      <c r="S50" s="264">
        <f>IF(S$17=0,0,S$17/AGR_fec!S$17)</f>
        <v>2.4161071022303862</v>
      </c>
      <c r="T50" s="264">
        <f>IF(T$17=0,0,T$17/AGR_fec!T$17)</f>
        <v>2.379166092496483</v>
      </c>
      <c r="U50" s="264">
        <f>IF(U$17=0,0,U$17/AGR_fec!U$17)</f>
        <v>2.3577699716567491</v>
      </c>
      <c r="V50" s="264">
        <f>IF(V$17=0,0,V$17/AGR_fec!V$17)</f>
        <v>2.3522322247994727</v>
      </c>
      <c r="W50" s="264">
        <f>IF(W$17=0,0,W$17/AGR_fec!W$17)</f>
        <v>2.2811359966132714</v>
      </c>
      <c r="X50" s="264">
        <f>IF(X$17=0,0,X$17/AGR_fec!X$17)</f>
        <v>2.3618587193413778</v>
      </c>
      <c r="Y50" s="264">
        <f>IF(Y$17=0,0,Y$17/AGR_fec!Y$17)</f>
        <v>2.3836664579734448</v>
      </c>
      <c r="DA50" s="290"/>
    </row>
    <row r="51" spans="1:105" x14ac:dyDescent="0.25">
      <c r="A51" s="127" t="s">
        <v>167</v>
      </c>
      <c r="B51" s="264">
        <f>IF(B$25=0,0,B$25/AGR_fec!B$25)</f>
        <v>3.1024188000000006</v>
      </c>
      <c r="C51" s="264">
        <f>IF(C$25=0,0,C$25/AGR_fec!C$25)</f>
        <v>3.1024187999999997</v>
      </c>
      <c r="D51" s="264">
        <f>IF(D$25=0,0,D$25/AGR_fec!D$25)</f>
        <v>3.1024188000000006</v>
      </c>
      <c r="E51" s="264">
        <f>IF(E$25=0,0,E$25/AGR_fec!E$25)</f>
        <v>3.102418800000001</v>
      </c>
      <c r="F51" s="264">
        <f>IF(F$25=0,0,F$25/AGR_fec!F$25)</f>
        <v>3.1024188000000006</v>
      </c>
      <c r="G51" s="264">
        <f>IF(G$25=0,0,G$25/AGR_fec!G$25)</f>
        <v>3.1024188000000006</v>
      </c>
      <c r="H51" s="264">
        <f>IF(H$25=0,0,H$25/AGR_fec!H$25)</f>
        <v>3.1024187999999993</v>
      </c>
      <c r="I51" s="264">
        <f>IF(I$25=0,0,I$25/AGR_fec!I$25)</f>
        <v>3.1024187999999997</v>
      </c>
      <c r="J51" s="264">
        <f>IF(J$25=0,0,J$25/AGR_fec!J$25)</f>
        <v>3.1024187999999993</v>
      </c>
      <c r="K51" s="264">
        <f>IF(K$25=0,0,K$25/AGR_fec!K$25)</f>
        <v>3.1024188000000006</v>
      </c>
      <c r="L51" s="264">
        <f>IF(L$25=0,0,L$25/AGR_fec!L$25)</f>
        <v>3.1024187999999997</v>
      </c>
      <c r="M51" s="264">
        <f>IF(M$25=0,0,M$25/AGR_fec!M$25)</f>
        <v>3.1024187999999984</v>
      </c>
      <c r="N51" s="264">
        <f>IF(N$25=0,0,N$25/AGR_fec!N$25)</f>
        <v>3.102418800000001</v>
      </c>
      <c r="O51" s="264">
        <f>IF(O$25=0,0,O$25/AGR_fec!O$25)</f>
        <v>3.102418800000001</v>
      </c>
      <c r="P51" s="264">
        <f>IF(P$25=0,0,P$25/AGR_fec!P$25)</f>
        <v>3.1024187999999988</v>
      </c>
      <c r="Q51" s="264">
        <f>IF(Q$25=0,0,Q$25/AGR_fec!Q$25)</f>
        <v>3.1024188000000015</v>
      </c>
      <c r="R51" s="264">
        <f>IF(R$25=0,0,R$25/AGR_fec!R$25)</f>
        <v>3.102418800000001</v>
      </c>
      <c r="S51" s="264">
        <f>IF(S$25=0,0,S$25/AGR_fec!S$25)</f>
        <v>3.1024187999999997</v>
      </c>
      <c r="T51" s="264">
        <f>IF(T$25=0,0,T$25/AGR_fec!T$25)</f>
        <v>3.102418800000001</v>
      </c>
      <c r="U51" s="264">
        <f>IF(U$25=0,0,U$25/AGR_fec!U$25)</f>
        <v>3.1024188000000001</v>
      </c>
      <c r="V51" s="264">
        <f>IF(V$25=0,0,V$25/AGR_fec!V$25)</f>
        <v>3.1024187999999997</v>
      </c>
      <c r="W51" s="264">
        <f>IF(W$25=0,0,W$25/AGR_fec!W$25)</f>
        <v>3.1024187999999997</v>
      </c>
      <c r="X51" s="264">
        <f>IF(X$25=0,0,X$25/AGR_fec!X$25)</f>
        <v>3.1024188000000006</v>
      </c>
      <c r="Y51" s="264">
        <f>IF(Y$25=0,0,Y$25/AGR_fec!Y$25)</f>
        <v>3.1024188000000001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2025-11-06T10:21:57Z</dcterms:created>
  <dcterms:modified xsi:type="dcterms:W3CDTF">2025-11-06T10:21:57Z</dcterms:modified>
</cp:coreProperties>
</file>